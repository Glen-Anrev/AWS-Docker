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31" documentId="14_{FB4ADE27-F6C1-450B-AF5E-2112FEB00546}" xr6:coauthVersionLast="47" xr6:coauthVersionMax="47" xr10:uidLastSave="{43DCD3BA-78D1-408F-B853-E8CFE0A4C55B}"/>
  <bookViews>
    <workbookView minimized="1" xWindow="4057" yWindow="2138" windowWidth="14400" windowHeight="7597" activeTab="1" xr2:uid="{E0EEA891-342A-40DA-9AEB-C2B36F3968F4}"/>
  </bookViews>
  <sheets>
    <sheet name="DataCompleted" sheetId="9" r:id="rId1"/>
    <sheet name="cr_2017_question_map4" sheetId="14" r:id="rId2"/>
    <sheet name="DataMap" sheetId="6" r:id="rId3"/>
    <sheet name="AnswerMap" sheetId="10" r:id="rId4"/>
    <sheet name="DataCompletedRaw" sheetId="12" r:id="rId5"/>
    <sheet name="DataMapRaw" sheetId="13" r:id="rId6"/>
    <sheet name="AnswerMapRaw" sheetId="11" r:id="rId7"/>
    <sheet name="Sheet1" sheetId="7" r:id="rId8"/>
    <sheet name="Sheet3" sheetId="3" r:id="rId9"/>
    <sheet name="Sheet4" sheetId="4" r:id="rId10"/>
    <sheet name="Sheet5" sheetId="5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cr_2017_question_map4!$A$1:$L$1</definedName>
    <definedName name="_xlnm._FilterDatabase" localSheetId="0" hidden="1">DataCompleted!$A$1:$AHU$163</definedName>
    <definedName name="_xlnm._FilterDatabase" localSheetId="2" hidden="1">DataMap!$A$1:$E$950</definedName>
    <definedName name="_xlnm._FilterDatabase" localSheetId="7" hidden="1">Sheet1!$A$1:$A$16385</definedName>
    <definedName name="_xlnm._FilterDatabase" localSheetId="8" hidden="1">Sheet3!$A$1:$A$904</definedName>
    <definedName name="ExternalData_1" localSheetId="3" hidden="1">AnswerMap!$A$1:$C$42</definedName>
    <definedName name="ExternalData_1" localSheetId="6" hidden="1">AnswerMapRaw!$A$1:$C$42</definedName>
    <definedName name="ExternalData_1" localSheetId="1" hidden="1">cr_2017_question_map4!$A:$L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2" i="9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A2" i="6"/>
  <c r="A846" i="13"/>
  <c r="A845" i="13"/>
  <c r="B844" i="13"/>
  <c r="B845" i="13" s="1"/>
  <c r="B846" i="13" s="1"/>
  <c r="B847" i="13" s="1"/>
  <c r="B848" i="13" s="1"/>
  <c r="A844" i="13"/>
  <c r="A843" i="13"/>
  <c r="B736" i="13"/>
  <c r="B737" i="13" s="1"/>
  <c r="A735" i="13"/>
  <c r="B631" i="13"/>
  <c r="A630" i="13"/>
  <c r="B629" i="13"/>
  <c r="B630" i="13" s="1"/>
  <c r="A629" i="13"/>
  <c r="B628" i="13"/>
  <c r="A628" i="13"/>
  <c r="A627" i="13"/>
  <c r="B521" i="13"/>
  <c r="B522" i="13" s="1"/>
  <c r="A521" i="13"/>
  <c r="B520" i="13"/>
  <c r="A520" i="13"/>
  <c r="A519" i="13"/>
  <c r="B412" i="13"/>
  <c r="B413" i="13" s="1"/>
  <c r="A412" i="13"/>
  <c r="A411" i="13"/>
  <c r="B305" i="13"/>
  <c r="B306" i="13" s="1"/>
  <c r="B304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F43" i="13"/>
  <c r="A43" i="13"/>
  <c r="F42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2" i="12"/>
  <c r="B307" i="13" l="1"/>
  <c r="A306" i="13"/>
  <c r="A522" i="13"/>
  <c r="B523" i="13"/>
  <c r="B414" i="13"/>
  <c r="A413" i="13"/>
  <c r="A305" i="13"/>
  <c r="A737" i="13"/>
  <c r="B738" i="13"/>
  <c r="B632" i="13"/>
  <c r="A631" i="13"/>
  <c r="B849" i="13"/>
  <c r="A848" i="13"/>
  <c r="A736" i="13"/>
  <c r="A847" i="13"/>
  <c r="B739" i="13" l="1"/>
  <c r="A738" i="13"/>
  <c r="B415" i="13"/>
  <c r="A414" i="13"/>
  <c r="B850" i="13"/>
  <c r="A849" i="13"/>
  <c r="B524" i="13"/>
  <c r="A523" i="13"/>
  <c r="A632" i="13"/>
  <c r="B633" i="13"/>
  <c r="A307" i="13"/>
  <c r="B308" i="13"/>
  <c r="B416" i="13" l="1"/>
  <c r="A415" i="13"/>
  <c r="B740" i="13"/>
  <c r="A739" i="13"/>
  <c r="B634" i="13"/>
  <c r="A633" i="13"/>
  <c r="A524" i="13"/>
  <c r="B525" i="13"/>
  <c r="B851" i="13"/>
  <c r="A850" i="13"/>
  <c r="A308" i="13"/>
  <c r="B309" i="13"/>
  <c r="B852" i="13" l="1"/>
  <c r="A851" i="13"/>
  <c r="A416" i="13"/>
  <c r="B417" i="13"/>
  <c r="B526" i="13"/>
  <c r="A525" i="13"/>
  <c r="B741" i="13"/>
  <c r="A740" i="13"/>
  <c r="A634" i="13"/>
  <c r="B635" i="13"/>
  <c r="B310" i="13"/>
  <c r="A309" i="13"/>
  <c r="B853" i="13" l="1"/>
  <c r="A852" i="13"/>
  <c r="B311" i="13"/>
  <c r="A310" i="13"/>
  <c r="B636" i="13"/>
  <c r="A635" i="13"/>
  <c r="A741" i="13"/>
  <c r="B742" i="13"/>
  <c r="A526" i="13"/>
  <c r="B527" i="13"/>
  <c r="B418" i="13"/>
  <c r="A417" i="13"/>
  <c r="B528" i="13" l="1"/>
  <c r="A527" i="13"/>
  <c r="B854" i="13"/>
  <c r="A853" i="13"/>
  <c r="B743" i="13"/>
  <c r="A742" i="13"/>
  <c r="B419" i="13"/>
  <c r="A418" i="13"/>
  <c r="A311" i="13"/>
  <c r="B312" i="13"/>
  <c r="B637" i="13"/>
  <c r="A636" i="13"/>
  <c r="B638" i="13" l="1"/>
  <c r="A637" i="13"/>
  <c r="B855" i="13"/>
  <c r="A854" i="13"/>
  <c r="A312" i="13"/>
  <c r="B313" i="13"/>
  <c r="A528" i="13"/>
  <c r="B529" i="13"/>
  <c r="B420" i="13"/>
  <c r="A419" i="13"/>
  <c r="A743" i="13"/>
  <c r="B744" i="13"/>
  <c r="A420" i="13" l="1"/>
  <c r="B421" i="13"/>
  <c r="B639" i="13"/>
  <c r="A638" i="13"/>
  <c r="A529" i="13"/>
  <c r="B530" i="13"/>
  <c r="B856" i="13"/>
  <c r="A855" i="13"/>
  <c r="B314" i="13"/>
  <c r="A313" i="13"/>
  <c r="A744" i="13"/>
  <c r="B745" i="13"/>
  <c r="B422" i="13" l="1"/>
  <c r="A421" i="13"/>
  <c r="B315" i="13"/>
  <c r="A314" i="13"/>
  <c r="B640" i="13"/>
  <c r="A639" i="13"/>
  <c r="B857" i="13"/>
  <c r="A856" i="13"/>
  <c r="A530" i="13"/>
  <c r="B531" i="13"/>
  <c r="A745" i="13"/>
  <c r="B746" i="13"/>
  <c r="B532" i="13" l="1"/>
  <c r="A531" i="13"/>
  <c r="B423" i="13"/>
  <c r="A422" i="13"/>
  <c r="A315" i="13"/>
  <c r="B316" i="13"/>
  <c r="B858" i="13"/>
  <c r="A857" i="13"/>
  <c r="B641" i="13"/>
  <c r="A640" i="13"/>
  <c r="B747" i="13"/>
  <c r="A746" i="13"/>
  <c r="B748" i="13" l="1"/>
  <c r="A747" i="13"/>
  <c r="B642" i="13"/>
  <c r="A641" i="13"/>
  <c r="A532" i="13"/>
  <c r="B533" i="13"/>
  <c r="B424" i="13"/>
  <c r="A423" i="13"/>
  <c r="B859" i="13"/>
  <c r="A858" i="13"/>
  <c r="A316" i="13"/>
  <c r="B317" i="13"/>
  <c r="B860" i="13" l="1"/>
  <c r="A859" i="13"/>
  <c r="B749" i="13"/>
  <c r="A748" i="13"/>
  <c r="B643" i="13"/>
  <c r="A642" i="13"/>
  <c r="A424" i="13"/>
  <c r="B425" i="13"/>
  <c r="B534" i="13"/>
  <c r="A533" i="13"/>
  <c r="B318" i="13"/>
  <c r="A317" i="13"/>
  <c r="B319" i="13" l="1"/>
  <c r="A318" i="13"/>
  <c r="A749" i="13"/>
  <c r="B750" i="13"/>
  <c r="B426" i="13"/>
  <c r="A425" i="13"/>
  <c r="B644" i="13"/>
  <c r="A643" i="13"/>
  <c r="A534" i="13"/>
  <c r="B535" i="13"/>
  <c r="B861" i="13"/>
  <c r="A860" i="13"/>
  <c r="B645" i="13" l="1"/>
  <c r="A644" i="13"/>
  <c r="B427" i="13"/>
  <c r="A426" i="13"/>
  <c r="B751" i="13"/>
  <c r="A750" i="13"/>
  <c r="B862" i="13"/>
  <c r="A861" i="13"/>
  <c r="B536" i="13"/>
  <c r="A535" i="13"/>
  <c r="A319" i="13"/>
  <c r="B320" i="13"/>
  <c r="B863" i="13" l="1"/>
  <c r="A862" i="13"/>
  <c r="B752" i="13"/>
  <c r="A751" i="13"/>
  <c r="B428" i="13"/>
  <c r="A427" i="13"/>
  <c r="A320" i="13"/>
  <c r="B321" i="13"/>
  <c r="A536" i="13"/>
  <c r="B537" i="13"/>
  <c r="B646" i="13"/>
  <c r="A645" i="13"/>
  <c r="B322" i="13" l="1"/>
  <c r="A321" i="13"/>
  <c r="A428" i="13"/>
  <c r="B429" i="13"/>
  <c r="B647" i="13"/>
  <c r="A646" i="13"/>
  <c r="B753" i="13"/>
  <c r="A752" i="13"/>
  <c r="A537" i="13"/>
  <c r="B538" i="13"/>
  <c r="B864" i="13"/>
  <c r="A863" i="13"/>
  <c r="B648" i="13" l="1"/>
  <c r="A647" i="13"/>
  <c r="B430" i="13"/>
  <c r="A429" i="13"/>
  <c r="A753" i="13"/>
  <c r="B754" i="13"/>
  <c r="A538" i="13"/>
  <c r="B539" i="13"/>
  <c r="B865" i="13"/>
  <c r="A864" i="13"/>
  <c r="B323" i="13"/>
  <c r="A322" i="13"/>
  <c r="B540" i="13" l="1"/>
  <c r="A539" i="13"/>
  <c r="B755" i="13"/>
  <c r="A754" i="13"/>
  <c r="A323" i="13"/>
  <c r="B324" i="13"/>
  <c r="B431" i="13"/>
  <c r="A430" i="13"/>
  <c r="B866" i="13"/>
  <c r="A865" i="13"/>
  <c r="A648" i="13"/>
  <c r="B649" i="13"/>
  <c r="A324" i="13" l="1"/>
  <c r="B325" i="13"/>
  <c r="B650" i="13"/>
  <c r="A649" i="13"/>
  <c r="B756" i="13"/>
  <c r="A755" i="13"/>
  <c r="B432" i="13"/>
  <c r="A431" i="13"/>
  <c r="B867" i="13"/>
  <c r="A866" i="13"/>
  <c r="A540" i="13"/>
  <c r="B541" i="13"/>
  <c r="B757" i="13" l="1"/>
  <c r="A756" i="13"/>
  <c r="A432" i="13"/>
  <c r="B433" i="13"/>
  <c r="A650" i="13"/>
  <c r="B651" i="13"/>
  <c r="B542" i="13"/>
  <c r="A541" i="13"/>
  <c r="B326" i="13"/>
  <c r="A325" i="13"/>
  <c r="B868" i="13"/>
  <c r="A867" i="13"/>
  <c r="B652" i="13" l="1"/>
  <c r="A651" i="13"/>
  <c r="B434" i="13"/>
  <c r="A433" i="13"/>
  <c r="B869" i="13"/>
  <c r="A868" i="13"/>
  <c r="A542" i="13"/>
  <c r="B543" i="13"/>
  <c r="B327" i="13"/>
  <c r="A326" i="13"/>
  <c r="A757" i="13"/>
  <c r="B758" i="13"/>
  <c r="B544" i="13" l="1"/>
  <c r="A543" i="13"/>
  <c r="B870" i="13"/>
  <c r="A869" i="13"/>
  <c r="B759" i="13"/>
  <c r="A758" i="13"/>
  <c r="B435" i="13"/>
  <c r="A434" i="13"/>
  <c r="A327" i="13"/>
  <c r="B328" i="13"/>
  <c r="B653" i="13"/>
  <c r="A652" i="13"/>
  <c r="A759" i="13" l="1"/>
  <c r="B760" i="13"/>
  <c r="B654" i="13"/>
  <c r="A653" i="13"/>
  <c r="B871" i="13"/>
  <c r="A870" i="13"/>
  <c r="B436" i="13"/>
  <c r="A435" i="13"/>
  <c r="A328" i="13"/>
  <c r="B329" i="13"/>
  <c r="A544" i="13"/>
  <c r="B545" i="13"/>
  <c r="B872" i="13" l="1"/>
  <c r="A871" i="13"/>
  <c r="A436" i="13"/>
  <c r="B437" i="13"/>
  <c r="B655" i="13"/>
  <c r="A654" i="13"/>
  <c r="B330" i="13"/>
  <c r="A329" i="13"/>
  <c r="A760" i="13"/>
  <c r="B761" i="13"/>
  <c r="A545" i="13"/>
  <c r="B546" i="13"/>
  <c r="B331" i="13" l="1"/>
  <c r="A330" i="13"/>
  <c r="B656" i="13"/>
  <c r="A655" i="13"/>
  <c r="A546" i="13"/>
  <c r="B547" i="13"/>
  <c r="B438" i="13"/>
  <c r="A437" i="13"/>
  <c r="A761" i="13"/>
  <c r="B762" i="13"/>
  <c r="B873" i="13"/>
  <c r="A872" i="13"/>
  <c r="A547" i="13" l="1"/>
  <c r="B548" i="13"/>
  <c r="B439" i="13"/>
  <c r="A438" i="13"/>
  <c r="B657" i="13"/>
  <c r="A656" i="13"/>
  <c r="B763" i="13"/>
  <c r="A762" i="13"/>
  <c r="B874" i="13"/>
  <c r="A873" i="13"/>
  <c r="A331" i="13"/>
  <c r="B332" i="13"/>
  <c r="B764" i="13" l="1"/>
  <c r="A763" i="13"/>
  <c r="B658" i="13"/>
  <c r="A657" i="13"/>
  <c r="B440" i="13"/>
  <c r="A439" i="13"/>
  <c r="A548" i="13"/>
  <c r="B549" i="13"/>
  <c r="A332" i="13"/>
  <c r="B333" i="13"/>
  <c r="B875" i="13"/>
  <c r="A874" i="13"/>
  <c r="A549" i="13" l="1"/>
  <c r="B550" i="13"/>
  <c r="A440" i="13"/>
  <c r="B441" i="13"/>
  <c r="B659" i="13"/>
  <c r="A658" i="13"/>
  <c r="B334" i="13"/>
  <c r="A333" i="13"/>
  <c r="B876" i="13"/>
  <c r="A875" i="13"/>
  <c r="B765" i="13"/>
  <c r="A764" i="13"/>
  <c r="B660" i="13" l="1"/>
  <c r="A659" i="13"/>
  <c r="B442" i="13"/>
  <c r="A441" i="13"/>
  <c r="A765" i="13"/>
  <c r="B766" i="13"/>
  <c r="B335" i="13"/>
  <c r="A334" i="13"/>
  <c r="A550" i="13"/>
  <c r="B551" i="13"/>
  <c r="B877" i="13"/>
  <c r="A876" i="13"/>
  <c r="B767" i="13" l="1"/>
  <c r="A766" i="13"/>
  <c r="B443" i="13"/>
  <c r="A442" i="13"/>
  <c r="A551" i="13"/>
  <c r="B552" i="13"/>
  <c r="A335" i="13"/>
  <c r="B336" i="13"/>
  <c r="B878" i="13"/>
  <c r="A877" i="13"/>
  <c r="B661" i="13"/>
  <c r="A660" i="13"/>
  <c r="A336" i="13" l="1"/>
  <c r="B337" i="13"/>
  <c r="B444" i="13"/>
  <c r="A443" i="13"/>
  <c r="A552" i="13"/>
  <c r="B553" i="13"/>
  <c r="B662" i="13"/>
  <c r="A661" i="13"/>
  <c r="B879" i="13"/>
  <c r="A878" i="13"/>
  <c r="B768" i="13"/>
  <c r="A767" i="13"/>
  <c r="A553" i="13" l="1"/>
  <c r="B554" i="13"/>
  <c r="B663" i="13"/>
  <c r="A662" i="13"/>
  <c r="B769" i="13"/>
  <c r="A768" i="13"/>
  <c r="A444" i="13"/>
  <c r="B445" i="13"/>
  <c r="B338" i="13"/>
  <c r="A337" i="13"/>
  <c r="B880" i="13"/>
  <c r="A879" i="13"/>
  <c r="A769" i="13" l="1"/>
  <c r="B770" i="13"/>
  <c r="B664" i="13"/>
  <c r="A663" i="13"/>
  <c r="B446" i="13"/>
  <c r="A445" i="13"/>
  <c r="A554" i="13"/>
  <c r="B555" i="13"/>
  <c r="B881" i="13"/>
  <c r="A880" i="13"/>
  <c r="B339" i="13"/>
  <c r="A338" i="13"/>
  <c r="A555" i="13" l="1"/>
  <c r="B556" i="13"/>
  <c r="B447" i="13"/>
  <c r="A446" i="13"/>
  <c r="A339" i="13"/>
  <c r="B340" i="13"/>
  <c r="A664" i="13"/>
  <c r="B665" i="13"/>
  <c r="B771" i="13"/>
  <c r="A770" i="13"/>
  <c r="B882" i="13"/>
  <c r="A881" i="13"/>
  <c r="A340" i="13" l="1"/>
  <c r="B341" i="13"/>
  <c r="B448" i="13"/>
  <c r="A447" i="13"/>
  <c r="B666" i="13"/>
  <c r="A665" i="13"/>
  <c r="A556" i="13"/>
  <c r="B557" i="13"/>
  <c r="B883" i="13"/>
  <c r="A882" i="13"/>
  <c r="B772" i="13"/>
  <c r="A771" i="13"/>
  <c r="A557" i="13" l="1"/>
  <c r="B558" i="13"/>
  <c r="A666" i="13"/>
  <c r="B667" i="13"/>
  <c r="A448" i="13"/>
  <c r="B449" i="13"/>
  <c r="B342" i="13"/>
  <c r="A341" i="13"/>
  <c r="B773" i="13"/>
  <c r="A772" i="13"/>
  <c r="B884" i="13"/>
  <c r="A883" i="13"/>
  <c r="B450" i="13" l="1"/>
  <c r="A449" i="13"/>
  <c r="B668" i="13"/>
  <c r="A667" i="13"/>
  <c r="B885" i="13"/>
  <c r="A884" i="13"/>
  <c r="A558" i="13"/>
  <c r="B559" i="13"/>
  <c r="B343" i="13"/>
  <c r="A342" i="13"/>
  <c r="A773" i="13"/>
  <c r="B774" i="13"/>
  <c r="A559" i="13" l="1"/>
  <c r="B560" i="13"/>
  <c r="B886" i="13"/>
  <c r="A885" i="13"/>
  <c r="B669" i="13"/>
  <c r="A668" i="13"/>
  <c r="B775" i="13"/>
  <c r="A774" i="13"/>
  <c r="A343" i="13"/>
  <c r="B344" i="13"/>
  <c r="B451" i="13"/>
  <c r="A450" i="13"/>
  <c r="B670" i="13" l="1"/>
  <c r="A669" i="13"/>
  <c r="A775" i="13"/>
  <c r="B776" i="13"/>
  <c r="B452" i="13"/>
  <c r="A451" i="13"/>
  <c r="B887" i="13"/>
  <c r="A886" i="13"/>
  <c r="A344" i="13"/>
  <c r="B345" i="13"/>
  <c r="A560" i="13"/>
  <c r="B561" i="13"/>
  <c r="A452" i="13" l="1"/>
  <c r="B453" i="13"/>
  <c r="A561" i="13"/>
  <c r="B562" i="13"/>
  <c r="A776" i="13"/>
  <c r="B777" i="13"/>
  <c r="B888" i="13"/>
  <c r="A887" i="13"/>
  <c r="B346" i="13"/>
  <c r="A345" i="13"/>
  <c r="B671" i="13"/>
  <c r="A670" i="13"/>
  <c r="A777" i="13" l="1"/>
  <c r="B778" i="13"/>
  <c r="A562" i="13"/>
  <c r="B563" i="13"/>
  <c r="B672" i="13"/>
  <c r="A671" i="13"/>
  <c r="B454" i="13"/>
  <c r="A453" i="13"/>
  <c r="B889" i="13"/>
  <c r="A888" i="13"/>
  <c r="B347" i="13"/>
  <c r="A346" i="13"/>
  <c r="B455" i="13" l="1"/>
  <c r="A454" i="13"/>
  <c r="B673" i="13"/>
  <c r="A672" i="13"/>
  <c r="A563" i="13"/>
  <c r="B564" i="13"/>
  <c r="B779" i="13"/>
  <c r="A778" i="13"/>
  <c r="A347" i="13"/>
  <c r="B348" i="13"/>
  <c r="B890" i="13"/>
  <c r="A889" i="13"/>
  <c r="A564" i="13" l="1"/>
  <c r="B565" i="13"/>
  <c r="B674" i="13"/>
  <c r="A673" i="13"/>
  <c r="B780" i="13"/>
  <c r="A779" i="13"/>
  <c r="A348" i="13"/>
  <c r="B349" i="13"/>
  <c r="B891" i="13"/>
  <c r="A890" i="13"/>
  <c r="B456" i="13"/>
  <c r="A455" i="13"/>
  <c r="B781" i="13" l="1"/>
  <c r="A780" i="13"/>
  <c r="A456" i="13"/>
  <c r="B457" i="13"/>
  <c r="B675" i="13"/>
  <c r="A674" i="13"/>
  <c r="B350" i="13"/>
  <c r="A349" i="13"/>
  <c r="A565" i="13"/>
  <c r="B566" i="13"/>
  <c r="B892" i="13"/>
  <c r="A891" i="13"/>
  <c r="B676" i="13" l="1"/>
  <c r="A675" i="13"/>
  <c r="B458" i="13"/>
  <c r="A457" i="13"/>
  <c r="B351" i="13"/>
  <c r="A350" i="13"/>
  <c r="A566" i="13"/>
  <c r="B567" i="13"/>
  <c r="B893" i="13"/>
  <c r="A892" i="13"/>
  <c r="A781" i="13"/>
  <c r="B782" i="13"/>
  <c r="A567" i="13" l="1"/>
  <c r="B568" i="13"/>
  <c r="A351" i="13"/>
  <c r="B352" i="13"/>
  <c r="B783" i="13"/>
  <c r="A782" i="13"/>
  <c r="B459" i="13"/>
  <c r="A458" i="13"/>
  <c r="B894" i="13"/>
  <c r="A893" i="13"/>
  <c r="B677" i="13"/>
  <c r="A676" i="13"/>
  <c r="B784" i="13" l="1"/>
  <c r="A783" i="13"/>
  <c r="A352" i="13"/>
  <c r="B353" i="13"/>
  <c r="B678" i="13"/>
  <c r="A677" i="13"/>
  <c r="A568" i="13"/>
  <c r="B569" i="13"/>
  <c r="B460" i="13"/>
  <c r="A459" i="13"/>
  <c r="B895" i="13"/>
  <c r="A894" i="13"/>
  <c r="A569" i="13" l="1"/>
  <c r="B570" i="13"/>
  <c r="B679" i="13"/>
  <c r="A678" i="13"/>
  <c r="B354" i="13"/>
  <c r="A353" i="13"/>
  <c r="B896" i="13"/>
  <c r="A895" i="13"/>
  <c r="A460" i="13"/>
  <c r="B461" i="13"/>
  <c r="B785" i="13"/>
  <c r="A784" i="13"/>
  <c r="B355" i="13" l="1"/>
  <c r="A354" i="13"/>
  <c r="A785" i="13"/>
  <c r="B786" i="13"/>
  <c r="B680" i="13"/>
  <c r="A679" i="13"/>
  <c r="B462" i="13"/>
  <c r="A461" i="13"/>
  <c r="A570" i="13"/>
  <c r="B571" i="13"/>
  <c r="B897" i="13"/>
  <c r="A896" i="13"/>
  <c r="A680" i="13" l="1"/>
  <c r="B681" i="13"/>
  <c r="B787" i="13"/>
  <c r="A786" i="13"/>
  <c r="B898" i="13"/>
  <c r="A897" i="13"/>
  <c r="B463" i="13"/>
  <c r="A462" i="13"/>
  <c r="A571" i="13"/>
  <c r="B572" i="13"/>
  <c r="A355" i="13"/>
  <c r="B356" i="13"/>
  <c r="B899" i="13" l="1"/>
  <c r="A898" i="13"/>
  <c r="B464" i="13"/>
  <c r="A463" i="13"/>
  <c r="B788" i="13"/>
  <c r="A787" i="13"/>
  <c r="A572" i="13"/>
  <c r="B573" i="13"/>
  <c r="B682" i="13"/>
  <c r="A681" i="13"/>
  <c r="A356" i="13"/>
  <c r="B357" i="13"/>
  <c r="A573" i="13" l="1"/>
  <c r="B574" i="13"/>
  <c r="B789" i="13"/>
  <c r="A788" i="13"/>
  <c r="A464" i="13"/>
  <c r="B465" i="13"/>
  <c r="B358" i="13"/>
  <c r="A357" i="13"/>
  <c r="A682" i="13"/>
  <c r="B683" i="13"/>
  <c r="B900" i="13"/>
  <c r="A899" i="13"/>
  <c r="B359" i="13" l="1"/>
  <c r="A358" i="13"/>
  <c r="B901" i="13"/>
  <c r="A900" i="13"/>
  <c r="A789" i="13"/>
  <c r="B790" i="13"/>
  <c r="B684" i="13"/>
  <c r="A683" i="13"/>
  <c r="A574" i="13"/>
  <c r="B575" i="13"/>
  <c r="B466" i="13"/>
  <c r="A465" i="13"/>
  <c r="B791" i="13" l="1"/>
  <c r="A790" i="13"/>
  <c r="B685" i="13"/>
  <c r="A684" i="13"/>
  <c r="B902" i="13"/>
  <c r="A901" i="13"/>
  <c r="A575" i="13"/>
  <c r="B576" i="13"/>
  <c r="B467" i="13"/>
  <c r="A466" i="13"/>
  <c r="A359" i="13"/>
  <c r="B360" i="13"/>
  <c r="A576" i="13" l="1"/>
  <c r="B577" i="13"/>
  <c r="B903" i="13"/>
  <c r="A902" i="13"/>
  <c r="B686" i="13"/>
  <c r="A685" i="13"/>
  <c r="A360" i="13"/>
  <c r="B361" i="13"/>
  <c r="B468" i="13"/>
  <c r="A467" i="13"/>
  <c r="A791" i="13"/>
  <c r="B792" i="13"/>
  <c r="B362" i="13" l="1"/>
  <c r="A361" i="13"/>
  <c r="B687" i="13"/>
  <c r="A686" i="13"/>
  <c r="B904" i="13"/>
  <c r="A903" i="13"/>
  <c r="A577" i="13"/>
  <c r="B578" i="13"/>
  <c r="A792" i="13"/>
  <c r="B793" i="13"/>
  <c r="A468" i="13"/>
  <c r="B469" i="13"/>
  <c r="A578" i="13" l="1"/>
  <c r="B579" i="13"/>
  <c r="B905" i="13"/>
  <c r="A904" i="13"/>
  <c r="B688" i="13"/>
  <c r="A687" i="13"/>
  <c r="B470" i="13"/>
  <c r="A469" i="13"/>
  <c r="A793" i="13"/>
  <c r="B794" i="13"/>
  <c r="B363" i="13"/>
  <c r="A362" i="13"/>
  <c r="B689" i="13" l="1"/>
  <c r="A688" i="13"/>
  <c r="A363" i="13"/>
  <c r="B364" i="13"/>
  <c r="B906" i="13"/>
  <c r="A905" i="13"/>
  <c r="B795" i="13"/>
  <c r="A794" i="13"/>
  <c r="A579" i="13"/>
  <c r="B580" i="13"/>
  <c r="B471" i="13"/>
  <c r="A470" i="13"/>
  <c r="B907" i="13" l="1"/>
  <c r="A906" i="13"/>
  <c r="A364" i="13"/>
  <c r="B365" i="13"/>
  <c r="B796" i="13"/>
  <c r="A795" i="13"/>
  <c r="A580" i="13"/>
  <c r="B581" i="13"/>
  <c r="B472" i="13"/>
  <c r="A471" i="13"/>
  <c r="B690" i="13"/>
  <c r="A689" i="13"/>
  <c r="A581" i="13" l="1"/>
  <c r="B582" i="13"/>
  <c r="B797" i="13"/>
  <c r="A796" i="13"/>
  <c r="B366" i="13"/>
  <c r="A365" i="13"/>
  <c r="A690" i="13"/>
  <c r="B691" i="13"/>
  <c r="A472" i="13"/>
  <c r="B473" i="13"/>
  <c r="B908" i="13"/>
  <c r="A907" i="13"/>
  <c r="B692" i="13" l="1"/>
  <c r="A691" i="13"/>
  <c r="B909" i="13"/>
  <c r="A908" i="13"/>
  <c r="A797" i="13"/>
  <c r="B798" i="13"/>
  <c r="B474" i="13"/>
  <c r="A473" i="13"/>
  <c r="A582" i="13"/>
  <c r="B583" i="13"/>
  <c r="B367" i="13"/>
  <c r="A366" i="13"/>
  <c r="A367" i="13" l="1"/>
  <c r="B368" i="13"/>
  <c r="B910" i="13"/>
  <c r="A909" i="13"/>
  <c r="B475" i="13"/>
  <c r="A474" i="13"/>
  <c r="A583" i="13"/>
  <c r="B584" i="13"/>
  <c r="B799" i="13"/>
  <c r="A798" i="13"/>
  <c r="B693" i="13"/>
  <c r="A692" i="13"/>
  <c r="B476" i="13" l="1"/>
  <c r="A475" i="13"/>
  <c r="A584" i="13"/>
  <c r="B585" i="13"/>
  <c r="B694" i="13"/>
  <c r="A693" i="13"/>
  <c r="B911" i="13"/>
  <c r="A910" i="13"/>
  <c r="A368" i="13"/>
  <c r="B369" i="13"/>
  <c r="B800" i="13"/>
  <c r="A799" i="13"/>
  <c r="B695" i="13" l="1"/>
  <c r="A694" i="13"/>
  <c r="A585" i="13"/>
  <c r="B586" i="13"/>
  <c r="B912" i="13"/>
  <c r="A911" i="13"/>
  <c r="B370" i="13"/>
  <c r="A369" i="13"/>
  <c r="B801" i="13"/>
  <c r="A800" i="13"/>
  <c r="A476" i="13"/>
  <c r="B477" i="13"/>
  <c r="B913" i="13" l="1"/>
  <c r="A912" i="13"/>
  <c r="B478" i="13"/>
  <c r="A477" i="13"/>
  <c r="A586" i="13"/>
  <c r="B587" i="13"/>
  <c r="B371" i="13"/>
  <c r="A370" i="13"/>
  <c r="A801" i="13"/>
  <c r="B802" i="13"/>
  <c r="B696" i="13"/>
  <c r="A695" i="13"/>
  <c r="A587" i="13" l="1"/>
  <c r="B588" i="13"/>
  <c r="A696" i="13"/>
  <c r="B697" i="13"/>
  <c r="B479" i="13"/>
  <c r="A478" i="13"/>
  <c r="A371" i="13"/>
  <c r="B372" i="13"/>
  <c r="B803" i="13"/>
  <c r="A802" i="13"/>
  <c r="B914" i="13"/>
  <c r="A913" i="13"/>
  <c r="B480" i="13" l="1"/>
  <c r="A479" i="13"/>
  <c r="A372" i="13"/>
  <c r="B373" i="13"/>
  <c r="B698" i="13"/>
  <c r="A697" i="13"/>
  <c r="A588" i="13"/>
  <c r="B589" i="13"/>
  <c r="B915" i="13"/>
  <c r="A914" i="13"/>
  <c r="B804" i="13"/>
  <c r="A803" i="13"/>
  <c r="A589" i="13" l="1"/>
  <c r="B590" i="13"/>
  <c r="A698" i="13"/>
  <c r="B699" i="13"/>
  <c r="B374" i="13"/>
  <c r="A373" i="13"/>
  <c r="B805" i="13"/>
  <c r="A804" i="13"/>
  <c r="B916" i="13"/>
  <c r="A915" i="13"/>
  <c r="A480" i="13"/>
  <c r="B481" i="13"/>
  <c r="B375" i="13" l="1"/>
  <c r="A374" i="13"/>
  <c r="B482" i="13"/>
  <c r="A481" i="13"/>
  <c r="B700" i="13"/>
  <c r="A699" i="13"/>
  <c r="A805" i="13"/>
  <c r="B806" i="13"/>
  <c r="A590" i="13"/>
  <c r="B591" i="13"/>
  <c r="B917" i="13"/>
  <c r="A916" i="13"/>
  <c r="B701" i="13" l="1"/>
  <c r="A700" i="13"/>
  <c r="B483" i="13"/>
  <c r="A482" i="13"/>
  <c r="A591" i="13"/>
  <c r="B592" i="13"/>
  <c r="B807" i="13"/>
  <c r="A806" i="13"/>
  <c r="B918" i="13"/>
  <c r="A917" i="13"/>
  <c r="A375" i="13"/>
  <c r="B376" i="13"/>
  <c r="A592" i="13" l="1"/>
  <c r="B593" i="13"/>
  <c r="B484" i="13"/>
  <c r="A483" i="13"/>
  <c r="A807" i="13"/>
  <c r="B808" i="13"/>
  <c r="A376" i="13"/>
  <c r="B377" i="13"/>
  <c r="B919" i="13"/>
  <c r="A918" i="13"/>
  <c r="A701" i="13"/>
  <c r="B702" i="13"/>
  <c r="B378" i="13" l="1"/>
  <c r="A377" i="13"/>
  <c r="A808" i="13"/>
  <c r="B809" i="13"/>
  <c r="B485" i="13"/>
  <c r="A484" i="13"/>
  <c r="A593" i="13"/>
  <c r="B594" i="13"/>
  <c r="B703" i="13"/>
  <c r="A702" i="13"/>
  <c r="B920" i="13"/>
  <c r="A919" i="13"/>
  <c r="A594" i="13" l="1"/>
  <c r="B595" i="13"/>
  <c r="B486" i="13"/>
  <c r="A485" i="13"/>
  <c r="A809" i="13"/>
  <c r="B810" i="13"/>
  <c r="B921" i="13"/>
  <c r="A920" i="13"/>
  <c r="B704" i="13"/>
  <c r="A703" i="13"/>
  <c r="B379" i="13"/>
  <c r="A378" i="13"/>
  <c r="B811" i="13" l="1"/>
  <c r="A810" i="13"/>
  <c r="A379" i="13"/>
  <c r="B380" i="13"/>
  <c r="B487" i="13"/>
  <c r="A486" i="13"/>
  <c r="B922" i="13"/>
  <c r="A921" i="13"/>
  <c r="A595" i="13"/>
  <c r="B596" i="13"/>
  <c r="B705" i="13"/>
  <c r="A704" i="13"/>
  <c r="B488" i="13" l="1"/>
  <c r="A487" i="13"/>
  <c r="A380" i="13"/>
  <c r="B381" i="13"/>
  <c r="B706" i="13"/>
  <c r="A705" i="13"/>
  <c r="A596" i="13"/>
  <c r="B597" i="13"/>
  <c r="B923" i="13"/>
  <c r="A922" i="13"/>
  <c r="B812" i="13"/>
  <c r="A811" i="13"/>
  <c r="A706" i="13" l="1"/>
  <c r="B707" i="13"/>
  <c r="B382" i="13"/>
  <c r="A381" i="13"/>
  <c r="A597" i="13"/>
  <c r="B598" i="13"/>
  <c r="B813" i="13"/>
  <c r="A812" i="13"/>
  <c r="B924" i="13"/>
  <c r="A923" i="13"/>
  <c r="B489" i="13"/>
  <c r="A488" i="13"/>
  <c r="A598" i="13" l="1"/>
  <c r="B599" i="13"/>
  <c r="A489" i="13"/>
  <c r="B490" i="13"/>
  <c r="B383" i="13"/>
  <c r="A382" i="13"/>
  <c r="A813" i="13"/>
  <c r="B814" i="13"/>
  <c r="B708" i="13"/>
  <c r="A707" i="13"/>
  <c r="B925" i="13"/>
  <c r="A924" i="13"/>
  <c r="A383" i="13" l="1"/>
  <c r="B384" i="13"/>
  <c r="B815" i="13"/>
  <c r="A814" i="13"/>
  <c r="B491" i="13"/>
  <c r="A490" i="13"/>
  <c r="A599" i="13"/>
  <c r="B600" i="13"/>
  <c r="B926" i="13"/>
  <c r="A925" i="13"/>
  <c r="B709" i="13"/>
  <c r="A708" i="13"/>
  <c r="A600" i="13" l="1"/>
  <c r="B601" i="13"/>
  <c r="B492" i="13"/>
  <c r="A491" i="13"/>
  <c r="B710" i="13"/>
  <c r="A709" i="13"/>
  <c r="B816" i="13"/>
  <c r="A815" i="13"/>
  <c r="A384" i="13"/>
  <c r="B385" i="13"/>
  <c r="B927" i="13"/>
  <c r="A926" i="13"/>
  <c r="B711" i="13" l="1"/>
  <c r="A710" i="13"/>
  <c r="B928" i="13"/>
  <c r="A927" i="13"/>
  <c r="B493" i="13"/>
  <c r="A492" i="13"/>
  <c r="B386" i="13"/>
  <c r="A385" i="13"/>
  <c r="B602" i="13"/>
  <c r="A601" i="13"/>
  <c r="B817" i="13"/>
  <c r="A816" i="13"/>
  <c r="A493" i="13" l="1"/>
  <c r="B494" i="13"/>
  <c r="A817" i="13"/>
  <c r="B818" i="13"/>
  <c r="B929" i="13"/>
  <c r="A928" i="13"/>
  <c r="B387" i="13"/>
  <c r="A386" i="13"/>
  <c r="B603" i="13"/>
  <c r="A602" i="13"/>
  <c r="B712" i="13"/>
  <c r="A711" i="13"/>
  <c r="B930" i="13" l="1"/>
  <c r="A929" i="13"/>
  <c r="B819" i="13"/>
  <c r="A818" i="13"/>
  <c r="A387" i="13"/>
  <c r="B388" i="13"/>
  <c r="A494" i="13"/>
  <c r="B495" i="13"/>
  <c r="A712" i="13"/>
  <c r="B713" i="13"/>
  <c r="B604" i="13"/>
  <c r="A603" i="13"/>
  <c r="B496" i="13" l="1"/>
  <c r="A495" i="13"/>
  <c r="A388" i="13"/>
  <c r="B389" i="13"/>
  <c r="B605" i="13"/>
  <c r="A604" i="13"/>
  <c r="B820" i="13"/>
  <c r="A819" i="13"/>
  <c r="B714" i="13"/>
  <c r="A713" i="13"/>
  <c r="B931" i="13"/>
  <c r="A930" i="13"/>
  <c r="B606" i="13" l="1"/>
  <c r="A605" i="13"/>
  <c r="B390" i="13"/>
  <c r="A389" i="13"/>
  <c r="B932" i="13"/>
  <c r="A931" i="13"/>
  <c r="B821" i="13"/>
  <c r="A820" i="13"/>
  <c r="A714" i="13"/>
  <c r="B715" i="13"/>
  <c r="B497" i="13"/>
  <c r="A496" i="13"/>
  <c r="B933" i="13" l="1"/>
  <c r="A932" i="13"/>
  <c r="B391" i="13"/>
  <c r="A390" i="13"/>
  <c r="B716" i="13"/>
  <c r="A715" i="13"/>
  <c r="A821" i="13"/>
  <c r="B822" i="13"/>
  <c r="B498" i="13"/>
  <c r="A497" i="13"/>
  <c r="B607" i="13"/>
  <c r="A606" i="13"/>
  <c r="B823" i="13" l="1"/>
  <c r="A822" i="13"/>
  <c r="B717" i="13"/>
  <c r="A716" i="13"/>
  <c r="A391" i="13"/>
  <c r="B392" i="13"/>
  <c r="A607" i="13"/>
  <c r="B608" i="13"/>
  <c r="A498" i="13"/>
  <c r="B499" i="13"/>
  <c r="B934" i="13"/>
  <c r="A933" i="13"/>
  <c r="A608" i="13" l="1"/>
  <c r="B609" i="13"/>
  <c r="A392" i="13"/>
  <c r="B393" i="13"/>
  <c r="A717" i="13"/>
  <c r="B718" i="13"/>
  <c r="B500" i="13"/>
  <c r="A499" i="13"/>
  <c r="B935" i="13"/>
  <c r="A934" i="13"/>
  <c r="A823" i="13"/>
  <c r="B824" i="13"/>
  <c r="B719" i="13" l="1"/>
  <c r="A718" i="13"/>
  <c r="A824" i="13"/>
  <c r="B825" i="13"/>
  <c r="B394" i="13"/>
  <c r="A393" i="13"/>
  <c r="B610" i="13"/>
  <c r="A609" i="13"/>
  <c r="B501" i="13"/>
  <c r="A500" i="13"/>
  <c r="B936" i="13"/>
  <c r="A935" i="13"/>
  <c r="B395" i="13" l="1"/>
  <c r="A394" i="13"/>
  <c r="A825" i="13"/>
  <c r="B826" i="13"/>
  <c r="B611" i="13"/>
  <c r="A610" i="13"/>
  <c r="B937" i="13"/>
  <c r="A936" i="13"/>
  <c r="B502" i="13"/>
  <c r="A501" i="13"/>
  <c r="B720" i="13"/>
  <c r="A719" i="13"/>
  <c r="B938" i="13" l="1"/>
  <c r="A937" i="13"/>
  <c r="B612" i="13"/>
  <c r="A611" i="13"/>
  <c r="B827" i="13"/>
  <c r="A826" i="13"/>
  <c r="B721" i="13"/>
  <c r="A720" i="13"/>
  <c r="B503" i="13"/>
  <c r="A502" i="13"/>
  <c r="A395" i="13"/>
  <c r="B396" i="13"/>
  <c r="B828" i="13" l="1"/>
  <c r="A827" i="13"/>
  <c r="B613" i="13"/>
  <c r="A612" i="13"/>
  <c r="B722" i="13"/>
  <c r="A721" i="13"/>
  <c r="A396" i="13"/>
  <c r="B397" i="13"/>
  <c r="A503" i="13"/>
  <c r="B504" i="13"/>
  <c r="B939" i="13"/>
  <c r="A938" i="13"/>
  <c r="B398" i="13" l="1"/>
  <c r="A397" i="13"/>
  <c r="A722" i="13"/>
  <c r="B723" i="13"/>
  <c r="B940" i="13"/>
  <c r="A939" i="13"/>
  <c r="B614" i="13"/>
  <c r="A613" i="13"/>
  <c r="B505" i="13"/>
  <c r="A504" i="13"/>
  <c r="B829" i="13"/>
  <c r="A828" i="13"/>
  <c r="B941" i="13" l="1"/>
  <c r="A940" i="13"/>
  <c r="B724" i="13"/>
  <c r="A723" i="13"/>
  <c r="A614" i="13"/>
  <c r="B615" i="13"/>
  <c r="A829" i="13"/>
  <c r="B830" i="13"/>
  <c r="B506" i="13"/>
  <c r="A505" i="13"/>
  <c r="B399" i="13"/>
  <c r="A398" i="13"/>
  <c r="A615" i="13" l="1"/>
  <c r="B616" i="13"/>
  <c r="B831" i="13"/>
  <c r="A830" i="13"/>
  <c r="B725" i="13"/>
  <c r="A724" i="13"/>
  <c r="A399" i="13"/>
  <c r="B400" i="13"/>
  <c r="B507" i="13"/>
  <c r="A506" i="13"/>
  <c r="B942" i="13"/>
  <c r="A941" i="13"/>
  <c r="A400" i="13" l="1"/>
  <c r="B401" i="13"/>
  <c r="B726" i="13"/>
  <c r="A725" i="13"/>
  <c r="B943" i="13"/>
  <c r="A942" i="13"/>
  <c r="B832" i="13"/>
  <c r="A831" i="13"/>
  <c r="A616" i="13"/>
  <c r="B617" i="13"/>
  <c r="A507" i="13"/>
  <c r="B508" i="13"/>
  <c r="B944" i="13" l="1"/>
  <c r="A943" i="13"/>
  <c r="B727" i="13"/>
  <c r="A726" i="13"/>
  <c r="B833" i="13"/>
  <c r="A832" i="13"/>
  <c r="B509" i="13"/>
  <c r="A508" i="13"/>
  <c r="B618" i="13"/>
  <c r="A617" i="13"/>
  <c r="B402" i="13"/>
  <c r="A401" i="13"/>
  <c r="A833" i="13" l="1"/>
  <c r="B834" i="13"/>
  <c r="B403" i="13"/>
  <c r="A402" i="13"/>
  <c r="B728" i="13"/>
  <c r="A727" i="13"/>
  <c r="A509" i="13"/>
  <c r="B510" i="13"/>
  <c r="B619" i="13"/>
  <c r="A618" i="13"/>
  <c r="B945" i="13"/>
  <c r="A944" i="13"/>
  <c r="B511" i="13" l="1"/>
  <c r="A510" i="13"/>
  <c r="A728" i="13"/>
  <c r="B729" i="13"/>
  <c r="A403" i="13"/>
  <c r="B404" i="13"/>
  <c r="A834" i="13"/>
  <c r="B835" i="13"/>
  <c r="B946" i="13"/>
  <c r="A945" i="13"/>
  <c r="B620" i="13"/>
  <c r="A619" i="13"/>
  <c r="A835" i="13" l="1"/>
  <c r="B836" i="13"/>
  <c r="B730" i="13"/>
  <c r="A729" i="13"/>
  <c r="B621" i="13"/>
  <c r="A620" i="13"/>
  <c r="A404" i="13"/>
  <c r="B405" i="13"/>
  <c r="B947" i="13"/>
  <c r="A946" i="13"/>
  <c r="A511" i="13"/>
  <c r="B512" i="13"/>
  <c r="B406" i="13" l="1"/>
  <c r="A405" i="13"/>
  <c r="B622" i="13"/>
  <c r="A621" i="13"/>
  <c r="B731" i="13"/>
  <c r="A730" i="13"/>
  <c r="B837" i="13"/>
  <c r="A836" i="13"/>
  <c r="B513" i="13"/>
  <c r="A512" i="13"/>
  <c r="B948" i="13"/>
  <c r="A947" i="13"/>
  <c r="B732" i="13" l="1"/>
  <c r="A731" i="13"/>
  <c r="A837" i="13"/>
  <c r="B838" i="13"/>
  <c r="B949" i="13"/>
  <c r="A948" i="13"/>
  <c r="B623" i="13"/>
  <c r="A622" i="13"/>
  <c r="B514" i="13"/>
  <c r="A513" i="13"/>
  <c r="B407" i="13"/>
  <c r="A406" i="13"/>
  <c r="B950" i="13" l="1"/>
  <c r="A950" i="13" s="1"/>
  <c r="A949" i="13"/>
  <c r="A838" i="13"/>
  <c r="B839" i="13"/>
  <c r="A407" i="13"/>
  <c r="B408" i="13"/>
  <c r="B624" i="13"/>
  <c r="A623" i="13"/>
  <c r="B515" i="13"/>
  <c r="A514" i="13"/>
  <c r="B733" i="13"/>
  <c r="A732" i="13"/>
  <c r="A408" i="13" l="1"/>
  <c r="B409" i="13"/>
  <c r="B840" i="13"/>
  <c r="A839" i="13"/>
  <c r="A733" i="13"/>
  <c r="B734" i="13"/>
  <c r="A734" i="13" s="1"/>
  <c r="A624" i="13"/>
  <c r="B625" i="13"/>
  <c r="A515" i="13"/>
  <c r="B516" i="13"/>
  <c r="B626" i="13" l="1"/>
  <c r="A626" i="13" s="1"/>
  <c r="A625" i="13"/>
  <c r="A840" i="13"/>
  <c r="B841" i="13"/>
  <c r="B517" i="13"/>
  <c r="A516" i="13"/>
  <c r="B410" i="13"/>
  <c r="A410" i="13" s="1"/>
  <c r="A409" i="13"/>
  <c r="B518" i="13" l="1"/>
  <c r="A518" i="13" s="1"/>
  <c r="A517" i="13"/>
  <c r="A841" i="13"/>
  <c r="B842" i="13"/>
  <c r="A842" i="13" s="1"/>
  <c r="A27" i="6" l="1"/>
  <c r="F42" i="6"/>
  <c r="F43" i="6"/>
  <c r="B844" i="6"/>
  <c r="B845" i="6" s="1"/>
  <c r="A843" i="6"/>
  <c r="B736" i="6"/>
  <c r="A736" i="6" s="1"/>
  <c r="A735" i="6"/>
  <c r="B628" i="6"/>
  <c r="A628" i="6" s="1"/>
  <c r="A627" i="6"/>
  <c r="B520" i="6"/>
  <c r="B521" i="6" s="1"/>
  <c r="B522" i="6" s="1"/>
  <c r="A519" i="6"/>
  <c r="B412" i="6"/>
  <c r="A411" i="6"/>
  <c r="B304" i="6"/>
  <c r="B305" i="6" s="1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520" i="6" l="1"/>
  <c r="A844" i="6"/>
  <c r="A304" i="6"/>
  <c r="A521" i="6"/>
  <c r="B846" i="6"/>
  <c r="B847" i="6" s="1"/>
  <c r="A845" i="6"/>
  <c r="B523" i="6"/>
  <c r="A523" i="6" s="1"/>
  <c r="A522" i="6"/>
  <c r="B306" i="6"/>
  <c r="A305" i="6"/>
  <c r="B737" i="6"/>
  <c r="B413" i="6"/>
  <c r="A412" i="6"/>
  <c r="B629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2" i="3"/>
  <c r="B264" i="3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1" i="3"/>
  <c r="B372" i="3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8" i="3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5" i="3"/>
  <c r="B586" i="3" s="1"/>
  <c r="B587" i="3"/>
  <c r="B588" i="3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2" i="3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9" i="3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524" i="6" l="1"/>
  <c r="B525" i="6" s="1"/>
  <c r="A846" i="6"/>
  <c r="B848" i="6"/>
  <c r="A847" i="6"/>
  <c r="B414" i="6"/>
  <c r="A413" i="6"/>
  <c r="B738" i="6"/>
  <c r="A737" i="6"/>
  <c r="B630" i="6"/>
  <c r="A629" i="6"/>
  <c r="B307" i="6"/>
  <c r="A306" i="6"/>
  <c r="A524" i="6" l="1"/>
  <c r="A307" i="6"/>
  <c r="B308" i="6"/>
  <c r="A414" i="6"/>
  <c r="B415" i="6"/>
  <c r="B631" i="6"/>
  <c r="A630" i="6"/>
  <c r="B849" i="6"/>
  <c r="A848" i="6"/>
  <c r="A738" i="6"/>
  <c r="B739" i="6"/>
  <c r="B526" i="6"/>
  <c r="A525" i="6"/>
  <c r="B527" i="6" l="1"/>
  <c r="A526" i="6"/>
  <c r="A739" i="6"/>
  <c r="B740" i="6"/>
  <c r="B309" i="6"/>
  <c r="A308" i="6"/>
  <c r="B850" i="6"/>
  <c r="A849" i="6"/>
  <c r="B632" i="6"/>
  <c r="A631" i="6"/>
  <c r="A415" i="6"/>
  <c r="B416" i="6"/>
  <c r="A632" i="6" l="1"/>
  <c r="B633" i="6"/>
  <c r="B528" i="6"/>
  <c r="A527" i="6"/>
  <c r="B851" i="6"/>
  <c r="A850" i="6"/>
  <c r="B310" i="6"/>
  <c r="A309" i="6"/>
  <c r="B417" i="6"/>
  <c r="A416" i="6"/>
  <c r="A740" i="6"/>
  <c r="B741" i="6"/>
  <c r="A528" i="6" l="1"/>
  <c r="B529" i="6"/>
  <c r="B634" i="6"/>
  <c r="A633" i="6"/>
  <c r="B418" i="6"/>
  <c r="A417" i="6"/>
  <c r="B311" i="6"/>
  <c r="A310" i="6"/>
  <c r="B852" i="6"/>
  <c r="A851" i="6"/>
  <c r="A741" i="6"/>
  <c r="B742" i="6"/>
  <c r="B530" i="6" l="1"/>
  <c r="A529" i="6"/>
  <c r="B853" i="6"/>
  <c r="A852" i="6"/>
  <c r="B635" i="6"/>
  <c r="A634" i="6"/>
  <c r="A311" i="6"/>
  <c r="B312" i="6"/>
  <c r="A418" i="6"/>
  <c r="B419" i="6"/>
  <c r="A742" i="6"/>
  <c r="B743" i="6"/>
  <c r="B531" i="6" l="1"/>
  <c r="A530" i="6"/>
  <c r="A312" i="6"/>
  <c r="B313" i="6"/>
  <c r="B420" i="6"/>
  <c r="A419" i="6"/>
  <c r="B636" i="6"/>
  <c r="A635" i="6"/>
  <c r="B854" i="6"/>
  <c r="A853" i="6"/>
  <c r="A743" i="6"/>
  <c r="B744" i="6"/>
  <c r="B855" i="6" l="1"/>
  <c r="A854" i="6"/>
  <c r="B532" i="6"/>
  <c r="A531" i="6"/>
  <c r="A636" i="6"/>
  <c r="B637" i="6"/>
  <c r="B421" i="6"/>
  <c r="A420" i="6"/>
  <c r="A744" i="6"/>
  <c r="B745" i="6"/>
  <c r="B314" i="6"/>
  <c r="A313" i="6"/>
  <c r="A532" i="6" l="1"/>
  <c r="B533" i="6"/>
  <c r="B856" i="6"/>
  <c r="A855" i="6"/>
  <c r="B315" i="6"/>
  <c r="A314" i="6"/>
  <c r="B746" i="6"/>
  <c r="A745" i="6"/>
  <c r="B422" i="6"/>
  <c r="A421" i="6"/>
  <c r="B638" i="6"/>
  <c r="A637" i="6"/>
  <c r="A638" i="6" l="1"/>
  <c r="B639" i="6"/>
  <c r="B857" i="6"/>
  <c r="A856" i="6"/>
  <c r="B534" i="6"/>
  <c r="A533" i="6"/>
  <c r="A422" i="6"/>
  <c r="B423" i="6"/>
  <c r="A746" i="6"/>
  <c r="B747" i="6"/>
  <c r="A315" i="6"/>
  <c r="B316" i="6"/>
  <c r="B858" i="6" l="1"/>
  <c r="A857" i="6"/>
  <c r="A747" i="6"/>
  <c r="B748" i="6"/>
  <c r="B640" i="6"/>
  <c r="A639" i="6"/>
  <c r="A423" i="6"/>
  <c r="B424" i="6"/>
  <c r="B535" i="6"/>
  <c r="A534" i="6"/>
  <c r="A316" i="6"/>
  <c r="B317" i="6"/>
  <c r="B425" i="6" l="1"/>
  <c r="A424" i="6"/>
  <c r="B641" i="6"/>
  <c r="A640" i="6"/>
  <c r="B318" i="6"/>
  <c r="A317" i="6"/>
  <c r="A748" i="6"/>
  <c r="B749" i="6"/>
  <c r="B536" i="6"/>
  <c r="A535" i="6"/>
  <c r="B859" i="6"/>
  <c r="A858" i="6"/>
  <c r="B750" i="6" l="1"/>
  <c r="A749" i="6"/>
  <c r="B426" i="6"/>
  <c r="A425" i="6"/>
  <c r="B319" i="6"/>
  <c r="A318" i="6"/>
  <c r="B537" i="6"/>
  <c r="A536" i="6"/>
  <c r="B860" i="6"/>
  <c r="A859" i="6"/>
  <c r="B642" i="6"/>
  <c r="A641" i="6"/>
  <c r="A750" i="6" l="1"/>
  <c r="B751" i="6"/>
  <c r="A319" i="6"/>
  <c r="B320" i="6"/>
  <c r="B861" i="6"/>
  <c r="A860" i="6"/>
  <c r="A537" i="6"/>
  <c r="B538" i="6"/>
  <c r="B643" i="6"/>
  <c r="A642" i="6"/>
  <c r="A426" i="6"/>
  <c r="B427" i="6"/>
  <c r="B862" i="6" l="1"/>
  <c r="A861" i="6"/>
  <c r="B428" i="6"/>
  <c r="A427" i="6"/>
  <c r="A320" i="6"/>
  <c r="B321" i="6"/>
  <c r="B539" i="6"/>
  <c r="A538" i="6"/>
  <c r="A751" i="6"/>
  <c r="B752" i="6"/>
  <c r="B644" i="6"/>
  <c r="A643" i="6"/>
  <c r="A752" i="6" l="1"/>
  <c r="B753" i="6"/>
  <c r="B863" i="6"/>
  <c r="A862" i="6"/>
  <c r="B540" i="6"/>
  <c r="A539" i="6"/>
  <c r="B322" i="6"/>
  <c r="A321" i="6"/>
  <c r="B645" i="6"/>
  <c r="A644" i="6"/>
  <c r="B429" i="6"/>
  <c r="A428" i="6"/>
  <c r="B646" i="6" l="1"/>
  <c r="A645" i="6"/>
  <c r="B541" i="6"/>
  <c r="A540" i="6"/>
  <c r="B430" i="6"/>
  <c r="A429" i="6"/>
  <c r="B864" i="6"/>
  <c r="A863" i="6"/>
  <c r="B323" i="6"/>
  <c r="A322" i="6"/>
  <c r="B754" i="6"/>
  <c r="A753" i="6"/>
  <c r="B865" i="6" l="1"/>
  <c r="A864" i="6"/>
  <c r="A430" i="6"/>
  <c r="B431" i="6"/>
  <c r="A646" i="6"/>
  <c r="B647" i="6"/>
  <c r="A323" i="6"/>
  <c r="B324" i="6"/>
  <c r="A754" i="6"/>
  <c r="B755" i="6"/>
  <c r="B542" i="6"/>
  <c r="A541" i="6"/>
  <c r="A647" i="6" l="1"/>
  <c r="B648" i="6"/>
  <c r="B432" i="6"/>
  <c r="A431" i="6"/>
  <c r="B325" i="6"/>
  <c r="A324" i="6"/>
  <c r="B543" i="6"/>
  <c r="A542" i="6"/>
  <c r="A755" i="6"/>
  <c r="B756" i="6"/>
  <c r="B866" i="6"/>
  <c r="A865" i="6"/>
  <c r="A756" i="6" l="1"/>
  <c r="B757" i="6"/>
  <c r="B544" i="6"/>
  <c r="A543" i="6"/>
  <c r="B867" i="6"/>
  <c r="A866" i="6"/>
  <c r="B649" i="6"/>
  <c r="A648" i="6"/>
  <c r="B326" i="6"/>
  <c r="A325" i="6"/>
  <c r="B433" i="6"/>
  <c r="A432" i="6"/>
  <c r="B434" i="6" l="1"/>
  <c r="A433" i="6"/>
  <c r="B545" i="6"/>
  <c r="A544" i="6"/>
  <c r="B758" i="6"/>
  <c r="A757" i="6"/>
  <c r="B650" i="6"/>
  <c r="A649" i="6"/>
  <c r="B868" i="6"/>
  <c r="A867" i="6"/>
  <c r="B327" i="6"/>
  <c r="A326" i="6"/>
  <c r="A758" i="6" l="1"/>
  <c r="B759" i="6"/>
  <c r="B546" i="6"/>
  <c r="A545" i="6"/>
  <c r="A327" i="6"/>
  <c r="B328" i="6"/>
  <c r="A650" i="6"/>
  <c r="B651" i="6"/>
  <c r="B869" i="6"/>
  <c r="A868" i="6"/>
  <c r="A434" i="6"/>
  <c r="B435" i="6"/>
  <c r="B547" i="6" l="1"/>
  <c r="A546" i="6"/>
  <c r="A651" i="6"/>
  <c r="B652" i="6"/>
  <c r="B329" i="6"/>
  <c r="A328" i="6"/>
  <c r="B436" i="6"/>
  <c r="A435" i="6"/>
  <c r="A759" i="6"/>
  <c r="B760" i="6"/>
  <c r="B870" i="6"/>
  <c r="A869" i="6"/>
  <c r="B653" i="6" l="1"/>
  <c r="A652" i="6"/>
  <c r="B437" i="6"/>
  <c r="A436" i="6"/>
  <c r="B548" i="6"/>
  <c r="A547" i="6"/>
  <c r="B330" i="6"/>
  <c r="A329" i="6"/>
  <c r="B871" i="6"/>
  <c r="A870" i="6"/>
  <c r="A760" i="6"/>
  <c r="B761" i="6"/>
  <c r="B654" i="6" l="1"/>
  <c r="A653" i="6"/>
  <c r="A548" i="6"/>
  <c r="B549" i="6"/>
  <c r="A761" i="6"/>
  <c r="B762" i="6"/>
  <c r="B872" i="6"/>
  <c r="A871" i="6"/>
  <c r="B331" i="6"/>
  <c r="A330" i="6"/>
  <c r="B438" i="6"/>
  <c r="A437" i="6"/>
  <c r="A762" i="6" l="1"/>
  <c r="B763" i="6"/>
  <c r="B550" i="6"/>
  <c r="A549" i="6"/>
  <c r="B873" i="6"/>
  <c r="A872" i="6"/>
  <c r="A438" i="6"/>
  <c r="B439" i="6"/>
  <c r="A331" i="6"/>
  <c r="B332" i="6"/>
  <c r="B655" i="6"/>
  <c r="A654" i="6"/>
  <c r="A439" i="6" l="1"/>
  <c r="B440" i="6"/>
  <c r="A655" i="6"/>
  <c r="B656" i="6"/>
  <c r="B874" i="6"/>
  <c r="A873" i="6"/>
  <c r="B551" i="6"/>
  <c r="A550" i="6"/>
  <c r="A332" i="6"/>
  <c r="B333" i="6"/>
  <c r="A763" i="6"/>
  <c r="B764" i="6"/>
  <c r="B441" i="6" l="1"/>
  <c r="A440" i="6"/>
  <c r="B875" i="6"/>
  <c r="A874" i="6"/>
  <c r="B552" i="6"/>
  <c r="A551" i="6"/>
  <c r="A764" i="6"/>
  <c r="B765" i="6"/>
  <c r="B657" i="6"/>
  <c r="A656" i="6"/>
  <c r="B334" i="6"/>
  <c r="A333" i="6"/>
  <c r="B766" i="6" l="1"/>
  <c r="A765" i="6"/>
  <c r="B553" i="6"/>
  <c r="A552" i="6"/>
  <c r="B335" i="6"/>
  <c r="A334" i="6"/>
  <c r="B876" i="6"/>
  <c r="A875" i="6"/>
  <c r="B658" i="6"/>
  <c r="A657" i="6"/>
  <c r="B442" i="6"/>
  <c r="A441" i="6"/>
  <c r="B877" i="6" l="1"/>
  <c r="A876" i="6"/>
  <c r="A766" i="6"/>
  <c r="B767" i="6"/>
  <c r="A335" i="6"/>
  <c r="B336" i="6"/>
  <c r="B659" i="6"/>
  <c r="A658" i="6"/>
  <c r="A442" i="6"/>
  <c r="B443" i="6"/>
  <c r="A553" i="6"/>
  <c r="B554" i="6"/>
  <c r="A659" i="6" l="1"/>
  <c r="B660" i="6"/>
  <c r="B337" i="6"/>
  <c r="A336" i="6"/>
  <c r="B555" i="6"/>
  <c r="A554" i="6"/>
  <c r="A767" i="6"/>
  <c r="B768" i="6"/>
  <c r="B444" i="6"/>
  <c r="A443" i="6"/>
  <c r="B878" i="6"/>
  <c r="A877" i="6"/>
  <c r="B338" i="6" l="1"/>
  <c r="A337" i="6"/>
  <c r="A660" i="6"/>
  <c r="B661" i="6"/>
  <c r="B445" i="6"/>
  <c r="A444" i="6"/>
  <c r="A768" i="6"/>
  <c r="B769" i="6"/>
  <c r="B879" i="6"/>
  <c r="A878" i="6"/>
  <c r="B556" i="6"/>
  <c r="A555" i="6"/>
  <c r="A769" i="6" l="1"/>
  <c r="B770" i="6"/>
  <c r="B880" i="6"/>
  <c r="A879" i="6"/>
  <c r="B339" i="6"/>
  <c r="A338" i="6"/>
  <c r="B662" i="6"/>
  <c r="A661" i="6"/>
  <c r="B446" i="6"/>
  <c r="A445" i="6"/>
  <c r="B557" i="6"/>
  <c r="A556" i="6"/>
  <c r="A446" i="6" l="1"/>
  <c r="B447" i="6"/>
  <c r="B663" i="6"/>
  <c r="A662" i="6"/>
  <c r="A339" i="6"/>
  <c r="B340" i="6"/>
  <c r="B558" i="6"/>
  <c r="A557" i="6"/>
  <c r="B881" i="6"/>
  <c r="A880" i="6"/>
  <c r="A770" i="6"/>
  <c r="B771" i="6"/>
  <c r="B882" i="6" l="1"/>
  <c r="A881" i="6"/>
  <c r="B341" i="6"/>
  <c r="A340" i="6"/>
  <c r="B559" i="6"/>
  <c r="A558" i="6"/>
  <c r="B664" i="6"/>
  <c r="A663" i="6"/>
  <c r="A771" i="6"/>
  <c r="B772" i="6"/>
  <c r="A447" i="6"/>
  <c r="B448" i="6"/>
  <c r="B560" i="6" l="1"/>
  <c r="A559" i="6"/>
  <c r="B342" i="6"/>
  <c r="A341" i="6"/>
  <c r="A664" i="6"/>
  <c r="B665" i="6"/>
  <c r="B449" i="6"/>
  <c r="A448" i="6"/>
  <c r="A772" i="6"/>
  <c r="B773" i="6"/>
  <c r="B883" i="6"/>
  <c r="A882" i="6"/>
  <c r="B450" i="6" l="1"/>
  <c r="A449" i="6"/>
  <c r="B884" i="6"/>
  <c r="A883" i="6"/>
  <c r="B343" i="6"/>
  <c r="A342" i="6"/>
  <c r="B666" i="6"/>
  <c r="A665" i="6"/>
  <c r="A773" i="6"/>
  <c r="B774" i="6"/>
  <c r="A560" i="6"/>
  <c r="B561" i="6"/>
  <c r="A561" i="6" s="1"/>
  <c r="B667" i="6" l="1"/>
  <c r="A666" i="6"/>
  <c r="B344" i="6"/>
  <c r="A343" i="6"/>
  <c r="B885" i="6"/>
  <c r="A884" i="6"/>
  <c r="B562" i="6"/>
  <c r="A774" i="6"/>
  <c r="B775" i="6"/>
  <c r="A450" i="6"/>
  <c r="B451" i="6"/>
  <c r="B563" i="6" l="1"/>
  <c r="A562" i="6"/>
  <c r="B886" i="6"/>
  <c r="A885" i="6"/>
  <c r="B345" i="6"/>
  <c r="A344" i="6"/>
  <c r="B452" i="6"/>
  <c r="A451" i="6"/>
  <c r="A775" i="6"/>
  <c r="B776" i="6"/>
  <c r="B668" i="6"/>
  <c r="A667" i="6"/>
  <c r="B453" i="6" l="1"/>
  <c r="A452" i="6"/>
  <c r="A345" i="6"/>
  <c r="B346" i="6"/>
  <c r="B887" i="6"/>
  <c r="A886" i="6"/>
  <c r="A668" i="6"/>
  <c r="B669" i="6"/>
  <c r="A776" i="6"/>
  <c r="B777" i="6"/>
  <c r="B564" i="6"/>
  <c r="A563" i="6"/>
  <c r="B888" i="6" l="1"/>
  <c r="A887" i="6"/>
  <c r="B670" i="6"/>
  <c r="A669" i="6"/>
  <c r="B347" i="6"/>
  <c r="A346" i="6"/>
  <c r="B778" i="6"/>
  <c r="A777" i="6"/>
  <c r="A564" i="6"/>
  <c r="B565" i="6"/>
  <c r="B454" i="6"/>
  <c r="A453" i="6"/>
  <c r="A778" i="6" l="1"/>
  <c r="B779" i="6"/>
  <c r="B671" i="6"/>
  <c r="A670" i="6"/>
  <c r="B348" i="6"/>
  <c r="A347" i="6"/>
  <c r="A454" i="6"/>
  <c r="B455" i="6"/>
  <c r="B566" i="6"/>
  <c r="A565" i="6"/>
  <c r="B889" i="6"/>
  <c r="A888" i="6"/>
  <c r="B456" i="6" l="1"/>
  <c r="A455" i="6"/>
  <c r="B349" i="6"/>
  <c r="A348" i="6"/>
  <c r="B890" i="6"/>
  <c r="A889" i="6"/>
  <c r="B672" i="6"/>
  <c r="A671" i="6"/>
  <c r="A779" i="6"/>
  <c r="B780" i="6"/>
  <c r="B567" i="6"/>
  <c r="A566" i="6"/>
  <c r="B673" i="6" l="1"/>
  <c r="A672" i="6"/>
  <c r="A349" i="6"/>
  <c r="B350" i="6"/>
  <c r="B891" i="6"/>
  <c r="A890" i="6"/>
  <c r="B568" i="6"/>
  <c r="A567" i="6"/>
  <c r="A780" i="6"/>
  <c r="B781" i="6"/>
  <c r="B457" i="6"/>
  <c r="A456" i="6"/>
  <c r="A568" i="6" l="1"/>
  <c r="B569" i="6"/>
  <c r="B892" i="6"/>
  <c r="A891" i="6"/>
  <c r="B351" i="6"/>
  <c r="A350" i="6"/>
  <c r="B458" i="6"/>
  <c r="A457" i="6"/>
  <c r="B782" i="6"/>
  <c r="A781" i="6"/>
  <c r="B674" i="6"/>
  <c r="A673" i="6"/>
  <c r="A458" i="6" l="1"/>
  <c r="B459" i="6"/>
  <c r="B893" i="6"/>
  <c r="A892" i="6"/>
  <c r="A351" i="6"/>
  <c r="B352" i="6"/>
  <c r="A569" i="6"/>
  <c r="B570" i="6"/>
  <c r="B675" i="6"/>
  <c r="A674" i="6"/>
  <c r="A782" i="6"/>
  <c r="B783" i="6"/>
  <c r="B353" i="6" l="1"/>
  <c r="A352" i="6"/>
  <c r="A783" i="6"/>
  <c r="B784" i="6"/>
  <c r="B571" i="6"/>
  <c r="A570" i="6"/>
  <c r="B894" i="6"/>
  <c r="A893" i="6"/>
  <c r="A459" i="6"/>
  <c r="B460" i="6"/>
  <c r="B676" i="6"/>
  <c r="A675" i="6"/>
  <c r="B895" i="6" l="1"/>
  <c r="A894" i="6"/>
  <c r="A784" i="6"/>
  <c r="B785" i="6"/>
  <c r="B572" i="6"/>
  <c r="A571" i="6"/>
  <c r="B677" i="6"/>
  <c r="A676" i="6"/>
  <c r="B461" i="6"/>
  <c r="A460" i="6"/>
  <c r="A353" i="6"/>
  <c r="B354" i="6"/>
  <c r="A572" i="6" l="1"/>
  <c r="B573" i="6"/>
  <c r="B786" i="6"/>
  <c r="A785" i="6"/>
  <c r="B678" i="6"/>
  <c r="A677" i="6"/>
  <c r="A354" i="6"/>
  <c r="B355" i="6"/>
  <c r="B462" i="6"/>
  <c r="A461" i="6"/>
  <c r="B896" i="6"/>
  <c r="A895" i="6"/>
  <c r="A786" i="6" l="1"/>
  <c r="B787" i="6"/>
  <c r="A678" i="6"/>
  <c r="B679" i="6"/>
  <c r="B574" i="6"/>
  <c r="A573" i="6"/>
  <c r="B356" i="6"/>
  <c r="A355" i="6"/>
  <c r="B897" i="6"/>
  <c r="A896" i="6"/>
  <c r="A462" i="6"/>
  <c r="B463" i="6"/>
  <c r="B575" i="6" l="1"/>
  <c r="A574" i="6"/>
  <c r="A679" i="6"/>
  <c r="B680" i="6"/>
  <c r="B464" i="6"/>
  <c r="A463" i="6"/>
  <c r="A787" i="6"/>
  <c r="B788" i="6"/>
  <c r="B357" i="6"/>
  <c r="A356" i="6"/>
  <c r="B898" i="6"/>
  <c r="A897" i="6"/>
  <c r="B465" i="6" l="1"/>
  <c r="A464" i="6"/>
  <c r="B681" i="6"/>
  <c r="A680" i="6"/>
  <c r="A788" i="6"/>
  <c r="B789" i="6"/>
  <c r="B899" i="6"/>
  <c r="A898" i="6"/>
  <c r="A357" i="6"/>
  <c r="B358" i="6"/>
  <c r="B576" i="6"/>
  <c r="A575" i="6"/>
  <c r="B900" i="6" l="1"/>
  <c r="A899" i="6"/>
  <c r="B682" i="6"/>
  <c r="A681" i="6"/>
  <c r="A576" i="6"/>
  <c r="B577" i="6"/>
  <c r="B790" i="6"/>
  <c r="A789" i="6"/>
  <c r="A358" i="6"/>
  <c r="B359" i="6"/>
  <c r="B466" i="6"/>
  <c r="A465" i="6"/>
  <c r="A577" i="6" l="1"/>
  <c r="B578" i="6"/>
  <c r="A790" i="6"/>
  <c r="B791" i="6"/>
  <c r="B683" i="6"/>
  <c r="A682" i="6"/>
  <c r="A466" i="6"/>
  <c r="B467" i="6"/>
  <c r="B360" i="6"/>
  <c r="A359" i="6"/>
  <c r="B901" i="6"/>
  <c r="A900" i="6"/>
  <c r="A467" i="6" l="1"/>
  <c r="B468" i="6"/>
  <c r="A683" i="6"/>
  <c r="B684" i="6"/>
  <c r="A791" i="6"/>
  <c r="B792" i="6"/>
  <c r="B902" i="6"/>
  <c r="A901" i="6"/>
  <c r="B579" i="6"/>
  <c r="A578" i="6"/>
  <c r="B361" i="6"/>
  <c r="A360" i="6"/>
  <c r="B685" i="6" l="1"/>
  <c r="A684" i="6"/>
  <c r="B903" i="6"/>
  <c r="A902" i="6"/>
  <c r="A361" i="6"/>
  <c r="B362" i="6"/>
  <c r="A792" i="6"/>
  <c r="B793" i="6"/>
  <c r="B469" i="6"/>
  <c r="A468" i="6"/>
  <c r="B580" i="6"/>
  <c r="A579" i="6"/>
  <c r="A793" i="6" l="1"/>
  <c r="B794" i="6"/>
  <c r="B904" i="6"/>
  <c r="A903" i="6"/>
  <c r="A580" i="6"/>
  <c r="B581" i="6"/>
  <c r="A362" i="6"/>
  <c r="B363" i="6"/>
  <c r="B470" i="6"/>
  <c r="A469" i="6"/>
  <c r="B686" i="6"/>
  <c r="A685" i="6"/>
  <c r="B364" i="6" l="1"/>
  <c r="A363" i="6"/>
  <c r="B582" i="6"/>
  <c r="A581" i="6"/>
  <c r="B905" i="6"/>
  <c r="A904" i="6"/>
  <c r="A794" i="6"/>
  <c r="B795" i="6"/>
  <c r="B687" i="6"/>
  <c r="A686" i="6"/>
  <c r="A470" i="6"/>
  <c r="B471" i="6"/>
  <c r="B583" i="6" l="1"/>
  <c r="A582" i="6"/>
  <c r="A795" i="6"/>
  <c r="B796" i="6"/>
  <c r="B906" i="6"/>
  <c r="A905" i="6"/>
  <c r="B472" i="6"/>
  <c r="A471" i="6"/>
  <c r="B688" i="6"/>
  <c r="A687" i="6"/>
  <c r="B365" i="6"/>
  <c r="A364" i="6"/>
  <c r="B907" i="6" l="1"/>
  <c r="A906" i="6"/>
  <c r="A472" i="6"/>
  <c r="B473" i="6"/>
  <c r="A796" i="6"/>
  <c r="B797" i="6"/>
  <c r="A365" i="6"/>
  <c r="B366" i="6"/>
  <c r="B689" i="6"/>
  <c r="A688" i="6"/>
  <c r="B584" i="6"/>
  <c r="A583" i="6"/>
  <c r="A366" i="6" l="1"/>
  <c r="B367" i="6"/>
  <c r="B474" i="6"/>
  <c r="A473" i="6"/>
  <c r="B798" i="6"/>
  <c r="A797" i="6"/>
  <c r="A584" i="6"/>
  <c r="B585" i="6"/>
  <c r="B690" i="6"/>
  <c r="A689" i="6"/>
  <c r="B908" i="6"/>
  <c r="A907" i="6"/>
  <c r="B586" i="6" l="1"/>
  <c r="A585" i="6"/>
  <c r="A474" i="6"/>
  <c r="B475" i="6"/>
  <c r="A798" i="6"/>
  <c r="B799" i="6"/>
  <c r="B368" i="6"/>
  <c r="A367" i="6"/>
  <c r="B909" i="6"/>
  <c r="A908" i="6"/>
  <c r="B691" i="6"/>
  <c r="A690" i="6"/>
  <c r="A799" i="6" l="1"/>
  <c r="B800" i="6"/>
  <c r="A475" i="6"/>
  <c r="B476" i="6"/>
  <c r="B369" i="6"/>
  <c r="A368" i="6"/>
  <c r="B692" i="6"/>
  <c r="A691" i="6"/>
  <c r="B910" i="6"/>
  <c r="A909" i="6"/>
  <c r="B587" i="6"/>
  <c r="A586" i="6"/>
  <c r="B693" i="6" l="1"/>
  <c r="A692" i="6"/>
  <c r="A476" i="6"/>
  <c r="B477" i="6"/>
  <c r="A369" i="6"/>
  <c r="B370" i="6"/>
  <c r="A800" i="6"/>
  <c r="B801" i="6"/>
  <c r="B588" i="6"/>
  <c r="A587" i="6"/>
  <c r="B911" i="6"/>
  <c r="A910" i="6"/>
  <c r="B478" i="6" l="1"/>
  <c r="A477" i="6"/>
  <c r="B912" i="6"/>
  <c r="A911" i="6"/>
  <c r="B802" i="6"/>
  <c r="A801" i="6"/>
  <c r="A370" i="6"/>
  <c r="B371" i="6"/>
  <c r="A588" i="6"/>
  <c r="B589" i="6"/>
  <c r="B694" i="6"/>
  <c r="A693" i="6"/>
  <c r="B372" i="6" l="1"/>
  <c r="A371" i="6"/>
  <c r="B913" i="6"/>
  <c r="A912" i="6"/>
  <c r="A802" i="6"/>
  <c r="B803" i="6"/>
  <c r="B695" i="6"/>
  <c r="A694" i="6"/>
  <c r="A589" i="6"/>
  <c r="B590" i="6"/>
  <c r="B479" i="6"/>
  <c r="A478" i="6"/>
  <c r="B696" i="6" l="1"/>
  <c r="A695" i="6"/>
  <c r="B914" i="6"/>
  <c r="A913" i="6"/>
  <c r="A803" i="6"/>
  <c r="B804" i="6"/>
  <c r="A479" i="6"/>
  <c r="B480" i="6"/>
  <c r="B591" i="6"/>
  <c r="A590" i="6"/>
  <c r="B373" i="6"/>
  <c r="A372" i="6"/>
  <c r="A480" i="6" l="1"/>
  <c r="B481" i="6"/>
  <c r="B915" i="6"/>
  <c r="A914" i="6"/>
  <c r="A804" i="6"/>
  <c r="B805" i="6"/>
  <c r="A373" i="6"/>
  <c r="B374" i="6"/>
  <c r="B592" i="6"/>
  <c r="A591" i="6"/>
  <c r="B697" i="6"/>
  <c r="A696" i="6"/>
  <c r="B698" i="6" l="1"/>
  <c r="A697" i="6"/>
  <c r="B916" i="6"/>
  <c r="A915" i="6"/>
  <c r="A374" i="6"/>
  <c r="B375" i="6"/>
  <c r="A805" i="6"/>
  <c r="B806" i="6"/>
  <c r="B482" i="6"/>
  <c r="A481" i="6"/>
  <c r="A592" i="6"/>
  <c r="B593" i="6"/>
  <c r="A806" i="6" l="1"/>
  <c r="B807" i="6"/>
  <c r="A375" i="6"/>
  <c r="B376" i="6"/>
  <c r="B594" i="6"/>
  <c r="A593" i="6"/>
  <c r="B917" i="6"/>
  <c r="A916" i="6"/>
  <c r="B483" i="6"/>
  <c r="A482" i="6"/>
  <c r="B699" i="6"/>
  <c r="A698" i="6"/>
  <c r="B377" i="6" l="1"/>
  <c r="A376" i="6"/>
  <c r="B595" i="6"/>
  <c r="A594" i="6"/>
  <c r="B700" i="6"/>
  <c r="A699" i="6"/>
  <c r="A807" i="6"/>
  <c r="B808" i="6"/>
  <c r="B918" i="6"/>
  <c r="A917" i="6"/>
  <c r="A483" i="6"/>
  <c r="B484" i="6"/>
  <c r="A808" i="6" l="1"/>
  <c r="B809" i="6"/>
  <c r="B701" i="6"/>
  <c r="A700" i="6"/>
  <c r="A484" i="6"/>
  <c r="B485" i="6"/>
  <c r="B596" i="6"/>
  <c r="A595" i="6"/>
  <c r="B919" i="6"/>
  <c r="A918" i="6"/>
  <c r="A377" i="6"/>
  <c r="B378" i="6"/>
  <c r="A596" i="6" l="1"/>
  <c r="B597" i="6"/>
  <c r="A378" i="6"/>
  <c r="B379" i="6"/>
  <c r="B702" i="6"/>
  <c r="A701" i="6"/>
  <c r="B810" i="6"/>
  <c r="A809" i="6"/>
  <c r="A485" i="6"/>
  <c r="B486" i="6"/>
  <c r="B920" i="6"/>
  <c r="A919" i="6"/>
  <c r="B703" i="6" l="1"/>
  <c r="A702" i="6"/>
  <c r="A810" i="6"/>
  <c r="B811" i="6"/>
  <c r="B380" i="6"/>
  <c r="A379" i="6"/>
  <c r="B487" i="6"/>
  <c r="A486" i="6"/>
  <c r="B598" i="6"/>
  <c r="A597" i="6"/>
  <c r="B921" i="6"/>
  <c r="A920" i="6"/>
  <c r="A487" i="6" l="1"/>
  <c r="B488" i="6"/>
  <c r="B381" i="6"/>
  <c r="A380" i="6"/>
  <c r="A811" i="6"/>
  <c r="B812" i="6"/>
  <c r="B922" i="6"/>
  <c r="A921" i="6"/>
  <c r="B599" i="6"/>
  <c r="A598" i="6"/>
  <c r="A703" i="6"/>
  <c r="B704" i="6"/>
  <c r="A812" i="6" l="1"/>
  <c r="B813" i="6"/>
  <c r="B705" i="6"/>
  <c r="A704" i="6"/>
  <c r="A381" i="6"/>
  <c r="B382" i="6"/>
  <c r="A488" i="6"/>
  <c r="B489" i="6"/>
  <c r="B923" i="6"/>
  <c r="A922" i="6"/>
  <c r="B600" i="6"/>
  <c r="A599" i="6"/>
  <c r="A600" i="6" l="1"/>
  <c r="B601" i="6"/>
  <c r="B706" i="6"/>
  <c r="A705" i="6"/>
  <c r="A489" i="6"/>
  <c r="B490" i="6"/>
  <c r="A382" i="6"/>
  <c r="B383" i="6"/>
  <c r="B814" i="6"/>
  <c r="A813" i="6"/>
  <c r="B924" i="6"/>
  <c r="A923" i="6"/>
  <c r="A490" i="6" l="1"/>
  <c r="B491" i="6"/>
  <c r="B925" i="6"/>
  <c r="A924" i="6"/>
  <c r="B384" i="6"/>
  <c r="A383" i="6"/>
  <c r="A601" i="6"/>
  <c r="B602" i="6"/>
  <c r="B707" i="6"/>
  <c r="A706" i="6"/>
  <c r="A814" i="6"/>
  <c r="B815" i="6"/>
  <c r="B603" i="6" l="1"/>
  <c r="A602" i="6"/>
  <c r="B926" i="6"/>
  <c r="A925" i="6"/>
  <c r="B385" i="6"/>
  <c r="A384" i="6"/>
  <c r="A491" i="6"/>
  <c r="B492" i="6"/>
  <c r="A815" i="6"/>
  <c r="B816" i="6"/>
  <c r="B708" i="6"/>
  <c r="A707" i="6"/>
  <c r="B709" i="6" l="1"/>
  <c r="A708" i="6"/>
  <c r="B927" i="6"/>
  <c r="A926" i="6"/>
  <c r="A816" i="6"/>
  <c r="B817" i="6"/>
  <c r="A492" i="6"/>
  <c r="B493" i="6"/>
  <c r="A385" i="6"/>
  <c r="B386" i="6"/>
  <c r="B604" i="6"/>
  <c r="A603" i="6"/>
  <c r="B494" i="6" l="1"/>
  <c r="A493" i="6"/>
  <c r="B818" i="6"/>
  <c r="A817" i="6"/>
  <c r="B928" i="6"/>
  <c r="A927" i="6"/>
  <c r="A604" i="6"/>
  <c r="B605" i="6"/>
  <c r="A386" i="6"/>
  <c r="B387" i="6"/>
  <c r="B710" i="6"/>
  <c r="A709" i="6"/>
  <c r="B606" i="6" l="1"/>
  <c r="A605" i="6"/>
  <c r="B929" i="6"/>
  <c r="A928" i="6"/>
  <c r="A818" i="6"/>
  <c r="B819" i="6"/>
  <c r="B711" i="6"/>
  <c r="A710" i="6"/>
  <c r="B388" i="6"/>
  <c r="A387" i="6"/>
  <c r="B495" i="6"/>
  <c r="A494" i="6"/>
  <c r="B712" i="6" l="1"/>
  <c r="A711" i="6"/>
  <c r="B930" i="6"/>
  <c r="A929" i="6"/>
  <c r="A495" i="6"/>
  <c r="B496" i="6"/>
  <c r="A819" i="6"/>
  <c r="B820" i="6"/>
  <c r="B389" i="6"/>
  <c r="A388" i="6"/>
  <c r="A606" i="6"/>
  <c r="B607" i="6"/>
  <c r="A820" i="6" l="1"/>
  <c r="B821" i="6"/>
  <c r="A496" i="6"/>
  <c r="B497" i="6"/>
  <c r="B931" i="6"/>
  <c r="A930" i="6"/>
  <c r="B608" i="6"/>
  <c r="A607" i="6"/>
  <c r="A389" i="6"/>
  <c r="B390" i="6"/>
  <c r="B713" i="6"/>
  <c r="A712" i="6"/>
  <c r="B932" i="6" l="1"/>
  <c r="A931" i="6"/>
  <c r="B822" i="6"/>
  <c r="A821" i="6"/>
  <c r="A608" i="6"/>
  <c r="B609" i="6"/>
  <c r="B498" i="6"/>
  <c r="A497" i="6"/>
  <c r="B714" i="6"/>
  <c r="A713" i="6"/>
  <c r="A390" i="6"/>
  <c r="B391" i="6"/>
  <c r="A609" i="6" l="1"/>
  <c r="B610" i="6"/>
  <c r="A822" i="6"/>
  <c r="B823" i="6"/>
  <c r="B499" i="6"/>
  <c r="A498" i="6"/>
  <c r="B392" i="6"/>
  <c r="A391" i="6"/>
  <c r="B715" i="6"/>
  <c r="A714" i="6"/>
  <c r="B933" i="6"/>
  <c r="A932" i="6"/>
  <c r="A499" i="6" l="1"/>
  <c r="B500" i="6"/>
  <c r="A823" i="6"/>
  <c r="B824" i="6"/>
  <c r="A610" i="6"/>
  <c r="B611" i="6"/>
  <c r="B393" i="6"/>
  <c r="A392" i="6"/>
  <c r="B934" i="6"/>
  <c r="A933" i="6"/>
  <c r="A715" i="6"/>
  <c r="B716" i="6"/>
  <c r="A824" i="6" l="1"/>
  <c r="B825" i="6"/>
  <c r="B612" i="6"/>
  <c r="A611" i="6"/>
  <c r="B717" i="6"/>
  <c r="A716" i="6"/>
  <c r="A500" i="6"/>
  <c r="B501" i="6"/>
  <c r="A393" i="6"/>
  <c r="B394" i="6"/>
  <c r="B935" i="6"/>
  <c r="A934" i="6"/>
  <c r="B718" i="6" l="1"/>
  <c r="A717" i="6"/>
  <c r="A501" i="6"/>
  <c r="B502" i="6"/>
  <c r="B613" i="6"/>
  <c r="A612" i="6"/>
  <c r="A394" i="6"/>
  <c r="B395" i="6"/>
  <c r="A825" i="6"/>
  <c r="B826" i="6"/>
  <c r="B936" i="6"/>
  <c r="A935" i="6"/>
  <c r="B503" i="6" l="1"/>
  <c r="A502" i="6"/>
  <c r="B396" i="6"/>
  <c r="A395" i="6"/>
  <c r="A613" i="6"/>
  <c r="B614" i="6"/>
  <c r="B937" i="6"/>
  <c r="A936" i="6"/>
  <c r="A826" i="6"/>
  <c r="B827" i="6"/>
  <c r="B719" i="6"/>
  <c r="A718" i="6"/>
  <c r="B938" i="6" l="1"/>
  <c r="A937" i="6"/>
  <c r="B397" i="6"/>
  <c r="A396" i="6"/>
  <c r="A614" i="6"/>
  <c r="B615" i="6"/>
  <c r="B720" i="6"/>
  <c r="A719" i="6"/>
  <c r="A827" i="6"/>
  <c r="B828" i="6"/>
  <c r="A503" i="6"/>
  <c r="B504" i="6"/>
  <c r="B721" i="6" l="1"/>
  <c r="A720" i="6"/>
  <c r="A397" i="6"/>
  <c r="B398" i="6"/>
  <c r="A504" i="6"/>
  <c r="B505" i="6"/>
  <c r="A615" i="6"/>
  <c r="B616" i="6"/>
  <c r="A828" i="6"/>
  <c r="B829" i="6"/>
  <c r="B939" i="6"/>
  <c r="A938" i="6"/>
  <c r="A398" i="6" l="1"/>
  <c r="B399" i="6"/>
  <c r="B940" i="6"/>
  <c r="A939" i="6"/>
  <c r="B617" i="6"/>
  <c r="A616" i="6"/>
  <c r="A505" i="6"/>
  <c r="B506" i="6"/>
  <c r="B830" i="6"/>
  <c r="A829" i="6"/>
  <c r="B722" i="6"/>
  <c r="A721" i="6"/>
  <c r="B723" i="6" l="1"/>
  <c r="A722" i="6"/>
  <c r="B941" i="6"/>
  <c r="A940" i="6"/>
  <c r="B618" i="6"/>
  <c r="A617" i="6"/>
  <c r="A399" i="6"/>
  <c r="B400" i="6"/>
  <c r="A506" i="6"/>
  <c r="B507" i="6"/>
  <c r="A830" i="6"/>
  <c r="B831" i="6"/>
  <c r="A618" i="6" l="1"/>
  <c r="B619" i="6"/>
  <c r="A831" i="6"/>
  <c r="B832" i="6"/>
  <c r="B401" i="6"/>
  <c r="A400" i="6"/>
  <c r="B942" i="6"/>
  <c r="A941" i="6"/>
  <c r="A507" i="6"/>
  <c r="B508" i="6"/>
  <c r="B724" i="6"/>
  <c r="A723" i="6"/>
  <c r="A401" i="6" l="1"/>
  <c r="B402" i="6"/>
  <c r="A832" i="6"/>
  <c r="B833" i="6"/>
  <c r="A508" i="6"/>
  <c r="B509" i="6"/>
  <c r="B620" i="6"/>
  <c r="A619" i="6"/>
  <c r="B943" i="6"/>
  <c r="A942" i="6"/>
  <c r="B725" i="6"/>
  <c r="A724" i="6"/>
  <c r="B510" i="6" l="1"/>
  <c r="A509" i="6"/>
  <c r="A402" i="6"/>
  <c r="B403" i="6"/>
  <c r="B621" i="6"/>
  <c r="A620" i="6"/>
  <c r="A833" i="6"/>
  <c r="B834" i="6"/>
  <c r="B726" i="6"/>
  <c r="A725" i="6"/>
  <c r="B944" i="6"/>
  <c r="A943" i="6"/>
  <c r="B404" i="6" l="1"/>
  <c r="A403" i="6"/>
  <c r="B945" i="6"/>
  <c r="A944" i="6"/>
  <c r="A834" i="6"/>
  <c r="B835" i="6"/>
  <c r="B622" i="6"/>
  <c r="A621" i="6"/>
  <c r="B727" i="6"/>
  <c r="A726" i="6"/>
  <c r="B511" i="6"/>
  <c r="A510" i="6"/>
  <c r="B946" i="6" l="1"/>
  <c r="A945" i="6"/>
  <c r="A835" i="6"/>
  <c r="B836" i="6"/>
  <c r="A622" i="6"/>
  <c r="B623" i="6"/>
  <c r="A511" i="6"/>
  <c r="B512" i="6"/>
  <c r="B728" i="6"/>
  <c r="A727" i="6"/>
  <c r="B405" i="6"/>
  <c r="A404" i="6"/>
  <c r="A512" i="6" l="1"/>
  <c r="B513" i="6"/>
  <c r="A836" i="6"/>
  <c r="B837" i="6"/>
  <c r="A405" i="6"/>
  <c r="B406" i="6"/>
  <c r="A623" i="6"/>
  <c r="B624" i="6"/>
  <c r="B729" i="6"/>
  <c r="A728" i="6"/>
  <c r="B947" i="6"/>
  <c r="A946" i="6"/>
  <c r="A406" i="6" l="1"/>
  <c r="B407" i="6"/>
  <c r="A624" i="6"/>
  <c r="B625" i="6"/>
  <c r="B948" i="6"/>
  <c r="A947" i="6"/>
  <c r="B514" i="6"/>
  <c r="A513" i="6"/>
  <c r="A837" i="6"/>
  <c r="B838" i="6"/>
  <c r="B730" i="6"/>
  <c r="A729" i="6"/>
  <c r="B949" i="6" l="1"/>
  <c r="A948" i="6"/>
  <c r="B626" i="6"/>
  <c r="A626" i="6" s="1"/>
  <c r="A625" i="6"/>
  <c r="B515" i="6"/>
  <c r="A514" i="6"/>
  <c r="A838" i="6"/>
  <c r="B839" i="6"/>
  <c r="B408" i="6"/>
  <c r="A407" i="6"/>
  <c r="B731" i="6"/>
  <c r="A730" i="6"/>
  <c r="A839" i="6" l="1"/>
  <c r="B840" i="6"/>
  <c r="A515" i="6"/>
  <c r="B516" i="6"/>
  <c r="B732" i="6"/>
  <c r="A731" i="6"/>
  <c r="B409" i="6"/>
  <c r="A408" i="6"/>
  <c r="B950" i="6"/>
  <c r="A950" i="6" s="1"/>
  <c r="A949" i="6"/>
  <c r="A409" i="6" l="1"/>
  <c r="B410" i="6"/>
  <c r="A410" i="6" s="1"/>
  <c r="B733" i="6"/>
  <c r="A732" i="6"/>
  <c r="A840" i="6"/>
  <c r="B841" i="6"/>
  <c r="A516" i="6"/>
  <c r="B517" i="6"/>
  <c r="A517" i="6" l="1"/>
  <c r="B518" i="6"/>
  <c r="A518" i="6" s="1"/>
  <c r="B734" i="6"/>
  <c r="A734" i="6" s="1"/>
  <c r="A733" i="6"/>
  <c r="A841" i="6"/>
  <c r="B842" i="6"/>
  <c r="A84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308FB-4A60-4AC1-9725-46A8F51AF0AA}" keepAlive="1" name="Query - cr_2017_answer_map" description="Connection to the 'cr_2017_answer_map' query in the workbook." type="5" refreshedVersion="7" background="1" saveData="1">
    <dbPr connection="Provider=Microsoft.Mashup.OleDb.1;Data Source=$Workbook$;Location=cr_2017_answer_map;Extended Properties=&quot;&quot;" command="SELECT * FROM [cr_2017_answer_map]"/>
  </connection>
  <connection id="2" xr16:uid="{1A1EE3BF-31C0-4107-B260-DD3A20584772}" keepAlive="1" name="Query - cr_2017_answer_map (2)" description="Connection to the 'cr_2017_answer_map (2)' query in the workbook." type="5" refreshedVersion="7" background="1" saveData="1">
    <dbPr connection="Provider=Microsoft.Mashup.OleDb.1;Data Source=$Workbook$;Location=&quot;cr_2017_answer_map (2)&quot;;Extended Properties=&quot;&quot;" command="SELECT * FROM [cr_2017_answer_map (2)]"/>
  </connection>
  <connection id="3" xr16:uid="{A5DE40D8-0FA9-4FF3-AEFA-B6EF2D4C3FE9}" keepAlive="1" name="Query - cr_2017_question_map4" description="Connection to the 'cr_2017_question_map4' query in the workbook." type="5" refreshedVersion="8" background="1" saveData="1">
    <dbPr connection="Provider=Microsoft.Mashup.OleDb.1;Data Source=$Workbook$;Location=cr_2017_question_map4;Extended Properties=&quot;&quot;" command="SELECT * FROM [cr_2017_question_map4]"/>
  </connection>
</connections>
</file>

<file path=xl/sharedStrings.xml><?xml version="1.0" encoding="utf-8"?>
<sst xmlns="http://schemas.openxmlformats.org/spreadsheetml/2006/main" count="38193" uniqueCount="4965">
  <si>
    <t>Column</t>
  </si>
  <si>
    <t>suffix</t>
  </si>
  <si>
    <t>Original Column</t>
  </si>
  <si>
    <t>Format</t>
  </si>
  <si>
    <t>QuestionText</t>
  </si>
  <si>
    <t>Surveycode</t>
  </si>
  <si>
    <t>SAMPLE</t>
  </si>
  <si>
    <t>Association (Sample)</t>
  </si>
  <si>
    <t>Association (from Sample)</t>
  </si>
  <si>
    <t>Company (Sample)</t>
  </si>
  <si>
    <t>Company (from Sample)</t>
  </si>
  <si>
    <t>REGION</t>
  </si>
  <si>
    <t>HIDDEN</t>
  </si>
  <si>
    <t>Eligible 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</si>
  <si>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</si>
  <si>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</si>
  <si>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</si>
  <si>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</si>
  <si>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</si>
  <si>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</si>
  <si>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</si>
  <si>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</si>
  <si>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</si>
  <si>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</si>
  <si>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</si>
  <si>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</si>
  <si>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</si>
  <si>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SYSTEM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</si>
  <si>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</si>
  <si>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</si>
  <si>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</si>
  <si>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</si>
  <si>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</si>
  <si>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</si>
  <si>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</si>
  <si>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</si>
  <si>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SurveyYear</t>
  </si>
  <si>
    <t>qName</t>
  </si>
  <si>
    <t>TEXT</t>
  </si>
  <si>
    <t>Respondent Name</t>
  </si>
  <si>
    <t>qCompany</t>
  </si>
  <si>
    <t>Company</t>
  </si>
  <si>
    <t>qJobtitle</t>
  </si>
  <si>
    <t>Job title</t>
  </si>
  <si>
    <t>qEmail</t>
  </si>
  <si>
    <t>Email address</t>
  </si>
  <si>
    <t>qTelephone</t>
  </si>
  <si>
    <t>Contact Number</t>
  </si>
  <si>
    <t>qCountry</t>
  </si>
  <si>
    <t>Country of Origin Global Head Office</t>
  </si>
  <si>
    <t>qCurrency</t>
  </si>
  <si>
    <t>SELECT</t>
  </si>
  <si>
    <t>Currency</t>
  </si>
  <si>
    <t>qCurrencyOther</t>
  </si>
  <si>
    <t>Currency (OTHER)</t>
  </si>
  <si>
    <t>q1</t>
  </si>
  <si>
    <t>SINGLE</t>
  </si>
  <si>
    <t>q2</t>
  </si>
  <si>
    <t>If no, please state select one of the following reasons:</t>
  </si>
  <si>
    <t>q2other</t>
  </si>
  <si>
    <t>If no, please state select one of the following reasons: (Other)</t>
  </si>
  <si>
    <t>q3A_TotalRealEstate</t>
  </si>
  <si>
    <t>CURRENCY</t>
  </si>
  <si>
    <t>Total real estate (million)</t>
  </si>
  <si>
    <t>q3A_NonListedRealEstate</t>
  </si>
  <si>
    <t>Non-listed real estate (million</t>
  </si>
  <si>
    <t>q3B_TotalRealEstate</t>
  </si>
  <si>
    <t>q3B_NonListedRealEstate</t>
  </si>
  <si>
    <t>Non-listed real estate (million)</t>
  </si>
  <si>
    <t>q31_1</t>
  </si>
  <si>
    <t>Asia Pacific strategy - Non-listed/ commingled real estate funds/private REITs</t>
  </si>
  <si>
    <t>q31_2</t>
  </si>
  <si>
    <t>Asia Pacific strategy - Separate accounts investing directly into real estate</t>
  </si>
  <si>
    <t>q31_3</t>
  </si>
  <si>
    <t>Asia Pacific strategy - Separate accounts investing into indirect vehicles</t>
  </si>
  <si>
    <t>q31_4</t>
  </si>
  <si>
    <t>Asia Pacific strategy - Joint ventures and club deals</t>
  </si>
  <si>
    <t>q31_5</t>
  </si>
  <si>
    <t>Asia Pacific strategy - Funds of funds</t>
  </si>
  <si>
    <t>q31_6</t>
  </si>
  <si>
    <t>Asia Pacific strategy - Non-listed debt products</t>
  </si>
  <si>
    <t>q3ROW1_hidden</t>
  </si>
  <si>
    <t>Asia Pacific strategy TOTAL</t>
  </si>
  <si>
    <t>q32_1</t>
  </si>
  <si>
    <t>European strategy - Non-listed/ commingled real estate funds/private REITs</t>
  </si>
  <si>
    <t>q32_2</t>
  </si>
  <si>
    <t>European strategy - Separate accounts investing directly into real estate</t>
  </si>
  <si>
    <t>q32_3</t>
  </si>
  <si>
    <t>European strategy - Separate accounts investing into indirect vehicles</t>
  </si>
  <si>
    <t>q32_4</t>
  </si>
  <si>
    <t>European strategy - Joint ventures and club deals</t>
  </si>
  <si>
    <t>q32_5</t>
  </si>
  <si>
    <t>European strategy - Funds of funds</t>
  </si>
  <si>
    <t>q32_6</t>
  </si>
  <si>
    <t>European strategy - Non-listed debt products</t>
  </si>
  <si>
    <t>q3ROW2_hidden</t>
  </si>
  <si>
    <t>European strategy TOTAL</t>
  </si>
  <si>
    <t>q33_1</t>
  </si>
  <si>
    <t>North American strategy - Non-listed/ commingled real estate funds/private REITs</t>
  </si>
  <si>
    <t>q33_2</t>
  </si>
  <si>
    <t>North American strategy - Separate accounts investing directly into real estate</t>
  </si>
  <si>
    <t>q33_3</t>
  </si>
  <si>
    <t>North American strategy - Separate accounts investing into indirect vehicles</t>
  </si>
  <si>
    <t>q33_4</t>
  </si>
  <si>
    <t>North American strategy - Joint ventures and club deals</t>
  </si>
  <si>
    <t>q33_5</t>
  </si>
  <si>
    <t>North American strategy - Funds of funds</t>
  </si>
  <si>
    <t>q33_6</t>
  </si>
  <si>
    <t>North American strategy - Non-listed debt products</t>
  </si>
  <si>
    <t>q3ROW3_hidden</t>
  </si>
  <si>
    <t>North American strategy TOTAL</t>
  </si>
  <si>
    <t>q34_1</t>
  </si>
  <si>
    <t>Global strategy - Non-listed/ commingled real estate funds/private REITs</t>
  </si>
  <si>
    <t>q34_2</t>
  </si>
  <si>
    <t>Global strategy - Separate accounts investing directly into real estate</t>
  </si>
  <si>
    <t>q34_3</t>
  </si>
  <si>
    <t>Global strategy - Separate accounts investing into indirect vehicles</t>
  </si>
  <si>
    <t>q34_4</t>
  </si>
  <si>
    <t>Global strategy - Joint ventures and club deals</t>
  </si>
  <si>
    <t>q34_5</t>
  </si>
  <si>
    <t>Global strategy - Funds of funds</t>
  </si>
  <si>
    <t>q34_6</t>
  </si>
  <si>
    <t>Global strategy - Non-listed debt products</t>
  </si>
  <si>
    <t>q3ROW4_hidden</t>
  </si>
  <si>
    <t>Global strategy TOTAL</t>
  </si>
  <si>
    <t>q35_1</t>
  </si>
  <si>
    <t>South American strategy - Non-listed/ commingled real estate funds/private REITs</t>
  </si>
  <si>
    <t>q35_2</t>
  </si>
  <si>
    <t>South American strategy - Separate accounts investing directly into real estate</t>
  </si>
  <si>
    <t>q35_3</t>
  </si>
  <si>
    <t>South American strategy - Separate accounts investing into indirect vehicles</t>
  </si>
  <si>
    <t>q35_4</t>
  </si>
  <si>
    <t>South American strategy - Joint ventures and club deals</t>
  </si>
  <si>
    <t>q35_5</t>
  </si>
  <si>
    <t>South American strategy - Funds of funds</t>
  </si>
  <si>
    <t>q35_6</t>
  </si>
  <si>
    <t>South American strategy - Non-listed debt products</t>
  </si>
  <si>
    <t>q3ROW5_hidden</t>
  </si>
  <si>
    <t>South American strategy TOTAL</t>
  </si>
  <si>
    <t>q36_1</t>
  </si>
  <si>
    <t>African strategy - Non-listed/ commingled real estate funds/private REITs</t>
  </si>
  <si>
    <t>q36_2</t>
  </si>
  <si>
    <t>African strategy - Separate accounts investing directly into real estate</t>
  </si>
  <si>
    <t>q36_3</t>
  </si>
  <si>
    <t>African strategy - Separate accounts investing into indirect vehicles</t>
  </si>
  <si>
    <t>q36_4</t>
  </si>
  <si>
    <t>African strategy - Joint ventures and club deals</t>
  </si>
  <si>
    <t>q36_5</t>
  </si>
  <si>
    <t>African strategy - Funds of funds</t>
  </si>
  <si>
    <t>q36_6</t>
  </si>
  <si>
    <t>African strategy - Non-listed debt products</t>
  </si>
  <si>
    <t>q3ROW6_hidden</t>
  </si>
  <si>
    <t>African strategy TOTAL</t>
  </si>
  <si>
    <t>q3COL1_hidden</t>
  </si>
  <si>
    <t>Non-listed/ commingled real estate funds/private REITs TOTAL</t>
  </si>
  <si>
    <t>q3COL2_hidden</t>
  </si>
  <si>
    <t>Separate accounts investing directly into real estate TOTAL</t>
  </si>
  <si>
    <t>q3COL3_hidden</t>
  </si>
  <si>
    <t>Separate accounts investing into indirect vehicles TOTAL</t>
  </si>
  <si>
    <t>q3COL4_hidden</t>
  </si>
  <si>
    <t>Joint ventures and club deals TOTAL</t>
  </si>
  <si>
    <t>q3COL5_hidden</t>
  </si>
  <si>
    <t>Funds of funds TOTAL</t>
  </si>
  <si>
    <t>q3COL6_hidden</t>
  </si>
  <si>
    <t>Non-listed debt products TOTAL</t>
  </si>
  <si>
    <t>q3GRANDTotal_hidden</t>
  </si>
  <si>
    <t>q41_1</t>
  </si>
  <si>
    <t>NUMBER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</si>
  <si>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</si>
  <si>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</si>
  <si>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</si>
  <si>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</si>
  <si>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</si>
  <si>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</si>
  <si>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</si>
  <si>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</si>
  <si>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</si>
  <si>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</si>
  <si>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</si>
  <si>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</si>
  <si>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</si>
  <si>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</si>
  <si>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</si>
  <si>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</si>
  <si>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</si>
  <si>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</si>
  <si>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</si>
  <si>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</si>
  <si>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</si>
  <si>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</si>
  <si>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</si>
  <si>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</si>
  <si>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</si>
  <si>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</si>
  <si>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</si>
  <si>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</si>
  <si>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</si>
  <si>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</si>
  <si>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</si>
  <si>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</si>
  <si>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</si>
  <si>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</si>
  <si>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</si>
  <si>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</si>
  <si>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</si>
  <si>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</si>
  <si>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</si>
  <si>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</si>
  <si>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</si>
  <si>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</si>
  <si>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</si>
  <si>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</si>
  <si>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</si>
  <si>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</si>
  <si>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</si>
  <si>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</si>
  <si>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</si>
  <si>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IGNORE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</si>
  <si>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</si>
  <si>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</si>
  <si>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</si>
  <si>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</si>
  <si>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</si>
  <si>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</si>
  <si>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</si>
  <si>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</si>
  <si>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</si>
  <si>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</si>
  <si>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</si>
  <si>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</si>
  <si>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</si>
  <si>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</si>
  <si>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</si>
  <si>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</si>
  <si>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</si>
  <si>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</si>
  <si>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</si>
  <si>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</si>
  <si>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</si>
  <si>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</si>
  <si>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</si>
  <si>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</si>
  <si>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</si>
  <si>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</si>
  <si>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</si>
  <si>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</si>
  <si>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</si>
  <si>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</si>
  <si>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</si>
  <si>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</si>
  <si>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</si>
  <si>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</si>
  <si>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</si>
  <si>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</si>
  <si>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Pension funds - Non-listed/ commingled real estate funds/private REITs</t>
  </si>
  <si>
    <t>q51_2</t>
  </si>
  <si>
    <t>Pension funds - Separate accounts investing directly into real estate</t>
  </si>
  <si>
    <t>q51_3</t>
  </si>
  <si>
    <t>Pension funds - Separate accounts investing into indirect vehicles</t>
  </si>
  <si>
    <t>q51_4</t>
  </si>
  <si>
    <t>Pension funds - Joint ventures and club deals</t>
  </si>
  <si>
    <t>q51_5</t>
  </si>
  <si>
    <t>Pension funds - Funds of funds</t>
  </si>
  <si>
    <t>q51_6</t>
  </si>
  <si>
    <t>Pension funds - Non-listed debt products</t>
  </si>
  <si>
    <t>q5ROW1_hidden</t>
  </si>
  <si>
    <t>Pension funds TOTAL</t>
  </si>
  <si>
    <t>q52_1</t>
  </si>
  <si>
    <t>Insurance companies - Non-listed/ commingled real estate funds/private REITs</t>
  </si>
  <si>
    <t>q52_2</t>
  </si>
  <si>
    <t>Insurance companies - Separate accounts investing directly into real estate</t>
  </si>
  <si>
    <t>q52_3</t>
  </si>
  <si>
    <t>Insurance companies - Separate accounts investing into indirect vehicles</t>
  </si>
  <si>
    <t>q52_4</t>
  </si>
  <si>
    <t>Insurance companies - Joint ventures and club deals</t>
  </si>
  <si>
    <t>q52_5</t>
  </si>
  <si>
    <t>Insurance companies - Funds of funds</t>
  </si>
  <si>
    <t>q52_6</t>
  </si>
  <si>
    <t>Insurance companies - Non-listed debt products</t>
  </si>
  <si>
    <t>q5ROW2_hidden</t>
  </si>
  <si>
    <t>Insurance companies TOTAL</t>
  </si>
  <si>
    <t>q53_1</t>
  </si>
  <si>
    <t>Sovereign wealth funds - Non-listed/ commingled real estate funds/private REITs</t>
  </si>
  <si>
    <t>q53_2</t>
  </si>
  <si>
    <t>Sovereign wealth funds - Separate accounts investing directly into real estate</t>
  </si>
  <si>
    <t>q53_3</t>
  </si>
  <si>
    <t>Sovereign wealth funds - Separate accounts investing into indirect vehicles</t>
  </si>
  <si>
    <t>q53_4</t>
  </si>
  <si>
    <t>Sovereign wealth funds - Joint ventures and club deals</t>
  </si>
  <si>
    <t>q53_5</t>
  </si>
  <si>
    <t>Sovereign wealth funds - Funds of funds</t>
  </si>
  <si>
    <t>q53_6</t>
  </si>
  <si>
    <t>Sovereign wealth funds - Non-listed debt products</t>
  </si>
  <si>
    <t>q5ROW3_hidden</t>
  </si>
  <si>
    <t>Sovereign wealth funds TOTAL</t>
  </si>
  <si>
    <t>q54_1</t>
  </si>
  <si>
    <t>Government institutions - Non-listed/ commingled real estate funds/private REITs</t>
  </si>
  <si>
    <t>q54_2</t>
  </si>
  <si>
    <t>Government institutions - Separate accounts investing directly into real estate</t>
  </si>
  <si>
    <t>q54_3</t>
  </si>
  <si>
    <t>Government institutions - Separate accounts investing into indirect vehicles</t>
  </si>
  <si>
    <t>q54_4</t>
  </si>
  <si>
    <t>Government institutions - Joint ventures and club deals</t>
  </si>
  <si>
    <t>q54_5</t>
  </si>
  <si>
    <t>Government institutions - Funds of funds</t>
  </si>
  <si>
    <t>q54_6</t>
  </si>
  <si>
    <t>Government institutions - Non-listed debt products</t>
  </si>
  <si>
    <t>q5ROW4_hidden</t>
  </si>
  <si>
    <t>Government institutions TOTAL</t>
  </si>
  <si>
    <t>q55_1</t>
  </si>
  <si>
    <t>Charities, foundations, non-profit organisations - Non-listed/ commingled real estate funds/private REITs</t>
  </si>
  <si>
    <t>q55_2</t>
  </si>
  <si>
    <t>Charities, foundations, non-profit organisations - Separate accounts investing directly into real estate</t>
  </si>
  <si>
    <t>q55_3</t>
  </si>
  <si>
    <t>Charities, foundations, non-profit organisations - Separate accounts investing into indirect vehicles</t>
  </si>
  <si>
    <t>q55_4</t>
  </si>
  <si>
    <t>Charities, foundations, non-profit organisations - Joint ventures and club deals</t>
  </si>
  <si>
    <t>q55_5</t>
  </si>
  <si>
    <t>Charities, foundations, non-profit organisations - Funds of funds</t>
  </si>
  <si>
    <t>q55_6</t>
  </si>
  <si>
    <t>Charities, foundations, non-profit organisations - Non-listed debt products</t>
  </si>
  <si>
    <t>q5ROW5_hidden</t>
  </si>
  <si>
    <t>Charities, foundations, non-profit organisations  TOTAL</t>
  </si>
  <si>
    <t>q56_1</t>
  </si>
  <si>
    <t>Funds of funds - Non-listed/ commingled real estate funds/private REITs</t>
  </si>
  <si>
    <t>q56_2</t>
  </si>
  <si>
    <t>Funds of funds - Separate accounts investing directly into real estate</t>
  </si>
  <si>
    <t>q56_3</t>
  </si>
  <si>
    <t>Funds of funds - Separate accounts investing into indirect vehicles</t>
  </si>
  <si>
    <t>q56_4</t>
  </si>
  <si>
    <t>Funds of funds - Joint ventures and club deals</t>
  </si>
  <si>
    <t>q56_5</t>
  </si>
  <si>
    <t>Funds of funds - Funds of funds</t>
  </si>
  <si>
    <t>q56_6</t>
  </si>
  <si>
    <t>Funds of funds - Non-listed debt products</t>
  </si>
  <si>
    <t>q5ROW6_hidden</t>
  </si>
  <si>
    <t>q57_1</t>
  </si>
  <si>
    <t>High net worth individuals /Family offices - Non-listed/ commingled real estate funds/private REITs</t>
  </si>
  <si>
    <t>q57_2</t>
  </si>
  <si>
    <t>High net worth individuals /Family offices - Separate accounts investing directly into real estate</t>
  </si>
  <si>
    <t>q57_3</t>
  </si>
  <si>
    <t>High net worth individuals /Family offices - Separate accounts investing into indirect vehicles</t>
  </si>
  <si>
    <t>q57_4</t>
  </si>
  <si>
    <t>High net worth individuals /Family offices - Joint ventures and club deals</t>
  </si>
  <si>
    <t>q57_5</t>
  </si>
  <si>
    <t>High net worth individuals /Family offices - Funds of funds</t>
  </si>
  <si>
    <t>q57_6</t>
  </si>
  <si>
    <t>High net worth individuals /Family offices - Non-listed debt products</t>
  </si>
  <si>
    <t>q5ROW7_hidden</t>
  </si>
  <si>
    <t>High net worth individuals /Family offices TOTAL</t>
  </si>
  <si>
    <t>q5other</t>
  </si>
  <si>
    <t>Other (please specify)</t>
  </si>
  <si>
    <t>q58_1</t>
  </si>
  <si>
    <t>Other - Non-listed/ commingled real estate funds/private REITs</t>
  </si>
  <si>
    <t>q58_2</t>
  </si>
  <si>
    <t>Other - Separate accounts investing directly into real estate</t>
  </si>
  <si>
    <t>q58_3</t>
  </si>
  <si>
    <t>Other - Separate accounts investing into indirect vehicles</t>
  </si>
  <si>
    <t>q58_4</t>
  </si>
  <si>
    <t>Other - Joint ventures and club deals</t>
  </si>
  <si>
    <t>q58_5</t>
  </si>
  <si>
    <t>Other - Funds of funds</t>
  </si>
  <si>
    <t>q58_6</t>
  </si>
  <si>
    <t>Other - Non-listed debt products</t>
  </si>
  <si>
    <t>q5ROW8_hidden</t>
  </si>
  <si>
    <t>Other TOTAL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</si>
  <si>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</si>
  <si>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</si>
  <si>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</si>
  <si>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</si>
  <si>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</si>
  <si>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</si>
  <si>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</si>
  <si>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</si>
  <si>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Asia Pacific - Non-listed/ commingled real estate funds/private REITs</t>
  </si>
  <si>
    <t>q61_2</t>
  </si>
  <si>
    <t>Asia Pacific - Separate accounts investing directly into real estate</t>
  </si>
  <si>
    <t>q61_3</t>
  </si>
  <si>
    <t>Asia Pacific - Separate accounts investing into indirect vehicles</t>
  </si>
  <si>
    <t>q61_4</t>
  </si>
  <si>
    <t>Asia Pacific - Joint ventures and club deals</t>
  </si>
  <si>
    <t>q61_5</t>
  </si>
  <si>
    <t>Asia Pacific - Funds of funds</t>
  </si>
  <si>
    <t>q61_6</t>
  </si>
  <si>
    <t>Asia Pacific - Non-listed debt products</t>
  </si>
  <si>
    <t>q6ROW1_hidden</t>
  </si>
  <si>
    <t>Asia Pacific  TOTAL</t>
  </si>
  <si>
    <t>q62_1</t>
  </si>
  <si>
    <t>Europe - Non-listed/ commingled real estate funds/private REITs</t>
  </si>
  <si>
    <t>q62_2</t>
  </si>
  <si>
    <t>Europe - Separate accounts investing directly into real estate</t>
  </si>
  <si>
    <t>q62_3</t>
  </si>
  <si>
    <t>Europe - Separate accounts investing into indirect vehicles</t>
  </si>
  <si>
    <t>q62_4</t>
  </si>
  <si>
    <t>Europe - Joint ventures and club deals</t>
  </si>
  <si>
    <t>q62_5</t>
  </si>
  <si>
    <t>Europe - Funds of funds</t>
  </si>
  <si>
    <t>q62_6</t>
  </si>
  <si>
    <t>Europe - Non-listed debt products</t>
  </si>
  <si>
    <t>q6ROW2_hidden</t>
  </si>
  <si>
    <t>Europe  TOTAL</t>
  </si>
  <si>
    <t>q63_1</t>
  </si>
  <si>
    <t>North America - Non-listed/ commingled real estate funds/private REITs</t>
  </si>
  <si>
    <t>q63_2</t>
  </si>
  <si>
    <t>North America - Separate accounts investing directly into real estate</t>
  </si>
  <si>
    <t>q63_3</t>
  </si>
  <si>
    <t>North America - Separate accounts investing into indirect vehicles</t>
  </si>
  <si>
    <t>q63_4</t>
  </si>
  <si>
    <t>North America - Joint ventures and club deals</t>
  </si>
  <si>
    <t>q63_5</t>
  </si>
  <si>
    <t>North America - Funds of funds</t>
  </si>
  <si>
    <t>q63_6</t>
  </si>
  <si>
    <t>North America - Non-listed debt products</t>
  </si>
  <si>
    <t>q6ROW3_hidden</t>
  </si>
  <si>
    <t>North America  TOTAL</t>
  </si>
  <si>
    <t>q64_1</t>
  </si>
  <si>
    <t>South America - Non-listed/ commingled real estate funds/private REITs</t>
  </si>
  <si>
    <t>q64_2</t>
  </si>
  <si>
    <t>South America - Separate accounts investing directly into real estate</t>
  </si>
  <si>
    <t>q64_3</t>
  </si>
  <si>
    <t>South America - Separate accounts investing into indirect vehicles</t>
  </si>
  <si>
    <t>q64_4</t>
  </si>
  <si>
    <t>South America - Joint ventures and club deals</t>
  </si>
  <si>
    <t>q64_5</t>
  </si>
  <si>
    <t>South America - Funds of funds</t>
  </si>
  <si>
    <t>q64_6</t>
  </si>
  <si>
    <t>South America - Non-listed debt products</t>
  </si>
  <si>
    <t>q6ROW4_hidden</t>
  </si>
  <si>
    <t>South America  TOTAL</t>
  </si>
  <si>
    <t>q65_1</t>
  </si>
  <si>
    <t>Africa - Non-listed/ commingled real estate funds/private REITs</t>
  </si>
  <si>
    <t>q65_2</t>
  </si>
  <si>
    <t>Africa - Separate accounts investing directly into real estate</t>
  </si>
  <si>
    <t>q65_3</t>
  </si>
  <si>
    <t>Africa - Separate accounts investing into indirect vehicles</t>
  </si>
  <si>
    <t>q65_4</t>
  </si>
  <si>
    <t>Africa - Joint ventures and club deals</t>
  </si>
  <si>
    <t>q65_5</t>
  </si>
  <si>
    <t>Africa - Funds of funds</t>
  </si>
  <si>
    <t>q65_6</t>
  </si>
  <si>
    <t>Africa - Non-listed debt products</t>
  </si>
  <si>
    <t>q6ROW5_hidden</t>
  </si>
  <si>
    <t>Africa  TOTAL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</si>
  <si>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</si>
  <si>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</si>
  <si>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</si>
  <si>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</si>
  <si>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</si>
  <si>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</si>
  <si>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</si>
  <si>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What percentage of the total capital was raised via...?</t>
  </si>
  <si>
    <t>q7_1</t>
  </si>
  <si>
    <t>%</t>
  </si>
  <si>
    <t>Placement agent</t>
  </si>
  <si>
    <t>q7_2</t>
  </si>
  <si>
    <t>Investors contacting you directly</t>
  </si>
  <si>
    <t>q7_3</t>
  </si>
  <si>
    <t>Your own direct relationship with investors</t>
  </si>
  <si>
    <t>q7other</t>
  </si>
  <si>
    <t>q7_4</t>
  </si>
  <si>
    <t>Other</t>
  </si>
  <si>
    <t>q8</t>
  </si>
  <si>
    <t>How do you expect capital raising activities to develop over the next two years?</t>
  </si>
  <si>
    <t>q9</t>
  </si>
  <si>
    <t>What impact do you expect regulation to have on capital raising activities over the next two years?</t>
  </si>
  <si>
    <t>q91</t>
  </si>
  <si>
    <t>Would you like the name of your company to be included in the list of participants?</t>
  </si>
  <si>
    <t>_apac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</si>
  <si>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</si>
  <si>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</si>
  <si>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</si>
  <si>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</si>
  <si>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</si>
  <si>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</si>
  <si>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</si>
  <si>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</si>
  <si>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</si>
  <si>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</si>
  <si>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</si>
  <si>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</si>
  <si>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</si>
  <si>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</si>
  <si>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</si>
  <si>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</si>
  <si>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</si>
  <si>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</si>
  <si>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</si>
  <si>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</si>
  <si>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</si>
  <si>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</si>
  <si>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</si>
  <si>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</si>
  <si>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</si>
  <si>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</si>
  <si>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</si>
  <si>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</si>
  <si>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</si>
  <si>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</si>
  <si>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</si>
  <si>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</si>
  <si>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</si>
  <si>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</si>
  <si>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</si>
  <si>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</si>
  <si>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</si>
  <si>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</si>
  <si>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</si>
  <si>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</si>
  <si>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</si>
  <si>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</si>
  <si>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</si>
  <si>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</si>
  <si>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</si>
  <si>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</si>
  <si>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</si>
  <si>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</si>
  <si>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</si>
  <si>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</si>
  <si>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</si>
  <si>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</si>
  <si>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</si>
  <si>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</si>
  <si>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</si>
  <si>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</si>
  <si>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</si>
  <si>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</si>
  <si>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</si>
  <si>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</si>
  <si>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</si>
  <si>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</si>
  <si>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</si>
  <si>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</si>
  <si>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</si>
  <si>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TOTAL institutional capital by investor type</t>
  </si>
  <si>
    <t>q111_1</t>
  </si>
  <si>
    <t>q111_2</t>
  </si>
  <si>
    <t>q111_3</t>
  </si>
  <si>
    <t>q111_4</t>
  </si>
  <si>
    <t>q111_5</t>
  </si>
  <si>
    <t>q111_6</t>
  </si>
  <si>
    <t>q11ROW1_hidden</t>
  </si>
  <si>
    <t>Europe TOTAL</t>
  </si>
  <si>
    <t>q112_1</t>
  </si>
  <si>
    <t>q112_2</t>
  </si>
  <si>
    <t>q112_3</t>
  </si>
  <si>
    <t>q112_4</t>
  </si>
  <si>
    <t>q112_5</t>
  </si>
  <si>
    <t>q112_6</t>
  </si>
  <si>
    <t>q11ROW2_hidden</t>
  </si>
  <si>
    <t>Asia Pacific TOTAL</t>
  </si>
  <si>
    <t>q113_1</t>
  </si>
  <si>
    <t>q113_2</t>
  </si>
  <si>
    <t>q113_3</t>
  </si>
  <si>
    <t>q113_4</t>
  </si>
  <si>
    <t>q113_5</t>
  </si>
  <si>
    <t>q113_6</t>
  </si>
  <si>
    <t>q11ROW3_hidden</t>
  </si>
  <si>
    <t>North America TOTAL</t>
  </si>
  <si>
    <t>q114_1</t>
  </si>
  <si>
    <t>q114_2</t>
  </si>
  <si>
    <t>q114_3</t>
  </si>
  <si>
    <t>q114_4</t>
  </si>
  <si>
    <t>q114_5</t>
  </si>
  <si>
    <t>q114_6</t>
  </si>
  <si>
    <t>q11ROW4_hidden</t>
  </si>
  <si>
    <t>South America TOTAL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</si>
  <si>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</si>
  <si>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</si>
  <si>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</si>
  <si>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</si>
  <si>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</si>
  <si>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</si>
  <si>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</si>
  <si>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</si>
  <si>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</si>
  <si>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</si>
  <si>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</si>
  <si>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</si>
  <si>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</si>
  <si>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</si>
  <si>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TOTAL institutional capital by investor domicle</t>
  </si>
  <si>
    <t>_europe</t>
  </si>
  <si>
    <t>EUROPE</t>
  </si>
  <si>
    <t>NORTH AMERICA</t>
  </si>
  <si>
    <t>_global</t>
  </si>
  <si>
    <t>Global</t>
  </si>
  <si>
    <t>_southamerica</t>
  </si>
  <si>
    <t>SOUTH AMERICA</t>
  </si>
  <si>
    <t>_africa</t>
  </si>
  <si>
    <t>AFRICA</t>
  </si>
  <si>
    <t>ANREV</t>
  </si>
  <si>
    <t>Viola Chee</t>
  </si>
  <si>
    <t>SilkRoad Property Partners</t>
  </si>
  <si>
    <t>VP Financial Controller</t>
  </si>
  <si>
    <t>viola.chee@silkroadpp.com</t>
  </si>
  <si>
    <t>Singapore</t>
  </si>
  <si>
    <t>USD</t>
  </si>
  <si>
    <t>YES</t>
  </si>
  <si>
    <t>NO</t>
  </si>
  <si>
    <t>University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</si>
  <si>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</si>
  <si>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</si>
  <si>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</si>
  <si>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</si>
  <si>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</si>
  <si>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</si>
  <si>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Sarah Berg</t>
  </si>
  <si>
    <t>Heitman</t>
  </si>
  <si>
    <t>Vice President</t>
  </si>
  <si>
    <t>consultant.services@heitman.com</t>
  </si>
  <si>
    <t>312-425-0432</t>
  </si>
  <si>
    <t>United States</t>
  </si>
  <si>
    <t>Taft-Hartley</t>
  </si>
  <si>
    <t>new clients from prospecting</t>
  </si>
  <si>
    <t>Nick Thorn</t>
  </si>
  <si>
    <t>BPEA Real Estate</t>
  </si>
  <si>
    <t>Vice President - Investor Relations</t>
  </si>
  <si>
    <t>nickthorn@bpeasia.com</t>
  </si>
  <si>
    <t>Hong Kong</t>
  </si>
  <si>
    <t>Not a fundraising year. Last fund closed in 2015.</t>
  </si>
  <si>
    <t>Charter Hall Group</t>
  </si>
  <si>
    <t xml:space="preserve">Analyst </t>
  </si>
  <si>
    <t>investor@charterhall.com.au</t>
  </si>
  <si>
    <t>+61 2 8651 9412</t>
  </si>
  <si>
    <t>Australia</t>
  </si>
  <si>
    <t>AUD</t>
  </si>
  <si>
    <t>Companies</t>
  </si>
  <si>
    <t>Lee, Joseph (Lee, Gyusung)</t>
  </si>
  <si>
    <t>IGIS Asset Management</t>
  </si>
  <si>
    <t>Senior Managing Director</t>
  </si>
  <si>
    <t>joseph.lee@igisam.com</t>
  </si>
  <si>
    <t>+82 2 6959 3102</t>
  </si>
  <si>
    <t>Korea, Republic Of</t>
  </si>
  <si>
    <t>KRW</t>
  </si>
  <si>
    <t>Wendy Lai</t>
  </si>
  <si>
    <t>ESR Singapore Pte. Ltd.</t>
  </si>
  <si>
    <t>Fund Controller</t>
  </si>
  <si>
    <t>wlai@redwoodgroup.com</t>
  </si>
  <si>
    <t>Institutional investor</t>
  </si>
  <si>
    <t>Niklas Schelander</t>
  </si>
  <si>
    <t>PAG Asia</t>
  </si>
  <si>
    <t>Managing Director, Group Head</t>
  </si>
  <si>
    <t>nschelander@pagasia.com</t>
  </si>
  <si>
    <t>+852 3719 6383</t>
  </si>
  <si>
    <t>Corporates + GP Commitment</t>
  </si>
  <si>
    <t>Ingrid Nell</t>
  </si>
  <si>
    <t>Macquarie</t>
  </si>
  <si>
    <t>Senior Vice President</t>
  </si>
  <si>
    <t>Ingrid.Nell@macquarie.com</t>
  </si>
  <si>
    <t>3922-1994</t>
  </si>
  <si>
    <t>Paul Summer</t>
  </si>
  <si>
    <t>J.P. Morgan Asset Management</t>
  </si>
  <si>
    <t>Managing Director</t>
  </si>
  <si>
    <t>paul.t.summer@jpmorgan.com</t>
  </si>
  <si>
    <t>Corporation</t>
  </si>
  <si>
    <t>Don Tan</t>
  </si>
  <si>
    <t>KaiLong Investments</t>
  </si>
  <si>
    <t>VP, Fund Management</t>
  </si>
  <si>
    <t>don.tan@kailongrei.com</t>
  </si>
  <si>
    <t>China</t>
  </si>
  <si>
    <t>We are still in investment period for our other Funds</t>
  </si>
  <si>
    <t>Ho Liwen</t>
  </si>
  <si>
    <t>SC Capital Partners</t>
  </si>
  <si>
    <t>Director Investor Relations</t>
  </si>
  <si>
    <t>liwen@recapinvestments.com</t>
  </si>
  <si>
    <t>GP Co invest</t>
  </si>
  <si>
    <t>Natalie Barrington</t>
  </si>
  <si>
    <t>DEXUS Property Group</t>
  </si>
  <si>
    <t>DWPF Investor Relations and Operations Manager</t>
  </si>
  <si>
    <t>Natalie.Barrington@dexus.com</t>
  </si>
  <si>
    <t>+61 290171295</t>
  </si>
  <si>
    <t>Loretta Li</t>
  </si>
  <si>
    <t>ARCH Capital Management Co Ltd</t>
  </si>
  <si>
    <t>CFO</t>
  </si>
  <si>
    <t>lli@archcapital.net</t>
  </si>
  <si>
    <t>Joel Oei</t>
  </si>
  <si>
    <t>Ascendas-Singbridge</t>
  </si>
  <si>
    <t>Manager, Fund Development</t>
  </si>
  <si>
    <t>joel.oei@ascendas-singbridge.com</t>
  </si>
  <si>
    <t>SGD</t>
  </si>
  <si>
    <t>Corporate</t>
  </si>
  <si>
    <t>Christine Ong</t>
  </si>
  <si>
    <t>Mapletree Investments Pte Ltd</t>
  </si>
  <si>
    <t>Head, Private Funds Management</t>
  </si>
  <si>
    <t>christine.ong@mapletree.com.sg</t>
  </si>
  <si>
    <t>6684-7781</t>
  </si>
  <si>
    <t>Serene Foong</t>
  </si>
  <si>
    <t>Alpha Investment Partners Limited</t>
  </si>
  <si>
    <t>SVP Finance</t>
  </si>
  <si>
    <t>serene.foong@kepcapital.com</t>
  </si>
  <si>
    <t>Corporates/Banks/Others</t>
  </si>
  <si>
    <t>David Muren</t>
  </si>
  <si>
    <t>Angelo, Gordon &amp; Co.</t>
  </si>
  <si>
    <t>Director</t>
  </si>
  <si>
    <t>dmuren@angelogordon.com</t>
  </si>
  <si>
    <t>212-692-0209</t>
  </si>
  <si>
    <t>Tim Nation</t>
  </si>
  <si>
    <t>AMP Capital</t>
  </si>
  <si>
    <t>Head of Real Estate Capital</t>
  </si>
  <si>
    <t>tim.nation@ampcapital.com</t>
  </si>
  <si>
    <t>Retail investors</t>
  </si>
  <si>
    <t>Nicholas</t>
  </si>
  <si>
    <t>Investa Property Group</t>
  </si>
  <si>
    <t>Senior Fund Analyst</t>
  </si>
  <si>
    <t>nchui@investa.com.au</t>
  </si>
  <si>
    <t>+61 2 8226 9916</t>
  </si>
  <si>
    <t>Shawn Tsai</t>
  </si>
  <si>
    <t>Gaw Capital Partners</t>
  </si>
  <si>
    <t>Associate</t>
  </si>
  <si>
    <t>shawntsai@gawcapital.com</t>
  </si>
  <si>
    <t>General Partner contribution,financial institution, corporate</t>
  </si>
  <si>
    <t>General Partner contribution, corporates, financial institution</t>
  </si>
  <si>
    <t>James Inwood</t>
  </si>
  <si>
    <t>Goodman Group</t>
  </si>
  <si>
    <t>Group Head of Investment Management</t>
  </si>
  <si>
    <t>James.Inwood@goodman.com</t>
  </si>
  <si>
    <t>9230 7417</t>
  </si>
  <si>
    <t>Angel</t>
  </si>
  <si>
    <t>CLSA</t>
  </si>
  <si>
    <t>MD</t>
  </si>
  <si>
    <t xml:space="preserve">angel.li@clsa.com   </t>
  </si>
  <si>
    <t>na</t>
  </si>
  <si>
    <t>Yosuke Fujioka</t>
  </si>
  <si>
    <t>Global Logistic Properties Limited</t>
  </si>
  <si>
    <t>yfujioka@glprop.com</t>
  </si>
  <si>
    <t>+65 6672 5472</t>
  </si>
  <si>
    <t>Corporations</t>
  </si>
  <si>
    <t>Simon Lockwood</t>
  </si>
  <si>
    <t>Cromwell Property Group</t>
  </si>
  <si>
    <t>Equity Manager</t>
  </si>
  <si>
    <t>simon.lockwood@valad.co.uk</t>
  </si>
  <si>
    <t>United Kingdom</t>
  </si>
  <si>
    <t>EUR</t>
  </si>
  <si>
    <t>Opp Funds / Inv Banks</t>
  </si>
  <si>
    <t>Kenji Kondo</t>
  </si>
  <si>
    <t>Tokyo Tatemono Investment Advisors Co., Ltd.</t>
  </si>
  <si>
    <t>Corporate Planning Department Senior Manager</t>
  </si>
  <si>
    <t>kondokn@tt-ia.com</t>
  </si>
  <si>
    <t>Japan</t>
  </si>
  <si>
    <t>JPY</t>
  </si>
  <si>
    <t>Corporations/Banks</t>
  </si>
  <si>
    <t>Nicholas Harris</t>
  </si>
  <si>
    <t>The GPT Group</t>
  </si>
  <si>
    <t>Head of Funds Management, Group Strategy &amp; Research</t>
  </si>
  <si>
    <t>nicholas.harris@gpt.com.au</t>
  </si>
  <si>
    <t>No new equity required in 2016</t>
  </si>
  <si>
    <t>Chui Hong Tai</t>
  </si>
  <si>
    <t>Chelsfield Asia</t>
  </si>
  <si>
    <t>Investment manager</t>
  </si>
  <si>
    <t>lchui@chlesfield.com</t>
  </si>
  <si>
    <t>Simon Redman</t>
  </si>
  <si>
    <t>Invesco Real Estate</t>
  </si>
  <si>
    <t>MD, Global Head of Product Management</t>
  </si>
  <si>
    <t>simon.redman@invesco.com</t>
  </si>
  <si>
    <t>+44 2075 433 584</t>
  </si>
  <si>
    <t>incl. Corporate, Private Trust and Others</t>
  </si>
  <si>
    <t>Martijn van Eldik</t>
  </si>
  <si>
    <t>Morgan Stanley Real Estate Investing</t>
  </si>
  <si>
    <t>martijn.van.eldik@morganstanley.com</t>
  </si>
  <si>
    <t>+65 6834-6338</t>
  </si>
  <si>
    <t xml:space="preserve">James Fung </t>
  </si>
  <si>
    <t xml:space="preserve">CITIC Capital Holdings Limited  </t>
  </si>
  <si>
    <t xml:space="preserve">Executive Director </t>
  </si>
  <si>
    <t xml:space="preserve">jfung@citiccapital.com </t>
  </si>
  <si>
    <t>corporations</t>
  </si>
  <si>
    <t>Cheah Ying Soon</t>
  </si>
  <si>
    <t>ARA Asset Management Limited</t>
  </si>
  <si>
    <t>Director, Portfolio Management</t>
  </si>
  <si>
    <t>yingsooncheah@ara.com.hk</t>
  </si>
  <si>
    <t>65 6835 9232</t>
  </si>
  <si>
    <t>Meghan Lakeland</t>
  </si>
  <si>
    <t>PGIM Real Estate</t>
  </si>
  <si>
    <t>Vice President, Business Development</t>
  </si>
  <si>
    <t>meghan.lakeland@gmail.com</t>
  </si>
  <si>
    <t>Piramal Fund Management Pvt. Ltd</t>
  </si>
  <si>
    <t>Investor Relations</t>
  </si>
  <si>
    <t>investors@piramal.com</t>
  </si>
  <si>
    <t>India</t>
  </si>
  <si>
    <t>INR</t>
  </si>
  <si>
    <t>Peter Wylie</t>
  </si>
  <si>
    <t>Lendlease Investment Management</t>
  </si>
  <si>
    <t>Business Development Manager - New Equity</t>
  </si>
  <si>
    <t>peter.wylie@lendlease.com</t>
  </si>
  <si>
    <t>No equity requirement</t>
  </si>
  <si>
    <t>Ryota Nagao</t>
  </si>
  <si>
    <t>IDERA Capital Management Ltd</t>
  </si>
  <si>
    <t>Senior Manager</t>
  </si>
  <si>
    <t>ryota.nagao@idera-capital.com</t>
  </si>
  <si>
    <t>+81 3 5771 9055</t>
  </si>
  <si>
    <t>John LEE</t>
  </si>
  <si>
    <t>Orion Partners Real Estate Group</t>
  </si>
  <si>
    <t>Partner and Head of Real Estate Group</t>
  </si>
  <si>
    <t>jlee@orionpartners.com</t>
  </si>
  <si>
    <t>+852 2218 2168</t>
  </si>
  <si>
    <t>Tim Simpson</t>
  </si>
  <si>
    <t>Propertylink Group</t>
  </si>
  <si>
    <t>General Manager - Funds &amp; Mandates</t>
  </si>
  <si>
    <t>tsimpson@propertylink.com.au</t>
  </si>
  <si>
    <t>+61 2 9186 4715</t>
  </si>
  <si>
    <t>Institutional Investors</t>
  </si>
  <si>
    <t>Irene Zabala</t>
  </si>
  <si>
    <t>ISPT Pty. Ltd</t>
  </si>
  <si>
    <t>Research Analyst, Investor Relations</t>
  </si>
  <si>
    <t>izabala@ispt.net.au</t>
  </si>
  <si>
    <t>03 8601 6646</t>
  </si>
  <si>
    <t>Nicholas Dempsey</t>
  </si>
  <si>
    <t>BlackRock</t>
  </si>
  <si>
    <t>Analyst</t>
  </si>
  <si>
    <t>nicholas.dempsey@blackrock.com</t>
  </si>
  <si>
    <t>Zheng Wanshi</t>
  </si>
  <si>
    <t>CapitaLand Limited</t>
  </si>
  <si>
    <t>Head, Investment Management</t>
  </si>
  <si>
    <t>zheng.wanshi@capitaland.com</t>
  </si>
  <si>
    <t>6713 3103</t>
  </si>
  <si>
    <t>Corporate and Financial Institutes</t>
  </si>
  <si>
    <t>Corporates and Financial Institutes</t>
  </si>
  <si>
    <t>Linh Pham</t>
  </si>
  <si>
    <t>EG Funds Management</t>
  </si>
  <si>
    <t>lpham@eg.com.au</t>
  </si>
  <si>
    <t>02 92207027</t>
  </si>
  <si>
    <t>Makiko Noda</t>
  </si>
  <si>
    <t>Administration Dept. Dupty General Manager</t>
  </si>
  <si>
    <t>makiko.noda@mc-dream.com</t>
  </si>
  <si>
    <t>Minoru Yonekura</t>
  </si>
  <si>
    <t>Seven Seas Advisors Co. LTD.</t>
  </si>
  <si>
    <t>CEO</t>
  </si>
  <si>
    <t>minoru.yonekura@sevenseas-adv.com</t>
  </si>
  <si>
    <t>+813 3539 1490</t>
  </si>
  <si>
    <t>limited opportunistic deal available</t>
  </si>
  <si>
    <t>Markus Puusepp</t>
  </si>
  <si>
    <t>White Peak</t>
  </si>
  <si>
    <t>Head of Investor Relations</t>
  </si>
  <si>
    <t>markus.puusepp@wprei.com</t>
  </si>
  <si>
    <t>CNY</t>
  </si>
  <si>
    <t>TAJIMA MASAHIKO</t>
  </si>
  <si>
    <t>Kenedix, Inc.</t>
  </si>
  <si>
    <t>Director CFO Head of Corporate Planning</t>
  </si>
  <si>
    <t>masahiko_tajima@kenedix.com</t>
  </si>
  <si>
    <t>81-3-5623-8460</t>
  </si>
  <si>
    <t>corporates/banks</t>
  </si>
  <si>
    <t>Corporates/Banks</t>
  </si>
  <si>
    <t>Saleh Afimiwalla</t>
  </si>
  <si>
    <t>IL&amp;FS Investment Managers Limited</t>
  </si>
  <si>
    <t>Sr Managing Partner</t>
  </si>
  <si>
    <t>saleh.afimiwalla@ilfsindia.com</t>
  </si>
  <si>
    <t>+9122 26593539</t>
  </si>
  <si>
    <t>Completing exits in existing funds</t>
  </si>
  <si>
    <t>Sarah McGeachie</t>
  </si>
  <si>
    <t>Fife Capital</t>
  </si>
  <si>
    <t>Executive</t>
  </si>
  <si>
    <t>sarah@sg.fifecapital.com</t>
  </si>
  <si>
    <t>Johan Shah</t>
  </si>
  <si>
    <t>AEP Investment Management</t>
  </si>
  <si>
    <t>Head, Investor Relations</t>
  </si>
  <si>
    <t>johan.shah@aep-im.com</t>
  </si>
  <si>
    <t>Singuz Lo</t>
  </si>
  <si>
    <t>Pamfleet</t>
  </si>
  <si>
    <t>singuz.lo@pamfleet.com</t>
  </si>
  <si>
    <t>Pamfleet GP</t>
  </si>
  <si>
    <t>NCREIF</t>
  </si>
  <si>
    <t>Doug Harper</t>
  </si>
  <si>
    <t>Principal Real Estate Investors</t>
  </si>
  <si>
    <t>harper.doug@principal.com</t>
  </si>
  <si>
    <t>foreign capital</t>
  </si>
  <si>
    <t>Foreign capital</t>
  </si>
  <si>
    <t>Patricia Richardson</t>
  </si>
  <si>
    <t>Guggenheim Real Estate LLC</t>
  </si>
  <si>
    <t>Director/Controller</t>
  </si>
  <si>
    <t>prichardson@guggenheimrealestate.com</t>
  </si>
  <si>
    <t>Foreign Corporate</t>
  </si>
  <si>
    <t>Dan Butler</t>
  </si>
  <si>
    <t>American Realty Advisors</t>
  </si>
  <si>
    <t>dbutler@americanreal.com</t>
  </si>
  <si>
    <t>Brandon Millen</t>
  </si>
  <si>
    <t>Intercontinental Real Estate Corp.</t>
  </si>
  <si>
    <t>Assoc Director Performance Measurement</t>
  </si>
  <si>
    <t>Brandonm@intercontinental.net</t>
  </si>
  <si>
    <t>617-779-0490</t>
  </si>
  <si>
    <t>David Schenning</t>
  </si>
  <si>
    <t>PNC</t>
  </si>
  <si>
    <t>SVP</t>
  </si>
  <si>
    <t>david.schenning@pnc.com</t>
  </si>
  <si>
    <t>202-496-4760</t>
  </si>
  <si>
    <t>Lisa Wallis</t>
  </si>
  <si>
    <t>Sarofim Realty Advisors Co.</t>
  </si>
  <si>
    <t>Portfolio Controller</t>
  </si>
  <si>
    <t>lwallis@sraco.com</t>
  </si>
  <si>
    <t>214-692-4266</t>
  </si>
  <si>
    <t xml:space="preserve">New allocations pursued in 2016 but not approved until first quarter 2017. </t>
  </si>
  <si>
    <t>INREV</t>
  </si>
  <si>
    <t>David Rückel</t>
  </si>
  <si>
    <t>PIA Pontis Institutional Advisors GmbH</t>
  </si>
  <si>
    <t>Managing Partner</t>
  </si>
  <si>
    <t>david.rueckel@pia-pontis.com</t>
  </si>
  <si>
    <t>Germany</t>
  </si>
  <si>
    <t>I am a placement agent</t>
  </si>
  <si>
    <t>Anne Schachner</t>
  </si>
  <si>
    <t>NREP</t>
  </si>
  <si>
    <t>ansc@nrep.com</t>
  </si>
  <si>
    <t>+45 30520201</t>
  </si>
  <si>
    <t>Denmark</t>
  </si>
  <si>
    <t>Michaela Graefe</t>
  </si>
  <si>
    <t>Deka Immobilien Investment GmbH</t>
  </si>
  <si>
    <t>Head of Fund Management Service Institutional Investors</t>
  </si>
  <si>
    <t>michaela.graefe@deka.de</t>
  </si>
  <si>
    <t>Saving banks</t>
  </si>
  <si>
    <t>Oliver Luckey</t>
  </si>
  <si>
    <t>Hahn Group</t>
  </si>
  <si>
    <t>Head of Fund Management</t>
  </si>
  <si>
    <t>oluckey@hahnag.de</t>
  </si>
  <si>
    <t>+49 2204 9490 135</t>
  </si>
  <si>
    <t>Jan Kuhn</t>
  </si>
  <si>
    <t>CORPUS SIREO Holding AG</t>
  </si>
  <si>
    <t>Head of Business Development</t>
  </si>
  <si>
    <t>Jan.Kuhn@corpussireo.com</t>
  </si>
  <si>
    <t>+49 221 39900220</t>
  </si>
  <si>
    <t>Marina Ferri</t>
  </si>
  <si>
    <t xml:space="preserve">Pradera </t>
  </si>
  <si>
    <t xml:space="preserve">Corporate Marketing </t>
  </si>
  <si>
    <t>marina.ferri@pradera.com</t>
  </si>
  <si>
    <t>0207 539 5432</t>
  </si>
  <si>
    <t>Philip Theis Olander</t>
  </si>
  <si>
    <t>Sparinvest Property Investors</t>
  </si>
  <si>
    <t>pto@sparinvest.dk</t>
  </si>
  <si>
    <t>Neil Cable</t>
  </si>
  <si>
    <t>Fidelity International</t>
  </si>
  <si>
    <t>Head of European Real Estate</t>
  </si>
  <si>
    <t>Neil.Cable@fil.com</t>
  </si>
  <si>
    <t>Bank</t>
  </si>
  <si>
    <t>Dietrich Heidtmann</t>
  </si>
  <si>
    <t>GTIS Partners</t>
  </si>
  <si>
    <t>MD - Head of Intl. Capital Markets</t>
  </si>
  <si>
    <t>dheidtmann@gtispartners.com</t>
  </si>
  <si>
    <t>GTIS management and employees</t>
  </si>
  <si>
    <t>Antonello De Filippo</t>
  </si>
  <si>
    <t>AltaFund General Partner</t>
  </si>
  <si>
    <t>Chief Financial Officer</t>
  </si>
  <si>
    <t>antonello.defilippo@altafund.lu</t>
  </si>
  <si>
    <t>Luxembourg</t>
  </si>
  <si>
    <t>no new funds</t>
  </si>
  <si>
    <t>Swati Srivastava</t>
  </si>
  <si>
    <t>Frogmore</t>
  </si>
  <si>
    <t>Investor Relations and Client Development</t>
  </si>
  <si>
    <t>swatisrivastava@frogmore.co.uk</t>
  </si>
  <si>
    <t>+44 (0)2070166016</t>
  </si>
  <si>
    <t>GBP</t>
  </si>
  <si>
    <t>Tiffany</t>
  </si>
  <si>
    <t>Strand</t>
  </si>
  <si>
    <t>Fund Manager</t>
  </si>
  <si>
    <t>tiffany.strand@areim.se</t>
  </si>
  <si>
    <t>Sweden</t>
  </si>
  <si>
    <t>SEK</t>
  </si>
  <si>
    <t>Investment Manager</t>
  </si>
  <si>
    <t>Nicky Wagner</t>
  </si>
  <si>
    <t>Prelios</t>
  </si>
  <si>
    <t>Director Business Development</t>
  </si>
  <si>
    <t>nicky.wagner@prelios.com</t>
  </si>
  <si>
    <t>0049 (0) 69 9202085 41</t>
  </si>
  <si>
    <t>start new business in 2016</t>
  </si>
  <si>
    <t>Jose Maria Ortiz</t>
  </si>
  <si>
    <t>ECE Real Estate Partners</t>
  </si>
  <si>
    <t>JoseMaria.Ortiz@ece.com</t>
  </si>
  <si>
    <t>Funds are closed ended. Next funds planned for 2018</t>
  </si>
  <si>
    <t>Laura Banks</t>
  </si>
  <si>
    <t>AEW</t>
  </si>
  <si>
    <t>Investor relations associate</t>
  </si>
  <si>
    <t>laura.banks@aeweurope.com</t>
  </si>
  <si>
    <t>0207 016 4856</t>
  </si>
  <si>
    <t>International organisation, LP, LLC, Bank, Registered investment company</t>
  </si>
  <si>
    <t>Bank, LLP, LC, International organisation, registered investment company</t>
  </si>
  <si>
    <t>Patrik Andersson</t>
  </si>
  <si>
    <t>Brunswick Real Estate</t>
  </si>
  <si>
    <t>Head of Transactions &amp; Fund Raising</t>
  </si>
  <si>
    <t>patrik.andersson@leimdorfer.se</t>
  </si>
  <si>
    <t>+46 768 710022</t>
  </si>
  <si>
    <t>Iris Gelten</t>
  </si>
  <si>
    <t>Bouwinvest</t>
  </si>
  <si>
    <t>Coporate marketing &amp; communication</t>
  </si>
  <si>
    <t>i.gelten@bouwinvest.nl</t>
  </si>
  <si>
    <t>Netherlands</t>
  </si>
  <si>
    <t>Jon Starek</t>
  </si>
  <si>
    <t>Prologis</t>
  </si>
  <si>
    <t>Director, Global Fund Operations</t>
  </si>
  <si>
    <t>jstarek@prologis.com</t>
  </si>
  <si>
    <t>+1 (303) 5675268</t>
  </si>
  <si>
    <t>40 Act Investment Company</t>
  </si>
  <si>
    <t>Alice Cahill</t>
  </si>
  <si>
    <t>ICG</t>
  </si>
  <si>
    <t>alice.cahill@icgam.com</t>
  </si>
  <si>
    <t>Industry body, Bank and Asset Manager</t>
  </si>
  <si>
    <t>Industry body</t>
  </si>
  <si>
    <t>Maximilian Schneidler</t>
  </si>
  <si>
    <t>Quantum Immobilien Kapitalverwaltungsgesellschaft mbH</t>
  </si>
  <si>
    <t>mas@quantum.ag</t>
  </si>
  <si>
    <t xml:space="preserve">+49 (89) 15 90 01 - 336 </t>
  </si>
  <si>
    <t>Savings banks</t>
  </si>
  <si>
    <t>Marsha Sinninghe</t>
  </si>
  <si>
    <t>Syntrus Achmea Real Estate &amp; Finance</t>
  </si>
  <si>
    <t>Proposition Manager</t>
  </si>
  <si>
    <t>marsha.sinninghe@achmeavastgoed.nl</t>
  </si>
  <si>
    <t>Rebecca Madsen</t>
  </si>
  <si>
    <t>Grosvenor</t>
  </si>
  <si>
    <t>Analyst, Capital Markets</t>
  </si>
  <si>
    <t>rebecca.madsen@grosvenor.com</t>
  </si>
  <si>
    <t>Investment Insitutions</t>
  </si>
  <si>
    <t>investment institutions</t>
  </si>
  <si>
    <t>KEVIN AITCHISON</t>
  </si>
  <si>
    <t>KF Investment Management</t>
  </si>
  <si>
    <t>kevin.aitchison@kf-im.com</t>
  </si>
  <si>
    <t>Marta Herrero</t>
  </si>
  <si>
    <t>Altan Capital</t>
  </si>
  <si>
    <t>Executive Director</t>
  </si>
  <si>
    <t>mherrero@altancapital.com</t>
  </si>
  <si>
    <t>91 426 24 47</t>
  </si>
  <si>
    <t>Spain</t>
  </si>
  <si>
    <t>Timing</t>
  </si>
  <si>
    <t>Charlotte Hultman</t>
  </si>
  <si>
    <t>Vistra</t>
  </si>
  <si>
    <t>Group Commercial Director Europe</t>
  </si>
  <si>
    <t>charlotte.hultman@vistra.com</t>
  </si>
  <si>
    <t>We are a service provider and do not raise any funds</t>
  </si>
  <si>
    <t>Joep Munten</t>
  </si>
  <si>
    <t>Hartelt Fund Management B.V.</t>
  </si>
  <si>
    <t>j.munten@hartelt-fm.com</t>
  </si>
  <si>
    <t>Giovanni Perin</t>
  </si>
  <si>
    <t>Threestones Capital</t>
  </si>
  <si>
    <t>g.perin@threestonescapital.com</t>
  </si>
  <si>
    <t>Robbert Zoet</t>
  </si>
  <si>
    <t>Moorfield Group</t>
  </si>
  <si>
    <t>Head of Capital Markets</t>
  </si>
  <si>
    <t>robbert.zoet@moorfield.com</t>
  </si>
  <si>
    <t>Ian Wimpenny</t>
  </si>
  <si>
    <t>Altus Group</t>
  </si>
  <si>
    <t>ian.wimpenny@altusgroup.com</t>
  </si>
  <si>
    <t>Canada</t>
  </si>
  <si>
    <t>We are cunsultants</t>
  </si>
  <si>
    <t xml:space="preserve">Uwira Jürgen </t>
  </si>
  <si>
    <t>PROJECT Real Estate Trust (PROJECT Investment AG)</t>
  </si>
  <si>
    <t>j.uwira@project-investment.de</t>
  </si>
  <si>
    <t>Banks (Sparkasse)</t>
  </si>
  <si>
    <t>Zoltan Szelyes</t>
  </si>
  <si>
    <t>CS</t>
  </si>
  <si>
    <t>Head of Global Real Estate Strategy</t>
  </si>
  <si>
    <t>zoltan.szelyes@credit-suisse.com</t>
  </si>
  <si>
    <t>Switzerland</t>
  </si>
  <si>
    <t>Johan Kamminga</t>
  </si>
  <si>
    <t>a.s.r. real estate investment management</t>
  </si>
  <si>
    <t>johan.kamminga@asr.nl</t>
  </si>
  <si>
    <t>06  3096 2815</t>
  </si>
  <si>
    <t>Non-listed real estate fund</t>
  </si>
  <si>
    <t>Sloan Wobbeking</t>
  </si>
  <si>
    <t>Alma Property Partners</t>
  </si>
  <si>
    <t>Partner &amp; CEO</t>
  </si>
  <si>
    <t>sloan.wobbeking@almaproperty.se</t>
  </si>
  <si>
    <t>+46 70 227 74 00</t>
  </si>
  <si>
    <t>Steffen Uttich</t>
  </si>
  <si>
    <t>BEOS AG</t>
  </si>
  <si>
    <t>steffen.uttich@beos.net</t>
  </si>
  <si>
    <t>Jamie Kellett</t>
  </si>
  <si>
    <t>BMO Real Estate Partners</t>
  </si>
  <si>
    <t>Business Development Manager</t>
  </si>
  <si>
    <t>jkellett@bmorep.com</t>
  </si>
  <si>
    <t>Louise McKay</t>
  </si>
  <si>
    <t>LaSalle Investment Management</t>
  </si>
  <si>
    <t>louise.mckay@lasalle.com</t>
  </si>
  <si>
    <t xml:space="preserve">0207 852 4479 </t>
  </si>
  <si>
    <t>Banks</t>
  </si>
  <si>
    <t>Ljiljana Macdonald</t>
  </si>
  <si>
    <t>Aviva Investors</t>
  </si>
  <si>
    <t>Investment Director</t>
  </si>
  <si>
    <t>ljiljana.macdonald@avivainvestors.com</t>
  </si>
  <si>
    <t>0207809 8928</t>
  </si>
  <si>
    <t>Financial Institutions / Platforms</t>
  </si>
  <si>
    <t>Financial institutions / platforms</t>
  </si>
  <si>
    <t>Samantha Roux</t>
  </si>
  <si>
    <t>STAM Europe</t>
  </si>
  <si>
    <t>Investor Services Director</t>
  </si>
  <si>
    <t>Ssudreroux@stam-europe.com</t>
  </si>
  <si>
    <t>France</t>
  </si>
  <si>
    <t>PERE funds and hedge funds</t>
  </si>
  <si>
    <t>Edward Chen</t>
  </si>
  <si>
    <t>Madison International Realty</t>
  </si>
  <si>
    <t>Investor Relations Manager</t>
  </si>
  <si>
    <t>echen@madisonint.com</t>
  </si>
  <si>
    <t>646-695-2828</t>
  </si>
  <si>
    <t>Christian Bock</t>
  </si>
  <si>
    <t>GEG German Estate Group AG</t>
  </si>
  <si>
    <t>Head of Institutional Business</t>
  </si>
  <si>
    <t>c.bock@geg.de</t>
  </si>
  <si>
    <t>Scott Peebles</t>
  </si>
  <si>
    <t>Aberdeen Asset Management</t>
  </si>
  <si>
    <t>scott.peebles@aberdeen-asset.com</t>
  </si>
  <si>
    <t>Formal RFP</t>
  </si>
  <si>
    <t>Anders Holm-Pedersen</t>
  </si>
  <si>
    <t>Kristensen Properties</t>
  </si>
  <si>
    <t>ahp@kristensenproperties.com</t>
  </si>
  <si>
    <t>Max von Below</t>
  </si>
  <si>
    <t>USAA Real Estate Company</t>
  </si>
  <si>
    <t>max.vonbelow@usrealco.com</t>
  </si>
  <si>
    <t>Deutsche Asset Management</t>
  </si>
  <si>
    <t>Assistant Vice President</t>
  </si>
  <si>
    <t>joseph.pecora@db.com</t>
  </si>
  <si>
    <t>212-454-0304</t>
  </si>
  <si>
    <t>Client data not available</t>
  </si>
  <si>
    <t>N/A</t>
  </si>
  <si>
    <t>Amy Dulski</t>
  </si>
  <si>
    <t>Starwood Capital Group</t>
  </si>
  <si>
    <t>Investor Relations Coordinator</t>
  </si>
  <si>
    <t>adulski@starwood.com</t>
  </si>
  <si>
    <t>GP</t>
  </si>
  <si>
    <t>Kathleen Flores</t>
  </si>
  <si>
    <t xml:space="preserve">Franklin Templeton </t>
  </si>
  <si>
    <t>Vice President, Product Manager</t>
  </si>
  <si>
    <t>kathleen.flores@franklintempleton.com</t>
  </si>
  <si>
    <t>212-632-4024</t>
  </si>
  <si>
    <t>Adam Smith</t>
  </si>
  <si>
    <t>Tristan Capital Partners</t>
  </si>
  <si>
    <t>Director, Client Relations</t>
  </si>
  <si>
    <t>asmith@tristancap.com</t>
  </si>
  <si>
    <t>We raised €1.8 billion in 2015</t>
  </si>
  <si>
    <t>Nicholas Temperley</t>
  </si>
  <si>
    <t>Europa Capital LLP</t>
  </si>
  <si>
    <t>ntemperley@europacapital.com</t>
  </si>
  <si>
    <t>Private Bank / real estate company</t>
  </si>
  <si>
    <t>Private Bank / Real estate Company</t>
  </si>
  <si>
    <t>Emily-Jane Finigan</t>
  </si>
  <si>
    <t>Landmark Partners</t>
  </si>
  <si>
    <t>emily-jane.finigan@landmarkpartners.com</t>
  </si>
  <si>
    <t>We were not in market during this timeframe</t>
  </si>
  <si>
    <t>Bert Van den Hoek</t>
  </si>
  <si>
    <t>Partners Group</t>
  </si>
  <si>
    <t>Senior Vice President / Investment Solutions Benelux</t>
  </si>
  <si>
    <t>bert.vandenhoek@partnersgroup.com</t>
  </si>
  <si>
    <t>+44 20 7575 2758</t>
  </si>
  <si>
    <t>The Fund is closed in 2015.</t>
  </si>
  <si>
    <t>Gemma Young</t>
  </si>
  <si>
    <t>TH Real Estate</t>
  </si>
  <si>
    <t>Head of Global Marketing &amp; Communications</t>
  </si>
  <si>
    <t>gemma.young@threalestate.com</t>
  </si>
  <si>
    <t>Investment Fund/Unit Trust</t>
  </si>
  <si>
    <t>Immo von Homeyer</t>
  </si>
  <si>
    <t>Art-Invest Real Estate Funds GmbH</t>
  </si>
  <si>
    <t>IvonHomeyer@art-invest.de</t>
  </si>
  <si>
    <t>+49 221. 270 579 59</t>
  </si>
  <si>
    <t>Sally Doyle-Linden</t>
  </si>
  <si>
    <t>Clearbell Capital LLP</t>
  </si>
  <si>
    <t>Sally@clearbell.com</t>
  </si>
  <si>
    <t>we do not raise capital every year</t>
  </si>
  <si>
    <t>Nils Eivind RIsvand</t>
  </si>
  <si>
    <t>Steen &amp; Strøm AS</t>
  </si>
  <si>
    <t>Chief Legal Officer</t>
  </si>
  <si>
    <t>nils.eivind.risvand@steenstrom.com</t>
  </si>
  <si>
    <t>Norway</t>
  </si>
  <si>
    <t>NOK</t>
  </si>
  <si>
    <t>No investments that required capital</t>
  </si>
  <si>
    <t>Katharina Martin</t>
  </si>
  <si>
    <t>Union Investment</t>
  </si>
  <si>
    <t>Junior Fondsadvisor</t>
  </si>
  <si>
    <t>katharina.martin@union-investment.de</t>
  </si>
  <si>
    <t>banks</t>
  </si>
  <si>
    <t>Ruud van Dam</t>
  </si>
  <si>
    <t>Reggeborgh Vastgoed</t>
  </si>
  <si>
    <t>rvandam@reggeborgh.nl</t>
  </si>
  <si>
    <t>autonomous growth</t>
  </si>
  <si>
    <t>John Davidson</t>
  </si>
  <si>
    <t>Deutsche Finance Group</t>
  </si>
  <si>
    <t>Investment Committee Member</t>
  </si>
  <si>
    <t>john.davidson@hslu.ch</t>
  </si>
  <si>
    <t>Retail</t>
  </si>
  <si>
    <t>Susan Harris</t>
  </si>
  <si>
    <t>Hines</t>
  </si>
  <si>
    <t>Director - Investment Management</t>
  </si>
  <si>
    <t>susan.harris@hines.com</t>
  </si>
  <si>
    <t>713.966.5363</t>
  </si>
  <si>
    <t>Investment Manager/Advisor</t>
  </si>
  <si>
    <t>Corporate or Other Institutional, Investment Manager/Advisor</t>
  </si>
  <si>
    <t>Nerijus Zebrauskas</t>
  </si>
  <si>
    <t>Northern Horizon Capital</t>
  </si>
  <si>
    <t>Head of fund controlling</t>
  </si>
  <si>
    <t>Nerijus.Zebrauskas@nh-cap.com</t>
  </si>
  <si>
    <t>Ulfar Moelk</t>
  </si>
  <si>
    <t>LRI Invest S.A</t>
  </si>
  <si>
    <t>Portfolio Manager</t>
  </si>
  <si>
    <t>ulfar.moelk@lri-invest.lu</t>
  </si>
  <si>
    <t>Antonio Del Buono</t>
  </si>
  <si>
    <t>Fabrica Immobiliare SGR</t>
  </si>
  <si>
    <t>Head of Valuation &amp; Research</t>
  </si>
  <si>
    <t>antonio.delbuono@fabricasgr.it</t>
  </si>
  <si>
    <t>Italy</t>
  </si>
  <si>
    <t>completion of investment from past raisings</t>
  </si>
  <si>
    <t>Steve Emsley</t>
  </si>
  <si>
    <t>DRC Capital LLP</t>
  </si>
  <si>
    <t>Head of Fund Finance</t>
  </si>
  <si>
    <t>se@drccap.com</t>
  </si>
  <si>
    <t>Ciaran Burns</t>
  </si>
  <si>
    <t>Ardstone Capital</t>
  </si>
  <si>
    <t>ciaran.burns@ardstone.com</t>
  </si>
  <si>
    <t>Ireland</t>
  </si>
  <si>
    <t>Manager</t>
  </si>
  <si>
    <t>Jeremy Barkes</t>
  </si>
  <si>
    <t>First Property Asset Management Ltd</t>
  </si>
  <si>
    <t>Director, Business Development</t>
  </si>
  <si>
    <t>jeremy.barkes@fprop.com</t>
  </si>
  <si>
    <t>Endowment, Group &amp; Family Office</t>
  </si>
  <si>
    <t>Family offices</t>
  </si>
  <si>
    <t>Tobias Kotz</t>
  </si>
  <si>
    <t>Real I.S.</t>
  </si>
  <si>
    <t>Head of Institutional Clients</t>
  </si>
  <si>
    <t>tobias.kotz@realisag.de</t>
  </si>
  <si>
    <t>Stanislas HENRY</t>
  </si>
  <si>
    <t>AMUNDI REAL ESTATE</t>
  </si>
  <si>
    <t>Head of Institutional Funds &amp; Solutions</t>
  </si>
  <si>
    <t>stanislas.henry@amundi.com</t>
  </si>
  <si>
    <t>Retail fnds investing in Institutional Funds</t>
  </si>
  <si>
    <t>John Shewan</t>
  </si>
  <si>
    <t>M&amp;G Real Estate</t>
  </si>
  <si>
    <t xml:space="preserve">Business Development Manager </t>
  </si>
  <si>
    <t>john.shewan@mandg.com</t>
  </si>
  <si>
    <t>0207 548 6895</t>
  </si>
  <si>
    <t>Multi-manager; Investment manager</t>
  </si>
  <si>
    <t>Multi manager</t>
  </si>
  <si>
    <t>Fabrice de Clermont-Tonnerre</t>
  </si>
  <si>
    <t>Catalyst Capital</t>
  </si>
  <si>
    <t>Partner</t>
  </si>
  <si>
    <t>fdect@catalystcapital.com</t>
  </si>
  <si>
    <t>+33 1 56 88 54 72</t>
  </si>
  <si>
    <t>Jared Guillory</t>
  </si>
  <si>
    <t>AXA Investment Managers - Real Assets</t>
  </si>
  <si>
    <t>Marketing Officer</t>
  </si>
  <si>
    <t>jared.guillory@axa-im.com</t>
  </si>
  <si>
    <t>Banks, Corporates</t>
  </si>
  <si>
    <t>Bank, Corporates</t>
  </si>
  <si>
    <t>Teresa Gilchrist</t>
  </si>
  <si>
    <t>M7 Real Estate</t>
  </si>
  <si>
    <t>teresa.gilchrist@m7re.eu</t>
  </si>
  <si>
    <t>020 3657 5520</t>
  </si>
  <si>
    <t>private equity</t>
  </si>
  <si>
    <t>investor introductions/ referrals</t>
  </si>
  <si>
    <t>Karen Schumacher</t>
  </si>
  <si>
    <t>Clarion Partners</t>
  </si>
  <si>
    <t>Senior Associate</t>
  </si>
  <si>
    <t>karen.schumacher@clarionpartners.com</t>
  </si>
  <si>
    <t>212-883-2740</t>
  </si>
  <si>
    <t>Brian Delgado</t>
  </si>
  <si>
    <t>Rockpoint Group</t>
  </si>
  <si>
    <t>bdelgado@rockpointgroup.com</t>
  </si>
  <si>
    <t>General Partner / Employees</t>
  </si>
  <si>
    <t>joao lelis</t>
  </si>
  <si>
    <t>sonae sierra</t>
  </si>
  <si>
    <t>fund manager</t>
  </si>
  <si>
    <t>jclelis@sonaesierra.com</t>
  </si>
  <si>
    <t>Portugal</t>
  </si>
  <si>
    <t>sponsor</t>
  </si>
  <si>
    <t>Christopher Woodley</t>
  </si>
  <si>
    <t>Business Information Manager</t>
  </si>
  <si>
    <t>christopher.woodley@aberdeen-asset.com</t>
  </si>
  <si>
    <t>+44 20 7463 6739</t>
  </si>
  <si>
    <t>Various Other Corporate</t>
  </si>
  <si>
    <t>Not available</t>
  </si>
  <si>
    <t>Other Corporate</t>
  </si>
  <si>
    <t xml:space="preserve">brigitte Sagnes dupont </t>
  </si>
  <si>
    <t>OREIMA</t>
  </si>
  <si>
    <t>ceo</t>
  </si>
  <si>
    <t>brigitte.sagnes-dupont@oreima.fr</t>
  </si>
  <si>
    <t>Norbert Bol</t>
  </si>
  <si>
    <t>Sweco Capital Consultants</t>
  </si>
  <si>
    <t>norbert.bol@sweco.nl</t>
  </si>
  <si>
    <t>We are not a fund manager</t>
  </si>
  <si>
    <t>Marius Preisig</t>
  </si>
  <si>
    <t>Corestate Capital AG</t>
  </si>
  <si>
    <t>Vice President, Client Relations</t>
  </si>
  <si>
    <t>marius.preisig@corestate-capital.com</t>
  </si>
  <si>
    <t>+41 21 5607 314</t>
  </si>
  <si>
    <t xml:space="preserve">Kushmeena Haidar </t>
  </si>
  <si>
    <t>Standard Life Investments</t>
  </si>
  <si>
    <t xml:space="preserve">Data Management Analyst </t>
  </si>
  <si>
    <t>kushmeena_haidar@standardlife.com</t>
  </si>
  <si>
    <t xml:space="preserve">44 (0) 131 245 0420 </t>
  </si>
  <si>
    <t>Pat McGinley</t>
  </si>
  <si>
    <t>IPUT plc</t>
  </si>
  <si>
    <t>Head of Finance</t>
  </si>
  <si>
    <t>pmcginley@iput.com</t>
  </si>
  <si>
    <t>Stephanie Finetto</t>
  </si>
  <si>
    <t>CBRE Global Investors LLC</t>
  </si>
  <si>
    <t>stephanie.finetto@cbreglobalinvestors.com</t>
  </si>
  <si>
    <t>Banks and other Institutions</t>
  </si>
  <si>
    <t>Banks and other institutions</t>
  </si>
  <si>
    <t>Daniel Werth</t>
  </si>
  <si>
    <t>MOMENI Investment Management GmbH</t>
  </si>
  <si>
    <t>d.werth@momeni-immobilien.com</t>
  </si>
  <si>
    <t>Adam Starr</t>
  </si>
  <si>
    <t>Redevco</t>
  </si>
  <si>
    <t>MD &amp; Head of Transactions</t>
  </si>
  <si>
    <t>adam.starr@redevco.com</t>
  </si>
  <si>
    <t>Strategic</t>
  </si>
  <si>
    <t>Geert de Nekker</t>
  </si>
  <si>
    <t>Managing Director International Real Estate</t>
  </si>
  <si>
    <t>geert.de.nekker@achmeavastgoed.nl</t>
  </si>
  <si>
    <t>+316 23645725</t>
  </si>
  <si>
    <t xml:space="preserve">We are selecting funds based on mandates and do not raise capital. </t>
  </si>
  <si>
    <t>Dr. Insa von Jürgensonn</t>
  </si>
  <si>
    <t>PATRIZIA Institutional Clients &amp; Advisory</t>
  </si>
  <si>
    <t>Head of Product Developement</t>
  </si>
  <si>
    <t>insa.juergensonn@patrizia.ag</t>
  </si>
  <si>
    <t>+49 821 50910 762</t>
  </si>
  <si>
    <t>Savings Banks</t>
  </si>
  <si>
    <t>Addie Patterson</t>
  </si>
  <si>
    <t>Niam</t>
  </si>
  <si>
    <t>addie.patterson@niam.se</t>
  </si>
  <si>
    <t>Mirjam Witteman</t>
  </si>
  <si>
    <t>Vesteda</t>
  </si>
  <si>
    <t>m.witteman@vesteda.com</t>
  </si>
  <si>
    <t>In 2015 we raised €600 mln. No need to raise additional equity in 2016</t>
  </si>
  <si>
    <t>Brendan O`Regan</t>
  </si>
  <si>
    <t>Irish Life Investment Managers</t>
  </si>
  <si>
    <t>Senior Fund Manager</t>
  </si>
  <si>
    <t>brendan.oregan@ilim.com</t>
  </si>
  <si>
    <t>Eric Reichardt</t>
  </si>
  <si>
    <t>TRIUVA Kapitalverwaltungsgesellschaft mbH</t>
  </si>
  <si>
    <t>Head of Corporate Development</t>
  </si>
  <si>
    <t>eric.reichardt@triuva.com</t>
  </si>
  <si>
    <t>+49 (0)69 643505 1407</t>
  </si>
  <si>
    <t>pensions schemes, groups</t>
  </si>
  <si>
    <t>pension schemes, groups</t>
  </si>
  <si>
    <t>Sonja Ebeling</t>
  </si>
  <si>
    <t>GARBE Industrial Real Estate GmbH</t>
  </si>
  <si>
    <t>Head of Investment Management</t>
  </si>
  <si>
    <t>s.ebeling@garbe.de</t>
  </si>
  <si>
    <t>+49 40 35613 1781</t>
  </si>
  <si>
    <t>Tobias Dichtl</t>
  </si>
  <si>
    <t>Helaba Invest</t>
  </si>
  <si>
    <t>Portfolio Analyst Research &amp; Strategy</t>
  </si>
  <si>
    <t>tobias.dichtl@helaba-invest.de</t>
  </si>
  <si>
    <t>+49 69 29970245</t>
  </si>
  <si>
    <t>Simone Roberti</t>
  </si>
  <si>
    <t>BNP Paribas Real Estate IM Italy</t>
  </si>
  <si>
    <t>Head of Research</t>
  </si>
  <si>
    <t>simone.roberti@bnpparibas.com</t>
  </si>
  <si>
    <t>Private Equity</t>
  </si>
  <si>
    <t>Patrick Schlump</t>
  </si>
  <si>
    <t>Bouwfonds Investment Management</t>
  </si>
  <si>
    <t>Director Client Relations</t>
  </si>
  <si>
    <t>p.schlump@bouwfondsim.com</t>
  </si>
  <si>
    <t>+49 30 590097774</t>
  </si>
  <si>
    <t>Daniel Taylor</t>
  </si>
  <si>
    <t>Ares Management</t>
  </si>
  <si>
    <t>Principal</t>
  </si>
  <si>
    <t>dtaylor@aresmgmt.com</t>
  </si>
  <si>
    <t>Wietse de Vries</t>
  </si>
  <si>
    <t>Almazara</t>
  </si>
  <si>
    <t>partner</t>
  </si>
  <si>
    <t>wietse@almazara.nl</t>
  </si>
  <si>
    <t>not our business to raise equity; we advise pension funds and invest for th</t>
  </si>
  <si>
    <t>Erwan LE BERRE</t>
  </si>
  <si>
    <t>FREO Group</t>
  </si>
  <si>
    <t>e.leberre@freogroup.com</t>
  </si>
  <si>
    <t>Private equity</t>
  </si>
  <si>
    <t>Omar FJER</t>
  </si>
  <si>
    <t>ARDIAN</t>
  </si>
  <si>
    <t>Senior Investment Manager</t>
  </si>
  <si>
    <t>omar.fjer@ardian.com</t>
  </si>
  <si>
    <t>+33 7 84 18 61 37</t>
  </si>
  <si>
    <t>Foundations</t>
  </si>
  <si>
    <t>Donovan McGill</t>
  </si>
  <si>
    <t>La Française</t>
  </si>
  <si>
    <t>International Marketing Manager</t>
  </si>
  <si>
    <t>dmcgill@la-francaise.com</t>
  </si>
  <si>
    <t>Steven Wayne</t>
  </si>
  <si>
    <t>Jensen Group</t>
  </si>
  <si>
    <t>Steve@jensen.ru</t>
  </si>
  <si>
    <t>Russian Federation</t>
  </si>
  <si>
    <t>Weak market</t>
  </si>
  <si>
    <t>Mathijs Eikelenboom</t>
  </si>
  <si>
    <t>Altera Vastgoed NV</t>
  </si>
  <si>
    <t>Manager Investor Relations</t>
  </si>
  <si>
    <t>mathijs.eikelenboom@alteravastgoed.nl</t>
  </si>
  <si>
    <t>+31 611226979</t>
  </si>
  <si>
    <t>Stein B. Monsen</t>
  </si>
  <si>
    <t>DNB Life / DNB REIM</t>
  </si>
  <si>
    <t>stein.monsen@dnb.no</t>
  </si>
  <si>
    <t>MICHAEL WALTON</t>
  </si>
  <si>
    <t>Rynda Property Investors LLP</t>
  </si>
  <si>
    <t>michael.walton@ryndaproperty.com</t>
  </si>
  <si>
    <t>020 3328 4700</t>
  </si>
  <si>
    <t>JV`s are a better option than funds</t>
  </si>
  <si>
    <t>Naomi Vlakancic</t>
  </si>
  <si>
    <t>Savills Investment Management</t>
  </si>
  <si>
    <t>naomi.vlakancic@savillsim.com</t>
  </si>
  <si>
    <t>+44 (0)20 7409 5927</t>
  </si>
  <si>
    <t>Bank/corporate</t>
  </si>
  <si>
    <t>Dr. Thomas Beyerle</t>
  </si>
  <si>
    <t>Catella</t>
  </si>
  <si>
    <t>Head of Group Research</t>
  </si>
  <si>
    <t>thomas.beyerle@catella.de</t>
  </si>
  <si>
    <t>+49 69 3101930220</t>
  </si>
  <si>
    <t>Mark Nieuwenbroek</t>
  </si>
  <si>
    <t>Amvest</t>
  </si>
  <si>
    <t>mnieuwenbroek@amvest.nl</t>
  </si>
  <si>
    <t>+31(0)20 430 13 08</t>
  </si>
  <si>
    <t>Patrick Gylling</t>
  </si>
  <si>
    <t>Sirius Capital Partners</t>
  </si>
  <si>
    <t>patrick.gylling@sirius.fi</t>
  </si>
  <si>
    <t>Finland</t>
  </si>
  <si>
    <t>Daniele Bianchi</t>
  </si>
  <si>
    <t>Castello SGR SPA</t>
  </si>
  <si>
    <t>Head of Investments</t>
  </si>
  <si>
    <t>d.bianchi@castellosgr.com</t>
  </si>
  <si>
    <t>+39 345 7881171</t>
  </si>
  <si>
    <t>john humberstone</t>
  </si>
  <si>
    <t>orchard street investment management</t>
  </si>
  <si>
    <t>jh@orchard-street.co.uk</t>
  </si>
  <si>
    <t>0207 851 4370</t>
  </si>
  <si>
    <t>column</t>
  </si>
  <si>
    <t>_northamerica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</si>
  <si>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</si>
  <si>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</si>
  <si>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</si>
  <si>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</si>
  <si>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</si>
  <si>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</si>
  <si>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</si>
  <si>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</si>
  <si>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</si>
  <si>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</si>
  <si>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</si>
  <si>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</si>
  <si>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</si>
  <si>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</si>
  <si>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</si>
  <si>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</si>
  <si>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</si>
  <si>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</si>
  <si>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</si>
  <si>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</si>
  <si>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</si>
  <si>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</si>
  <si>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</si>
  <si>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</si>
  <si>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</si>
  <si>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</si>
  <si>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</si>
  <si>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</si>
  <si>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</si>
  <si>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</si>
  <si>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</si>
  <si>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</si>
  <si>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</si>
  <si>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</si>
  <si>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</si>
  <si>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</si>
  <si>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</si>
  <si>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</si>
  <si>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</si>
  <si>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</si>
  <si>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</si>
  <si>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</si>
  <si>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</si>
  <si>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</si>
  <si>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</si>
  <si>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</si>
  <si>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</si>
  <si>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</si>
  <si>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</si>
  <si>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</si>
  <si>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</si>
  <si>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</si>
  <si>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</si>
  <si>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</si>
  <si>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</si>
  <si>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</si>
  <si>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</si>
  <si>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</si>
  <si>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</si>
  <si>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</si>
  <si>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</si>
  <si>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</si>
  <si>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</si>
  <si>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</si>
  <si>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</si>
  <si>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</si>
  <si>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</si>
  <si>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</si>
  <si>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</si>
  <si>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</si>
  <si>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</si>
  <si>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</si>
  <si>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</si>
  <si>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</si>
  <si>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</si>
  <si>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</si>
  <si>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</si>
  <si>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</si>
  <si>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</si>
  <si>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</si>
  <si>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</si>
  <si>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</si>
  <si>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</si>
  <si>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</si>
  <si>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</si>
  <si>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</si>
  <si>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</si>
  <si>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</si>
  <si>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</si>
  <si>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</si>
  <si>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</si>
  <si>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</si>
  <si>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</si>
  <si>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</si>
  <si>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</si>
  <si>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</si>
  <si>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</si>
  <si>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</si>
  <si>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</si>
  <si>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</si>
  <si>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</si>
  <si>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</si>
  <si>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</si>
  <si>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</si>
  <si>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</si>
  <si>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</si>
  <si>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</si>
  <si>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</si>
  <si>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</si>
  <si>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</si>
  <si>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</si>
  <si>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</si>
  <si>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</si>
  <si>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</si>
  <si>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</si>
  <si>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</si>
  <si>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</si>
  <si>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</si>
  <si>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</si>
  <si>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</si>
  <si>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</si>
  <si>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</si>
  <si>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</si>
  <si>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</si>
  <si>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</si>
  <si>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</si>
  <si>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</si>
  <si>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</si>
  <si>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</si>
  <si>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</si>
  <si>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</si>
  <si>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</si>
  <si>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</si>
  <si>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</si>
  <si>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</si>
  <si>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</si>
  <si>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</si>
  <si>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</si>
  <si>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</si>
  <si>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</si>
  <si>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</si>
  <si>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</si>
  <si>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</si>
  <si>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</si>
  <si>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</si>
  <si>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</si>
  <si>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</si>
  <si>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</si>
  <si>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</si>
  <si>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</si>
  <si>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</si>
  <si>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</si>
  <si>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</si>
  <si>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</si>
  <si>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</si>
  <si>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</si>
  <si>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</si>
  <si>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</si>
  <si>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</si>
  <si>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</si>
  <si>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</si>
  <si>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</si>
  <si>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</si>
  <si>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</si>
  <si>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</si>
  <si>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</si>
  <si>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</si>
  <si>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</si>
  <si>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</si>
  <si>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</si>
  <si>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</si>
  <si>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</si>
  <si>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</si>
  <si>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</si>
  <si>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</si>
  <si>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</si>
  <si>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</si>
  <si>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</si>
  <si>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</si>
  <si>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</si>
  <si>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</si>
  <si>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</si>
  <si>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</si>
  <si>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</si>
  <si>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</si>
  <si>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</si>
  <si>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</si>
  <si>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</si>
  <si>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</si>
  <si>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</si>
  <si>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</si>
  <si>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</si>
  <si>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</si>
  <si>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</si>
  <si>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</si>
  <si>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</si>
  <si>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</si>
  <si>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</si>
  <si>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</si>
  <si>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</si>
  <si>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</si>
  <si>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</si>
  <si>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</si>
  <si>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</si>
  <si>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</si>
  <si>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</si>
  <si>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</si>
  <si>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</si>
  <si>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</si>
  <si>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</si>
  <si>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</si>
  <si>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</si>
  <si>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</si>
  <si>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</si>
  <si>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</si>
  <si>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</si>
  <si>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</si>
  <si>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</si>
  <si>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</si>
  <si>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</si>
  <si>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</si>
  <si>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</si>
  <si>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</si>
  <si>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</si>
  <si>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</si>
  <si>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</si>
  <si>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</si>
  <si>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</si>
  <si>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</si>
  <si>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</si>
  <si>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</si>
  <si>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</si>
  <si>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</si>
  <si>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</si>
  <si>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</si>
  <si>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</si>
  <si>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</si>
  <si>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</si>
  <si>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</si>
  <si>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</si>
  <si>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</si>
  <si>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</si>
  <si>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</si>
  <si>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</si>
  <si>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</si>
  <si>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</si>
  <si>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</si>
  <si>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</si>
  <si>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</si>
  <si>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</si>
  <si>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</si>
  <si>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</si>
  <si>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</si>
  <si>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</si>
  <si>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</si>
  <si>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</si>
  <si>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</si>
  <si>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</si>
  <si>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</si>
  <si>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</si>
  <si>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</si>
  <si>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</si>
  <si>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</si>
  <si>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</si>
  <si>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</si>
  <si>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</si>
  <si>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</si>
  <si>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</si>
  <si>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</si>
  <si>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</si>
  <si>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</si>
  <si>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</si>
  <si>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</si>
  <si>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</si>
  <si>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</si>
  <si>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</si>
  <si>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</si>
  <si>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</si>
  <si>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</si>
  <si>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</si>
  <si>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</si>
  <si>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</si>
  <si>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</si>
  <si>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</si>
  <si>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</si>
  <si>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</si>
  <si>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</si>
  <si>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</si>
  <si>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</si>
  <si>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</si>
  <si>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</si>
  <si>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</si>
  <si>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</si>
  <si>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</si>
  <si>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</si>
  <si>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</si>
  <si>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</si>
  <si>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</si>
  <si>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</si>
  <si>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</si>
  <si>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</si>
  <si>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</si>
  <si>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</si>
  <si>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</si>
  <si>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</si>
  <si>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</si>
  <si>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</si>
  <si>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</si>
  <si>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</si>
  <si>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</si>
  <si>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</si>
  <si>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</si>
  <si>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</si>
  <si>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</si>
  <si>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</si>
  <si>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</si>
  <si>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</si>
  <si>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</si>
  <si>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</si>
  <si>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</si>
  <si>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</si>
  <si>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</si>
  <si>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</si>
  <si>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</si>
  <si>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</si>
  <si>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</si>
  <si>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</si>
  <si>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</si>
  <si>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</si>
  <si>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</si>
  <si>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</si>
  <si>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</si>
  <si>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</si>
  <si>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</si>
  <si>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</si>
  <si>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</si>
  <si>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</si>
  <si>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</si>
  <si>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</si>
  <si>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</si>
  <si>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</si>
  <si>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</si>
  <si>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</si>
  <si>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</si>
  <si>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</si>
  <si>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</si>
  <si>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</si>
  <si>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</si>
  <si>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</si>
  <si>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</si>
  <si>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</si>
  <si>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</si>
  <si>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</si>
  <si>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</si>
  <si>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</si>
  <si>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</si>
  <si>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</si>
  <si>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</si>
  <si>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</si>
  <si>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</si>
  <si>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</si>
  <si>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</si>
  <si>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</si>
  <si>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</si>
  <si>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</si>
  <si>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</si>
  <si>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</si>
  <si>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</si>
  <si>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</si>
  <si>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</si>
  <si>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</si>
  <si>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</si>
  <si>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</si>
  <si>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</si>
  <si>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</si>
  <si>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</si>
  <si>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</si>
  <si>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</si>
  <si>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</si>
  <si>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</si>
  <si>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</si>
  <si>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</si>
  <si>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</si>
  <si>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</si>
  <si>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</si>
  <si>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</si>
  <si>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</si>
  <si>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</si>
  <si>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</si>
  <si>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</si>
  <si>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</si>
  <si>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</si>
  <si>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</si>
  <si>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</si>
  <si>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</si>
  <si>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</si>
  <si>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</si>
  <si>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</si>
  <si>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</si>
  <si>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</si>
  <si>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</si>
  <si>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</si>
  <si>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</si>
  <si>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</si>
  <si>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</si>
  <si>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</si>
  <si>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</si>
  <si>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</si>
  <si>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</si>
  <si>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</si>
  <si>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</si>
  <si>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</si>
  <si>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</si>
  <si>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</si>
  <si>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</si>
  <si>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</si>
  <si>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</si>
  <si>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</si>
  <si>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</si>
  <si>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</si>
  <si>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</si>
  <si>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</si>
  <si>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</si>
  <si>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</si>
  <si>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</si>
  <si>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</si>
  <si>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</si>
  <si>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</si>
  <si>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</si>
  <si>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</si>
  <si>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</si>
  <si>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</si>
  <si>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</si>
  <si>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</si>
  <si>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</si>
  <si>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</si>
  <si>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</si>
  <si>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</si>
  <si>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</si>
  <si>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</si>
  <si>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</si>
  <si>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</si>
  <si>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</si>
  <si>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</si>
  <si>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</si>
  <si>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</si>
  <si>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</si>
  <si>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</si>
  <si>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</si>
  <si>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</si>
  <si>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</si>
  <si>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</si>
  <si>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</si>
  <si>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</si>
  <si>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</si>
  <si>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</si>
  <si>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</si>
  <si>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</si>
  <si>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</si>
  <si>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</si>
  <si>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</si>
  <si>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</si>
  <si>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</si>
  <si>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</si>
  <si>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</si>
  <si>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</si>
  <si>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</si>
  <si>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</si>
  <si>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</si>
  <si>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</si>
  <si>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</si>
  <si>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</si>
  <si>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</si>
  <si>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</si>
  <si>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</si>
  <si>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</si>
  <si>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</si>
  <si>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</si>
  <si>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</si>
  <si>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</si>
  <si>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</si>
  <si>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</si>
  <si>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</si>
  <si>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</si>
  <si>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</si>
  <si>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</si>
  <si>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</si>
  <si>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</si>
  <si>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</si>
  <si>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</si>
  <si>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</si>
  <si>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</si>
  <si>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</si>
  <si>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</si>
  <si>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</si>
  <si>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</si>
  <si>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</si>
  <si>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</si>
  <si>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</si>
  <si>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</si>
  <si>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</si>
  <si>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</si>
  <si>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</si>
  <si>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</si>
  <si>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</si>
  <si>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</si>
  <si>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</si>
  <si>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</si>
  <si>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</si>
  <si>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</si>
  <si>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</si>
  <si>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</si>
  <si>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</si>
  <si>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</si>
  <si>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</si>
  <si>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</si>
  <si>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</si>
  <si>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</si>
  <si>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</si>
  <si>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</si>
  <si>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</si>
  <si>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</si>
  <si>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</si>
  <si>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</si>
  <si>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</si>
  <si>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</si>
  <si>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</si>
  <si>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</si>
  <si>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</si>
  <si>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</si>
  <si>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</si>
  <si>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</si>
  <si>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</si>
  <si>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</si>
  <si>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</si>
  <si>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</si>
  <si>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</si>
  <si>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</si>
  <si>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</si>
  <si>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</si>
  <si>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</si>
  <si>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</si>
  <si>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</si>
  <si>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</si>
  <si>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</si>
  <si>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</si>
  <si>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</si>
  <si>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</si>
  <si>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</si>
  <si>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</si>
  <si>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</si>
  <si>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</si>
  <si>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</si>
  <si>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</si>
  <si>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</si>
  <si>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</si>
  <si>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</si>
  <si>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</si>
  <si>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</si>
  <si>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</si>
  <si>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</si>
  <si>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</si>
  <si>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</si>
  <si>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</si>
  <si>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</si>
  <si>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</si>
  <si>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</si>
  <si>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</si>
  <si>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</si>
  <si>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</si>
  <si>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</si>
  <si>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</si>
  <si>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</si>
  <si>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</si>
  <si>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</si>
  <si>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</si>
  <si>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</si>
  <si>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</si>
  <si>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</si>
  <si>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</si>
  <si>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</si>
  <si>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</si>
  <si>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</si>
  <si>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</si>
  <si>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</si>
  <si>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</si>
  <si>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</si>
  <si>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</si>
  <si>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</si>
  <si>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</si>
  <si>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</si>
  <si>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</si>
  <si>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</si>
  <si>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</si>
  <si>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</si>
  <si>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</si>
  <si>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</si>
  <si>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</si>
  <si>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</si>
  <si>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</si>
  <si>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</si>
  <si>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</si>
  <si>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</si>
  <si>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</si>
  <si>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</si>
  <si>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</si>
  <si>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</si>
  <si>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</si>
  <si>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</si>
  <si>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</si>
  <si>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</si>
  <si>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</si>
  <si>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</si>
  <si>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</si>
  <si>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</si>
  <si>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</si>
  <si>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</si>
  <si>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</si>
  <si>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</si>
  <si>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</si>
  <si>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</si>
  <si>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</si>
  <si>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</si>
  <si>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</si>
  <si>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</si>
  <si>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</si>
  <si>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</si>
  <si>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</si>
  <si>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</si>
  <si>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</si>
  <si>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</si>
  <si>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</si>
  <si>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</si>
  <si>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</si>
  <si>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</si>
  <si>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</si>
  <si>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</si>
  <si>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</si>
  <si>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</si>
  <si>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</si>
  <si>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</si>
  <si>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</si>
  <si>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dtcode</t>
  </si>
  <si>
    <t>4_1</t>
  </si>
  <si>
    <t>4_2</t>
  </si>
  <si>
    <t>5_1</t>
  </si>
  <si>
    <t>5_2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</si>
  <si>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</si>
  <si>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</si>
  <si>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</si>
  <si>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</si>
  <si>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</si>
  <si>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</si>
  <si>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</si>
  <si>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</si>
  <si>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</si>
  <si>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</si>
  <si>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</si>
  <si>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</si>
  <si>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</si>
  <si>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</si>
  <si>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</si>
  <si>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</si>
  <si>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</si>
  <si>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</si>
  <si>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</si>
  <si>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</si>
  <si>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</si>
  <si>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</si>
  <si>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</si>
  <si>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</si>
  <si>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</si>
  <si>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</si>
  <si>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</si>
  <si>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</si>
  <si>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</si>
  <si>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</si>
  <si>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</si>
  <si>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</si>
  <si>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</si>
  <si>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</si>
  <si>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</si>
  <si>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</si>
  <si>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</si>
  <si>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</si>
  <si>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</si>
  <si>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</si>
  <si>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</si>
  <si>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</si>
  <si>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</si>
  <si>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</si>
  <si>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</si>
  <si>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</si>
  <si>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</si>
  <si>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</si>
  <si>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</si>
  <si>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</si>
  <si>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</si>
  <si>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</si>
  <si>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</si>
  <si>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</si>
  <si>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</si>
  <si>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</si>
  <si>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</si>
  <si>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</si>
  <si>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</si>
  <si>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</si>
  <si>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</si>
  <si>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</si>
  <si>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</si>
  <si>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</si>
  <si>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</si>
  <si>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</si>
  <si>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</si>
  <si>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</si>
  <si>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</si>
  <si>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</si>
  <si>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</si>
  <si>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</si>
  <si>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</si>
  <si>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</si>
  <si>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</si>
  <si>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</si>
  <si>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</si>
  <si>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</si>
  <si>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</si>
  <si>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</si>
  <si>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</si>
  <si>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</si>
  <si>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</si>
  <si>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</si>
  <si>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</si>
  <si>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</si>
  <si>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</si>
  <si>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</si>
  <si>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</si>
  <si>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</si>
  <si>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</si>
  <si>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</si>
  <si>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</si>
  <si>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</si>
  <si>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</si>
  <si>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</si>
  <si>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</si>
  <si>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</si>
  <si>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</si>
  <si>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</si>
  <si>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</si>
  <si>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</si>
  <si>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</si>
  <si>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</si>
  <si>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</si>
  <si>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</si>
  <si>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</si>
  <si>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</si>
  <si>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</si>
  <si>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</si>
  <si>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</si>
  <si>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</si>
  <si>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</si>
  <si>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</si>
  <si>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</si>
  <si>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</si>
  <si>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</si>
  <si>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</si>
  <si>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</si>
  <si>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</si>
  <si>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</si>
  <si>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</si>
  <si>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</si>
  <si>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</si>
  <si>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</si>
  <si>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</si>
  <si>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</si>
  <si>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</si>
  <si>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</si>
  <si>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</si>
  <si>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</si>
  <si>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</si>
  <si>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</si>
  <si>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</si>
  <si>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</si>
  <si>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</si>
  <si>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</si>
  <si>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</si>
  <si>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</si>
  <si>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</si>
  <si>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</si>
  <si>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</si>
  <si>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</si>
  <si>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</si>
  <si>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</si>
  <si>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</si>
  <si>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</si>
  <si>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</si>
  <si>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</si>
  <si>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</si>
  <si>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</si>
  <si>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</si>
  <si>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</si>
  <si>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</si>
  <si>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</si>
  <si>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</si>
  <si>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</si>
  <si>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</si>
  <si>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</si>
  <si>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</si>
  <si>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</si>
  <si>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</si>
  <si>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</si>
  <si>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</si>
  <si>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</si>
  <si>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</si>
  <si>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</si>
  <si>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</si>
  <si>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</si>
  <si>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</si>
  <si>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</si>
  <si>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</si>
  <si>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</si>
  <si>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</si>
  <si>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</si>
  <si>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</si>
  <si>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</si>
  <si>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</si>
  <si>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</si>
  <si>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</si>
  <si>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</si>
  <si>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</si>
  <si>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</si>
  <si>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</si>
  <si>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</si>
  <si>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</si>
  <si>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</si>
  <si>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</si>
  <si>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</si>
  <si>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</si>
  <si>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</si>
  <si>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</si>
  <si>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</si>
  <si>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</si>
  <si>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</si>
  <si>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</si>
  <si>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</si>
  <si>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</si>
  <si>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</si>
  <si>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</si>
  <si>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</si>
  <si>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</si>
  <si>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</si>
  <si>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</si>
  <si>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</si>
  <si>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</si>
  <si>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</si>
  <si>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</si>
  <si>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</si>
  <si>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</si>
  <si>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</si>
  <si>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</si>
  <si>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</si>
  <si>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</si>
  <si>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</si>
  <si>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</si>
  <si>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</si>
  <si>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</si>
  <si>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</si>
  <si>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</si>
  <si>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</si>
  <si>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</si>
  <si>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</si>
  <si>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</si>
  <si>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</si>
  <si>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</si>
  <si>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</si>
  <si>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</si>
  <si>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</si>
  <si>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</si>
  <si>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</si>
  <si>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</si>
  <si>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</si>
  <si>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</si>
  <si>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</si>
  <si>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</si>
  <si>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</si>
  <si>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</si>
  <si>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</si>
  <si>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</si>
  <si>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</si>
  <si>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</si>
  <si>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</si>
  <si>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</si>
  <si>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</si>
  <si>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</si>
  <si>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</si>
  <si>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</si>
  <si>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</si>
  <si>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</si>
  <si>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</si>
  <si>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</si>
  <si>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</si>
  <si>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</si>
  <si>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</si>
  <si>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</si>
  <si>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</si>
  <si>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</si>
  <si>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</si>
  <si>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</si>
  <si>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</si>
  <si>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</si>
  <si>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</si>
  <si>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</si>
  <si>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</si>
  <si>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</si>
  <si>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</si>
  <si>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</si>
  <si>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</si>
  <si>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</si>
  <si>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</si>
  <si>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</si>
  <si>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</si>
  <si>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</si>
  <si>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</si>
  <si>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</si>
  <si>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</si>
  <si>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</si>
  <si>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</si>
  <si>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</si>
  <si>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</si>
  <si>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</si>
  <si>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</si>
  <si>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</si>
  <si>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</si>
  <si>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</si>
  <si>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</si>
  <si>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</si>
  <si>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</si>
  <si>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</si>
  <si>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</si>
  <si>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</si>
  <si>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</si>
  <si>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</si>
  <si>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</si>
  <si>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</si>
  <si>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</si>
  <si>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</si>
  <si>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</si>
  <si>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</si>
  <si>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</si>
  <si>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</si>
  <si>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</si>
  <si>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</si>
  <si>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</si>
  <si>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</si>
  <si>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</si>
  <si>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</si>
  <si>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</si>
  <si>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</si>
  <si>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</si>
  <si>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</si>
  <si>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</si>
  <si>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</si>
  <si>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</si>
  <si>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</si>
  <si>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</si>
  <si>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</si>
  <si>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</si>
  <si>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</si>
  <si>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</si>
  <si>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</si>
  <si>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</si>
  <si>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</si>
  <si>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</si>
  <si>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</si>
  <si>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</si>
  <si>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</si>
  <si>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</si>
  <si>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</si>
  <si>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</si>
  <si>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</si>
  <si>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</si>
  <si>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</si>
  <si>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</si>
  <si>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</si>
  <si>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</si>
  <si>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</si>
  <si>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</si>
  <si>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</si>
  <si>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</si>
  <si>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</si>
  <si>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</si>
  <si>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</si>
  <si>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</si>
  <si>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</si>
  <si>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</si>
  <si>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</si>
  <si>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</si>
  <si>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</si>
  <si>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</si>
  <si>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</si>
  <si>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</si>
  <si>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</si>
  <si>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</si>
  <si>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</si>
  <si>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</si>
  <si>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</si>
  <si>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</si>
  <si>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</si>
  <si>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</si>
  <si>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</si>
  <si>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</si>
  <si>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</si>
  <si>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</si>
  <si>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</si>
  <si>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</si>
  <si>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</si>
  <si>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</si>
  <si>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</si>
  <si>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</si>
  <si>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</si>
  <si>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</si>
  <si>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</si>
  <si>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</si>
  <si>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</si>
  <si>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</si>
  <si>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</si>
  <si>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</si>
  <si>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</si>
  <si>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</si>
  <si>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</si>
  <si>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</si>
  <si>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</si>
  <si>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</si>
  <si>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</si>
  <si>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</si>
  <si>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</si>
  <si>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</si>
  <si>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</si>
  <si>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</si>
  <si>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</si>
  <si>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</si>
  <si>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</si>
  <si>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</si>
  <si>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</si>
  <si>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</si>
  <si>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</si>
  <si>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</si>
  <si>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</si>
  <si>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</si>
  <si>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</si>
  <si>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</si>
  <si>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</si>
  <si>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</si>
  <si>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</si>
  <si>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</si>
  <si>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</si>
  <si>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</si>
  <si>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</si>
  <si>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</si>
  <si>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</si>
  <si>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</si>
  <si>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</si>
  <si>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</si>
  <si>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</si>
  <si>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</si>
  <si>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</si>
  <si>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</si>
  <si>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</si>
  <si>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</si>
  <si>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</si>
  <si>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</si>
  <si>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</si>
  <si>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</si>
  <si>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</si>
  <si>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</si>
  <si>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</si>
  <si>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</si>
  <si>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</si>
  <si>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</si>
  <si>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</si>
  <si>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</si>
  <si>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</si>
  <si>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</si>
  <si>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</si>
  <si>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</si>
  <si>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</si>
  <si>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</si>
  <si>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</si>
  <si>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</si>
  <si>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</si>
  <si>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</si>
  <si>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</si>
  <si>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</si>
  <si>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</si>
  <si>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</si>
  <si>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</si>
  <si>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</si>
  <si>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</si>
  <si>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</si>
  <si>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</si>
  <si>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</si>
  <si>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</si>
  <si>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</si>
  <si>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</si>
  <si>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</si>
  <si>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</si>
  <si>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</si>
  <si>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</si>
  <si>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</si>
  <si>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</si>
  <si>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</si>
  <si>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</si>
  <si>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</si>
  <si>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</si>
  <si>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</si>
  <si>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</si>
  <si>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</si>
  <si>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</si>
  <si>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</si>
  <si>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</si>
  <si>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</si>
  <si>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</si>
  <si>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</si>
  <si>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</si>
  <si>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</si>
  <si>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</si>
  <si>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</si>
  <si>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</si>
  <si>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</si>
  <si>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</si>
  <si>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</si>
  <si>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</si>
  <si>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</si>
  <si>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</si>
  <si>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</si>
  <si>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</si>
  <si>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</si>
  <si>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</si>
  <si>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</si>
  <si>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</si>
  <si>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</si>
  <si>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</si>
  <si>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</si>
  <si>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</si>
  <si>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</si>
  <si>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</si>
  <si>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</si>
  <si>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</si>
  <si>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</si>
  <si>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</si>
  <si>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</si>
  <si>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</si>
  <si>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</si>
  <si>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</si>
  <si>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</si>
  <si>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</si>
  <si>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</si>
  <si>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</si>
  <si>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</si>
  <si>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</si>
  <si>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</si>
  <si>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</si>
  <si>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</si>
  <si>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</si>
  <si>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</si>
  <si>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</si>
  <si>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</si>
  <si>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</si>
  <si>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</si>
  <si>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</si>
  <si>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</si>
  <si>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</si>
  <si>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</si>
  <si>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</si>
  <si>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</si>
  <si>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</si>
  <si>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</si>
  <si>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</si>
  <si>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</si>
  <si>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</si>
  <si>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</si>
  <si>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</si>
  <si>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</si>
  <si>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</si>
  <si>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</si>
  <si>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</si>
  <si>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</si>
  <si>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</si>
  <si>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</si>
  <si>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</si>
  <si>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</si>
  <si>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</si>
  <si>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</si>
  <si>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</si>
  <si>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</si>
  <si>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</si>
  <si>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</si>
  <si>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</si>
  <si>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</si>
  <si>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</si>
  <si>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</si>
  <si>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</si>
  <si>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</si>
  <si>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</si>
  <si>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</si>
  <si>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</si>
  <si>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</si>
  <si>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</si>
  <si>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</si>
  <si>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</si>
  <si>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</si>
  <si>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</si>
  <si>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</si>
  <si>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</si>
  <si>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</si>
  <si>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</si>
  <si>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</si>
  <si>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</si>
  <si>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</si>
  <si>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</si>
  <si>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</si>
  <si>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</si>
  <si>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</si>
  <si>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</si>
  <si>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</si>
  <si>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</si>
  <si>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</si>
  <si>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</si>
  <si>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</si>
  <si>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</si>
  <si>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</si>
  <si>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</si>
  <si>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</si>
  <si>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</si>
  <si>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</si>
  <si>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</si>
  <si>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</si>
  <si>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</si>
  <si>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</si>
  <si>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</si>
  <si>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</si>
  <si>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</si>
  <si>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</si>
  <si>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</si>
  <si>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</si>
  <si>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</si>
  <si>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</si>
  <si>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</si>
  <si>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</si>
  <si>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</si>
  <si>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</si>
  <si>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</si>
  <si>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</si>
  <si>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</si>
  <si>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</si>
  <si>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</si>
  <si>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</si>
  <si>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</si>
  <si>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</si>
  <si>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</si>
  <si>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</si>
  <si>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</si>
  <si>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</si>
  <si>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</si>
  <si>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</si>
  <si>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</si>
  <si>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</si>
  <si>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</si>
  <si>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</si>
  <si>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</si>
  <si>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</si>
  <si>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</si>
  <si>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</si>
  <si>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</si>
  <si>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</si>
  <si>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</si>
  <si>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</si>
  <si>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</si>
  <si>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</si>
  <si>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</si>
  <si>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</si>
  <si>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</si>
  <si>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</si>
  <si>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</si>
  <si>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</si>
  <si>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</si>
  <si>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</si>
  <si>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</si>
  <si>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</si>
  <si>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</si>
  <si>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</si>
  <si>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</si>
  <si>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</si>
  <si>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</si>
  <si>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</si>
  <si>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</si>
  <si>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</si>
  <si>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</si>
  <si>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</si>
  <si>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</si>
  <si>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</si>
  <si>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</si>
  <si>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</si>
  <si>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</si>
  <si>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</si>
  <si>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</si>
  <si>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</si>
  <si>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</si>
  <si>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</si>
  <si>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</si>
  <si>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</si>
  <si>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</si>
  <si>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</si>
  <si>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</si>
  <si>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</si>
  <si>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</si>
  <si>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</si>
  <si>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</si>
  <si>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</si>
  <si>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</si>
  <si>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</si>
  <si>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</si>
  <si>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</si>
  <si>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</si>
  <si>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</si>
  <si>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</si>
  <si>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</si>
  <si>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</si>
  <si>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</si>
  <si>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</si>
  <si>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</si>
  <si>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</si>
  <si>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</si>
  <si>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</si>
  <si>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</si>
  <si>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</si>
  <si>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</si>
  <si>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</si>
  <si>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</si>
  <si>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</si>
  <si>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</si>
  <si>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</si>
  <si>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</si>
  <si>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</si>
  <si>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</si>
  <si>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</si>
  <si>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</si>
  <si>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</si>
  <si>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</si>
  <si>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</si>
  <si>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</si>
  <si>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</si>
  <si>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</si>
  <si>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</si>
  <si>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</si>
  <si>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</si>
  <si>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</si>
  <si>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</si>
  <si>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</si>
  <si>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</si>
  <si>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</si>
  <si>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</si>
  <si>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</si>
  <si>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</si>
  <si>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</si>
  <si>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</si>
  <si>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</si>
  <si>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</si>
  <si>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</si>
  <si>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</si>
  <si>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</si>
  <si>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</si>
  <si>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</si>
  <si>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</si>
  <si>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</si>
  <si>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</si>
  <si>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</si>
  <si>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</si>
  <si>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</si>
  <si>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</si>
  <si>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</si>
  <si>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</si>
  <si>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</si>
  <si>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</si>
  <si>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</si>
  <si>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</si>
  <si>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</si>
  <si>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</si>
  <si>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</si>
  <si>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</si>
  <si>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</si>
  <si>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</si>
  <si>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</si>
  <si>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</si>
  <si>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</si>
  <si>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</si>
  <si>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</si>
  <si>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</si>
  <si>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</si>
  <si>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</si>
  <si>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</si>
  <si>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</si>
  <si>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</si>
  <si>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</si>
  <si>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</si>
  <si>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</si>
  <si>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</si>
  <si>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</si>
  <si>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</si>
  <si>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</si>
  <si>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</si>
  <si>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</si>
  <si>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</si>
  <si>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</si>
  <si>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</si>
  <si>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</si>
  <si>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</si>
  <si>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</si>
  <si>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</si>
  <si>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</si>
  <si>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</si>
  <si>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</si>
  <si>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</si>
  <si>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</si>
  <si>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</si>
  <si>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</si>
  <si>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</si>
  <si>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</si>
  <si>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</si>
  <si>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</si>
  <si>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</si>
  <si>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</si>
  <si>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</si>
  <si>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</si>
  <si>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</si>
  <si>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</si>
  <si>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</si>
  <si>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</si>
  <si>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</si>
  <si>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</si>
  <si>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</si>
  <si>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</si>
  <si>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</si>
  <si>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</si>
  <si>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</si>
  <si>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</si>
  <si>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</si>
  <si>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</si>
  <si>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</si>
  <si>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</si>
  <si>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</si>
  <si>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</si>
  <si>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</si>
  <si>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</si>
  <si>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</si>
  <si>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</si>
  <si>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</si>
  <si>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</si>
  <si>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</si>
  <si>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</si>
  <si>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</si>
  <si>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</si>
  <si>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</si>
  <si>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</si>
  <si>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</si>
  <si>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</si>
  <si>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</si>
  <si>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</si>
  <si>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</si>
  <si>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</si>
  <si>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</si>
  <si>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</si>
  <si>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</si>
  <si>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</si>
  <si>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</si>
  <si>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</si>
  <si>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</si>
  <si>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</si>
  <si>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</si>
  <si>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</si>
  <si>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</si>
  <si>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</si>
  <si>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</si>
  <si>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</si>
  <si>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</si>
  <si>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</si>
  <si>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</si>
  <si>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</si>
  <si>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</si>
  <si>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</si>
  <si>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</si>
  <si>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</si>
  <si>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</si>
  <si>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</si>
  <si>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</si>
  <si>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</si>
  <si>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</si>
  <si>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</si>
  <si>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</si>
  <si>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</si>
  <si>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</si>
  <si>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</si>
  <si>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</si>
  <si>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</si>
  <si>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</si>
  <si>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</si>
  <si>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</si>
  <si>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</si>
  <si>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</si>
  <si>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</si>
  <si>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</si>
  <si>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</si>
  <si>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</si>
  <si>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</si>
  <si>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</si>
  <si>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</si>
  <si>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</si>
  <si>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</si>
  <si>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</si>
  <si>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</si>
  <si>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</si>
  <si>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</si>
  <si>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</si>
  <si>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</si>
  <si>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</si>
  <si>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</si>
  <si>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</si>
  <si>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</si>
  <si>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</si>
  <si>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Did your company raise institutional capital for non-listed real estate vehicles in 2016?</t>
  </si>
  <si>
    <t>How much institutional capital did your company raise in 2016 (millions)?</t>
  </si>
  <si>
    <t>How much of the institutional capital raised in 2016 (millions) is already invested?</t>
  </si>
  <si>
    <t>How much institutional capital did your company raise for non-listed vehicles in 2016 by regional strategy (million)?</t>
  </si>
  <si>
    <t>For how many vehicles did your company raise institutional capital for in 2016?</t>
  </si>
  <si>
    <t>How much institutional capital did your company raise for non-listed vehicles in 2016 by investor type (million)?</t>
  </si>
  <si>
    <t>How much institutional capital did your company raise for non-listed vehicles in 2016 by investor domicile (million)?</t>
  </si>
  <si>
    <t>Total capital company raised in 2016 from Institutional Investors by investor domicile (million)</t>
  </si>
  <si>
    <t>For your Asia Pacific strategy, how much institutional capital did your company raise for non-listed vehicles in 2016 by investor type (million)?</t>
  </si>
  <si>
    <t>[Asia Pacific strategy] How much institutional capital did your company raise in 2016 by investor domicile (million)?</t>
  </si>
  <si>
    <t>For your European strategy, how much institutional capital did your company raise for non-listed vehicles in 2016 by investor type (million)?</t>
  </si>
  <si>
    <t>[European strategy] How much institutional capital did your company raise in 2016 by investor domicile (million)?</t>
  </si>
  <si>
    <t>For your North American strategy, how much institutional capital did your company raise for non-listed vehicles in 2016 by investor type (million)?</t>
  </si>
  <si>
    <t>[North American strategy] How much institutional capital did your company raise in 2016 by investor domicile (million)?</t>
  </si>
  <si>
    <t>For your Global strategy, how much institutional capital did your company raise for non-listed vehicles in 2016 by investor type (million)?</t>
  </si>
  <si>
    <t>[Global strategy] How much institutional capital did your company raise in 2016 by investor domicile (million)?</t>
  </si>
  <si>
    <t>For your South American strategy, how much institutional capital did your company raise for non-listed vehicles in 2016 by investor type (million)?</t>
  </si>
  <si>
    <t>[South American strategy] How much institutional capital did your company raise in 2016 by investor domicile (million)?</t>
  </si>
  <si>
    <t>For your African strategy, how much institutional capital did your company raise for non-listed vehicles in 2016 by investor type (million)?</t>
  </si>
  <si>
    <t>[African strategy] How much institutional capital did your company raise in 2016 by investor domicile (million)?</t>
  </si>
  <si>
    <t>TOTAL capital raised in 2016 by regional strategy (million)</t>
  </si>
  <si>
    <t>Total capital company raised in 2016 from institutional investors by investor type (million)</t>
  </si>
  <si>
    <t>Total number of vehicles company raised capital for in 2016 by regional strategy</t>
  </si>
  <si>
    <t>col</t>
  </si>
  <si>
    <t>Question</t>
  </si>
  <si>
    <t>Value</t>
  </si>
  <si>
    <t>Text</t>
  </si>
  <si>
    <t>Euro (EUR)</t>
  </si>
  <si>
    <t>Pound Sterling (GBP)</t>
  </si>
  <si>
    <t>US Dollar (USD)</t>
  </si>
  <si>
    <t>Australian Dollar (AUD)</t>
  </si>
  <si>
    <t>CHF</t>
  </si>
  <si>
    <t>Swiss Francs (CHF)</t>
  </si>
  <si>
    <t>Chinese Yuan (CNY)</t>
  </si>
  <si>
    <t>DKK</t>
  </si>
  <si>
    <t>Danish Krona (DKK)</t>
  </si>
  <si>
    <t>HKD</t>
  </si>
  <si>
    <t>Hong Kong Dollar (HKD)</t>
  </si>
  <si>
    <t>IDR</t>
  </si>
  <si>
    <t>Indonesian Rupiah (IDR)</t>
  </si>
  <si>
    <t>Indian Rupee (INR)</t>
  </si>
  <si>
    <t>Japanese Yen (JPY)</t>
  </si>
  <si>
    <t>South Korean Won (KRW)</t>
  </si>
  <si>
    <t>LKR</t>
  </si>
  <si>
    <t>Sri Lankan Rupee (LKR)</t>
  </si>
  <si>
    <t>MYR</t>
  </si>
  <si>
    <t>Malaysian Ringgit (MYR)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</si>
  <si>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</si>
  <si>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</si>
  <si>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</si>
  <si>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</si>
  <si>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</si>
  <si>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</si>
  <si>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</si>
  <si>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Swedish Krona (SEK)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</si>
  <si>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</si>
  <si>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</si>
  <si>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</si>
  <si>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</si>
  <si>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</si>
  <si>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</si>
  <si>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</si>
  <si>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</si>
  <si>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</si>
  <si>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</si>
  <si>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1</t>
  </si>
  <si>
    <t>Yes</t>
  </si>
  <si>
    <t>2</t>
  </si>
  <si>
    <t>No</t>
  </si>
  <si>
    <t>Track record</t>
  </si>
  <si>
    <t>Alignment of interest</t>
  </si>
  <si>
    <t>3</t>
  </si>
  <si>
    <t>Fund manager reputation</t>
  </si>
  <si>
    <t>4</t>
  </si>
  <si>
    <t>Associated costs</t>
  </si>
  <si>
    <t>5</t>
  </si>
  <si>
    <t>Corporate governance framework</t>
  </si>
  <si>
    <t>6</t>
  </si>
  <si>
    <t>Increase</t>
  </si>
  <si>
    <t>Decrease</t>
  </si>
  <si>
    <t>No change</t>
  </si>
  <si>
    <t>Positive impact</t>
  </si>
  <si>
    <t>Negative impact</t>
  </si>
  <si>
    <t>No impact</t>
  </si>
  <si>
    <t>OriginalColumn</t>
  </si>
  <si>
    <t>PERCENT</t>
  </si>
  <si>
    <t>answer_Label</t>
  </si>
  <si>
    <t>answer_label_condensed</t>
  </si>
  <si>
    <t>qn_breakdown_label</t>
  </si>
  <si>
    <t>section</t>
  </si>
  <si>
    <t>Topic</t>
  </si>
  <si>
    <t>sub_topic</t>
  </si>
  <si>
    <t>comment</t>
  </si>
  <si>
    <t/>
  </si>
  <si>
    <t>CapitalRaisingActivity_NonListedRealEstateVehicles</t>
  </si>
  <si>
    <t>CRact_NLV</t>
  </si>
  <si>
    <t>Capital Raising Activity</t>
  </si>
  <si>
    <t>Capital raising activity</t>
  </si>
  <si>
    <t>NoCapitalRaisingActivity_Reason</t>
  </si>
  <si>
    <t>NoCR_Reason</t>
  </si>
  <si>
    <t>Reason</t>
  </si>
  <si>
    <t>NoCapitalRaisingActivity_Reason_Othertext</t>
  </si>
  <si>
    <t>NoCR_Reason_OtherText</t>
  </si>
  <si>
    <t>Reason - Other Text</t>
  </si>
  <si>
    <t>q3</t>
  </si>
  <si>
    <t>q4</t>
  </si>
  <si>
    <t>TotalRealEstate</t>
  </si>
  <si>
    <t>Total</t>
  </si>
  <si>
    <t>Total real estate</t>
  </si>
  <si>
    <t xml:space="preserve">Capital raised </t>
  </si>
  <si>
    <t>NonListedRealEstate</t>
  </si>
  <si>
    <t>NL</t>
  </si>
  <si>
    <t>q5</t>
  </si>
  <si>
    <t>CapitalInvested_TotalRealEstate</t>
  </si>
  <si>
    <t>CI_Total</t>
  </si>
  <si>
    <t>Capital invested</t>
  </si>
  <si>
    <t>CapitalInvested_NonListedRealEstate</t>
  </si>
  <si>
    <t>CI_NL</t>
  </si>
  <si>
    <t>q6</t>
  </si>
  <si>
    <t>RegionalStrategyAsiaPacific_NonListedFunds</t>
  </si>
  <si>
    <t>RSAPAC_NLF</t>
  </si>
  <si>
    <t>Asia Pacific – Non-listed funds</t>
  </si>
  <si>
    <t>Regional Strategy and Vehicle Type</t>
  </si>
  <si>
    <t>RegionalStrategyAsiaPacific_SeparateAccountsDirect</t>
  </si>
  <si>
    <t>RSAPAC_SepAccDirect</t>
  </si>
  <si>
    <t>Asia Pacific - Separate accounts investing directly</t>
  </si>
  <si>
    <t>RegionalStrategyAsiaPacific_SeparateAccountsIndirect</t>
  </si>
  <si>
    <t>RSAPAC_SepAccIndirect</t>
  </si>
  <si>
    <t>Asia Pacific - Separate accounts investing indirectly</t>
  </si>
  <si>
    <t>RegionalStrategyAsiaPacific_JVs</t>
  </si>
  <si>
    <t>RSAPAC_JVs</t>
  </si>
  <si>
    <t>RegionalStrategyAsiaPacific_FundsOfFunds</t>
  </si>
  <si>
    <t>RSAPAC_FOF</t>
  </si>
  <si>
    <t>RegionalStrategyAsiaPacific_Debt</t>
  </si>
  <si>
    <t>RSAPAC_Debt</t>
  </si>
  <si>
    <t>Asia Pacific - Non-listed debt</t>
  </si>
  <si>
    <t>RegionalStrategyAsiaPacific_VehicleType_Total</t>
  </si>
  <si>
    <t>RSAPAC_VT_Total</t>
  </si>
  <si>
    <t>Asia Pacific - Vehicle type total</t>
  </si>
  <si>
    <t>RegionalStrategyEurope_NonListedFunds</t>
  </si>
  <si>
    <t>RSEUR_NLF</t>
  </si>
  <si>
    <t>Europe - Non-listed funds</t>
  </si>
  <si>
    <t>RegionalStrategyEurope_SeparateAccountsDirect</t>
  </si>
  <si>
    <t>RSEUR_SepAccDirect</t>
  </si>
  <si>
    <t>Europe - Separate accounts investing directly</t>
  </si>
  <si>
    <t>RegionalStrategyEurope_SeparateAccountsIndirect</t>
  </si>
  <si>
    <t>RSEUR_SepAccIndirect</t>
  </si>
  <si>
    <t>Europe - Separate accounts investing indirectly</t>
  </si>
  <si>
    <t>RegionalStrategyEurope_JVs</t>
  </si>
  <si>
    <t>RSEUR_JVs</t>
  </si>
  <si>
    <t>Europe -  Joint ventures and club deals</t>
  </si>
  <si>
    <t>RegionalStrategyEurope_FundsOfFunds</t>
  </si>
  <si>
    <t>RSEUR_FOF</t>
  </si>
  <si>
    <t>RegionalStrategyEurope_Debt</t>
  </si>
  <si>
    <t>RSEUR_Debt</t>
  </si>
  <si>
    <t>Europe - Non-listed debt</t>
  </si>
  <si>
    <t>RegionalStrategyEurope_VehicleType_Total</t>
  </si>
  <si>
    <t>RSEUR_VT_Total</t>
  </si>
  <si>
    <t>Europe - Vehicle type total</t>
  </si>
  <si>
    <t>RegionalStrategyNorthAmerica_NonListedFunds</t>
  </si>
  <si>
    <t>RSNA_NLF</t>
  </si>
  <si>
    <t>North America - Non-listed funds</t>
  </si>
  <si>
    <t>RegionalStrategyNorthAmerica_SeparateAccountsDirect</t>
  </si>
  <si>
    <t>RSNA_SepAccDirect</t>
  </si>
  <si>
    <t>North America - Separate accounts investing directly</t>
  </si>
  <si>
    <t>RegionalStrategyNorthAmerica_SeparateAccountsIndirect</t>
  </si>
  <si>
    <t>RSNA_SepAccIndirect</t>
  </si>
  <si>
    <t>North America - Separate accounts investing indirectly</t>
  </si>
  <si>
    <t>RegionalStrategyNorthAmerica_JVs</t>
  </si>
  <si>
    <t>RSNA_JVs</t>
  </si>
  <si>
    <t>North America -  Joint ventures and club deals</t>
  </si>
  <si>
    <t>RegionalStrategyNorthAmerica_FundsOfFunds</t>
  </si>
  <si>
    <t>RSNA_FOF</t>
  </si>
  <si>
    <t>RegionalStrategyNorthAmerica_Debt</t>
  </si>
  <si>
    <t>RSNA_Debt</t>
  </si>
  <si>
    <t>North America - Non-listed debt</t>
  </si>
  <si>
    <t>RegionalStrategyNorthAmerica_VehicleType_Total</t>
  </si>
  <si>
    <t>RSNA_VT_Total</t>
  </si>
  <si>
    <t>North America - Vehicle type total</t>
  </si>
  <si>
    <t>RegionalStrategyGlobal_NonListedFunds</t>
  </si>
  <si>
    <t>RSGLB_NLF</t>
  </si>
  <si>
    <t>Global - Non-listed funds</t>
  </si>
  <si>
    <t>RegionalStrategyGlobal_SeparateAccountsDirect</t>
  </si>
  <si>
    <t>RSGLB_SepAccDirect</t>
  </si>
  <si>
    <t>Global - Separate accounts investing directly</t>
  </si>
  <si>
    <t>RegionalStrategyGlobal_SeparateAccountsIndirect</t>
  </si>
  <si>
    <t>RSGLB_SepAccIndirect</t>
  </si>
  <si>
    <t>Global - Separate accounts investing indirectly</t>
  </si>
  <si>
    <t>RegionalStrategyGlobal_JVs</t>
  </si>
  <si>
    <t>RSGLB_JVs</t>
  </si>
  <si>
    <t>Global -  Joint ventures and club deals</t>
  </si>
  <si>
    <t>RegionalStrategyGlobal_FundsOfFunds</t>
  </si>
  <si>
    <t>RSGLB_FOF</t>
  </si>
  <si>
    <t>Global - Funds of funds</t>
  </si>
  <si>
    <t>RegionalStrategyGlobal_Debt</t>
  </si>
  <si>
    <t>RSGLB_Debt</t>
  </si>
  <si>
    <t>Global - Non-listed debt</t>
  </si>
  <si>
    <t>RegionalStrategyGlobal_VehicleType_Total</t>
  </si>
  <si>
    <t>RSGLB_VT_Total</t>
  </si>
  <si>
    <t>Global - Vehicle type total</t>
  </si>
  <si>
    <t>RegionalStrategySouthAmerica_NonListedFunds</t>
  </si>
  <si>
    <t>RSSA_NLF</t>
  </si>
  <si>
    <t>South America - Non-listed funds</t>
  </si>
  <si>
    <t>RegionalStrategySouthAmerica_SeparateAccountsDirect</t>
  </si>
  <si>
    <t>RSSA_SepAccDirect</t>
  </si>
  <si>
    <t>South America - Separate accounts investing directly</t>
  </si>
  <si>
    <t>RegionalStrategySouthAmerica_SeparateAccountsIndirect</t>
  </si>
  <si>
    <t>RSSA_SepAccIndirect</t>
  </si>
  <si>
    <t>South America - Separate accounts investing indirectly</t>
  </si>
  <si>
    <t>RegionalStrategySouthAmerica_JVs</t>
  </si>
  <si>
    <t>RSSA_JVs</t>
  </si>
  <si>
    <t>South America -  Joint ventures and club deals</t>
  </si>
  <si>
    <t>RegionalStrategySouthAmerica_FundsOfFunds</t>
  </si>
  <si>
    <t>RSSA_FOF</t>
  </si>
  <si>
    <t>RegionalStrategySouthAmerica_Debt</t>
  </si>
  <si>
    <t>RSSA_Debt</t>
  </si>
  <si>
    <t>South America - Non-listed debt</t>
  </si>
  <si>
    <t>RegionalStrategySouthAmerica_VehicleType_Total</t>
  </si>
  <si>
    <t>RSSA_VT_Total</t>
  </si>
  <si>
    <t>South America - Vehicle type total</t>
  </si>
  <si>
    <t>RegionalStrategyAfrica_NonListedFunds</t>
  </si>
  <si>
    <t>RSAFR_NLF</t>
  </si>
  <si>
    <t>Africa - Non-listed funds</t>
  </si>
  <si>
    <t>RegionalStrategyAfrica_SeparateAccountsDirect</t>
  </si>
  <si>
    <t>RSAFR_SepAccDirect</t>
  </si>
  <si>
    <t>Africa - Separate accounts investing directly</t>
  </si>
  <si>
    <t>RegionalStrategyAfrica_SeparateAccountsIndirect</t>
  </si>
  <si>
    <t>RSAFR_SepAccIndirect</t>
  </si>
  <si>
    <t>Africa - Separate accounts investing indirectly</t>
  </si>
  <si>
    <t>RegionalStrategyAfrica_JVs</t>
  </si>
  <si>
    <t>RSAFR_JVs</t>
  </si>
  <si>
    <t>Africa -  Joint ventures and club deals</t>
  </si>
  <si>
    <t>RegionalStrategyAfrica_FundsOfFunds</t>
  </si>
  <si>
    <t>RSAFR_FOF</t>
  </si>
  <si>
    <t>RegionalStrategyAfrica_Debt</t>
  </si>
  <si>
    <t>RSAFR_Debt</t>
  </si>
  <si>
    <t>Africa - Non-listed debt</t>
  </si>
  <si>
    <t>RegionalStrategyAfrica_VehicleType_Total</t>
  </si>
  <si>
    <t>RSAFR_VT_Total</t>
  </si>
  <si>
    <t>Africa - Vehicle type total</t>
  </si>
  <si>
    <t>RegionalStrategy_NonListedFunds</t>
  </si>
  <si>
    <t>RS_NLF</t>
  </si>
  <si>
    <t>Regional strategy - Non-listed funds total</t>
  </si>
  <si>
    <t>RegionalStrategy_SeparateAccountsDirect</t>
  </si>
  <si>
    <t>RS_SepAccDirect</t>
  </si>
  <si>
    <t>Regional strategy - Separate accounts investing directly total</t>
  </si>
  <si>
    <t>RegionalStrategy_SeparateAccountsIndirect</t>
  </si>
  <si>
    <t>RS_SepAccIndirect</t>
  </si>
  <si>
    <t>Regional strategy - Separate accounts investing indirectly total</t>
  </si>
  <si>
    <t>RegionalStrategy_JVs</t>
  </si>
  <si>
    <t>RS_JVs</t>
  </si>
  <si>
    <t>Regional strategy - Joint ventures and club deals total</t>
  </si>
  <si>
    <t>RegionalStrategy_FundsOfFunds</t>
  </si>
  <si>
    <t>RS_FOF</t>
  </si>
  <si>
    <t>Regional strategy - Funds of funds total</t>
  </si>
  <si>
    <t>RegionalStrategy_Debt</t>
  </si>
  <si>
    <t>RS_Debt</t>
  </si>
  <si>
    <t>Regional strategy - Non-listed debt total</t>
  </si>
  <si>
    <t>RegionalStrategy_VehicleType_Total</t>
  </si>
  <si>
    <t>RS_VT_Total</t>
  </si>
  <si>
    <t>Regional strategy - Vehicle type total</t>
  </si>
  <si>
    <t>7</t>
  </si>
  <si>
    <t>q7</t>
  </si>
  <si>
    <t>NOV_RegionalStrategyAsiaPacific_NonListedFunds</t>
  </si>
  <si>
    <t>NOV_RSAPAC_NLF</t>
  </si>
  <si>
    <t>NOV Capital raised</t>
  </si>
  <si>
    <t>NOV_RegionalStrategyAsiaPacific_SeparateAccountsDirect</t>
  </si>
  <si>
    <t>NOV_RSAPAC_SepAccDirect</t>
  </si>
  <si>
    <t>NOV_RegionalStrategyAsiaPacific_SeparateAccountsIndirect</t>
  </si>
  <si>
    <t>NOV_RSAPAC_SepAccIndirect</t>
  </si>
  <si>
    <t>NOV_RegionalStrategyAsiaPacific_JVs</t>
  </si>
  <si>
    <t>NOV_RSAPAC_JVs</t>
  </si>
  <si>
    <t>NOV_RegionalStrategyAsiaPacific_FundsOfFunds</t>
  </si>
  <si>
    <t>NOV_RSAPAC_FOF</t>
  </si>
  <si>
    <t>NOV_RegionalStrategyAsiaPacific_Debt</t>
  </si>
  <si>
    <t>NOV_RSAPAC_Debt</t>
  </si>
  <si>
    <t>NOV_RegionalStrategyAsiaPacific_VehicleType_Total</t>
  </si>
  <si>
    <t>NOV_RSAPAC_VT_Total</t>
  </si>
  <si>
    <t>NOV_RegionalStrategyEurope_NonListedFunds</t>
  </si>
  <si>
    <t>NOV_RSEUR_NLF</t>
  </si>
  <si>
    <t>NOV_RegionalStrategyEurope_SeparateAccountsDirect</t>
  </si>
  <si>
    <t>NOV_RSEUR_SepAccDirect</t>
  </si>
  <si>
    <t>NOV_RegionalStrategyEurope_SeparateAccountsIndirect</t>
  </si>
  <si>
    <t>NOV_RSEUR_SepAccIndirect</t>
  </si>
  <si>
    <t>NOV_RegionalStrategyEurope_JVs</t>
  </si>
  <si>
    <t>NOV_RSEUR_JVs</t>
  </si>
  <si>
    <t>NOV_RegionalStrategyEurope_FundsOfFunds</t>
  </si>
  <si>
    <t>NOV_RSEUR_FOF</t>
  </si>
  <si>
    <t>NOV_RegionalStrategyEurope_Debt</t>
  </si>
  <si>
    <t>NOV_RSEUR_Debt</t>
  </si>
  <si>
    <t>NOV_RegionalStrategyEurope_VehicleType_Total</t>
  </si>
  <si>
    <t>NOV_RSEUR_VT_Total</t>
  </si>
  <si>
    <t>NOV_RegionalStrategyNorthAmerica_NonListedFunds</t>
  </si>
  <si>
    <t>NOV_RSNA_NLF</t>
  </si>
  <si>
    <t>NOV_RegionalStrategyNorthAmerica_SeparateAccountsDirect</t>
  </si>
  <si>
    <t>NOV_RSNA_SepAccDirect</t>
  </si>
  <si>
    <t>NOV_RegionalStrategyNorthAmerica_SeparateAccountsIndirect</t>
  </si>
  <si>
    <t>NOV_RSNA_SepAccIndirect</t>
  </si>
  <si>
    <t>NOV_RegionalStrategyNorthAmerica_JVs</t>
  </si>
  <si>
    <t>NOV_RSNA_JVs</t>
  </si>
  <si>
    <t>NOV_RegionalStrategyNorthAmerica_FundsOfFunds</t>
  </si>
  <si>
    <t>NOV_RSNA_FOF</t>
  </si>
  <si>
    <t>NOV_RegionalStrategyNorthAmerica_Debt</t>
  </si>
  <si>
    <t>NOV_RSNA_Debt</t>
  </si>
  <si>
    <t>NOV_RegionalStrategyNorthAmerica_VehicleType_Total</t>
  </si>
  <si>
    <t>NOV_RSNA_VT_Total</t>
  </si>
  <si>
    <t>NOV_RegionalStrategyGlobal_NonListedFunds</t>
  </si>
  <si>
    <t>NOV_RSGLB_NLF</t>
  </si>
  <si>
    <t>NOV_RegionalStrategyGlobal_SeparateAccountsDirect</t>
  </si>
  <si>
    <t>NOV_RSGLB_SepAccDirect</t>
  </si>
  <si>
    <t>NOV_RegionalStrategyGlobal_SeparateAccountsIndirect</t>
  </si>
  <si>
    <t>NOV_RSGLB_SepAccIndirect</t>
  </si>
  <si>
    <t>NOV_RegionalStrategyGlobal_JVs</t>
  </si>
  <si>
    <t>NOV_RSGLB_JVs</t>
  </si>
  <si>
    <t>NOV_RegionalStrategyGlobal_FundsOfFunds</t>
  </si>
  <si>
    <t>NOV_RSGLB_FOF</t>
  </si>
  <si>
    <t>NOV_RegionalStrategyGlobal_Debt</t>
  </si>
  <si>
    <t>NOV_RSGLB_Debt</t>
  </si>
  <si>
    <t>NOV_RegionalStrategyGlobal_VehicleType_Total</t>
  </si>
  <si>
    <t>NOV_RSGLB_VT_Total</t>
  </si>
  <si>
    <t>NOV_RegionalStrategySouthAmerica_NonListedFunds</t>
  </si>
  <si>
    <t>NOV_RSSA_NLF</t>
  </si>
  <si>
    <t>NOV_RegionalStrategySouthAmerica_SeparateAccountsDirect</t>
  </si>
  <si>
    <t>NOV_RSSA_SepAccDirect</t>
  </si>
  <si>
    <t>NOV_RegionalStrategySouthAmerica_SeparateAccountsIndirect</t>
  </si>
  <si>
    <t>NOV_RSSA_SepAccIndirect</t>
  </si>
  <si>
    <t>NOV_RegionalStrategySouthAmerica_JVs</t>
  </si>
  <si>
    <t>NOV_RSSA_JVs</t>
  </si>
  <si>
    <t>NOV_RegionalStrategySouthAmerica_FundsOfFunds</t>
  </si>
  <si>
    <t>NOV_RSSA_FOF</t>
  </si>
  <si>
    <t>NOV_RegionalStrategySouthAmerica_Debt</t>
  </si>
  <si>
    <t>NOV_RSSA_Debt</t>
  </si>
  <si>
    <t>NOV_RegionalStrategySouthAmerica_VehicleType_Total</t>
  </si>
  <si>
    <t>NOV_RSSA_VT_Total</t>
  </si>
  <si>
    <t>NOV_RegionalStrategyAfrica_NonListedFunds</t>
  </si>
  <si>
    <t>NOV_RSAFR_NLF</t>
  </si>
  <si>
    <t>NOV_RegionalStrategyAfrica_SeparateAccountsDirect</t>
  </si>
  <si>
    <t>NOV_RSAFR_SepAccDirect</t>
  </si>
  <si>
    <t>NOV_RegionalStrategyAfrica_SeparateAccountsIndirect</t>
  </si>
  <si>
    <t>NOV_RSAFR_SepAccIndirect</t>
  </si>
  <si>
    <t>NOV_RegionalStrategyAfrica_JVs</t>
  </si>
  <si>
    <t>NOV_RSAFR_JVs</t>
  </si>
  <si>
    <t>NOV_RegionalStrategyAfrica_FundsOfFunds</t>
  </si>
  <si>
    <t>NOV_RSAFR_FOF</t>
  </si>
  <si>
    <t>NOV_RegionalStrategyAfrica_Debt</t>
  </si>
  <si>
    <t>NOV_RSAFR_Debt</t>
  </si>
  <si>
    <t>NOV_RegionalStrategyAfrica_VehicleType_Total</t>
  </si>
  <si>
    <t>NOV_RSAFR_VT_Total</t>
  </si>
  <si>
    <t>NOV_RegionalStrategy_NonListedFunds</t>
  </si>
  <si>
    <t>NOV_RS_NLF</t>
  </si>
  <si>
    <t>NOV_RegionalStrategy_SeparateAccountsDirect</t>
  </si>
  <si>
    <t>NOV_RS_SepAccDirect</t>
  </si>
  <si>
    <t>NOV_RegionalStrategy_SeparateAccountsIndirect</t>
  </si>
  <si>
    <t>NOV_RS_SepAccIndirect</t>
  </si>
  <si>
    <t>NOV_RegionalStrategy_JVs</t>
  </si>
  <si>
    <t>NOV_RS_JVs</t>
  </si>
  <si>
    <t>NOV_RegionalStrategy_FundsOfFunds</t>
  </si>
  <si>
    <t>NOV_RS_FOF</t>
  </si>
  <si>
    <t>NOV_RegionalStrategy_Debt</t>
  </si>
  <si>
    <t>NOV_RS_Debt</t>
  </si>
  <si>
    <t>NOV_RegionalStrategy_VehicleType_Total</t>
  </si>
  <si>
    <t>NOV_RS_VT_Total</t>
  </si>
  <si>
    <t>8</t>
  </si>
  <si>
    <t>PensionFunds_NonListedFunds</t>
  </si>
  <si>
    <t>PF_NLF</t>
  </si>
  <si>
    <t>Pension funds - Non-listed fund</t>
  </si>
  <si>
    <t>Investor Type and Vehicle Type</t>
  </si>
  <si>
    <t>PensionFunds_SeparateAccountsDirect</t>
  </si>
  <si>
    <t>PF_SepAccDirect</t>
  </si>
  <si>
    <t>Pension funds - Separate accounts investing directly</t>
  </si>
  <si>
    <t>PensionFunds_SeparateAccountsIndirect</t>
  </si>
  <si>
    <t>PF_SepAccIndirect</t>
  </si>
  <si>
    <t>Pension funds - Separate accounts investing indirectly</t>
  </si>
  <si>
    <t>PensionFunds_JVs</t>
  </si>
  <si>
    <t>PF_JVs</t>
  </si>
  <si>
    <t>PensionFunds_FundsOfFunds</t>
  </si>
  <si>
    <t>PF_FOF</t>
  </si>
  <si>
    <t>PensionFunds_Debt</t>
  </si>
  <si>
    <t>PF_Debt</t>
  </si>
  <si>
    <t>PensionFunds_VehicleType_Total</t>
  </si>
  <si>
    <t>PF_VT_Total</t>
  </si>
  <si>
    <t>Pension funds - Vehicle type total</t>
  </si>
  <si>
    <t>InsuranceCompanies_NonListedFunds</t>
  </si>
  <si>
    <t>IC_NLF</t>
  </si>
  <si>
    <t>Insurance companies - Non-listed fund</t>
  </si>
  <si>
    <t>InsuranceCompanies_SeparateAccountsDirect</t>
  </si>
  <si>
    <t>IC_SepAccDirect</t>
  </si>
  <si>
    <t>Insurance companies - Separate accounts investing directly</t>
  </si>
  <si>
    <t>InsuranceCompanies_SeparateAccountsIndirect</t>
  </si>
  <si>
    <t>IC_SepAccIndirect</t>
  </si>
  <si>
    <t>Insurance companies - Separate accounts investing indirectly</t>
  </si>
  <si>
    <t>InsuranceCompanies_JVs</t>
  </si>
  <si>
    <t>IC_JVs</t>
  </si>
  <si>
    <t>InsuranceCompanies_FundsOfFunds</t>
  </si>
  <si>
    <t>IC_FOF</t>
  </si>
  <si>
    <t>InsuranceCompanies_Debt</t>
  </si>
  <si>
    <t>IC_Debt</t>
  </si>
  <si>
    <t>InsuranceCompanies_VehicleType_Total</t>
  </si>
  <si>
    <t>IC_VT_Total</t>
  </si>
  <si>
    <t>Insurance companies - Vehicle type total</t>
  </si>
  <si>
    <t>SovereignWealthFunds_NonListedFunds</t>
  </si>
  <si>
    <t>SWF_NLF</t>
  </si>
  <si>
    <t>Sovereign wealth funds - Non-listed fund</t>
  </si>
  <si>
    <t>SovereignWealthFunds_SeparateAccountsDirect</t>
  </si>
  <si>
    <t>SWF_SepAccDirect</t>
  </si>
  <si>
    <t>Sovereign wealth funds - Separate accounts investing directly</t>
  </si>
  <si>
    <t>SovereignWealthFunds_SeparateAccountsIndirect</t>
  </si>
  <si>
    <t>SWF_SepAccIndirect</t>
  </si>
  <si>
    <t>Sovereign wealth funds - Separate accounts investing indirectly</t>
  </si>
  <si>
    <t>SovereignWealthFunds_JVs</t>
  </si>
  <si>
    <t>SWF_JVs</t>
  </si>
  <si>
    <t>SovereignWealthFunds_FundsOfFunds</t>
  </si>
  <si>
    <t>SWF_FOF</t>
  </si>
  <si>
    <t>SovereignWealthFunds_Debt</t>
  </si>
  <si>
    <t>SWF_Debt</t>
  </si>
  <si>
    <t>SovereignWealthFunds_VehicleType_Total</t>
  </si>
  <si>
    <t>SWF_VT_Total</t>
  </si>
  <si>
    <t>Sovereign wealth funds - Vehicle type total</t>
  </si>
  <si>
    <t>GovernmentInstitutions_NonListedFunds</t>
  </si>
  <si>
    <t>GI_NLF</t>
  </si>
  <si>
    <t>Government institutions - Non-listed fund</t>
  </si>
  <si>
    <t>GovernmentInstitutions_SeparateAccountsDirect</t>
  </si>
  <si>
    <t>GI_SepAccDirect</t>
  </si>
  <si>
    <t>Government institutions - Separate accounts investing directly</t>
  </si>
  <si>
    <t>GovernmentInstitutions_SeparateAccountsIndirect</t>
  </si>
  <si>
    <t>GI_SepAccIndirect</t>
  </si>
  <si>
    <t>Government institutions - Separate accounts investing indirectly</t>
  </si>
  <si>
    <t>GovernmentInstitutions_JVs</t>
  </si>
  <si>
    <t>GI_JVs</t>
  </si>
  <si>
    <t>GovernmentInstitutions_FundsOfFunds</t>
  </si>
  <si>
    <t>GI_FOF</t>
  </si>
  <si>
    <t>GovernmentInstitutions_Debt</t>
  </si>
  <si>
    <t>GI_Debt</t>
  </si>
  <si>
    <t>GovernmentInstitutions_VehicleType_Total</t>
  </si>
  <si>
    <t>GI_VT_Total</t>
  </si>
  <si>
    <t>Government institutions - Vehicle type total</t>
  </si>
  <si>
    <t>CharitiesFoundationsNonProfitOrganizations_NonListedFunds</t>
  </si>
  <si>
    <t>CF&amp;NPO_NLF</t>
  </si>
  <si>
    <t>Charities, foundations &amp; non-profit organisations - Non-listed fund</t>
  </si>
  <si>
    <t>CharitiesFoundationsNonProfitOrganizations_SeparateAccountsDirect</t>
  </si>
  <si>
    <t>CF&amp;NPO_SepAccDirect</t>
  </si>
  <si>
    <t>Charities, foundations &amp; non-profit organisations - Separate accounts investing directly</t>
  </si>
  <si>
    <t>CharitiesFoundationsNonProfitOrganizations_SeparateAccountsIndirect</t>
  </si>
  <si>
    <t>CF&amp;NPO_SepAccIndirect</t>
  </si>
  <si>
    <t>Charities, foundations &amp; non-profit organisations - Separate accounts investing indirectly</t>
  </si>
  <si>
    <t>CharitiesFoundationsNonProfitOrganizations_JVs</t>
  </si>
  <si>
    <t>CF&amp;NPO_JVs</t>
  </si>
  <si>
    <t>Charities, foundations &amp; non-profit organisations - Joint ventures and club deals</t>
  </si>
  <si>
    <t>CharitiesFoundationsNonProfitOrganizations_FundsOfFunds</t>
  </si>
  <si>
    <t>CF&amp;NPO_FOF</t>
  </si>
  <si>
    <t>Charities, foundations &amp; non-profit organisations - Funds of funds</t>
  </si>
  <si>
    <t>CharitiesFoundationsNonProfitOrganizations_Debt</t>
  </si>
  <si>
    <t>CF&amp;NPO_Debt</t>
  </si>
  <si>
    <t>Charities, foundations &amp; non-profit organisations - Non-listed debt products</t>
  </si>
  <si>
    <t>CharitiesFoundationsNonProfitOrganizations_VehicleType_Total</t>
  </si>
  <si>
    <t>CF&amp;NPO_VT_Total</t>
  </si>
  <si>
    <t>Charities, foundations &amp; non-profit organisations - Vehicle type total</t>
  </si>
  <si>
    <t>FundsOfFunds_NonListedFunds</t>
  </si>
  <si>
    <t>FOF_NLF</t>
  </si>
  <si>
    <t>Funds of funds - Non-listed fund</t>
  </si>
  <si>
    <t>FundsOfFunds_SeparateAccountsDirect</t>
  </si>
  <si>
    <t>FOF_SepAccDirect</t>
  </si>
  <si>
    <t>Funds of funds - Separate accounts investing directly</t>
  </si>
  <si>
    <t>FundsOfFunds_SeparateAccountsIndirect</t>
  </si>
  <si>
    <t>FOF_SepAccIndirect</t>
  </si>
  <si>
    <t>Funds of funds - Separate accounts investing indirectly</t>
  </si>
  <si>
    <t>FundsOfFunds_JVs</t>
  </si>
  <si>
    <t>FOF_JVs</t>
  </si>
  <si>
    <t>FundsOfFunds_FundsOfFunds</t>
  </si>
  <si>
    <t>FOF_FOF</t>
  </si>
  <si>
    <t>FundsOfFunds_Debt</t>
  </si>
  <si>
    <t>FOF_Debt</t>
  </si>
  <si>
    <t>FundsOfFunds_VehicleType_Total</t>
  </si>
  <si>
    <t>FOF_VT_Total</t>
  </si>
  <si>
    <t>Funds of funds - Vehicle type total</t>
  </si>
  <si>
    <t>HighnetWorthIndividualsFamilyOffices_NonListedFunds</t>
  </si>
  <si>
    <t>HNWI/FO_NLF</t>
  </si>
  <si>
    <t>Hign net worth individuals/Family offices - Non-listed fund</t>
  </si>
  <si>
    <t>HighnetWorthIndividualsFamilyOffices_SeparateAccountsDirect</t>
  </si>
  <si>
    <t>HNWI/FO_SepAccDirect</t>
  </si>
  <si>
    <t>Hign net worth individuals/Family offices - Separate accounts investing directly</t>
  </si>
  <si>
    <t>HighnetWorthIndividualsFamilyOffices_SeparateAccountsIndirect</t>
  </si>
  <si>
    <t>HNWI/FO_SepAccIndirect</t>
  </si>
  <si>
    <t>Hign net worth individuals/Family offices - Separate accounts investing indirectly</t>
  </si>
  <si>
    <t>HighnetWorthIndividualsFamilyOffices_JVs</t>
  </si>
  <si>
    <t>HNWI/FO_JVs</t>
  </si>
  <si>
    <t>Hign net worth individuals/Family offices - Joint ventures and club deals</t>
  </si>
  <si>
    <t>HighnetWorthIndividualsFamilyOffices_FundsOfFunds</t>
  </si>
  <si>
    <t>HNWI/FO_FOF</t>
  </si>
  <si>
    <t>Hign net worth individuals/Family offices - Funds of funds</t>
  </si>
  <si>
    <t>HighnetWorthIndividualsFamilyOffices_Debt</t>
  </si>
  <si>
    <t>HNWI/FO_Debt</t>
  </si>
  <si>
    <t>Hign net worth individuals/Family offices - Non-listed debt products</t>
  </si>
  <si>
    <t>HighnetWorthIndividualsFamilyOffices_VehicleType_Total</t>
  </si>
  <si>
    <t>HNWI/FO_VT_Total</t>
  </si>
  <si>
    <t>Hign net worth individuals/Family offices - Vehicle type total</t>
  </si>
  <si>
    <t>OtherInvestorTypetext</t>
  </si>
  <si>
    <t>OtherITText</t>
  </si>
  <si>
    <t>Other investor type</t>
  </si>
  <si>
    <t>OtherInvestorType_NonListedFunds</t>
  </si>
  <si>
    <t>OtherIT_NLF</t>
  </si>
  <si>
    <t>Other investor type - Non-listed fund</t>
  </si>
  <si>
    <t>OtherInvestorType_SeparateAccountsDirect</t>
  </si>
  <si>
    <t>OtherIT_SepAccDirect</t>
  </si>
  <si>
    <t>Other investor type - Separate accounts investing directly</t>
  </si>
  <si>
    <t>OtherInvestorType_SeparateAccountsIndirect</t>
  </si>
  <si>
    <t>OtherIT_SepAccIndirect</t>
  </si>
  <si>
    <t>Other investor type - Separate accounts investing indirectly</t>
  </si>
  <si>
    <t>OtherInvestorType_JVs</t>
  </si>
  <si>
    <t>OtherIT_JVs</t>
  </si>
  <si>
    <t>Other investor type - Joint ventures and club deals</t>
  </si>
  <si>
    <t>OtherInvestorType_FundsOfFunds</t>
  </si>
  <si>
    <t>OtherIT_FOF</t>
  </si>
  <si>
    <t>Other investor type - Funds of funds</t>
  </si>
  <si>
    <t>OtherInvestorType_Debt</t>
  </si>
  <si>
    <t>OtherIT_Debt</t>
  </si>
  <si>
    <t>Other investor type - Non-listed debt products</t>
  </si>
  <si>
    <t>OtherInvestorType_VehicleType_Total</t>
  </si>
  <si>
    <t>OtherIT_VT_Total</t>
  </si>
  <si>
    <t>Other investor type - Vehicle type total</t>
  </si>
  <si>
    <t>InvestorType_NonListedFunds_Total</t>
  </si>
  <si>
    <t>IT_NLF_Total</t>
  </si>
  <si>
    <t>Investor type - Non-listed fund total</t>
  </si>
  <si>
    <t>InvestorType_SeparateAccountsDirect_Total</t>
  </si>
  <si>
    <t>IT_SepAccDirect_Total</t>
  </si>
  <si>
    <t>Investor type - Separate accounts investing directly total</t>
  </si>
  <si>
    <t>InvestorType_SeparateAccountsIndirect_Total</t>
  </si>
  <si>
    <t>IT_SepAccIndirect_Total</t>
  </si>
  <si>
    <t>Investor type - Separate accounts investing indirectly total</t>
  </si>
  <si>
    <t>InvestorType_JVs_Total</t>
  </si>
  <si>
    <t>IT_JVs_Total</t>
  </si>
  <si>
    <t>Investor type - Joint ventures and club deals total</t>
  </si>
  <si>
    <t>InvestorType_FundsOfFunds_Total</t>
  </si>
  <si>
    <t>IT_FOF_Total</t>
  </si>
  <si>
    <t>Investor type - Funds of funds total</t>
  </si>
  <si>
    <t>InvestorType_Debt_Total</t>
  </si>
  <si>
    <t>IT_Debt_Total</t>
  </si>
  <si>
    <t>Investor type - Non-listed debt products total</t>
  </si>
  <si>
    <t>InvestorType_VehicleType_Total</t>
  </si>
  <si>
    <t>IT_VT_Total</t>
  </si>
  <si>
    <t>Investor type - Vehicle type total</t>
  </si>
  <si>
    <t>9</t>
  </si>
  <si>
    <t>InvestorDomicileAsiaPacific_NonListedFunds</t>
  </si>
  <si>
    <t>IDAPAC_NLF</t>
  </si>
  <si>
    <t>Investor Domicile and Vehicle Type</t>
  </si>
  <si>
    <t>InvestorDomicileAsiaPacific_SeparateAccountsDirect</t>
  </si>
  <si>
    <t>IDAPAC_SepAccDirect</t>
  </si>
  <si>
    <t>Asia Pacific - Separate accounts direct</t>
  </si>
  <si>
    <t>InvestorDomicileAsiaPacific_SeparateAccountsIndirect</t>
  </si>
  <si>
    <t>IDAPAC_SepAccIndirect</t>
  </si>
  <si>
    <t>Asia Pacific - Separate accounts indirect</t>
  </si>
  <si>
    <t>InvestorDomicileAsiaPacific_JVs</t>
  </si>
  <si>
    <t>IDAPAC_JVs</t>
  </si>
  <si>
    <t>InvestorDomicileAsiaPacific_FundsOfFunds</t>
  </si>
  <si>
    <t>IDAPAC_FOF</t>
  </si>
  <si>
    <t>InvestorDomicileAsiaPacific_Debt</t>
  </si>
  <si>
    <t>IDAPAC_Debt</t>
  </si>
  <si>
    <t>InvestorDomicileAsiaPacific_VehicleType_Total</t>
  </si>
  <si>
    <t>IDAPAC_VT_Total</t>
  </si>
  <si>
    <t>InvestorDomicileEurope_NonListedFunds</t>
  </si>
  <si>
    <t>IDEUR_NLF</t>
  </si>
  <si>
    <t>InvestorDomicileEurope_SeparateAccountsDirect</t>
  </si>
  <si>
    <t>IDEUR_SepAccDirect</t>
  </si>
  <si>
    <t>Europe - Separate accounts direct</t>
  </si>
  <si>
    <t>InvestorDomicileEurope_SeparateAccountsIndirect</t>
  </si>
  <si>
    <t>IDEUR_SepAccIndirect</t>
  </si>
  <si>
    <t>Europe - Separate accounts indirect</t>
  </si>
  <si>
    <t>InvestorDomicileEurope_JVs</t>
  </si>
  <si>
    <t>IDEUR_JVs</t>
  </si>
  <si>
    <t>InvestorDomicileEurope_FundsOfFunds</t>
  </si>
  <si>
    <t>IDEUR_FOF</t>
  </si>
  <si>
    <t>InvestorDomicileEurope_Debt</t>
  </si>
  <si>
    <t>IDEUR_Debt</t>
  </si>
  <si>
    <t>InvestorDomicileEurope_VehicleType_Total</t>
  </si>
  <si>
    <t>IDEUR_VT_Total</t>
  </si>
  <si>
    <t>InvestorDomicileNorthAmerica_NonListedFunds</t>
  </si>
  <si>
    <t>IDNA_NLF</t>
  </si>
  <si>
    <t>InvestorDomicileNorthAmerica_SeparateAccountsDirect</t>
  </si>
  <si>
    <t>IDNA_SepAccDirect</t>
  </si>
  <si>
    <t>North America - Separate accounts direct</t>
  </si>
  <si>
    <t>InvestorDomicileNorthAmerica_SeparateAccountsIndirect</t>
  </si>
  <si>
    <t>IDNA_SepAccIndirect</t>
  </si>
  <si>
    <t>North America - Separate accounts indirect</t>
  </si>
  <si>
    <t>InvestorDomicileNorthAmerica_JVs</t>
  </si>
  <si>
    <t>IDNA_JVs</t>
  </si>
  <si>
    <t>InvestorDomicileNorthAmerica_FundsOfFunds</t>
  </si>
  <si>
    <t>IDNA_FOF</t>
  </si>
  <si>
    <t>InvestorDomicileNorthAmerica_Debt</t>
  </si>
  <si>
    <t>IDNA_Debt</t>
  </si>
  <si>
    <t>InvestorDomicileNorthAmerica_VehicleType_Total</t>
  </si>
  <si>
    <t>IDNA_VT_Total</t>
  </si>
  <si>
    <t>InvestorDomicileSouthAmerica_NonListedFunds</t>
  </si>
  <si>
    <t>IDSA_NLF</t>
  </si>
  <si>
    <t>InvestorDomicileSouthAmerica_SeparateAccountsDirect</t>
  </si>
  <si>
    <t>IDSA_SepAccDirect</t>
  </si>
  <si>
    <t>South America - Separate accounts direct</t>
  </si>
  <si>
    <t>InvestorDomicileSouthAmerica_SeparateAccountsIndirect</t>
  </si>
  <si>
    <t>IDSA_SepAccIndirect</t>
  </si>
  <si>
    <t>South America - Separate accounts indirect</t>
  </si>
  <si>
    <t>InvestorDomicileSouthAmerica_JVs</t>
  </si>
  <si>
    <t>IDSA_JVs</t>
  </si>
  <si>
    <t>InvestorDomicileSouthAmerica_FundsOfFunds</t>
  </si>
  <si>
    <t>IDSA_FOF</t>
  </si>
  <si>
    <t>InvestorDomicileSouthAmerica_Debt</t>
  </si>
  <si>
    <t>IDSA_Debt</t>
  </si>
  <si>
    <t>InvestorDomicileSouthAmerica_VehicleType_Total</t>
  </si>
  <si>
    <t>IDSA_VT_Total</t>
  </si>
  <si>
    <t>InvestorDomicileAfrica_NonListedFunds</t>
  </si>
  <si>
    <t>IDAFR_NLF</t>
  </si>
  <si>
    <t>InvestorDomicileAfrica_SeparateAccountsDirect</t>
  </si>
  <si>
    <t>IDAFR_SepAccDirect</t>
  </si>
  <si>
    <t>Africa - Separate accounts direct</t>
  </si>
  <si>
    <t>InvestorDomicileAfrica_SeparateAccountsIndirect</t>
  </si>
  <si>
    <t>IDAFR_SepAccIndirect</t>
  </si>
  <si>
    <t>Africa - Separate accounts indirect</t>
  </si>
  <si>
    <t>InvestorDomicileAfrica_JVs</t>
  </si>
  <si>
    <t>IDAFR_JVs</t>
  </si>
  <si>
    <t>InvestorDomicileAfrica_FundsOfFunds</t>
  </si>
  <si>
    <t>IDAFR_FOF</t>
  </si>
  <si>
    <t>InvestorDomicileAfrica_Debt</t>
  </si>
  <si>
    <t>IDAFR_Debt</t>
  </si>
  <si>
    <t>InvestorDomicileAfrica_VehicleType_Total</t>
  </si>
  <si>
    <t>IDAFR_VT_Total</t>
  </si>
  <si>
    <t>InvestorDomicile_NonListedFunds_Total</t>
  </si>
  <si>
    <t>ID_NLF_Total</t>
  </si>
  <si>
    <t>InvestorDomicile_SeparateAccountsDirect_Total</t>
  </si>
  <si>
    <t>ID_SepAccDirect_Total</t>
  </si>
  <si>
    <t>InvestorDomicile_SeparateAccountsIndirect_Total</t>
  </si>
  <si>
    <t>ID_SepAccIndirect_Total</t>
  </si>
  <si>
    <t>Regional strategy - Separate accounts indirect total</t>
  </si>
  <si>
    <t>InvestorDomicile_JVs_Total</t>
  </si>
  <si>
    <t>ID_JVs_Total</t>
  </si>
  <si>
    <t>InvestorDomicile_FundsOfFunds_Total</t>
  </si>
  <si>
    <t>ID_FOF_Total</t>
  </si>
  <si>
    <t>InvestorDomicile_Debt_Total</t>
  </si>
  <si>
    <t>ID_Debt_Total</t>
  </si>
  <si>
    <t>InvestorDomicile_VehicleType_Total</t>
  </si>
  <si>
    <t>ID_VT_Total</t>
  </si>
  <si>
    <t>10</t>
  </si>
  <si>
    <t>q10</t>
  </si>
  <si>
    <t>PercentMethod_PlacementAgent</t>
  </si>
  <si>
    <t>PercMeth_PlacAg</t>
  </si>
  <si>
    <t>Method</t>
  </si>
  <si>
    <t>PercentMethod_InvestorsContactingDirectly</t>
  </si>
  <si>
    <t>PercMeth_InvConDirect</t>
  </si>
  <si>
    <t>Investor contracting directly</t>
  </si>
  <si>
    <t>PercentMethod_RelationshipWithInvestors</t>
  </si>
  <si>
    <t>PercMeth_RelWithInv</t>
  </si>
  <si>
    <t>Relationship with investors</t>
  </si>
  <si>
    <t>PercentMethod_Othertext</t>
  </si>
  <si>
    <t>PercMeth_OtherText</t>
  </si>
  <si>
    <t>Other Text</t>
  </si>
  <si>
    <t>PercentMethod_Other</t>
  </si>
  <si>
    <t>PercMeth_Other</t>
  </si>
  <si>
    <t>Other Method</t>
  </si>
  <si>
    <t>11</t>
  </si>
  <si>
    <t>CapitalRaisingActivity_Development</t>
  </si>
  <si>
    <t>CRact_Dev</t>
  </si>
  <si>
    <t>q11</t>
  </si>
  <si>
    <t>12</t>
  </si>
  <si>
    <t>CapitalRaisingActivity_Impactregulation</t>
  </si>
  <si>
    <t>CRact_ImpReg</t>
  </si>
  <si>
    <t>q12</t>
  </si>
  <si>
    <t>13</t>
  </si>
  <si>
    <t>Companynameincluded</t>
  </si>
  <si>
    <t>CompNameIncl</t>
  </si>
  <si>
    <t>Name</t>
  </si>
  <si>
    <t>q13</t>
  </si>
  <si>
    <t>14</t>
  </si>
  <si>
    <t>APAC Capital raised</t>
  </si>
  <si>
    <t>q14</t>
  </si>
  <si>
    <t>APAC_PensionFunds_NonListedFunds</t>
  </si>
  <si>
    <t>APAC_PF_NLF</t>
  </si>
  <si>
    <t>APAC_PensionFunds_SeparateAccountsDirect</t>
  </si>
  <si>
    <t>APAC_PF_SepAccDirect</t>
  </si>
  <si>
    <t>APAC_PensionFunds_SeparateAccountsIndirect</t>
  </si>
  <si>
    <t>APAC_PF_SepAccIndirect</t>
  </si>
  <si>
    <t>APAC_PensionFunds_JVs</t>
  </si>
  <si>
    <t>APAC_PF_JVs</t>
  </si>
  <si>
    <t>APAC_PensionFunds_FundsOfFunds</t>
  </si>
  <si>
    <t>APAC_PF_FOF</t>
  </si>
  <si>
    <t>APAC_PensionFunds_Debt</t>
  </si>
  <si>
    <t>APAC_PF_Debt</t>
  </si>
  <si>
    <t>APAC_PensionFunds_VehicleType_Total</t>
  </si>
  <si>
    <t>APAC_PF_VT_Total</t>
  </si>
  <si>
    <t>APAC_InsuranceCompanies_NonListedFunds</t>
  </si>
  <si>
    <t>APAC_IC_NLF</t>
  </si>
  <si>
    <t>APAC_InsuranceCompanies_SeparateAccountsDirect</t>
  </si>
  <si>
    <t>APAC_IC_SepAccDirect</t>
  </si>
  <si>
    <t>APAC_InsuranceCompanies_SeparateAccountsIndirect</t>
  </si>
  <si>
    <t>APAC_IC_SepAccIndirect</t>
  </si>
  <si>
    <t>APAC_InsuranceCompanies_JVs</t>
  </si>
  <si>
    <t>APAC_IC_JVs</t>
  </si>
  <si>
    <t>APAC_InsuranceCompanies_FundsOfFunds</t>
  </si>
  <si>
    <t>APAC_IC_FOF</t>
  </si>
  <si>
    <t>APAC_InsuranceCompanies_Debt</t>
  </si>
  <si>
    <t>APAC_IC_Debt</t>
  </si>
  <si>
    <t>APAC_InsuranceCompanies_VehicleType_Total</t>
  </si>
  <si>
    <t>APAC_IC_VT_Total</t>
  </si>
  <si>
    <t>APAC_SovereignWealthFunds_NonListedFunds</t>
  </si>
  <si>
    <t>APAC_SWF_NLF</t>
  </si>
  <si>
    <t>APAC_SovereignWealthFunds_SeparateAccountsDirect</t>
  </si>
  <si>
    <t>APAC_SWF_SepAccDirect</t>
  </si>
  <si>
    <t>APAC_SovereignWealthFunds_SeparateAccountsIndirect</t>
  </si>
  <si>
    <t>APAC_SWF_SepAccIndirect</t>
  </si>
  <si>
    <t>APAC_SovereignWealthFunds_JVs</t>
  </si>
  <si>
    <t>APAC_SWF_JVs</t>
  </si>
  <si>
    <t>APAC_SovereignWealthFunds_FundsOfFunds</t>
  </si>
  <si>
    <t>APAC_SWF_FOF</t>
  </si>
  <si>
    <t>APAC_SovereignWealthFunds_Debt</t>
  </si>
  <si>
    <t>APAC_SWF_Debt</t>
  </si>
  <si>
    <t>APAC_SovereignWealthFunds_VehicleType_Total</t>
  </si>
  <si>
    <t>APAC_SWF_VT_Total</t>
  </si>
  <si>
    <t>APAC_GovernmentInstitutions_NonListedFunds</t>
  </si>
  <si>
    <t>APAC_GI_NLF</t>
  </si>
  <si>
    <t>APAC_GovernmentInstitutions_SeparateAccountsDirect</t>
  </si>
  <si>
    <t>APAC_GI_SepAccDirect</t>
  </si>
  <si>
    <t>APAC_GovernmentInstitutions_SeparateAccountsIndirect</t>
  </si>
  <si>
    <t>APAC_GI_SepAccIndirect</t>
  </si>
  <si>
    <t>APAC_GovernmentInstitutions_JVs</t>
  </si>
  <si>
    <t>APAC_GI_JVs</t>
  </si>
  <si>
    <t>APAC_GovernmentInstitutions_FundsOfFunds</t>
  </si>
  <si>
    <t>APAC_GI_FOF</t>
  </si>
  <si>
    <t>APAC_GovernmentInstitutions_Debt</t>
  </si>
  <si>
    <t>APAC_GI_Debt</t>
  </si>
  <si>
    <t>APAC_GovernmentInstitutions_VehicleType_Total</t>
  </si>
  <si>
    <t>APAC_GI_VT_Total</t>
  </si>
  <si>
    <t>APAC_CharitiesFoundationsNonProfitOrganizations_NonListedFunds</t>
  </si>
  <si>
    <t>APAC_CF&amp;NPO_NLF</t>
  </si>
  <si>
    <t>APAC_CharitiesFoundationsNonProfitOrganizations_SeparateAccountsDirect</t>
  </si>
  <si>
    <t>APAC_CF&amp;NPO_SepAccDirect</t>
  </si>
  <si>
    <t>APAC_CharitiesFoundationsNonProfitOrganizations_SeparateAccountsIndirect</t>
  </si>
  <si>
    <t>APAC_CF&amp;NPO_SepAccIndirect</t>
  </si>
  <si>
    <t>APAC_CharitiesFoundationsNonProfitOrganizations_JVs</t>
  </si>
  <si>
    <t>APAC_CF&amp;NPO_JVs</t>
  </si>
  <si>
    <t>APAC_CharitiesFoundationsNonProfitOrganizations_FundsOfFunds</t>
  </si>
  <si>
    <t>APAC_CF&amp;NPO_FOF</t>
  </si>
  <si>
    <t>APAC_CharitiesFoundationsNonProfitOrganizations_Debt</t>
  </si>
  <si>
    <t>APAC_CF&amp;NPO_Debt</t>
  </si>
  <si>
    <t>APAC_CharitiesFoundationsNonProfitOrganizations_VehicleType_Total</t>
  </si>
  <si>
    <t>APAC_CF&amp;NPO_VT_Total</t>
  </si>
  <si>
    <t>APAC_FundsOfFunds_NonListedFunds</t>
  </si>
  <si>
    <t>APAC_FOF_NLF</t>
  </si>
  <si>
    <t>APAC_FundsOfFunds_SeparateAccountsDirect</t>
  </si>
  <si>
    <t>APAC_FOF_SepAccDirect</t>
  </si>
  <si>
    <t>APAC_FundsOfFunds_SeparateAccountsIndirect</t>
  </si>
  <si>
    <t>APAC_FOF_SepAccIndirect</t>
  </si>
  <si>
    <t>APAC_FundsOfFunds_JVs</t>
  </si>
  <si>
    <t>APAC_FOF_JVs</t>
  </si>
  <si>
    <t>APAC_FundsOfFunds_FundsOfFunds</t>
  </si>
  <si>
    <t>APAC_FOF_FOF</t>
  </si>
  <si>
    <t>APAC_FundsOfFunds_Debt</t>
  </si>
  <si>
    <t>APAC_FOF_Debt</t>
  </si>
  <si>
    <t>APAC_FundsOfFunds_VehicleType_Total</t>
  </si>
  <si>
    <t>APAC_FOF_VT_Total</t>
  </si>
  <si>
    <t>APAC_HighnetWorthIndividualsFamilyOffices_NonListedFunds</t>
  </si>
  <si>
    <t>APAC_HNWI/FO_NLF</t>
  </si>
  <si>
    <t>APAC_HighnetWorthIndividualsFamilyOffices_SeparateAccountsDirect</t>
  </si>
  <si>
    <t>APAC_HNWI/FO_SepAccDirect</t>
  </si>
  <si>
    <t>APAC_HighnetWorthIndividualsFamilyOffices_SeparateAccountsIndirect</t>
  </si>
  <si>
    <t>APAC_HNWI/FO_SepAccIndirect</t>
  </si>
  <si>
    <t>APAC_HighnetWorthIndividualsFamilyOffices_JVs</t>
  </si>
  <si>
    <t>APAC_HNWI/FO_JVs</t>
  </si>
  <si>
    <t>APAC_HighnetWorthIndividualsFamilyOffices_FundsOfFunds</t>
  </si>
  <si>
    <t>APAC_HNWI/FO_FOF</t>
  </si>
  <si>
    <t>APAC_HighnetWorthIndividualsFamilyOffices_Debt</t>
  </si>
  <si>
    <t>APAC_HNWI/FO_Debt</t>
  </si>
  <si>
    <t>APAC_HighnetWorthIndividualsFamilyOffices_VehicleType_Total</t>
  </si>
  <si>
    <t>APAC_HNWI/FO_VT_Total</t>
  </si>
  <si>
    <t>APAC_OtherInvestorTypetext</t>
  </si>
  <si>
    <t>APAC_OtherITText</t>
  </si>
  <si>
    <t>APAC_OtherInvestorType_NonListedFunds</t>
  </si>
  <si>
    <t>APAC_OtherIT_NLF</t>
  </si>
  <si>
    <t>APAC_OtherInvestorType_SeparateAccountsDirect</t>
  </si>
  <si>
    <t>APAC_OtherIT_SepAccDirect</t>
  </si>
  <si>
    <t>APAC_OtherInvestorType_SeparateAccountsIndirect</t>
  </si>
  <si>
    <t>APAC_OtherIT_SepAccIndirect</t>
  </si>
  <si>
    <t>APAC_OtherInvestorType_JVs</t>
  </si>
  <si>
    <t>APAC_OtherIT_JVs</t>
  </si>
  <si>
    <t>APAC_OtherInvestorType_FundsOfFunds</t>
  </si>
  <si>
    <t>APAC_OtherIT_FOF</t>
  </si>
  <si>
    <t>APAC_OtherInvestorType_Debt</t>
  </si>
  <si>
    <t>APAC_OtherIT_Debt</t>
  </si>
  <si>
    <t>APAC_OtherInvestorType_VehicleType_Total</t>
  </si>
  <si>
    <t>APAC_OtherIT_VT_Total</t>
  </si>
  <si>
    <t>APAC_InvestorType_NonListedFunds_Total</t>
  </si>
  <si>
    <t>APAC_IT_NLF_Total</t>
  </si>
  <si>
    <t>APAC_InvestorType_SeparateAccountsDirect_Total</t>
  </si>
  <si>
    <t>APAC_IT_SepAccDirect_Total</t>
  </si>
  <si>
    <t>APAC_InvestorType_SeparateAccountsIndirect_Total</t>
  </si>
  <si>
    <t>APAC_IT_SepAccIndirect_Total</t>
  </si>
  <si>
    <t>APAC_InvestorType_JVs_Total</t>
  </si>
  <si>
    <t>APAC_IT_JVs_Total</t>
  </si>
  <si>
    <t>APAC_InvestorType_FundsOfFunds_Total</t>
  </si>
  <si>
    <t>APAC_IT_FOF_Total</t>
  </si>
  <si>
    <t>APAC_InvestorType_Debt_Total</t>
  </si>
  <si>
    <t>APAC_IT_Debt_Total</t>
  </si>
  <si>
    <t>APAC_InvestorType_VehicleType_Total</t>
  </si>
  <si>
    <t>APAC_IT_VT_Total</t>
  </si>
  <si>
    <t>15</t>
  </si>
  <si>
    <t>q15</t>
  </si>
  <si>
    <t>APAC_InvestorDomicileEurope_NonListedFunds</t>
  </si>
  <si>
    <t>APAC_IDEUR_NLF</t>
  </si>
  <si>
    <t>Asia Pacific - Non-listed funds</t>
  </si>
  <si>
    <t>APAC_InvestorDomicileEurope_SeparateAccountsDirect</t>
  </si>
  <si>
    <t>APAC_IDEUR_SepAccDirect</t>
  </si>
  <si>
    <t>APAC_InvestorDomicileEurope_SeparateAccountsIndirect</t>
  </si>
  <si>
    <t>APAC_IDEUR_SepAccIndirect</t>
  </si>
  <si>
    <t>APAC_InvestorDomicileEurope_JVs</t>
  </si>
  <si>
    <t>APAC_IDEUR_JVs</t>
  </si>
  <si>
    <t>APAC_InvestorDomicileEurope_FundsOfFunds</t>
  </si>
  <si>
    <t>APAC_IDEUR_FOF</t>
  </si>
  <si>
    <t>APAC_InvestorDomicileEurope_Debt</t>
  </si>
  <si>
    <t>APAC_IDEUR_Debt</t>
  </si>
  <si>
    <t>APAC_InvestorDomicileEurope_VehicleType_Total</t>
  </si>
  <si>
    <t>APAC_IDEUR_VT_Total</t>
  </si>
  <si>
    <t>APAC_InvestorDomicileAsiaPacific_NonListedFunds</t>
  </si>
  <si>
    <t>APAC_IDAPAC_NLF</t>
  </si>
  <si>
    <t>APAC_InvestorDomicileAsiaPacific_SeparateAccountsDirect</t>
  </si>
  <si>
    <t>APAC_IDAPAC_SepAccDirect</t>
  </si>
  <si>
    <t>APAC_InvestorDomicileAsiaPacific_SeparateAccountsIndirect</t>
  </si>
  <si>
    <t>APAC_IDAPAC_SepAccIndirect</t>
  </si>
  <si>
    <t>APAC_InvestorDomicileAsiaPacific_JVs</t>
  </si>
  <si>
    <t>APAC_IDAPAC_JVs</t>
  </si>
  <si>
    <t>APAC_InvestorDomicileAsiaPacific_FundsOfFunds</t>
  </si>
  <si>
    <t>APAC_IDAPAC_FOF</t>
  </si>
  <si>
    <t>APAC_InvestorDomicileAsiaPacific_Debt</t>
  </si>
  <si>
    <t>APAC_IDAPAC_Debt</t>
  </si>
  <si>
    <t>APAC_InvestorDomicileAsiaPacific_VehicleType_Total</t>
  </si>
  <si>
    <t>APAC_IDAPAC_VT_Total</t>
  </si>
  <si>
    <t>APAC_InvestorDomicileNorthAmerica_NonListedFunds</t>
  </si>
  <si>
    <t>APAC_IDNA_NLF</t>
  </si>
  <si>
    <t>APAC_InvestorDomicileNorthAmerica_SeparateAccountsDirect</t>
  </si>
  <si>
    <t>APAC_IDNA_SepAccDirect</t>
  </si>
  <si>
    <t>APAC_InvestorDomicileNorthAmerica_SeparateAccountsIndirect</t>
  </si>
  <si>
    <t>APAC_IDNA_SepAccIndirect</t>
  </si>
  <si>
    <t>APAC_InvestorDomicileNorthAmerica_JVs</t>
  </si>
  <si>
    <t>APAC_IDNA_JVs</t>
  </si>
  <si>
    <t>APAC_InvestorDomicileNorthAmerica_FundsOfFunds</t>
  </si>
  <si>
    <t>APAC_IDNA_FOF</t>
  </si>
  <si>
    <t>APAC_InvestorDomicileNorthAmerica_Debt</t>
  </si>
  <si>
    <t>APAC_IDNA_Debt</t>
  </si>
  <si>
    <t>APAC_InvestorDomicileNorthAmerica_VehicleType_Total</t>
  </si>
  <si>
    <t>APAC_IDNA_VT_Total</t>
  </si>
  <si>
    <t>APAC_InvestorDomicileSouthAmerica_NonListedFunds</t>
  </si>
  <si>
    <t>APAC_IDSA_NLF</t>
  </si>
  <si>
    <t>APAC_InvestorDomicileSouthAmerica_SeparateAccountsDirect</t>
  </si>
  <si>
    <t>APAC_IDSA_SepAccDirect</t>
  </si>
  <si>
    <t>APAC_InvestorDomicileSouthAmerica_SeparateAccountsIndirect</t>
  </si>
  <si>
    <t>APAC_IDSA_SepAccIndirect</t>
  </si>
  <si>
    <t>APAC_InvestorDomicileSouthAmerica_JVs</t>
  </si>
  <si>
    <t>APAC_IDSA_JVs</t>
  </si>
  <si>
    <t>APAC_InvestorDomicileSouthAmerica_FundsOfFunds</t>
  </si>
  <si>
    <t>APAC_IDSA_FOF</t>
  </si>
  <si>
    <t>APAC_InvestorDomicileSouthAmerica_Debt</t>
  </si>
  <si>
    <t>APAC_IDSA_Debt</t>
  </si>
  <si>
    <t>APAC_InvestorDomicileSouthAmerica_VehicleType_Total</t>
  </si>
  <si>
    <t>APAC_IDSA_VT_Total</t>
  </si>
  <si>
    <t>APAC_InvestorDomicileAfrica_NonListedFunds</t>
  </si>
  <si>
    <t>APAC_IDAFR_NLF</t>
  </si>
  <si>
    <t>APAC_InvestorDomicileAfrica_SeparateAccountsDirect</t>
  </si>
  <si>
    <t>APAC_IDAFR_SepAccDirect</t>
  </si>
  <si>
    <t>APAC_InvestorDomicileAfrica_SeparateAccountsIndirect</t>
  </si>
  <si>
    <t>APAC_IDAFR_SepAccIndirect</t>
  </si>
  <si>
    <t>APAC_InvestorDomicileAfrica_JVs</t>
  </si>
  <si>
    <t>APAC_IDAFR_JVs</t>
  </si>
  <si>
    <t>APAC_InvestorDomicileAfrica_FundsOfFunds</t>
  </si>
  <si>
    <t>APAC_IDAFR_FOF</t>
  </si>
  <si>
    <t>APAC_InvestorDomicileAfrica_Debt</t>
  </si>
  <si>
    <t>APAC_IDAFR_Debt</t>
  </si>
  <si>
    <t>APAC_InvestorDomicileAfrica_VehicleType_Total</t>
  </si>
  <si>
    <t>APAC_IDAFR_VT_Total</t>
  </si>
  <si>
    <t>APAC_InvestorDomicile_NonListedFunds_Total</t>
  </si>
  <si>
    <t>APAC_ID_NLF_Total</t>
  </si>
  <si>
    <t>Investor domicile total - Non-listed funds</t>
  </si>
  <si>
    <t>APAC_InvestorDomicile_SeparateAccountsDirect_Total</t>
  </si>
  <si>
    <t>APAC_ID_SepAccDirect_Total</t>
  </si>
  <si>
    <t>Investor domicile total - Separate accounts investing directly</t>
  </si>
  <si>
    <t>APAC_InvestorDomicile_SeparateAccountsIndirect_Total</t>
  </si>
  <si>
    <t>APAC_ID_SepAccIndirect_Total</t>
  </si>
  <si>
    <t>Investor domicile total - Separate accounts investing indirectly</t>
  </si>
  <si>
    <t>APAC_InvestorDomicile_JVs_Total</t>
  </si>
  <si>
    <t>APAC_ID_JVs_Total</t>
  </si>
  <si>
    <t>Investor domicile total - Joint ventures and club deals</t>
  </si>
  <si>
    <t>APAC_InvestorDomicile_FundsOfFunds_Total</t>
  </si>
  <si>
    <t>APAC_ID_FOF_Total</t>
  </si>
  <si>
    <t>Investor domicile total - Funds of funds</t>
  </si>
  <si>
    <t>APAC_InvestorDomicile_Debt_Total</t>
  </si>
  <si>
    <t>APAC_ID_Debt_Total</t>
  </si>
  <si>
    <t>Investor domicile total - Non-listed debt products</t>
  </si>
  <si>
    <t>APAC_InvestorDomicile_VehicleType_Total</t>
  </si>
  <si>
    <t>APAC_ID_VT_Total</t>
  </si>
  <si>
    <t>Investor domicile total - Vehicle type total</t>
  </si>
  <si>
    <t>16</t>
  </si>
  <si>
    <t>Europe Capital raised</t>
  </si>
  <si>
    <t>q16</t>
  </si>
  <si>
    <t>EUROPE_PensionFunds_NonListedFunds</t>
  </si>
  <si>
    <t>EUR_PF_NLF</t>
  </si>
  <si>
    <t>EUROPE_PensionFunds_SeparateAccountsDirect</t>
  </si>
  <si>
    <t>EUR_PF_SepAccDirect</t>
  </si>
  <si>
    <t>EUROPE_PensionFunds_SeparateAccountsIndirect</t>
  </si>
  <si>
    <t>EUR_PF_SepAccIndirect</t>
  </si>
  <si>
    <t>EUROPE_PensionFunds_JVs</t>
  </si>
  <si>
    <t>EUR_PF_JVs</t>
  </si>
  <si>
    <t>EUROPE_PensionFunds_FundsOfFunds</t>
  </si>
  <si>
    <t>EUR_PF_FOF</t>
  </si>
  <si>
    <t>EUROPE_PensionFunds_Debt</t>
  </si>
  <si>
    <t>EUR_PF_Debt</t>
  </si>
  <si>
    <t>EUROPE_PensionFunds_VehicleType_Total</t>
  </si>
  <si>
    <t>EUR_PF_VT_Total</t>
  </si>
  <si>
    <t>EUROPE_InsuranceCompanies_NonListedFunds</t>
  </si>
  <si>
    <t>EUR_IC_NLF</t>
  </si>
  <si>
    <t>EUROPE_InsuranceCompanies_SeparateAccountsDirect</t>
  </si>
  <si>
    <t>EUR_IC_SepAccDirect</t>
  </si>
  <si>
    <t>EUROPE_InsuranceCompanies_SeparateAccountsIndirect</t>
  </si>
  <si>
    <t>EUR_IC_SepAccIndirect</t>
  </si>
  <si>
    <t>EUROPE_InsuranceCompanies_JVs</t>
  </si>
  <si>
    <t>EUR_IC_JVs</t>
  </si>
  <si>
    <t>EUROPE_InsuranceCompanies_FundsOfFunds</t>
  </si>
  <si>
    <t>EUR_IC_FOF</t>
  </si>
  <si>
    <t>EUROPE_InsuranceCompanies_Debt</t>
  </si>
  <si>
    <t>EUR_IC_Debt</t>
  </si>
  <si>
    <t>EUROPE_InsuranceCompanies_VehicleType_Total</t>
  </si>
  <si>
    <t>EUR_IC_VT_Total</t>
  </si>
  <si>
    <t>EUROPE_SovereignWealthFunds_NonListedFunds</t>
  </si>
  <si>
    <t>EUR_SWF_NLF</t>
  </si>
  <si>
    <t>EUROPE_SovereignWealthFunds_SeparateAccountsDirect</t>
  </si>
  <si>
    <t>EUR_SWF_SepAccDirect</t>
  </si>
  <si>
    <t>EUROPE_SovereignWealthFunds_SeparateAccountsIndirect</t>
  </si>
  <si>
    <t>EUR_SWF_SepAccIndirect</t>
  </si>
  <si>
    <t>EUROPE_SovereignWealthFunds_JVs</t>
  </si>
  <si>
    <t>EUR_SWF_JVs</t>
  </si>
  <si>
    <t>EUROPE_SovereignWealthFunds_FundsOfFunds</t>
  </si>
  <si>
    <t>EUR_SWF_FOF</t>
  </si>
  <si>
    <t>EUROPE_SovereignWealthFunds_Debt</t>
  </si>
  <si>
    <t>EUR_SWF_Debt</t>
  </si>
  <si>
    <t>EUROPE_SovereignWealthFunds_VehicleType_Total</t>
  </si>
  <si>
    <t>EUR_SWF_VT_Total</t>
  </si>
  <si>
    <t>EUROPE_GovernmentInstitutions_NonListedFunds</t>
  </si>
  <si>
    <t>EUR_GI_NLF</t>
  </si>
  <si>
    <t>EUROPE_GovernmentInstitutions_SeparateAccountsDirect</t>
  </si>
  <si>
    <t>EUR_GI_SepAccDirect</t>
  </si>
  <si>
    <t>EUROPE_GovernmentInstitutions_SeparateAccountsIndirect</t>
  </si>
  <si>
    <t>EUR_GI_SepAccIndirect</t>
  </si>
  <si>
    <t>EUROPE_GovernmentInstitutions_JVs</t>
  </si>
  <si>
    <t>EUR_GI_JVs</t>
  </si>
  <si>
    <t>EUROPE_GovernmentInstitutions_FundsOfFunds</t>
  </si>
  <si>
    <t>EUR_GI_FOF</t>
  </si>
  <si>
    <t>EUROPE_GovernmentInstitutions_Debt</t>
  </si>
  <si>
    <t>EUR_GI_Debt</t>
  </si>
  <si>
    <t>EUROPE_GovernmentInstitutions_VehicleType_Total</t>
  </si>
  <si>
    <t>EUR_GI_VT_Total</t>
  </si>
  <si>
    <t>EUROPE_CharitiesFoundationsNonProfitOrganizations_NonListedFunds</t>
  </si>
  <si>
    <t>EUR_CF&amp;NPO_NLF</t>
  </si>
  <si>
    <t>EUROPE_CharitiesFoundationsNonProfitOrganizations_SeparateAccountsDirect</t>
  </si>
  <si>
    <t>EUR_CF&amp;NPO_SepAccDirect</t>
  </si>
  <si>
    <t>EUROPE_CharitiesFoundationsNonProfitOrganizations_SeparateAccountsIndirect</t>
  </si>
  <si>
    <t>EUR_CF&amp;NPO_SepAccIndirect</t>
  </si>
  <si>
    <t>EUROPE_CharitiesFoundationsNonProfitOrganizations_JVs</t>
  </si>
  <si>
    <t>EUR_CF&amp;NPO_JVs</t>
  </si>
  <si>
    <t>EUROPE_CharitiesFoundationsNonProfitOrganizations_FundsOfFunds</t>
  </si>
  <si>
    <t>EUR_CF&amp;NPO_FOF</t>
  </si>
  <si>
    <t>EUROPE_CharitiesFoundationsNonProfitOrganizations_Debt</t>
  </si>
  <si>
    <t>EUR_CF&amp;NPO_Debt</t>
  </si>
  <si>
    <t>EUROPE_CharitiesFoundationsNonProfitOrganizations_VehicleType_Total</t>
  </si>
  <si>
    <t>EUR_CF&amp;NPO_VT_Total</t>
  </si>
  <si>
    <t>EUROPE_FundsOfFunds_NonListedFunds</t>
  </si>
  <si>
    <t>EUR_FOF_NLF</t>
  </si>
  <si>
    <t>EUROPE_FundsOfFunds_SeparateAccountsDirect</t>
  </si>
  <si>
    <t>EUR_FOF_SepAccDirect</t>
  </si>
  <si>
    <t>EUROPE_FundsOfFunds_SeparateAccountsIndirect</t>
  </si>
  <si>
    <t>EUR_FOF_SepAccIndirect</t>
  </si>
  <si>
    <t>EUROPE_FundsOfFunds_JVs</t>
  </si>
  <si>
    <t>EUR_FOF_JVs</t>
  </si>
  <si>
    <t>EUROPE_FundsOfFunds_FundsOfFunds</t>
  </si>
  <si>
    <t>EUR_FOF_FOF</t>
  </si>
  <si>
    <t>EUROPE_FundsOfFunds_Debt</t>
  </si>
  <si>
    <t>EUR_FOF_Debt</t>
  </si>
  <si>
    <t>EUROPE_FundsOfFunds_VehicleType_Total</t>
  </si>
  <si>
    <t>EUR_FOF_VT_Total</t>
  </si>
  <si>
    <t>EUROPE_HighnetWorthIndividualsFamilyOffices_NonListedFunds</t>
  </si>
  <si>
    <t>EUR_HNWI/FO_NLF</t>
  </si>
  <si>
    <t>EUROPE_HighnetWorthIndividualsFamilyOffices_SeparateAccountsDirect</t>
  </si>
  <si>
    <t>EUR_HNWI/FO_SepAccDirect</t>
  </si>
  <si>
    <t>EUROPE_HighnetWorthIndividualsFamilyOffices_SeparateAccountsIndirect</t>
  </si>
  <si>
    <t>EUR_HNWI/FO_SepAccIndirect</t>
  </si>
  <si>
    <t>EUROPE_HighnetWorthIndividualsFamilyOffices_JVs</t>
  </si>
  <si>
    <t>EUR_HNWI/FO_JVs</t>
  </si>
  <si>
    <t>EUROPE_HighnetWorthIndividualsFamilyOffices_FundsOfFunds</t>
  </si>
  <si>
    <t>EUR_HNWI/FO_FOF</t>
  </si>
  <si>
    <t>EUROPE_HighnetWorthIndividualsFamilyOffices_Debt</t>
  </si>
  <si>
    <t>EUR_HNWI/FO_Debt</t>
  </si>
  <si>
    <t>EUROPE_HighnetWorthIndividualsFamilyOffices_VehicleType_Total</t>
  </si>
  <si>
    <t>EUR_HNWI/FO_VT_Total</t>
  </si>
  <si>
    <t>EUROPE_OtherInvestorTypetext</t>
  </si>
  <si>
    <t>EUR_OtherITText</t>
  </si>
  <si>
    <t>EUROPE_OtherInvestorType_NonListedFunds</t>
  </si>
  <si>
    <t>EUR_OtherIT_NLF</t>
  </si>
  <si>
    <t>EUROPE_OtherInvestorType_SeparateAccountsDirect</t>
  </si>
  <si>
    <t>EUR_OtherIT_SepAccDirect</t>
  </si>
  <si>
    <t>EUROPE_OtherInvestorType_SeparateAccountsIndirect</t>
  </si>
  <si>
    <t>EUR_OtherIT_SepAccIndirect</t>
  </si>
  <si>
    <t>EUROPE_OtherInvestorType_JVs</t>
  </si>
  <si>
    <t>EUR_OtherIT_JVs</t>
  </si>
  <si>
    <t>EUROPE_OtherInvestorType_FundsOfFunds</t>
  </si>
  <si>
    <t>EUR_OtherIT_FOF</t>
  </si>
  <si>
    <t>EUROPE_OtherInvestorType_Debt</t>
  </si>
  <si>
    <t>EUR_OtherIT_Debt</t>
  </si>
  <si>
    <t>EUROPE_OtherInvestorType_VehicleType_Total</t>
  </si>
  <si>
    <t>EUR_OtherIT_VT_Total</t>
  </si>
  <si>
    <t>EUROPE_InvestorType_NonListedFunds_Total</t>
  </si>
  <si>
    <t>EUR_IT_NLF_Total</t>
  </si>
  <si>
    <t>EUROPE_InvestorType_SeparateAccountsDirect_Total</t>
  </si>
  <si>
    <t>EUR_IT_SepAccDirect_Total</t>
  </si>
  <si>
    <t>EUROPE_InvestorType_SeparateAccountsIndirect_Total</t>
  </si>
  <si>
    <t>EUR_IT_SepAccIndirect_Total</t>
  </si>
  <si>
    <t>EUROPE_InvestorType_JVs_Total</t>
  </si>
  <si>
    <t>EUR_IT_JVs_Total</t>
  </si>
  <si>
    <t>EUROPE_InvestorType_FundsOfFunds_Total</t>
  </si>
  <si>
    <t>EUR_IT_FOF_Total</t>
  </si>
  <si>
    <t>EUROPE_InvestorType_Debt_Total</t>
  </si>
  <si>
    <t>EUR_IT_Debt_Total</t>
  </si>
  <si>
    <t>EUROPE_InvestorType_VehicleType_Total</t>
  </si>
  <si>
    <t>EUR_IT_VT_Total</t>
  </si>
  <si>
    <t>17</t>
  </si>
  <si>
    <t>21</t>
  </si>
  <si>
    <t>q17</t>
  </si>
  <si>
    <t>EUROPE_InvestorDomicileEurope_NonListedFunds</t>
  </si>
  <si>
    <t>EUR_IDEUR_NLF</t>
  </si>
  <si>
    <t>EUROPE_InvestorDomicileEurope_SeparateAccountsDirect</t>
  </si>
  <si>
    <t>EUR_IDEUR_SepAccDirect</t>
  </si>
  <si>
    <t>EUROPE_InvestorDomicileEurope_SeparateAccountsIndirect</t>
  </si>
  <si>
    <t>EUR_IDEUR_SepAccIndirect</t>
  </si>
  <si>
    <t>EUROPE_InvestorDomicileEurope_JVs</t>
  </si>
  <si>
    <t>EUR_IDEUR_JVs</t>
  </si>
  <si>
    <t>EUROPE_InvestorDomicileEurope_FundsOfFunds</t>
  </si>
  <si>
    <t>EUR_IDEUR_FOF</t>
  </si>
  <si>
    <t>EUROPE_InvestorDomicileEurope_Debt</t>
  </si>
  <si>
    <t>EUR_IDEUR_Debt</t>
  </si>
  <si>
    <t>EUROPE_InvestorDomicileEurope_VehicleType_Total</t>
  </si>
  <si>
    <t>EUR_IDEUR_VT_Total</t>
  </si>
  <si>
    <t>EUROPE_InvestorDomicileAsiaPacific_NonListedFunds</t>
  </si>
  <si>
    <t>EUR_IDAPAC_NLF</t>
  </si>
  <si>
    <t>EUROPE_InvestorDomicileAsiaPacific_SeparateAccountsDirect</t>
  </si>
  <si>
    <t>EUR_IDAPAC_SepAccDirect</t>
  </si>
  <si>
    <t>EUROPE_InvestorDomicileAsiaPacific_SeparateAccountsIndirect</t>
  </si>
  <si>
    <t>EUR_IDAPAC_SepAccIndirect</t>
  </si>
  <si>
    <t>EUROPE_InvestorDomicileAsiaPacific_JVs</t>
  </si>
  <si>
    <t>EUR_IDAPAC_JVs</t>
  </si>
  <si>
    <t>EUROPE_InvestorDomicileAsiaPacific_FundsOfFunds</t>
  </si>
  <si>
    <t>EUR_IDAPAC_FOF</t>
  </si>
  <si>
    <t>EUROPE_InvestorDomicileAsiaPacific_Debt</t>
  </si>
  <si>
    <t>EUR_IDAPAC_Debt</t>
  </si>
  <si>
    <t>EUROPE_InvestorDomicileAsiaPacific_VehicleType_Total</t>
  </si>
  <si>
    <t>EUR_IDAPAC_VT_Total</t>
  </si>
  <si>
    <t>EUROPE_InvestorDomicileNorthAmerica_NonListedFunds</t>
  </si>
  <si>
    <t>EUR_IDNA_NLF</t>
  </si>
  <si>
    <t>EUROPE_InvestorDomicileNorthAmerica_SeparateAccountsDirect</t>
  </si>
  <si>
    <t>EUR_IDNA_SepAccDirect</t>
  </si>
  <si>
    <t>EUROPE_InvestorDomicileNorthAmerica_SeparateAccountsIndirect</t>
  </si>
  <si>
    <t>EUR_IDNA_SepAccIndirect</t>
  </si>
  <si>
    <t>EUROPE_InvestorDomicileNorthAmerica_JVs</t>
  </si>
  <si>
    <t>EUR_IDNA_JVs</t>
  </si>
  <si>
    <t>EUROPE_InvestorDomicileNorthAmerica_FundsOfFunds</t>
  </si>
  <si>
    <t>EUR_IDNA_FOF</t>
  </si>
  <si>
    <t>EUROPE_InvestorDomicileNorthAmerica_Debt</t>
  </si>
  <si>
    <t>EUR_IDNA_Debt</t>
  </si>
  <si>
    <t>EUROPE_InvestorDomicileNorthAmerica_VehicleType_Total</t>
  </si>
  <si>
    <t>EUR_IDNA_VT_Total</t>
  </si>
  <si>
    <t>EUROPE_InvestorDomicileSouthAmerica_NonListedFunds</t>
  </si>
  <si>
    <t>EUR_IDSA_NLF</t>
  </si>
  <si>
    <t>EUROPE_InvestorDomicileSouthAmerica_SeparateAccountsDirect</t>
  </si>
  <si>
    <t>EUR_IDSA_SepAccDirect</t>
  </si>
  <si>
    <t>EUROPE_InvestorDomicileSouthAmerica_SeparateAccountsIndirect</t>
  </si>
  <si>
    <t>EUR_IDSA_SepAccIndirect</t>
  </si>
  <si>
    <t>EUROPE_InvestorDomicileSouthAmerica_JVs</t>
  </si>
  <si>
    <t>EUR_IDSA_JVs</t>
  </si>
  <si>
    <t>EUROPE_InvestorDomicileSouthAmerica_FundsOfFunds</t>
  </si>
  <si>
    <t>EUR_IDSA_FOF</t>
  </si>
  <si>
    <t>EUROPE_InvestorDomicileSouthAmerica_Debt</t>
  </si>
  <si>
    <t>EUR_IDSA_Debt</t>
  </si>
  <si>
    <t>EUROPE_InvestorDomicileSouthAmerica_VehicleType_Total</t>
  </si>
  <si>
    <t>EUR_IDSA_VT_Total</t>
  </si>
  <si>
    <t>EUROPE_InvestorDomicileAfrica_NonListedFunds</t>
  </si>
  <si>
    <t>EUR_IDAFR_NLF</t>
  </si>
  <si>
    <t>EUROPE_InvestorDomicileAfrica_SeparateAccountsDirect</t>
  </si>
  <si>
    <t>EUR_IDAFR_SepAccDirect</t>
  </si>
  <si>
    <t>EUROPE_InvestorDomicileAfrica_SeparateAccountsIndirect</t>
  </si>
  <si>
    <t>EUR_IDAFR_SepAccIndirect</t>
  </si>
  <si>
    <t>EUROPE_InvestorDomicileAfrica_JVs</t>
  </si>
  <si>
    <t>EUR_IDAFR_JVs</t>
  </si>
  <si>
    <t>EUROPE_InvestorDomicileAfrica_FundsOfFunds</t>
  </si>
  <si>
    <t>EUR_IDAFR_FOF</t>
  </si>
  <si>
    <t>EUROPE_InvestorDomicileAfrica_Debt</t>
  </si>
  <si>
    <t>EUR_IDAFR_Debt</t>
  </si>
  <si>
    <t>EUROPE_InvestorDomicileAfrica_VehicleType_Total</t>
  </si>
  <si>
    <t>EUR_IDAFR_VT_Total</t>
  </si>
  <si>
    <t>EUROPE_InvestorDomicile_NonListedFunds_Total</t>
  </si>
  <si>
    <t>EUR_ID_NLF_Total</t>
  </si>
  <si>
    <t>EUROPE_InvestorDomicile_SeparateAccountsDirect_Total</t>
  </si>
  <si>
    <t>EUR_ID_SepAccDirect_Total</t>
  </si>
  <si>
    <t>EUROPE_InvestorDomicile_SeparateAccountsIndirect_Total</t>
  </si>
  <si>
    <t>EUR_ID_SepAccIndirect_Total</t>
  </si>
  <si>
    <t>EUROPE_InvestorDomicile_JVs_Total</t>
  </si>
  <si>
    <t>EUR_ID_JVs_Total</t>
  </si>
  <si>
    <t>EUROPE_InvestorDomicile_FundsOfFunds_Total</t>
  </si>
  <si>
    <t>EUR_ID_FOF_Total</t>
  </si>
  <si>
    <t>EUROPE_InvestorDomicile_Debt_Total</t>
  </si>
  <si>
    <t>EUR_ID_Debt_Total</t>
  </si>
  <si>
    <t>EUROPE_InvestorDomicile_VehicleType_Total</t>
  </si>
  <si>
    <t>EUR_ID_VT_Total</t>
  </si>
  <si>
    <t>18</t>
  </si>
  <si>
    <t>NA Capital raised</t>
  </si>
  <si>
    <t>q18</t>
  </si>
  <si>
    <t>NA_PensionFunds_NonListedFunds</t>
  </si>
  <si>
    <t>NA_PF_NLF</t>
  </si>
  <si>
    <t>NA_PensionFunds_SeparateAccountsDirect</t>
  </si>
  <si>
    <t>NA_PF_SepAccDirect</t>
  </si>
  <si>
    <t>NA_PensionFunds_SeparateAccountsIndirect</t>
  </si>
  <si>
    <t>NA_PF_SepAccIndirect</t>
  </si>
  <si>
    <t>NA_PensionFunds_JVs</t>
  </si>
  <si>
    <t>NA_PF_JVs</t>
  </si>
  <si>
    <t>NA_PensionFunds_FundsOfFunds</t>
  </si>
  <si>
    <t>NA_PF_FOF</t>
  </si>
  <si>
    <t>NA_PensionFunds_Debt</t>
  </si>
  <si>
    <t>NA_PF_Debt</t>
  </si>
  <si>
    <t>NA_PensionFunds_VehicleType_Total</t>
  </si>
  <si>
    <t>NA_PF_VT_Total</t>
  </si>
  <si>
    <t>NA_InsuranceCompanies_NonListedFunds</t>
  </si>
  <si>
    <t>NA_IC_NLF</t>
  </si>
  <si>
    <t>NA_InsuranceCompanies_SeparateAccountsDirect</t>
  </si>
  <si>
    <t>NA_IC_SepAccDirect</t>
  </si>
  <si>
    <t>NA_InsuranceCompanies_SeparateAccountsIndirect</t>
  </si>
  <si>
    <t>NA_IC_SepAccIndirect</t>
  </si>
  <si>
    <t>NA_InsuranceCompanies_JVs</t>
  </si>
  <si>
    <t>NA_IC_JVs</t>
  </si>
  <si>
    <t>NA_InsuranceCompanies_FundsOfFunds</t>
  </si>
  <si>
    <t>NA_IC_FOF</t>
  </si>
  <si>
    <t>NA_InsuranceCompanies_Debt</t>
  </si>
  <si>
    <t>NA_IC_Debt</t>
  </si>
  <si>
    <t>NA_InsuranceCompanies_VehicleType_Total</t>
  </si>
  <si>
    <t>NA_IC_VT_Total</t>
  </si>
  <si>
    <t>NA_SovereignWealthFunds_NonListedFunds</t>
  </si>
  <si>
    <t>NA_SWF_NLF</t>
  </si>
  <si>
    <t>NA_SovereignWealthFunds_SeparateAccountsDirect</t>
  </si>
  <si>
    <t>NA_SWF_SepAccDirect</t>
  </si>
  <si>
    <t>NA_SovereignWealthFunds_SeparateAccountsIndirect</t>
  </si>
  <si>
    <t>NA_SWF_SepAccIndirect</t>
  </si>
  <si>
    <t>NA_SovereignWealthFunds_JVs</t>
  </si>
  <si>
    <t>NA_SWF_JVs</t>
  </si>
  <si>
    <t>NA_SovereignWealthFunds_FundsOfFunds</t>
  </si>
  <si>
    <t>NA_SWF_FOF</t>
  </si>
  <si>
    <t>NA_SovereignWealthFunds_Debt</t>
  </si>
  <si>
    <t>NA_SWF_Debt</t>
  </si>
  <si>
    <t>NA_SovereignWealthFunds_VehicleType_Total</t>
  </si>
  <si>
    <t>NA_SWF_VT_Total</t>
  </si>
  <si>
    <t>NA_GovernmentInstitutions_NonListedFunds</t>
  </si>
  <si>
    <t>NA_GI_NLF</t>
  </si>
  <si>
    <t>NA_GovernmentInstitutions_SeparateAccountsDirect</t>
  </si>
  <si>
    <t>NA_GI_SepAccDirect</t>
  </si>
  <si>
    <t>NA_GovernmentInstitutions_SeparateAccountsIndirect</t>
  </si>
  <si>
    <t>NA_GI_SepAccIndirect</t>
  </si>
  <si>
    <t>NA_GovernmentInstitutions_JVs</t>
  </si>
  <si>
    <t>NA_GI_JVs</t>
  </si>
  <si>
    <t>NA_GovernmentInstitutions_FundsOfFunds</t>
  </si>
  <si>
    <t>NA_GI_FOF</t>
  </si>
  <si>
    <t>NA_GovernmentInstitutions_Debt</t>
  </si>
  <si>
    <t>NA_GI_Debt</t>
  </si>
  <si>
    <t>NA_GovernmentInstitutions_VehicleType_Total</t>
  </si>
  <si>
    <t>NA_GI_VT_Total</t>
  </si>
  <si>
    <t>NA_CharitiesFoundationsNonProfitOrganizations_NonListedFunds</t>
  </si>
  <si>
    <t>NA_CF&amp;NPO_NLF</t>
  </si>
  <si>
    <t>NA_CharitiesFoundationsNonProfitOrganizations_SeparateAccountsDirect</t>
  </si>
  <si>
    <t>NA_CF&amp;NPO_SepAccDirect</t>
  </si>
  <si>
    <t>NA_CharitiesFoundationsNonProfitOrganizations_SeparateAccountsIndirect</t>
  </si>
  <si>
    <t>NA_CF&amp;NPO_SepAccIndirect</t>
  </si>
  <si>
    <t>NA_CharitiesFoundationsNonProfitOrganizations_JVs</t>
  </si>
  <si>
    <t>NA_CF&amp;NPO_JVs</t>
  </si>
  <si>
    <t>NA_CharitiesFoundationsNonProfitOrganizations_FundsOfFunds</t>
  </si>
  <si>
    <t>NA_CF&amp;NPO_FOF</t>
  </si>
  <si>
    <t>NA_CharitiesFoundationsNonProfitOrganizations_Debt</t>
  </si>
  <si>
    <t>NA_CF&amp;NPO_Debt</t>
  </si>
  <si>
    <t>NA_CharitiesFoundationsNonProfitOrganizations_VehicleType_Total</t>
  </si>
  <si>
    <t>NA_CF&amp;NPO_VT_Total</t>
  </si>
  <si>
    <t>NA_FundsOfFunds_NonListedFunds</t>
  </si>
  <si>
    <t>NA_FOF_NLF</t>
  </si>
  <si>
    <t>NA_FundsOfFunds_SeparateAccountsDirect</t>
  </si>
  <si>
    <t>NA_FOF_SepAccDirect</t>
  </si>
  <si>
    <t>NA_FundsOfFunds_SeparateAccountsIndirect</t>
  </si>
  <si>
    <t>NA_FOF_SepAccIndirect</t>
  </si>
  <si>
    <t>NA_FundsOfFunds_JVs</t>
  </si>
  <si>
    <t>NA_FOF_JVs</t>
  </si>
  <si>
    <t>NA_FundsOfFunds_FundsOfFunds</t>
  </si>
  <si>
    <t>NA_FOF_FOF</t>
  </si>
  <si>
    <t>NA_FundsOfFunds_Debt</t>
  </si>
  <si>
    <t>NA_FOF_Debt</t>
  </si>
  <si>
    <t>NA_FundsOfFunds_VehicleType_Total</t>
  </si>
  <si>
    <t>NA_FOF_VT_Total</t>
  </si>
  <si>
    <t>NA_HighnetWorthIndividualsFamilyOffices_NonListedFunds</t>
  </si>
  <si>
    <t>NA_HNWI/FO_NLF</t>
  </si>
  <si>
    <t>NA_HighnetWorthIndividualsFamilyOffices_SeparateAccountsDirect</t>
  </si>
  <si>
    <t>NA_HNWI/FO_SepAccDirect</t>
  </si>
  <si>
    <t>NA_HighnetWorthIndividualsFamilyOffices_SeparateAccountsIndirect</t>
  </si>
  <si>
    <t>NA_HNWI/FO_SepAccIndirect</t>
  </si>
  <si>
    <t>NA_HighnetWorthIndividualsFamilyOffices_JVs</t>
  </si>
  <si>
    <t>NA_HNWI/FO_JVs</t>
  </si>
  <si>
    <t>NA_HighnetWorthIndividualsFamilyOffices_FundsOfFunds</t>
  </si>
  <si>
    <t>NA_HNWI/FO_FOF</t>
  </si>
  <si>
    <t>NA_HighnetWorthIndividualsFamilyOffices_Debt</t>
  </si>
  <si>
    <t>NA_HNWI/FO_Debt</t>
  </si>
  <si>
    <t>NA_HighnetWorthIndividualsFamilyOffices_VehicleType_Total</t>
  </si>
  <si>
    <t>NA_HNWI/FO_VT_Total</t>
  </si>
  <si>
    <t>NA_OtherInvestorTypetext</t>
  </si>
  <si>
    <t>NA_OtherITText</t>
  </si>
  <si>
    <t>NA_OtherInvestorType_NonListedFunds</t>
  </si>
  <si>
    <t>NA_OtherIT_NLF</t>
  </si>
  <si>
    <t>NA_OtherInvestorType_SeparateAccountsDirect</t>
  </si>
  <si>
    <t>NA_OtherIT_SepAccDirect</t>
  </si>
  <si>
    <t>NA_OtherInvestorType_SeparateAccountsIndirect</t>
  </si>
  <si>
    <t>NA_OtherIT_SepAccIndirect</t>
  </si>
  <si>
    <t>NA_OtherInvestorType_JVs</t>
  </si>
  <si>
    <t>NA_OtherIT_JVs</t>
  </si>
  <si>
    <t>NA_OtherInvestorType_FundsOfFunds</t>
  </si>
  <si>
    <t>NA_OtherIT_FOF</t>
  </si>
  <si>
    <t>NA_OtherInvestorType_Debt</t>
  </si>
  <si>
    <t>NA_OtherIT_Debt</t>
  </si>
  <si>
    <t>NA_OtherInvestorType_VehicleType_Total</t>
  </si>
  <si>
    <t>NA_OtherIT_VT_Total</t>
  </si>
  <si>
    <t>NA_InvestorType_NonListedFunds_Total</t>
  </si>
  <si>
    <t>NA_IT_NLF_Total</t>
  </si>
  <si>
    <t>NA_InvestorType_SeparateAccountsDirect_Total</t>
  </si>
  <si>
    <t>NA_IT_SepAccDirect_Total</t>
  </si>
  <si>
    <t>NA_InvestorType_SeparateAccountsIndirect_Total</t>
  </si>
  <si>
    <t>NA_IT_SepAccIndirect_Total</t>
  </si>
  <si>
    <t>NA_InvestorType_JVs_Total</t>
  </si>
  <si>
    <t>NA_IT_JVs_Total</t>
  </si>
  <si>
    <t>NA_InvestorType_FundsOfFunds_Total</t>
  </si>
  <si>
    <t>NA_IT_FOF_Total</t>
  </si>
  <si>
    <t>NA_InvestorType_Debt_Total</t>
  </si>
  <si>
    <t>NA_IT_Debt_Total</t>
  </si>
  <si>
    <t>NA_InvestorType_VehicleType_Total</t>
  </si>
  <si>
    <t>NA_IT_VT_Total</t>
  </si>
  <si>
    <t>19</t>
  </si>
  <si>
    <t>q19</t>
  </si>
  <si>
    <t>NA_InvestorDomicileEurope_NonListedFunds</t>
  </si>
  <si>
    <t>NA_IDEUR_NLF</t>
  </si>
  <si>
    <t>NA_InvestorDomicileEurope_SeparateAccountsDirect</t>
  </si>
  <si>
    <t>NA_IDEUR_SepAccDirect</t>
  </si>
  <si>
    <t>NA_InvestorDomicileEurope_SeparateAccountsIndirect</t>
  </si>
  <si>
    <t>NA_IDEUR_SepAccIndirect</t>
  </si>
  <si>
    <t>NA_InvestorDomicileEurope_JVs</t>
  </si>
  <si>
    <t>NA_IDEUR_JVs</t>
  </si>
  <si>
    <t>NA_InvestorDomicileEurope_FundsOfFunds</t>
  </si>
  <si>
    <t>NA_IDEUR_FOF</t>
  </si>
  <si>
    <t>NA_InvestorDomicileEurope_Debt</t>
  </si>
  <si>
    <t>NA_IDEUR_Debt</t>
  </si>
  <si>
    <t>NA_InvestorDomicileEurope_VehicleType_Total</t>
  </si>
  <si>
    <t>NA_IDEUR_VT_Total</t>
  </si>
  <si>
    <t>NA_InvestorDomicileAsiaPacific_NonListedFunds</t>
  </si>
  <si>
    <t>NA_IDAPAC_NLF</t>
  </si>
  <si>
    <t>NA_InvestorDomicileAsiaPacific_SeparateAccountsDirect</t>
  </si>
  <si>
    <t>NA_IDAPAC_SepAccDirect</t>
  </si>
  <si>
    <t>NA_InvestorDomicileAsiaPacific_SeparateAccountsIndirect</t>
  </si>
  <si>
    <t>NA_IDAPAC_SepAccIndirect</t>
  </si>
  <si>
    <t>NA_InvestorDomicileAsiaPacific_JVs</t>
  </si>
  <si>
    <t>NA_IDAPAC_JVs</t>
  </si>
  <si>
    <t>NA_InvestorDomicileAsiaPacific_FundsOfFunds</t>
  </si>
  <si>
    <t>NA_IDAPAC_FOF</t>
  </si>
  <si>
    <t>NA_InvestorDomicileAsiaPacific_Debt</t>
  </si>
  <si>
    <t>NA_IDAPAC_Debt</t>
  </si>
  <si>
    <t>NA_InvestorDomicileAsiaPacific_VehicleType_Total</t>
  </si>
  <si>
    <t>NA_IDAPAC_VT_Total</t>
  </si>
  <si>
    <t>NA_InvestorDomicileNorthAmerica_NonListedFunds</t>
  </si>
  <si>
    <t>NA_IDNA_NLF</t>
  </si>
  <si>
    <t>NA_InvestorDomicileNorthAmerica_SeparateAccountsDirect</t>
  </si>
  <si>
    <t>NA_IDNA_SepAccDirect</t>
  </si>
  <si>
    <t>NA_InvestorDomicileNorthAmerica_SeparateAccountsIndirect</t>
  </si>
  <si>
    <t>NA_IDNA_SepAccIndirect</t>
  </si>
  <si>
    <t>NA_InvestorDomicileNorthAmerica_JVs</t>
  </si>
  <si>
    <t>NA_IDNA_JVs</t>
  </si>
  <si>
    <t>NA_InvestorDomicileNorthAmerica_FundsOfFunds</t>
  </si>
  <si>
    <t>NA_IDNA_FOF</t>
  </si>
  <si>
    <t>NA_InvestorDomicileNorthAmerica_Debt</t>
  </si>
  <si>
    <t>NA_IDNA_Debt</t>
  </si>
  <si>
    <t>NA_InvestorDomicileNorthAmerica_VehicleType_Total</t>
  </si>
  <si>
    <t>NA_IDNA_VT_Total</t>
  </si>
  <si>
    <t>NA_InvestorDomicileSouthAmerica_NonListedFunds</t>
  </si>
  <si>
    <t>NA_IDSA_NLF</t>
  </si>
  <si>
    <t>NA_InvestorDomicileSouthAmerica_SeparateAccountsDirect</t>
  </si>
  <si>
    <t>NA_IDSA_SepAccDirect</t>
  </si>
  <si>
    <t>NA_InvestorDomicileSouthAmerica_SeparateAccountsIndirect</t>
  </si>
  <si>
    <t>NA_IDSA_SepAccIndirect</t>
  </si>
  <si>
    <t>NA_InvestorDomicileSouthAmerica_JVs</t>
  </si>
  <si>
    <t>NA_IDSA_JVs</t>
  </si>
  <si>
    <t>NA_InvestorDomicileSouthAmerica_FundsOfFunds</t>
  </si>
  <si>
    <t>NA_IDSA_FOF</t>
  </si>
  <si>
    <t>NA_InvestorDomicileSouthAmerica_Debt</t>
  </si>
  <si>
    <t>NA_IDSA_Debt</t>
  </si>
  <si>
    <t>NA_InvestorDomicileSouthAmerica_VehicleType_Total</t>
  </si>
  <si>
    <t>NA_IDSA_VT_Total</t>
  </si>
  <si>
    <t>NA_InvestorDomicileAfrica_NonListedFunds</t>
  </si>
  <si>
    <t>NA_IDAFR_NLF</t>
  </si>
  <si>
    <t>NA_InvestorDomicileAfrica_SeparateAccountsDirect</t>
  </si>
  <si>
    <t>NA_IDAFR_SepAccDirect</t>
  </si>
  <si>
    <t>NA_InvestorDomicileAfrica_SeparateAccountsIndirect</t>
  </si>
  <si>
    <t>NA_IDAFR_SepAccIndirect</t>
  </si>
  <si>
    <t>NA_InvestorDomicileAfrica_JVs</t>
  </si>
  <si>
    <t>NA_IDAFR_JVs</t>
  </si>
  <si>
    <t>NA_InvestorDomicileAfrica_FundsOfFunds</t>
  </si>
  <si>
    <t>NA_IDAFR_FOF</t>
  </si>
  <si>
    <t>NA_InvestorDomicileAfrica_Debt</t>
  </si>
  <si>
    <t>NA_IDAFR_Debt</t>
  </si>
  <si>
    <t>NA_InvestorDomicileAfrica_VehicleType_Total</t>
  </si>
  <si>
    <t>NA_IDAFR_VT_Total</t>
  </si>
  <si>
    <t>NA_InvestorDomicile_NonListedFunds_Total</t>
  </si>
  <si>
    <t>NA_ID_NLF_Total</t>
  </si>
  <si>
    <t>NA_InvestorDomicile_SeparateAccountsDirect_Total</t>
  </si>
  <si>
    <t>NA_ID_SepAccDirect_Total</t>
  </si>
  <si>
    <t>NA_InvestorDomicile_SeparateAccountsIndirect_Total</t>
  </si>
  <si>
    <t>NA_ID_SepAccIndirect_Total</t>
  </si>
  <si>
    <t>NA_InvestorDomicile_JVs_Total</t>
  </si>
  <si>
    <t>NA_ID_JVs_Total</t>
  </si>
  <si>
    <t>NA_InvestorDomicile_FundsOfFunds_Total</t>
  </si>
  <si>
    <t>NA_ID_FOF_Total</t>
  </si>
  <si>
    <t>NA_InvestorDomicile_Debt_Total</t>
  </si>
  <si>
    <t>NA_ID_Debt_Total</t>
  </si>
  <si>
    <t>NA_InvestorDomicile_VehicleType_Total</t>
  </si>
  <si>
    <t>NA_ID_VT_Total</t>
  </si>
  <si>
    <t>20</t>
  </si>
  <si>
    <t>Global Capital raised</t>
  </si>
  <si>
    <t>q20</t>
  </si>
  <si>
    <t>GLOBAL_PensionFunds_NonListedFunds</t>
  </si>
  <si>
    <t>GLB_PF_NLF</t>
  </si>
  <si>
    <t>GLOBAL_PensionFunds_SeparateAccountsDirect</t>
  </si>
  <si>
    <t>GLB_PF_SepAccDirect</t>
  </si>
  <si>
    <t>GLOBAL_PensionFunds_SeparateAccountsIndirect</t>
  </si>
  <si>
    <t>GLB_PF_SepAccIndirect</t>
  </si>
  <si>
    <t>GLOBAL_PensionFunds_JVs</t>
  </si>
  <si>
    <t>GLB_PF_JVs</t>
  </si>
  <si>
    <t>GLOBAL_PensionFunds_FundsOfFunds</t>
  </si>
  <si>
    <t>GLB_PF_FOF</t>
  </si>
  <si>
    <t>GLOBAL_PensionFunds_Debt</t>
  </si>
  <si>
    <t>GLB_PF_Debt</t>
  </si>
  <si>
    <t>GLOBAL_PensionFunds_VehicleType_Total</t>
  </si>
  <si>
    <t>GLB_PF_VT_Total</t>
  </si>
  <si>
    <t>GLOBAL_InsuranceCompanies_NonListedFunds</t>
  </si>
  <si>
    <t>GLB_IC_NLF</t>
  </si>
  <si>
    <t>GLOBAL_InsuranceCompanies_SeparateAccountsDirect</t>
  </si>
  <si>
    <t>GLB_IC_SepAccDirect</t>
  </si>
  <si>
    <t>GLOBAL_InsuranceCompanies_SeparateAccountsIndirect</t>
  </si>
  <si>
    <t>GLB_IC_SepAccIndirect</t>
  </si>
  <si>
    <t>GLOBAL_InsuranceCompanies_JVs</t>
  </si>
  <si>
    <t>GLB_IC_JVs</t>
  </si>
  <si>
    <t>GLOBAL_InsuranceCompanies_FundsOfFunds</t>
  </si>
  <si>
    <t>GLB_IC_FOF</t>
  </si>
  <si>
    <t>GLOBAL_InsuranceCompanies_Debt</t>
  </si>
  <si>
    <t>GLB_IC_Debt</t>
  </si>
  <si>
    <t>GLOBAL_InsuranceCompanies_VehicleType_Total</t>
  </si>
  <si>
    <t>GLB_IC_VT_Total</t>
  </si>
  <si>
    <t>GLOBAL_SovereignWealthFunds_NonListedFunds</t>
  </si>
  <si>
    <t>GLB_SWF_NLF</t>
  </si>
  <si>
    <t>GLOBAL_SovereignWealthFunds_SeparateAccountsDirect</t>
  </si>
  <si>
    <t>GLB_SWF_SepAccDirect</t>
  </si>
  <si>
    <t>GLOBAL_SovereignWealthFunds_SeparateAccountsIndirect</t>
  </si>
  <si>
    <t>GLB_SWF_SepAccIndirect</t>
  </si>
  <si>
    <t>GLOBAL_SovereignWealthFunds_JVs</t>
  </si>
  <si>
    <t>GLB_SWF_JVs</t>
  </si>
  <si>
    <t>GLOBAL_SovereignWealthFunds_FundsOfFunds</t>
  </si>
  <si>
    <t>GLB_SWF_FOF</t>
  </si>
  <si>
    <t>GLOBAL_SovereignWealthFunds_Debt</t>
  </si>
  <si>
    <t>GLB_SWF_Debt</t>
  </si>
  <si>
    <t>GLOBAL_SovereignWealthFunds_VehicleType_Total</t>
  </si>
  <si>
    <t>GLB_SWF_VT_Total</t>
  </si>
  <si>
    <t>GLOBAL_GovernmentInstitutions_NonListedFunds</t>
  </si>
  <si>
    <t>GLB_GI_NLF</t>
  </si>
  <si>
    <t>GLOBAL_GovernmentInstitutions_SeparateAccountsDirect</t>
  </si>
  <si>
    <t>GLB_GI_SepAccDirect</t>
  </si>
  <si>
    <t>GLOBAL_GovernmentInstitutions_SeparateAccountsIndirect</t>
  </si>
  <si>
    <t>GLB_GI_SepAccIndirect</t>
  </si>
  <si>
    <t>GLOBAL_GovernmentInstitutions_JVs</t>
  </si>
  <si>
    <t>GLB_GI_JVs</t>
  </si>
  <si>
    <t>GLOBAL_GovernmentInstitutions_FundsOfFunds</t>
  </si>
  <si>
    <t>GLB_GI_FOF</t>
  </si>
  <si>
    <t>GLOBAL_GovernmentInstitutions_Debt</t>
  </si>
  <si>
    <t>GLB_GI_Debt</t>
  </si>
  <si>
    <t>GLOBAL_GovernmentInstitutions_VehicleType_Total</t>
  </si>
  <si>
    <t>GLB_GI_VT_Total</t>
  </si>
  <si>
    <t>GLOBAL_CharitiesFoundationsNonProfitOrganizations_NonListedFunds</t>
  </si>
  <si>
    <t>GLB_CF&amp;NPO_NLF</t>
  </si>
  <si>
    <t>GLOBAL_CharitiesFoundationsNonProfitOrganizations_SeparateAccountsDirect</t>
  </si>
  <si>
    <t>GLB_CF&amp;NPO_SepAccDirect</t>
  </si>
  <si>
    <t>GLOBAL_CharitiesFoundationsNonProfitOrganizations_SeparateAccountsIndirect</t>
  </si>
  <si>
    <t>GLB_CF&amp;NPO_SepAccIndirect</t>
  </si>
  <si>
    <t>GLOBAL_CharitiesFoundationsNonProfitOrganizations_JVs</t>
  </si>
  <si>
    <t>GLB_CF&amp;NPO_JVs</t>
  </si>
  <si>
    <t>GLOBAL_CharitiesFoundationsNonProfitOrganizations_FundsOfFunds</t>
  </si>
  <si>
    <t>GLB_CF&amp;NPO_FOF</t>
  </si>
  <si>
    <t>GLOBAL_CharitiesFoundationsNonProfitOrganizations_Debt</t>
  </si>
  <si>
    <t>GLB_CF&amp;NPO_Debt</t>
  </si>
  <si>
    <t>GLOBAL_CharitiesFoundationsNonProfitOrganizations_VehicleType_Total</t>
  </si>
  <si>
    <t>GLB_CF&amp;NPO_VT_Total</t>
  </si>
  <si>
    <t>GLOBAL_FundsOfFunds_NonListedFunds</t>
  </si>
  <si>
    <t>GLB_FOF_NLF</t>
  </si>
  <si>
    <t>GLOBAL_FundsOfFunds_SeparateAccountsDirect</t>
  </si>
  <si>
    <t>GLB_FOF_SepAccDirect</t>
  </si>
  <si>
    <t>GLOBAL_FundsOfFunds_SeparateAccountsIndirect</t>
  </si>
  <si>
    <t>GLB_FOF_SepAccIndirect</t>
  </si>
  <si>
    <t>GLOBAL_FundsOfFunds_JVs</t>
  </si>
  <si>
    <t>GLB_FOF_JVs</t>
  </si>
  <si>
    <t>GLOBAL_FundsOfFunds_FundsOfFunds</t>
  </si>
  <si>
    <t>GLB_FOF_FOF</t>
  </si>
  <si>
    <t>GLOBAL_FundsOfFunds_Debt</t>
  </si>
  <si>
    <t>GLB_FOF_Debt</t>
  </si>
  <si>
    <t>GLOBAL_FundsOfFunds_VehicleType_Total</t>
  </si>
  <si>
    <t>GLB_FOF_VT_Total</t>
  </si>
  <si>
    <t>GLOBAL_HighnetWorthIndividualsFamilyOffices_NonListedFunds</t>
  </si>
  <si>
    <t>GLB_HNWI/FO_NLF</t>
  </si>
  <si>
    <t>GLOBAL_HighnetWorthIndividualsFamilyOffices_SeparateAccountsDirect</t>
  </si>
  <si>
    <t>GLB_HNWI/FO_SepAccDirect</t>
  </si>
  <si>
    <t>GLOBAL_HighnetWorthIndividualsFamilyOffices_SeparateAccountsIndirect</t>
  </si>
  <si>
    <t>GLB_HNWI/FO_SepAccIndirect</t>
  </si>
  <si>
    <t>GLOBAL_HighnetWorthIndividualsFamilyOffices_JVs</t>
  </si>
  <si>
    <t>GLB_HNWI/FO_JVs</t>
  </si>
  <si>
    <t>GLOBAL_HighnetWorthIndividualsFamilyOffices_FundsOfFunds</t>
  </si>
  <si>
    <t>GLB_HNWI/FO_FOF</t>
  </si>
  <si>
    <t>GLOBAL_HighnetWorthIndividualsFamilyOffices_Debt</t>
  </si>
  <si>
    <t>GLB_HNWI/FO_Debt</t>
  </si>
  <si>
    <t>GLOBAL_HighnetWorthIndividualsFamilyOffices_VehicleType_Total</t>
  </si>
  <si>
    <t>GLB_HNWI/FO_VT_Total</t>
  </si>
  <si>
    <t>GLOBAL_OtherInvestorTypetext</t>
  </si>
  <si>
    <t>GLB_OtherITText</t>
  </si>
  <si>
    <t>GLOBAL_OtherInvestorType_NonListedFunds</t>
  </si>
  <si>
    <t>GLB_OtherIT_NLF</t>
  </si>
  <si>
    <t>GLOBAL_OtherInvestorType_SeparateAccountsDirect</t>
  </si>
  <si>
    <t>GLB_OtherIT_SepAccDirect</t>
  </si>
  <si>
    <t>GLOBAL_OtherInvestorType_SeparateAccountsIndirect</t>
  </si>
  <si>
    <t>GLB_OtherIT_SepAccIndirect</t>
  </si>
  <si>
    <t>GLOBAL_OtherInvestorType_JVs</t>
  </si>
  <si>
    <t>GLB_OtherIT_JVs</t>
  </si>
  <si>
    <t>GLOBAL_OtherInvestorType_FundsOfFunds</t>
  </si>
  <si>
    <t>GLB_OtherIT_FOF</t>
  </si>
  <si>
    <t>GLOBAL_OtherInvestorType_Debt</t>
  </si>
  <si>
    <t>GLB_OtherIT_Debt</t>
  </si>
  <si>
    <t>GLOBAL_OtherInvestorType_VehicleType_Total</t>
  </si>
  <si>
    <t>GLB_OtherIT_VT_Total</t>
  </si>
  <si>
    <t>GLOBAL_InvestorType_NonListedFunds_Total</t>
  </si>
  <si>
    <t>GLB_IT_NLF_Total</t>
  </si>
  <si>
    <t>GLOBAL_InvestorType_SeparateAccountsDirect_Total</t>
  </si>
  <si>
    <t>GLB_IT_SepAccDirect_Total</t>
  </si>
  <si>
    <t>GLOBAL_InvestorType_SeparateAccountsIndirect_Total</t>
  </si>
  <si>
    <t>GLB_IT_SepAccIndirect_Total</t>
  </si>
  <si>
    <t>GLOBAL_InvestorType_JVs_Total</t>
  </si>
  <si>
    <t>GLB_IT_JVs_Total</t>
  </si>
  <si>
    <t>GLOBAL_InvestorType_FundsOfFunds_Total</t>
  </si>
  <si>
    <t>GLB_IT_FOF_Total</t>
  </si>
  <si>
    <t>GLOBAL_InvestorType_Debt_Total</t>
  </si>
  <si>
    <t>GLB_IT_Debt_Total</t>
  </si>
  <si>
    <t>GLOBAL_InvestorType_VehicleType_Total</t>
  </si>
  <si>
    <t>GLB_IT_VT_Total</t>
  </si>
  <si>
    <t>q21</t>
  </si>
  <si>
    <t>GLOBAL_InvestorDomicileEurope_NonListedFunds</t>
  </si>
  <si>
    <t>GLB_IDEUR_NLF</t>
  </si>
  <si>
    <t>GLOBAL_InvestorDomicileEurope_SeparateAccountsDirect</t>
  </si>
  <si>
    <t>GLB_IDEUR_SepAccDirect</t>
  </si>
  <si>
    <t>GLOBAL_InvestorDomicileEurope_SeparateAccountsIndirect</t>
  </si>
  <si>
    <t>GLB_IDEUR_SepAccIndirect</t>
  </si>
  <si>
    <t>GLOBAL_InvestorDomicileEurope_JVs</t>
  </si>
  <si>
    <t>GLB_IDEUR_JVs</t>
  </si>
  <si>
    <t>GLOBAL_InvestorDomicileEurope_FundsOfFunds</t>
  </si>
  <si>
    <t>GLB_IDEUR_FOF</t>
  </si>
  <si>
    <t>GLOBAL_InvestorDomicileEurope_Debt</t>
  </si>
  <si>
    <t>GLB_IDEUR_Debt</t>
  </si>
  <si>
    <t>GLOBAL_InvestorDomicileEurope_VehicleType_Total</t>
  </si>
  <si>
    <t>GLB_IDEUR_VT_Total</t>
  </si>
  <si>
    <t>GLOBAL_InvestorDomicileAsiaPacific_NonListedFunds</t>
  </si>
  <si>
    <t>GLB_IDAPAC_NLF</t>
  </si>
  <si>
    <t>GLOBAL_InvestorDomicileAsiaPacific_SeparateAccountsDirect</t>
  </si>
  <si>
    <t>GLB_IDAPAC_SepAccDirect</t>
  </si>
  <si>
    <t>GLOBAL_InvestorDomicileAsiaPacific_SeparateAccountsIndirect</t>
  </si>
  <si>
    <t>GLB_IDAPAC_SepAccIndirect</t>
  </si>
  <si>
    <t>GLOBAL_InvestorDomicileAsiaPacific_JVs</t>
  </si>
  <si>
    <t>GLB_IDAPAC_JVs</t>
  </si>
  <si>
    <t>GLOBAL_InvestorDomicileAsiaPacific_FundsOfFunds</t>
  </si>
  <si>
    <t>GLB_IDAPAC_FOF</t>
  </si>
  <si>
    <t>GLOBAL_InvestorDomicileAsiaPacific_Debt</t>
  </si>
  <si>
    <t>GLB_IDAPAC_Debt</t>
  </si>
  <si>
    <t>GLOBAL_InvestorDomicileAsiaPacific_VehicleType_Total</t>
  </si>
  <si>
    <t>GLB_IDAPAC_VT_Total</t>
  </si>
  <si>
    <t>GLOBAL_InvestorDomicileNorthAmerica_NonListedFunds</t>
  </si>
  <si>
    <t>GLB_IDNA_NLF</t>
  </si>
  <si>
    <t>GLOBAL_InvestorDomicileNorthAmerica_SeparateAccountsDirect</t>
  </si>
  <si>
    <t>GLB_IDNA_SepAccDirect</t>
  </si>
  <si>
    <t>GLOBAL_InvestorDomicileNorthAmerica_SeparateAccountsIndirect</t>
  </si>
  <si>
    <t>GLB_IDNA_SepAccIndirect</t>
  </si>
  <si>
    <t>GLOBAL_InvestorDomicileNorthAmerica_JVs</t>
  </si>
  <si>
    <t>GLB_IDNA_JVs</t>
  </si>
  <si>
    <t>GLOBAL_InvestorDomicileNorthAmerica_FundsOfFunds</t>
  </si>
  <si>
    <t>GLB_IDNA_FOF</t>
  </si>
  <si>
    <t>GLOBAL_InvestorDomicileNorthAmerica_Debt</t>
  </si>
  <si>
    <t>GLB_IDNA_Debt</t>
  </si>
  <si>
    <t>GLOBAL_InvestorDomicileNorthAmerica_VehicleType_Total</t>
  </si>
  <si>
    <t>GLB_IDNA_VT_Total</t>
  </si>
  <si>
    <t>GLOBAL_InvestorDomicileSouthAmerica_NonListedFunds</t>
  </si>
  <si>
    <t>GLB_IDSA_NLF</t>
  </si>
  <si>
    <t>GLOBAL_InvestorDomicileSouthAmerica_SeparateAccountsDirect</t>
  </si>
  <si>
    <t>GLB_IDSA_SepAccDirect</t>
  </si>
  <si>
    <t>GLOBAL_InvestorDomicileSouthAmerica_SeparateAccountsIndirect</t>
  </si>
  <si>
    <t>GLB_IDSA_SepAccIndirect</t>
  </si>
  <si>
    <t>GLOBAL_InvestorDomicileSouthAmerica_JVs</t>
  </si>
  <si>
    <t>GLB_IDSA_JVs</t>
  </si>
  <si>
    <t>GLOBAL_InvestorDomicileSouthAmerica_FundsOfFunds</t>
  </si>
  <si>
    <t>GLB_IDSA_FOF</t>
  </si>
  <si>
    <t>GLOBAL_InvestorDomicileSouthAmerica_Debt</t>
  </si>
  <si>
    <t>GLB_IDSA_Debt</t>
  </si>
  <si>
    <t>GLOBAL_InvestorDomicileSouthAmerica_VehicleType_Total</t>
  </si>
  <si>
    <t>GLB_IDSA_VT_Total</t>
  </si>
  <si>
    <t>GLOBAL_InvestorDomicileAfrica_NonListedFunds</t>
  </si>
  <si>
    <t>GLB_IDAFR_NLF</t>
  </si>
  <si>
    <t>GLOBAL_InvestorDomicileAfrica_SeparateAccountsDirect</t>
  </si>
  <si>
    <t>GLB_IDAFR_SepAccDirect</t>
  </si>
  <si>
    <t>GLOBAL_InvestorDomicileAfrica_SeparateAccountsIndirect</t>
  </si>
  <si>
    <t>GLB_IDAFR_SepAccIndirect</t>
  </si>
  <si>
    <t>GLOBAL_InvestorDomicileAfrica_JVs</t>
  </si>
  <si>
    <t>GLB_IDAFR_JVs</t>
  </si>
  <si>
    <t>GLOBAL_InvestorDomicileAfrica_FundsOfFunds</t>
  </si>
  <si>
    <t>GLB_IDAFR_FOF</t>
  </si>
  <si>
    <t>GLOBAL_InvestorDomicileAfrica_Debt</t>
  </si>
  <si>
    <t>GLB_IDAFR_Debt</t>
  </si>
  <si>
    <t>GLOBAL_InvestorDomicileAfrica_VehicleType_Total</t>
  </si>
  <si>
    <t>GLB_IDAFR_VT_Total</t>
  </si>
  <si>
    <t>GLOBAL_InvestorDomicile_NonListedFunds_Total</t>
  </si>
  <si>
    <t>GLB_ID_NLF_Total</t>
  </si>
  <si>
    <t>GLOBAL_InvestorDomicile_SeparateAccountsDirect_Total</t>
  </si>
  <si>
    <t>GLB_ID_SepAccDirect_Total</t>
  </si>
  <si>
    <t>GLOBAL_InvestorDomicile_SeparateAccountsIndirect_Total</t>
  </si>
  <si>
    <t>GLB_ID_SepAccIndirect_Total</t>
  </si>
  <si>
    <t>GLOBAL_InvestorDomicile_JVs_Total</t>
  </si>
  <si>
    <t>GLB_ID_JVs_Total</t>
  </si>
  <si>
    <t>GLOBAL_InvestorDomicile_FundsOfFunds_Total</t>
  </si>
  <si>
    <t>GLB_ID_FOF_Total</t>
  </si>
  <si>
    <t>GLOBAL_InvestorDomicile_Debt_Total</t>
  </si>
  <si>
    <t>GLB_ID_Debt_Total</t>
  </si>
  <si>
    <t>GLOBAL_InvestorDomicile_VehicleType_Total</t>
  </si>
  <si>
    <t>GLB_ID_VT_Total</t>
  </si>
  <si>
    <t>22</t>
  </si>
  <si>
    <t>SA Capital raised</t>
  </si>
  <si>
    <t>q22</t>
  </si>
  <si>
    <t>SA_PensionFunds_NonListedFunds</t>
  </si>
  <si>
    <t>SA_PF_NLF</t>
  </si>
  <si>
    <t>SA_PensionFunds_SeparateAccountsDirect</t>
  </si>
  <si>
    <t>SA_PF_SepAccDirect</t>
  </si>
  <si>
    <t>SA_PensionFunds_SeparateAccountsIndirect</t>
  </si>
  <si>
    <t>SA_PF_SepAccIndirect</t>
  </si>
  <si>
    <t>SA_PensionFunds_JVs</t>
  </si>
  <si>
    <t>SA_PF_JVs</t>
  </si>
  <si>
    <t>SA_PensionFunds_FundsOfFunds</t>
  </si>
  <si>
    <t>SA_PF_FOF</t>
  </si>
  <si>
    <t>SA_PensionFunds_Debt</t>
  </si>
  <si>
    <t>SA_PF_Debt</t>
  </si>
  <si>
    <t>SA_PensionFunds_VehicleType_Total</t>
  </si>
  <si>
    <t>SA_PF_VT_Total</t>
  </si>
  <si>
    <t>SA_InsuranceCompanies_NonListedFunds</t>
  </si>
  <si>
    <t>SA_IC_NLF</t>
  </si>
  <si>
    <t>SA_InsuranceCompanies_SeparateAccountsDirect</t>
  </si>
  <si>
    <t>SA_IC_SepAccDirect</t>
  </si>
  <si>
    <t>SA_InsuranceCompanies_SeparateAccountsIndirect</t>
  </si>
  <si>
    <t>SA_IC_SepAccIndirect</t>
  </si>
  <si>
    <t>SA_InsuranceCompanies_JVs</t>
  </si>
  <si>
    <t>SA_IC_JVs</t>
  </si>
  <si>
    <t>SA_InsuranceCompanies_FundsOfFunds</t>
  </si>
  <si>
    <t>SA_IC_FOF</t>
  </si>
  <si>
    <t>SA_InsuranceCompanies_Debt</t>
  </si>
  <si>
    <t>SA_IC_Debt</t>
  </si>
  <si>
    <t>SA_InsuranceCompanies_VehicleType_Total</t>
  </si>
  <si>
    <t>SA_IC_VT_Total</t>
  </si>
  <si>
    <t>SA_SovereignWealthFunds_NonListedFunds</t>
  </si>
  <si>
    <t>SA_SWF_NLF</t>
  </si>
  <si>
    <t>SA_SovereignWealthFunds_SeparateAccountsDirect</t>
  </si>
  <si>
    <t>SA_SWF_SepAccDirect</t>
  </si>
  <si>
    <t>SA_SovereignWealthFunds_SeparateAccountsIndirect</t>
  </si>
  <si>
    <t>SA_SWF_SepAccIndirect</t>
  </si>
  <si>
    <t>SA_SovereignWealthFunds_JVs</t>
  </si>
  <si>
    <t>SA_SWF_JVs</t>
  </si>
  <si>
    <t>SA_SovereignWealthFunds_FundsOfFunds</t>
  </si>
  <si>
    <t>SA_SWF_FOF</t>
  </si>
  <si>
    <t>SA_SovereignWealthFunds_Debt</t>
  </si>
  <si>
    <t>SA_SWF_Debt</t>
  </si>
  <si>
    <t>SA_SovereignWealthFunds_VehicleType_Total</t>
  </si>
  <si>
    <t>SA_SWF_VT_Total</t>
  </si>
  <si>
    <t>SA_GovernmentInstitutions_NonListedFunds</t>
  </si>
  <si>
    <t>SA_GI_NLF</t>
  </si>
  <si>
    <t>SA_GovernmentInstitutions_SeparateAccountsDirect</t>
  </si>
  <si>
    <t>SA_GI_SepAccDirect</t>
  </si>
  <si>
    <t>SA_GovernmentInstitutions_SeparateAccountsIndirect</t>
  </si>
  <si>
    <t>SA_GI_SepAccIndirect</t>
  </si>
  <si>
    <t>SA_GovernmentInstitutions_JVs</t>
  </si>
  <si>
    <t>SA_GI_JVs</t>
  </si>
  <si>
    <t>SA_GovernmentInstitutions_FundsOfFunds</t>
  </si>
  <si>
    <t>SA_GI_FOF</t>
  </si>
  <si>
    <t>SA_GovernmentInstitutions_Debt</t>
  </si>
  <si>
    <t>SA_GI_Debt</t>
  </si>
  <si>
    <t>SA_GovernmentInstitutions_VehicleType_Total</t>
  </si>
  <si>
    <t>SA_GI_VT_Total</t>
  </si>
  <si>
    <t>SA_CharitiesFoundationsNonProfitOrganizations_NonListedFunds</t>
  </si>
  <si>
    <t>SA_CF&amp;NPO_NLF</t>
  </si>
  <si>
    <t>SA_CharitiesFoundationsNonProfitOrganizations_SeparateAccountsDirect</t>
  </si>
  <si>
    <t>SA_CF&amp;NPO_SepAccDirect</t>
  </si>
  <si>
    <t>SA_CharitiesFoundationsNonProfitOrganizations_SeparateAccountsIndirect</t>
  </si>
  <si>
    <t>SA_CF&amp;NPO_SepAccIndirect</t>
  </si>
  <si>
    <t>SA_CharitiesFoundationsNonProfitOrganizations_JVs</t>
  </si>
  <si>
    <t>SA_CF&amp;NPO_JVs</t>
  </si>
  <si>
    <t>SA_CharitiesFoundationsNonProfitOrganizations_FundsOfFunds</t>
  </si>
  <si>
    <t>SA_CF&amp;NPO_FOF</t>
  </si>
  <si>
    <t>SA_CharitiesFoundationsNonProfitOrganizations_Debt</t>
  </si>
  <si>
    <t>SA_CF&amp;NPO_Debt</t>
  </si>
  <si>
    <t>SA_CharitiesFoundationsNonProfitOrganizations_VehicleType_Total</t>
  </si>
  <si>
    <t>SA_CF&amp;NPO_VT_Total</t>
  </si>
  <si>
    <t>SA_FundsOfFunds_NonListedFunds</t>
  </si>
  <si>
    <t>SA_FOF_NLF</t>
  </si>
  <si>
    <t>SA_FundsOfFunds_SeparateAccountsDirect</t>
  </si>
  <si>
    <t>SA_FOF_SepAccDirect</t>
  </si>
  <si>
    <t>SA_FundsOfFunds_SeparateAccountsIndirect</t>
  </si>
  <si>
    <t>SA_FOF_SepAccIndirect</t>
  </si>
  <si>
    <t>SA_FundsOfFunds_JVs</t>
  </si>
  <si>
    <t>SA_FOF_JVs</t>
  </si>
  <si>
    <t>SA_FundsOfFunds_FundsOfFunds</t>
  </si>
  <si>
    <t>SA_FOF_FOF</t>
  </si>
  <si>
    <t>SA_FundsOfFunds_Debt</t>
  </si>
  <si>
    <t>SA_FOF_Debt</t>
  </si>
  <si>
    <t>SA_FundsOfFunds_VehicleType_Total</t>
  </si>
  <si>
    <t>SA_FOF_VT_Total</t>
  </si>
  <si>
    <t>SA_HighnetWorthIndividualsFamilyOffices_NonListedFunds</t>
  </si>
  <si>
    <t>SA_HNWI/FO_NLF</t>
  </si>
  <si>
    <t>SA_HighnetWorthIndividualsFamilyOffices_SeparateAccountsDirect</t>
  </si>
  <si>
    <t>SA_HNWI/FO_SepAccDirect</t>
  </si>
  <si>
    <t>SA_HighnetWorthIndividualsFamilyOffices_SeparateAccountsIndirect</t>
  </si>
  <si>
    <t>SA_HNWI/FO_SepAccIndirect</t>
  </si>
  <si>
    <t>SA_HighnetWorthIndividualsFamilyOffices_JVs</t>
  </si>
  <si>
    <t>SA_HNWI/FO_JVs</t>
  </si>
  <si>
    <t>SA_HighnetWorthIndividualsFamilyOffices_FundsOfFunds</t>
  </si>
  <si>
    <t>SA_HNWI/FO_FOF</t>
  </si>
  <si>
    <t>SA_HighnetWorthIndividualsFamilyOffices_Debt</t>
  </si>
  <si>
    <t>SA_HNWI/FO_Debt</t>
  </si>
  <si>
    <t>SA_HighnetWorthIndividualsFamilyOffices_VehicleType_Total</t>
  </si>
  <si>
    <t>SA_HNWI/FO_VT_Total</t>
  </si>
  <si>
    <t>SA_OtherInvestorTypetext</t>
  </si>
  <si>
    <t>SA_OtherITText</t>
  </si>
  <si>
    <t>SA_OtherInvestorType_NonListedFunds</t>
  </si>
  <si>
    <t>SA_OtherIT_NLF</t>
  </si>
  <si>
    <t>SA_OtherInvestorType_SeparateAccountsDirect</t>
  </si>
  <si>
    <t>SA_OtherIT_SepAccDirect</t>
  </si>
  <si>
    <t>SA_OtherInvestorType_SeparateAccountsIndirect</t>
  </si>
  <si>
    <t>SA_OtherIT_SepAccIndirect</t>
  </si>
  <si>
    <t>SA_OtherInvestorType_JVs</t>
  </si>
  <si>
    <t>SA_OtherIT_JVs</t>
  </si>
  <si>
    <t>SA_OtherInvestorType_FundsOfFunds</t>
  </si>
  <si>
    <t>SA_OtherIT_FOF</t>
  </si>
  <si>
    <t>SA_OtherInvestorType_Debt</t>
  </si>
  <si>
    <t>SA_OtherIT_Debt</t>
  </si>
  <si>
    <t>SA_OtherInvestorType_VehicleType_Total</t>
  </si>
  <si>
    <t>SA_OtherIT_VT_Total</t>
  </si>
  <si>
    <t>SA_InvestorType_NonListedFunds_Total</t>
  </si>
  <si>
    <t>SA_IT_NLF_Total</t>
  </si>
  <si>
    <t>SA_InvestorType_SeparateAccountsDirect_Total</t>
  </si>
  <si>
    <t>SA_IT_SepAccDirect_Total</t>
  </si>
  <si>
    <t>SA_InvestorType_SeparateAccountsIndirect_Total</t>
  </si>
  <si>
    <t>SA_IT_SepAccIndirect_Total</t>
  </si>
  <si>
    <t>SA_InvestorType_JVs_Total</t>
  </si>
  <si>
    <t>SA_IT_JVs_Total</t>
  </si>
  <si>
    <t>SA_InvestorType_FundsOfFunds_Total</t>
  </si>
  <si>
    <t>SA_IT_FOF_Total</t>
  </si>
  <si>
    <t>SA_InvestorType_Debt_Total</t>
  </si>
  <si>
    <t>SA_IT_Debt_Total</t>
  </si>
  <si>
    <t>SA_InvestorType_VehicleType_Total</t>
  </si>
  <si>
    <t>SA_IT_VT_Total</t>
  </si>
  <si>
    <t>23</t>
  </si>
  <si>
    <t>SA_InvestorDomicileEurope_NonListedFunds</t>
  </si>
  <si>
    <t>SA_IDEUR_NLF</t>
  </si>
  <si>
    <t>q23</t>
  </si>
  <si>
    <t>SA_InvestorDomicileEurope_SeparateAccountsDirect</t>
  </si>
  <si>
    <t>SA_IDEUR_SepAccDirect</t>
  </si>
  <si>
    <t>SA_InvestorDomicileEurope_SeparateAccountsIndirect</t>
  </si>
  <si>
    <t>SA_IDEUR_SepAccIndirect</t>
  </si>
  <si>
    <t>SA_InvestorDomicileEurope_JVs</t>
  </si>
  <si>
    <t>SA_IDEUR_JVs</t>
  </si>
  <si>
    <t>SA_InvestorDomicileEurope_FundsOfFunds</t>
  </si>
  <si>
    <t>SA_IDEUR_FOF</t>
  </si>
  <si>
    <t>SA_InvestorDomicileEurope_Debt</t>
  </si>
  <si>
    <t>SA_IDEUR_Debt</t>
  </si>
  <si>
    <t>SA_InvestorDomicileEurope_VehicleType_Total</t>
  </si>
  <si>
    <t>SA_IDEUR_VT_Total</t>
  </si>
  <si>
    <t>SA_InvestorDomicileAsiaPacific_NonListedFunds</t>
  </si>
  <si>
    <t>SA_IDAPAC_NLF</t>
  </si>
  <si>
    <t>SA_InvestorDomicileAsiaPacific_SeparateAccountsDirect</t>
  </si>
  <si>
    <t>SA_IDAPAC_SepAccDirect</t>
  </si>
  <si>
    <t>SA_InvestorDomicileAsiaPacific_SeparateAccountsIndirect</t>
  </si>
  <si>
    <t>SA_IDAPAC_SepAccIndirect</t>
  </si>
  <si>
    <t>SA_InvestorDomicileAsiaPacific_JVs</t>
  </si>
  <si>
    <t>SA_IDAPAC_JVs</t>
  </si>
  <si>
    <t>SA_InvestorDomicileAsiaPacific_FundsOfFunds</t>
  </si>
  <si>
    <t>SA_IDAPAC_FOF</t>
  </si>
  <si>
    <t>SA_InvestorDomicileAsiaPacific_Debt</t>
  </si>
  <si>
    <t>SA_IDAPAC_Debt</t>
  </si>
  <si>
    <t>SA_InvestorDomicileAsiaPacific_VehicleType_Total</t>
  </si>
  <si>
    <t>SA_IDAPAC_VT_Total</t>
  </si>
  <si>
    <t>SA_InvestorDomicileNorthAmerica_NonListedFunds</t>
  </si>
  <si>
    <t>SA_IDNA_NLF</t>
  </si>
  <si>
    <t>SA_InvestorDomicileNorthAmerica_SeparateAccountsDirect</t>
  </si>
  <si>
    <t>SA_IDNA_SepAccDirect</t>
  </si>
  <si>
    <t>SA_InvestorDomicileNorthAmerica_SeparateAccountsIndirect</t>
  </si>
  <si>
    <t>SA_IDNA_SepAccIndirect</t>
  </si>
  <si>
    <t>SA_InvestorDomicileNorthAmerica_JVs</t>
  </si>
  <si>
    <t>SA_IDNA_JVs</t>
  </si>
  <si>
    <t>SA_InvestorDomicileNorthAmerica_FundsOfFunds</t>
  </si>
  <si>
    <t>SA_IDNA_FOF</t>
  </si>
  <si>
    <t>SA_InvestorDomicileNorthAmerica_Debt</t>
  </si>
  <si>
    <t>SA_IDNA_Debt</t>
  </si>
  <si>
    <t>SA_InvestorDomicileNorthAmerica_VehicleType_Total</t>
  </si>
  <si>
    <t>SA_IDNA_VT_Total</t>
  </si>
  <si>
    <t>SA_InvestorDomicileSouthAmerica_NonListedFunds</t>
  </si>
  <si>
    <t>SA_IDSA_NLF</t>
  </si>
  <si>
    <t>SA_InvestorDomicileSouthAmerica_SeparateAccountsDirect</t>
  </si>
  <si>
    <t>SA_IDSA_SepAccDirect</t>
  </si>
  <si>
    <t>SA_InvestorDomicileSouthAmerica_SeparateAccountsIndirect</t>
  </si>
  <si>
    <t>SA_IDSA_SepAccIndirect</t>
  </si>
  <si>
    <t>SA_InvestorDomicileSouthAmerica_JVs</t>
  </si>
  <si>
    <t>SA_IDSA_JVs</t>
  </si>
  <si>
    <t>SA_InvestorDomicileSouthAmerica_FundsOfFunds</t>
  </si>
  <si>
    <t>SA_IDSA_FOF</t>
  </si>
  <si>
    <t>SA_InvestorDomicileSouthAmerica_Debt</t>
  </si>
  <si>
    <t>SA_IDSA_Debt</t>
  </si>
  <si>
    <t>SA_InvestorDomicileSouthAmerica_VehicleType_Total</t>
  </si>
  <si>
    <t>SA_IDSA_VT_Total</t>
  </si>
  <si>
    <t>SA_InvestorDomicileAfrica_NonListedFunds</t>
  </si>
  <si>
    <t>SA_IDAFR_NLF</t>
  </si>
  <si>
    <t>SA_InvestorDomicileAfrica_SeparateAccountsDirect</t>
  </si>
  <si>
    <t>SA_IDAFR_SepAccDirect</t>
  </si>
  <si>
    <t>SA_InvestorDomicileAfrica_SeparateAccountsIndirect</t>
  </si>
  <si>
    <t>SA_IDAFR_SepAccIndirect</t>
  </si>
  <si>
    <t>SA_InvestorDomicileAfrica_JVs</t>
  </si>
  <si>
    <t>SA_IDAFR_JVs</t>
  </si>
  <si>
    <t>SA_InvestorDomicileAfrica_FundsOfFunds</t>
  </si>
  <si>
    <t>SA_IDAFR_FOF</t>
  </si>
  <si>
    <t>SA_InvestorDomicileAfrica_Debt</t>
  </si>
  <si>
    <t>SA_IDAFR_Debt</t>
  </si>
  <si>
    <t>SA_InvestorDomicileAfrica_VehicleType_Total</t>
  </si>
  <si>
    <t>SA_IDAFR_VT_Total</t>
  </si>
  <si>
    <t>SA_InvestorDomicile_NonListedFunds_Total</t>
  </si>
  <si>
    <t>SA_ID_NLF_Total</t>
  </si>
  <si>
    <t>SA_InvestorDomicile_SeparateAccountsDirect_Total</t>
  </si>
  <si>
    <t>SA_ID_SepAccDirect_Total</t>
  </si>
  <si>
    <t>SA_InvestorDomicile_SeparateAccountsIndirect_Total</t>
  </si>
  <si>
    <t>SA_ID_SepAccIndirect_Total</t>
  </si>
  <si>
    <t>SA_InvestorDomicile_JVs_Total</t>
  </si>
  <si>
    <t>SA_ID_JVs_Total</t>
  </si>
  <si>
    <t>SA_InvestorDomicile_FundsOfFunds_Total</t>
  </si>
  <si>
    <t>SA_ID_FOF_Total</t>
  </si>
  <si>
    <t>SA_InvestorDomicile_Debt_Total</t>
  </si>
  <si>
    <t>SA_ID_Debt_Total</t>
  </si>
  <si>
    <t>SA_InvestorDomicile_VehicleType_Total</t>
  </si>
  <si>
    <t>SA_ID_VT_Total</t>
  </si>
  <si>
    <t>24</t>
  </si>
  <si>
    <t>Africa Capital raised</t>
  </si>
  <si>
    <t>q24</t>
  </si>
  <si>
    <t>AFRICA_PensionFunds_NonListedFunds</t>
  </si>
  <si>
    <t>AFR_PF_NLF</t>
  </si>
  <si>
    <t>AFRICA_PensionFunds_SeparateAccountsDirect</t>
  </si>
  <si>
    <t>AFR_PF_SepAccDirect</t>
  </si>
  <si>
    <t>AFRICA_PensionFunds_SeparateAccountsIndirect</t>
  </si>
  <si>
    <t>AFR_PF_SepAccIndirect</t>
  </si>
  <si>
    <t>AFRICA_PensionFunds_JVs</t>
  </si>
  <si>
    <t>AFR_PF_JVs</t>
  </si>
  <si>
    <t>AFRICA_PensionFunds_FundsOfFunds</t>
  </si>
  <si>
    <t>AFR_PF_FOF</t>
  </si>
  <si>
    <t>AFRICA_PensionFunds_Debt</t>
  </si>
  <si>
    <t>AFR_PF_Debt</t>
  </si>
  <si>
    <t>AFRICA_PensionFunds_VehicleType_Total</t>
  </si>
  <si>
    <t>AFR_PF_VT_Total</t>
  </si>
  <si>
    <t>AFRICA_InsuranceCompanies_NonListedFunds</t>
  </si>
  <si>
    <t>AFR_IC_NLF</t>
  </si>
  <si>
    <t>AFRICA_InsuranceCompanies_SeparateAccountsDirect</t>
  </si>
  <si>
    <t>AFR_IC_SepAccDirect</t>
  </si>
  <si>
    <t>AFRICA_InsuranceCompanies_SeparateAccountsIndirect</t>
  </si>
  <si>
    <t>AFR_IC_SepAccIndirect</t>
  </si>
  <si>
    <t>AFRICA_InsuranceCompanies_JVs</t>
  </si>
  <si>
    <t>AFR_IC_JVs</t>
  </si>
  <si>
    <t>AFRICA_InsuranceCompanies_FundsOfFunds</t>
  </si>
  <si>
    <t>AFR_IC_FOF</t>
  </si>
  <si>
    <t>AFRICA_InsuranceCompanies_Debt</t>
  </si>
  <si>
    <t>AFR_IC_Debt</t>
  </si>
  <si>
    <t>AFRICA_InsuranceCompanies_VehicleType_Total</t>
  </si>
  <si>
    <t>AFR_IC_VT_Total</t>
  </si>
  <si>
    <t>AFRICA_SovereignWealthFunds_NonListedFunds</t>
  </si>
  <si>
    <t>AFR_SWF_NLF</t>
  </si>
  <si>
    <t>AFRICA_SovereignWealthFunds_SeparateAccountsDirect</t>
  </si>
  <si>
    <t>AFR_SWF_SepAccDirect</t>
  </si>
  <si>
    <t>AFRICA_SovereignWealthFunds_SeparateAccountsIndirect</t>
  </si>
  <si>
    <t>AFR_SWF_SepAccIndirect</t>
  </si>
  <si>
    <t>AFRICA_SovereignWealthFunds_JVs</t>
  </si>
  <si>
    <t>AFR_SWF_JVs</t>
  </si>
  <si>
    <t>AFRICA_SovereignWealthFunds_FundsOfFunds</t>
  </si>
  <si>
    <t>AFR_SWF_FOF</t>
  </si>
  <si>
    <t>AFRICA_SovereignWealthFunds_Debt</t>
  </si>
  <si>
    <t>AFR_SWF_Debt</t>
  </si>
  <si>
    <t>AFRICA_SovereignWealthFunds_VehicleType_Total</t>
  </si>
  <si>
    <t>AFR_SWF_VT_Total</t>
  </si>
  <si>
    <t>AFRICA_GovernmentInstitutions_NonListedFunds</t>
  </si>
  <si>
    <t>AFR_GI_NLF</t>
  </si>
  <si>
    <t>AFRICA_GovernmentInstitutions_SeparateAccountsDirect</t>
  </si>
  <si>
    <t>AFR_GI_SepAccDirect</t>
  </si>
  <si>
    <t>AFRICA_GovernmentInstitutions_SeparateAccountsIndirect</t>
  </si>
  <si>
    <t>AFR_GI_SepAccIndirect</t>
  </si>
  <si>
    <t>AFRICA_GovernmentInstitutions_JVs</t>
  </si>
  <si>
    <t>AFR_GI_JVs</t>
  </si>
  <si>
    <t>AFRICA_GovernmentInstitutions_FundsOfFunds</t>
  </si>
  <si>
    <t>AFR_GI_FOF</t>
  </si>
  <si>
    <t>AFRICA_GovernmentInstitutions_Debt</t>
  </si>
  <si>
    <t>AFR_GI_Debt</t>
  </si>
  <si>
    <t>AFRICA_GovernmentInstitutions_VehicleType_Total</t>
  </si>
  <si>
    <t>AFR_GI_VT_Total</t>
  </si>
  <si>
    <t>AFRICA_CharitiesFoundationsNonProfitOrganizations_NonListedFunds</t>
  </si>
  <si>
    <t>AFR_CF&amp;NPO_NLF</t>
  </si>
  <si>
    <t>AFRICA_CharitiesFoundationsNonProfitOrganizations_SeparateAccountsDirect</t>
  </si>
  <si>
    <t>AFR_CF&amp;NPO_SepAccDirect</t>
  </si>
  <si>
    <t>AFRICA_CharitiesFoundationsNonProfitOrganizations_SeparateAccountsIndirect</t>
  </si>
  <si>
    <t>AFR_CF&amp;NPO_SepAccIndirect</t>
  </si>
  <si>
    <t>AFRICA_CharitiesFoundationsNonProfitOrganizations_JVs</t>
  </si>
  <si>
    <t>AFR_CF&amp;NPO_JVs</t>
  </si>
  <si>
    <t>AFRICA_CharitiesFoundationsNonProfitOrganizations_FundsOfFunds</t>
  </si>
  <si>
    <t>AFR_CF&amp;NPO_FOF</t>
  </si>
  <si>
    <t>AFRICA_CharitiesFoundationsNonProfitOrganizations_Debt</t>
  </si>
  <si>
    <t>AFR_CF&amp;NPO_Debt</t>
  </si>
  <si>
    <t>AFRICA_CharitiesFoundationsNonProfitOrganizations_VehicleType_Total</t>
  </si>
  <si>
    <t>AFR_CF&amp;NPO_VT_Total</t>
  </si>
  <si>
    <t>AFRICA_FundsOfFunds_NonListedFunds</t>
  </si>
  <si>
    <t>AFR_FOF_NLF</t>
  </si>
  <si>
    <t>AFRICA_FundsOfFunds_SeparateAccountsDirect</t>
  </si>
  <si>
    <t>AFR_FOF_SepAccDirect</t>
  </si>
  <si>
    <t>AFRICA_FundsOfFunds_SeparateAccountsIndirect</t>
  </si>
  <si>
    <t>AFR_FOF_SepAccIndirect</t>
  </si>
  <si>
    <t>AFRICA_FundsOfFunds_JVs</t>
  </si>
  <si>
    <t>AFR_FOF_JVs</t>
  </si>
  <si>
    <t>AFRICA_FundsOfFunds_FundsOfFunds</t>
  </si>
  <si>
    <t>AFR_FOF_FOF</t>
  </si>
  <si>
    <t>AFRICA_FundsOfFunds_Debt</t>
  </si>
  <si>
    <t>AFR_FOF_Debt</t>
  </si>
  <si>
    <t>AFRICA_FundsOfFunds_VehicleType_Total</t>
  </si>
  <si>
    <t>AFR_FOF_VT_Total</t>
  </si>
  <si>
    <t>AFRICA_HighnetWorthIndividualsFamilyOffices_NonListedFunds</t>
  </si>
  <si>
    <t>AFR_HNWI/FO_NLF</t>
  </si>
  <si>
    <t>AFRICA_HighnetWorthIndividualsFamilyOffices_SeparateAccountsDirect</t>
  </si>
  <si>
    <t>AFR_HNWI/FO_SepAccDirect</t>
  </si>
  <si>
    <t>AFRICA_HighnetWorthIndividualsFamilyOffices_SeparateAccountsIndirect</t>
  </si>
  <si>
    <t>AFR_HNWI/FO_SepAccIndirect</t>
  </si>
  <si>
    <t>AFRICA_HighnetWorthIndividualsFamilyOffices_JVs</t>
  </si>
  <si>
    <t>AFR_HNWI/FO_JVs</t>
  </si>
  <si>
    <t>AFRICA_HighnetWorthIndividualsFamilyOffices_FundsOfFunds</t>
  </si>
  <si>
    <t>AFR_HNWI/FO_FOF</t>
  </si>
  <si>
    <t>AFRICA_HighnetWorthIndividualsFamilyOffices_Debt</t>
  </si>
  <si>
    <t>AFR_HNWI/FO_Debt</t>
  </si>
  <si>
    <t>AFRICA_HighnetWorthIndividualsFamilyOffices_VehicleType_Total</t>
  </si>
  <si>
    <t>AFR_HNWI/FO_VT_Total</t>
  </si>
  <si>
    <t>AFRICA_OtherInvestorTypetext</t>
  </si>
  <si>
    <t>AFR_OtherITText</t>
  </si>
  <si>
    <t>AFRICA_OtherInvestorType_NonListedFunds</t>
  </si>
  <si>
    <t>AFR_OtherIT_NLF</t>
  </si>
  <si>
    <t>AFRICA_OtherInvestorType_SeparateAccountsDirect</t>
  </si>
  <si>
    <t>AFR_OtherIT_SepAccDirect</t>
  </si>
  <si>
    <t>AFRICA_OtherInvestorType_SeparateAccountsIndirect</t>
  </si>
  <si>
    <t>AFR_OtherIT_SepAccIndirect</t>
  </si>
  <si>
    <t>AFRICA_OtherInvestorType_JVs</t>
  </si>
  <si>
    <t>AFR_OtherIT_JVs</t>
  </si>
  <si>
    <t>AFRICA_OtherInvestorType_FundsOfFunds</t>
  </si>
  <si>
    <t>AFR_OtherIT_FOF</t>
  </si>
  <si>
    <t>AFRICA_OtherInvestorType_Debt</t>
  </si>
  <si>
    <t>AFR_OtherIT_Debt</t>
  </si>
  <si>
    <t>AFRICA_OtherInvestorType_VehicleType_Total</t>
  </si>
  <si>
    <t>AFR_OtherIT_VT_Total</t>
  </si>
  <si>
    <t>AFRICA_InvestorType_NonListedFunds_Total</t>
  </si>
  <si>
    <t>AFR_IT_NLF_Total</t>
  </si>
  <si>
    <t>AFRICA_InvestorType_SeparateAccountsDirect_Total</t>
  </si>
  <si>
    <t>AFR_IT_SepAccDirect_Total</t>
  </si>
  <si>
    <t>AFRICA_InvestorType_SeparateAccountsIndirect_Total</t>
  </si>
  <si>
    <t>AFR_IT_SepAccIndirect_Total</t>
  </si>
  <si>
    <t>AFRICA_InvestorType_JVs_Total</t>
  </si>
  <si>
    <t>AFR_IT_JVs_Total</t>
  </si>
  <si>
    <t>AFRICA_InvestorType_FundsOfFunds_Total</t>
  </si>
  <si>
    <t>AFR_IT_FOF_Total</t>
  </si>
  <si>
    <t>AFRICA_InvestorType_Debt_Total</t>
  </si>
  <si>
    <t>AFR_IT_Debt_Total</t>
  </si>
  <si>
    <t>AFRICA_InvestorType_VehicleType_Total</t>
  </si>
  <si>
    <t>AFR_IT_VT_Total</t>
  </si>
  <si>
    <t>25</t>
  </si>
  <si>
    <t>q25</t>
  </si>
  <si>
    <t>AFRICA_InvestorDomicileEurope_NonListedFunds</t>
  </si>
  <si>
    <t>AFR_IDEUR_NLF</t>
  </si>
  <si>
    <t>AFRICA_InvestorDomicileEurope_SeparateAccountsDirect</t>
  </si>
  <si>
    <t>AFR_IDEUR_SepAccDirect</t>
  </si>
  <si>
    <t>AFRICA_InvestorDomicileEurope_SeparateAccountsIndirect</t>
  </si>
  <si>
    <t>AFR_IDEUR_SepAccIndirect</t>
  </si>
  <si>
    <t>AFRICA_InvestorDomicileEurope_JVs</t>
  </si>
  <si>
    <t>AFR_IDEUR_JVs</t>
  </si>
  <si>
    <t>AFRICA_InvestorDomicileEurope_FundsOfFunds</t>
  </si>
  <si>
    <t>AFR_IDEUR_FOF</t>
  </si>
  <si>
    <t>AFRICA_InvestorDomicileEurope_Debt</t>
  </si>
  <si>
    <t>AFR_IDEUR_Debt</t>
  </si>
  <si>
    <t>AFRICA_InvestorDomicileEurope_VehicleType_Total</t>
  </si>
  <si>
    <t>AFR_IDEUR_VT_Total</t>
  </si>
  <si>
    <t>AFRICA_InvestorDomicileAsiaPacific_NonListedFunds</t>
  </si>
  <si>
    <t>AFR_IDAPAC_NLF</t>
  </si>
  <si>
    <t>AFRICA_InvestorDomicileAsiaPacific_SeparateAccountsDirect</t>
  </si>
  <si>
    <t>AFR_IDAPAC_SepAccDirect</t>
  </si>
  <si>
    <t>AFRICA_InvestorDomicileAsiaPacific_SeparateAccountsIndirect</t>
  </si>
  <si>
    <t>AFR_IDAPAC_SepAccIndirect</t>
  </si>
  <si>
    <t>AFRICA_InvestorDomicileAsiaPacific_JVs</t>
  </si>
  <si>
    <t>AFR_IDAPAC_JVs</t>
  </si>
  <si>
    <t>AFRICA_InvestorDomicileAsiaPacific_FundsOfFunds</t>
  </si>
  <si>
    <t>AFR_IDAPAC_FOF</t>
  </si>
  <si>
    <t>AFRICA_InvestorDomicileAsiaPacific_Debt</t>
  </si>
  <si>
    <t>AFR_IDAPAC_Debt</t>
  </si>
  <si>
    <t>AFRICA_InvestorDomicileAsiaPacific_VehicleType_Total</t>
  </si>
  <si>
    <t>AFR_IDAPAC_VT_Total</t>
  </si>
  <si>
    <t>AFRICA_InvestorDomicileNorthAmerica_NonListedFunds</t>
  </si>
  <si>
    <t>AFR_IDNA_NLF</t>
  </si>
  <si>
    <t>AFRICA_InvestorDomicileNorthAmerica_SeparateAccountsDirect</t>
  </si>
  <si>
    <t>AFR_IDNA_SepAccDirect</t>
  </si>
  <si>
    <t>AFRICA_InvestorDomicileNorthAmerica_SeparateAccountsIndirect</t>
  </si>
  <si>
    <t>AFR_IDNA_SepAccIndirect</t>
  </si>
  <si>
    <t>AFRICA_InvestorDomicileNorthAmerica_JVs</t>
  </si>
  <si>
    <t>AFR_IDNA_JVs</t>
  </si>
  <si>
    <t>AFRICA_InvestorDomicileNorthAmerica_FundsOfFunds</t>
  </si>
  <si>
    <t>AFR_IDNA_FOF</t>
  </si>
  <si>
    <t>AFRICA_InvestorDomicileNorthAmerica_Debt</t>
  </si>
  <si>
    <t>AFR_IDNA_Debt</t>
  </si>
  <si>
    <t>AFRICA_InvestorDomicileNorthAmerica_VehicleType_Total</t>
  </si>
  <si>
    <t>AFR_IDNA_VT_Total</t>
  </si>
  <si>
    <t>AFRICA_InvestorDomicileSouthAmerica_NonListedFunds</t>
  </si>
  <si>
    <t>AFR_IDSA_NLF</t>
  </si>
  <si>
    <t>AFRICA_InvestorDomicileSouthAmerica_SeparateAccountsDirect</t>
  </si>
  <si>
    <t>AFR_IDSA_SepAccDirect</t>
  </si>
  <si>
    <t>AFRICA_InvestorDomicileSouthAmerica_SeparateAccountsIndirect</t>
  </si>
  <si>
    <t>AFR_IDSA_SepAccIndirect</t>
  </si>
  <si>
    <t>AFRICA_InvestorDomicileSouthAmerica_JVs</t>
  </si>
  <si>
    <t>AFR_IDSA_JVs</t>
  </si>
  <si>
    <t>AFRICA_InvestorDomicileSouthAmerica_FundsOfFunds</t>
  </si>
  <si>
    <t>AFR_IDSA_FOF</t>
  </si>
  <si>
    <t>AFRICA_InvestorDomicileSouthAmerica_Debt</t>
  </si>
  <si>
    <t>AFR_IDSA_Debt</t>
  </si>
  <si>
    <t>AFRICA_InvestorDomicileSouthAmerica_VehicleType_Total</t>
  </si>
  <si>
    <t>AFR_IDSA_VT_Total</t>
  </si>
  <si>
    <t>AFRICA_InvestorDomicileAfrica_NonListedFunds</t>
  </si>
  <si>
    <t>AFR_IDAFR_NLF</t>
  </si>
  <si>
    <t>AFRICA_InvestorDomicileAfrica_SeparateAccountsDirect</t>
  </si>
  <si>
    <t>AFR_IDAFR_SepAccDirect</t>
  </si>
  <si>
    <t>AFRICA_InvestorDomicileAfrica_SeparateAccountsIndirect</t>
  </si>
  <si>
    <t>AFR_IDAFR_SepAccIndirect</t>
  </si>
  <si>
    <t>AFRICA_InvestorDomicileAfrica_JVs</t>
  </si>
  <si>
    <t>AFR_IDAFR_JVs</t>
  </si>
  <si>
    <t>AFRICA_InvestorDomicileAfrica_FundsOfFunds</t>
  </si>
  <si>
    <t>AFR_IDAFR_FOF</t>
  </si>
  <si>
    <t>AFRICA_InvestorDomicileAfrica_Debt</t>
  </si>
  <si>
    <t>AFR_IDAFR_Debt</t>
  </si>
  <si>
    <t>AFRICA_InvestorDomicileAfrica_VehicleType_Total</t>
  </si>
  <si>
    <t>AFR_IDAFR_VT_Total</t>
  </si>
  <si>
    <t>AFRICA_InvestorDomicile_NonListedFunds_Total</t>
  </si>
  <si>
    <t>AFR_ID_NLF_Total</t>
  </si>
  <si>
    <t>AFRICA_InvestorDomicile_SeparateAccountsDirect_Total</t>
  </si>
  <si>
    <t>AFR_ID_SepAccDirect_Total</t>
  </si>
  <si>
    <t>AFRICA_InvestorDomicile_SeparateAccountsIndirect_Total</t>
  </si>
  <si>
    <t>AFR_ID_SepAccIndirect_Total</t>
  </si>
  <si>
    <t>AFRICA_InvestorDomicile_JVs_Total</t>
  </si>
  <si>
    <t>AFR_ID_JVs_Total</t>
  </si>
  <si>
    <t>AFRICA_InvestorDomicile_FundsOfFunds_Total</t>
  </si>
  <si>
    <t>AFR_ID_FOF_Total</t>
  </si>
  <si>
    <t>AFRICA_InvestorDomicile_Debt_Total</t>
  </si>
  <si>
    <t>AFR_ID_Debt_Total</t>
  </si>
  <si>
    <t>AFRICA_InvestorDomicile_VehicleType_Total</t>
  </si>
  <si>
    <t>AFR_ID_VT_Total</t>
  </si>
  <si>
    <t>0_1</t>
  </si>
  <si>
    <t>Mnumber</t>
  </si>
  <si>
    <t>mnumber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</si>
  <si>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</si>
  <si>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</si>
  <si>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</si>
  <si>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</si>
  <si>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</si>
  <si>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</si>
  <si>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</si>
  <si>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</si>
  <si>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</si>
  <si>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</si>
  <si>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</si>
  <si>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</si>
  <si>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</si>
  <si>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</si>
  <si>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</si>
  <si>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</si>
  <si>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</si>
  <si>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</si>
  <si>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</si>
  <si>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</si>
  <si>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</si>
  <si>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</si>
  <si>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</si>
  <si>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</si>
  <si>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</si>
  <si>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</si>
  <si>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</si>
  <si>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</si>
  <si>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</si>
  <si>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</si>
  <si>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</si>
  <si>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</si>
  <si>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</si>
  <si>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</si>
  <si>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</si>
  <si>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</si>
  <si>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</si>
  <si>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</si>
  <si>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0_40</t>
  </si>
  <si>
    <t>Label</t>
  </si>
  <si>
    <t>Total raised</t>
  </si>
  <si>
    <t>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</si>
</sst>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18">
    <xf numFmtId="0" fontId="0" fillId="0" borderId="0" xfId="0"/>
    <xf numFmtId="0" fontId="1" fillId="2" borderId="0" xfId="1" applyFill="1"/>
    <xf numFmtId="0" fontId="4" fillId="2" borderId="0" xfId="1" applyFont="1" applyFill="1" applyAlignment="1">
      <alignment horizontal="center"/>
    </xf>
    <xf numFmtId="0" fontId="1" fillId="0" borderId="0" xfId="1"/>
    <xf numFmtId="0" fontId="4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" fillId="4" borderId="0" xfId="1" applyFill="1"/>
    <xf numFmtId="0" fontId="4" fillId="4" borderId="0" xfId="1" applyFont="1" applyFill="1" applyAlignment="1">
      <alignment horizontal="center"/>
    </xf>
    <xf numFmtId="0" fontId="2" fillId="0" borderId="0" xfId="1" applyFont="1"/>
    <xf numFmtId="0" fontId="2" fillId="4" borderId="0" xfId="1" applyFont="1" applyFill="1"/>
    <xf numFmtId="0" fontId="3" fillId="5" borderId="0" xfId="1" applyFont="1" applyFill="1"/>
    <xf numFmtId="0" fontId="5" fillId="4" borderId="0" xfId="1" applyFont="1" applyFill="1"/>
    <xf numFmtId="0" fontId="4" fillId="0" borderId="0" xfId="1" applyFont="1"/>
    <xf numFmtId="0" fontId="2" fillId="0" borderId="0" xfId="2" applyFont="1"/>
    <xf numFmtId="0" fontId="1" fillId="0" borderId="0" xfId="2"/>
    <xf numFmtId="14" fontId="0" fillId="0" borderId="0" xfId="0" applyNumberFormat="1"/>
    <xf numFmtId="14" fontId="1" fillId="0" borderId="0" xfId="2" applyNumberFormat="1"/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EE1566A0-CBB8-423A-A10A-0492701C31AC}"/>
    <cellStyle name="Normal 3" xfId="3" xr:uid="{E52CA254-6904-4506-A8C0-6B884DC7C778}"/>
    <cellStyle name="Normal 6" xfId="2" xr:uid="{08AFDDB4-59B1-4D87-A58E-48814718C902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cr_survey/mappings/Mnumber%20master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8_question_m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ld/cr_2017_column_edi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ld/question_map/cr_2018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9"/>
    </sheetNames>
    <sheetDataSet>
      <sheetData sheetId="0">
        <row r="1">
          <cell r="D1" t="str">
            <v>extension</v>
          </cell>
          <cell r="E1" t="str">
            <v>Year</v>
          </cell>
          <cell r="F1" t="str">
            <v>Mnumber</v>
          </cell>
        </row>
        <row r="2">
          <cell r="D2" t="str">
            <v>@ezland.vn</v>
          </cell>
          <cell r="E2">
            <v>2022</v>
          </cell>
          <cell r="F2" t="str">
            <v>M0278</v>
          </cell>
        </row>
        <row r="3">
          <cell r="D3" t="str">
            <v>@wprei.com</v>
          </cell>
          <cell r="E3">
            <v>2022</v>
          </cell>
          <cell r="F3" t="str">
            <v>M0128</v>
          </cell>
        </row>
        <row r="4">
          <cell r="D4" t="str">
            <v>@assemblyfm.com.au</v>
          </cell>
          <cell r="E4">
            <v>2022</v>
          </cell>
          <cell r="F4" t="str">
            <v>M0412</v>
          </cell>
        </row>
        <row r="5">
          <cell r="D5" t="str">
            <v>@hdfc.com</v>
          </cell>
          <cell r="E5">
            <v>2022</v>
          </cell>
          <cell r="F5" t="str">
            <v>M0293</v>
          </cell>
        </row>
        <row r="6">
          <cell r="D6" t="str">
            <v>@mapletree.com.sg</v>
          </cell>
          <cell r="E6">
            <v>2022</v>
          </cell>
          <cell r="F6" t="str">
            <v>M0180</v>
          </cell>
        </row>
        <row r="7">
          <cell r="D7" t="str">
            <v>@citiccapital.com</v>
          </cell>
          <cell r="E7">
            <v>2022</v>
          </cell>
          <cell r="F7" t="str">
            <v>M0107</v>
          </cell>
        </row>
        <row r="8">
          <cell r="D8" t="str">
            <v>@silkroadpp.com</v>
          </cell>
          <cell r="E8">
            <v>2022</v>
          </cell>
          <cell r="F8" t="str">
            <v>M0182</v>
          </cell>
        </row>
        <row r="9">
          <cell r="D9" t="str">
            <v>@ampcapital.com</v>
          </cell>
          <cell r="E9">
            <v>2022</v>
          </cell>
          <cell r="F9" t="str">
            <v>M0082</v>
          </cell>
        </row>
        <row r="10">
          <cell r="D10" t="str">
            <v>@ppinvestors.com</v>
          </cell>
          <cell r="E10">
            <v>2022</v>
          </cell>
          <cell r="F10" t="str">
            <v>M0088</v>
          </cell>
        </row>
        <row r="11">
          <cell r="D11" t="str">
            <v>@glprop.com</v>
          </cell>
          <cell r="E11">
            <v>2022</v>
          </cell>
          <cell r="F11" t="str">
            <v>M0144</v>
          </cell>
        </row>
        <row r="12">
          <cell r="D12" t="str">
            <v>@corval.com.au</v>
          </cell>
          <cell r="E12">
            <v>2022</v>
          </cell>
          <cell r="F12" t="str">
            <v>M0306</v>
          </cell>
        </row>
        <row r="13">
          <cell r="D13" t="str">
            <v>@dexus.com</v>
          </cell>
          <cell r="E13">
            <v>2022</v>
          </cell>
          <cell r="F13" t="str">
            <v>M0090</v>
          </cell>
        </row>
        <row r="14">
          <cell r="D14" t="str">
            <v>@bpeasia.com</v>
          </cell>
          <cell r="E14">
            <v>2022</v>
          </cell>
          <cell r="F14" t="str">
            <v>M0149</v>
          </cell>
        </row>
        <row r="15">
          <cell r="D15" t="str">
            <v>@mecgpasia.com</v>
          </cell>
          <cell r="E15">
            <v>2022</v>
          </cell>
          <cell r="F15" t="str">
            <v>N0300</v>
          </cell>
        </row>
        <row r="16">
          <cell r="D16" t="str">
            <v>@kepcapital.com</v>
          </cell>
          <cell r="E16">
            <v>2022</v>
          </cell>
          <cell r="F16" t="str">
            <v>M0106</v>
          </cell>
        </row>
        <row r="17">
          <cell r="D17" t="str">
            <v>@archcapital.net</v>
          </cell>
          <cell r="E17">
            <v>2022</v>
          </cell>
          <cell r="F17" t="str">
            <v>M421</v>
          </cell>
        </row>
        <row r="18">
          <cell r="D18" t="str">
            <v>@proprium.com</v>
          </cell>
          <cell r="E18">
            <v>2022</v>
          </cell>
          <cell r="F18" t="str">
            <v>M0201</v>
          </cell>
        </row>
        <row r="19">
          <cell r="D19" t="str">
            <v>@ispt.net.au</v>
          </cell>
          <cell r="E19">
            <v>2022</v>
          </cell>
          <cell r="F19" t="str">
            <v>M0269</v>
          </cell>
        </row>
        <row r="20">
          <cell r="D20" t="str">
            <v>@gpt.com.au</v>
          </cell>
          <cell r="E20">
            <v>2022</v>
          </cell>
          <cell r="F20" t="str">
            <v>M0075</v>
          </cell>
        </row>
        <row r="21">
          <cell r="D21" t="str">
            <v>@mc-dream.com</v>
          </cell>
          <cell r="E21">
            <v>2022</v>
          </cell>
          <cell r="F21" t="str">
            <v>M0007</v>
          </cell>
        </row>
        <row r="22">
          <cell r="D22" t="str">
            <v>@capitaland.com</v>
          </cell>
          <cell r="E22">
            <v>2022</v>
          </cell>
          <cell r="F22" t="str">
            <v>M0091</v>
          </cell>
        </row>
        <row r="23">
          <cell r="D23" t="str">
            <v>@charterhall.com.au</v>
          </cell>
          <cell r="E23">
            <v>2022</v>
          </cell>
          <cell r="F23" t="str">
            <v>M03232</v>
          </cell>
        </row>
        <row r="24">
          <cell r="D24" t="str">
            <v>@tt-ia.com</v>
          </cell>
          <cell r="E24">
            <v>2022</v>
          </cell>
          <cell r="F24" t="str">
            <v>M0239</v>
          </cell>
        </row>
        <row r="25">
          <cell r="D25" t="str">
            <v>@GOODMAN.COM</v>
          </cell>
          <cell r="E25">
            <v>2022</v>
          </cell>
          <cell r="F25" t="str">
            <v>M065</v>
          </cell>
        </row>
        <row r="26">
          <cell r="D26" t="str">
            <v>@mfia.co.jp</v>
          </cell>
          <cell r="E26">
            <v>2022</v>
          </cell>
          <cell r="F26" t="str">
            <v>M0177</v>
          </cell>
        </row>
        <row r="27">
          <cell r="D27" t="str">
            <v>@scape.com</v>
          </cell>
          <cell r="E27">
            <v>2022</v>
          </cell>
          <cell r="F27" t="str">
            <v>M0319</v>
          </cell>
        </row>
        <row r="28">
          <cell r="D28" t="str">
            <v>@schroders.com</v>
          </cell>
          <cell r="E28">
            <v>2022</v>
          </cell>
          <cell r="F28" t="str">
            <v>M037</v>
          </cell>
        </row>
        <row r="29">
          <cell r="D29" t="str">
            <v>@aetosjapan.com</v>
          </cell>
          <cell r="E29">
            <v>2022</v>
          </cell>
          <cell r="F29" t="str">
            <v>M0225</v>
          </cell>
        </row>
        <row r="30">
          <cell r="D30" t="str">
            <v>@eg.com.au</v>
          </cell>
          <cell r="E30">
            <v>2022</v>
          </cell>
          <cell r="F30" t="str">
            <v>M0249</v>
          </cell>
        </row>
        <row r="31">
          <cell r="D31" t="str">
            <v>@madigancapital.com</v>
          </cell>
          <cell r="E31">
            <v>2022</v>
          </cell>
          <cell r="F31" t="str">
            <v>M0325</v>
          </cell>
        </row>
        <row r="32">
          <cell r="D32" t="str">
            <v>@meritz.co.kr</v>
          </cell>
          <cell r="E32">
            <v>2022</v>
          </cell>
          <cell r="F32" t="str">
            <v>N0287</v>
          </cell>
        </row>
        <row r="33">
          <cell r="D33" t="str">
            <v>@vicinity.com.au</v>
          </cell>
          <cell r="E33">
            <v>2022</v>
          </cell>
          <cell r="F33" t="str">
            <v>N0298</v>
          </cell>
        </row>
        <row r="34">
          <cell r="D34" t="str">
            <v>@sevenseas-adv.com</v>
          </cell>
          <cell r="E34">
            <v>2021</v>
          </cell>
          <cell r="F34" t="str">
            <v>M0235</v>
          </cell>
        </row>
        <row r="35">
          <cell r="D35" t="str">
            <v>@madigancapital.com</v>
          </cell>
          <cell r="E35">
            <v>2021</v>
          </cell>
          <cell r="F35" t="str">
            <v>M0325</v>
          </cell>
        </row>
        <row r="36">
          <cell r="D36" t="str">
            <v>@fortius.com.au</v>
          </cell>
          <cell r="E36">
            <v>2021</v>
          </cell>
          <cell r="F36" t="str">
            <v>N0281</v>
          </cell>
        </row>
        <row r="37">
          <cell r="D37" t="str">
            <v>@dexus.com</v>
          </cell>
          <cell r="E37">
            <v>2021</v>
          </cell>
          <cell r="F37" t="str">
            <v>M0090</v>
          </cell>
        </row>
        <row r="38">
          <cell r="D38" t="str">
            <v>@cos-capital.com</v>
          </cell>
          <cell r="E38">
            <v>2021</v>
          </cell>
          <cell r="F38" t="str">
            <v>M0335</v>
          </cell>
        </row>
        <row r="39">
          <cell r="D39" t="str">
            <v>@proprium.com</v>
          </cell>
          <cell r="E39">
            <v>2021</v>
          </cell>
          <cell r="F39" t="str">
            <v>M0201</v>
          </cell>
        </row>
        <row r="40">
          <cell r="D40" t="str">
            <v>@ispt.net.au</v>
          </cell>
          <cell r="E40">
            <v>2021</v>
          </cell>
          <cell r="F40" t="str">
            <v>M0269</v>
          </cell>
        </row>
        <row r="41">
          <cell r="D41" t="str">
            <v>@HDFC.COM</v>
          </cell>
          <cell r="E41">
            <v>2021</v>
          </cell>
          <cell r="F41" t="str">
            <v>M0293</v>
          </cell>
        </row>
        <row r="42">
          <cell r="D42" t="str">
            <v>@gpt.com.au</v>
          </cell>
          <cell r="E42">
            <v>2021</v>
          </cell>
          <cell r="F42" t="str">
            <v>M0075</v>
          </cell>
        </row>
        <row r="43">
          <cell r="D43" t="str">
            <v>@recapinvestments.com</v>
          </cell>
          <cell r="E43">
            <v>2021</v>
          </cell>
          <cell r="F43" t="str">
            <v>M0159</v>
          </cell>
        </row>
        <row r="44">
          <cell r="D44" t="str">
            <v>@pamfleet.com</v>
          </cell>
          <cell r="E44">
            <v>2021</v>
          </cell>
          <cell r="F44" t="str">
            <v>M0125</v>
          </cell>
        </row>
        <row r="45">
          <cell r="D45" t="str">
            <v>@meritz.co.kr</v>
          </cell>
          <cell r="E45">
            <v>2021</v>
          </cell>
          <cell r="F45" t="str">
            <v>N0287</v>
          </cell>
        </row>
        <row r="46">
          <cell r="D46" t="str">
            <v>@lendlease.com</v>
          </cell>
          <cell r="E46">
            <v>2021</v>
          </cell>
          <cell r="F46" t="str">
            <v>M243</v>
          </cell>
        </row>
        <row r="47">
          <cell r="D47" t="str">
            <v>@clsa.com</v>
          </cell>
          <cell r="E47">
            <v>2021</v>
          </cell>
          <cell r="F47" t="str">
            <v>M0309</v>
          </cell>
        </row>
        <row r="48">
          <cell r="D48" t="str">
            <v>@ppinvestors.com</v>
          </cell>
          <cell r="E48">
            <v>2021</v>
          </cell>
          <cell r="F48" t="str">
            <v>M0088</v>
          </cell>
        </row>
        <row r="49">
          <cell r="D49" t="str">
            <v>@citiccapital.com</v>
          </cell>
          <cell r="E49">
            <v>2021</v>
          </cell>
          <cell r="F49" t="str">
            <v>M0107</v>
          </cell>
        </row>
        <row r="50">
          <cell r="D50" t="str">
            <v>@eg.com.au</v>
          </cell>
          <cell r="E50">
            <v>2021</v>
          </cell>
          <cell r="F50" t="str">
            <v>M0249</v>
          </cell>
        </row>
        <row r="51">
          <cell r="D51" t="str">
            <v>@archcapital.net</v>
          </cell>
          <cell r="E51">
            <v>2021</v>
          </cell>
          <cell r="F51" t="str">
            <v>M421</v>
          </cell>
        </row>
        <row r="52">
          <cell r="D52" t="str">
            <v>@mfia.co.jp</v>
          </cell>
          <cell r="E52">
            <v>2021</v>
          </cell>
          <cell r="F52" t="str">
            <v>M0177</v>
          </cell>
        </row>
        <row r="53">
          <cell r="D53" t="str">
            <v>@kenedix.com</v>
          </cell>
          <cell r="E53">
            <v>2021</v>
          </cell>
          <cell r="F53" t="str">
            <v>M0230</v>
          </cell>
        </row>
        <row r="54">
          <cell r="D54" t="str">
            <v>@glprop.com</v>
          </cell>
          <cell r="E54">
            <v>2021</v>
          </cell>
          <cell r="F54" t="str">
            <v>M0144</v>
          </cell>
        </row>
        <row r="55">
          <cell r="D55" t="str">
            <v>@tokiomarineam.co.jp</v>
          </cell>
          <cell r="E55">
            <v>2021</v>
          </cell>
          <cell r="F55" t="str">
            <v>N0247</v>
          </cell>
        </row>
        <row r="56">
          <cell r="D56" t="str">
            <v>@igisam.com</v>
          </cell>
          <cell r="E56">
            <v>2021</v>
          </cell>
          <cell r="F56" t="str">
            <v>M0333</v>
          </cell>
        </row>
        <row r="57">
          <cell r="D57" t="str">
            <v>@gawcapital.com</v>
          </cell>
          <cell r="E57">
            <v>2021</v>
          </cell>
          <cell r="F57" t="str">
            <v>M0186</v>
          </cell>
        </row>
        <row r="58">
          <cell r="D58" t="str">
            <v>@investa.com.au</v>
          </cell>
          <cell r="E58">
            <v>2021</v>
          </cell>
          <cell r="F58" t="str">
            <v>M0077</v>
          </cell>
        </row>
        <row r="59">
          <cell r="D59" t="str">
            <v>@kepcapital.com (2) laykeng.lee@kepcapital.com</v>
          </cell>
          <cell r="E59">
            <v>2021</v>
          </cell>
          <cell r="F59" t="str">
            <v>M0106</v>
          </cell>
        </row>
        <row r="60">
          <cell r="D60" t="str">
            <v>@sg.esr.com</v>
          </cell>
          <cell r="E60">
            <v>2021</v>
          </cell>
          <cell r="F60" t="str">
            <v>M0231</v>
          </cell>
        </row>
        <row r="61">
          <cell r="D61" t="str">
            <v>@altisproperty.com.au</v>
          </cell>
          <cell r="E61">
            <v>2021</v>
          </cell>
          <cell r="F61" t="str">
            <v>N0275</v>
          </cell>
        </row>
        <row r="62">
          <cell r="D62" t="str">
            <v>@vicinity.com.au</v>
          </cell>
          <cell r="E62">
            <v>2021</v>
          </cell>
          <cell r="F62" t="str">
            <v>N0298</v>
          </cell>
        </row>
        <row r="63">
          <cell r="D63" t="str">
            <v>@am-one.co.jp</v>
          </cell>
          <cell r="E63">
            <v>2021</v>
          </cell>
          <cell r="F63" t="str">
            <v>M04035</v>
          </cell>
        </row>
        <row r="64">
          <cell r="D64" t="str">
            <v>@challenger.com.au</v>
          </cell>
          <cell r="E64">
            <v>2021</v>
          </cell>
          <cell r="F64" t="str">
            <v>M0224</v>
          </cell>
        </row>
        <row r="65">
          <cell r="D65" t="str">
            <v>@tt-ia.com</v>
          </cell>
          <cell r="E65">
            <v>2021</v>
          </cell>
          <cell r="F65" t="str">
            <v>M0239</v>
          </cell>
        </row>
        <row r="66">
          <cell r="D66" t="str">
            <v>@ampcapital.com</v>
          </cell>
          <cell r="E66">
            <v>2021</v>
          </cell>
          <cell r="F66" t="str">
            <v>M0082</v>
          </cell>
        </row>
        <row r="67">
          <cell r="D67" t="str">
            <v>@charterhall.com.au</v>
          </cell>
          <cell r="E67">
            <v>2021</v>
          </cell>
          <cell r="F67" t="str">
            <v>M03232</v>
          </cell>
        </row>
        <row r="68">
          <cell r="D68" t="str">
            <v>@sevenseas-adv.com</v>
          </cell>
          <cell r="E68">
            <v>2020</v>
          </cell>
          <cell r="F68" t="str">
            <v>M0235</v>
          </cell>
        </row>
        <row r="69">
          <cell r="D69" t="str">
            <v>@madigancapital.com</v>
          </cell>
          <cell r="E69">
            <v>2020</v>
          </cell>
          <cell r="F69" t="str">
            <v>M0325</v>
          </cell>
        </row>
        <row r="70">
          <cell r="D70" t="str">
            <v>@fortius.com.au</v>
          </cell>
          <cell r="E70">
            <v>2020</v>
          </cell>
          <cell r="F70" t="str">
            <v>N0281</v>
          </cell>
        </row>
        <row r="71">
          <cell r="D71" t="str">
            <v>@dexus.com</v>
          </cell>
          <cell r="E71">
            <v>2020</v>
          </cell>
          <cell r="F71" t="str">
            <v>M0090</v>
          </cell>
        </row>
        <row r="72">
          <cell r="D72" t="str">
            <v>@cos-capital.com</v>
          </cell>
          <cell r="E72">
            <v>2020</v>
          </cell>
          <cell r="F72" t="str">
            <v>M0335</v>
          </cell>
        </row>
        <row r="73">
          <cell r="D73" t="str">
            <v>@proprium.com</v>
          </cell>
          <cell r="E73">
            <v>2020</v>
          </cell>
          <cell r="F73" t="str">
            <v>M0201</v>
          </cell>
        </row>
        <row r="74">
          <cell r="D74" t="str">
            <v>@ispt.net.au</v>
          </cell>
          <cell r="E74">
            <v>2020</v>
          </cell>
          <cell r="F74" t="str">
            <v>M0269</v>
          </cell>
        </row>
        <row r="75">
          <cell r="D75" t="str">
            <v>@HDFC.COM</v>
          </cell>
          <cell r="E75">
            <v>2020</v>
          </cell>
          <cell r="F75" t="str">
            <v>M0293</v>
          </cell>
        </row>
        <row r="76">
          <cell r="D76" t="str">
            <v>@gpt.com.au</v>
          </cell>
          <cell r="E76">
            <v>2020</v>
          </cell>
          <cell r="F76" t="str">
            <v>M0075</v>
          </cell>
        </row>
        <row r="77">
          <cell r="D77" t="str">
            <v>@recapinvestments.com</v>
          </cell>
          <cell r="E77">
            <v>2020</v>
          </cell>
          <cell r="F77" t="str">
            <v>M0159</v>
          </cell>
        </row>
        <row r="78">
          <cell r="D78" t="str">
            <v>@pamfleet.com</v>
          </cell>
          <cell r="E78">
            <v>2020</v>
          </cell>
          <cell r="F78" t="str">
            <v>M0125</v>
          </cell>
        </row>
        <row r="79">
          <cell r="D79" t="str">
            <v>@meritz.co.kr</v>
          </cell>
          <cell r="E79">
            <v>2020</v>
          </cell>
          <cell r="F79" t="str">
            <v>N0287</v>
          </cell>
        </row>
        <row r="80">
          <cell r="D80" t="str">
            <v>@lendlease.com</v>
          </cell>
          <cell r="E80">
            <v>2020</v>
          </cell>
          <cell r="F80" t="str">
            <v>M243</v>
          </cell>
        </row>
        <row r="81">
          <cell r="D81" t="str">
            <v>@clsa.com</v>
          </cell>
          <cell r="E81">
            <v>2020</v>
          </cell>
          <cell r="F81" t="str">
            <v>M0309</v>
          </cell>
        </row>
        <row r="82">
          <cell r="D82" t="str">
            <v>@ppinvestors.com</v>
          </cell>
          <cell r="E82">
            <v>2020</v>
          </cell>
          <cell r="F82" t="str">
            <v>M0088</v>
          </cell>
        </row>
        <row r="83">
          <cell r="D83" t="str">
            <v>@citiccapital.com</v>
          </cell>
          <cell r="E83">
            <v>2020</v>
          </cell>
          <cell r="F83" t="str">
            <v>M0107</v>
          </cell>
        </row>
        <row r="84">
          <cell r="D84" t="str">
            <v>@eg.com.au</v>
          </cell>
          <cell r="E84">
            <v>2020</v>
          </cell>
          <cell r="F84" t="str">
            <v>M0249</v>
          </cell>
        </row>
        <row r="85">
          <cell r="D85" t="str">
            <v>@archcapital.net</v>
          </cell>
          <cell r="E85">
            <v>2020</v>
          </cell>
          <cell r="F85" t="str">
            <v>M421</v>
          </cell>
        </row>
        <row r="86">
          <cell r="D86" t="str">
            <v>@mfia.co.jp</v>
          </cell>
          <cell r="E86">
            <v>2020</v>
          </cell>
          <cell r="F86" t="str">
            <v>M0177</v>
          </cell>
        </row>
        <row r="87">
          <cell r="D87" t="str">
            <v>@kenedix.com</v>
          </cell>
          <cell r="E87">
            <v>2020</v>
          </cell>
          <cell r="F87" t="str">
            <v>M0230</v>
          </cell>
        </row>
        <row r="88">
          <cell r="D88" t="str">
            <v>@glprop.com</v>
          </cell>
          <cell r="E88">
            <v>2020</v>
          </cell>
          <cell r="F88" t="str">
            <v>M0144</v>
          </cell>
        </row>
        <row r="89">
          <cell r="D89" t="str">
            <v>@tokiomarineam.co.jp</v>
          </cell>
          <cell r="E89">
            <v>2020</v>
          </cell>
          <cell r="F89" t="str">
            <v>N0247</v>
          </cell>
        </row>
        <row r="90">
          <cell r="D90" t="str">
            <v>@igisam.com</v>
          </cell>
          <cell r="E90">
            <v>2020</v>
          </cell>
          <cell r="F90" t="str">
            <v>M0333</v>
          </cell>
        </row>
        <row r="91">
          <cell r="D91" t="str">
            <v>@gawcapital.com</v>
          </cell>
          <cell r="E91">
            <v>2020</v>
          </cell>
          <cell r="F91" t="str">
            <v>M0186</v>
          </cell>
        </row>
        <row r="92">
          <cell r="D92" t="str">
            <v>@investa.com.au</v>
          </cell>
          <cell r="E92">
            <v>2020</v>
          </cell>
          <cell r="F92" t="str">
            <v>M0077</v>
          </cell>
        </row>
        <row r="93">
          <cell r="D93" t="str">
            <v>@kepcapital.com (2) laykeng.lee@kepcapital.com</v>
          </cell>
          <cell r="E93">
            <v>2020</v>
          </cell>
          <cell r="F93" t="str">
            <v>M0106</v>
          </cell>
        </row>
        <row r="94">
          <cell r="D94" t="str">
            <v>@sg.esr.com</v>
          </cell>
          <cell r="E94">
            <v>2020</v>
          </cell>
          <cell r="F94" t="str">
            <v>M0231</v>
          </cell>
        </row>
        <row r="95">
          <cell r="D95" t="str">
            <v>@altisproperty.com.au</v>
          </cell>
          <cell r="E95">
            <v>2020</v>
          </cell>
          <cell r="F95" t="str">
            <v>N0275</v>
          </cell>
        </row>
        <row r="96">
          <cell r="D96" t="str">
            <v>@vicinity.com.au</v>
          </cell>
          <cell r="E96">
            <v>2020</v>
          </cell>
          <cell r="F96" t="str">
            <v>N0298</v>
          </cell>
        </row>
        <row r="97">
          <cell r="D97" t="str">
            <v>@am-one.co.jp</v>
          </cell>
          <cell r="E97">
            <v>2020</v>
          </cell>
          <cell r="F97" t="str">
            <v>M04035</v>
          </cell>
        </row>
        <row r="98">
          <cell r="D98" t="str">
            <v>@challenger.com.au</v>
          </cell>
          <cell r="E98">
            <v>2020</v>
          </cell>
          <cell r="F98" t="str">
            <v>M0224</v>
          </cell>
        </row>
        <row r="99">
          <cell r="D99" t="str">
            <v>@tt-ia.com</v>
          </cell>
          <cell r="E99">
            <v>2020</v>
          </cell>
          <cell r="F99" t="str">
            <v>M0239</v>
          </cell>
        </row>
        <row r="100">
          <cell r="D100" t="str">
            <v>@ampcapital.com</v>
          </cell>
          <cell r="E100">
            <v>2020</v>
          </cell>
          <cell r="F100" t="str">
            <v>M0082</v>
          </cell>
        </row>
        <row r="101">
          <cell r="D101" t="str">
            <v>@charterhall.com.au</v>
          </cell>
          <cell r="E101">
            <v>2020</v>
          </cell>
          <cell r="F101" t="str">
            <v>M03232</v>
          </cell>
        </row>
        <row r="102">
          <cell r="D102" t="str">
            <v>@logosproperty.com</v>
          </cell>
          <cell r="E102">
            <v>2019</v>
          </cell>
          <cell r="F102" t="str">
            <v>M0318</v>
          </cell>
        </row>
        <row r="103">
          <cell r="D103" t="str">
            <v>@charterhall.com.au</v>
          </cell>
          <cell r="E103">
            <v>2019</v>
          </cell>
          <cell r="F103" t="str">
            <v>M03232</v>
          </cell>
        </row>
        <row r="104">
          <cell r="D104" t="str">
            <v>@qic.com</v>
          </cell>
          <cell r="E104">
            <v>2019</v>
          </cell>
          <cell r="F104" t="str">
            <v>M0350</v>
          </cell>
        </row>
        <row r="105">
          <cell r="D105" t="str">
            <v>@pamfleet.com</v>
          </cell>
          <cell r="E105">
            <v>2019</v>
          </cell>
          <cell r="F105" t="str">
            <v>M0125</v>
          </cell>
        </row>
        <row r="106">
          <cell r="D106" t="str">
            <v>@citiccapital.com</v>
          </cell>
          <cell r="E106">
            <v>2019</v>
          </cell>
          <cell r="F106" t="str">
            <v>M0107</v>
          </cell>
        </row>
        <row r="107">
          <cell r="D107" t="str">
            <v>@propertylink.com.au</v>
          </cell>
          <cell r="E107">
            <v>2019</v>
          </cell>
          <cell r="F107" t="str">
            <v>M0220</v>
          </cell>
        </row>
        <row r="108">
          <cell r="D108" t="str">
            <v>@wprei.com</v>
          </cell>
          <cell r="E108">
            <v>2019</v>
          </cell>
          <cell r="F108" t="str">
            <v>M0128</v>
          </cell>
        </row>
        <row r="109">
          <cell r="D109" t="str">
            <v>@lendlease.com</v>
          </cell>
          <cell r="E109">
            <v>2019</v>
          </cell>
          <cell r="F109" t="str">
            <v>M243</v>
          </cell>
        </row>
        <row r="110">
          <cell r="D110" t="str">
            <v>@bpeasia.com</v>
          </cell>
          <cell r="E110">
            <v>2019</v>
          </cell>
          <cell r="F110" t="str">
            <v>M0149</v>
          </cell>
        </row>
        <row r="111">
          <cell r="D111" t="str">
            <v>@mfia.co.jp</v>
          </cell>
          <cell r="E111">
            <v>2019</v>
          </cell>
          <cell r="F111" t="str">
            <v>M0177</v>
          </cell>
        </row>
        <row r="112">
          <cell r="D112" t="str">
            <v>@vicinity.com.au</v>
          </cell>
          <cell r="E112">
            <v>2019</v>
          </cell>
          <cell r="F112" t="str">
            <v>N0298</v>
          </cell>
        </row>
        <row r="113">
          <cell r="D113" t="str">
            <v>@kenedix.com</v>
          </cell>
          <cell r="E113">
            <v>2019</v>
          </cell>
          <cell r="F113" t="str">
            <v>M0230</v>
          </cell>
        </row>
        <row r="114">
          <cell r="D114" t="str">
            <v>@aep-im.com</v>
          </cell>
          <cell r="E114">
            <v>2019</v>
          </cell>
          <cell r="F114" t="str">
            <v>M0291</v>
          </cell>
        </row>
        <row r="115">
          <cell r="D115" t="str">
            <v>@sevenseas-adv.com</v>
          </cell>
          <cell r="E115">
            <v>2019</v>
          </cell>
          <cell r="F115" t="str">
            <v>M0235</v>
          </cell>
        </row>
        <row r="116">
          <cell r="D116" t="str">
            <v>@tt-ia.com</v>
          </cell>
          <cell r="E116">
            <v>2019</v>
          </cell>
          <cell r="F116" t="str">
            <v>M0239</v>
          </cell>
        </row>
        <row r="117">
          <cell r="D117" t="str">
            <v>@maxcapgroup.com.au</v>
          </cell>
          <cell r="E117">
            <v>2019</v>
          </cell>
          <cell r="F117" t="str">
            <v>M0263</v>
          </cell>
        </row>
        <row r="118">
          <cell r="D118" t="str">
            <v>@tr.mufg.jp</v>
          </cell>
          <cell r="E118">
            <v>2019</v>
          </cell>
          <cell r="F118" t="str">
            <v>M0232</v>
          </cell>
        </row>
        <row r="119">
          <cell r="D119" t="str">
            <v>@archcapital.net</v>
          </cell>
          <cell r="E119">
            <v>2019</v>
          </cell>
          <cell r="F119" t="str">
            <v>M421</v>
          </cell>
        </row>
        <row r="120">
          <cell r="D120" t="str">
            <v>@madigancapital.com</v>
          </cell>
          <cell r="E120">
            <v>2019</v>
          </cell>
          <cell r="F120" t="str">
            <v>M0325</v>
          </cell>
        </row>
        <row r="121">
          <cell r="D121" t="str">
            <v>@challenger.com.au</v>
          </cell>
          <cell r="E121">
            <v>2019</v>
          </cell>
          <cell r="F121" t="str">
            <v>M0224</v>
          </cell>
        </row>
        <row r="122">
          <cell r="D122" t="str">
            <v>@orionpartners.com</v>
          </cell>
          <cell r="E122">
            <v>2019</v>
          </cell>
          <cell r="F122" t="str">
            <v>M0035</v>
          </cell>
        </row>
        <row r="123">
          <cell r="D123" t="str">
            <v>@gpt.com.au</v>
          </cell>
          <cell r="E123">
            <v>2019</v>
          </cell>
          <cell r="F123" t="str">
            <v>M0075</v>
          </cell>
        </row>
        <row r="124">
          <cell r="D124" t="str">
            <v>@dexus.com</v>
          </cell>
          <cell r="E124">
            <v>2019</v>
          </cell>
          <cell r="F124" t="str">
            <v>M0090</v>
          </cell>
        </row>
        <row r="125">
          <cell r="D125" t="str">
            <v>@greenoakrealestate.com</v>
          </cell>
          <cell r="E125">
            <v>2019</v>
          </cell>
          <cell r="F125" t="str">
            <v>M0296</v>
          </cell>
        </row>
        <row r="126">
          <cell r="D126" t="str">
            <v>@proprium.com</v>
          </cell>
          <cell r="E126">
            <v>2019</v>
          </cell>
          <cell r="F126" t="str">
            <v>M0201</v>
          </cell>
        </row>
        <row r="127">
          <cell r="D127" t="str">
            <v>@clsa.com</v>
          </cell>
          <cell r="E127">
            <v>2019</v>
          </cell>
          <cell r="F127" t="str">
            <v>M0309</v>
          </cell>
        </row>
        <row r="128">
          <cell r="D128" t="str">
            <v>@ampcapital.com</v>
          </cell>
          <cell r="E128">
            <v>2019</v>
          </cell>
          <cell r="F128" t="str">
            <v>M0082</v>
          </cell>
        </row>
        <row r="129">
          <cell r="D129" t="str">
            <v>@qualitas.com.au</v>
          </cell>
          <cell r="E129">
            <v>2019</v>
          </cell>
          <cell r="F129" t="str">
            <v>M0274</v>
          </cell>
        </row>
        <row r="130">
          <cell r="D130" t="str">
            <v>@meritz.co.kr</v>
          </cell>
          <cell r="E130">
            <v>2019</v>
          </cell>
          <cell r="F130" t="str">
            <v>N0287</v>
          </cell>
        </row>
        <row r="131">
          <cell r="D131" t="str">
            <v>@goodman.com</v>
          </cell>
          <cell r="E131">
            <v>2019</v>
          </cell>
          <cell r="F131" t="str">
            <v>M065</v>
          </cell>
        </row>
        <row r="132">
          <cell r="D132" t="str">
            <v>@investa.com.au</v>
          </cell>
          <cell r="E132">
            <v>2019</v>
          </cell>
          <cell r="F132" t="str">
            <v>M0077</v>
          </cell>
        </row>
        <row r="133">
          <cell r="D133" t="str">
            <v>@silkroadpp.com</v>
          </cell>
          <cell r="E133">
            <v>2019</v>
          </cell>
          <cell r="F133" t="str">
            <v>M0182</v>
          </cell>
        </row>
        <row r="134">
          <cell r="D134" t="str">
            <v>@igisam.com</v>
          </cell>
          <cell r="E134">
            <v>2019</v>
          </cell>
          <cell r="F134" t="str">
            <v>M0333</v>
          </cell>
        </row>
        <row r="135">
          <cell r="D135" t="str">
            <v>@recapinvestments.com</v>
          </cell>
          <cell r="E135">
            <v>2019</v>
          </cell>
          <cell r="F135" t="str">
            <v>M0159</v>
          </cell>
        </row>
        <row r="136">
          <cell r="D136" t="str">
            <v>@cromwell.com.au</v>
          </cell>
          <cell r="E136">
            <v>2019</v>
          </cell>
          <cell r="F136" t="str">
            <v>M126</v>
          </cell>
        </row>
        <row r="137">
          <cell r="D137" t="str">
            <v>@eg.com.au</v>
          </cell>
          <cell r="E137">
            <v>2019</v>
          </cell>
          <cell r="F137" t="str">
            <v>M0249</v>
          </cell>
        </row>
        <row r="138">
          <cell r="D138" t="str">
            <v>@cos-capital.com</v>
          </cell>
          <cell r="E138">
            <v>2019</v>
          </cell>
          <cell r="F138" t="str">
            <v>M0335</v>
          </cell>
        </row>
        <row r="139">
          <cell r="D139" t="str">
            <v>@ppinvestors.com</v>
          </cell>
          <cell r="E139">
            <v>2019</v>
          </cell>
          <cell r="F139" t="str">
            <v>M0088</v>
          </cell>
        </row>
        <row r="140">
          <cell r="D140" t="str">
            <v>@mc-dream.com</v>
          </cell>
          <cell r="E140">
            <v>2019</v>
          </cell>
          <cell r="F140" t="str">
            <v>M0007</v>
          </cell>
        </row>
        <row r="141">
          <cell r="D141" t="str">
            <v>@glprop.com</v>
          </cell>
          <cell r="E141">
            <v>2019</v>
          </cell>
          <cell r="F141" t="str">
            <v>M0144</v>
          </cell>
        </row>
        <row r="142">
          <cell r="D142" t="str">
            <v>@tokiomarineam.co.jp</v>
          </cell>
          <cell r="E142">
            <v>2019</v>
          </cell>
          <cell r="F142" t="str">
            <v>N0247</v>
          </cell>
        </row>
        <row r="143">
          <cell r="D143" t="str">
            <v>@ascendas-singbridge.com</v>
          </cell>
          <cell r="E143">
            <v>2019</v>
          </cell>
          <cell r="F143" t="str">
            <v>M0189</v>
          </cell>
        </row>
        <row r="144">
          <cell r="D144" t="str">
            <v>@capitaland.com</v>
          </cell>
          <cell r="E144">
            <v>2019</v>
          </cell>
          <cell r="F144" t="str">
            <v>M0091</v>
          </cell>
        </row>
        <row r="145">
          <cell r="D145" t="str">
            <v>@tokyu-tlcm.co.jp</v>
          </cell>
          <cell r="E145">
            <v>2019</v>
          </cell>
          <cell r="F145" t="str">
            <v>M0298</v>
          </cell>
        </row>
        <row r="146">
          <cell r="D146" t="str">
            <v>@ezland.vn</v>
          </cell>
          <cell r="E146">
            <v>2019</v>
          </cell>
          <cell r="F146" t="str">
            <v>M0278</v>
          </cell>
        </row>
        <row r="147">
          <cell r="D147" t="str">
            <v>@ispt.net.au</v>
          </cell>
          <cell r="E147">
            <v>2019</v>
          </cell>
          <cell r="F147" t="str">
            <v>M0269</v>
          </cell>
        </row>
        <row r="148">
          <cell r="D148" t="str">
            <v>@starcrestcap.com</v>
          </cell>
          <cell r="E148">
            <v>2019</v>
          </cell>
          <cell r="F148" t="str">
            <v>M0255</v>
          </cell>
        </row>
        <row r="149">
          <cell r="D149" t="str">
            <v>@mapletree.com.sg</v>
          </cell>
          <cell r="E149">
            <v>2019</v>
          </cell>
          <cell r="F149" t="str">
            <v>M0180</v>
          </cell>
        </row>
        <row r="150">
          <cell r="D150" t="str">
            <v>@fortius.com.au</v>
          </cell>
          <cell r="E150">
            <v>2019</v>
          </cell>
          <cell r="F150" t="str">
            <v>N0281</v>
          </cell>
        </row>
        <row r="151">
          <cell r="D151" t="str">
            <v>@proprium.com</v>
          </cell>
          <cell r="E151">
            <v>2018</v>
          </cell>
          <cell r="F151" t="str">
            <v>M0201</v>
          </cell>
        </row>
        <row r="152">
          <cell r="D152" t="str">
            <v>@tokyu-tlcm.co.jp</v>
          </cell>
          <cell r="E152">
            <v>2018</v>
          </cell>
          <cell r="F152" t="str">
            <v>M0298</v>
          </cell>
        </row>
        <row r="153">
          <cell r="D153" t="str">
            <v>@kailongrei.com</v>
          </cell>
          <cell r="E153">
            <v>2018</v>
          </cell>
          <cell r="F153" t="str">
            <v>M0226</v>
          </cell>
        </row>
        <row r="154">
          <cell r="D154" t="str">
            <v>@eg.com.au</v>
          </cell>
          <cell r="E154">
            <v>2018</v>
          </cell>
          <cell r="F154" t="str">
            <v>M0249</v>
          </cell>
        </row>
        <row r="155">
          <cell r="D155" t="str">
            <v>@tr.mufg.jp</v>
          </cell>
          <cell r="E155">
            <v>2018</v>
          </cell>
          <cell r="F155" t="str">
            <v>M0232</v>
          </cell>
        </row>
        <row r="156">
          <cell r="D156" t="str">
            <v>@creditease.hk</v>
          </cell>
          <cell r="E156">
            <v>2018</v>
          </cell>
          <cell r="F156" t="str">
            <v>N0278</v>
          </cell>
        </row>
        <row r="157">
          <cell r="D157" t="str">
            <v>@kenedix.com</v>
          </cell>
          <cell r="E157">
            <v>2018</v>
          </cell>
          <cell r="F157" t="str">
            <v>M0230</v>
          </cell>
        </row>
        <row r="158">
          <cell r="D158" t="str">
            <v>@pamfleet.com</v>
          </cell>
          <cell r="E158">
            <v>2018</v>
          </cell>
          <cell r="F158" t="str">
            <v>M0125</v>
          </cell>
        </row>
        <row r="159">
          <cell r="D159" t="str">
            <v>@chelsfield.com</v>
          </cell>
          <cell r="E159">
            <v>2018</v>
          </cell>
          <cell r="F159" t="str">
            <v>M03089</v>
          </cell>
        </row>
        <row r="160">
          <cell r="D160" t="str">
            <v>@mfia.co.jp</v>
          </cell>
          <cell r="E160">
            <v>2018</v>
          </cell>
          <cell r="F160" t="str">
            <v>M0177</v>
          </cell>
        </row>
        <row r="161">
          <cell r="D161" t="str">
            <v>@aventusproperty.com.au</v>
          </cell>
          <cell r="E161">
            <v>2018</v>
          </cell>
          <cell r="F161" t="str">
            <v>N0302</v>
          </cell>
        </row>
        <row r="162">
          <cell r="D162" t="str">
            <v>@aep-im.com</v>
          </cell>
          <cell r="E162">
            <v>2018</v>
          </cell>
          <cell r="F162" t="str">
            <v>M0291</v>
          </cell>
        </row>
        <row r="163">
          <cell r="D163" t="str">
            <v>@bpeasia.com</v>
          </cell>
          <cell r="E163">
            <v>2018</v>
          </cell>
          <cell r="F163" t="str">
            <v>M0149</v>
          </cell>
        </row>
        <row r="164">
          <cell r="D164" t="str">
            <v>@blackrock.com</v>
          </cell>
          <cell r="E164">
            <v>2018</v>
          </cell>
          <cell r="F164" t="str">
            <v>M181</v>
          </cell>
        </row>
        <row r="165">
          <cell r="D165" t="str">
            <v>@sg.esr.com</v>
          </cell>
          <cell r="E165">
            <v>2018</v>
          </cell>
          <cell r="F165" t="str">
            <v>M0231</v>
          </cell>
        </row>
        <row r="166">
          <cell r="D166" t="str">
            <v>@blackstone.com</v>
          </cell>
          <cell r="E166">
            <v>2018</v>
          </cell>
          <cell r="F166" t="str">
            <v>M178</v>
          </cell>
        </row>
        <row r="167">
          <cell r="D167" t="str">
            <v>@igisam.com</v>
          </cell>
          <cell r="E167">
            <v>2018</v>
          </cell>
          <cell r="F167" t="str">
            <v>M0333</v>
          </cell>
        </row>
        <row r="168">
          <cell r="D168" t="str">
            <v>@cromwell.com.au</v>
          </cell>
          <cell r="E168">
            <v>2018</v>
          </cell>
          <cell r="F168" t="str">
            <v>M126</v>
          </cell>
        </row>
        <row r="169">
          <cell r="D169" t="str">
            <v>@glprop.com</v>
          </cell>
          <cell r="E169">
            <v>2018</v>
          </cell>
          <cell r="F169" t="str">
            <v>M0144</v>
          </cell>
        </row>
        <row r="170">
          <cell r="D170" t="str">
            <v>@pgim.com</v>
          </cell>
          <cell r="E170">
            <v>2018</v>
          </cell>
          <cell r="F170" t="str">
            <v>M042</v>
          </cell>
        </row>
        <row r="171">
          <cell r="D171" t="str">
            <v>@nipponrescap.com</v>
          </cell>
          <cell r="E171">
            <v>2018</v>
          </cell>
          <cell r="F171" t="str">
            <v>N0304</v>
          </cell>
        </row>
        <row r="172">
          <cell r="D172" t="str">
            <v>@vicinity.com.au</v>
          </cell>
          <cell r="E172">
            <v>2018</v>
          </cell>
          <cell r="F172" t="str">
            <v>N0298</v>
          </cell>
        </row>
        <row r="173">
          <cell r="D173" t="str">
            <v>@alphaipartners.com&gt;</v>
          </cell>
          <cell r="E173">
            <v>2018</v>
          </cell>
          <cell r="F173" t="str">
            <v>M0106</v>
          </cell>
        </row>
        <row r="174">
          <cell r="D174" t="str">
            <v>@gpt.com.au</v>
          </cell>
          <cell r="E174">
            <v>2018</v>
          </cell>
          <cell r="F174" t="str">
            <v>M0075</v>
          </cell>
        </row>
        <row r="175">
          <cell r="D175" t="str">
            <v>@capitaland.com</v>
          </cell>
          <cell r="E175">
            <v>2018</v>
          </cell>
          <cell r="F175" t="str">
            <v>M0091</v>
          </cell>
        </row>
        <row r="176">
          <cell r="D176" t="str">
            <v>@dexus.com</v>
          </cell>
          <cell r="E176">
            <v>2018</v>
          </cell>
          <cell r="F176" t="str">
            <v>M0090</v>
          </cell>
        </row>
        <row r="177">
          <cell r="D177" t="str">
            <v>@citiccapital.com</v>
          </cell>
          <cell r="E177">
            <v>2018</v>
          </cell>
          <cell r="F177" t="str">
            <v>M0107</v>
          </cell>
        </row>
        <row r="178">
          <cell r="D178" t="str">
            <v>@ezland.vn</v>
          </cell>
          <cell r="E178">
            <v>2018</v>
          </cell>
          <cell r="F178" t="str">
            <v>M0278</v>
          </cell>
        </row>
        <row r="179">
          <cell r="D179" t="str">
            <v>@macquarie.com</v>
          </cell>
          <cell r="E179">
            <v>2018</v>
          </cell>
          <cell r="F179" t="str">
            <v>M766</v>
          </cell>
        </row>
        <row r="180">
          <cell r="D180" t="str">
            <v>@orionpartners.com</v>
          </cell>
          <cell r="E180">
            <v>2018</v>
          </cell>
          <cell r="F180" t="str">
            <v>M0035</v>
          </cell>
        </row>
        <row r="181">
          <cell r="D181" t="str">
            <v>@piramal.com</v>
          </cell>
          <cell r="E181">
            <v>2018</v>
          </cell>
          <cell r="F181" t="str">
            <v>N0292</v>
          </cell>
        </row>
        <row r="182">
          <cell r="D182" t="str">
            <v>@wprei.com</v>
          </cell>
          <cell r="E182">
            <v>2018</v>
          </cell>
          <cell r="F182" t="str">
            <v>M0128</v>
          </cell>
        </row>
        <row r="183">
          <cell r="D183" t="str">
            <v>@archcapital.net</v>
          </cell>
          <cell r="E183">
            <v>2018</v>
          </cell>
          <cell r="F183" t="str">
            <v>M421</v>
          </cell>
        </row>
        <row r="184">
          <cell r="D184" t="str">
            <v>@investa.com.au</v>
          </cell>
          <cell r="E184">
            <v>2018</v>
          </cell>
          <cell r="F184" t="str">
            <v>M0077</v>
          </cell>
        </row>
        <row r="185">
          <cell r="D185" t="str">
            <v>@sevenseas-adv.com</v>
          </cell>
          <cell r="E185">
            <v>2018</v>
          </cell>
          <cell r="F185" t="str">
            <v>M0235</v>
          </cell>
        </row>
        <row r="186">
          <cell r="D186" t="str">
            <v>@ispt.net.au</v>
          </cell>
          <cell r="E186">
            <v>2018</v>
          </cell>
          <cell r="F186" t="str">
            <v>M0269</v>
          </cell>
        </row>
        <row r="187">
          <cell r="D187" t="str">
            <v>@ascendas.com</v>
          </cell>
          <cell r="E187">
            <v>2018</v>
          </cell>
          <cell r="F187" t="str">
            <v>M0189</v>
          </cell>
        </row>
        <row r="188">
          <cell r="D188" t="str">
            <v>@tt-ia.com</v>
          </cell>
          <cell r="E188">
            <v>2018</v>
          </cell>
          <cell r="F188" t="str">
            <v>M0239</v>
          </cell>
        </row>
        <row r="189">
          <cell r="D189" t="str">
            <v>@silkroadpp.com</v>
          </cell>
          <cell r="E189">
            <v>2018</v>
          </cell>
          <cell r="F189" t="str">
            <v>M0182</v>
          </cell>
        </row>
        <row r="190">
          <cell r="D190" t="str">
            <v>@mapletree.com.sg</v>
          </cell>
          <cell r="E190">
            <v>2018</v>
          </cell>
          <cell r="F190" t="str">
            <v>M0180</v>
          </cell>
        </row>
        <row r="191">
          <cell r="D191" t="str">
            <v>@pagasia.com</v>
          </cell>
          <cell r="E191">
            <v>2018</v>
          </cell>
          <cell r="F191" t="str">
            <v>M0137</v>
          </cell>
        </row>
        <row r="192">
          <cell r="D192" t="str">
            <v>@charterhall.com.au</v>
          </cell>
          <cell r="E192">
            <v>2018</v>
          </cell>
          <cell r="F192" t="str">
            <v>M03232</v>
          </cell>
        </row>
        <row r="193">
          <cell r="D193" t="str">
            <v>@citysquarerei.com</v>
          </cell>
          <cell r="E193">
            <v>2018</v>
          </cell>
          <cell r="F193" t="str">
            <v>M0279</v>
          </cell>
        </row>
        <row r="194">
          <cell r="D194" t="str">
            <v>@propertylink.com.au'</v>
          </cell>
          <cell r="E194">
            <v>2018</v>
          </cell>
          <cell r="F194" t="str">
            <v>M0220</v>
          </cell>
        </row>
        <row r="195">
          <cell r="D195" t="str">
            <v>@mc-dream.com</v>
          </cell>
          <cell r="E195">
            <v>2018</v>
          </cell>
          <cell r="F195" t="str">
            <v>M0007</v>
          </cell>
        </row>
        <row r="196">
          <cell r="D196" t="str">
            <v>@dynasty-investments.com</v>
          </cell>
          <cell r="E196">
            <v>2018</v>
          </cell>
          <cell r="F196" t="str">
            <v>M0278</v>
          </cell>
        </row>
        <row r="197">
          <cell r="D197" t="str">
            <v>@ampcapital.com</v>
          </cell>
          <cell r="E197">
            <v>2018</v>
          </cell>
          <cell r="F197" t="str">
            <v>M0082</v>
          </cell>
        </row>
        <row r="198">
          <cell r="D198" t="str">
            <v>@clsa.com</v>
          </cell>
          <cell r="E198">
            <v>2018</v>
          </cell>
          <cell r="F198" t="str">
            <v>M0309</v>
          </cell>
        </row>
        <row r="199">
          <cell r="D199" t="str">
            <v>@silkroadpp.com</v>
          </cell>
          <cell r="E199">
            <v>2017</v>
          </cell>
          <cell r="F199" t="str">
            <v>M0182</v>
          </cell>
        </row>
        <row r="200">
          <cell r="D200" t="str">
            <v>@heitman.com</v>
          </cell>
          <cell r="E200">
            <v>2017</v>
          </cell>
          <cell r="F200" t="str">
            <v>M107</v>
          </cell>
        </row>
        <row r="201">
          <cell r="D201" t="str">
            <v>@bpeasia.com</v>
          </cell>
          <cell r="E201">
            <v>2017</v>
          </cell>
          <cell r="F201" t="str">
            <v>M0149</v>
          </cell>
        </row>
        <row r="202">
          <cell r="D202" t="str">
            <v>@charterhall.com.au</v>
          </cell>
          <cell r="E202">
            <v>2017</v>
          </cell>
          <cell r="F202" t="str">
            <v>M03232</v>
          </cell>
        </row>
        <row r="203">
          <cell r="D203" t="str">
            <v>@igisam.com</v>
          </cell>
          <cell r="E203">
            <v>2017</v>
          </cell>
          <cell r="F203" t="str">
            <v>M0333</v>
          </cell>
        </row>
        <row r="204">
          <cell r="D204" t="str">
            <v>@redwoodgroup.com</v>
          </cell>
          <cell r="E204">
            <v>2017</v>
          </cell>
          <cell r="F204" t="str">
            <v>M0231</v>
          </cell>
        </row>
        <row r="205">
          <cell r="D205" t="str">
            <v>@pagasia.com</v>
          </cell>
          <cell r="E205">
            <v>2017</v>
          </cell>
          <cell r="F205" t="str">
            <v>M0137</v>
          </cell>
        </row>
        <row r="206">
          <cell r="D206" t="str">
            <v>@macquarie.com</v>
          </cell>
          <cell r="E206">
            <v>2017</v>
          </cell>
          <cell r="F206" t="str">
            <v>M766</v>
          </cell>
        </row>
        <row r="207">
          <cell r="D207" t="str">
            <v>@jpmorgan.com</v>
          </cell>
          <cell r="E207">
            <v>2017</v>
          </cell>
          <cell r="F207" t="str">
            <v>M082</v>
          </cell>
        </row>
        <row r="208">
          <cell r="D208" t="str">
            <v>@kailongrei.com</v>
          </cell>
          <cell r="E208">
            <v>2017</v>
          </cell>
          <cell r="F208" t="str">
            <v>M0226</v>
          </cell>
        </row>
        <row r="209">
          <cell r="D209" t="str">
            <v>@recapinvestments.com</v>
          </cell>
          <cell r="E209">
            <v>2017</v>
          </cell>
          <cell r="F209" t="str">
            <v>M0159</v>
          </cell>
        </row>
        <row r="210">
          <cell r="D210" t="str">
            <v>@dexus.com</v>
          </cell>
          <cell r="E210">
            <v>2017</v>
          </cell>
          <cell r="F210" t="str">
            <v>M0090</v>
          </cell>
        </row>
        <row r="211">
          <cell r="D211" t="str">
            <v>@archcapital.net</v>
          </cell>
          <cell r="E211">
            <v>2017</v>
          </cell>
          <cell r="F211" t="str">
            <v>M421</v>
          </cell>
        </row>
        <row r="212">
          <cell r="D212" t="str">
            <v>@ascendas-singbridge.com</v>
          </cell>
          <cell r="E212">
            <v>2017</v>
          </cell>
          <cell r="F212" t="str">
            <v>M0189</v>
          </cell>
        </row>
        <row r="213">
          <cell r="D213" t="str">
            <v>@mapletree.com.sg</v>
          </cell>
          <cell r="E213">
            <v>2017</v>
          </cell>
          <cell r="F213" t="str">
            <v>M0180</v>
          </cell>
        </row>
        <row r="214">
          <cell r="D214" t="str">
            <v>@kepcapital.com</v>
          </cell>
          <cell r="E214">
            <v>2017</v>
          </cell>
          <cell r="F214" t="str">
            <v>M0106</v>
          </cell>
        </row>
        <row r="215">
          <cell r="D215" t="str">
            <v>@angelogordon.com</v>
          </cell>
          <cell r="E215">
            <v>2017</v>
          </cell>
          <cell r="F215" t="str">
            <v>M0001</v>
          </cell>
        </row>
        <row r="216">
          <cell r="D216" t="str">
            <v>@ampcapital.com</v>
          </cell>
          <cell r="E216">
            <v>2017</v>
          </cell>
          <cell r="F216" t="str">
            <v>M0082</v>
          </cell>
        </row>
        <row r="217">
          <cell r="D217" t="str">
            <v>@investa.com.au</v>
          </cell>
          <cell r="E217">
            <v>2017</v>
          </cell>
          <cell r="F217" t="str">
            <v>M0077</v>
          </cell>
        </row>
        <row r="218">
          <cell r="D218" t="str">
            <v>@gawcapital.com</v>
          </cell>
          <cell r="E218">
            <v>2017</v>
          </cell>
          <cell r="F218" t="str">
            <v>M0186</v>
          </cell>
        </row>
        <row r="219">
          <cell r="D219" t="str">
            <v>@goodman.com</v>
          </cell>
          <cell r="E219">
            <v>2017</v>
          </cell>
          <cell r="F219" t="str">
            <v>M065</v>
          </cell>
        </row>
        <row r="220">
          <cell r="D220" t="str">
            <v xml:space="preserve">@clsa.com   </v>
          </cell>
          <cell r="E220">
            <v>2017</v>
          </cell>
          <cell r="F220" t="str">
            <v>M0309</v>
          </cell>
        </row>
        <row r="221">
          <cell r="D221" t="str">
            <v>@glprop.com</v>
          </cell>
          <cell r="E221">
            <v>2017</v>
          </cell>
          <cell r="F221" t="str">
            <v>M0144</v>
          </cell>
        </row>
        <row r="222">
          <cell r="D222" t="str">
            <v>@valad.co.uk</v>
          </cell>
          <cell r="E222">
            <v>2017</v>
          </cell>
          <cell r="F222" t="str">
            <v>M0267</v>
          </cell>
        </row>
        <row r="223">
          <cell r="D223" t="str">
            <v>@tt-ia.com</v>
          </cell>
          <cell r="E223">
            <v>2017</v>
          </cell>
          <cell r="F223" t="str">
            <v>M0239</v>
          </cell>
        </row>
        <row r="224">
          <cell r="D224" t="str">
            <v>@gpt.com.au</v>
          </cell>
          <cell r="E224">
            <v>2017</v>
          </cell>
          <cell r="F224" t="str">
            <v>M0075</v>
          </cell>
        </row>
        <row r="225">
          <cell r="D225" t="str">
            <v>@chlesfield.com</v>
          </cell>
          <cell r="E225">
            <v>2017</v>
          </cell>
          <cell r="F225" t="str">
            <v>M0271</v>
          </cell>
        </row>
        <row r="226">
          <cell r="D226" t="str">
            <v>@invesco.com</v>
          </cell>
          <cell r="E226">
            <v>2017</v>
          </cell>
          <cell r="F226" t="str">
            <v>M114</v>
          </cell>
        </row>
        <row r="227">
          <cell r="D227" t="str">
            <v>@morganstanley.com</v>
          </cell>
          <cell r="E227">
            <v>2017</v>
          </cell>
          <cell r="F227" t="str">
            <v>M0045</v>
          </cell>
        </row>
        <row r="228">
          <cell r="D228" t="str">
            <v xml:space="preserve">@citiccapital.com </v>
          </cell>
          <cell r="E228">
            <v>2017</v>
          </cell>
          <cell r="F228" t="str">
            <v>M0107</v>
          </cell>
        </row>
        <row r="229">
          <cell r="D229" t="str">
            <v>@ara.com.hk</v>
          </cell>
          <cell r="E229">
            <v>2017</v>
          </cell>
          <cell r="F229" t="str">
            <v>M0222</v>
          </cell>
        </row>
        <row r="230">
          <cell r="D230" t="str">
            <v>@gmail.com</v>
          </cell>
          <cell r="E230">
            <v>2017</v>
          </cell>
          <cell r="F230" t="str">
            <v>M03210</v>
          </cell>
        </row>
        <row r="231">
          <cell r="D231" t="str">
            <v>@piramal.com</v>
          </cell>
          <cell r="E231">
            <v>2017</v>
          </cell>
          <cell r="F231" t="str">
            <v>N0292</v>
          </cell>
        </row>
        <row r="232">
          <cell r="D232" t="str">
            <v>@lendlease.com</v>
          </cell>
          <cell r="E232">
            <v>2017</v>
          </cell>
          <cell r="F232" t="str">
            <v>M243</v>
          </cell>
        </row>
        <row r="233">
          <cell r="D233" t="str">
            <v>@idera-capital.com</v>
          </cell>
          <cell r="E233">
            <v>2017</v>
          </cell>
          <cell r="F233" t="str">
            <v>M0124</v>
          </cell>
        </row>
        <row r="234">
          <cell r="D234" t="str">
            <v>@orionpartners.com</v>
          </cell>
          <cell r="E234">
            <v>2017</v>
          </cell>
          <cell r="F234" t="str">
            <v>M0035</v>
          </cell>
        </row>
        <row r="235">
          <cell r="D235" t="str">
            <v>@propertylink.com.au</v>
          </cell>
          <cell r="E235">
            <v>2017</v>
          </cell>
          <cell r="F235" t="str">
            <v>M0220</v>
          </cell>
        </row>
        <row r="236">
          <cell r="D236" t="str">
            <v>@ispt.net.au</v>
          </cell>
          <cell r="E236">
            <v>2017</v>
          </cell>
          <cell r="F236" t="str">
            <v>M0269</v>
          </cell>
        </row>
        <row r="237">
          <cell r="D237" t="str">
            <v>@blackrock.com</v>
          </cell>
          <cell r="E237">
            <v>2017</v>
          </cell>
          <cell r="F237" t="str">
            <v>M181</v>
          </cell>
        </row>
        <row r="238">
          <cell r="D238" t="str">
            <v>@capitaland.com</v>
          </cell>
          <cell r="E238">
            <v>2017</v>
          </cell>
          <cell r="F238" t="str">
            <v>M0091</v>
          </cell>
        </row>
        <row r="239">
          <cell r="D239" t="str">
            <v>@eg.com.au</v>
          </cell>
          <cell r="E239">
            <v>2017</v>
          </cell>
          <cell r="F239" t="str">
            <v>M0249</v>
          </cell>
        </row>
        <row r="240">
          <cell r="D240" t="str">
            <v>@mc-dream.com</v>
          </cell>
          <cell r="E240">
            <v>2017</v>
          </cell>
          <cell r="F240" t="str">
            <v>M0007</v>
          </cell>
        </row>
        <row r="241">
          <cell r="D241" t="str">
            <v>@sevenseas-adv.com</v>
          </cell>
          <cell r="E241">
            <v>2017</v>
          </cell>
          <cell r="F241" t="str">
            <v>M0235</v>
          </cell>
        </row>
        <row r="242">
          <cell r="D242" t="str">
            <v>@wprei.com</v>
          </cell>
          <cell r="E242">
            <v>2017</v>
          </cell>
          <cell r="F242" t="str">
            <v>M0128</v>
          </cell>
        </row>
        <row r="243">
          <cell r="D243" t="str">
            <v>@kenedix.com</v>
          </cell>
          <cell r="E243">
            <v>2017</v>
          </cell>
          <cell r="F243" t="str">
            <v>M0230</v>
          </cell>
        </row>
        <row r="244">
          <cell r="D244" t="str">
            <v>@ilfsindia.com</v>
          </cell>
          <cell r="E244">
            <v>2017</v>
          </cell>
          <cell r="F244" t="str">
            <v>M0258</v>
          </cell>
        </row>
        <row r="245">
          <cell r="D245" t="str">
            <v>@sg.fifecapital.com</v>
          </cell>
          <cell r="E245">
            <v>2017</v>
          </cell>
          <cell r="F245" t="str">
            <v>N0280</v>
          </cell>
        </row>
        <row r="246">
          <cell r="D246" t="str">
            <v>@aep-im.com</v>
          </cell>
          <cell r="E246">
            <v>2017</v>
          </cell>
          <cell r="F246" t="str">
            <v>M0291</v>
          </cell>
        </row>
        <row r="247">
          <cell r="D247" t="str">
            <v>@pamfleet.com</v>
          </cell>
          <cell r="E247">
            <v>2017</v>
          </cell>
          <cell r="F247" t="str">
            <v>M0125</v>
          </cell>
        </row>
        <row r="248">
          <cell r="D248" t="str">
            <v>@aep-im.com</v>
          </cell>
          <cell r="E248">
            <v>2016</v>
          </cell>
          <cell r="F248" t="str">
            <v>M0291</v>
          </cell>
        </row>
        <row r="249">
          <cell r="D249" t="str">
            <v>@igisam.com</v>
          </cell>
          <cell r="E249">
            <v>2016</v>
          </cell>
          <cell r="F249" t="str">
            <v>M0333</v>
          </cell>
        </row>
        <row r="250">
          <cell r="D250" t="str">
            <v>@capitaland.com</v>
          </cell>
          <cell r="E250">
            <v>2016</v>
          </cell>
          <cell r="F250" t="str">
            <v>M0091</v>
          </cell>
        </row>
        <row r="251">
          <cell r="D251" t="str">
            <v>@dynasty-investments.com</v>
          </cell>
          <cell r="E251">
            <v>2016</v>
          </cell>
          <cell r="F251" t="str">
            <v>M0278</v>
          </cell>
        </row>
        <row r="252">
          <cell r="D252" t="str">
            <v>@kenedix.com</v>
          </cell>
          <cell r="E252">
            <v>2016</v>
          </cell>
          <cell r="F252" t="str">
            <v>M0230</v>
          </cell>
        </row>
        <row r="253">
          <cell r="D253" t="str">
            <v>@tt-ia.com</v>
          </cell>
          <cell r="E253">
            <v>2016</v>
          </cell>
          <cell r="F253" t="str">
            <v>M0239</v>
          </cell>
        </row>
        <row r="254">
          <cell r="D254" t="str">
            <v>@dexus.com</v>
          </cell>
          <cell r="E254">
            <v>2016</v>
          </cell>
          <cell r="F254" t="str">
            <v>M0090</v>
          </cell>
        </row>
        <row r="255">
          <cell r="D255" t="str">
            <v>@mc-dream.com</v>
          </cell>
          <cell r="E255">
            <v>2016</v>
          </cell>
          <cell r="F255" t="str">
            <v>M0007</v>
          </cell>
        </row>
        <row r="256">
          <cell r="D256" t="str">
            <v>@tr.mufg.jp</v>
          </cell>
          <cell r="E256">
            <v>2016</v>
          </cell>
          <cell r="F256" t="str">
            <v>M0232</v>
          </cell>
        </row>
        <row r="257">
          <cell r="D257" t="str">
            <v>@mandg.com</v>
          </cell>
          <cell r="E257">
            <v>2016</v>
          </cell>
          <cell r="F257" t="str">
            <v>M010</v>
          </cell>
        </row>
        <row r="258">
          <cell r="D258" t="str">
            <v>@ascendas.com</v>
          </cell>
          <cell r="E258">
            <v>2016</v>
          </cell>
          <cell r="F258" t="str">
            <v>M0189</v>
          </cell>
        </row>
        <row r="259">
          <cell r="D259" t="str">
            <v>@challenger.com.au</v>
          </cell>
          <cell r="E259">
            <v>2016</v>
          </cell>
          <cell r="F259" t="str">
            <v>M0224</v>
          </cell>
        </row>
        <row r="260">
          <cell r="D260" t="str">
            <v>@gpt.com.ay</v>
          </cell>
          <cell r="E260">
            <v>2016</v>
          </cell>
          <cell r="F260" t="str">
            <v>M0075</v>
          </cell>
        </row>
        <row r="261">
          <cell r="D261" t="str">
            <v>@wprei.com</v>
          </cell>
          <cell r="E261">
            <v>2016</v>
          </cell>
          <cell r="F261" t="str">
            <v>M0128</v>
          </cell>
        </row>
        <row r="262">
          <cell r="D262" t="str">
            <v>@silkroadpp.com</v>
          </cell>
          <cell r="E262">
            <v>2016</v>
          </cell>
          <cell r="F262" t="str">
            <v>M0182</v>
          </cell>
        </row>
        <row r="263">
          <cell r="D263" t="str">
            <v>@alphaipartners.com</v>
          </cell>
          <cell r="E263">
            <v>2016</v>
          </cell>
          <cell r="F263" t="str">
            <v>M0106</v>
          </cell>
        </row>
        <row r="264">
          <cell r="D264" t="str">
            <v>@maxcapgroup.com.au</v>
          </cell>
          <cell r="E264">
            <v>2016</v>
          </cell>
          <cell r="F264" t="str">
            <v>M0263</v>
          </cell>
        </row>
        <row r="265">
          <cell r="D265" t="str">
            <v>@citiccapital.com</v>
          </cell>
          <cell r="E265">
            <v>2016</v>
          </cell>
          <cell r="F265" t="str">
            <v>M0107</v>
          </cell>
        </row>
        <row r="266">
          <cell r="D266" t="str">
            <v>@dymonasia.com</v>
          </cell>
          <cell r="E266">
            <v>2016</v>
          </cell>
          <cell r="F266" t="str">
            <v>N0303</v>
          </cell>
        </row>
        <row r="267">
          <cell r="D267" t="str">
            <v>@orionpartners.com</v>
          </cell>
          <cell r="E267">
            <v>2016</v>
          </cell>
          <cell r="F267" t="str">
            <v>M0035</v>
          </cell>
        </row>
        <row r="268">
          <cell r="D268" t="str">
            <v>@archcapital.net</v>
          </cell>
          <cell r="E268">
            <v>2016</v>
          </cell>
          <cell r="F268" t="str">
            <v>M421</v>
          </cell>
        </row>
        <row r="269">
          <cell r="D269" t="str">
            <v>@quadrantrea.com</v>
          </cell>
          <cell r="E269">
            <v>2016</v>
          </cell>
          <cell r="F269" t="str">
            <v>M0158</v>
          </cell>
        </row>
        <row r="270">
          <cell r="D270" t="str">
            <v>@pagasia.com</v>
          </cell>
          <cell r="E270">
            <v>2016</v>
          </cell>
          <cell r="F270" t="str">
            <v>M0137</v>
          </cell>
        </row>
        <row r="271">
          <cell r="D271" t="str">
            <v>@tokiomarine-pim.com</v>
          </cell>
          <cell r="E271">
            <v>2016</v>
          </cell>
          <cell r="F271" t="str">
            <v>N0247</v>
          </cell>
        </row>
        <row r="272">
          <cell r="D272" t="str">
            <v>@citysquarerei.com</v>
          </cell>
          <cell r="E272">
            <v>2016</v>
          </cell>
          <cell r="F272" t="str">
            <v>M0279</v>
          </cell>
        </row>
        <row r="273">
          <cell r="D273" t="str">
            <v>@ampcapital.com</v>
          </cell>
          <cell r="E273">
            <v>2016</v>
          </cell>
          <cell r="F273" t="str">
            <v>M0082</v>
          </cell>
        </row>
        <row r="274">
          <cell r="D274" t="str">
            <v>@ara.com.hk</v>
          </cell>
          <cell r="E274">
            <v>2016</v>
          </cell>
          <cell r="F274" t="str">
            <v>M0222</v>
          </cell>
        </row>
        <row r="275">
          <cell r="D275" t="str">
            <v>@eg.com.au</v>
          </cell>
          <cell r="E275">
            <v>2016</v>
          </cell>
          <cell r="F275" t="str">
            <v>M0249</v>
          </cell>
        </row>
        <row r="276">
          <cell r="D276" t="str">
            <v>@ispt.net.au</v>
          </cell>
          <cell r="E276">
            <v>2016</v>
          </cell>
          <cell r="F276" t="str">
            <v>M0269</v>
          </cell>
        </row>
        <row r="277">
          <cell r="D277" t="str">
            <v>@propertylink.com.au</v>
          </cell>
          <cell r="E277">
            <v>2016</v>
          </cell>
          <cell r="F277" t="str">
            <v>M0220</v>
          </cell>
        </row>
        <row r="278">
          <cell r="D278" t="str">
            <v>@mapletree.com.sg</v>
          </cell>
          <cell r="E278">
            <v>2016</v>
          </cell>
          <cell r="F278" t="str">
            <v>M0180</v>
          </cell>
        </row>
        <row r="279">
          <cell r="D279" t="str">
            <v>@ask-capital.com</v>
          </cell>
          <cell r="E279">
            <v>2016</v>
          </cell>
          <cell r="F279" t="str">
            <v>N0301</v>
          </cell>
        </row>
        <row r="280">
          <cell r="D280" t="str">
            <v>@nomura-re.co.jp</v>
          </cell>
          <cell r="E280">
            <v>2016</v>
          </cell>
          <cell r="F280" t="str">
            <v>N0290</v>
          </cell>
        </row>
        <row r="281">
          <cell r="D281" t="str">
            <v>@piramal.com</v>
          </cell>
          <cell r="E281">
            <v>2016</v>
          </cell>
          <cell r="F281" t="str">
            <v>N0292</v>
          </cell>
        </row>
        <row r="282">
          <cell r="D282" t="e">
            <v>#VALUE!</v>
          </cell>
          <cell r="E282">
            <v>2016</v>
          </cell>
          <cell r="F282" t="str">
            <v>N0174</v>
          </cell>
        </row>
        <row r="283">
          <cell r="D283" t="str">
            <v>@charterhall.com.au</v>
          </cell>
          <cell r="E283">
            <v>2016</v>
          </cell>
          <cell r="F283" t="str">
            <v>M03232</v>
          </cell>
        </row>
        <row r="284">
          <cell r="D284" t="str">
            <v>@ilfsindia.com</v>
          </cell>
          <cell r="E284">
            <v>2016</v>
          </cell>
          <cell r="F284" t="str">
            <v>M0258</v>
          </cell>
        </row>
        <row r="285">
          <cell r="D285" t="str">
            <v>@recapinvestments.com</v>
          </cell>
          <cell r="E285">
            <v>2016</v>
          </cell>
          <cell r="F285" t="str">
            <v>M0159</v>
          </cell>
        </row>
        <row r="286">
          <cell r="D286" t="str">
            <v>@mcasset.com</v>
          </cell>
          <cell r="E286">
            <v>2016</v>
          </cell>
          <cell r="F286" t="str">
            <v>N0288</v>
          </cell>
        </row>
        <row r="287">
          <cell r="D287" t="str">
            <v>@CREDITEASE.HK</v>
          </cell>
          <cell r="E287">
            <v>2016</v>
          </cell>
          <cell r="F287" t="str">
            <v>N0278</v>
          </cell>
        </row>
        <row r="288">
          <cell r="D288" t="str">
            <v>@vinacapital.com</v>
          </cell>
          <cell r="E288">
            <v>2016</v>
          </cell>
          <cell r="F288" t="str">
            <v>N0299</v>
          </cell>
        </row>
        <row r="289">
          <cell r="D289" t="str">
            <v>@kailongrei.com</v>
          </cell>
          <cell r="E289">
            <v>2016</v>
          </cell>
          <cell r="F289" t="str">
            <v>M0226</v>
          </cell>
        </row>
        <row r="290">
          <cell r="D290" t="str">
            <v>@pamfleet.com</v>
          </cell>
          <cell r="E290">
            <v>2016</v>
          </cell>
          <cell r="F290" t="str">
            <v>M0125</v>
          </cell>
        </row>
        <row r="291">
          <cell r="D291" t="str">
            <v>@lendlease.com</v>
          </cell>
          <cell r="E291">
            <v>2016</v>
          </cell>
          <cell r="F291" t="str">
            <v>M243</v>
          </cell>
        </row>
        <row r="292">
          <cell r="D292" t="str">
            <v>@investa.com.au</v>
          </cell>
          <cell r="E292">
            <v>2016</v>
          </cell>
          <cell r="F292" t="str">
            <v>M0077</v>
          </cell>
        </row>
        <row r="293">
          <cell r="D293" t="str">
            <v>@guidancefinancial.com</v>
          </cell>
          <cell r="E293">
            <v>2016</v>
          </cell>
          <cell r="F293" t="str">
            <v>M0216</v>
          </cell>
        </row>
        <row r="294">
          <cell r="D294" t="str">
            <v>@glprop.com</v>
          </cell>
          <cell r="E294">
            <v>2016</v>
          </cell>
          <cell r="F294" t="str">
            <v>M0144</v>
          </cell>
        </row>
        <row r="295">
          <cell r="D295" t="str">
            <v>@gawcapital.com</v>
          </cell>
          <cell r="E295">
            <v>2016</v>
          </cell>
          <cell r="F295" t="str">
            <v>M0186</v>
          </cell>
        </row>
        <row r="296">
          <cell r="D296" t="str">
            <v>@starcrestcap.com</v>
          </cell>
          <cell r="E296">
            <v>2016</v>
          </cell>
          <cell r="F296" t="str">
            <v>M0255</v>
          </cell>
        </row>
        <row r="297">
          <cell r="D297" t="str">
            <v>@redwoodgroup.com</v>
          </cell>
          <cell r="E297">
            <v>2016</v>
          </cell>
          <cell r="F297" t="str">
            <v>M0231</v>
          </cell>
        </row>
        <row r="298">
          <cell r="D298" t="str">
            <v>@farmopp.com</v>
          </cell>
          <cell r="E298">
            <v>2022</v>
          </cell>
          <cell r="F298" t="str">
            <v>NC001</v>
          </cell>
        </row>
        <row r="299">
          <cell r="D299" t="str">
            <v>@pacificurbaninvestors.com</v>
          </cell>
          <cell r="E299">
            <v>2022</v>
          </cell>
          <cell r="F299" t="str">
            <v>NC002</v>
          </cell>
        </row>
        <row r="300">
          <cell r="D300" t="str">
            <v>@jamestownlp.com</v>
          </cell>
          <cell r="E300">
            <v>2022</v>
          </cell>
          <cell r="F300" t="str">
            <v>M551</v>
          </cell>
        </row>
        <row r="301">
          <cell r="D301" t="str">
            <v>@sraco.com</v>
          </cell>
          <cell r="E301">
            <v>2022</v>
          </cell>
          <cell r="F301" t="str">
            <v>NC003</v>
          </cell>
        </row>
        <row r="302">
          <cell r="D302" t="str">
            <v>@barings.com</v>
          </cell>
          <cell r="E302">
            <v>2022</v>
          </cell>
          <cell r="F302" t="str">
            <v>M215</v>
          </cell>
        </row>
        <row r="303">
          <cell r="D303" t="str">
            <v>@ubs.com</v>
          </cell>
          <cell r="E303">
            <v>2022</v>
          </cell>
          <cell r="F303" t="str">
            <v>M064</v>
          </cell>
        </row>
        <row r="304">
          <cell r="D304" t="str">
            <v>@wheelockst.com</v>
          </cell>
          <cell r="E304">
            <v>2022</v>
          </cell>
          <cell r="F304" t="str">
            <v>NC004</v>
          </cell>
        </row>
        <row r="305">
          <cell r="D305" t="str">
            <v>@whirep.com</v>
          </cell>
          <cell r="E305">
            <v>2022</v>
          </cell>
          <cell r="F305" t="str">
            <v>NC005</v>
          </cell>
        </row>
        <row r="306">
          <cell r="D306" t="str">
            <v>@hartadvisers.com</v>
          </cell>
          <cell r="E306">
            <v>2022</v>
          </cell>
          <cell r="F306" t="str">
            <v>NC006</v>
          </cell>
        </row>
        <row r="307">
          <cell r="D307" t="str">
            <v>@bentallgreenoak.com</v>
          </cell>
          <cell r="E307">
            <v>2022</v>
          </cell>
          <cell r="F307" t="str">
            <v>M679</v>
          </cell>
        </row>
        <row r="308">
          <cell r="D308" t="str">
            <v>@sentinelcorp.com</v>
          </cell>
          <cell r="E308">
            <v>2022</v>
          </cell>
          <cell r="F308" t="str">
            <v>M473</v>
          </cell>
        </row>
        <row r="309">
          <cell r="D309" t="str">
            <v>@intercontinental.net</v>
          </cell>
          <cell r="E309">
            <v>2022</v>
          </cell>
          <cell r="F309" t="str">
            <v>NC007</v>
          </cell>
        </row>
        <row r="310">
          <cell r="D310" t="str">
            <v>@forestinvest.com</v>
          </cell>
          <cell r="E310">
            <v>2022</v>
          </cell>
          <cell r="F310" t="str">
            <v>NC008</v>
          </cell>
        </row>
        <row r="311">
          <cell r="D311" t="str">
            <v>@tarealty.com</v>
          </cell>
          <cell r="E311">
            <v>2022</v>
          </cell>
          <cell r="F311" t="str">
            <v>NC009</v>
          </cell>
        </row>
        <row r="312">
          <cell r="D312" t="str">
            <v>@everwest.com</v>
          </cell>
          <cell r="E312">
            <v>2021</v>
          </cell>
          <cell r="F312" t="str">
            <v>NC010</v>
          </cell>
        </row>
        <row r="313">
          <cell r="D313" t="str">
            <v>@intercontinental.net</v>
          </cell>
          <cell r="E313">
            <v>2021</v>
          </cell>
          <cell r="F313" t="str">
            <v>NC007</v>
          </cell>
        </row>
        <row r="314">
          <cell r="D314" t="str">
            <v>@farmopp.com</v>
          </cell>
          <cell r="E314">
            <v>2021</v>
          </cell>
          <cell r="F314" t="str">
            <v>NC001</v>
          </cell>
        </row>
        <row r="315">
          <cell r="D315" t="str">
            <v>@pgim.com</v>
          </cell>
          <cell r="E315">
            <v>2021</v>
          </cell>
          <cell r="F315" t="str">
            <v>M042</v>
          </cell>
        </row>
        <row r="316">
          <cell r="D316" t="str">
            <v>@prologis.com</v>
          </cell>
          <cell r="E316">
            <v>2021</v>
          </cell>
          <cell r="F316" t="str">
            <v>M024</v>
          </cell>
        </row>
        <row r="317">
          <cell r="D317" t="str">
            <v>@sentinelcorp.com</v>
          </cell>
          <cell r="E317">
            <v>2021</v>
          </cell>
          <cell r="F317" t="str">
            <v>M473</v>
          </cell>
        </row>
        <row r="318">
          <cell r="D318" t="str">
            <v>@jamestownlp.com</v>
          </cell>
          <cell r="E318">
            <v>2021</v>
          </cell>
          <cell r="F318" t="str">
            <v>M551</v>
          </cell>
        </row>
        <row r="319">
          <cell r="D319" t="str">
            <v>@tarealty.com</v>
          </cell>
          <cell r="E319">
            <v>2021</v>
          </cell>
          <cell r="F319" t="str">
            <v>NC009</v>
          </cell>
        </row>
        <row r="320">
          <cell r="D320" t="str">
            <v>@morganstanley.com</v>
          </cell>
          <cell r="E320">
            <v>2021</v>
          </cell>
          <cell r="F320" t="str">
            <v>M548</v>
          </cell>
        </row>
        <row r="321">
          <cell r="D321" t="str">
            <v>@aracapital.com</v>
          </cell>
          <cell r="E321">
            <v>2021</v>
          </cell>
          <cell r="F321" t="str">
            <v>NC011</v>
          </cell>
        </row>
        <row r="322">
          <cell r="D322" t="str">
            <v>@newportcapitalptrs.com</v>
          </cell>
          <cell r="E322">
            <v>2021</v>
          </cell>
          <cell r="F322" t="str">
            <v>NC012</v>
          </cell>
        </row>
        <row r="323">
          <cell r="D323" t="str">
            <v>@bluevistallc.com</v>
          </cell>
          <cell r="E323">
            <v>2021</v>
          </cell>
          <cell r="F323" t="str">
            <v>NC013</v>
          </cell>
        </row>
        <row r="324">
          <cell r="D324" t="str">
            <v>@metlife.com</v>
          </cell>
          <cell r="E324">
            <v>2021</v>
          </cell>
          <cell r="F324" t="str">
            <v>M03148</v>
          </cell>
        </row>
        <row r="325">
          <cell r="D325" t="str">
            <v>@barings.com</v>
          </cell>
          <cell r="E325">
            <v>2021</v>
          </cell>
          <cell r="F325" t="str">
            <v>M215</v>
          </cell>
        </row>
        <row r="326">
          <cell r="D326" t="str">
            <v>@waterton.com</v>
          </cell>
          <cell r="E326">
            <v>2021</v>
          </cell>
          <cell r="F326" t="str">
            <v>NC014</v>
          </cell>
        </row>
        <row r="327">
          <cell r="D327" t="str">
            <v>@resourcemgt.com</v>
          </cell>
          <cell r="E327">
            <v>2021</v>
          </cell>
          <cell r="F327" t="str">
            <v>NC015</v>
          </cell>
        </row>
        <row r="328">
          <cell r="D328" t="str">
            <v>@sraco.com</v>
          </cell>
          <cell r="E328">
            <v>2021</v>
          </cell>
          <cell r="F328" t="str">
            <v>NC003</v>
          </cell>
        </row>
        <row r="329">
          <cell r="D329" t="str">
            <v>@buzzoates.com</v>
          </cell>
          <cell r="E329">
            <v>2021</v>
          </cell>
          <cell r="F329" t="str">
            <v>NC016</v>
          </cell>
        </row>
        <row r="330">
          <cell r="D330" t="str">
            <v>@forestinvest.com</v>
          </cell>
          <cell r="E330">
            <v>2021</v>
          </cell>
          <cell r="F330" t="str">
            <v>NC008</v>
          </cell>
        </row>
        <row r="331">
          <cell r="D331" t="str">
            <v>@everwest.com</v>
          </cell>
          <cell r="E331">
            <v>2020</v>
          </cell>
          <cell r="F331" t="str">
            <v>NC010</v>
          </cell>
        </row>
        <row r="332">
          <cell r="D332" t="str">
            <v>@intercontinental.net</v>
          </cell>
          <cell r="E332">
            <v>2020</v>
          </cell>
          <cell r="F332" t="str">
            <v>NC007</v>
          </cell>
        </row>
        <row r="333">
          <cell r="D333" t="str">
            <v>@farmopp.com</v>
          </cell>
          <cell r="E333">
            <v>2020</v>
          </cell>
          <cell r="F333" t="str">
            <v>NC001</v>
          </cell>
        </row>
        <row r="334">
          <cell r="D334" t="str">
            <v>@pgim.com</v>
          </cell>
          <cell r="E334">
            <v>2020</v>
          </cell>
          <cell r="F334" t="str">
            <v>M042</v>
          </cell>
        </row>
        <row r="335">
          <cell r="D335" t="str">
            <v>@prologis.com</v>
          </cell>
          <cell r="E335">
            <v>2020</v>
          </cell>
          <cell r="F335" t="str">
            <v>M024</v>
          </cell>
        </row>
        <row r="336">
          <cell r="D336" t="str">
            <v>@sentinelcorp.com</v>
          </cell>
          <cell r="E336">
            <v>2020</v>
          </cell>
          <cell r="F336" t="str">
            <v>M473</v>
          </cell>
        </row>
        <row r="337">
          <cell r="D337" t="str">
            <v>@jamestownlp.com</v>
          </cell>
          <cell r="E337">
            <v>2020</v>
          </cell>
          <cell r="F337" t="str">
            <v>M551</v>
          </cell>
        </row>
        <row r="338">
          <cell r="D338" t="str">
            <v>@tarealty.com</v>
          </cell>
          <cell r="E338">
            <v>2020</v>
          </cell>
          <cell r="F338" t="str">
            <v>NC009</v>
          </cell>
        </row>
        <row r="339">
          <cell r="D339" t="str">
            <v>@morganstanley.com</v>
          </cell>
          <cell r="E339">
            <v>2020</v>
          </cell>
          <cell r="F339" t="str">
            <v>M548</v>
          </cell>
        </row>
        <row r="340">
          <cell r="D340" t="str">
            <v>@aracapital.com</v>
          </cell>
          <cell r="E340">
            <v>2020</v>
          </cell>
          <cell r="F340" t="str">
            <v>NC011</v>
          </cell>
        </row>
        <row r="341">
          <cell r="D341" t="str">
            <v>@newportcapitalptrs.com</v>
          </cell>
          <cell r="E341">
            <v>2020</v>
          </cell>
          <cell r="F341" t="str">
            <v>NC012</v>
          </cell>
        </row>
        <row r="342">
          <cell r="D342" t="str">
            <v>@bluevistallc.com</v>
          </cell>
          <cell r="E342">
            <v>2020</v>
          </cell>
          <cell r="F342" t="str">
            <v>NC013</v>
          </cell>
        </row>
        <row r="343">
          <cell r="D343" t="str">
            <v>@metlife.com</v>
          </cell>
          <cell r="E343">
            <v>2020</v>
          </cell>
          <cell r="F343" t="str">
            <v>M03148</v>
          </cell>
        </row>
        <row r="344">
          <cell r="D344" t="str">
            <v>@barings.com</v>
          </cell>
          <cell r="E344">
            <v>2020</v>
          </cell>
          <cell r="F344" t="str">
            <v>M215</v>
          </cell>
        </row>
        <row r="345">
          <cell r="D345" t="str">
            <v>@waterton.com</v>
          </cell>
          <cell r="E345">
            <v>2020</v>
          </cell>
          <cell r="F345" t="str">
            <v>NC014</v>
          </cell>
        </row>
        <row r="346">
          <cell r="D346" t="str">
            <v>@resourcemgt.com</v>
          </cell>
          <cell r="E346">
            <v>2020</v>
          </cell>
          <cell r="F346" t="str">
            <v>NC015</v>
          </cell>
        </row>
        <row r="347">
          <cell r="D347" t="str">
            <v>@sraco.com</v>
          </cell>
          <cell r="E347">
            <v>2020</v>
          </cell>
          <cell r="F347" t="str">
            <v>NC003</v>
          </cell>
        </row>
        <row r="348">
          <cell r="D348" t="str">
            <v>@buzzoates.com</v>
          </cell>
          <cell r="E348">
            <v>2020</v>
          </cell>
          <cell r="F348" t="str">
            <v>NC016</v>
          </cell>
        </row>
        <row r="349">
          <cell r="D349" t="str">
            <v>@forestinvest.com</v>
          </cell>
          <cell r="E349">
            <v>2020</v>
          </cell>
          <cell r="F349" t="str">
            <v>NC008</v>
          </cell>
        </row>
        <row r="350">
          <cell r="D350" t="str">
            <v>@equuspartners.com</v>
          </cell>
          <cell r="E350">
            <v>2019</v>
          </cell>
          <cell r="F350" t="str">
            <v>NC017</v>
          </cell>
        </row>
        <row r="351">
          <cell r="D351" t="str">
            <v>@farmopp.com</v>
          </cell>
          <cell r="E351">
            <v>2019</v>
          </cell>
          <cell r="F351" t="str">
            <v>NC001</v>
          </cell>
        </row>
        <row r="352">
          <cell r="D352" t="str">
            <v>@intercontinental.net</v>
          </cell>
          <cell r="E352">
            <v>2019</v>
          </cell>
          <cell r="F352" t="str">
            <v>NC007</v>
          </cell>
        </row>
        <row r="353">
          <cell r="D353" t="str">
            <v>@buzzoates.com</v>
          </cell>
          <cell r="E353">
            <v>2019</v>
          </cell>
          <cell r="F353" t="str">
            <v>NC016</v>
          </cell>
        </row>
        <row r="354">
          <cell r="D354" t="str">
            <v>@ascentris.com</v>
          </cell>
          <cell r="E354">
            <v>2019</v>
          </cell>
          <cell r="F354" t="str">
            <v>NC018</v>
          </cell>
        </row>
        <row r="355">
          <cell r="D355" t="str">
            <v>@metlife.com</v>
          </cell>
          <cell r="E355">
            <v>2019</v>
          </cell>
          <cell r="F355" t="str">
            <v>M03148</v>
          </cell>
        </row>
        <row r="356">
          <cell r="D356" t="str">
            <v>@heitman.com</v>
          </cell>
          <cell r="E356">
            <v>2019</v>
          </cell>
          <cell r="F356" t="str">
            <v>M107</v>
          </cell>
        </row>
        <row r="357">
          <cell r="D357" t="str">
            <v>@northwesternmutual.com</v>
          </cell>
          <cell r="E357">
            <v>2019</v>
          </cell>
          <cell r="F357" t="str">
            <v>NC019</v>
          </cell>
        </row>
        <row r="358">
          <cell r="D358" t="str">
            <v>@forestinvest.com</v>
          </cell>
          <cell r="E358">
            <v>2019</v>
          </cell>
          <cell r="F358" t="str">
            <v>NC008</v>
          </cell>
        </row>
        <row r="359">
          <cell r="D359" t="str">
            <v>@pccpllc.com</v>
          </cell>
          <cell r="E359">
            <v>2019</v>
          </cell>
          <cell r="F359" t="str">
            <v>M05120</v>
          </cell>
        </row>
        <row r="360">
          <cell r="D360" t="str">
            <v>@sraco.com</v>
          </cell>
          <cell r="E360">
            <v>2019</v>
          </cell>
          <cell r="F360" t="str">
            <v>NC003</v>
          </cell>
        </row>
        <row r="361">
          <cell r="D361" t="str">
            <v>@aracapital.com</v>
          </cell>
          <cell r="E361">
            <v>2019</v>
          </cell>
          <cell r="F361" t="str">
            <v>NC011</v>
          </cell>
        </row>
        <row r="362">
          <cell r="D362" t="str">
            <v>@hines.com</v>
          </cell>
          <cell r="E362">
            <v>2019</v>
          </cell>
          <cell r="F362" t="str">
            <v>M073</v>
          </cell>
        </row>
        <row r="363">
          <cell r="D363" t="str">
            <v>@greystar.com</v>
          </cell>
          <cell r="E363">
            <v>2019</v>
          </cell>
          <cell r="F363" t="str">
            <v>M718</v>
          </cell>
        </row>
        <row r="364">
          <cell r="D364" t="str">
            <v>@cbreglobalinvestors.com</v>
          </cell>
          <cell r="E364">
            <v>2019</v>
          </cell>
          <cell r="F364" t="str">
            <v>M231</v>
          </cell>
        </row>
        <row r="365">
          <cell r="D365" t="str">
            <v>@bluevistallc.com</v>
          </cell>
          <cell r="E365">
            <v>2019</v>
          </cell>
          <cell r="F365" t="str">
            <v>NC013</v>
          </cell>
        </row>
        <row r="366">
          <cell r="D366" t="str">
            <v>@pnc.com</v>
          </cell>
          <cell r="E366">
            <v>2019</v>
          </cell>
          <cell r="F366" t="str">
            <v>NC020</v>
          </cell>
        </row>
        <row r="367">
          <cell r="D367" t="str">
            <v>@nylinvestors.com</v>
          </cell>
          <cell r="E367">
            <v>2019</v>
          </cell>
          <cell r="F367" t="str">
            <v>M03851</v>
          </cell>
        </row>
        <row r="368">
          <cell r="D368" t="str">
            <v>@invesco.com</v>
          </cell>
          <cell r="E368">
            <v>2019</v>
          </cell>
          <cell r="F368" t="str">
            <v>M114</v>
          </cell>
        </row>
        <row r="369">
          <cell r="D369" t="str">
            <v>@pgim.com</v>
          </cell>
          <cell r="E369">
            <v>2019</v>
          </cell>
          <cell r="F369" t="str">
            <v>M042</v>
          </cell>
        </row>
        <row r="370">
          <cell r="D370" t="str">
            <v>@jamestownlp.com</v>
          </cell>
          <cell r="E370">
            <v>2019</v>
          </cell>
          <cell r="F370" t="str">
            <v>M551</v>
          </cell>
        </row>
        <row r="371">
          <cell r="D371" t="str">
            <v>@lasalle.com</v>
          </cell>
          <cell r="E371">
            <v>2019</v>
          </cell>
          <cell r="F371" t="str">
            <v>M020</v>
          </cell>
        </row>
        <row r="372">
          <cell r="D372" t="str">
            <v>@dakotapacific.com</v>
          </cell>
          <cell r="E372">
            <v>2019</v>
          </cell>
          <cell r="F372" t="str">
            <v>NC021</v>
          </cell>
        </row>
        <row r="373">
          <cell r="D373" t="str">
            <v>@morganstanley.com</v>
          </cell>
          <cell r="E373">
            <v>2019</v>
          </cell>
          <cell r="F373" t="str">
            <v>M548</v>
          </cell>
        </row>
        <row r="374">
          <cell r="D374" t="str">
            <v>@lbrealty.com</v>
          </cell>
          <cell r="E374">
            <v>2019</v>
          </cell>
          <cell r="F374" t="str">
            <v>NC022</v>
          </cell>
        </row>
        <row r="375">
          <cell r="D375" t="str">
            <v>@jpmorgan.com</v>
          </cell>
          <cell r="E375">
            <v>2019</v>
          </cell>
          <cell r="F375" t="str">
            <v>M082</v>
          </cell>
        </row>
        <row r="376">
          <cell r="D376" t="str">
            <v>@sentinelcorp.com</v>
          </cell>
          <cell r="E376">
            <v>2019</v>
          </cell>
          <cell r="F376" t="str">
            <v>M473</v>
          </cell>
        </row>
        <row r="377">
          <cell r="D377" t="str">
            <v>@orminc.com</v>
          </cell>
          <cell r="E377">
            <v>2019</v>
          </cell>
          <cell r="F377" t="str">
            <v>NC023</v>
          </cell>
        </row>
        <row r="378">
          <cell r="D378" t="str">
            <v>@hartadvisers.com</v>
          </cell>
          <cell r="E378">
            <v>2019</v>
          </cell>
          <cell r="F378" t="str">
            <v>NC006</v>
          </cell>
        </row>
        <row r="379">
          <cell r="D379" t="str">
            <v>@prologis.com</v>
          </cell>
          <cell r="E379">
            <v>2019</v>
          </cell>
          <cell r="F379" t="str">
            <v>M024</v>
          </cell>
        </row>
        <row r="380">
          <cell r="D380" t="str">
            <v>@barings.com</v>
          </cell>
          <cell r="E380">
            <v>2018</v>
          </cell>
          <cell r="F380" t="str">
            <v>M215</v>
          </cell>
        </row>
        <row r="381">
          <cell r="D381" t="str">
            <v>@wallc.com</v>
          </cell>
          <cell r="E381">
            <v>2018</v>
          </cell>
          <cell r="F381" t="str">
            <v>NC024</v>
          </cell>
        </row>
        <row r="382">
          <cell r="D382" t="str">
            <v>@sraco.com</v>
          </cell>
          <cell r="E382">
            <v>2018</v>
          </cell>
          <cell r="F382" t="str">
            <v>NC003</v>
          </cell>
        </row>
        <row r="383">
          <cell r="D383" t="str">
            <v>@sentinelcorp.com</v>
          </cell>
          <cell r="E383">
            <v>2018</v>
          </cell>
          <cell r="F383" t="str">
            <v>M473</v>
          </cell>
        </row>
        <row r="384">
          <cell r="D384" t="str">
            <v>@cottonwoodpartners.com</v>
          </cell>
          <cell r="E384">
            <v>2018</v>
          </cell>
          <cell r="F384" t="str">
            <v>NC025</v>
          </cell>
        </row>
        <row r="385">
          <cell r="D385" t="str">
            <v>@northwesternmutual.com</v>
          </cell>
          <cell r="E385">
            <v>2018</v>
          </cell>
          <cell r="F385" t="str">
            <v>NC019</v>
          </cell>
        </row>
        <row r="386">
          <cell r="D386" t="str">
            <v>@lasalle.com</v>
          </cell>
          <cell r="E386">
            <v>2018</v>
          </cell>
          <cell r="F386" t="str">
            <v>M020</v>
          </cell>
        </row>
        <row r="387">
          <cell r="D387" t="str">
            <v>@tiaa-cref.org</v>
          </cell>
          <cell r="E387">
            <v>2018</v>
          </cell>
          <cell r="F387" t="str">
            <v>M038</v>
          </cell>
        </row>
        <row r="388">
          <cell r="D388" t="str">
            <v>@bluevistallc.com</v>
          </cell>
          <cell r="E388">
            <v>2018</v>
          </cell>
          <cell r="F388" t="str">
            <v>NC013</v>
          </cell>
        </row>
        <row r="389">
          <cell r="D389" t="str">
            <v>@lpc.com</v>
          </cell>
          <cell r="E389">
            <v>2018</v>
          </cell>
          <cell r="F389" t="str">
            <v>NC026</v>
          </cell>
        </row>
        <row r="390">
          <cell r="D390" t="str">
            <v>@pnc.com</v>
          </cell>
          <cell r="E390">
            <v>2018</v>
          </cell>
          <cell r="F390" t="str">
            <v>NC020</v>
          </cell>
        </row>
        <row r="391">
          <cell r="D391" t="str">
            <v>@gid.com</v>
          </cell>
          <cell r="E391">
            <v>2018</v>
          </cell>
          <cell r="F391" t="str">
            <v>NC027</v>
          </cell>
        </row>
        <row r="392">
          <cell r="D392" t="str">
            <v>@hartadvisers.com</v>
          </cell>
          <cell r="E392">
            <v>2018</v>
          </cell>
          <cell r="F392" t="str">
            <v>NC006</v>
          </cell>
        </row>
        <row r="393">
          <cell r="D393" t="str">
            <v>@equuspartners.com</v>
          </cell>
          <cell r="E393">
            <v>2018</v>
          </cell>
          <cell r="F393" t="str">
            <v>NC017</v>
          </cell>
        </row>
        <row r="394">
          <cell r="D394" t="str">
            <v>@heitman.com</v>
          </cell>
          <cell r="E394">
            <v>2018</v>
          </cell>
          <cell r="F394" t="str">
            <v>M107</v>
          </cell>
        </row>
        <row r="395">
          <cell r="D395" t="str">
            <v>@amcap.com</v>
          </cell>
          <cell r="E395">
            <v>2018</v>
          </cell>
          <cell r="F395" t="str">
            <v>NC028</v>
          </cell>
        </row>
        <row r="396">
          <cell r="D396" t="str">
            <v>@americanreal.com</v>
          </cell>
          <cell r="E396">
            <v>2018</v>
          </cell>
          <cell r="F396" t="str">
            <v>NC029</v>
          </cell>
        </row>
        <row r="397">
          <cell r="D397" t="str">
            <v>@prologis.com</v>
          </cell>
          <cell r="E397">
            <v>2018</v>
          </cell>
          <cell r="F397" t="str">
            <v>M024</v>
          </cell>
        </row>
        <row r="398">
          <cell r="D398" t="str">
            <v>@asbrealestate.com</v>
          </cell>
          <cell r="E398">
            <v>2018</v>
          </cell>
          <cell r="F398" t="str">
            <v>NC030</v>
          </cell>
        </row>
        <row r="399">
          <cell r="D399" t="str">
            <v>@clarionpartners.com</v>
          </cell>
          <cell r="E399">
            <v>2018</v>
          </cell>
          <cell r="F399" t="str">
            <v>M677</v>
          </cell>
        </row>
        <row r="400">
          <cell r="D400" t="str">
            <v>@intercontinental.net</v>
          </cell>
          <cell r="E400">
            <v>2018</v>
          </cell>
          <cell r="F400" t="str">
            <v>NC007</v>
          </cell>
        </row>
        <row r="401">
          <cell r="D401" t="str">
            <v>@invesco.com</v>
          </cell>
          <cell r="E401">
            <v>2018</v>
          </cell>
          <cell r="F401" t="str">
            <v>M114</v>
          </cell>
        </row>
        <row r="402">
          <cell r="D402" t="str">
            <v>@principal.com</v>
          </cell>
          <cell r="E402">
            <v>2017</v>
          </cell>
          <cell r="F402" t="str">
            <v>M03132</v>
          </cell>
        </row>
        <row r="403">
          <cell r="D403" t="str">
            <v>@guggenheimrealestate.com</v>
          </cell>
          <cell r="E403">
            <v>2017</v>
          </cell>
          <cell r="F403" t="str">
            <v>NC031</v>
          </cell>
        </row>
        <row r="404">
          <cell r="D404" t="str">
            <v>@americanreal.com</v>
          </cell>
          <cell r="E404">
            <v>2017</v>
          </cell>
          <cell r="F404" t="str">
            <v>NC029</v>
          </cell>
        </row>
        <row r="405">
          <cell r="D405" t="str">
            <v>@intercontinental.net</v>
          </cell>
          <cell r="E405">
            <v>2017</v>
          </cell>
          <cell r="F405" t="str">
            <v>NC007</v>
          </cell>
        </row>
        <row r="406">
          <cell r="D406" t="str">
            <v>@pnc.com</v>
          </cell>
          <cell r="E406">
            <v>2017</v>
          </cell>
          <cell r="F406" t="str">
            <v>NC020</v>
          </cell>
        </row>
        <row r="407">
          <cell r="D407" t="str">
            <v>@sraco.com</v>
          </cell>
          <cell r="E407">
            <v>2017</v>
          </cell>
          <cell r="F407" t="str">
            <v>NC003</v>
          </cell>
        </row>
        <row r="408">
          <cell r="D408" t="str">
            <v>@blackrock.com</v>
          </cell>
          <cell r="E408">
            <v>2016</v>
          </cell>
          <cell r="F408" t="str">
            <v>M181</v>
          </cell>
        </row>
        <row r="409">
          <cell r="D409" t="str">
            <v>@cbreglobalinvestors.com</v>
          </cell>
          <cell r="E409">
            <v>2016</v>
          </cell>
          <cell r="F409" t="str">
            <v>M231</v>
          </cell>
        </row>
        <row r="410">
          <cell r="D410" t="str">
            <v>@cornerstoneadvisers.com</v>
          </cell>
          <cell r="E410">
            <v>2016</v>
          </cell>
          <cell r="F410" t="str">
            <v>NC032</v>
          </cell>
        </row>
        <row r="411">
          <cell r="D411" t="str">
            <v>@sraco.com</v>
          </cell>
          <cell r="E411">
            <v>2016</v>
          </cell>
          <cell r="F411" t="str">
            <v>NC003</v>
          </cell>
        </row>
        <row r="412">
          <cell r="D412" t="str">
            <v>@intercontinental.net</v>
          </cell>
          <cell r="E412">
            <v>2016</v>
          </cell>
          <cell r="F412" t="str">
            <v>NC007</v>
          </cell>
        </row>
        <row r="413">
          <cell r="D413" t="str">
            <v>@morganstanley.com</v>
          </cell>
          <cell r="E413">
            <v>2016</v>
          </cell>
          <cell r="F413" t="str">
            <v>M548</v>
          </cell>
        </row>
        <row r="414">
          <cell r="D414" t="str">
            <v>@americanreal.com</v>
          </cell>
          <cell r="E414">
            <v>2016</v>
          </cell>
          <cell r="F414" t="str">
            <v>NC029</v>
          </cell>
        </row>
        <row r="415">
          <cell r="D415" t="str">
            <v>@fpamf.com</v>
          </cell>
          <cell r="E415">
            <v>2016</v>
          </cell>
          <cell r="F415" t="str">
            <v>NC033</v>
          </cell>
        </row>
        <row r="416">
          <cell r="D416" t="str">
            <v>@jpmorgan.com</v>
          </cell>
          <cell r="E416">
            <v>2016</v>
          </cell>
          <cell r="F416" t="str">
            <v>M082</v>
          </cell>
        </row>
        <row r="417">
          <cell r="D417" t="str">
            <v>@lasalle.com</v>
          </cell>
          <cell r="E417">
            <v>2016</v>
          </cell>
          <cell r="F417" t="str">
            <v>M020</v>
          </cell>
        </row>
        <row r="418">
          <cell r="D418" t="str">
            <v>@waterton.com</v>
          </cell>
          <cell r="E418">
            <v>2016</v>
          </cell>
          <cell r="F418" t="str">
            <v>NC014</v>
          </cell>
        </row>
        <row r="419">
          <cell r="D419" t="str">
            <v>@guggenheimrealestate.com</v>
          </cell>
          <cell r="E419">
            <v>2016</v>
          </cell>
          <cell r="F419" t="str">
            <v>NC031</v>
          </cell>
        </row>
        <row r="420">
          <cell r="D420" t="str">
            <v>@cbreglobalinvestors.com</v>
          </cell>
          <cell r="E420">
            <v>2016</v>
          </cell>
          <cell r="F420" t="str">
            <v>M231</v>
          </cell>
        </row>
        <row r="421">
          <cell r="D421" t="str">
            <v>@sentinelcorp.com</v>
          </cell>
          <cell r="E421">
            <v>2016</v>
          </cell>
          <cell r="F421" t="str">
            <v>M473</v>
          </cell>
        </row>
        <row r="422">
          <cell r="D422" t="str">
            <v>@heitman.com</v>
          </cell>
          <cell r="E422">
            <v>2016</v>
          </cell>
          <cell r="F422" t="str">
            <v>M107</v>
          </cell>
        </row>
        <row r="423">
          <cell r="D423" t="str">
            <v>@hines.com</v>
          </cell>
          <cell r="E423">
            <v>2016</v>
          </cell>
          <cell r="F423" t="str">
            <v>M073</v>
          </cell>
        </row>
        <row r="424">
          <cell r="D424" t="str">
            <v>@starwood.com</v>
          </cell>
          <cell r="E424">
            <v>2022</v>
          </cell>
          <cell r="F424" t="str">
            <v>M05105</v>
          </cell>
        </row>
        <row r="425">
          <cell r="D425" t="str">
            <v>@axa-im.com</v>
          </cell>
          <cell r="E425">
            <v>2022</v>
          </cell>
          <cell r="F425" t="str">
            <v>M041</v>
          </cell>
        </row>
        <row r="426">
          <cell r="D426" t="str">
            <v>@conrenland.com</v>
          </cell>
          <cell r="E426">
            <v>2022</v>
          </cell>
          <cell r="F426" t="str">
            <v>M690</v>
          </cell>
        </row>
        <row r="427">
          <cell r="D427" t="str">
            <v>@unitestudents.com</v>
          </cell>
          <cell r="E427">
            <v>2022</v>
          </cell>
          <cell r="F427" t="str">
            <v>M333</v>
          </cell>
        </row>
        <row r="428">
          <cell r="D428" t="str">
            <v>@invesco.com</v>
          </cell>
          <cell r="E428">
            <v>2022</v>
          </cell>
          <cell r="F428" t="str">
            <v>M114</v>
          </cell>
        </row>
        <row r="429">
          <cell r="D429" t="str">
            <v>@morganstanley.com</v>
          </cell>
          <cell r="E429">
            <v>2022</v>
          </cell>
          <cell r="F429" t="str">
            <v>M548</v>
          </cell>
        </row>
        <row r="430">
          <cell r="D430" t="str">
            <v>@art-invest.de</v>
          </cell>
          <cell r="E430">
            <v>2022</v>
          </cell>
          <cell r="F430" t="str">
            <v>M600</v>
          </cell>
        </row>
        <row r="431">
          <cell r="D431" t="str">
            <v>@crowholdings.com</v>
          </cell>
          <cell r="E431">
            <v>2022</v>
          </cell>
          <cell r="F431" t="str">
            <v>M2548</v>
          </cell>
        </row>
        <row r="432">
          <cell r="D432" t="str">
            <v>@nrep.com</v>
          </cell>
          <cell r="E432">
            <v>2022</v>
          </cell>
          <cell r="F432" t="str">
            <v>M305</v>
          </cell>
        </row>
        <row r="433">
          <cell r="D433" t="str">
            <v>@lasalle.com</v>
          </cell>
          <cell r="E433">
            <v>2022</v>
          </cell>
          <cell r="F433" t="str">
            <v>M020</v>
          </cell>
        </row>
        <row r="434">
          <cell r="D434" t="str">
            <v>@cbreim.com</v>
          </cell>
          <cell r="E434">
            <v>2022</v>
          </cell>
          <cell r="F434" t="str">
            <v>M759</v>
          </cell>
        </row>
        <row r="435">
          <cell r="D435" t="str">
            <v>@tribecafundmanagement.com</v>
          </cell>
          <cell r="E435">
            <v>2022</v>
          </cell>
          <cell r="F435" t="str">
            <v>M03293</v>
          </cell>
        </row>
        <row r="436">
          <cell r="D436" t="str">
            <v>@hearthstone.co.uk</v>
          </cell>
          <cell r="E436">
            <v>2022</v>
          </cell>
          <cell r="F436" t="str">
            <v>M05002</v>
          </cell>
        </row>
        <row r="437">
          <cell r="D437" t="str">
            <v>@brookfield.com</v>
          </cell>
          <cell r="E437">
            <v>2022</v>
          </cell>
          <cell r="F437" t="str">
            <v>M233</v>
          </cell>
        </row>
        <row r="438">
          <cell r="D438" t="str">
            <v>@web.de</v>
          </cell>
          <cell r="E438">
            <v>2022</v>
          </cell>
          <cell r="F438" t="str">
            <v>M369</v>
          </cell>
        </row>
        <row r="439">
          <cell r="D439" t="str">
            <v>@kgal.de</v>
          </cell>
          <cell r="E439">
            <v>2022</v>
          </cell>
          <cell r="F439" t="str">
            <v>M637</v>
          </cell>
        </row>
        <row r="440">
          <cell r="D440" t="str">
            <v>@dws.com</v>
          </cell>
          <cell r="E440">
            <v>2022</v>
          </cell>
          <cell r="F440" t="str">
            <v>M085</v>
          </cell>
        </row>
        <row r="441">
          <cell r="D441" t="str">
            <v>@achmea.nl</v>
          </cell>
          <cell r="E441">
            <v>2022</v>
          </cell>
          <cell r="F441" t="str">
            <v>M03190</v>
          </cell>
        </row>
        <row r="442">
          <cell r="D442" t="str">
            <v>@prudential.com</v>
          </cell>
          <cell r="E442">
            <v>2022</v>
          </cell>
          <cell r="F442" t="str">
            <v>M042</v>
          </cell>
        </row>
        <row r="443">
          <cell r="D443" t="str">
            <v>@ctp.eu</v>
          </cell>
          <cell r="E443">
            <v>2022</v>
          </cell>
          <cell r="F443" t="str">
            <v>M03574</v>
          </cell>
        </row>
        <row r="444">
          <cell r="D444" t="str">
            <v>@fil.com</v>
          </cell>
          <cell r="E444">
            <v>2022</v>
          </cell>
          <cell r="F444" t="str">
            <v>M250</v>
          </cell>
        </row>
        <row r="445">
          <cell r="D445" t="str">
            <v>@revelop.se</v>
          </cell>
          <cell r="E445">
            <v>2022</v>
          </cell>
          <cell r="F445" t="str">
            <v>M04304</v>
          </cell>
        </row>
        <row r="446">
          <cell r="D446" t="str">
            <v>@blackstone.com</v>
          </cell>
          <cell r="E446">
            <v>2022</v>
          </cell>
          <cell r="F446" t="str">
            <v>M178</v>
          </cell>
        </row>
        <row r="447">
          <cell r="D447" t="str">
            <v>@lordslb.lt</v>
          </cell>
          <cell r="E447">
            <v>2022</v>
          </cell>
          <cell r="F447" t="str">
            <v>M04251</v>
          </cell>
        </row>
        <row r="448">
          <cell r="D448" t="str">
            <v>@octopusinvestments.com</v>
          </cell>
          <cell r="E448">
            <v>2022</v>
          </cell>
          <cell r="F448" t="str">
            <v>M2762</v>
          </cell>
        </row>
        <row r="449">
          <cell r="D449" t="str">
            <v>@clarionpartners.com</v>
          </cell>
          <cell r="E449">
            <v>2022</v>
          </cell>
          <cell r="F449" t="str">
            <v>M677</v>
          </cell>
        </row>
        <row r="450">
          <cell r="D450" t="str">
            <v>@heitman.com</v>
          </cell>
          <cell r="E450">
            <v>2022</v>
          </cell>
          <cell r="F450" t="str">
            <v>M107</v>
          </cell>
        </row>
        <row r="451">
          <cell r="D451" t="str">
            <v>@tishmanspeyer.com</v>
          </cell>
          <cell r="E451">
            <v>2022</v>
          </cell>
          <cell r="F451" t="str">
            <v>M054</v>
          </cell>
        </row>
        <row r="452">
          <cell r="D452" t="str">
            <v>@ece.com</v>
          </cell>
          <cell r="E452">
            <v>2022</v>
          </cell>
          <cell r="F452" t="str">
            <v>M657</v>
          </cell>
        </row>
        <row r="453">
          <cell r="D453" t="str">
            <v>@icgam.com</v>
          </cell>
          <cell r="E453">
            <v>2022</v>
          </cell>
          <cell r="F453" t="str">
            <v>M674</v>
          </cell>
        </row>
        <row r="454">
          <cell r="D454" t="str">
            <v>@lgim.com</v>
          </cell>
          <cell r="E454">
            <v>2022</v>
          </cell>
          <cell r="F454" t="str">
            <v>M465</v>
          </cell>
        </row>
        <row r="455">
          <cell r="D455" t="str">
            <v>@tristancap.com</v>
          </cell>
          <cell r="E455">
            <v>2022</v>
          </cell>
          <cell r="F455" t="str">
            <v>M486</v>
          </cell>
        </row>
        <row r="456">
          <cell r="D456" t="str">
            <v>@union-investment.de</v>
          </cell>
          <cell r="E456">
            <v>2022</v>
          </cell>
          <cell r="F456" t="str">
            <v>M218</v>
          </cell>
        </row>
        <row r="457">
          <cell r="D457" t="str">
            <v>@prologis.com</v>
          </cell>
          <cell r="E457">
            <v>2022</v>
          </cell>
          <cell r="F457" t="str">
            <v>M024</v>
          </cell>
        </row>
        <row r="458">
          <cell r="D458" t="str">
            <v>@brunswickrealestate.com</v>
          </cell>
          <cell r="E458">
            <v>2022</v>
          </cell>
          <cell r="F458" t="str">
            <v>M319</v>
          </cell>
        </row>
        <row r="459">
          <cell r="D459" t="str">
            <v>@storebrand.no</v>
          </cell>
          <cell r="E459">
            <v>2022</v>
          </cell>
          <cell r="F459" t="str">
            <v>M019</v>
          </cell>
        </row>
        <row r="460">
          <cell r="D460" t="str">
            <v>@reggeborghvastgoed.nl</v>
          </cell>
          <cell r="E460">
            <v>2022</v>
          </cell>
          <cell r="F460" t="str">
            <v>M647</v>
          </cell>
        </row>
        <row r="461">
          <cell r="D461" t="str">
            <v>@truenortherep.eu</v>
          </cell>
          <cell r="E461">
            <v>2022</v>
          </cell>
          <cell r="F461" t="str">
            <v>M04209</v>
          </cell>
        </row>
        <row r="462">
          <cell r="D462" t="str">
            <v>@frogmore.co.uk</v>
          </cell>
          <cell r="E462">
            <v>2022</v>
          </cell>
          <cell r="F462" t="str">
            <v>M490</v>
          </cell>
        </row>
        <row r="463">
          <cell r="D463" t="str">
            <v>@lasalle.com</v>
          </cell>
          <cell r="E463">
            <v>2022</v>
          </cell>
          <cell r="F463" t="str">
            <v>M020</v>
          </cell>
        </row>
        <row r="464">
          <cell r="D464" t="str">
            <v>@amundi.com</v>
          </cell>
          <cell r="E464">
            <v>2022</v>
          </cell>
          <cell r="F464" t="str">
            <v>M365</v>
          </cell>
        </row>
        <row r="465">
          <cell r="D465" t="str">
            <v>@mandg.com</v>
          </cell>
          <cell r="E465">
            <v>2022</v>
          </cell>
          <cell r="F465" t="str">
            <v>M010</v>
          </cell>
        </row>
        <row r="466">
          <cell r="D466" t="str">
            <v>@sirius.fi</v>
          </cell>
          <cell r="E466">
            <v>2022</v>
          </cell>
          <cell r="F466" t="str">
            <v>M757</v>
          </cell>
        </row>
        <row r="467">
          <cell r="D467" t="str">
            <v>@niam.com</v>
          </cell>
          <cell r="E467">
            <v>2022</v>
          </cell>
          <cell r="F467" t="str">
            <v>M013</v>
          </cell>
        </row>
        <row r="468">
          <cell r="D468" t="str">
            <v>@reim-edr.com</v>
          </cell>
          <cell r="E468">
            <v>2022</v>
          </cell>
          <cell r="F468" t="str">
            <v>M506</v>
          </cell>
        </row>
        <row r="469">
          <cell r="D469" t="str">
            <v>@bouwinvest.nl</v>
          </cell>
          <cell r="E469">
            <v>2022</v>
          </cell>
          <cell r="F469" t="str">
            <v>M660</v>
          </cell>
        </row>
        <row r="470">
          <cell r="D470" t="str">
            <v>@garbe.de</v>
          </cell>
          <cell r="E470">
            <v>2022</v>
          </cell>
          <cell r="F470" t="str">
            <v>M300</v>
          </cell>
        </row>
        <row r="471">
          <cell r="D471" t="str">
            <v>@amvest.nl</v>
          </cell>
          <cell r="E471">
            <v>2022</v>
          </cell>
          <cell r="F471" t="str">
            <v>M015</v>
          </cell>
        </row>
        <row r="472">
          <cell r="D472" t="str">
            <v>@europacapital.com</v>
          </cell>
          <cell r="E472">
            <v>2022</v>
          </cell>
          <cell r="F472" t="str">
            <v>M111</v>
          </cell>
        </row>
        <row r="473">
          <cell r="D473" t="str">
            <v>@ardian.com</v>
          </cell>
          <cell r="E473">
            <v>2022</v>
          </cell>
          <cell r="F473" t="str">
            <v>M705</v>
          </cell>
        </row>
        <row r="474">
          <cell r="D474" t="str">
            <v>@op.fi</v>
          </cell>
          <cell r="E474">
            <v>2022</v>
          </cell>
          <cell r="F474" t="str">
            <v>M122</v>
          </cell>
        </row>
        <row r="475">
          <cell r="D475" t="str">
            <v>@colliers.it</v>
          </cell>
          <cell r="E475">
            <v>2022</v>
          </cell>
          <cell r="F475" t="str">
            <v>M776</v>
          </cell>
        </row>
        <row r="476">
          <cell r="D476" t="str">
            <v>@m7re.eu</v>
          </cell>
          <cell r="E476">
            <v>2022</v>
          </cell>
          <cell r="F476" t="str">
            <v>M2505</v>
          </cell>
        </row>
        <row r="477">
          <cell r="D477" t="str">
            <v>@capman.com</v>
          </cell>
          <cell r="E477">
            <v>2022</v>
          </cell>
          <cell r="F477" t="str">
            <v>M168</v>
          </cell>
        </row>
        <row r="478">
          <cell r="D478" t="str">
            <v>@sonaesierra.com</v>
          </cell>
          <cell r="E478">
            <v>2022</v>
          </cell>
          <cell r="F478" t="str">
            <v>M028</v>
          </cell>
        </row>
        <row r="479">
          <cell r="D479" t="str">
            <v>@nnip.com</v>
          </cell>
          <cell r="E479">
            <v>2022</v>
          </cell>
          <cell r="F479" t="str">
            <v>M03330</v>
          </cell>
        </row>
        <row r="480">
          <cell r="D480" t="str">
            <v>@pradera.com</v>
          </cell>
          <cell r="E480">
            <v>2022</v>
          </cell>
          <cell r="F480" t="str">
            <v>M093</v>
          </cell>
        </row>
        <row r="481">
          <cell r="D481" t="str">
            <v>@alteravastgoed.nl</v>
          </cell>
          <cell r="E481">
            <v>2022</v>
          </cell>
          <cell r="F481" t="str">
            <v>M021</v>
          </cell>
        </row>
        <row r="482">
          <cell r="D482" t="str">
            <v>@hines.com</v>
          </cell>
          <cell r="E482">
            <v>2022</v>
          </cell>
          <cell r="F482" t="str">
            <v>M073</v>
          </cell>
        </row>
        <row r="483">
          <cell r="D483" t="str">
            <v>@avanath.com</v>
          </cell>
          <cell r="E483">
            <v>2022</v>
          </cell>
          <cell r="F483" t="str">
            <v>M03220</v>
          </cell>
        </row>
        <row r="484">
          <cell r="D484" t="str">
            <v>@optimumam.com</v>
          </cell>
          <cell r="E484">
            <v>2022</v>
          </cell>
          <cell r="F484" t="str">
            <v>M2678</v>
          </cell>
        </row>
        <row r="485">
          <cell r="D485" t="str">
            <v>@la-francaise.com</v>
          </cell>
          <cell r="E485">
            <v>2022</v>
          </cell>
          <cell r="F485" t="str">
            <v>M379</v>
          </cell>
        </row>
        <row r="486">
          <cell r="D486" t="str">
            <v>@greystar.com</v>
          </cell>
          <cell r="E486">
            <v>2022</v>
          </cell>
          <cell r="F486" t="str">
            <v>M718</v>
          </cell>
        </row>
        <row r="487">
          <cell r="D487" t="str">
            <v>@dnb.no</v>
          </cell>
          <cell r="E487">
            <v>2022</v>
          </cell>
          <cell r="F487" t="str">
            <v>M209</v>
          </cell>
        </row>
        <row r="488">
          <cell r="D488" t="str">
            <v>@deacapital.com</v>
          </cell>
          <cell r="E488">
            <v>2022</v>
          </cell>
          <cell r="F488" t="str">
            <v>M04211</v>
          </cell>
        </row>
        <row r="489">
          <cell r="D489" t="str">
            <v>@patrizia.ag</v>
          </cell>
          <cell r="E489">
            <v>2022</v>
          </cell>
          <cell r="F489" t="str">
            <v>M180</v>
          </cell>
        </row>
        <row r="490">
          <cell r="D490" t="str">
            <v>@achmea.nl</v>
          </cell>
          <cell r="E490">
            <v>2022</v>
          </cell>
          <cell r="F490" t="str">
            <v>M03190</v>
          </cell>
        </row>
        <row r="491">
          <cell r="D491" t="str">
            <v>@drcsavillsim.com</v>
          </cell>
          <cell r="E491">
            <v>2022</v>
          </cell>
          <cell r="F491" t="str">
            <v>M666</v>
          </cell>
        </row>
        <row r="492">
          <cell r="D492" t="str">
            <v>@asr.nl</v>
          </cell>
          <cell r="E492">
            <v>2022</v>
          </cell>
          <cell r="F492" t="str">
            <v>M278</v>
          </cell>
        </row>
        <row r="493">
          <cell r="D493" t="str">
            <v>@altis.ch</v>
          </cell>
          <cell r="E493">
            <v>2022</v>
          </cell>
          <cell r="F493" t="str">
            <v>M03401</v>
          </cell>
        </row>
        <row r="494">
          <cell r="D494" t="str">
            <v>@aew.com</v>
          </cell>
          <cell r="E494">
            <v>2022</v>
          </cell>
          <cell r="F494" t="str">
            <v>M004</v>
          </cell>
        </row>
        <row r="495">
          <cell r="D495" t="str">
            <v>@apachecapital.co.uk</v>
          </cell>
          <cell r="E495">
            <v>2022</v>
          </cell>
          <cell r="F495" t="str">
            <v>M03289</v>
          </cell>
        </row>
        <row r="496">
          <cell r="D496" t="str">
            <v>@aresmgmt.com</v>
          </cell>
          <cell r="E496">
            <v>2022</v>
          </cell>
          <cell r="F496" t="str">
            <v>M091</v>
          </cell>
        </row>
        <row r="497">
          <cell r="D497" t="str">
            <v>@vesteda.com</v>
          </cell>
          <cell r="E497">
            <v>2022</v>
          </cell>
          <cell r="F497" t="str">
            <v>M040</v>
          </cell>
        </row>
        <row r="498">
          <cell r="D498" t="str">
            <v>@schroders.com</v>
          </cell>
          <cell r="E498">
            <v>2022</v>
          </cell>
          <cell r="F498" t="str">
            <v>M037</v>
          </cell>
        </row>
        <row r="499">
          <cell r="D499" t="str">
            <v>@commerzreal.com</v>
          </cell>
          <cell r="E499">
            <v>2022</v>
          </cell>
          <cell r="F499" t="str">
            <v>M257</v>
          </cell>
        </row>
        <row r="500">
          <cell r="D500" t="str">
            <v>@ubs.com</v>
          </cell>
          <cell r="E500">
            <v>2022</v>
          </cell>
          <cell r="F500" t="str">
            <v>M064</v>
          </cell>
        </row>
        <row r="501">
          <cell r="D501" t="str">
            <v>@catalystcapital.com</v>
          </cell>
          <cell r="E501">
            <v>2022</v>
          </cell>
          <cell r="F501" t="str">
            <v>M310</v>
          </cell>
        </row>
        <row r="502">
          <cell r="D502" t="str">
            <v>@reggeborghvastgoed.nl</v>
          </cell>
          <cell r="E502">
            <v>2022</v>
          </cell>
          <cell r="F502" t="str">
            <v>M647</v>
          </cell>
        </row>
        <row r="503">
          <cell r="D503" t="str">
            <v>@dtzinvestors.com</v>
          </cell>
          <cell r="E503">
            <v>2022</v>
          </cell>
          <cell r="F503" t="str">
            <v>M105</v>
          </cell>
        </row>
        <row r="504">
          <cell r="D504" t="str">
            <v>@quantum.ag</v>
          </cell>
          <cell r="E504">
            <v>2022</v>
          </cell>
          <cell r="F504" t="str">
            <v>M346</v>
          </cell>
        </row>
        <row r="505">
          <cell r="D505" t="str">
            <v>@nh-cap.com</v>
          </cell>
          <cell r="E505">
            <v>2022</v>
          </cell>
          <cell r="F505" t="str">
            <v>M174</v>
          </cell>
        </row>
        <row r="506">
          <cell r="D506" t="str">
            <v>@grosvenor.com</v>
          </cell>
          <cell r="E506">
            <v>2022</v>
          </cell>
          <cell r="F506" t="str">
            <v>M052</v>
          </cell>
        </row>
        <row r="507">
          <cell r="D507" t="str">
            <v>@primonialreim.com</v>
          </cell>
          <cell r="E507">
            <v>2022</v>
          </cell>
          <cell r="F507" t="str">
            <v>M03755</v>
          </cell>
        </row>
        <row r="508">
          <cell r="D508" t="str">
            <v>@genesta.lu</v>
          </cell>
          <cell r="E508">
            <v>2022</v>
          </cell>
          <cell r="F508" t="str">
            <v>M367</v>
          </cell>
        </row>
        <row r="509">
          <cell r="D509" t="str">
            <v>@jensen.ru</v>
          </cell>
          <cell r="E509">
            <v>2021</v>
          </cell>
          <cell r="F509" t="str">
            <v>M662</v>
          </cell>
        </row>
        <row r="510">
          <cell r="D510" t="str">
            <v>@kgal.de</v>
          </cell>
          <cell r="E510">
            <v>2021</v>
          </cell>
          <cell r="F510" t="str">
            <v>M637</v>
          </cell>
        </row>
        <row r="511">
          <cell r="D511" t="str">
            <v>@ainahospitality.com</v>
          </cell>
          <cell r="E511">
            <v>2021</v>
          </cell>
          <cell r="F511" t="str">
            <v>M2739</v>
          </cell>
        </row>
        <row r="512">
          <cell r="D512" t="str">
            <v>@apachecapital.co.uk</v>
          </cell>
          <cell r="E512">
            <v>2021</v>
          </cell>
          <cell r="F512" t="str">
            <v>M03289</v>
          </cell>
        </row>
        <row r="513">
          <cell r="D513" t="str">
            <v>@colliers.it</v>
          </cell>
          <cell r="E513">
            <v>2021</v>
          </cell>
          <cell r="F513" t="str">
            <v>M776</v>
          </cell>
        </row>
        <row r="514">
          <cell r="D514" t="str">
            <v>@pradera.com</v>
          </cell>
          <cell r="E514">
            <v>2021</v>
          </cell>
          <cell r="F514" t="str">
            <v>M093</v>
          </cell>
        </row>
        <row r="515">
          <cell r="D515" t="str">
            <v>@redevco.com</v>
          </cell>
          <cell r="E515">
            <v>2021</v>
          </cell>
          <cell r="F515" t="str">
            <v>M036</v>
          </cell>
        </row>
        <row r="516">
          <cell r="D516" t="str">
            <v>@hotmail.com</v>
          </cell>
          <cell r="E516">
            <v>2021</v>
          </cell>
          <cell r="F516" t="str">
            <v>M069</v>
          </cell>
        </row>
        <row r="517">
          <cell r="D517" t="str">
            <v>@grosvenor.com</v>
          </cell>
          <cell r="E517">
            <v>2021</v>
          </cell>
          <cell r="F517" t="str">
            <v>M052</v>
          </cell>
        </row>
        <row r="518">
          <cell r="D518" t="str">
            <v>@savillsim.com</v>
          </cell>
          <cell r="E518">
            <v>2021</v>
          </cell>
          <cell r="F518" t="str">
            <v>M079</v>
          </cell>
        </row>
        <row r="519">
          <cell r="D519" t="str">
            <v>@altis.ch</v>
          </cell>
          <cell r="E519">
            <v>2021</v>
          </cell>
          <cell r="F519" t="str">
            <v>M03401</v>
          </cell>
        </row>
        <row r="520">
          <cell r="D520" t="str">
            <v>@dnb.no</v>
          </cell>
          <cell r="E520">
            <v>2021</v>
          </cell>
          <cell r="F520" t="str">
            <v>M209</v>
          </cell>
        </row>
        <row r="521">
          <cell r="D521" t="str">
            <v>@eqtpartners.com</v>
          </cell>
          <cell r="E521">
            <v>2021</v>
          </cell>
          <cell r="F521" t="str">
            <v>M742</v>
          </cell>
        </row>
        <row r="522">
          <cell r="D522" t="str">
            <v>@project-investment.de</v>
          </cell>
          <cell r="E522">
            <v>2021</v>
          </cell>
          <cell r="F522" t="str">
            <v>M680</v>
          </cell>
        </row>
        <row r="523">
          <cell r="D523" t="str">
            <v>@deutsche-finance.de</v>
          </cell>
          <cell r="E523">
            <v>2021</v>
          </cell>
          <cell r="F523" t="str">
            <v>M2875</v>
          </cell>
        </row>
        <row r="524">
          <cell r="D524" t="str">
            <v>@amvest.nl</v>
          </cell>
          <cell r="E524">
            <v>2021</v>
          </cell>
          <cell r="F524" t="str">
            <v>M015</v>
          </cell>
        </row>
        <row r="525">
          <cell r="D525" t="str">
            <v>@helaba-invest.de</v>
          </cell>
          <cell r="E525">
            <v>2021</v>
          </cell>
          <cell r="F525" t="str">
            <v>M663</v>
          </cell>
        </row>
        <row r="526">
          <cell r="D526" t="str">
            <v>@arbip.com</v>
          </cell>
          <cell r="E526">
            <v>2021</v>
          </cell>
          <cell r="F526" t="str">
            <v>M2706</v>
          </cell>
        </row>
        <row r="527">
          <cell r="D527" t="str">
            <v>@heitman.com</v>
          </cell>
          <cell r="E527">
            <v>2021</v>
          </cell>
          <cell r="F527" t="str">
            <v>M107</v>
          </cell>
        </row>
        <row r="528">
          <cell r="D528" t="str">
            <v>@garbe.de</v>
          </cell>
          <cell r="E528">
            <v>2021</v>
          </cell>
          <cell r="F528" t="str">
            <v>M300</v>
          </cell>
        </row>
        <row r="529">
          <cell r="D529" t="str">
            <v>@la-francaise.com</v>
          </cell>
          <cell r="E529">
            <v>2021</v>
          </cell>
          <cell r="F529" t="str">
            <v>M379</v>
          </cell>
        </row>
        <row r="530">
          <cell r="D530" t="str">
            <v>@patrizia.ag</v>
          </cell>
          <cell r="E530">
            <v>2021</v>
          </cell>
          <cell r="F530" t="str">
            <v>M180</v>
          </cell>
        </row>
        <row r="531">
          <cell r="D531" t="str">
            <v>@geg.de</v>
          </cell>
          <cell r="E531">
            <v>2021</v>
          </cell>
          <cell r="F531" t="str">
            <v>M2590</v>
          </cell>
        </row>
        <row r="532">
          <cell r="D532" t="str">
            <v>@aquila-capital.com</v>
          </cell>
          <cell r="E532">
            <v>2021</v>
          </cell>
          <cell r="F532" t="str">
            <v>M2842</v>
          </cell>
        </row>
        <row r="533">
          <cell r="D533" t="str">
            <v>@aitchison.biz</v>
          </cell>
          <cell r="E533">
            <v>2021</v>
          </cell>
          <cell r="F533" t="str">
            <v>M04070</v>
          </cell>
        </row>
        <row r="534">
          <cell r="D534" t="str">
            <v>@hollandimmogroup.nl</v>
          </cell>
          <cell r="E534">
            <v>2021</v>
          </cell>
          <cell r="F534" t="str">
            <v>M108</v>
          </cell>
        </row>
        <row r="535">
          <cell r="D535" t="str">
            <v>@credit-suisse.com</v>
          </cell>
          <cell r="E535">
            <v>2021</v>
          </cell>
          <cell r="F535" t="str">
            <v>M04230</v>
          </cell>
        </row>
        <row r="536">
          <cell r="D536" t="str">
            <v>@vesteda.com</v>
          </cell>
          <cell r="E536">
            <v>2021</v>
          </cell>
          <cell r="F536" t="str">
            <v>M040</v>
          </cell>
        </row>
        <row r="537">
          <cell r="D537" t="str">
            <v>@evidence-capital.co.uk</v>
          </cell>
          <cell r="E537">
            <v>2021</v>
          </cell>
          <cell r="F537" t="str">
            <v>M03216</v>
          </cell>
        </row>
        <row r="538">
          <cell r="D538" t="str">
            <v>@kristensenproperties.com</v>
          </cell>
          <cell r="E538">
            <v>2021</v>
          </cell>
          <cell r="F538" t="str">
            <v>M160</v>
          </cell>
        </row>
        <row r="539">
          <cell r="D539" t="str">
            <v>@fil.com</v>
          </cell>
          <cell r="E539">
            <v>2021</v>
          </cell>
          <cell r="F539" t="str">
            <v>M250</v>
          </cell>
        </row>
        <row r="540">
          <cell r="D540" t="str">
            <v>@bcpartners.com</v>
          </cell>
          <cell r="E540">
            <v>2021</v>
          </cell>
          <cell r="F540" t="str">
            <v>M03207</v>
          </cell>
        </row>
        <row r="541">
          <cell r="D541" t="str">
            <v>@dws.com</v>
          </cell>
          <cell r="E541">
            <v>2021</v>
          </cell>
          <cell r="F541" t="str">
            <v>M085</v>
          </cell>
        </row>
        <row r="542">
          <cell r="D542" t="str">
            <v>@trevian.fi</v>
          </cell>
          <cell r="E542">
            <v>2021</v>
          </cell>
          <cell r="F542" t="str">
            <v>M777</v>
          </cell>
        </row>
        <row r="543">
          <cell r="D543" t="str">
            <v>@asr.nl</v>
          </cell>
          <cell r="E543">
            <v>2021</v>
          </cell>
          <cell r="F543" t="str">
            <v>M278</v>
          </cell>
        </row>
        <row r="544">
          <cell r="D544" t="str">
            <v>@lbofrance.com</v>
          </cell>
          <cell r="E544">
            <v>2021</v>
          </cell>
          <cell r="F544" t="str">
            <v>M2638</v>
          </cell>
        </row>
        <row r="545">
          <cell r="D545" t="str">
            <v>@landmarkpartners.com</v>
          </cell>
          <cell r="E545">
            <v>2021</v>
          </cell>
          <cell r="F545" t="str">
            <v>M373</v>
          </cell>
        </row>
        <row r="546">
          <cell r="D546" t="str">
            <v>@greystar.com</v>
          </cell>
          <cell r="E546">
            <v>2021</v>
          </cell>
          <cell r="F546" t="str">
            <v>M718</v>
          </cell>
        </row>
        <row r="547">
          <cell r="D547" t="str">
            <v>@warburg-hih.com</v>
          </cell>
          <cell r="E547">
            <v>2021</v>
          </cell>
          <cell r="F547" t="str">
            <v>M277</v>
          </cell>
        </row>
        <row r="548">
          <cell r="D548" t="str">
            <v>@almaproperty.se</v>
          </cell>
          <cell r="E548">
            <v>2021</v>
          </cell>
          <cell r="F548" t="str">
            <v>M736</v>
          </cell>
        </row>
        <row r="549">
          <cell r="D549" t="str">
            <v>@lonestarfunds.com</v>
          </cell>
          <cell r="E549">
            <v>2021</v>
          </cell>
          <cell r="F549" t="str">
            <v>M03119</v>
          </cell>
        </row>
        <row r="550">
          <cell r="D550" t="str">
            <v>@mandg.com</v>
          </cell>
          <cell r="E550">
            <v>2021</v>
          </cell>
          <cell r="F550" t="str">
            <v>M010</v>
          </cell>
        </row>
        <row r="551">
          <cell r="D551" t="str">
            <v>@unitestudents.com</v>
          </cell>
          <cell r="E551">
            <v>2021</v>
          </cell>
          <cell r="F551" t="str">
            <v>M333</v>
          </cell>
        </row>
        <row r="552">
          <cell r="D552" t="str">
            <v>@fonciere-atland.fr</v>
          </cell>
          <cell r="E552">
            <v>2021</v>
          </cell>
          <cell r="F552" t="str">
            <v>M2735</v>
          </cell>
        </row>
        <row r="553">
          <cell r="D553" t="str">
            <v>@lasalle.com</v>
          </cell>
          <cell r="E553">
            <v>2021</v>
          </cell>
          <cell r="F553" t="str">
            <v>M020</v>
          </cell>
        </row>
        <row r="554">
          <cell r="D554" t="str">
            <v>@drccap.com</v>
          </cell>
          <cell r="E554">
            <v>2021</v>
          </cell>
          <cell r="F554" t="str">
            <v>M666</v>
          </cell>
        </row>
        <row r="555">
          <cell r="D555" t="str">
            <v>@catalystcapital.com</v>
          </cell>
          <cell r="E555">
            <v>2021</v>
          </cell>
          <cell r="F555" t="str">
            <v>M310</v>
          </cell>
        </row>
        <row r="556">
          <cell r="D556" t="str">
            <v>@meridiacapital.com</v>
          </cell>
          <cell r="E556">
            <v>2021</v>
          </cell>
          <cell r="F556" t="str">
            <v>M03036</v>
          </cell>
        </row>
        <row r="557">
          <cell r="D557" t="str">
            <v>@lgt.com</v>
          </cell>
          <cell r="E557">
            <v>2021</v>
          </cell>
          <cell r="F557" t="str">
            <v>M411</v>
          </cell>
        </row>
        <row r="558">
          <cell r="D558" t="str">
            <v>@amundi.com</v>
          </cell>
          <cell r="E558">
            <v>2021</v>
          </cell>
          <cell r="F558" t="str">
            <v>M365</v>
          </cell>
        </row>
        <row r="559">
          <cell r="D559" t="str">
            <v>@cainint.com</v>
          </cell>
          <cell r="E559">
            <v>2021</v>
          </cell>
          <cell r="F559" t="str">
            <v>M03265</v>
          </cell>
        </row>
        <row r="560">
          <cell r="D560" t="e">
            <v>#VALUE!</v>
          </cell>
          <cell r="E560">
            <v>2021</v>
          </cell>
          <cell r="F560" t="str">
            <v>M181</v>
          </cell>
        </row>
        <row r="561">
          <cell r="D561" t="str">
            <v>@franklintempleton.com</v>
          </cell>
          <cell r="E561">
            <v>2021</v>
          </cell>
          <cell r="F561" t="str">
            <v>M106</v>
          </cell>
        </row>
        <row r="562">
          <cell r="D562" t="str">
            <v>@nh-cap.com</v>
          </cell>
          <cell r="E562">
            <v>2021</v>
          </cell>
          <cell r="F562" t="str">
            <v>M174</v>
          </cell>
        </row>
        <row r="563">
          <cell r="D563" t="str">
            <v>@ryndaproperty.com</v>
          </cell>
          <cell r="E563">
            <v>2021</v>
          </cell>
          <cell r="F563" t="str">
            <v>M616</v>
          </cell>
        </row>
        <row r="564">
          <cell r="D564" t="str">
            <v>@moorfield.com</v>
          </cell>
          <cell r="E564">
            <v>2021</v>
          </cell>
          <cell r="F564" t="str">
            <v>M655</v>
          </cell>
        </row>
        <row r="565">
          <cell r="D565" t="str">
            <v>@sonaesierra.com</v>
          </cell>
          <cell r="E565">
            <v>2021</v>
          </cell>
          <cell r="F565" t="str">
            <v>M028</v>
          </cell>
        </row>
        <row r="566">
          <cell r="D566" t="str">
            <v>@nrpam.no</v>
          </cell>
          <cell r="E566">
            <v>2021</v>
          </cell>
          <cell r="F566" t="str">
            <v>M03259</v>
          </cell>
        </row>
        <row r="567">
          <cell r="D567" t="str">
            <v>@cbreglobalinvestors.com</v>
          </cell>
          <cell r="E567">
            <v>2021</v>
          </cell>
          <cell r="F567" t="str">
            <v>M231</v>
          </cell>
        </row>
        <row r="568">
          <cell r="D568" t="str">
            <v>@sweco.nl</v>
          </cell>
          <cell r="E568">
            <v>2021</v>
          </cell>
          <cell r="F568" t="str">
            <v>M023</v>
          </cell>
        </row>
        <row r="569">
          <cell r="D569" t="str">
            <v>@tristancap.com</v>
          </cell>
          <cell r="E569">
            <v>2021</v>
          </cell>
          <cell r="F569" t="str">
            <v>M486</v>
          </cell>
        </row>
        <row r="570">
          <cell r="D570" t="str">
            <v>@realisag.de</v>
          </cell>
          <cell r="E570">
            <v>2021</v>
          </cell>
          <cell r="F570" t="str">
            <v>M627</v>
          </cell>
        </row>
        <row r="571">
          <cell r="D571" t="str">
            <v>@hahnag.de</v>
          </cell>
          <cell r="E571">
            <v>2021</v>
          </cell>
          <cell r="F571" t="str">
            <v>M369</v>
          </cell>
        </row>
        <row r="572">
          <cell r="D572" t="str">
            <v>@ardian.com</v>
          </cell>
          <cell r="E572">
            <v>2021</v>
          </cell>
          <cell r="F572" t="str">
            <v>M705</v>
          </cell>
        </row>
        <row r="573">
          <cell r="D573" t="str">
            <v>@lhinv.eu</v>
          </cell>
          <cell r="E573">
            <v>2021</v>
          </cell>
          <cell r="F573" t="str">
            <v>M03301</v>
          </cell>
        </row>
        <row r="574">
          <cell r="D574" t="str">
            <v>@achmeavastgoed.nl</v>
          </cell>
          <cell r="E574">
            <v>2021</v>
          </cell>
          <cell r="F574" t="str">
            <v>M710</v>
          </cell>
        </row>
        <row r="575">
          <cell r="D575" t="str">
            <v>@equityestate.nl</v>
          </cell>
          <cell r="E575">
            <v>2021</v>
          </cell>
          <cell r="F575" t="str">
            <v>M066</v>
          </cell>
        </row>
        <row r="576">
          <cell r="D576" t="str">
            <v>@Invesco.com</v>
          </cell>
          <cell r="E576">
            <v>2021</v>
          </cell>
          <cell r="F576" t="str">
            <v>M114</v>
          </cell>
        </row>
        <row r="577">
          <cell r="D577" t="str">
            <v>@bnpparibas.com</v>
          </cell>
          <cell r="E577">
            <v>2021</v>
          </cell>
          <cell r="F577" t="str">
            <v>M318</v>
          </cell>
        </row>
        <row r="578">
          <cell r="D578" t="str">
            <v>@sirius.fi</v>
          </cell>
          <cell r="E578">
            <v>2021</v>
          </cell>
          <cell r="F578" t="str">
            <v>M757</v>
          </cell>
        </row>
        <row r="579">
          <cell r="D579" t="str">
            <v>@azora.es</v>
          </cell>
          <cell r="E579">
            <v>2021</v>
          </cell>
          <cell r="F579" t="str">
            <v>M03115</v>
          </cell>
        </row>
        <row r="580">
          <cell r="D580" t="str">
            <v>@lothburyim.com</v>
          </cell>
          <cell r="E580">
            <v>2021</v>
          </cell>
          <cell r="F580" t="str">
            <v>M211</v>
          </cell>
        </row>
        <row r="581">
          <cell r="D581" t="str">
            <v>@threestonescapital.com</v>
          </cell>
          <cell r="E581">
            <v>2021</v>
          </cell>
          <cell r="F581" t="str">
            <v>M751</v>
          </cell>
        </row>
        <row r="582">
          <cell r="D582" t="str">
            <v>@icecapital.fi</v>
          </cell>
          <cell r="E582">
            <v>2021</v>
          </cell>
          <cell r="F582" t="str">
            <v>M2656</v>
          </cell>
        </row>
        <row r="583">
          <cell r="D583" t="str">
            <v>@Blackstone.com</v>
          </cell>
          <cell r="E583">
            <v>2021</v>
          </cell>
          <cell r="F583" t="str">
            <v>M178</v>
          </cell>
        </row>
        <row r="584">
          <cell r="D584" t="str">
            <v>@ardstone.com</v>
          </cell>
          <cell r="E584">
            <v>2021</v>
          </cell>
          <cell r="F584" t="str">
            <v>M2581</v>
          </cell>
        </row>
        <row r="585">
          <cell r="D585" t="str">
            <v>@web.de</v>
          </cell>
          <cell r="E585">
            <v>2021</v>
          </cell>
          <cell r="F585" t="str">
            <v>M346</v>
          </cell>
        </row>
        <row r="586">
          <cell r="D586" t="str">
            <v>@alpharealcapital.com</v>
          </cell>
          <cell r="E586">
            <v>2021</v>
          </cell>
          <cell r="F586" t="str">
            <v>M03348</v>
          </cell>
        </row>
        <row r="587">
          <cell r="D587" t="str">
            <v>@op.fi</v>
          </cell>
          <cell r="E587">
            <v>2021</v>
          </cell>
          <cell r="F587" t="str">
            <v>M122</v>
          </cell>
        </row>
        <row r="588">
          <cell r="D588" t="str">
            <v>@art-invest.de</v>
          </cell>
          <cell r="E588">
            <v>2021</v>
          </cell>
          <cell r="F588" t="str">
            <v>M600</v>
          </cell>
        </row>
        <row r="589">
          <cell r="D589" t="str">
            <v>@clearbell.com</v>
          </cell>
          <cell r="E589">
            <v>2021</v>
          </cell>
          <cell r="F589" t="str">
            <v>M768</v>
          </cell>
        </row>
        <row r="590">
          <cell r="D590" t="str">
            <v>@bouwinvest.nl</v>
          </cell>
          <cell r="E590">
            <v>2021</v>
          </cell>
          <cell r="F590" t="str">
            <v>M660</v>
          </cell>
        </row>
        <row r="591">
          <cell r="D591" t="str">
            <v>@hvr-advisory.com</v>
          </cell>
          <cell r="E591">
            <v>2021</v>
          </cell>
          <cell r="F591" t="str">
            <v>M2529</v>
          </cell>
        </row>
        <row r="592">
          <cell r="D592" t="str">
            <v>@axa-im.com</v>
          </cell>
          <cell r="E592">
            <v>2021</v>
          </cell>
          <cell r="F592" t="str">
            <v>M041</v>
          </cell>
        </row>
        <row r="593">
          <cell r="D593" t="str">
            <v>@aermont.com</v>
          </cell>
          <cell r="E593">
            <v>2021</v>
          </cell>
          <cell r="F593" t="str">
            <v>M377</v>
          </cell>
        </row>
        <row r="594">
          <cell r="D594" t="str">
            <v>@capragp.com</v>
          </cell>
          <cell r="E594">
            <v>2021</v>
          </cell>
          <cell r="F594" t="str">
            <v>M613</v>
          </cell>
        </row>
        <row r="595">
          <cell r="D595" t="str">
            <v>@eu.aew.com</v>
          </cell>
          <cell r="E595">
            <v>2021</v>
          </cell>
          <cell r="F595" t="str">
            <v>M004</v>
          </cell>
        </row>
        <row r="596">
          <cell r="D596" t="str">
            <v>@aresmgmt.com</v>
          </cell>
          <cell r="E596">
            <v>2021</v>
          </cell>
          <cell r="F596" t="str">
            <v>M091</v>
          </cell>
        </row>
        <row r="597">
          <cell r="D597" t="str">
            <v>@areim.se</v>
          </cell>
          <cell r="E597">
            <v>2021</v>
          </cell>
          <cell r="F597" t="str">
            <v>M086</v>
          </cell>
        </row>
        <row r="598">
          <cell r="D598" t="str">
            <v>@m7re.eu</v>
          </cell>
          <cell r="E598">
            <v>2021</v>
          </cell>
          <cell r="F598" t="str">
            <v>M2505</v>
          </cell>
        </row>
        <row r="599">
          <cell r="D599" t="str">
            <v>@lasalle.com</v>
          </cell>
          <cell r="E599">
            <v>2021</v>
          </cell>
          <cell r="F599" t="str">
            <v>M020</v>
          </cell>
        </row>
        <row r="600">
          <cell r="D600" t="str">
            <v>@roundhillcapital.com</v>
          </cell>
          <cell r="E600">
            <v>2021</v>
          </cell>
          <cell r="F600" t="str">
            <v>M2856</v>
          </cell>
        </row>
        <row r="601">
          <cell r="D601" t="str">
            <v>@reggeborghvastgoed.nl</v>
          </cell>
          <cell r="E601">
            <v>2021</v>
          </cell>
          <cell r="F601" t="str">
            <v>M647</v>
          </cell>
        </row>
        <row r="602">
          <cell r="D602" t="str">
            <v>@lgim.com</v>
          </cell>
          <cell r="E602">
            <v>2021</v>
          </cell>
          <cell r="F602" t="str">
            <v>M465</v>
          </cell>
        </row>
        <row r="603">
          <cell r="D603" t="str">
            <v>@brookfield.com</v>
          </cell>
          <cell r="E603">
            <v>2021</v>
          </cell>
          <cell r="F603" t="str">
            <v>M233</v>
          </cell>
        </row>
        <row r="604">
          <cell r="D604" t="str">
            <v>@icgam.com</v>
          </cell>
          <cell r="E604">
            <v>2021</v>
          </cell>
          <cell r="F604" t="str">
            <v>M674</v>
          </cell>
        </row>
        <row r="605">
          <cell r="D605" t="str">
            <v>@nrep.com</v>
          </cell>
          <cell r="E605">
            <v>2021</v>
          </cell>
          <cell r="F605" t="str">
            <v>M305</v>
          </cell>
        </row>
        <row r="606">
          <cell r="D606" t="str">
            <v>@frogmore.co.uk</v>
          </cell>
          <cell r="E606">
            <v>2021</v>
          </cell>
          <cell r="F606" t="str">
            <v>M490</v>
          </cell>
        </row>
        <row r="607">
          <cell r="D607" t="str">
            <v>@immofinre.com</v>
          </cell>
          <cell r="E607">
            <v>2021</v>
          </cell>
          <cell r="F607" t="str">
            <v>M05136</v>
          </cell>
        </row>
        <row r="608">
          <cell r="D608" t="str">
            <v>@fabricasgr.it</v>
          </cell>
          <cell r="E608">
            <v>2021</v>
          </cell>
          <cell r="F608" t="str">
            <v>M670</v>
          </cell>
        </row>
        <row r="609">
          <cell r="D609" t="str">
            <v>@cordinggroup.com</v>
          </cell>
          <cell r="E609">
            <v>2021</v>
          </cell>
          <cell r="F609" t="str">
            <v>M506</v>
          </cell>
        </row>
        <row r="610">
          <cell r="D610" t="str">
            <v>@storebrand.no</v>
          </cell>
          <cell r="E610">
            <v>2021</v>
          </cell>
          <cell r="F610" t="str">
            <v>M019</v>
          </cell>
        </row>
        <row r="611">
          <cell r="D611" t="str">
            <v>@dtzinvestors.com</v>
          </cell>
          <cell r="E611">
            <v>2021</v>
          </cell>
          <cell r="F611" t="str">
            <v>M105</v>
          </cell>
        </row>
        <row r="612">
          <cell r="D612" t="str">
            <v>@niam.se</v>
          </cell>
          <cell r="E612">
            <v>2021</v>
          </cell>
          <cell r="F612" t="str">
            <v>M013</v>
          </cell>
        </row>
        <row r="613">
          <cell r="D613" t="str">
            <v>@alteravastgoed.nl</v>
          </cell>
          <cell r="E613">
            <v>2021</v>
          </cell>
          <cell r="F613" t="str">
            <v>M021</v>
          </cell>
        </row>
        <row r="614">
          <cell r="D614" t="str">
            <v>@altamarcapital.com</v>
          </cell>
          <cell r="E614">
            <v>2021</v>
          </cell>
          <cell r="F614" t="str">
            <v>M226</v>
          </cell>
        </row>
        <row r="615">
          <cell r="D615" t="str">
            <v>@jensen.ru</v>
          </cell>
          <cell r="E615">
            <v>2020</v>
          </cell>
          <cell r="F615" t="str">
            <v>M662</v>
          </cell>
        </row>
        <row r="616">
          <cell r="D616" t="str">
            <v>@kgal.de</v>
          </cell>
          <cell r="E616">
            <v>2020</v>
          </cell>
          <cell r="F616" t="str">
            <v>M637</v>
          </cell>
        </row>
        <row r="617">
          <cell r="D617" t="str">
            <v>@ainahospitality.com</v>
          </cell>
          <cell r="E617">
            <v>2020</v>
          </cell>
          <cell r="F617" t="str">
            <v>M2739</v>
          </cell>
        </row>
        <row r="618">
          <cell r="D618" t="str">
            <v>@apachecapital.co.uk</v>
          </cell>
          <cell r="E618">
            <v>2020</v>
          </cell>
          <cell r="F618" t="str">
            <v>M03289</v>
          </cell>
        </row>
        <row r="619">
          <cell r="D619" t="str">
            <v>@colliers.it</v>
          </cell>
          <cell r="E619">
            <v>2020</v>
          </cell>
          <cell r="F619" t="str">
            <v>M776</v>
          </cell>
        </row>
        <row r="620">
          <cell r="D620" t="str">
            <v>@pradera.com</v>
          </cell>
          <cell r="E620">
            <v>2020</v>
          </cell>
          <cell r="F620" t="str">
            <v>M093</v>
          </cell>
        </row>
        <row r="621">
          <cell r="D621" t="str">
            <v>@redevco.com</v>
          </cell>
          <cell r="E621">
            <v>2020</v>
          </cell>
          <cell r="F621" t="str">
            <v>M036</v>
          </cell>
        </row>
        <row r="622">
          <cell r="D622" t="str">
            <v>@hotmail.com</v>
          </cell>
          <cell r="E622">
            <v>2020</v>
          </cell>
          <cell r="F622" t="str">
            <v>M069</v>
          </cell>
        </row>
        <row r="623">
          <cell r="D623" t="str">
            <v>@grosvenor.com</v>
          </cell>
          <cell r="E623">
            <v>2020</v>
          </cell>
          <cell r="F623" t="str">
            <v>M052</v>
          </cell>
        </row>
        <row r="624">
          <cell r="D624" t="str">
            <v>@savillsim.com</v>
          </cell>
          <cell r="E624">
            <v>2020</v>
          </cell>
          <cell r="F624" t="str">
            <v>M079</v>
          </cell>
        </row>
        <row r="625">
          <cell r="D625" t="str">
            <v>@altis.ch</v>
          </cell>
          <cell r="E625">
            <v>2020</v>
          </cell>
          <cell r="F625" t="str">
            <v>M03401</v>
          </cell>
        </row>
        <row r="626">
          <cell r="D626" t="str">
            <v>@dnb.no</v>
          </cell>
          <cell r="E626">
            <v>2020</v>
          </cell>
          <cell r="F626" t="str">
            <v>M209</v>
          </cell>
        </row>
        <row r="627">
          <cell r="D627" t="str">
            <v>@eqtpartners.com</v>
          </cell>
          <cell r="E627">
            <v>2020</v>
          </cell>
          <cell r="F627" t="str">
            <v>M742</v>
          </cell>
        </row>
        <row r="628">
          <cell r="D628" t="str">
            <v>@project-investment.de</v>
          </cell>
          <cell r="E628">
            <v>2020</v>
          </cell>
          <cell r="F628" t="str">
            <v>M680</v>
          </cell>
        </row>
        <row r="629">
          <cell r="D629" t="str">
            <v>@deutsche-finance.de</v>
          </cell>
          <cell r="E629">
            <v>2020</v>
          </cell>
          <cell r="F629" t="str">
            <v>M2875</v>
          </cell>
        </row>
        <row r="630">
          <cell r="D630" t="str">
            <v>@amvest.nl</v>
          </cell>
          <cell r="E630">
            <v>2020</v>
          </cell>
          <cell r="F630" t="str">
            <v>M015</v>
          </cell>
        </row>
        <row r="631">
          <cell r="D631" t="str">
            <v>@helaba-invest.de</v>
          </cell>
          <cell r="E631">
            <v>2020</v>
          </cell>
          <cell r="F631" t="str">
            <v>M663</v>
          </cell>
        </row>
        <row r="632">
          <cell r="D632" t="str">
            <v>@arbip.com</v>
          </cell>
          <cell r="E632">
            <v>2020</v>
          </cell>
          <cell r="F632" t="str">
            <v>M2706</v>
          </cell>
        </row>
        <row r="633">
          <cell r="D633" t="str">
            <v>@heitman.com</v>
          </cell>
          <cell r="E633">
            <v>2020</v>
          </cell>
          <cell r="F633" t="str">
            <v>M107</v>
          </cell>
        </row>
        <row r="634">
          <cell r="D634" t="str">
            <v>@garbe.de</v>
          </cell>
          <cell r="E634">
            <v>2020</v>
          </cell>
          <cell r="F634" t="str">
            <v>M300</v>
          </cell>
        </row>
        <row r="635">
          <cell r="D635" t="str">
            <v>@la-francaise.com</v>
          </cell>
          <cell r="E635">
            <v>2020</v>
          </cell>
          <cell r="F635" t="str">
            <v>M379</v>
          </cell>
        </row>
        <row r="636">
          <cell r="D636" t="str">
            <v>@patrizia.ag</v>
          </cell>
          <cell r="E636">
            <v>2020</v>
          </cell>
          <cell r="F636" t="str">
            <v>M180</v>
          </cell>
        </row>
        <row r="637">
          <cell r="D637" t="str">
            <v>@geg.de</v>
          </cell>
          <cell r="E637">
            <v>2020</v>
          </cell>
          <cell r="F637" t="str">
            <v>M2590</v>
          </cell>
        </row>
        <row r="638">
          <cell r="D638" t="str">
            <v>@aquila-capital.com</v>
          </cell>
          <cell r="E638">
            <v>2020</v>
          </cell>
          <cell r="F638" t="str">
            <v>M2842</v>
          </cell>
        </row>
        <row r="639">
          <cell r="D639" t="str">
            <v>@aitchison.biz</v>
          </cell>
          <cell r="E639">
            <v>2020</v>
          </cell>
          <cell r="F639" t="str">
            <v>M04070</v>
          </cell>
        </row>
        <row r="640">
          <cell r="D640" t="str">
            <v>@hollandimmogroup.nl</v>
          </cell>
          <cell r="E640">
            <v>2020</v>
          </cell>
          <cell r="F640" t="str">
            <v>M108</v>
          </cell>
        </row>
        <row r="641">
          <cell r="D641" t="str">
            <v>@credit-suisse.com</v>
          </cell>
          <cell r="E641">
            <v>2020</v>
          </cell>
          <cell r="F641" t="str">
            <v>M04230</v>
          </cell>
        </row>
        <row r="642">
          <cell r="D642" t="str">
            <v>@vesteda.com</v>
          </cell>
          <cell r="E642">
            <v>2020</v>
          </cell>
          <cell r="F642" t="str">
            <v>M040</v>
          </cell>
        </row>
        <row r="643">
          <cell r="D643" t="str">
            <v>@evidence-capital.co.uk</v>
          </cell>
          <cell r="E643">
            <v>2020</v>
          </cell>
          <cell r="F643" t="str">
            <v>M03216</v>
          </cell>
        </row>
        <row r="644">
          <cell r="D644" t="str">
            <v>@kristensenproperties.com</v>
          </cell>
          <cell r="E644">
            <v>2020</v>
          </cell>
          <cell r="F644" t="str">
            <v>M160</v>
          </cell>
        </row>
        <row r="645">
          <cell r="D645" t="str">
            <v>@fil.com</v>
          </cell>
          <cell r="E645">
            <v>2020</v>
          </cell>
          <cell r="F645" t="str">
            <v>M250</v>
          </cell>
        </row>
        <row r="646">
          <cell r="D646" t="str">
            <v>@bcpartners.com</v>
          </cell>
          <cell r="E646">
            <v>2020</v>
          </cell>
          <cell r="F646" t="str">
            <v>M03207</v>
          </cell>
        </row>
        <row r="647">
          <cell r="D647" t="str">
            <v>@dws.com</v>
          </cell>
          <cell r="E647">
            <v>2020</v>
          </cell>
          <cell r="F647" t="str">
            <v>M085</v>
          </cell>
        </row>
        <row r="648">
          <cell r="D648" t="str">
            <v>@trevian.fi</v>
          </cell>
          <cell r="E648">
            <v>2020</v>
          </cell>
          <cell r="F648" t="str">
            <v>M777</v>
          </cell>
        </row>
        <row r="649">
          <cell r="D649" t="str">
            <v>@asr.nl</v>
          </cell>
          <cell r="E649">
            <v>2020</v>
          </cell>
          <cell r="F649" t="str">
            <v>M278</v>
          </cell>
        </row>
        <row r="650">
          <cell r="D650" t="str">
            <v>@lbofrance.com</v>
          </cell>
          <cell r="E650">
            <v>2020</v>
          </cell>
          <cell r="F650" t="str">
            <v>M2638</v>
          </cell>
        </row>
        <row r="651">
          <cell r="D651" t="str">
            <v>@landmarkpartners.com</v>
          </cell>
          <cell r="E651">
            <v>2020</v>
          </cell>
          <cell r="F651" t="str">
            <v>M373</v>
          </cell>
        </row>
        <row r="652">
          <cell r="D652" t="str">
            <v>@greystar.com</v>
          </cell>
          <cell r="E652">
            <v>2020</v>
          </cell>
          <cell r="F652" t="str">
            <v>M718</v>
          </cell>
        </row>
        <row r="653">
          <cell r="D653" t="str">
            <v>@warburg-hih.com</v>
          </cell>
          <cell r="E653">
            <v>2020</v>
          </cell>
          <cell r="F653" t="str">
            <v>M277</v>
          </cell>
        </row>
        <row r="654">
          <cell r="D654" t="str">
            <v>@almaproperty.se</v>
          </cell>
          <cell r="E654">
            <v>2020</v>
          </cell>
          <cell r="F654" t="str">
            <v>M736</v>
          </cell>
        </row>
        <row r="655">
          <cell r="D655" t="str">
            <v>@lonestarfunds.com</v>
          </cell>
          <cell r="E655">
            <v>2020</v>
          </cell>
          <cell r="F655" t="str">
            <v>M03119</v>
          </cell>
        </row>
        <row r="656">
          <cell r="D656" t="str">
            <v>@mandg.com</v>
          </cell>
          <cell r="E656">
            <v>2020</v>
          </cell>
          <cell r="F656" t="str">
            <v>M010</v>
          </cell>
        </row>
        <row r="657">
          <cell r="D657" t="str">
            <v>@unitestudents.com</v>
          </cell>
          <cell r="E657">
            <v>2020</v>
          </cell>
          <cell r="F657" t="str">
            <v>M333</v>
          </cell>
        </row>
        <row r="658">
          <cell r="D658" t="str">
            <v>@fonciere-atland.fr</v>
          </cell>
          <cell r="E658">
            <v>2020</v>
          </cell>
          <cell r="F658" t="str">
            <v>M2735</v>
          </cell>
        </row>
        <row r="659">
          <cell r="D659" t="str">
            <v>@lasalle.com</v>
          </cell>
          <cell r="E659">
            <v>2020</v>
          </cell>
          <cell r="F659" t="str">
            <v>M020</v>
          </cell>
        </row>
        <row r="660">
          <cell r="D660" t="str">
            <v>@drccap.com</v>
          </cell>
          <cell r="E660">
            <v>2020</v>
          </cell>
          <cell r="F660" t="str">
            <v>M666</v>
          </cell>
        </row>
        <row r="661">
          <cell r="D661" t="str">
            <v>@catalystcapital.com</v>
          </cell>
          <cell r="E661">
            <v>2020</v>
          </cell>
          <cell r="F661" t="str">
            <v>M310</v>
          </cell>
        </row>
        <row r="662">
          <cell r="D662" t="str">
            <v>@meridiacapital.com</v>
          </cell>
          <cell r="E662">
            <v>2020</v>
          </cell>
          <cell r="F662" t="str">
            <v>M03036</v>
          </cell>
        </row>
        <row r="663">
          <cell r="D663" t="str">
            <v>@lgt.com</v>
          </cell>
          <cell r="E663">
            <v>2020</v>
          </cell>
          <cell r="F663" t="str">
            <v>M411</v>
          </cell>
        </row>
        <row r="664">
          <cell r="D664" t="str">
            <v>@amundi.com</v>
          </cell>
          <cell r="E664">
            <v>2020</v>
          </cell>
          <cell r="F664" t="str">
            <v>M365</v>
          </cell>
        </row>
        <row r="665">
          <cell r="D665" t="str">
            <v>@cainint.com</v>
          </cell>
          <cell r="E665">
            <v>2020</v>
          </cell>
          <cell r="F665" t="str">
            <v>M03265</v>
          </cell>
        </row>
        <row r="666">
          <cell r="D666" t="e">
            <v>#VALUE!</v>
          </cell>
          <cell r="E666">
            <v>2020</v>
          </cell>
          <cell r="F666" t="str">
            <v>M181</v>
          </cell>
        </row>
        <row r="667">
          <cell r="D667" t="str">
            <v>@franklintempleton.com</v>
          </cell>
          <cell r="E667">
            <v>2020</v>
          </cell>
          <cell r="F667" t="str">
            <v>M106</v>
          </cell>
        </row>
        <row r="668">
          <cell r="D668" t="str">
            <v>@nh-cap.com</v>
          </cell>
          <cell r="E668">
            <v>2020</v>
          </cell>
          <cell r="F668" t="str">
            <v>M174</v>
          </cell>
        </row>
        <row r="669">
          <cell r="D669" t="str">
            <v>@ryndaproperty.com</v>
          </cell>
          <cell r="E669">
            <v>2020</v>
          </cell>
          <cell r="F669" t="str">
            <v>M616</v>
          </cell>
        </row>
        <row r="670">
          <cell r="D670" t="str">
            <v>@moorfield.com</v>
          </cell>
          <cell r="E670">
            <v>2020</v>
          </cell>
          <cell r="F670" t="str">
            <v>M655</v>
          </cell>
        </row>
        <row r="671">
          <cell r="D671" t="str">
            <v>@sonaesierra.com</v>
          </cell>
          <cell r="E671">
            <v>2020</v>
          </cell>
          <cell r="F671" t="str">
            <v>M028</v>
          </cell>
        </row>
        <row r="672">
          <cell r="D672" t="str">
            <v>@nrpam.no</v>
          </cell>
          <cell r="E672">
            <v>2020</v>
          </cell>
          <cell r="F672" t="str">
            <v>M03259</v>
          </cell>
        </row>
        <row r="673">
          <cell r="D673" t="str">
            <v>@cbreglobalinvestors.com</v>
          </cell>
          <cell r="E673">
            <v>2020</v>
          </cell>
          <cell r="F673" t="str">
            <v>M231</v>
          </cell>
        </row>
        <row r="674">
          <cell r="D674" t="str">
            <v>@sweco.nl</v>
          </cell>
          <cell r="E674">
            <v>2020</v>
          </cell>
          <cell r="F674" t="str">
            <v>M023</v>
          </cell>
        </row>
        <row r="675">
          <cell r="D675" t="str">
            <v>@tristancap.com</v>
          </cell>
          <cell r="E675">
            <v>2020</v>
          </cell>
          <cell r="F675" t="str">
            <v>M486</v>
          </cell>
        </row>
        <row r="676">
          <cell r="D676" t="str">
            <v>@realisag.de</v>
          </cell>
          <cell r="E676">
            <v>2020</v>
          </cell>
          <cell r="F676" t="str">
            <v>M627</v>
          </cell>
        </row>
        <row r="677">
          <cell r="D677" t="str">
            <v>@hahnag.de</v>
          </cell>
          <cell r="E677">
            <v>2020</v>
          </cell>
          <cell r="F677" t="str">
            <v>M369</v>
          </cell>
        </row>
        <row r="678">
          <cell r="D678" t="str">
            <v>@ardian.com</v>
          </cell>
          <cell r="E678">
            <v>2020</v>
          </cell>
          <cell r="F678" t="str">
            <v>M705</v>
          </cell>
        </row>
        <row r="679">
          <cell r="D679" t="str">
            <v>@lhinv.eu</v>
          </cell>
          <cell r="E679">
            <v>2020</v>
          </cell>
          <cell r="F679" t="str">
            <v>M03301</v>
          </cell>
        </row>
        <row r="680">
          <cell r="D680" t="str">
            <v>@achmeavastgoed.nl</v>
          </cell>
          <cell r="E680">
            <v>2020</v>
          </cell>
          <cell r="F680" t="str">
            <v>M710</v>
          </cell>
        </row>
        <row r="681">
          <cell r="D681" t="str">
            <v>@equityestate.nl</v>
          </cell>
          <cell r="E681">
            <v>2020</v>
          </cell>
          <cell r="F681" t="str">
            <v>M066</v>
          </cell>
        </row>
        <row r="682">
          <cell r="D682" t="str">
            <v>@Invesco.com</v>
          </cell>
          <cell r="E682">
            <v>2020</v>
          </cell>
          <cell r="F682" t="str">
            <v>M114</v>
          </cell>
        </row>
        <row r="683">
          <cell r="D683" t="str">
            <v>@bnpparibas.com</v>
          </cell>
          <cell r="E683">
            <v>2020</v>
          </cell>
          <cell r="F683" t="str">
            <v>M318</v>
          </cell>
        </row>
        <row r="684">
          <cell r="D684" t="str">
            <v>@sirius.fi</v>
          </cell>
          <cell r="E684">
            <v>2020</v>
          </cell>
          <cell r="F684" t="str">
            <v>M757</v>
          </cell>
        </row>
        <row r="685">
          <cell r="D685" t="str">
            <v>@azora.es</v>
          </cell>
          <cell r="E685">
            <v>2020</v>
          </cell>
          <cell r="F685" t="str">
            <v>M03115</v>
          </cell>
        </row>
        <row r="686">
          <cell r="D686" t="str">
            <v>@lothburyim.com</v>
          </cell>
          <cell r="E686">
            <v>2020</v>
          </cell>
          <cell r="F686" t="str">
            <v>M211</v>
          </cell>
        </row>
        <row r="687">
          <cell r="D687" t="str">
            <v>@threestonescapital.com</v>
          </cell>
          <cell r="E687">
            <v>2020</v>
          </cell>
          <cell r="F687" t="str">
            <v>M751</v>
          </cell>
        </row>
        <row r="688">
          <cell r="D688" t="str">
            <v>@icecapital.fi</v>
          </cell>
          <cell r="E688">
            <v>2020</v>
          </cell>
          <cell r="F688" t="str">
            <v>M2656</v>
          </cell>
        </row>
        <row r="689">
          <cell r="D689" t="str">
            <v>@Blackstone.com</v>
          </cell>
          <cell r="E689">
            <v>2020</v>
          </cell>
          <cell r="F689" t="str">
            <v>M178</v>
          </cell>
        </row>
        <row r="690">
          <cell r="D690" t="str">
            <v>@ardstone.com</v>
          </cell>
          <cell r="E690">
            <v>2020</v>
          </cell>
          <cell r="F690" t="str">
            <v>M2581</v>
          </cell>
        </row>
        <row r="691">
          <cell r="D691" t="str">
            <v>@web.de</v>
          </cell>
          <cell r="E691">
            <v>2020</v>
          </cell>
          <cell r="F691" t="str">
            <v>M346</v>
          </cell>
        </row>
        <row r="692">
          <cell r="D692" t="str">
            <v>@alpharealcapital.com</v>
          </cell>
          <cell r="E692">
            <v>2020</v>
          </cell>
          <cell r="F692" t="str">
            <v>M03348</v>
          </cell>
        </row>
        <row r="693">
          <cell r="D693" t="str">
            <v>@op.fi</v>
          </cell>
          <cell r="E693">
            <v>2020</v>
          </cell>
          <cell r="F693" t="str">
            <v>M122</v>
          </cell>
        </row>
        <row r="694">
          <cell r="D694" t="str">
            <v>@art-invest.de</v>
          </cell>
          <cell r="E694">
            <v>2020</v>
          </cell>
          <cell r="F694" t="str">
            <v>M600</v>
          </cell>
        </row>
        <row r="695">
          <cell r="D695" t="str">
            <v>@clearbell.com</v>
          </cell>
          <cell r="E695">
            <v>2020</v>
          </cell>
          <cell r="F695" t="str">
            <v>M768</v>
          </cell>
        </row>
        <row r="696">
          <cell r="D696" t="str">
            <v>@bouwinvest.nl</v>
          </cell>
          <cell r="E696">
            <v>2020</v>
          </cell>
          <cell r="F696" t="str">
            <v>M660</v>
          </cell>
        </row>
        <row r="697">
          <cell r="D697" t="str">
            <v>@hvr-advisory.com</v>
          </cell>
          <cell r="E697">
            <v>2020</v>
          </cell>
          <cell r="F697" t="str">
            <v>M2529</v>
          </cell>
        </row>
        <row r="698">
          <cell r="D698" t="str">
            <v>@axa-im.com</v>
          </cell>
          <cell r="E698">
            <v>2020</v>
          </cell>
          <cell r="F698" t="str">
            <v>M041</v>
          </cell>
        </row>
        <row r="699">
          <cell r="D699" t="str">
            <v>@aermont.com</v>
          </cell>
          <cell r="E699">
            <v>2020</v>
          </cell>
          <cell r="F699" t="str">
            <v>M377</v>
          </cell>
        </row>
        <row r="700">
          <cell r="D700" t="str">
            <v>@capragp.com</v>
          </cell>
          <cell r="E700">
            <v>2020</v>
          </cell>
          <cell r="F700" t="str">
            <v>M613</v>
          </cell>
        </row>
        <row r="701">
          <cell r="D701" t="str">
            <v>@eu.aew.com</v>
          </cell>
          <cell r="E701">
            <v>2020</v>
          </cell>
          <cell r="F701" t="str">
            <v>M004</v>
          </cell>
        </row>
        <row r="702">
          <cell r="D702" t="str">
            <v>@aresmgmt.com</v>
          </cell>
          <cell r="E702">
            <v>2020</v>
          </cell>
          <cell r="F702" t="str">
            <v>M091</v>
          </cell>
        </row>
        <row r="703">
          <cell r="D703" t="str">
            <v>@areim.se</v>
          </cell>
          <cell r="E703">
            <v>2020</v>
          </cell>
          <cell r="F703" t="str">
            <v>M086</v>
          </cell>
        </row>
        <row r="704">
          <cell r="D704" t="str">
            <v>@m7re.eu</v>
          </cell>
          <cell r="E704">
            <v>2020</v>
          </cell>
          <cell r="F704" t="str">
            <v>M2505</v>
          </cell>
        </row>
        <row r="705">
          <cell r="D705" t="str">
            <v>@lasalle.com</v>
          </cell>
          <cell r="E705">
            <v>2020</v>
          </cell>
          <cell r="F705" t="str">
            <v>M020</v>
          </cell>
        </row>
        <row r="706">
          <cell r="D706" t="str">
            <v>@roundhillcapital.com</v>
          </cell>
          <cell r="E706">
            <v>2020</v>
          </cell>
          <cell r="F706" t="str">
            <v>M2856</v>
          </cell>
        </row>
        <row r="707">
          <cell r="D707" t="str">
            <v>@reggeborghvastgoed.nl</v>
          </cell>
          <cell r="E707">
            <v>2020</v>
          </cell>
          <cell r="F707" t="str">
            <v>M647</v>
          </cell>
        </row>
        <row r="708">
          <cell r="D708" t="str">
            <v>@lgim.com</v>
          </cell>
          <cell r="E708">
            <v>2020</v>
          </cell>
          <cell r="F708" t="str">
            <v>M465</v>
          </cell>
        </row>
        <row r="709">
          <cell r="D709" t="str">
            <v>@brookfield.com</v>
          </cell>
          <cell r="E709">
            <v>2020</v>
          </cell>
          <cell r="F709" t="str">
            <v>M233</v>
          </cell>
        </row>
        <row r="710">
          <cell r="D710" t="str">
            <v>@icgam.com</v>
          </cell>
          <cell r="E710">
            <v>2020</v>
          </cell>
          <cell r="F710" t="str">
            <v>M674</v>
          </cell>
        </row>
        <row r="711">
          <cell r="D711" t="str">
            <v>@nrep.com</v>
          </cell>
          <cell r="E711">
            <v>2020</v>
          </cell>
          <cell r="F711" t="str">
            <v>M305</v>
          </cell>
        </row>
        <row r="712">
          <cell r="D712" t="str">
            <v>@frogmore.co.uk</v>
          </cell>
          <cell r="E712">
            <v>2020</v>
          </cell>
          <cell r="F712" t="str">
            <v>M490</v>
          </cell>
        </row>
        <row r="713">
          <cell r="D713" t="str">
            <v>@immofinre.com</v>
          </cell>
          <cell r="E713">
            <v>2020</v>
          </cell>
          <cell r="F713" t="str">
            <v>M05136</v>
          </cell>
        </row>
        <row r="714">
          <cell r="D714" t="str">
            <v>@fabricasgr.it</v>
          </cell>
          <cell r="E714">
            <v>2020</v>
          </cell>
          <cell r="F714" t="str">
            <v>M670</v>
          </cell>
        </row>
        <row r="715">
          <cell r="D715" t="str">
            <v>@cordinggroup.com</v>
          </cell>
          <cell r="E715">
            <v>2020</v>
          </cell>
          <cell r="F715" t="str">
            <v>M506</v>
          </cell>
        </row>
        <row r="716">
          <cell r="D716" t="str">
            <v>@storebrand.no</v>
          </cell>
          <cell r="E716">
            <v>2020</v>
          </cell>
          <cell r="F716" t="str">
            <v>M019</v>
          </cell>
        </row>
        <row r="717">
          <cell r="D717" t="str">
            <v>@dtzinvestors.com</v>
          </cell>
          <cell r="E717">
            <v>2020</v>
          </cell>
          <cell r="F717" t="str">
            <v>M105</v>
          </cell>
        </row>
        <row r="718">
          <cell r="D718" t="str">
            <v>@niam.se</v>
          </cell>
          <cell r="E718">
            <v>2020</v>
          </cell>
          <cell r="F718" t="str">
            <v>M013</v>
          </cell>
        </row>
        <row r="719">
          <cell r="D719" t="str">
            <v>@alteravastgoed.nl</v>
          </cell>
          <cell r="E719">
            <v>2020</v>
          </cell>
          <cell r="F719" t="str">
            <v>M021</v>
          </cell>
        </row>
        <row r="720">
          <cell r="D720" t="str">
            <v>@altamarcapital.com</v>
          </cell>
          <cell r="E720">
            <v>2020</v>
          </cell>
          <cell r="F720" t="str">
            <v>M226</v>
          </cell>
        </row>
        <row r="721">
          <cell r="D721" t="str">
            <v>@steenstrom.com</v>
          </cell>
          <cell r="E721">
            <v>2019</v>
          </cell>
          <cell r="F721" t="str">
            <v>M676</v>
          </cell>
        </row>
        <row r="722">
          <cell r="D722" t="str">
            <v>@frogmore.co.uk</v>
          </cell>
          <cell r="E722">
            <v>2019</v>
          </cell>
          <cell r="F722" t="str">
            <v>M490</v>
          </cell>
        </row>
        <row r="723">
          <cell r="D723" t="str">
            <v>@project-investment.de</v>
          </cell>
          <cell r="E723">
            <v>2019</v>
          </cell>
          <cell r="F723" t="str">
            <v>M680</v>
          </cell>
        </row>
        <row r="724">
          <cell r="D724" t="str">
            <v>@kristensenproperties.com</v>
          </cell>
          <cell r="E724">
            <v>2019</v>
          </cell>
          <cell r="F724" t="str">
            <v>M160</v>
          </cell>
        </row>
        <row r="725">
          <cell r="D725" t="str">
            <v>@kamescapital.com</v>
          </cell>
          <cell r="E725">
            <v>2019</v>
          </cell>
          <cell r="F725" t="str">
            <v>M291</v>
          </cell>
        </row>
        <row r="726">
          <cell r="D726" t="str">
            <v>@elysianresidences.com</v>
          </cell>
          <cell r="E726">
            <v>2019</v>
          </cell>
          <cell r="F726" t="str">
            <v>M03091</v>
          </cell>
        </row>
        <row r="727">
          <cell r="D727" t="str">
            <v xml:space="preserve">@longharbour.co.uk </v>
          </cell>
          <cell r="E727">
            <v>2019</v>
          </cell>
          <cell r="F727" t="str">
            <v>M03137</v>
          </cell>
        </row>
        <row r="728">
          <cell r="D728" t="str">
            <v>@kgal.de</v>
          </cell>
          <cell r="E728">
            <v>2019</v>
          </cell>
          <cell r="F728" t="str">
            <v>M637</v>
          </cell>
        </row>
        <row r="729">
          <cell r="D729" t="str">
            <v>@icecapital.fi</v>
          </cell>
          <cell r="E729">
            <v>2019</v>
          </cell>
          <cell r="F729" t="str">
            <v>M2656</v>
          </cell>
        </row>
        <row r="730">
          <cell r="D730" t="str">
            <v>@lgt.com</v>
          </cell>
          <cell r="E730">
            <v>2019</v>
          </cell>
          <cell r="F730" t="str">
            <v>M411</v>
          </cell>
        </row>
        <row r="731">
          <cell r="D731" t="str">
            <v>@fokusasset.dk</v>
          </cell>
          <cell r="E731">
            <v>2019</v>
          </cell>
          <cell r="F731" t="str">
            <v>M2838</v>
          </cell>
        </row>
        <row r="732">
          <cell r="D732" t="str">
            <v>@immofinre.com</v>
          </cell>
          <cell r="E732">
            <v>2019</v>
          </cell>
          <cell r="F732" t="str">
            <v>M05136</v>
          </cell>
        </row>
        <row r="733">
          <cell r="D733" t="str">
            <v>@ryndaproperty.com</v>
          </cell>
          <cell r="E733">
            <v>2019</v>
          </cell>
          <cell r="F733" t="str">
            <v>M616</v>
          </cell>
        </row>
        <row r="734">
          <cell r="D734" t="str">
            <v>@bcpartners.com</v>
          </cell>
          <cell r="E734">
            <v>2019</v>
          </cell>
          <cell r="F734" t="str">
            <v>M03207</v>
          </cell>
        </row>
        <row r="735">
          <cell r="D735" t="str">
            <v>@activumsg.com</v>
          </cell>
          <cell r="E735">
            <v>2019</v>
          </cell>
          <cell r="F735" t="str">
            <v>M2529</v>
          </cell>
        </row>
        <row r="736">
          <cell r="D736" t="str">
            <v>@ece.com</v>
          </cell>
          <cell r="E736">
            <v>2019</v>
          </cell>
          <cell r="F736" t="str">
            <v>M657</v>
          </cell>
        </row>
        <row r="737">
          <cell r="D737" t="str">
            <v>@pradera.com</v>
          </cell>
          <cell r="E737">
            <v>2019</v>
          </cell>
          <cell r="F737" t="str">
            <v>M093</v>
          </cell>
        </row>
        <row r="738">
          <cell r="D738" t="str">
            <v>@lbofrance.com</v>
          </cell>
          <cell r="E738">
            <v>2019</v>
          </cell>
          <cell r="F738" t="str">
            <v>M2638</v>
          </cell>
        </row>
        <row r="739">
          <cell r="D739" t="str">
            <v>@inrev.org</v>
          </cell>
          <cell r="E739">
            <v>2019</v>
          </cell>
          <cell r="F739" t="str">
            <v>M636</v>
          </cell>
        </row>
        <row r="740">
          <cell r="D740" t="str">
            <v>@amvest.nl</v>
          </cell>
          <cell r="E740">
            <v>2019</v>
          </cell>
          <cell r="F740" t="str">
            <v>M015</v>
          </cell>
        </row>
        <row r="741">
          <cell r="D741" t="str">
            <v>@trilogyproperty.com</v>
          </cell>
          <cell r="E741">
            <v>2019</v>
          </cell>
          <cell r="F741" t="str">
            <v>M03032</v>
          </cell>
        </row>
        <row r="742">
          <cell r="D742" t="str">
            <v>@ainahospitality.com</v>
          </cell>
          <cell r="E742">
            <v>2019</v>
          </cell>
          <cell r="F742" t="str">
            <v>M2739</v>
          </cell>
        </row>
        <row r="743">
          <cell r="D743" t="str">
            <v>@reggeborghvastgoed.nl</v>
          </cell>
          <cell r="E743">
            <v>2019</v>
          </cell>
          <cell r="F743" t="str">
            <v>M647</v>
          </cell>
        </row>
        <row r="744">
          <cell r="D744" t="str">
            <v>@lasalle.com</v>
          </cell>
          <cell r="E744">
            <v>2019</v>
          </cell>
          <cell r="F744" t="str">
            <v>M020</v>
          </cell>
        </row>
        <row r="745">
          <cell r="D745" t="str">
            <v>@unitestudents.com</v>
          </cell>
          <cell r="E745">
            <v>2019</v>
          </cell>
          <cell r="F745" t="str">
            <v>M333</v>
          </cell>
        </row>
        <row r="746">
          <cell r="D746" t="str">
            <v>@breevast.nl</v>
          </cell>
          <cell r="E746">
            <v>2019</v>
          </cell>
          <cell r="F746" t="str">
            <v>M308</v>
          </cell>
        </row>
        <row r="747">
          <cell r="D747" t="str">
            <v>@inrev.org</v>
          </cell>
          <cell r="E747">
            <v>2019</v>
          </cell>
          <cell r="F747" t="str">
            <v>M319</v>
          </cell>
        </row>
        <row r="748">
          <cell r="D748" t="str">
            <v>@ubs.com</v>
          </cell>
          <cell r="E748">
            <v>2019</v>
          </cell>
          <cell r="F748" t="str">
            <v>M064</v>
          </cell>
        </row>
        <row r="749">
          <cell r="D749" t="str">
            <v>@axa-im.com</v>
          </cell>
          <cell r="E749">
            <v>2019</v>
          </cell>
          <cell r="F749" t="str">
            <v>M041</v>
          </cell>
        </row>
        <row r="750">
          <cell r="D750" t="str">
            <v>@eu.aew.com</v>
          </cell>
          <cell r="E750">
            <v>2019</v>
          </cell>
          <cell r="F750" t="str">
            <v>M004</v>
          </cell>
        </row>
        <row r="751">
          <cell r="D751" t="str">
            <v>@la-francaise.com</v>
          </cell>
          <cell r="E751">
            <v>2019</v>
          </cell>
          <cell r="F751" t="str">
            <v>M379</v>
          </cell>
        </row>
        <row r="752">
          <cell r="D752" t="str">
            <v>@savillsim.com</v>
          </cell>
          <cell r="E752">
            <v>2019</v>
          </cell>
          <cell r="F752" t="str">
            <v>M079</v>
          </cell>
        </row>
        <row r="753">
          <cell r="D753" t="str">
            <v>@helaba-invest.de</v>
          </cell>
          <cell r="E753">
            <v>2019</v>
          </cell>
          <cell r="F753" t="str">
            <v>M663</v>
          </cell>
        </row>
        <row r="754">
          <cell r="D754" t="str">
            <v>@bnpparibas.com</v>
          </cell>
          <cell r="E754">
            <v>2019</v>
          </cell>
          <cell r="F754" t="str">
            <v>M318</v>
          </cell>
        </row>
        <row r="755">
          <cell r="D755" t="str">
            <v>@aresmgmt.com</v>
          </cell>
          <cell r="E755">
            <v>2019</v>
          </cell>
          <cell r="F755" t="str">
            <v>M091</v>
          </cell>
        </row>
        <row r="756">
          <cell r="D756" t="str">
            <v>@tristancap.com</v>
          </cell>
          <cell r="E756">
            <v>2019</v>
          </cell>
          <cell r="F756" t="str">
            <v>M486</v>
          </cell>
        </row>
        <row r="757">
          <cell r="D757" t="str">
            <v>@dws.com</v>
          </cell>
          <cell r="E757">
            <v>2019</v>
          </cell>
          <cell r="F757" t="str">
            <v>M085</v>
          </cell>
        </row>
        <row r="758">
          <cell r="D758" t="str">
            <v>@patrizia.ag</v>
          </cell>
          <cell r="E758">
            <v>2019</v>
          </cell>
          <cell r="F758" t="str">
            <v>M180</v>
          </cell>
        </row>
        <row r="759">
          <cell r="D759" t="str">
            <v>@amundi.com</v>
          </cell>
          <cell r="E759">
            <v>2019</v>
          </cell>
          <cell r="F759" t="str">
            <v>M365</v>
          </cell>
        </row>
        <row r="760">
          <cell r="D760" t="str">
            <v>@aermont.com</v>
          </cell>
          <cell r="E760">
            <v>2019</v>
          </cell>
          <cell r="F760" t="str">
            <v>M377</v>
          </cell>
        </row>
        <row r="761">
          <cell r="D761" t="str">
            <v>@achmeavastgoed.nl</v>
          </cell>
          <cell r="E761">
            <v>2019</v>
          </cell>
          <cell r="F761" t="str">
            <v>M710</v>
          </cell>
        </row>
        <row r="762">
          <cell r="D762" t="str">
            <v>@inrev.org</v>
          </cell>
          <cell r="E762">
            <v>2019</v>
          </cell>
          <cell r="F762" t="str">
            <v>M054</v>
          </cell>
        </row>
        <row r="763">
          <cell r="D763" t="str">
            <v>@partnersgroup.com</v>
          </cell>
          <cell r="E763">
            <v>2019</v>
          </cell>
          <cell r="F763" t="str">
            <v>M672</v>
          </cell>
        </row>
        <row r="764">
          <cell r="D764" t="str">
            <v>@mandg.com</v>
          </cell>
          <cell r="E764">
            <v>2019</v>
          </cell>
          <cell r="F764" t="str">
            <v>M010</v>
          </cell>
        </row>
        <row r="765">
          <cell r="D765" t="str">
            <v>@rockpointgroup.com</v>
          </cell>
          <cell r="E765">
            <v>2019</v>
          </cell>
          <cell r="F765" t="str">
            <v>M527</v>
          </cell>
        </row>
        <row r="766">
          <cell r="D766" t="str">
            <v>@roundhillcapital.com</v>
          </cell>
          <cell r="E766">
            <v>2019</v>
          </cell>
          <cell r="F766" t="str">
            <v>M2856</v>
          </cell>
        </row>
        <row r="767">
          <cell r="D767" t="str">
            <v>@lgim.com</v>
          </cell>
          <cell r="E767">
            <v>2019</v>
          </cell>
          <cell r="F767" t="str">
            <v>M465</v>
          </cell>
        </row>
        <row r="768">
          <cell r="D768" t="str">
            <v>@vesteda.com</v>
          </cell>
          <cell r="E768">
            <v>2019</v>
          </cell>
          <cell r="F768" t="str">
            <v>M040</v>
          </cell>
        </row>
        <row r="769">
          <cell r="D769" t="str">
            <v>@aberdeen-asset.com</v>
          </cell>
          <cell r="E769">
            <v>2019</v>
          </cell>
          <cell r="F769" t="str">
            <v>M675</v>
          </cell>
        </row>
        <row r="770">
          <cell r="D770" t="str">
            <v>@deka.de</v>
          </cell>
          <cell r="E770">
            <v>2019</v>
          </cell>
          <cell r="F770" t="str">
            <v>M119</v>
          </cell>
        </row>
        <row r="771">
          <cell r="D771" t="str">
            <v>@niam.se</v>
          </cell>
          <cell r="E771">
            <v>2019</v>
          </cell>
          <cell r="F771" t="str">
            <v>M013</v>
          </cell>
        </row>
        <row r="772">
          <cell r="D772" t="str">
            <v>@sfp.ch</v>
          </cell>
          <cell r="E772">
            <v>2019</v>
          </cell>
          <cell r="F772" t="str">
            <v>M03114</v>
          </cell>
        </row>
        <row r="773">
          <cell r="D773" t="str">
            <v>@bensonelliot.com</v>
          </cell>
          <cell r="E773">
            <v>2019</v>
          </cell>
          <cell r="F773" t="str">
            <v>M2708</v>
          </cell>
        </row>
        <row r="774">
          <cell r="D774" t="str">
            <v>@icgam.com</v>
          </cell>
          <cell r="E774">
            <v>2019</v>
          </cell>
          <cell r="F774" t="str">
            <v>M674</v>
          </cell>
        </row>
        <row r="775">
          <cell r="D775" t="str">
            <v>@azora.es</v>
          </cell>
          <cell r="E775">
            <v>2019</v>
          </cell>
          <cell r="F775" t="str">
            <v>M03115</v>
          </cell>
        </row>
        <row r="776">
          <cell r="D776" t="str">
            <v>@bouwinvest.nl</v>
          </cell>
          <cell r="E776">
            <v>2019</v>
          </cell>
          <cell r="F776" t="str">
            <v>M660</v>
          </cell>
        </row>
        <row r="777">
          <cell r="D777" t="str">
            <v>@corestate-capital.com</v>
          </cell>
          <cell r="E777">
            <v>2019</v>
          </cell>
          <cell r="F777" t="str">
            <v>M252</v>
          </cell>
        </row>
        <row r="778">
          <cell r="D778" t="str">
            <v>@nrep.com</v>
          </cell>
          <cell r="E778">
            <v>2019</v>
          </cell>
          <cell r="F778" t="str">
            <v>M305</v>
          </cell>
        </row>
        <row r="779">
          <cell r="D779" t="str">
            <v>@crowholdings.com</v>
          </cell>
          <cell r="E779">
            <v>2019</v>
          </cell>
          <cell r="F779" t="str">
            <v>M2548</v>
          </cell>
        </row>
        <row r="780">
          <cell r="D780" t="str">
            <v>@asr.nl</v>
          </cell>
          <cell r="E780">
            <v>2019</v>
          </cell>
          <cell r="F780" t="str">
            <v>M278</v>
          </cell>
        </row>
        <row r="781">
          <cell r="D781" t="str">
            <v>@quantum.ag</v>
          </cell>
          <cell r="E781">
            <v>2019</v>
          </cell>
          <cell r="F781" t="str">
            <v>M346</v>
          </cell>
        </row>
        <row r="782">
          <cell r="D782" t="str">
            <v>@carlyle.com</v>
          </cell>
          <cell r="E782">
            <v>2019</v>
          </cell>
          <cell r="F782" t="str">
            <v>M769</v>
          </cell>
        </row>
        <row r="783">
          <cell r="D783" t="str">
            <v>@drccap.com</v>
          </cell>
          <cell r="E783">
            <v>2019</v>
          </cell>
          <cell r="F783" t="str">
            <v>M666</v>
          </cell>
        </row>
        <row r="784">
          <cell r="D784" t="str">
            <v>@schroders.com</v>
          </cell>
          <cell r="E784">
            <v>2019</v>
          </cell>
          <cell r="F784" t="str">
            <v>M037</v>
          </cell>
        </row>
        <row r="785">
          <cell r="D785" t="str">
            <v>@inrev.org</v>
          </cell>
          <cell r="E785">
            <v>2019</v>
          </cell>
          <cell r="F785" t="str">
            <v>M045</v>
          </cell>
        </row>
        <row r="786">
          <cell r="D786" t="str">
            <v>@madisonint.com</v>
          </cell>
          <cell r="E786">
            <v>2019</v>
          </cell>
          <cell r="F786" t="str">
            <v>M201</v>
          </cell>
        </row>
        <row r="787">
          <cell r="D787" t="str">
            <v>@geg.de</v>
          </cell>
          <cell r="E787">
            <v>2019</v>
          </cell>
          <cell r="F787" t="str">
            <v>M2590</v>
          </cell>
        </row>
        <row r="788">
          <cell r="D788" t="str">
            <v>@areim.se</v>
          </cell>
          <cell r="E788">
            <v>2019</v>
          </cell>
          <cell r="F788" t="str">
            <v>M086</v>
          </cell>
        </row>
        <row r="789">
          <cell r="D789" t="str">
            <v>@ircp.com</v>
          </cell>
          <cell r="E789">
            <v>2019</v>
          </cell>
          <cell r="F789">
            <v>0</v>
          </cell>
        </row>
        <row r="790">
          <cell r="D790" t="str">
            <v>@sonaesierra.com</v>
          </cell>
          <cell r="E790">
            <v>2019</v>
          </cell>
          <cell r="F790" t="str">
            <v>M028</v>
          </cell>
        </row>
        <row r="791">
          <cell r="D791" t="str">
            <v>@stam-europe.com</v>
          </cell>
          <cell r="E791">
            <v>2019</v>
          </cell>
          <cell r="F791" t="str">
            <v>M128</v>
          </cell>
        </row>
        <row r="792">
          <cell r="D792" t="str">
            <v>@colliers.it</v>
          </cell>
          <cell r="E792">
            <v>2019</v>
          </cell>
          <cell r="F792" t="str">
            <v>M776</v>
          </cell>
        </row>
        <row r="793">
          <cell r="D793" t="str">
            <v>@fabricasgr.it</v>
          </cell>
          <cell r="E793">
            <v>2019</v>
          </cell>
          <cell r="F793" t="str">
            <v>M670</v>
          </cell>
        </row>
        <row r="794">
          <cell r="D794" t="str">
            <v>@art-invest.de</v>
          </cell>
          <cell r="E794">
            <v>2019</v>
          </cell>
          <cell r="F794" t="str">
            <v>M600</v>
          </cell>
        </row>
        <row r="795">
          <cell r="D795" t="str">
            <v>@octopusinvestments.com</v>
          </cell>
          <cell r="E795">
            <v>2019</v>
          </cell>
          <cell r="F795" t="str">
            <v>M2762</v>
          </cell>
        </row>
        <row r="796">
          <cell r="D796" t="str">
            <v>@europacapital.com</v>
          </cell>
          <cell r="E796">
            <v>2019</v>
          </cell>
          <cell r="F796" t="str">
            <v>M111</v>
          </cell>
        </row>
        <row r="797">
          <cell r="D797" t="str">
            <v>@catalystcapital.com</v>
          </cell>
          <cell r="E797">
            <v>2019</v>
          </cell>
          <cell r="F797" t="str">
            <v>M310</v>
          </cell>
        </row>
        <row r="798">
          <cell r="D798" t="str">
            <v>@iput.com</v>
          </cell>
          <cell r="E798">
            <v>2019</v>
          </cell>
          <cell r="F798" t="str">
            <v>M628</v>
          </cell>
        </row>
        <row r="799">
          <cell r="D799" t="str">
            <v>@catella.de</v>
          </cell>
          <cell r="E799">
            <v>2019</v>
          </cell>
          <cell r="F799" t="str">
            <v>M063</v>
          </cell>
        </row>
        <row r="800">
          <cell r="D800" t="str">
            <v>@clearbell.com</v>
          </cell>
          <cell r="E800">
            <v>2019</v>
          </cell>
          <cell r="F800" t="str">
            <v>M768</v>
          </cell>
        </row>
        <row r="801">
          <cell r="D801" t="str">
            <v>@caerus.ag</v>
          </cell>
          <cell r="E801">
            <v>2019</v>
          </cell>
          <cell r="F801" t="str">
            <v>M697</v>
          </cell>
        </row>
        <row r="802">
          <cell r="D802" t="str">
            <v>@franklintempleton.com</v>
          </cell>
          <cell r="E802">
            <v>2019</v>
          </cell>
          <cell r="F802" t="str">
            <v>M106</v>
          </cell>
        </row>
        <row r="803">
          <cell r="D803" t="str">
            <v>@orchard-street.co.uk</v>
          </cell>
          <cell r="E803">
            <v>2019</v>
          </cell>
          <cell r="F803" t="str">
            <v>M582</v>
          </cell>
        </row>
        <row r="804">
          <cell r="D804" t="str">
            <v>@cordinggroup.com</v>
          </cell>
          <cell r="E804">
            <v>2019</v>
          </cell>
          <cell r="F804" t="str">
            <v>M506</v>
          </cell>
        </row>
        <row r="805">
          <cell r="D805" t="str">
            <v>@op.fi</v>
          </cell>
          <cell r="E805">
            <v>2019</v>
          </cell>
          <cell r="F805" t="str">
            <v>M122</v>
          </cell>
        </row>
        <row r="806">
          <cell r="D806" t="str">
            <v>@alteravastgoed.nl</v>
          </cell>
          <cell r="E806">
            <v>2019</v>
          </cell>
          <cell r="F806" t="str">
            <v>M021</v>
          </cell>
        </row>
        <row r="807">
          <cell r="D807" t="str">
            <v>@deutsche-finance.de</v>
          </cell>
          <cell r="E807">
            <v>2019</v>
          </cell>
          <cell r="F807" t="str">
            <v>M2875</v>
          </cell>
        </row>
        <row r="808">
          <cell r="D808" t="str">
            <v>@Seaforthland.com</v>
          </cell>
          <cell r="E808">
            <v>2019</v>
          </cell>
          <cell r="F808" t="str">
            <v>M03109</v>
          </cell>
        </row>
        <row r="809">
          <cell r="D809" t="str">
            <v>@wealthcap.com</v>
          </cell>
          <cell r="E809">
            <v>2019</v>
          </cell>
          <cell r="F809" t="str">
            <v>M700</v>
          </cell>
        </row>
        <row r="810">
          <cell r="D810" t="str">
            <v>@capman.com</v>
          </cell>
          <cell r="E810">
            <v>2019</v>
          </cell>
          <cell r="F810" t="str">
            <v>M168</v>
          </cell>
        </row>
        <row r="811">
          <cell r="D811" t="str">
            <v>@altamarcapital.com</v>
          </cell>
          <cell r="E811">
            <v>2019</v>
          </cell>
          <cell r="F811" t="str">
            <v>M226</v>
          </cell>
        </row>
        <row r="812">
          <cell r="D812" t="str">
            <v>@fil.com</v>
          </cell>
          <cell r="E812">
            <v>2019</v>
          </cell>
          <cell r="F812" t="str">
            <v>M250</v>
          </cell>
        </row>
        <row r="813">
          <cell r="D813" t="str">
            <v>@moorfield.com</v>
          </cell>
          <cell r="E813">
            <v>2019</v>
          </cell>
          <cell r="F813" t="str">
            <v>M655</v>
          </cell>
        </row>
        <row r="814">
          <cell r="D814" t="str">
            <v>@aquila-capital.com</v>
          </cell>
          <cell r="E814">
            <v>2019</v>
          </cell>
          <cell r="F814" t="str">
            <v>M2842</v>
          </cell>
        </row>
        <row r="815">
          <cell r="D815" t="str">
            <v>@arminiuskapital.de</v>
          </cell>
          <cell r="E815">
            <v>2019</v>
          </cell>
          <cell r="F815" t="str">
            <v>M451</v>
          </cell>
        </row>
        <row r="816">
          <cell r="D816" t="str">
            <v>@threestonescapital.com</v>
          </cell>
          <cell r="E816">
            <v>2019</v>
          </cell>
          <cell r="F816" t="str">
            <v>M751</v>
          </cell>
        </row>
        <row r="817">
          <cell r="D817" t="str">
            <v>@jamestown.de</v>
          </cell>
          <cell r="E817">
            <v>2019</v>
          </cell>
          <cell r="F817" t="str">
            <v>M551</v>
          </cell>
        </row>
        <row r="818">
          <cell r="D818" t="str">
            <v>@m7re.eu</v>
          </cell>
          <cell r="E818">
            <v>2019</v>
          </cell>
          <cell r="F818" t="str">
            <v>M2505</v>
          </cell>
        </row>
        <row r="819">
          <cell r="D819" t="str">
            <v>@patrizia.ag</v>
          </cell>
          <cell r="E819">
            <v>2019</v>
          </cell>
          <cell r="F819" t="str">
            <v>M180</v>
          </cell>
        </row>
        <row r="820">
          <cell r="D820" t="str">
            <v>@beos.net</v>
          </cell>
          <cell r="E820">
            <v>2019</v>
          </cell>
          <cell r="F820" t="str">
            <v>M617</v>
          </cell>
        </row>
        <row r="821">
          <cell r="D821" t="str">
            <v>@grosvenor.com</v>
          </cell>
          <cell r="E821">
            <v>2019</v>
          </cell>
          <cell r="F821" t="str">
            <v>M052</v>
          </cell>
        </row>
        <row r="822">
          <cell r="D822" t="e">
            <v>#VALUE!</v>
          </cell>
          <cell r="E822">
            <v>2019</v>
          </cell>
          <cell r="F822" t="str">
            <v>M710</v>
          </cell>
        </row>
        <row r="823">
          <cell r="D823" t="str">
            <v>@dcvalues.de</v>
          </cell>
          <cell r="E823">
            <v>2019</v>
          </cell>
          <cell r="F823" t="str">
            <v>M2654</v>
          </cell>
        </row>
        <row r="824">
          <cell r="D824" t="str">
            <v>@delancey.com</v>
          </cell>
          <cell r="E824">
            <v>2019</v>
          </cell>
          <cell r="F824" t="str">
            <v>M2715</v>
          </cell>
        </row>
        <row r="825">
          <cell r="D825" t="str">
            <v>@almaproperty.se</v>
          </cell>
          <cell r="E825">
            <v>2019</v>
          </cell>
          <cell r="F825" t="str">
            <v>M736</v>
          </cell>
        </row>
        <row r="826">
          <cell r="D826" t="str">
            <v>@garbe.de</v>
          </cell>
          <cell r="E826">
            <v>2019</v>
          </cell>
          <cell r="F826" t="str">
            <v>M300</v>
          </cell>
        </row>
        <row r="827">
          <cell r="D827" t="str">
            <v>@trevianrahastot.fi</v>
          </cell>
          <cell r="E827">
            <v>2019</v>
          </cell>
          <cell r="F827" t="str">
            <v>M03023</v>
          </cell>
        </row>
        <row r="828">
          <cell r="D828" t="str">
            <v>@dic-asset.de</v>
          </cell>
          <cell r="E828">
            <v>2019</v>
          </cell>
          <cell r="F828" t="str">
            <v>M734</v>
          </cell>
        </row>
        <row r="829">
          <cell r="D829" t="str">
            <v>@dnb.no</v>
          </cell>
          <cell r="E829">
            <v>2019</v>
          </cell>
          <cell r="F829" t="str">
            <v>M209</v>
          </cell>
        </row>
        <row r="830">
          <cell r="D830" t="str">
            <v>@dtzinvestors.com</v>
          </cell>
          <cell r="E830">
            <v>2019</v>
          </cell>
          <cell r="F830" t="str">
            <v>M105</v>
          </cell>
        </row>
        <row r="831">
          <cell r="D831" t="str">
            <v>@lothburyim.com</v>
          </cell>
          <cell r="E831">
            <v>2019</v>
          </cell>
          <cell r="F831" t="str">
            <v>M211</v>
          </cell>
        </row>
        <row r="832">
          <cell r="D832" t="str">
            <v>@nordika.se</v>
          </cell>
          <cell r="E832">
            <v>2019</v>
          </cell>
          <cell r="F832" t="str">
            <v>M03188</v>
          </cell>
        </row>
        <row r="833">
          <cell r="D833" t="str">
            <v>@union-investment.de</v>
          </cell>
          <cell r="E833">
            <v>2019</v>
          </cell>
          <cell r="F833" t="str">
            <v>M218</v>
          </cell>
        </row>
        <row r="834">
          <cell r="D834" t="str">
            <v>@nh-cap.com</v>
          </cell>
          <cell r="E834">
            <v>2019</v>
          </cell>
          <cell r="F834" t="str">
            <v>M174</v>
          </cell>
        </row>
        <row r="835">
          <cell r="D835" t="str">
            <v>@orange-cp.com</v>
          </cell>
          <cell r="E835">
            <v>2019</v>
          </cell>
          <cell r="F835" t="str">
            <v>M03208</v>
          </cell>
        </row>
        <row r="836">
          <cell r="D836" t="str">
            <v>@gtispartners.com</v>
          </cell>
          <cell r="E836">
            <v>2019</v>
          </cell>
          <cell r="F836" t="str">
            <v>M401</v>
          </cell>
        </row>
        <row r="837">
          <cell r="D837" t="str">
            <v xml:space="preserve">@conrenland.com </v>
          </cell>
          <cell r="E837">
            <v>2019</v>
          </cell>
          <cell r="F837" t="str">
            <v>M690</v>
          </cell>
        </row>
        <row r="838">
          <cell r="D838" t="str">
            <v>@optimumam.com</v>
          </cell>
          <cell r="E838">
            <v>2019</v>
          </cell>
          <cell r="F838" t="str">
            <v>M2678</v>
          </cell>
        </row>
        <row r="839">
          <cell r="D839" t="str">
            <v>@storebrand.no</v>
          </cell>
          <cell r="E839">
            <v>2019</v>
          </cell>
          <cell r="F839" t="str">
            <v>M019</v>
          </cell>
        </row>
        <row r="840">
          <cell r="D840" t="str">
            <v>@hahnag.de</v>
          </cell>
          <cell r="E840">
            <v>2019</v>
          </cell>
          <cell r="F840" t="str">
            <v>M369</v>
          </cell>
        </row>
        <row r="841">
          <cell r="D841" t="str">
            <v>@sirius.fi</v>
          </cell>
          <cell r="E841">
            <v>2019</v>
          </cell>
          <cell r="F841" t="str">
            <v>M757</v>
          </cell>
        </row>
        <row r="842">
          <cell r="D842" t="str">
            <v>@jensen.ru</v>
          </cell>
          <cell r="E842">
            <v>2019</v>
          </cell>
          <cell r="F842" t="str">
            <v>M662</v>
          </cell>
        </row>
        <row r="843">
          <cell r="D843" t="str">
            <v>@msn.com</v>
          </cell>
          <cell r="E843">
            <v>2019</v>
          </cell>
          <cell r="F843" t="str">
            <v>M2757</v>
          </cell>
        </row>
        <row r="844">
          <cell r="D844" t="str">
            <v>@hermes-investment.com</v>
          </cell>
          <cell r="E844">
            <v>2019</v>
          </cell>
          <cell r="F844" t="str">
            <v>M136</v>
          </cell>
        </row>
        <row r="845">
          <cell r="D845" t="str">
            <v>@ece.com</v>
          </cell>
          <cell r="E845">
            <v>2018</v>
          </cell>
          <cell r="F845" t="str">
            <v>M657</v>
          </cell>
        </row>
        <row r="846">
          <cell r="D846" t="str">
            <v>@de-wert.de</v>
          </cell>
          <cell r="E846">
            <v>2018</v>
          </cell>
          <cell r="F846" t="str">
            <v>M369</v>
          </cell>
        </row>
        <row r="847">
          <cell r="D847" t="str">
            <v>@tristancap.com</v>
          </cell>
          <cell r="E847">
            <v>2018</v>
          </cell>
          <cell r="F847" t="str">
            <v>M486</v>
          </cell>
        </row>
        <row r="848">
          <cell r="D848" t="str">
            <v>@almaproperty.se</v>
          </cell>
          <cell r="E848">
            <v>2018</v>
          </cell>
          <cell r="F848" t="str">
            <v>M736</v>
          </cell>
        </row>
        <row r="849">
          <cell r="D849" t="str">
            <v>@pohjola.fi</v>
          </cell>
          <cell r="E849">
            <v>2018</v>
          </cell>
          <cell r="F849" t="str">
            <v>M122</v>
          </cell>
        </row>
        <row r="850">
          <cell r="D850" t="str">
            <v>@jpmorgan.com</v>
          </cell>
          <cell r="E850">
            <v>2018</v>
          </cell>
          <cell r="F850" t="str">
            <v>M082</v>
          </cell>
        </row>
        <row r="851">
          <cell r="D851" t="str">
            <v>@cbreglobalinvestors.com</v>
          </cell>
          <cell r="E851">
            <v>2018</v>
          </cell>
          <cell r="F851" t="str">
            <v>M231</v>
          </cell>
        </row>
        <row r="852">
          <cell r="D852" t="str">
            <v>@lafrancaise-group.com</v>
          </cell>
          <cell r="E852">
            <v>2018</v>
          </cell>
          <cell r="F852" t="str">
            <v>M379</v>
          </cell>
        </row>
        <row r="853">
          <cell r="D853" t="str">
            <v>@meyerbergman.com</v>
          </cell>
          <cell r="E853">
            <v>2018</v>
          </cell>
          <cell r="F853" t="str">
            <v>M405</v>
          </cell>
        </row>
        <row r="854">
          <cell r="D854" t="str">
            <v>@frogmore.co.uk</v>
          </cell>
          <cell r="E854">
            <v>2018</v>
          </cell>
          <cell r="F854" t="str">
            <v>M490</v>
          </cell>
        </row>
        <row r="855">
          <cell r="D855" t="str">
            <v>@fabricasgr.it</v>
          </cell>
          <cell r="E855">
            <v>2018</v>
          </cell>
          <cell r="F855" t="str">
            <v>M670</v>
          </cell>
        </row>
        <row r="856">
          <cell r="D856" t="str">
            <v>@caerus.ag</v>
          </cell>
          <cell r="E856">
            <v>2018</v>
          </cell>
          <cell r="F856" t="str">
            <v>M697</v>
          </cell>
        </row>
        <row r="857">
          <cell r="D857" t="str">
            <v>@corpussireo.com</v>
          </cell>
          <cell r="E857">
            <v>2018</v>
          </cell>
          <cell r="F857" t="str">
            <v>M364</v>
          </cell>
        </row>
        <row r="858">
          <cell r="D858" t="str">
            <v>@rockspringpim.com</v>
          </cell>
          <cell r="E858">
            <v>2018</v>
          </cell>
          <cell r="F858" t="str">
            <v>M180</v>
          </cell>
        </row>
        <row r="859">
          <cell r="D859" t="str">
            <v>@kamescapital.com</v>
          </cell>
          <cell r="E859">
            <v>2018</v>
          </cell>
          <cell r="F859" t="str">
            <v>M291</v>
          </cell>
        </row>
        <row r="860">
          <cell r="D860" t="str">
            <v>@steenstrom.com</v>
          </cell>
          <cell r="E860">
            <v>2018</v>
          </cell>
          <cell r="F860" t="str">
            <v>M676</v>
          </cell>
        </row>
        <row r="861">
          <cell r="D861" t="str">
            <v>@hunterreim.com</v>
          </cell>
          <cell r="E861">
            <v>2018</v>
          </cell>
          <cell r="F861" t="str">
            <v>M588</v>
          </cell>
        </row>
        <row r="862">
          <cell r="D862" t="str">
            <v>@credit-suisse.com</v>
          </cell>
          <cell r="E862">
            <v>2018</v>
          </cell>
          <cell r="F862" t="str">
            <v>M04230</v>
          </cell>
        </row>
        <row r="863">
          <cell r="D863" t="str">
            <v>@cbre.com</v>
          </cell>
          <cell r="E863">
            <v>2018</v>
          </cell>
          <cell r="F863" t="str">
            <v>M03210</v>
          </cell>
        </row>
        <row r="864">
          <cell r="D864" t="str">
            <v>@garbe.de</v>
          </cell>
          <cell r="E864">
            <v>2018</v>
          </cell>
          <cell r="F864" t="str">
            <v>M300</v>
          </cell>
        </row>
        <row r="865">
          <cell r="D865" t="str">
            <v>@mandg.com</v>
          </cell>
          <cell r="E865">
            <v>2018</v>
          </cell>
          <cell r="F865" t="str">
            <v>M010</v>
          </cell>
        </row>
        <row r="866">
          <cell r="D866" t="str">
            <v>@caisson-im.com</v>
          </cell>
          <cell r="E866">
            <v>2018</v>
          </cell>
          <cell r="F866" t="str">
            <v>M2757</v>
          </cell>
        </row>
        <row r="867">
          <cell r="D867" t="str">
            <v>@vesteda.com</v>
          </cell>
          <cell r="E867">
            <v>2018</v>
          </cell>
          <cell r="F867" t="str">
            <v>M040</v>
          </cell>
        </row>
        <row r="868">
          <cell r="D868" t="str">
            <v>@asr.nl</v>
          </cell>
          <cell r="E868">
            <v>2018</v>
          </cell>
          <cell r="F868" t="str">
            <v>M278</v>
          </cell>
        </row>
        <row r="869">
          <cell r="D869" t="str">
            <v>@ubs.com</v>
          </cell>
          <cell r="E869">
            <v>2018</v>
          </cell>
          <cell r="F869" t="str">
            <v>M064</v>
          </cell>
        </row>
        <row r="870">
          <cell r="D870" t="str">
            <v>@dnb.no</v>
          </cell>
          <cell r="E870">
            <v>2018</v>
          </cell>
          <cell r="F870" t="str">
            <v>M209</v>
          </cell>
        </row>
        <row r="871">
          <cell r="D871" t="str">
            <v>@patrizia.ag</v>
          </cell>
          <cell r="E871">
            <v>2018</v>
          </cell>
          <cell r="F871" t="str">
            <v>M180</v>
          </cell>
        </row>
        <row r="872">
          <cell r="D872" t="str">
            <v>@asr.nl</v>
          </cell>
          <cell r="E872">
            <v>2018</v>
          </cell>
          <cell r="F872" t="str">
            <v>M278</v>
          </cell>
        </row>
        <row r="873">
          <cell r="D873" t="str">
            <v>@grosvenor.com</v>
          </cell>
          <cell r="E873">
            <v>2018</v>
          </cell>
          <cell r="F873" t="str">
            <v>M052</v>
          </cell>
        </row>
        <row r="874">
          <cell r="D874" t="str">
            <v>@fil.com</v>
          </cell>
          <cell r="E874">
            <v>2018</v>
          </cell>
          <cell r="F874" t="str">
            <v>M250</v>
          </cell>
        </row>
        <row r="875">
          <cell r="D875" t="str">
            <v>@niam.se</v>
          </cell>
          <cell r="E875">
            <v>2018</v>
          </cell>
          <cell r="F875" t="str">
            <v>M013</v>
          </cell>
        </row>
        <row r="876">
          <cell r="D876" t="str">
            <v>@geg.de</v>
          </cell>
          <cell r="E876">
            <v>2018</v>
          </cell>
          <cell r="F876" t="str">
            <v>M2590</v>
          </cell>
        </row>
        <row r="877">
          <cell r="D877" t="str">
            <v>@bnpparibas.com</v>
          </cell>
          <cell r="E877">
            <v>2018</v>
          </cell>
          <cell r="F877" t="str">
            <v>M318</v>
          </cell>
        </row>
        <row r="878">
          <cell r="D878" t="str">
            <v>@lbofrance.com</v>
          </cell>
          <cell r="E878">
            <v>2018</v>
          </cell>
          <cell r="F878" t="str">
            <v>M2638</v>
          </cell>
        </row>
        <row r="879">
          <cell r="D879" t="str">
            <v>@hearthstone.co.uk</v>
          </cell>
          <cell r="E879">
            <v>2018</v>
          </cell>
          <cell r="F879" t="str">
            <v>M05002</v>
          </cell>
        </row>
        <row r="880">
          <cell r="D880" t="str">
            <v>@cimgroup.com</v>
          </cell>
          <cell r="E880">
            <v>2018</v>
          </cell>
          <cell r="F880" t="str">
            <v>M04010</v>
          </cell>
        </row>
        <row r="881">
          <cell r="D881" t="str">
            <v>@CrowHoldings.com</v>
          </cell>
          <cell r="E881">
            <v>2018</v>
          </cell>
          <cell r="F881" t="str">
            <v>M2548</v>
          </cell>
        </row>
        <row r="882">
          <cell r="D882" t="str">
            <v>@orchard-street.co.uk</v>
          </cell>
          <cell r="E882">
            <v>2018</v>
          </cell>
          <cell r="F882" t="str">
            <v>M582</v>
          </cell>
        </row>
        <row r="883">
          <cell r="D883" t="str">
            <v>@icecapital.fi</v>
          </cell>
          <cell r="E883">
            <v>2018</v>
          </cell>
          <cell r="F883" t="str">
            <v>M2656</v>
          </cell>
        </row>
        <row r="884">
          <cell r="D884" t="str">
            <v>@CanadaLife.co.uk</v>
          </cell>
          <cell r="E884">
            <v>2018</v>
          </cell>
          <cell r="F884" t="str">
            <v>M157</v>
          </cell>
        </row>
        <row r="885">
          <cell r="D885" t="str">
            <v>@ardian.com</v>
          </cell>
          <cell r="E885">
            <v>2018</v>
          </cell>
          <cell r="F885" t="str">
            <v>M705</v>
          </cell>
        </row>
        <row r="886">
          <cell r="D886" t="str">
            <v>@m7re.co.uk</v>
          </cell>
          <cell r="E886">
            <v>2018</v>
          </cell>
          <cell r="F886" t="str">
            <v>M2505</v>
          </cell>
        </row>
        <row r="887">
          <cell r="D887" t="str">
            <v>@altancapital.com</v>
          </cell>
          <cell r="E887">
            <v>2018</v>
          </cell>
          <cell r="F887" t="str">
            <v>M226</v>
          </cell>
        </row>
        <row r="888">
          <cell r="D888" t="str">
            <v>@helaba-invest.de</v>
          </cell>
          <cell r="E888">
            <v>2018</v>
          </cell>
          <cell r="F888" t="str">
            <v>M663</v>
          </cell>
        </row>
        <row r="889">
          <cell r="D889" t="str">
            <v>@lgim.com</v>
          </cell>
          <cell r="E889">
            <v>2018</v>
          </cell>
          <cell r="F889" t="str">
            <v>M465</v>
          </cell>
        </row>
        <row r="890">
          <cell r="D890" t="str">
            <v>@icgam.com</v>
          </cell>
          <cell r="E890">
            <v>2018</v>
          </cell>
          <cell r="F890" t="str">
            <v>M674</v>
          </cell>
        </row>
        <row r="891">
          <cell r="D891" t="str">
            <v>@EQTPARTNERS.COM</v>
          </cell>
          <cell r="E891">
            <v>2018</v>
          </cell>
          <cell r="F891" t="str">
            <v>M742</v>
          </cell>
        </row>
        <row r="892">
          <cell r="D892" t="str">
            <v>@clearbell.com</v>
          </cell>
          <cell r="E892">
            <v>2018</v>
          </cell>
          <cell r="F892" t="str">
            <v>M768</v>
          </cell>
        </row>
        <row r="893">
          <cell r="D893" t="str">
            <v>@drccap.com</v>
          </cell>
          <cell r="E893">
            <v>2018</v>
          </cell>
          <cell r="F893" t="str">
            <v>M666</v>
          </cell>
        </row>
        <row r="894">
          <cell r="D894" t="str">
            <v>@dcvalues.de</v>
          </cell>
          <cell r="E894">
            <v>2018</v>
          </cell>
          <cell r="F894" t="str">
            <v>M2654</v>
          </cell>
        </row>
        <row r="895">
          <cell r="D895" t="str">
            <v>@equityestate.nl</v>
          </cell>
          <cell r="E895">
            <v>2018</v>
          </cell>
          <cell r="F895" t="str">
            <v>M066</v>
          </cell>
        </row>
        <row r="896">
          <cell r="D896" t="str">
            <v>@aeweurope.com</v>
          </cell>
          <cell r="E896">
            <v>2018</v>
          </cell>
          <cell r="F896" t="str">
            <v>M004</v>
          </cell>
        </row>
        <row r="897">
          <cell r="D897" t="str">
            <v>@coimasgr.com</v>
          </cell>
          <cell r="E897">
            <v>2018</v>
          </cell>
          <cell r="F897" t="str">
            <v>M2519</v>
          </cell>
        </row>
        <row r="898">
          <cell r="D898" t="str">
            <v>@union-investment.de</v>
          </cell>
          <cell r="E898">
            <v>2018</v>
          </cell>
          <cell r="F898" t="str">
            <v>M218</v>
          </cell>
        </row>
        <row r="899">
          <cell r="D899" t="str">
            <v>@gtispartners.com</v>
          </cell>
          <cell r="E899">
            <v>2018</v>
          </cell>
          <cell r="F899" t="str">
            <v>M401</v>
          </cell>
        </row>
        <row r="900">
          <cell r="D900" t="str">
            <v>@ardstone.com</v>
          </cell>
          <cell r="E900">
            <v>2018</v>
          </cell>
          <cell r="F900" t="str">
            <v>M2581</v>
          </cell>
        </row>
        <row r="901">
          <cell r="D901" t="str">
            <v>@bouwinvest.nl</v>
          </cell>
          <cell r="E901">
            <v>2018</v>
          </cell>
          <cell r="F901" t="str">
            <v>M660</v>
          </cell>
        </row>
        <row r="902">
          <cell r="D902" t="str">
            <v>@momeni-immobilien.com</v>
          </cell>
          <cell r="E902">
            <v>2018</v>
          </cell>
          <cell r="F902" t="str">
            <v>M781</v>
          </cell>
        </row>
        <row r="903">
          <cell r="D903" t="str">
            <v>@gll-partners.com</v>
          </cell>
          <cell r="E903">
            <v>2018</v>
          </cell>
          <cell r="F903" t="str">
            <v>M341</v>
          </cell>
        </row>
        <row r="904">
          <cell r="D904" t="str">
            <v>@sirius.fi</v>
          </cell>
          <cell r="E904">
            <v>2018</v>
          </cell>
          <cell r="F904" t="str">
            <v>M757</v>
          </cell>
        </row>
        <row r="905">
          <cell r="D905" t="str">
            <v>@avivainvestors.com</v>
          </cell>
          <cell r="E905">
            <v>2018</v>
          </cell>
          <cell r="F905" t="str">
            <v>M090</v>
          </cell>
        </row>
        <row r="906">
          <cell r="D906" t="str">
            <v>@sonaesierra.com</v>
          </cell>
          <cell r="E906">
            <v>2018</v>
          </cell>
          <cell r="F906" t="str">
            <v>M028</v>
          </cell>
        </row>
        <row r="907">
          <cell r="D907" t="str">
            <v>@alteravastgoed.nl</v>
          </cell>
          <cell r="E907">
            <v>2018</v>
          </cell>
          <cell r="F907" t="str">
            <v>M021</v>
          </cell>
        </row>
        <row r="908">
          <cell r="D908" t="str">
            <v>@capman.com</v>
          </cell>
          <cell r="E908">
            <v>2018</v>
          </cell>
          <cell r="F908" t="str">
            <v>M168</v>
          </cell>
        </row>
        <row r="909">
          <cell r="D909" t="str">
            <v>@hahnag.de</v>
          </cell>
          <cell r="E909">
            <v>2018</v>
          </cell>
          <cell r="F909" t="str">
            <v>M369</v>
          </cell>
        </row>
        <row r="910">
          <cell r="D910" t="str">
            <v>@IntReal.de</v>
          </cell>
          <cell r="E910">
            <v>2018</v>
          </cell>
          <cell r="F910" t="str">
            <v>M277</v>
          </cell>
        </row>
        <row r="911">
          <cell r="D911" t="str">
            <v>@axa-im.com</v>
          </cell>
          <cell r="E911">
            <v>2018</v>
          </cell>
          <cell r="F911" t="str">
            <v>M041</v>
          </cell>
        </row>
        <row r="912">
          <cell r="D912" t="str">
            <v>@areim.se</v>
          </cell>
          <cell r="E912">
            <v>2018</v>
          </cell>
          <cell r="F912" t="str">
            <v>M086</v>
          </cell>
        </row>
        <row r="913">
          <cell r="D913" t="str">
            <v>@patrizia.ag</v>
          </cell>
          <cell r="E913">
            <v>2018</v>
          </cell>
          <cell r="F913" t="str">
            <v>M180</v>
          </cell>
        </row>
        <row r="914">
          <cell r="D914" t="str">
            <v>@fonciere-atland.fr</v>
          </cell>
          <cell r="E914">
            <v>2018</v>
          </cell>
          <cell r="F914" t="str">
            <v>M2735</v>
          </cell>
        </row>
        <row r="915">
          <cell r="D915" t="str">
            <v>@gsa-gp.com</v>
          </cell>
          <cell r="E915">
            <v>2018</v>
          </cell>
          <cell r="F915" t="str">
            <v>M755</v>
          </cell>
        </row>
        <row r="916">
          <cell r="D916" t="str">
            <v>@achmeavastgoed.nl</v>
          </cell>
          <cell r="E916">
            <v>2018</v>
          </cell>
          <cell r="F916" t="str">
            <v>M710</v>
          </cell>
        </row>
        <row r="917">
          <cell r="D917" t="str">
            <v>@nh-cap.com</v>
          </cell>
          <cell r="E917">
            <v>2018</v>
          </cell>
          <cell r="F917" t="str">
            <v>M174</v>
          </cell>
        </row>
        <row r="918">
          <cell r="D918" t="str">
            <v>@pradera.com</v>
          </cell>
          <cell r="E918">
            <v>2018</v>
          </cell>
          <cell r="F918" t="str">
            <v>M093</v>
          </cell>
        </row>
        <row r="919">
          <cell r="D919" t="str">
            <v>@iput.com</v>
          </cell>
          <cell r="E919">
            <v>2018</v>
          </cell>
          <cell r="F919" t="str">
            <v>M628</v>
          </cell>
        </row>
        <row r="920">
          <cell r="D920" t="str">
            <v>@deka.de</v>
          </cell>
          <cell r="E920">
            <v>2018</v>
          </cell>
          <cell r="F920" t="str">
            <v>M119</v>
          </cell>
        </row>
        <row r="921">
          <cell r="D921" t="str">
            <v>@activumsg.com</v>
          </cell>
          <cell r="E921">
            <v>2018</v>
          </cell>
          <cell r="F921" t="str">
            <v>M2529</v>
          </cell>
        </row>
        <row r="922">
          <cell r="D922" t="str">
            <v>@nrep.com</v>
          </cell>
          <cell r="E922">
            <v>2018</v>
          </cell>
          <cell r="F922" t="str">
            <v>M305</v>
          </cell>
        </row>
        <row r="923">
          <cell r="D923" t="str">
            <v>@mcarthurglen.com</v>
          </cell>
          <cell r="E923">
            <v>2018</v>
          </cell>
          <cell r="F923" t="str">
            <v>M664</v>
          </cell>
        </row>
        <row r="924">
          <cell r="D924" t="str">
            <v>@amundi.com</v>
          </cell>
          <cell r="E924">
            <v>2018</v>
          </cell>
          <cell r="F924" t="str">
            <v>M365</v>
          </cell>
        </row>
        <row r="925">
          <cell r="D925" t="str">
            <v>@ainahospitality.com</v>
          </cell>
          <cell r="E925">
            <v>2018</v>
          </cell>
          <cell r="F925" t="str">
            <v>M2739</v>
          </cell>
        </row>
        <row r="926">
          <cell r="D926" t="str">
            <v>@westportcp.com</v>
          </cell>
          <cell r="E926">
            <v>2018</v>
          </cell>
          <cell r="F926" t="str">
            <v>M2717</v>
          </cell>
        </row>
        <row r="927">
          <cell r="D927" t="str">
            <v>@aresmgmt.com</v>
          </cell>
          <cell r="E927">
            <v>2018</v>
          </cell>
          <cell r="F927" t="str">
            <v>M091</v>
          </cell>
        </row>
        <row r="928">
          <cell r="D928" t="str">
            <v>@castellosgr.com</v>
          </cell>
          <cell r="E928">
            <v>2018</v>
          </cell>
          <cell r="F928" t="str">
            <v>M707</v>
          </cell>
        </row>
        <row r="929">
          <cell r="D929" t="str">
            <v>@stam-europe.com</v>
          </cell>
          <cell r="E929">
            <v>2018</v>
          </cell>
          <cell r="F929" t="str">
            <v>M128</v>
          </cell>
        </row>
        <row r="930">
          <cell r="D930" t="str">
            <v>@amvest.nl</v>
          </cell>
          <cell r="E930">
            <v>2018</v>
          </cell>
          <cell r="F930" t="str">
            <v>M015</v>
          </cell>
        </row>
        <row r="931">
          <cell r="D931" t="str">
            <v>@jamestown.de</v>
          </cell>
          <cell r="E931">
            <v>2018</v>
          </cell>
          <cell r="F931" t="str">
            <v>M551</v>
          </cell>
        </row>
        <row r="932">
          <cell r="D932" t="str">
            <v>@lothburyim.com</v>
          </cell>
          <cell r="E932">
            <v>2018</v>
          </cell>
          <cell r="F932" t="str">
            <v>M211</v>
          </cell>
        </row>
        <row r="933">
          <cell r="D933" t="str">
            <v>@db.com</v>
          </cell>
          <cell r="E933">
            <v>2018</v>
          </cell>
          <cell r="F933" t="str">
            <v>M085</v>
          </cell>
        </row>
        <row r="934">
          <cell r="D934" t="str">
            <v>@frk.com</v>
          </cell>
          <cell r="E934">
            <v>2018</v>
          </cell>
          <cell r="F934" t="str">
            <v>M106</v>
          </cell>
        </row>
        <row r="935">
          <cell r="D935" t="str">
            <v>@recapinvestments.com</v>
          </cell>
          <cell r="E935">
            <v>2018</v>
          </cell>
          <cell r="F935" t="str">
            <v>M2536</v>
          </cell>
        </row>
        <row r="936">
          <cell r="D936" t="str">
            <v>@bensonelliot.com</v>
          </cell>
          <cell r="E936">
            <v>2018</v>
          </cell>
          <cell r="F936" t="str">
            <v>M2708</v>
          </cell>
        </row>
        <row r="937">
          <cell r="D937" t="str">
            <v>@europacapital.com</v>
          </cell>
          <cell r="E937">
            <v>2018</v>
          </cell>
          <cell r="F937" t="str">
            <v>M111</v>
          </cell>
        </row>
        <row r="938">
          <cell r="D938" t="str">
            <v>@catalystcapital.com</v>
          </cell>
          <cell r="E938">
            <v>2018</v>
          </cell>
          <cell r="F938" t="str">
            <v>M310</v>
          </cell>
        </row>
        <row r="939">
          <cell r="D939" t="str">
            <v>@jensen.ru</v>
          </cell>
          <cell r="E939">
            <v>2018</v>
          </cell>
          <cell r="F939" t="str">
            <v>M662</v>
          </cell>
        </row>
        <row r="940">
          <cell r="D940" t="str">
            <v>@aquila-capital.com</v>
          </cell>
          <cell r="E940">
            <v>2018</v>
          </cell>
          <cell r="F940" t="str">
            <v>M2842</v>
          </cell>
        </row>
        <row r="941">
          <cell r="D941" t="str">
            <v>@schroders.com</v>
          </cell>
          <cell r="E941">
            <v>2018</v>
          </cell>
          <cell r="F941" t="str">
            <v>M037</v>
          </cell>
        </row>
        <row r="942">
          <cell r="D942" t="str">
            <v>@hines.com</v>
          </cell>
          <cell r="E942">
            <v>2018</v>
          </cell>
          <cell r="F942" t="str">
            <v>M073</v>
          </cell>
        </row>
        <row r="943">
          <cell r="D943" t="str">
            <v>@beos.net</v>
          </cell>
          <cell r="E943">
            <v>2018</v>
          </cell>
          <cell r="F943" t="str">
            <v>M617</v>
          </cell>
        </row>
        <row r="944">
          <cell r="D944" t="str">
            <v>@catella.de</v>
          </cell>
          <cell r="E944">
            <v>2018</v>
          </cell>
          <cell r="F944" t="str">
            <v>M063</v>
          </cell>
        </row>
        <row r="945">
          <cell r="D945" t="str">
            <v>@hartelt-fm.com</v>
          </cell>
          <cell r="E945">
            <v>2018</v>
          </cell>
          <cell r="F945" t="str">
            <v>M2508</v>
          </cell>
        </row>
        <row r="946">
          <cell r="D946" t="str">
            <v>@hslu.ch</v>
          </cell>
          <cell r="E946">
            <v>2018</v>
          </cell>
          <cell r="F946" t="str">
            <v>M2875</v>
          </cell>
        </row>
        <row r="947">
          <cell r="D947" t="str">
            <v>@rockpointgroup.com</v>
          </cell>
          <cell r="E947">
            <v>2018</v>
          </cell>
          <cell r="F947" t="str">
            <v>M527</v>
          </cell>
        </row>
        <row r="948">
          <cell r="D948" t="str">
            <v>@pia-pontis.com</v>
          </cell>
          <cell r="E948">
            <v>2017</v>
          </cell>
          <cell r="F948" t="str">
            <v>M2556</v>
          </cell>
        </row>
        <row r="949">
          <cell r="D949" t="str">
            <v>@nrep.com</v>
          </cell>
          <cell r="E949">
            <v>2017</v>
          </cell>
          <cell r="F949" t="str">
            <v>M305</v>
          </cell>
        </row>
        <row r="950">
          <cell r="D950" t="str">
            <v>@deka.de</v>
          </cell>
          <cell r="E950">
            <v>2017</v>
          </cell>
          <cell r="F950" t="str">
            <v>M119</v>
          </cell>
        </row>
        <row r="951">
          <cell r="D951" t="str">
            <v>@hahnag.de</v>
          </cell>
          <cell r="E951">
            <v>2017</v>
          </cell>
          <cell r="F951" t="str">
            <v>M369</v>
          </cell>
        </row>
        <row r="952">
          <cell r="D952" t="str">
            <v>@corpussireo.com</v>
          </cell>
          <cell r="E952">
            <v>2017</v>
          </cell>
          <cell r="F952" t="str">
            <v>M364</v>
          </cell>
        </row>
        <row r="953">
          <cell r="D953" t="str">
            <v>@pradera.com</v>
          </cell>
          <cell r="E953">
            <v>2017</v>
          </cell>
          <cell r="F953" t="str">
            <v>M093</v>
          </cell>
        </row>
        <row r="954">
          <cell r="D954" t="str">
            <v>@sparinvest.dk</v>
          </cell>
          <cell r="E954">
            <v>2017</v>
          </cell>
          <cell r="F954" t="str">
            <v>M180</v>
          </cell>
        </row>
        <row r="955">
          <cell r="D955" t="str">
            <v>@fil.com</v>
          </cell>
          <cell r="E955">
            <v>2017</v>
          </cell>
          <cell r="F955" t="str">
            <v>M250</v>
          </cell>
        </row>
        <row r="956">
          <cell r="D956" t="str">
            <v>@gtispartners.com</v>
          </cell>
          <cell r="E956">
            <v>2017</v>
          </cell>
          <cell r="F956" t="str">
            <v>M401</v>
          </cell>
        </row>
        <row r="957">
          <cell r="D957" t="str">
            <v>@altafund.lu</v>
          </cell>
          <cell r="E957">
            <v>2017</v>
          </cell>
          <cell r="F957" t="str">
            <v>M636</v>
          </cell>
        </row>
        <row r="958">
          <cell r="D958" t="str">
            <v>@frogmore.co.uk</v>
          </cell>
          <cell r="E958">
            <v>2017</v>
          </cell>
          <cell r="F958" t="str">
            <v>M490</v>
          </cell>
        </row>
        <row r="959">
          <cell r="D959" t="str">
            <v>@areim.se</v>
          </cell>
          <cell r="E959">
            <v>2017</v>
          </cell>
          <cell r="F959" t="str">
            <v>M086</v>
          </cell>
        </row>
        <row r="960">
          <cell r="D960" t="str">
            <v>@prelios.com</v>
          </cell>
          <cell r="E960">
            <v>2017</v>
          </cell>
          <cell r="F960" t="str">
            <v>M087</v>
          </cell>
        </row>
        <row r="961">
          <cell r="D961" t="str">
            <v>@ece.com</v>
          </cell>
          <cell r="E961">
            <v>2017</v>
          </cell>
          <cell r="F961" t="str">
            <v>M657</v>
          </cell>
        </row>
        <row r="962">
          <cell r="D962" t="str">
            <v>@aeweurope.com</v>
          </cell>
          <cell r="E962">
            <v>2017</v>
          </cell>
          <cell r="F962" t="str">
            <v>M004</v>
          </cell>
        </row>
        <row r="963">
          <cell r="D963" t="str">
            <v>@leimdorfer.se</v>
          </cell>
          <cell r="E963">
            <v>2017</v>
          </cell>
          <cell r="F963" t="str">
            <v>M319</v>
          </cell>
        </row>
        <row r="964">
          <cell r="D964" t="str">
            <v>@bouwinvest.nl</v>
          </cell>
          <cell r="E964">
            <v>2017</v>
          </cell>
          <cell r="F964" t="str">
            <v>M660</v>
          </cell>
        </row>
        <row r="965">
          <cell r="D965" t="str">
            <v>@prologis.com</v>
          </cell>
          <cell r="E965">
            <v>2017</v>
          </cell>
          <cell r="F965" t="str">
            <v>M024</v>
          </cell>
        </row>
        <row r="966">
          <cell r="D966" t="str">
            <v>@icgam.com</v>
          </cell>
          <cell r="E966">
            <v>2017</v>
          </cell>
          <cell r="F966" t="str">
            <v>M674</v>
          </cell>
        </row>
        <row r="967">
          <cell r="D967" t="str">
            <v>@quantum.ag</v>
          </cell>
          <cell r="E967">
            <v>2017</v>
          </cell>
          <cell r="F967" t="str">
            <v>M346</v>
          </cell>
        </row>
        <row r="968">
          <cell r="D968" t="str">
            <v>@achmeavastgoed.nl</v>
          </cell>
          <cell r="E968">
            <v>2017</v>
          </cell>
          <cell r="F968" t="str">
            <v>M710</v>
          </cell>
        </row>
        <row r="969">
          <cell r="D969" t="str">
            <v>@grosvenor.com</v>
          </cell>
          <cell r="E969">
            <v>2017</v>
          </cell>
          <cell r="F969" t="str">
            <v>M052</v>
          </cell>
        </row>
        <row r="970">
          <cell r="D970" t="str">
            <v>@altancapital.com</v>
          </cell>
          <cell r="E970">
            <v>2017</v>
          </cell>
          <cell r="F970" t="str">
            <v>M226</v>
          </cell>
        </row>
        <row r="971">
          <cell r="D971" t="str">
            <v>@vistra.com</v>
          </cell>
          <cell r="E971">
            <v>2017</v>
          </cell>
          <cell r="F971" t="str">
            <v>M661</v>
          </cell>
        </row>
        <row r="972">
          <cell r="D972" t="str">
            <v>@hartelt-fm.com</v>
          </cell>
          <cell r="E972">
            <v>2017</v>
          </cell>
          <cell r="F972" t="str">
            <v>M2508</v>
          </cell>
        </row>
        <row r="973">
          <cell r="D973" t="str">
            <v>@threestonescapital.com</v>
          </cell>
          <cell r="E973">
            <v>2017</v>
          </cell>
          <cell r="F973" t="str">
            <v>M751</v>
          </cell>
        </row>
        <row r="974">
          <cell r="D974" t="str">
            <v>@moorfield.com</v>
          </cell>
          <cell r="E974">
            <v>2017</v>
          </cell>
          <cell r="F974" t="str">
            <v>M655</v>
          </cell>
        </row>
        <row r="975">
          <cell r="D975" t="str">
            <v>@altusgroup.com</v>
          </cell>
          <cell r="E975">
            <v>2017</v>
          </cell>
          <cell r="F975" t="str">
            <v>M692</v>
          </cell>
        </row>
        <row r="976">
          <cell r="D976" t="str">
            <v>@project-investment.de</v>
          </cell>
          <cell r="E976">
            <v>2017</v>
          </cell>
          <cell r="F976" t="str">
            <v>M680</v>
          </cell>
        </row>
        <row r="977">
          <cell r="D977" t="str">
            <v>@credit-suisse.com</v>
          </cell>
          <cell r="E977">
            <v>2017</v>
          </cell>
          <cell r="F977" t="str">
            <v>M04230</v>
          </cell>
        </row>
        <row r="978">
          <cell r="D978" t="str">
            <v>@asr.nl</v>
          </cell>
          <cell r="E978">
            <v>2017</v>
          </cell>
          <cell r="F978" t="str">
            <v>M278</v>
          </cell>
        </row>
        <row r="979">
          <cell r="D979" t="str">
            <v>@almaproperty.se</v>
          </cell>
          <cell r="E979">
            <v>2017</v>
          </cell>
          <cell r="F979" t="str">
            <v>M736</v>
          </cell>
        </row>
        <row r="980">
          <cell r="D980" t="str">
            <v>@beos.net</v>
          </cell>
          <cell r="E980">
            <v>2017</v>
          </cell>
          <cell r="F980" t="str">
            <v>M617</v>
          </cell>
        </row>
        <row r="981">
          <cell r="D981" t="str">
            <v>@bmorep.com</v>
          </cell>
          <cell r="E981">
            <v>2017</v>
          </cell>
          <cell r="F981" t="str">
            <v>M213</v>
          </cell>
        </row>
        <row r="982">
          <cell r="D982" t="str">
            <v>@lasalle.com</v>
          </cell>
          <cell r="E982">
            <v>2017</v>
          </cell>
          <cell r="F982" t="str">
            <v>M020</v>
          </cell>
        </row>
        <row r="983">
          <cell r="D983" t="str">
            <v>@avivainvestors.com</v>
          </cell>
          <cell r="E983">
            <v>2017</v>
          </cell>
          <cell r="F983" t="str">
            <v>M090</v>
          </cell>
        </row>
        <row r="984">
          <cell r="D984" t="str">
            <v>@stam-europe.com</v>
          </cell>
          <cell r="E984">
            <v>2017</v>
          </cell>
          <cell r="F984" t="str">
            <v>M128</v>
          </cell>
        </row>
        <row r="985">
          <cell r="D985" t="str">
            <v>@madisonint.com</v>
          </cell>
          <cell r="E985">
            <v>2017</v>
          </cell>
          <cell r="F985" t="str">
            <v>M201</v>
          </cell>
        </row>
        <row r="986">
          <cell r="D986" t="str">
            <v>@geg.de</v>
          </cell>
          <cell r="E986">
            <v>2017</v>
          </cell>
          <cell r="F986" t="str">
            <v>M2590</v>
          </cell>
        </row>
        <row r="987">
          <cell r="D987" t="str">
            <v>@aberdeen-asset.com</v>
          </cell>
          <cell r="E987">
            <v>2017</v>
          </cell>
          <cell r="F987" t="str">
            <v>M675</v>
          </cell>
        </row>
        <row r="988">
          <cell r="D988" t="str">
            <v>@kristensenproperties.com</v>
          </cell>
          <cell r="E988">
            <v>2017</v>
          </cell>
          <cell r="F988" t="str">
            <v>M160</v>
          </cell>
        </row>
        <row r="989">
          <cell r="D989" t="str">
            <v>@usrealco.com</v>
          </cell>
          <cell r="E989">
            <v>2017</v>
          </cell>
          <cell r="F989" t="str">
            <v>M720</v>
          </cell>
        </row>
        <row r="990">
          <cell r="D990" t="str">
            <v>@db.com</v>
          </cell>
          <cell r="E990">
            <v>2017</v>
          </cell>
          <cell r="F990" t="str">
            <v>M085</v>
          </cell>
        </row>
        <row r="991">
          <cell r="D991" t="str">
            <v>@starwood.com</v>
          </cell>
          <cell r="E991">
            <v>2017</v>
          </cell>
          <cell r="F991" t="str">
            <v>M05105</v>
          </cell>
        </row>
        <row r="992">
          <cell r="D992" t="str">
            <v>@franklintempleton.com</v>
          </cell>
          <cell r="E992">
            <v>2017</v>
          </cell>
          <cell r="F992" t="str">
            <v>M106</v>
          </cell>
        </row>
        <row r="993">
          <cell r="D993" t="str">
            <v>@tristancap.com</v>
          </cell>
          <cell r="E993">
            <v>2017</v>
          </cell>
          <cell r="F993" t="str">
            <v>M486</v>
          </cell>
        </row>
        <row r="994">
          <cell r="D994" t="str">
            <v>@europacapital.com</v>
          </cell>
          <cell r="E994">
            <v>2017</v>
          </cell>
          <cell r="F994" t="str">
            <v>M111</v>
          </cell>
        </row>
        <row r="995">
          <cell r="D995" t="str">
            <v>@landmarkpartners.com</v>
          </cell>
          <cell r="E995">
            <v>2017</v>
          </cell>
          <cell r="F995" t="str">
            <v>M373</v>
          </cell>
        </row>
        <row r="996">
          <cell r="D996" t="str">
            <v>@partnersgroup.com</v>
          </cell>
          <cell r="E996">
            <v>2017</v>
          </cell>
          <cell r="F996" t="str">
            <v>M672</v>
          </cell>
        </row>
        <row r="997">
          <cell r="D997" t="str">
            <v>@threalestate.com</v>
          </cell>
          <cell r="E997">
            <v>2017</v>
          </cell>
          <cell r="F997" t="str">
            <v>M038</v>
          </cell>
        </row>
        <row r="998">
          <cell r="D998" t="str">
            <v>@art-invest.de</v>
          </cell>
          <cell r="E998">
            <v>2017</v>
          </cell>
          <cell r="F998" t="str">
            <v>M600</v>
          </cell>
        </row>
        <row r="999">
          <cell r="D999" t="str">
            <v>@clearbell.com</v>
          </cell>
          <cell r="E999">
            <v>2017</v>
          </cell>
          <cell r="F999" t="str">
            <v>M768</v>
          </cell>
        </row>
        <row r="1000">
          <cell r="D1000" t="str">
            <v>@steenstrom.com</v>
          </cell>
          <cell r="E1000">
            <v>2017</v>
          </cell>
          <cell r="F1000" t="str">
            <v>M676</v>
          </cell>
        </row>
        <row r="1001">
          <cell r="D1001" t="str">
            <v>@union-investment.de</v>
          </cell>
          <cell r="E1001">
            <v>2017</v>
          </cell>
          <cell r="F1001" t="str">
            <v>M218</v>
          </cell>
        </row>
        <row r="1002">
          <cell r="D1002" t="str">
            <v>@reggeborgh.nl</v>
          </cell>
          <cell r="E1002">
            <v>2017</v>
          </cell>
          <cell r="F1002" t="str">
            <v>M647</v>
          </cell>
        </row>
        <row r="1003">
          <cell r="D1003" t="str">
            <v>@hslu.ch</v>
          </cell>
          <cell r="E1003">
            <v>2017</v>
          </cell>
          <cell r="F1003" t="str">
            <v>M2875</v>
          </cell>
        </row>
        <row r="1004">
          <cell r="D1004" t="str">
            <v>@hines.com</v>
          </cell>
          <cell r="E1004">
            <v>2017</v>
          </cell>
          <cell r="F1004" t="str">
            <v>M073</v>
          </cell>
        </row>
        <row r="1005">
          <cell r="D1005" t="str">
            <v>@nh-cap.com</v>
          </cell>
          <cell r="E1005">
            <v>2017</v>
          </cell>
          <cell r="F1005" t="str">
            <v>M174</v>
          </cell>
        </row>
        <row r="1006">
          <cell r="D1006" t="str">
            <v>@lri-invest.lu</v>
          </cell>
          <cell r="E1006">
            <v>2017</v>
          </cell>
          <cell r="F1006" t="str">
            <v>M678</v>
          </cell>
        </row>
        <row r="1007">
          <cell r="D1007" t="str">
            <v>@fabricasgr.it</v>
          </cell>
          <cell r="E1007">
            <v>2017</v>
          </cell>
          <cell r="F1007" t="str">
            <v>M670</v>
          </cell>
        </row>
        <row r="1008">
          <cell r="D1008" t="str">
            <v>@drccap.com</v>
          </cell>
          <cell r="E1008">
            <v>2017</v>
          </cell>
          <cell r="F1008" t="str">
            <v>M666</v>
          </cell>
        </row>
        <row r="1009">
          <cell r="D1009" t="str">
            <v>@ardstone.com</v>
          </cell>
          <cell r="E1009">
            <v>2017</v>
          </cell>
          <cell r="F1009" t="str">
            <v>M2581</v>
          </cell>
        </row>
        <row r="1010">
          <cell r="D1010" t="str">
            <v>@fprop.com</v>
          </cell>
          <cell r="E1010">
            <v>2017</v>
          </cell>
          <cell r="F1010" t="str">
            <v>M572</v>
          </cell>
        </row>
        <row r="1011">
          <cell r="D1011" t="str">
            <v>@realisag.de</v>
          </cell>
          <cell r="E1011">
            <v>2017</v>
          </cell>
          <cell r="F1011" t="str">
            <v>M627</v>
          </cell>
        </row>
        <row r="1012">
          <cell r="D1012" t="str">
            <v>@amundi.com</v>
          </cell>
          <cell r="E1012">
            <v>2017</v>
          </cell>
          <cell r="F1012" t="str">
            <v>M365</v>
          </cell>
        </row>
        <row r="1013">
          <cell r="D1013" t="str">
            <v>@mandg.com</v>
          </cell>
          <cell r="E1013">
            <v>2017</v>
          </cell>
          <cell r="F1013" t="str">
            <v>M010</v>
          </cell>
        </row>
        <row r="1014">
          <cell r="D1014" t="str">
            <v>@catalystcapital.com</v>
          </cell>
          <cell r="E1014">
            <v>2017</v>
          </cell>
          <cell r="F1014" t="str">
            <v>M310</v>
          </cell>
        </row>
        <row r="1015">
          <cell r="D1015" t="str">
            <v>@axa-im.com</v>
          </cell>
          <cell r="E1015">
            <v>2017</v>
          </cell>
          <cell r="F1015" t="str">
            <v>M041</v>
          </cell>
        </row>
        <row r="1016">
          <cell r="D1016" t="str">
            <v>@m7re.eu</v>
          </cell>
          <cell r="E1016">
            <v>2017</v>
          </cell>
          <cell r="F1016" t="str">
            <v>M2505</v>
          </cell>
        </row>
        <row r="1017">
          <cell r="D1017" t="str">
            <v>@clarionpartners.com</v>
          </cell>
          <cell r="E1017">
            <v>2017</v>
          </cell>
          <cell r="F1017" t="str">
            <v>M677</v>
          </cell>
        </row>
        <row r="1018">
          <cell r="D1018" t="str">
            <v>@rockpointgroup.com</v>
          </cell>
          <cell r="E1018">
            <v>2017</v>
          </cell>
          <cell r="F1018" t="str">
            <v>M527</v>
          </cell>
        </row>
        <row r="1019">
          <cell r="D1019" t="str">
            <v>@sonaesierra.com</v>
          </cell>
          <cell r="E1019">
            <v>2017</v>
          </cell>
          <cell r="F1019" t="str">
            <v>M028</v>
          </cell>
        </row>
        <row r="1020">
          <cell r="D1020" t="str">
            <v>@aberdeen-asset.com</v>
          </cell>
          <cell r="E1020">
            <v>2017</v>
          </cell>
          <cell r="F1020" t="str">
            <v>M675</v>
          </cell>
        </row>
        <row r="1021">
          <cell r="D1021" t="str">
            <v>@oreima.fr</v>
          </cell>
          <cell r="E1021">
            <v>2017</v>
          </cell>
          <cell r="F1021" t="str">
            <v>M271</v>
          </cell>
        </row>
        <row r="1022">
          <cell r="D1022" t="str">
            <v>@sweco.nl</v>
          </cell>
          <cell r="E1022">
            <v>2017</v>
          </cell>
          <cell r="F1022" t="str">
            <v>M023</v>
          </cell>
        </row>
        <row r="1023">
          <cell r="D1023" t="str">
            <v>@corestate-capital.com</v>
          </cell>
          <cell r="E1023">
            <v>2017</v>
          </cell>
          <cell r="F1023" t="str">
            <v>M252</v>
          </cell>
        </row>
        <row r="1024">
          <cell r="D1024" t="str">
            <v>@standardlife.com</v>
          </cell>
          <cell r="E1024">
            <v>2017</v>
          </cell>
          <cell r="F1024" t="str">
            <v>M675</v>
          </cell>
        </row>
        <row r="1025">
          <cell r="D1025" t="str">
            <v>@iput.com</v>
          </cell>
          <cell r="E1025">
            <v>2017</v>
          </cell>
          <cell r="F1025" t="str">
            <v>M628</v>
          </cell>
        </row>
        <row r="1026">
          <cell r="D1026" t="str">
            <v>@cbreglobalinvestors.com</v>
          </cell>
          <cell r="E1026">
            <v>2017</v>
          </cell>
          <cell r="F1026" t="str">
            <v>M231</v>
          </cell>
        </row>
        <row r="1027">
          <cell r="D1027" t="str">
            <v>@momeni-immobilien.com</v>
          </cell>
          <cell r="E1027">
            <v>2017</v>
          </cell>
          <cell r="F1027" t="str">
            <v>M781</v>
          </cell>
        </row>
        <row r="1028">
          <cell r="D1028" t="str">
            <v>@redevco.com</v>
          </cell>
          <cell r="E1028">
            <v>2017</v>
          </cell>
          <cell r="F1028" t="str">
            <v>M036</v>
          </cell>
        </row>
        <row r="1029">
          <cell r="D1029" t="str">
            <v>@achmeavastgoed.nl</v>
          </cell>
          <cell r="E1029">
            <v>2017</v>
          </cell>
          <cell r="F1029" t="str">
            <v>M710</v>
          </cell>
        </row>
        <row r="1030">
          <cell r="D1030" t="str">
            <v>@patrizia.ag</v>
          </cell>
          <cell r="E1030">
            <v>2017</v>
          </cell>
          <cell r="F1030" t="str">
            <v>M180</v>
          </cell>
        </row>
        <row r="1031">
          <cell r="D1031" t="str">
            <v>@niam.se</v>
          </cell>
          <cell r="E1031">
            <v>2017</v>
          </cell>
          <cell r="F1031" t="str">
            <v>M013</v>
          </cell>
        </row>
        <row r="1032">
          <cell r="D1032" t="str">
            <v>@vesteda.com</v>
          </cell>
          <cell r="E1032">
            <v>2017</v>
          </cell>
          <cell r="F1032" t="str">
            <v>M040</v>
          </cell>
        </row>
        <row r="1033">
          <cell r="D1033" t="str">
            <v>@ilim.com</v>
          </cell>
          <cell r="E1033">
            <v>2017</v>
          </cell>
          <cell r="F1033" t="str">
            <v>M177</v>
          </cell>
        </row>
        <row r="1034">
          <cell r="D1034" t="str">
            <v>@triuva.com</v>
          </cell>
          <cell r="E1034">
            <v>2017</v>
          </cell>
          <cell r="F1034" t="str">
            <v>M180</v>
          </cell>
        </row>
        <row r="1035">
          <cell r="D1035" t="str">
            <v>@garbe.de</v>
          </cell>
          <cell r="E1035">
            <v>2017</v>
          </cell>
          <cell r="F1035" t="str">
            <v>M300</v>
          </cell>
        </row>
        <row r="1036">
          <cell r="D1036" t="str">
            <v>@helaba-invest.de</v>
          </cell>
          <cell r="E1036">
            <v>2017</v>
          </cell>
          <cell r="F1036" t="str">
            <v>M663</v>
          </cell>
        </row>
        <row r="1037">
          <cell r="D1037" t="str">
            <v>@bnpparibas.com</v>
          </cell>
          <cell r="E1037">
            <v>2017</v>
          </cell>
          <cell r="F1037" t="str">
            <v>M318</v>
          </cell>
        </row>
        <row r="1038">
          <cell r="D1038" t="str">
            <v>@bouwfondsim.com</v>
          </cell>
          <cell r="E1038">
            <v>2017</v>
          </cell>
          <cell r="F1038" t="str">
            <v>M068</v>
          </cell>
        </row>
        <row r="1039">
          <cell r="D1039" t="str">
            <v>@aresmgmt.com</v>
          </cell>
          <cell r="E1039">
            <v>2017</v>
          </cell>
          <cell r="F1039" t="str">
            <v>M091</v>
          </cell>
        </row>
        <row r="1040">
          <cell r="D1040" t="str">
            <v>@almazara.nl</v>
          </cell>
          <cell r="E1040">
            <v>2017</v>
          </cell>
          <cell r="F1040" t="str">
            <v>M498</v>
          </cell>
        </row>
        <row r="1041">
          <cell r="D1041" t="str">
            <v>@freogroup.com</v>
          </cell>
          <cell r="E1041">
            <v>2017</v>
          </cell>
          <cell r="F1041" t="str">
            <v>M359</v>
          </cell>
        </row>
        <row r="1042">
          <cell r="D1042" t="str">
            <v>@ardian.com</v>
          </cell>
          <cell r="E1042">
            <v>2017</v>
          </cell>
          <cell r="F1042" t="str">
            <v>M705</v>
          </cell>
        </row>
        <row r="1043">
          <cell r="D1043" t="str">
            <v>@la-francaise.com</v>
          </cell>
          <cell r="E1043">
            <v>2017</v>
          </cell>
          <cell r="F1043" t="str">
            <v>M379</v>
          </cell>
        </row>
        <row r="1044">
          <cell r="D1044" t="str">
            <v>@jensen.ru</v>
          </cell>
          <cell r="E1044">
            <v>2017</v>
          </cell>
          <cell r="F1044" t="str">
            <v>M662</v>
          </cell>
        </row>
        <row r="1045">
          <cell r="D1045" t="str">
            <v>@alteravastgoed.nl</v>
          </cell>
          <cell r="E1045">
            <v>2017</v>
          </cell>
          <cell r="F1045" t="str">
            <v>M021</v>
          </cell>
        </row>
        <row r="1046">
          <cell r="D1046" t="str">
            <v>@dnb.no</v>
          </cell>
          <cell r="E1046">
            <v>2017</v>
          </cell>
          <cell r="F1046" t="str">
            <v>M209</v>
          </cell>
        </row>
        <row r="1047">
          <cell r="D1047" t="str">
            <v>@ryndaproperty.com</v>
          </cell>
          <cell r="E1047">
            <v>2017</v>
          </cell>
          <cell r="F1047" t="str">
            <v>M616</v>
          </cell>
        </row>
        <row r="1048">
          <cell r="D1048" t="str">
            <v>@savillsim.com</v>
          </cell>
          <cell r="E1048">
            <v>2017</v>
          </cell>
          <cell r="F1048" t="str">
            <v>M079</v>
          </cell>
        </row>
        <row r="1049">
          <cell r="D1049" t="str">
            <v>@catella.de</v>
          </cell>
          <cell r="E1049">
            <v>2017</v>
          </cell>
          <cell r="F1049" t="str">
            <v>M063</v>
          </cell>
        </row>
        <row r="1050">
          <cell r="D1050" t="str">
            <v>@amvest.nl</v>
          </cell>
          <cell r="E1050">
            <v>2017</v>
          </cell>
          <cell r="F1050" t="str">
            <v>M015</v>
          </cell>
        </row>
        <row r="1051">
          <cell r="D1051" t="str">
            <v>@sirius.fi</v>
          </cell>
          <cell r="E1051">
            <v>2017</v>
          </cell>
          <cell r="F1051" t="str">
            <v>M757</v>
          </cell>
        </row>
        <row r="1052">
          <cell r="D1052" t="str">
            <v>@castellosgr.com</v>
          </cell>
          <cell r="E1052">
            <v>2017</v>
          </cell>
          <cell r="F1052" t="str">
            <v>M707</v>
          </cell>
        </row>
        <row r="1053">
          <cell r="D1053" t="str">
            <v>@orchard-street.co.uk</v>
          </cell>
          <cell r="E1053">
            <v>2017</v>
          </cell>
          <cell r="F1053" t="str">
            <v>M582</v>
          </cell>
        </row>
        <row r="1054">
          <cell r="D1054" t="str">
            <v>@hunterreim.com</v>
          </cell>
          <cell r="E1054">
            <v>2016</v>
          </cell>
          <cell r="F1054" t="str">
            <v>M588</v>
          </cell>
        </row>
        <row r="1055">
          <cell r="D1055" t="str">
            <v>@ircp.com</v>
          </cell>
          <cell r="E1055">
            <v>2016</v>
          </cell>
          <cell r="F1055">
            <v>0</v>
          </cell>
        </row>
        <row r="1056">
          <cell r="D1056" t="str">
            <v>@aberdeen-asset.com</v>
          </cell>
          <cell r="E1056">
            <v>2016</v>
          </cell>
          <cell r="F1056" t="str">
            <v>M675</v>
          </cell>
        </row>
        <row r="1057">
          <cell r="D1057" t="str">
            <v>@tishmanspeyer.com</v>
          </cell>
          <cell r="E1057">
            <v>2016</v>
          </cell>
          <cell r="F1057" t="str">
            <v>M054</v>
          </cell>
        </row>
        <row r="1058">
          <cell r="D1058" t="str">
            <v>@bluehousecapital.com</v>
          </cell>
          <cell r="E1058">
            <v>2016</v>
          </cell>
          <cell r="F1058" t="str">
            <v>M158</v>
          </cell>
        </row>
        <row r="1059">
          <cell r="D1059" t="str">
            <v>@patrizia.ag</v>
          </cell>
          <cell r="E1059">
            <v>2016</v>
          </cell>
          <cell r="F1059" t="str">
            <v>M180</v>
          </cell>
        </row>
        <row r="1060">
          <cell r="D1060" t="str">
            <v>@nh-cap.com</v>
          </cell>
          <cell r="E1060">
            <v>2016</v>
          </cell>
          <cell r="F1060" t="str">
            <v>M174</v>
          </cell>
        </row>
        <row r="1061">
          <cell r="D1061" t="str">
            <v>@starwood.com</v>
          </cell>
          <cell r="E1061">
            <v>2016</v>
          </cell>
          <cell r="F1061" t="str">
            <v>M05105</v>
          </cell>
        </row>
        <row r="1062">
          <cell r="D1062" t="str">
            <v>@triuva.com</v>
          </cell>
          <cell r="E1062">
            <v>2016</v>
          </cell>
          <cell r="F1062" t="str">
            <v>M180</v>
          </cell>
        </row>
        <row r="1063">
          <cell r="D1063" t="str">
            <v>@warburg-hih.com</v>
          </cell>
          <cell r="E1063">
            <v>2016</v>
          </cell>
          <cell r="F1063" t="str">
            <v>M277</v>
          </cell>
        </row>
        <row r="1064">
          <cell r="D1064" t="str">
            <v>@savillsim.com</v>
          </cell>
          <cell r="E1064">
            <v>2016</v>
          </cell>
          <cell r="F1064" t="str">
            <v>M079</v>
          </cell>
        </row>
        <row r="1065">
          <cell r="D1065" t="str">
            <v>@prologis.com</v>
          </cell>
          <cell r="E1065">
            <v>2016</v>
          </cell>
          <cell r="F1065" t="str">
            <v>M024</v>
          </cell>
        </row>
        <row r="1066">
          <cell r="D1066" t="str">
            <v>@sonaesierra.com</v>
          </cell>
          <cell r="E1066">
            <v>2016</v>
          </cell>
          <cell r="F1066" t="str">
            <v>M028</v>
          </cell>
        </row>
        <row r="1067">
          <cell r="D1067" t="str">
            <v>@jensen.ru</v>
          </cell>
          <cell r="E1067">
            <v>2016</v>
          </cell>
          <cell r="F1067" t="str">
            <v>M662</v>
          </cell>
        </row>
        <row r="1068">
          <cell r="D1068" t="str">
            <v>@standardlife.com</v>
          </cell>
          <cell r="E1068">
            <v>2016</v>
          </cell>
          <cell r="F1068" t="str">
            <v>M675</v>
          </cell>
        </row>
        <row r="1069">
          <cell r="D1069" t="str">
            <v>@icgplc.com</v>
          </cell>
          <cell r="E1069">
            <v>2016</v>
          </cell>
          <cell r="F1069" t="str">
            <v>M674</v>
          </cell>
        </row>
        <row r="1070">
          <cell r="D1070" t="str">
            <v>@bouwinvest.nl</v>
          </cell>
          <cell r="E1070">
            <v>2016</v>
          </cell>
          <cell r="F1070" t="str">
            <v>M660</v>
          </cell>
        </row>
        <row r="1071">
          <cell r="D1071" t="str">
            <v>@kempen.nl</v>
          </cell>
          <cell r="E1071">
            <v>2016</v>
          </cell>
          <cell r="F1071" t="str">
            <v>M03085</v>
          </cell>
        </row>
        <row r="1072">
          <cell r="D1072" t="str">
            <v>@threalestate.com</v>
          </cell>
          <cell r="E1072">
            <v>2016</v>
          </cell>
          <cell r="F1072" t="str">
            <v>M038</v>
          </cell>
        </row>
        <row r="1073">
          <cell r="D1073" t="str">
            <v>@franklintempleton.com</v>
          </cell>
          <cell r="E1073">
            <v>2016</v>
          </cell>
          <cell r="F1073" t="str">
            <v>M106</v>
          </cell>
        </row>
        <row r="1074">
          <cell r="D1074" t="str">
            <v>@hahnag.de</v>
          </cell>
          <cell r="E1074">
            <v>2016</v>
          </cell>
          <cell r="F1074" t="str">
            <v>M369</v>
          </cell>
        </row>
        <row r="1075">
          <cell r="D1075" t="str">
            <v>@alteravastgoed.nl</v>
          </cell>
          <cell r="E1075">
            <v>2016</v>
          </cell>
          <cell r="F1075" t="str">
            <v>M021</v>
          </cell>
        </row>
        <row r="1076">
          <cell r="D1076" t="str">
            <v>@kgal.de</v>
          </cell>
          <cell r="E1076">
            <v>2016</v>
          </cell>
          <cell r="F1076" t="str">
            <v>M637</v>
          </cell>
        </row>
        <row r="1077">
          <cell r="D1077" t="str">
            <v>@sparinvest.dk</v>
          </cell>
          <cell r="E1077">
            <v>2016</v>
          </cell>
          <cell r="F1077" t="str">
            <v>M180</v>
          </cell>
        </row>
        <row r="1078">
          <cell r="D1078" t="str">
            <v>@altancapital.com</v>
          </cell>
          <cell r="E1078">
            <v>2016</v>
          </cell>
          <cell r="F1078" t="str">
            <v>M226</v>
          </cell>
        </row>
        <row r="1079">
          <cell r="D1079" t="str">
            <v>@bnpparibas.com</v>
          </cell>
          <cell r="E1079">
            <v>2016</v>
          </cell>
          <cell r="F1079" t="str">
            <v>M318</v>
          </cell>
        </row>
        <row r="1080">
          <cell r="D1080" t="str">
            <v>@ubs.com</v>
          </cell>
          <cell r="E1080">
            <v>2016</v>
          </cell>
          <cell r="F1080" t="str">
            <v>M064</v>
          </cell>
        </row>
        <row r="1081">
          <cell r="D1081" t="str">
            <v>@kristensenproperties.com</v>
          </cell>
          <cell r="E1081">
            <v>2016</v>
          </cell>
          <cell r="F1081" t="str">
            <v>M160</v>
          </cell>
        </row>
        <row r="1082">
          <cell r="D1082" t="str">
            <v>@ibus.nl</v>
          </cell>
          <cell r="E1082">
            <v>2016</v>
          </cell>
          <cell r="F1082" t="str">
            <v>M030</v>
          </cell>
        </row>
        <row r="1083">
          <cell r="D1083" t="str">
            <v>@kf-im.com</v>
          </cell>
          <cell r="E1083">
            <v>2016</v>
          </cell>
          <cell r="F1083" t="str">
            <v>M04070</v>
          </cell>
        </row>
        <row r="1084">
          <cell r="D1084" t="str">
            <v>@grosvenor.com</v>
          </cell>
          <cell r="E1084">
            <v>2016</v>
          </cell>
          <cell r="F1084" t="str">
            <v>M052</v>
          </cell>
        </row>
        <row r="1085">
          <cell r="D1085" t="str">
            <v>@immofinre.com</v>
          </cell>
          <cell r="E1085">
            <v>2016</v>
          </cell>
          <cell r="F1085" t="str">
            <v>M05136</v>
          </cell>
        </row>
        <row r="1086">
          <cell r="D1086" t="str">
            <v>@aeweurope.com</v>
          </cell>
          <cell r="E1086">
            <v>2016</v>
          </cell>
          <cell r="F1086" t="str">
            <v>M004</v>
          </cell>
        </row>
        <row r="1087">
          <cell r="D1087" t="str">
            <v>@asr.nl</v>
          </cell>
          <cell r="E1087">
            <v>2016</v>
          </cell>
          <cell r="F1087" t="str">
            <v>M278</v>
          </cell>
        </row>
        <row r="1088">
          <cell r="D1088" t="str">
            <v>@bouwfondsim.com</v>
          </cell>
          <cell r="E1088">
            <v>2016</v>
          </cell>
          <cell r="F1088" t="str">
            <v>M068</v>
          </cell>
        </row>
        <row r="1089">
          <cell r="D1089" t="str">
            <v>@tristancap.com</v>
          </cell>
          <cell r="E1089">
            <v>2016</v>
          </cell>
          <cell r="F1089" t="str">
            <v>M486</v>
          </cell>
        </row>
        <row r="1090">
          <cell r="D1090" t="str">
            <v>@cordinggroup.com</v>
          </cell>
          <cell r="E1090">
            <v>2016</v>
          </cell>
          <cell r="F1090" t="str">
            <v>M506</v>
          </cell>
        </row>
        <row r="1091">
          <cell r="D1091" t="str">
            <v>@project-investment.de</v>
          </cell>
          <cell r="E1091">
            <v>2016</v>
          </cell>
          <cell r="F1091" t="str">
            <v>M680</v>
          </cell>
        </row>
        <row r="1092">
          <cell r="D1092" t="str">
            <v>@hannover-leasing.de</v>
          </cell>
          <cell r="E1092">
            <v>2016</v>
          </cell>
          <cell r="F1092">
            <v>0</v>
          </cell>
        </row>
        <row r="1093">
          <cell r="D1093" t="str">
            <v>@gtispartners.com</v>
          </cell>
          <cell r="E1093">
            <v>2016</v>
          </cell>
          <cell r="F1093" t="str">
            <v>M401</v>
          </cell>
        </row>
        <row r="1094">
          <cell r="D1094" t="str">
            <v>@steenstrom.com</v>
          </cell>
          <cell r="E1094">
            <v>2016</v>
          </cell>
          <cell r="F1094" t="str">
            <v>M676</v>
          </cell>
        </row>
        <row r="1095">
          <cell r="D1095" t="str">
            <v>@ryndaproperty.com</v>
          </cell>
          <cell r="E1095">
            <v>2016</v>
          </cell>
          <cell r="F1095" t="str">
            <v>M616</v>
          </cell>
        </row>
        <row r="1096">
          <cell r="D1096" t="str">
            <v>@axa-im.com</v>
          </cell>
          <cell r="E1096">
            <v>2016</v>
          </cell>
          <cell r="F1096" t="str">
            <v>M041</v>
          </cell>
        </row>
        <row r="1097">
          <cell r="D1097" t="str">
            <v>@vesteda.com</v>
          </cell>
          <cell r="E1097">
            <v>2016</v>
          </cell>
          <cell r="F1097" t="str">
            <v>M040</v>
          </cell>
        </row>
        <row r="1098">
          <cell r="D1098" t="str">
            <v>@amvest.nl</v>
          </cell>
          <cell r="E1098">
            <v>2016</v>
          </cell>
          <cell r="F1098" t="str">
            <v>M015</v>
          </cell>
        </row>
        <row r="1099">
          <cell r="D1099" t="str">
            <v>@credit-suisse.com</v>
          </cell>
          <cell r="E1099">
            <v>2016</v>
          </cell>
          <cell r="F1099" t="str">
            <v>M04230</v>
          </cell>
        </row>
        <row r="1100">
          <cell r="D1100" t="str">
            <v>@fprop.com</v>
          </cell>
          <cell r="E1100">
            <v>2016</v>
          </cell>
          <cell r="F1100" t="str">
            <v>M572</v>
          </cell>
        </row>
        <row r="1101">
          <cell r="D1101" t="str">
            <v>@pramerica.com</v>
          </cell>
          <cell r="E1101">
            <v>2016</v>
          </cell>
          <cell r="F1101" t="str">
            <v>M042</v>
          </cell>
        </row>
        <row r="1102">
          <cell r="D1102" t="str">
            <v>@gsa-gp.com</v>
          </cell>
          <cell r="E1102">
            <v>2016</v>
          </cell>
          <cell r="F1102" t="str">
            <v>M755</v>
          </cell>
        </row>
        <row r="1103">
          <cell r="D1103" t="str">
            <v>@gre.generali.com</v>
          </cell>
          <cell r="E1103">
            <v>2016</v>
          </cell>
          <cell r="F1103" t="str">
            <v>M069</v>
          </cell>
        </row>
        <row r="1104">
          <cell r="D1104" t="str">
            <v>@capman.com</v>
          </cell>
          <cell r="E1104">
            <v>2016</v>
          </cell>
          <cell r="F1104" t="str">
            <v>M168</v>
          </cell>
        </row>
        <row r="1105">
          <cell r="D1105" t="str">
            <v>@db.com</v>
          </cell>
          <cell r="E1105">
            <v>2016</v>
          </cell>
          <cell r="F1105" t="str">
            <v>M085</v>
          </cell>
        </row>
        <row r="1106">
          <cell r="D1106" t="str">
            <v>@niam.se</v>
          </cell>
          <cell r="E1106">
            <v>2016</v>
          </cell>
          <cell r="F1106" t="str">
            <v>M013</v>
          </cell>
        </row>
        <row r="1107">
          <cell r="D1107" t="str">
            <v>@achmeavastgoed.nl</v>
          </cell>
          <cell r="E1107">
            <v>2016</v>
          </cell>
          <cell r="F1107" t="str">
            <v>M710</v>
          </cell>
        </row>
        <row r="1108">
          <cell r="D1108" t="str">
            <v>@palatium.com</v>
          </cell>
          <cell r="E1108">
            <v>2016</v>
          </cell>
          <cell r="F1108" t="str">
            <v>M05130</v>
          </cell>
        </row>
        <row r="1109">
          <cell r="D1109" t="str">
            <v>@jamestown.de</v>
          </cell>
          <cell r="E1109">
            <v>2016</v>
          </cell>
          <cell r="F1109" t="str">
            <v>M551</v>
          </cell>
        </row>
        <row r="1110">
          <cell r="D1110" t="str">
            <v>@rockspringpim.com</v>
          </cell>
          <cell r="E1110">
            <v>2016</v>
          </cell>
          <cell r="F1110" t="str">
            <v>M180</v>
          </cell>
        </row>
        <row r="1111">
          <cell r="D1111" t="str">
            <v>@helaba-invest.de</v>
          </cell>
          <cell r="E1111">
            <v>2016</v>
          </cell>
          <cell r="F1111" t="str">
            <v>M663</v>
          </cell>
        </row>
        <row r="1112">
          <cell r="D1112" t="str">
            <v>@momeni-immobilien.com</v>
          </cell>
          <cell r="E1112">
            <v>2016</v>
          </cell>
          <cell r="F1112" t="str">
            <v>M781</v>
          </cell>
        </row>
        <row r="1113">
          <cell r="D1113" t="str">
            <v>@trevian.fi</v>
          </cell>
          <cell r="E1113">
            <v>2016</v>
          </cell>
          <cell r="F1113" t="str">
            <v>M777</v>
          </cell>
        </row>
        <row r="1114">
          <cell r="D1114" t="str">
            <v>@caerus.ag</v>
          </cell>
          <cell r="E1114">
            <v>2016</v>
          </cell>
          <cell r="F1114" t="str">
            <v>M697</v>
          </cell>
        </row>
        <row r="1115">
          <cell r="D1115" t="str">
            <v>@frogmore.co.uk</v>
          </cell>
          <cell r="E1115">
            <v>2016</v>
          </cell>
          <cell r="F1115" t="str">
            <v>M490</v>
          </cell>
        </row>
        <row r="1116">
          <cell r="D1116" t="str">
            <v>@eurindustrial.nl</v>
          </cell>
          <cell r="E1116">
            <v>2016</v>
          </cell>
          <cell r="F1116" t="str">
            <v>M03498</v>
          </cell>
        </row>
        <row r="1117">
          <cell r="D1117" t="str">
            <v>@madisonint.com</v>
          </cell>
          <cell r="E1117">
            <v>2016</v>
          </cell>
          <cell r="F1117" t="str">
            <v>M201</v>
          </cell>
        </row>
        <row r="1118">
          <cell r="D1118" t="e">
            <v>#VALUE!</v>
          </cell>
          <cell r="E1118">
            <v>2016</v>
          </cell>
          <cell r="F1118" t="e">
            <v>#VALUE!</v>
          </cell>
        </row>
        <row r="1119">
          <cell r="D1119" t="str">
            <v>@freogroup.com</v>
          </cell>
          <cell r="E1119">
            <v>2016</v>
          </cell>
          <cell r="F1119" t="str">
            <v>M359</v>
          </cell>
        </row>
        <row r="1120">
          <cell r="D1120" t="str">
            <v>@valad.co.uk</v>
          </cell>
          <cell r="E1120">
            <v>2016</v>
          </cell>
          <cell r="F1120" t="str">
            <v>M126</v>
          </cell>
        </row>
        <row r="1121">
          <cell r="D1121" t="str">
            <v>@areim.se</v>
          </cell>
          <cell r="E1121">
            <v>2016</v>
          </cell>
          <cell r="F1121" t="str">
            <v>M086</v>
          </cell>
        </row>
        <row r="1122">
          <cell r="D1122" t="str">
            <v>@4ip.ch</v>
          </cell>
          <cell r="E1122">
            <v>2016</v>
          </cell>
          <cell r="F1122" t="str">
            <v>M626</v>
          </cell>
        </row>
        <row r="1123">
          <cell r="D1123" t="str">
            <v>@quantum.ag</v>
          </cell>
          <cell r="E1123">
            <v>2016</v>
          </cell>
          <cell r="F1123" t="str">
            <v>M346</v>
          </cell>
        </row>
        <row r="1124">
          <cell r="D1124" t="str">
            <v>@europacapital.com</v>
          </cell>
          <cell r="E1124">
            <v>2016</v>
          </cell>
          <cell r="F1124" t="str">
            <v>M111</v>
          </cell>
        </row>
        <row r="1125">
          <cell r="D1125" t="str">
            <v>@iput.com</v>
          </cell>
          <cell r="E1125">
            <v>2016</v>
          </cell>
          <cell r="F1125" t="str">
            <v>M628</v>
          </cell>
        </row>
        <row r="1126">
          <cell r="D1126" t="str">
            <v>@dtzinvestors.com</v>
          </cell>
          <cell r="E1126">
            <v>2016</v>
          </cell>
          <cell r="F1126" t="str">
            <v>M105</v>
          </cell>
        </row>
        <row r="1127">
          <cell r="D1127" t="str">
            <v>@realisag.de</v>
          </cell>
          <cell r="E1127">
            <v>2016</v>
          </cell>
          <cell r="F1127" t="str">
            <v>M627</v>
          </cell>
        </row>
        <row r="1128">
          <cell r="D1128" t="str">
            <v>@nordika.se</v>
          </cell>
          <cell r="E1128">
            <v>2016</v>
          </cell>
          <cell r="F1128" t="str">
            <v>M03188</v>
          </cell>
        </row>
        <row r="1129">
          <cell r="D1129" t="str">
            <v>@lgt.com</v>
          </cell>
          <cell r="E1129">
            <v>2016</v>
          </cell>
          <cell r="F1129" t="str">
            <v>M411</v>
          </cell>
        </row>
        <row r="1130">
          <cell r="D1130" t="str">
            <v>@palmercapital.co.uk</v>
          </cell>
          <cell r="E1130">
            <v>2016</v>
          </cell>
          <cell r="F1130" t="str">
            <v>M775</v>
          </cell>
        </row>
        <row r="1131">
          <cell r="D1131" t="str">
            <v>@dnb.no</v>
          </cell>
          <cell r="E1131">
            <v>2016</v>
          </cell>
          <cell r="F1131" t="str">
            <v>M209</v>
          </cell>
        </row>
        <row r="1132">
          <cell r="D1132" t="str">
            <v>@avivainvestors.com</v>
          </cell>
          <cell r="E1132">
            <v>2016</v>
          </cell>
          <cell r="F1132" t="str">
            <v>M090</v>
          </cell>
        </row>
        <row r="1133">
          <cell r="D1133" t="str">
            <v>@fil.com</v>
          </cell>
          <cell r="E1133">
            <v>2016</v>
          </cell>
          <cell r="F1133" t="str">
            <v>M250</v>
          </cell>
        </row>
        <row r="1134">
          <cell r="D1134" t="str">
            <v>@amundi.com</v>
          </cell>
          <cell r="E1134">
            <v>2016</v>
          </cell>
          <cell r="F1134" t="str">
            <v>M365</v>
          </cell>
        </row>
        <row r="1135">
          <cell r="D1135" t="str">
            <v>@blackstone.com</v>
          </cell>
          <cell r="E1135">
            <v>2016</v>
          </cell>
          <cell r="F1135" t="str">
            <v>M178</v>
          </cell>
        </row>
        <row r="1136">
          <cell r="D1136" t="str">
            <v>@eqtpartners.com</v>
          </cell>
          <cell r="E1136">
            <v>2016</v>
          </cell>
          <cell r="F1136" t="str">
            <v>M742</v>
          </cell>
        </row>
        <row r="1137">
          <cell r="D1137" t="str">
            <v>@usrealco.com</v>
          </cell>
          <cell r="E1137">
            <v>2016</v>
          </cell>
          <cell r="F1137" t="str">
            <v>M720</v>
          </cell>
        </row>
        <row r="1138">
          <cell r="D1138" t="str">
            <v>@equityestate.nl</v>
          </cell>
          <cell r="E1138">
            <v>2016</v>
          </cell>
          <cell r="F1138" t="str">
            <v>M066</v>
          </cell>
        </row>
        <row r="1139">
          <cell r="D1139" t="str">
            <v>@lgim.com</v>
          </cell>
          <cell r="E1139">
            <v>2016</v>
          </cell>
          <cell r="F1139" t="str">
            <v>M465</v>
          </cell>
        </row>
        <row r="1140">
          <cell r="D1140" t="str">
            <v>@partnersgroup.com</v>
          </cell>
          <cell r="E1140">
            <v>2016</v>
          </cell>
          <cell r="F1140" t="str">
            <v>M672</v>
          </cell>
        </row>
        <row r="1141">
          <cell r="D1141" t="str">
            <v>@clearbell.com</v>
          </cell>
          <cell r="E1141">
            <v>2016</v>
          </cell>
          <cell r="F1141" t="str">
            <v>M768</v>
          </cell>
        </row>
        <row r="1142">
          <cell r="D1142" t="str">
            <v>@forumpartners.com</v>
          </cell>
          <cell r="E1142">
            <v>2016</v>
          </cell>
          <cell r="F1142" t="str">
            <v>M263</v>
          </cell>
        </row>
        <row r="1143">
          <cell r="D1143" t="str">
            <v>@corestate-capital.ch</v>
          </cell>
          <cell r="E1143">
            <v>2016</v>
          </cell>
          <cell r="F1143" t="str">
            <v>M252</v>
          </cell>
        </row>
        <row r="1144">
          <cell r="D1144" t="str">
            <v>@catella.de</v>
          </cell>
          <cell r="E1144">
            <v>2016</v>
          </cell>
          <cell r="F1144" t="str">
            <v>M063</v>
          </cell>
        </row>
        <row r="1145">
          <cell r="D1145" t="str">
            <v>@ece.com</v>
          </cell>
          <cell r="E1145">
            <v>2016</v>
          </cell>
          <cell r="F1145" t="str">
            <v>M657</v>
          </cell>
        </row>
        <row r="1146">
          <cell r="D1146" t="str">
            <v>@sirius.fi</v>
          </cell>
          <cell r="E1146">
            <v>2016</v>
          </cell>
          <cell r="F1146" t="str">
            <v>M757</v>
          </cell>
        </row>
        <row r="1147">
          <cell r="D1147" t="str">
            <v>@almaproperty.se</v>
          </cell>
          <cell r="E1147">
            <v>2016</v>
          </cell>
          <cell r="F1147" t="str">
            <v>M736</v>
          </cell>
        </row>
        <row r="1148">
          <cell r="D1148" t="str">
            <v>@indospace.in</v>
          </cell>
          <cell r="F1148" t="str">
            <v>N305</v>
          </cell>
        </row>
        <row r="1149">
          <cell r="D1149" t="str">
            <v>@cipam.com.au</v>
          </cell>
          <cell r="F1149" t="str">
            <v>M0224</v>
          </cell>
        </row>
        <row r="1150">
          <cell r="D1150" t="str">
            <v>@dbj-am.jp</v>
          </cell>
          <cell r="F1150" t="str">
            <v>N306</v>
          </cell>
        </row>
        <row r="1151">
          <cell r="D1151" t="str">
            <v>@paradvisors.com</v>
          </cell>
          <cell r="F1151" t="str">
            <v>N307</v>
          </cell>
        </row>
        <row r="1152">
          <cell r="D1152" t="str">
            <v>@tjbc.com</v>
          </cell>
          <cell r="F1152" t="str">
            <v>NC034</v>
          </cell>
        </row>
        <row r="1153">
          <cell r="D1153" t="str">
            <v>@broadshore.com</v>
          </cell>
          <cell r="F1153" t="str">
            <v>NC035</v>
          </cell>
        </row>
        <row r="1154">
          <cell r="D1154" t="str">
            <v>@acretrader.com</v>
          </cell>
          <cell r="F1154" t="str">
            <v>NC036</v>
          </cell>
        </row>
        <row r="1155">
          <cell r="D1155" t="str">
            <v>@pinebridge.com</v>
          </cell>
          <cell r="F1155" t="str">
            <v>M2708</v>
          </cell>
        </row>
        <row r="1156">
          <cell r="D1156" t="str">
            <v>@swisslife.ch</v>
          </cell>
          <cell r="F1156" t="str">
            <v>M2623</v>
          </cell>
        </row>
        <row r="1157">
          <cell r="D1157" t="str">
            <v>@apleona.com</v>
          </cell>
          <cell r="F1157" t="str">
            <v>M03279</v>
          </cell>
        </row>
        <row r="1158">
          <cell r="D1158" t="str">
            <v>@longharbour.co.uk</v>
          </cell>
          <cell r="F1158" t="str">
            <v>M03137</v>
          </cell>
        </row>
        <row r="1159">
          <cell r="D1159" t="str">
            <v>@primonial.fr</v>
          </cell>
          <cell r="F1159" t="str">
            <v>M03755</v>
          </cell>
        </row>
        <row r="1160">
          <cell r="D1160" t="str">
            <v>@wmp.nl</v>
          </cell>
          <cell r="F1160" t="str">
            <v>M04420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Map Questions"/>
    </sheetNames>
    <sheetDataSet>
      <sheetData sheetId="0">
        <row r="1">
          <cell r="D1" t="str">
            <v>QuestionText</v>
          </cell>
          <cell r="E1" t="str">
            <v>dtcode</v>
          </cell>
        </row>
        <row r="3">
          <cell r="D3" t="str">
            <v>RecordNo</v>
          </cell>
        </row>
        <row r="4">
          <cell r="D4" t="str">
            <v>Surveycode</v>
          </cell>
        </row>
        <row r="5">
          <cell r="D5" t="str">
            <v>URIstring</v>
          </cell>
        </row>
        <row r="6">
          <cell r="D6" t="str">
            <v>DateUpdated</v>
          </cell>
        </row>
        <row r="7">
          <cell r="D7" t="str">
            <v>DateCompleted</v>
          </cell>
        </row>
        <row r="8">
          <cell r="D8" t="str">
            <v>PageNo</v>
          </cell>
        </row>
        <row r="9">
          <cell r="D9" t="str">
            <v>PathInfo</v>
          </cell>
        </row>
        <row r="10">
          <cell r="D10" t="str">
            <v>Referrer</v>
          </cell>
        </row>
        <row r="11">
          <cell r="D11" t="str">
            <v>IPaddress</v>
          </cell>
        </row>
        <row r="12">
          <cell r="D12" t="str">
            <v>Association</v>
          </cell>
        </row>
        <row r="13">
          <cell r="D13" t="str">
            <v>Contact Name</v>
          </cell>
        </row>
        <row r="14">
          <cell r="D14" t="str">
            <v>Company</v>
          </cell>
        </row>
        <row r="15">
          <cell r="D15" t="str">
            <v>Job title</v>
          </cell>
        </row>
        <row r="16">
          <cell r="D16" t="str">
            <v>Email address</v>
          </cell>
        </row>
        <row r="17">
          <cell r="D17" t="str">
            <v>Contact Number</v>
          </cell>
        </row>
        <row r="18">
          <cell r="D18" t="str">
            <v>Country of Origin Global Head Office</v>
          </cell>
        </row>
        <row r="19">
          <cell r="D19" t="str">
            <v>Currency</v>
          </cell>
        </row>
        <row r="20">
          <cell r="D20" t="str">
            <v>Currency (OTHER)</v>
          </cell>
        </row>
        <row r="21">
          <cell r="D21" t="str">
            <v>Did your company raise institutional capital for non-listed real estate vehicles in 2017?</v>
          </cell>
          <cell r="E21">
            <v>1</v>
          </cell>
        </row>
        <row r="22">
          <cell r="D22" t="str">
            <v>If no, please state select one of the following reasons:</v>
          </cell>
          <cell r="E22">
            <v>2</v>
          </cell>
        </row>
        <row r="23">
          <cell r="D23" t="str">
            <v>If no, please state select one of the following reasons: (Other)</v>
          </cell>
          <cell r="E23">
            <v>3</v>
          </cell>
        </row>
        <row r="24">
          <cell r="D24" t="str">
            <v>How much institutional capital did your company raise in 2017 by regional strategy (million)?</v>
          </cell>
          <cell r="E24">
            <v>4</v>
          </cell>
        </row>
        <row r="25">
          <cell r="D25" t="str">
            <v>Asia Pacific strategy - Non-listed/ commingled real estate funds/private REITs</v>
          </cell>
          <cell r="E25" t="str">
            <v>4_1</v>
          </cell>
        </row>
        <row r="26">
          <cell r="D26" t="str">
            <v>Asia Pacific strategy - Separate accounts investing directly into real estate</v>
          </cell>
          <cell r="E26" t="str">
            <v>4_2</v>
          </cell>
        </row>
        <row r="27">
          <cell r="D27" t="str">
            <v>Asia Pacific strategy - Separate accounts investing into indirect vehicles</v>
          </cell>
          <cell r="E27" t="str">
            <v>4_3</v>
          </cell>
        </row>
        <row r="28">
          <cell r="D28" t="str">
            <v>Asia Pacific strategy - Joint ventures and club deals</v>
          </cell>
          <cell r="E28" t="str">
            <v>4_4</v>
          </cell>
        </row>
        <row r="29">
          <cell r="D29" t="str">
            <v>Asia Pacific strategy - Funds of funds</v>
          </cell>
          <cell r="E29" t="str">
            <v>4_5</v>
          </cell>
        </row>
        <row r="30">
          <cell r="D30" t="str">
            <v>Asia Pacific strategy - Non-listed debt products</v>
          </cell>
          <cell r="E30" t="str">
            <v>4_6</v>
          </cell>
        </row>
        <row r="31">
          <cell r="D31" t="str">
            <v>Asia Pacific strategy TOTAL</v>
          </cell>
          <cell r="E31" t="str">
            <v>4_7</v>
          </cell>
        </row>
        <row r="32">
          <cell r="D32" t="str">
            <v>European strategy - Non-listed/ commingled real estate funds/private REITs</v>
          </cell>
          <cell r="E32" t="str">
            <v>4_8</v>
          </cell>
        </row>
        <row r="33">
          <cell r="D33" t="str">
            <v>European strategy - Separate accounts investing directly into real estate</v>
          </cell>
          <cell r="E33" t="str">
            <v>4_9</v>
          </cell>
        </row>
        <row r="34">
          <cell r="D34" t="str">
            <v>European strategy - Separate accounts investing into indirect vehicles</v>
          </cell>
          <cell r="E34" t="str">
            <v>4_10</v>
          </cell>
        </row>
        <row r="35">
          <cell r="D35" t="str">
            <v>European strategy - Joint ventures and club deals</v>
          </cell>
          <cell r="E35" t="str">
            <v>4_11</v>
          </cell>
        </row>
        <row r="36">
          <cell r="D36" t="str">
            <v>European strategy - Funds of funds</v>
          </cell>
          <cell r="E36" t="str">
            <v>4_12</v>
          </cell>
        </row>
        <row r="37">
          <cell r="D37" t="str">
            <v>European strategy - Non-listed debt products</v>
          </cell>
          <cell r="E37" t="str">
            <v>4_13</v>
          </cell>
        </row>
        <row r="38">
          <cell r="D38" t="str">
            <v>European strategy TOTAL</v>
          </cell>
          <cell r="E38" t="str">
            <v>4_14</v>
          </cell>
        </row>
        <row r="39">
          <cell r="D39" t="str">
            <v>North American strategy - Non-listed/ commingled real estate funds/private REITs</v>
          </cell>
          <cell r="E39" t="str">
            <v>4_15</v>
          </cell>
        </row>
        <row r="40">
          <cell r="D40" t="str">
            <v>North American strategy - Separate accounts investing directly into real estate</v>
          </cell>
          <cell r="E40" t="str">
            <v>4_16</v>
          </cell>
        </row>
        <row r="41">
          <cell r="D41" t="str">
            <v>North American strategy - Separate accounts investing into indirect vehicles</v>
          </cell>
          <cell r="E41" t="str">
            <v>4_17</v>
          </cell>
        </row>
        <row r="42">
          <cell r="D42" t="str">
            <v>North American strategy - Joint ventures and club deals</v>
          </cell>
          <cell r="E42" t="str">
            <v>4_18</v>
          </cell>
        </row>
        <row r="43">
          <cell r="D43" t="str">
            <v>North American strategy - Funds of funds</v>
          </cell>
          <cell r="E43" t="str">
            <v>4_19</v>
          </cell>
        </row>
        <row r="44">
          <cell r="D44" t="str">
            <v>North American strategy - Non-listed debt products</v>
          </cell>
          <cell r="E44" t="str">
            <v>4_20</v>
          </cell>
        </row>
        <row r="45">
          <cell r="D45" t="str">
            <v>North American strategy TOTAL</v>
          </cell>
          <cell r="E45" t="str">
            <v>4_21</v>
          </cell>
        </row>
        <row r="46">
          <cell r="D46" t="str">
            <v>Global strategy - Non-listed/ commingled real estate funds/private REITs</v>
          </cell>
          <cell r="E46" t="str">
            <v>4_22</v>
          </cell>
        </row>
        <row r="47">
          <cell r="D47" t="str">
            <v>Global strategy - Separate accounts investing directly into real estate</v>
          </cell>
          <cell r="E47" t="str">
            <v>4_23</v>
          </cell>
        </row>
        <row r="48">
          <cell r="D48" t="str">
            <v>Global strategy - Separate accounts investing into indirect vehicles</v>
          </cell>
          <cell r="E48" t="str">
            <v>4_24</v>
          </cell>
        </row>
        <row r="49">
          <cell r="D49" t="str">
            <v>Global strategy - Joint ventures and club deals</v>
          </cell>
          <cell r="E49" t="str">
            <v>4_25</v>
          </cell>
        </row>
        <row r="50">
          <cell r="D50" t="str">
            <v>Global strategy - Funds of funds</v>
          </cell>
          <cell r="E50" t="str">
            <v>4_26</v>
          </cell>
        </row>
        <row r="51">
          <cell r="D51" t="str">
            <v>Global strategy - Non-listed debt products</v>
          </cell>
          <cell r="E51" t="str">
            <v>4_27</v>
          </cell>
        </row>
        <row r="52">
          <cell r="D52" t="str">
            <v>Global strategy TOTAL</v>
          </cell>
          <cell r="E52" t="str">
            <v>4_28</v>
          </cell>
        </row>
        <row r="53">
          <cell r="D53" t="str">
            <v>South American strategy - Non-listed/ commingled real estate funds/private REITs</v>
          </cell>
          <cell r="E53" t="str">
            <v>4_29</v>
          </cell>
        </row>
        <row r="54">
          <cell r="D54" t="str">
            <v>South American strategy - Separate accounts investing directly into real estate</v>
          </cell>
          <cell r="E54" t="str">
            <v>4_30</v>
          </cell>
        </row>
        <row r="55">
          <cell r="D55" t="str">
            <v>South American strategy - Separate accounts investing into indirect vehicles</v>
          </cell>
          <cell r="E55" t="str">
            <v>4_31</v>
          </cell>
        </row>
        <row r="56">
          <cell r="D56" t="str">
            <v>South American strategy - Joint ventures and club deals</v>
          </cell>
          <cell r="E56" t="str">
            <v>4_32</v>
          </cell>
        </row>
        <row r="57">
          <cell r="D57" t="str">
            <v>South American strategy - Funds of funds</v>
          </cell>
          <cell r="E57" t="str">
            <v>4_33</v>
          </cell>
        </row>
        <row r="58">
          <cell r="D58" t="str">
            <v>South American strategy - Non-listed debt products</v>
          </cell>
          <cell r="E58" t="str">
            <v>4_34</v>
          </cell>
        </row>
        <row r="59">
          <cell r="D59" t="str">
            <v>South American strategy TOTAL</v>
          </cell>
          <cell r="E59" t="str">
            <v>4_35</v>
          </cell>
        </row>
        <row r="60">
          <cell r="D60" t="str">
            <v>African strategy - Non-listed/ commingled real estate funds/private REITs</v>
          </cell>
          <cell r="E60" t="str">
            <v>4_36</v>
          </cell>
        </row>
        <row r="61">
          <cell r="D61" t="str">
            <v>African strategy - Separate accounts investing directly into real estate</v>
          </cell>
          <cell r="E61" t="str">
            <v>4_37</v>
          </cell>
        </row>
        <row r="62">
          <cell r="D62" t="str">
            <v>African strategy - Separate accounts investing into indirect vehicles</v>
          </cell>
          <cell r="E62" t="str">
            <v>4_38</v>
          </cell>
        </row>
        <row r="63">
          <cell r="D63" t="str">
            <v>African strategy - Joint ventures and club deals</v>
          </cell>
          <cell r="E63" t="str">
            <v>4_39</v>
          </cell>
        </row>
        <row r="64">
          <cell r="D64" t="str">
            <v>African strategy - Funds of funds</v>
          </cell>
          <cell r="E64" t="str">
            <v>4_40</v>
          </cell>
        </row>
        <row r="65">
          <cell r="D65" t="str">
            <v>African strategy - Non-listed debt products</v>
          </cell>
          <cell r="E65" t="str">
            <v>4_41</v>
          </cell>
        </row>
        <row r="66">
          <cell r="D66" t="str">
            <v>African strategy TOTAL</v>
          </cell>
          <cell r="E66" t="str">
            <v>4_42</v>
          </cell>
        </row>
        <row r="67">
          <cell r="D67" t="str">
            <v>Non-listed/ commingled real estate funds/private REITs TOTAL</v>
          </cell>
          <cell r="E67" t="str">
            <v>4_43</v>
          </cell>
        </row>
        <row r="68">
          <cell r="D68" t="str">
            <v>Separate accounts investing directly into real estate TOTAL</v>
          </cell>
          <cell r="E68" t="str">
            <v>4_44</v>
          </cell>
        </row>
        <row r="69">
          <cell r="D69" t="str">
            <v>Separate accounts investing into indirect vehicles TOTAL</v>
          </cell>
          <cell r="E69" t="str">
            <v>4_45</v>
          </cell>
        </row>
        <row r="70">
          <cell r="D70" t="str">
            <v>Joint ventures and club deals TOTAL</v>
          </cell>
          <cell r="E70" t="str">
            <v>4_46</v>
          </cell>
        </row>
        <row r="71">
          <cell r="D71" t="str">
            <v>Funds of funds TOTAL</v>
          </cell>
          <cell r="E71" t="str">
            <v>4_47</v>
          </cell>
        </row>
        <row r="72">
          <cell r="D72" t="str">
            <v>Non-listed debt products TOTAL</v>
          </cell>
          <cell r="E72" t="str">
            <v>4_48</v>
          </cell>
        </row>
        <row r="73">
          <cell r="D73" t="str">
            <v>TOTAL capital raised in 2016 by regional strategy (million)</v>
          </cell>
          <cell r="E73" t="str">
            <v>4_49</v>
          </cell>
        </row>
        <row r="74">
          <cell r="D74" t="str">
            <v>IGNORE</v>
          </cell>
          <cell r="E74" t="str">
            <v>4_50</v>
          </cell>
        </row>
        <row r="75">
          <cell r="D75" t="str">
            <v>IGNORE</v>
          </cell>
          <cell r="E75" t="str">
            <v>4_51</v>
          </cell>
        </row>
        <row r="76">
          <cell r="D76" t="str">
            <v>IGNORE</v>
          </cell>
          <cell r="E76" t="str">
            <v>4_52</v>
          </cell>
        </row>
        <row r="77">
          <cell r="D77" t="str">
            <v>IGNORE</v>
          </cell>
          <cell r="E77" t="str">
            <v>4_53</v>
          </cell>
        </row>
        <row r="78">
          <cell r="D78" t="str">
            <v>IGNORE</v>
          </cell>
          <cell r="E78" t="str">
            <v>4_54</v>
          </cell>
        </row>
        <row r="79">
          <cell r="D79" t="str">
            <v>IGNORE</v>
          </cell>
          <cell r="E79" t="str">
            <v>4_55</v>
          </cell>
        </row>
        <row r="80">
          <cell r="D80" t="str">
            <v>For how many vehicles did your company raise institutional capital for in 2017?</v>
          </cell>
          <cell r="E80">
            <v>5</v>
          </cell>
        </row>
        <row r="81">
          <cell r="D81" t="str">
            <v>Asia Pacific strategy - Non-listed/ commingled real estate funds/private REITs</v>
          </cell>
          <cell r="E81" t="str">
            <v>5_1</v>
          </cell>
        </row>
        <row r="82">
          <cell r="D82" t="str">
            <v>Asia Pacific strategy - Separate accounts investing directly into real estate</v>
          </cell>
          <cell r="E82" t="str">
            <v>5_2</v>
          </cell>
        </row>
        <row r="83">
          <cell r="D83" t="str">
            <v>Asia Pacific strategy - Separate accounts investing into indirect vehicles</v>
          </cell>
          <cell r="E83" t="str">
            <v>5_3</v>
          </cell>
        </row>
        <row r="84">
          <cell r="D84" t="str">
            <v>Asia Pacific strategy - Joint ventures and club deals</v>
          </cell>
          <cell r="E84" t="str">
            <v>5_4</v>
          </cell>
        </row>
        <row r="85">
          <cell r="D85" t="str">
            <v>Asia Pacific strategy - Funds of funds</v>
          </cell>
          <cell r="E85" t="str">
            <v>5_5</v>
          </cell>
        </row>
        <row r="86">
          <cell r="D86" t="str">
            <v>Asia Pacific strategy - Non-listed debt products</v>
          </cell>
          <cell r="E86" t="str">
            <v>5_6</v>
          </cell>
        </row>
        <row r="87">
          <cell r="D87" t="str">
            <v>Asia Pacific strategy TOTAL</v>
          </cell>
          <cell r="E87" t="str">
            <v>5_7</v>
          </cell>
        </row>
        <row r="88">
          <cell r="D88" t="str">
            <v>European strategy - Non-listed/ commingled real estate funds/private REITs</v>
          </cell>
          <cell r="E88" t="str">
            <v>5_8</v>
          </cell>
        </row>
        <row r="89">
          <cell r="D89" t="str">
            <v>European strategy - Separate accounts investing directly into real estate</v>
          </cell>
          <cell r="E89" t="str">
            <v>5_9</v>
          </cell>
        </row>
        <row r="90">
          <cell r="D90" t="str">
            <v>European strategy - Separate accounts investing into indirect vehicles</v>
          </cell>
          <cell r="E90" t="str">
            <v>5_10</v>
          </cell>
        </row>
        <row r="91">
          <cell r="D91" t="str">
            <v>European strategy - Joint ventures and club deals</v>
          </cell>
          <cell r="E91" t="str">
            <v>5_11</v>
          </cell>
        </row>
        <row r="92">
          <cell r="D92" t="str">
            <v>European strategy - Funds of funds</v>
          </cell>
          <cell r="E92" t="str">
            <v>5_12</v>
          </cell>
        </row>
        <row r="93">
          <cell r="D93" t="str">
            <v>European strategy - Non-listed debt products</v>
          </cell>
          <cell r="E93" t="str">
            <v>5_13</v>
          </cell>
        </row>
        <row r="94">
          <cell r="D94" t="str">
            <v>European strategy TOTAL</v>
          </cell>
          <cell r="E94" t="str">
            <v>5_14</v>
          </cell>
        </row>
        <row r="95">
          <cell r="D95" t="str">
            <v>North American strategy - Non-listed/ commingled real estate funds/private REITs</v>
          </cell>
          <cell r="E95" t="str">
            <v>5_15</v>
          </cell>
        </row>
        <row r="96">
          <cell r="D96" t="str">
            <v>North American strategy - Separate accounts investing directly into real estate</v>
          </cell>
          <cell r="E96" t="str">
            <v>5_16</v>
          </cell>
        </row>
        <row r="97">
          <cell r="D97" t="str">
            <v>North American strategy - Separate accounts investing into indirect vehicles</v>
          </cell>
          <cell r="E97" t="str">
            <v>5_17</v>
          </cell>
        </row>
        <row r="98">
          <cell r="D98" t="str">
            <v>North American strategy - Joint ventures and club deals</v>
          </cell>
          <cell r="E98" t="str">
            <v>5_18</v>
          </cell>
        </row>
        <row r="99">
          <cell r="D99" t="str">
            <v>North American strategy - Funds of funds</v>
          </cell>
          <cell r="E99" t="str">
            <v>5_19</v>
          </cell>
        </row>
        <row r="100">
          <cell r="D100" t="str">
            <v>North American strategy - Non-listed debt products</v>
          </cell>
          <cell r="E100" t="str">
            <v>5_20</v>
          </cell>
        </row>
        <row r="101">
          <cell r="D101" t="str">
            <v>North American strategy TOTAL</v>
          </cell>
          <cell r="E101" t="str">
            <v>5_21</v>
          </cell>
        </row>
        <row r="102">
          <cell r="D102" t="str">
            <v>Global strategy - Non-listed/ commingled real estate funds/private REITs</v>
          </cell>
          <cell r="E102" t="str">
            <v>5_22</v>
          </cell>
        </row>
        <row r="103">
          <cell r="D103" t="str">
            <v>Global strategy - Separate accounts investing directly into real estate</v>
          </cell>
          <cell r="E103" t="str">
            <v>5_23</v>
          </cell>
        </row>
        <row r="104">
          <cell r="D104" t="str">
            <v>Global strategy - Separate accounts investing into indirect vehicles</v>
          </cell>
          <cell r="E104" t="str">
            <v>5_24</v>
          </cell>
        </row>
        <row r="105">
          <cell r="D105" t="str">
            <v>Global strategy - Joint ventures and club deals</v>
          </cell>
          <cell r="E105" t="str">
            <v>5_25</v>
          </cell>
        </row>
        <row r="106">
          <cell r="D106" t="str">
            <v>Global strategy - Funds of funds</v>
          </cell>
          <cell r="E106" t="str">
            <v>5_26</v>
          </cell>
        </row>
        <row r="107">
          <cell r="D107" t="str">
            <v>Global strategy - Non-listed debt products</v>
          </cell>
          <cell r="E107" t="str">
            <v>5_27</v>
          </cell>
        </row>
        <row r="108">
          <cell r="D108" t="str">
            <v>Global strategy TOTAL</v>
          </cell>
          <cell r="E108" t="str">
            <v>5_28</v>
          </cell>
        </row>
        <row r="109">
          <cell r="D109" t="str">
            <v>South American strategy - Non-listed/ commingled real estate funds/private REITs</v>
          </cell>
          <cell r="E109" t="str">
            <v>5_29</v>
          </cell>
        </row>
        <row r="110">
          <cell r="D110" t="str">
            <v>South American strategy - Separate accounts investing directly into real estate</v>
          </cell>
          <cell r="E110" t="str">
            <v>5_30</v>
          </cell>
        </row>
        <row r="111">
          <cell r="D111" t="str">
            <v>South American strategy - Separate accounts investing into indirect vehicles</v>
          </cell>
          <cell r="E111" t="str">
            <v>5_31</v>
          </cell>
        </row>
        <row r="112">
          <cell r="D112" t="str">
            <v>South American strategy - Joint ventures and club deals</v>
          </cell>
          <cell r="E112" t="str">
            <v>5_32</v>
          </cell>
        </row>
        <row r="113">
          <cell r="D113" t="str">
            <v>South American strategy - Funds of funds</v>
          </cell>
          <cell r="E113" t="str">
            <v>5_33</v>
          </cell>
        </row>
        <row r="114">
          <cell r="D114" t="str">
            <v>South American strategy - Non-listed debt products</v>
          </cell>
          <cell r="E114" t="str">
            <v>5_34</v>
          </cell>
        </row>
        <row r="115">
          <cell r="D115" t="str">
            <v>South American strategy TOTAL</v>
          </cell>
          <cell r="E115" t="str">
            <v>5_35</v>
          </cell>
        </row>
        <row r="116">
          <cell r="D116" t="str">
            <v>African strategy - Non-listed/ commingled real estate funds/private REITs</v>
          </cell>
          <cell r="E116" t="str">
            <v>5_36</v>
          </cell>
        </row>
        <row r="117">
          <cell r="D117" t="str">
            <v>African strategy - Separate accounts investing directly into real estate</v>
          </cell>
          <cell r="E117" t="str">
            <v>5_37</v>
          </cell>
        </row>
        <row r="118">
          <cell r="D118" t="str">
            <v>African strategy - Separate accounts investing into indirect vehicles</v>
          </cell>
          <cell r="E118" t="str">
            <v>5_38</v>
          </cell>
        </row>
        <row r="119">
          <cell r="D119" t="str">
            <v>African strategy - Joint ventures and club deals</v>
          </cell>
          <cell r="E119" t="str">
            <v>5_39</v>
          </cell>
        </row>
        <row r="120">
          <cell r="D120" t="str">
            <v>African strategy - Funds of funds</v>
          </cell>
          <cell r="E120" t="str">
            <v>5_40</v>
          </cell>
        </row>
        <row r="121">
          <cell r="D121" t="str">
            <v>African strategy - Non-listed debt products</v>
          </cell>
          <cell r="E121" t="str">
            <v>5_41</v>
          </cell>
        </row>
        <row r="122">
          <cell r="D122" t="str">
            <v>African strategy TOTAL</v>
          </cell>
          <cell r="E122" t="str">
            <v>5_42</v>
          </cell>
        </row>
        <row r="123">
          <cell r="D123" t="str">
            <v>Non-listed/ commingled real estate funds/private REITs TOTAL</v>
          </cell>
          <cell r="E123" t="str">
            <v>5_43</v>
          </cell>
        </row>
        <row r="124">
          <cell r="D124" t="str">
            <v>Separate accounts investing directly into real estate TOTAL</v>
          </cell>
          <cell r="E124" t="str">
            <v>5_44</v>
          </cell>
        </row>
        <row r="125">
          <cell r="D125" t="str">
            <v>Separate accounts investing into indirect vehicles TOTAL</v>
          </cell>
          <cell r="E125" t="str">
            <v>5_45</v>
          </cell>
        </row>
        <row r="126">
          <cell r="D126" t="str">
            <v>Joint ventures and club deals TOTAL</v>
          </cell>
          <cell r="E126" t="str">
            <v>5_46</v>
          </cell>
        </row>
        <row r="127">
          <cell r="D127" t="str">
            <v>Funds of funds TOTAL</v>
          </cell>
          <cell r="E127" t="str">
            <v>5_47</v>
          </cell>
        </row>
        <row r="128">
          <cell r="D128" t="str">
            <v>Non-listed debt products TOTAL</v>
          </cell>
          <cell r="E128" t="str">
            <v>5_48</v>
          </cell>
        </row>
        <row r="129">
          <cell r="D129" t="str">
            <v>Total number of vehicles company raised capital for in 2016 by regional strategy</v>
          </cell>
          <cell r="E129" t="str">
            <v>5_49</v>
          </cell>
        </row>
        <row r="130">
          <cell r="D130" t="str">
            <v>IGNORE</v>
          </cell>
          <cell r="E130" t="str">
            <v>5_50</v>
          </cell>
        </row>
        <row r="131">
          <cell r="D131" t="str">
            <v>IGNORE</v>
          </cell>
          <cell r="E131" t="str">
            <v>5_51</v>
          </cell>
        </row>
        <row r="132">
          <cell r="D132" t="str">
            <v>IGNORE</v>
          </cell>
          <cell r="E132" t="str">
            <v>5_52</v>
          </cell>
        </row>
        <row r="133">
          <cell r="D133" t="str">
            <v>IGNORE</v>
          </cell>
          <cell r="E133" t="str">
            <v>5_53</v>
          </cell>
        </row>
        <row r="134">
          <cell r="D134" t="str">
            <v>IGNORE</v>
          </cell>
          <cell r="E134" t="str">
            <v>5_54</v>
          </cell>
        </row>
        <row r="135">
          <cell r="D135" t="str">
            <v>IGNORE</v>
          </cell>
          <cell r="E135" t="str">
            <v>5_55</v>
          </cell>
        </row>
        <row r="136">
          <cell r="D136" t="str">
            <v>IGNORE</v>
          </cell>
          <cell r="E136" t="str">
            <v>5_56</v>
          </cell>
        </row>
        <row r="137">
          <cell r="D137" t="str">
            <v>IGNORE</v>
          </cell>
          <cell r="E137" t="str">
            <v>5_57</v>
          </cell>
        </row>
        <row r="138">
          <cell r="D138" t="str">
            <v>IGNORE</v>
          </cell>
          <cell r="E138" t="str">
            <v>5_58</v>
          </cell>
        </row>
        <row r="139">
          <cell r="D139" t="str">
            <v>IGNORE</v>
          </cell>
          <cell r="E139" t="str">
            <v>5_59</v>
          </cell>
        </row>
        <row r="140">
          <cell r="D140" t="str">
            <v>IGNORE</v>
          </cell>
          <cell r="E140" t="str">
            <v>5_60</v>
          </cell>
        </row>
        <row r="141">
          <cell r="D141" t="str">
            <v>IGNORE</v>
          </cell>
          <cell r="E141" t="str">
            <v>5_61</v>
          </cell>
        </row>
        <row r="142">
          <cell r="D142" t="str">
            <v>IGNORE</v>
          </cell>
          <cell r="E142" t="str">
            <v>5_62</v>
          </cell>
        </row>
        <row r="143">
          <cell r="D143" t="str">
            <v>IGNORE</v>
          </cell>
          <cell r="E143" t="str">
            <v>5_63</v>
          </cell>
        </row>
        <row r="144">
          <cell r="D144" t="str">
            <v>IGNORE</v>
          </cell>
          <cell r="E144" t="str">
            <v>5_64</v>
          </cell>
        </row>
        <row r="145">
          <cell r="D145" t="str">
            <v>IGNORE</v>
          </cell>
          <cell r="E145" t="str">
            <v>5_65</v>
          </cell>
        </row>
        <row r="146">
          <cell r="D146" t="str">
            <v>IGNORE</v>
          </cell>
          <cell r="E146" t="str">
            <v>5_66</v>
          </cell>
        </row>
        <row r="147">
          <cell r="D147" t="str">
            <v>IGNORE</v>
          </cell>
          <cell r="E147" t="str">
            <v>5_67</v>
          </cell>
        </row>
        <row r="148">
          <cell r="D148" t="str">
            <v>IGNORE</v>
          </cell>
          <cell r="E148" t="str">
            <v>5_68</v>
          </cell>
        </row>
        <row r="149">
          <cell r="D149" t="str">
            <v>IGNORE</v>
          </cell>
          <cell r="E149" t="str">
            <v>5_69</v>
          </cell>
        </row>
        <row r="150">
          <cell r="D150" t="str">
            <v>IGNORE</v>
          </cell>
          <cell r="E150" t="str">
            <v>5_70</v>
          </cell>
        </row>
        <row r="151">
          <cell r="D151" t="str">
            <v>IGNORE</v>
          </cell>
          <cell r="E151" t="str">
            <v>5_71</v>
          </cell>
        </row>
        <row r="152">
          <cell r="D152" t="str">
            <v>IGNORE</v>
          </cell>
          <cell r="E152" t="str">
            <v>5_72</v>
          </cell>
        </row>
        <row r="153">
          <cell r="D153" t="str">
            <v>IGNORE</v>
          </cell>
          <cell r="E153" t="str">
            <v>5_73</v>
          </cell>
        </row>
        <row r="154">
          <cell r="D154" t="str">
            <v>IGNORE</v>
          </cell>
          <cell r="E154" t="str">
            <v>5_74</v>
          </cell>
        </row>
        <row r="155">
          <cell r="D155" t="str">
            <v>IGNORE</v>
          </cell>
          <cell r="E155" t="str">
            <v>5_75</v>
          </cell>
        </row>
        <row r="156">
          <cell r="D156" t="str">
            <v>IGNORE</v>
          </cell>
          <cell r="E156" t="str">
            <v>5_76</v>
          </cell>
        </row>
        <row r="157">
          <cell r="D157" t="str">
            <v>IGNORE</v>
          </cell>
          <cell r="E157" t="str">
            <v>5_77</v>
          </cell>
        </row>
        <row r="158">
          <cell r="D158" t="str">
            <v>IGNORE</v>
          </cell>
          <cell r="E158" t="str">
            <v>5_78</v>
          </cell>
        </row>
        <row r="159">
          <cell r="D159" t="str">
            <v>IGNORE</v>
          </cell>
          <cell r="E159" t="str">
            <v>5_79</v>
          </cell>
        </row>
        <row r="160">
          <cell r="D160" t="str">
            <v>IGNORE</v>
          </cell>
          <cell r="E160" t="str">
            <v>5_80</v>
          </cell>
        </row>
        <row r="161">
          <cell r="D161" t="str">
            <v>IGNORE</v>
          </cell>
          <cell r="E161" t="str">
            <v>5_81</v>
          </cell>
        </row>
        <row r="162">
          <cell r="D162" t="str">
            <v>IGNORE</v>
          </cell>
          <cell r="E162" t="str">
            <v>5_82</v>
          </cell>
        </row>
        <row r="163">
          <cell r="D163" t="str">
            <v>IGNORE</v>
          </cell>
          <cell r="E163" t="str">
            <v>5_83</v>
          </cell>
        </row>
        <row r="164">
          <cell r="D164" t="str">
            <v>IGNORE</v>
          </cell>
          <cell r="E164" t="str">
            <v>5_84</v>
          </cell>
        </row>
        <row r="165">
          <cell r="D165" t="str">
            <v>IGNORE</v>
          </cell>
          <cell r="E165" t="str">
            <v>5_85</v>
          </cell>
        </row>
        <row r="166">
          <cell r="D166" t="str">
            <v>How much institutional capital did your company raise in 2017 by investor type (million)?</v>
          </cell>
          <cell r="E166">
            <v>6</v>
          </cell>
        </row>
        <row r="167">
          <cell r="D167" t="str">
            <v>Pension funds - Non-listed/ commingled real estate funds/private REITs</v>
          </cell>
          <cell r="E167" t="str">
            <v>6_1</v>
          </cell>
        </row>
        <row r="168">
          <cell r="D168" t="str">
            <v>Pension funds - Separate accounts investing directly into real estate</v>
          </cell>
          <cell r="E168" t="str">
            <v>6_2</v>
          </cell>
        </row>
        <row r="169">
          <cell r="D169" t="str">
            <v>Pension funds - Separate accounts investing into indirect vehicles</v>
          </cell>
          <cell r="E169" t="str">
            <v>6_3</v>
          </cell>
        </row>
        <row r="170">
          <cell r="D170" t="str">
            <v>Pension funds - Joint ventures and club deals</v>
          </cell>
          <cell r="E170" t="str">
            <v>6_4</v>
          </cell>
        </row>
        <row r="171">
          <cell r="D171" t="str">
            <v>Pension funds - Funds of funds</v>
          </cell>
          <cell r="E171" t="str">
            <v>6_5</v>
          </cell>
        </row>
        <row r="172">
          <cell r="D172" t="str">
            <v>Pension funds - Non-listed debt products</v>
          </cell>
          <cell r="E172" t="str">
            <v>6_6</v>
          </cell>
        </row>
        <row r="173">
          <cell r="D173" t="str">
            <v>Pension funds TOTAL</v>
          </cell>
          <cell r="E173" t="str">
            <v>6_7</v>
          </cell>
        </row>
        <row r="174">
          <cell r="D174" t="str">
            <v>Insurance companies - Non-listed/ commingled real estate funds/private REITs</v>
          </cell>
          <cell r="E174" t="str">
            <v>6_8</v>
          </cell>
        </row>
        <row r="175">
          <cell r="D175" t="str">
            <v>Insurance companies - Separate accounts investing directly into real estate</v>
          </cell>
          <cell r="E175" t="str">
            <v>6_9</v>
          </cell>
        </row>
        <row r="176">
          <cell r="D176" t="str">
            <v>Insurance companies - Separate accounts investing into indirect vehicles</v>
          </cell>
          <cell r="E176" t="str">
            <v>6_10</v>
          </cell>
        </row>
        <row r="177">
          <cell r="D177" t="str">
            <v>Insurance companies - Joint ventures and club deals</v>
          </cell>
          <cell r="E177" t="str">
            <v>6_11</v>
          </cell>
        </row>
        <row r="178">
          <cell r="D178" t="str">
            <v>Insurance companies - Funds of funds</v>
          </cell>
          <cell r="E178" t="str">
            <v>6_12</v>
          </cell>
        </row>
        <row r="179">
          <cell r="D179" t="str">
            <v>Insurance companies - Non-listed debt products</v>
          </cell>
          <cell r="E179" t="str">
            <v>6_13</v>
          </cell>
        </row>
        <row r="180">
          <cell r="D180" t="str">
            <v>Insurance companies TOTAL</v>
          </cell>
          <cell r="E180" t="str">
            <v>6_14</v>
          </cell>
        </row>
        <row r="181">
          <cell r="D181" t="str">
            <v>Sovereign wealth funds - Non-listed/ commingled real estate funds/private REITs</v>
          </cell>
          <cell r="E181" t="str">
            <v>6_15</v>
          </cell>
        </row>
        <row r="182">
          <cell r="D182" t="str">
            <v>Sovereign wealth funds - Separate accounts investing directly into real estate</v>
          </cell>
          <cell r="E182" t="str">
            <v>6_16</v>
          </cell>
        </row>
        <row r="183">
          <cell r="D183" t="str">
            <v>Sovereign wealth funds - Separate accounts investing into indirect vehicles</v>
          </cell>
          <cell r="E183" t="str">
            <v>6_17</v>
          </cell>
        </row>
        <row r="184">
          <cell r="D184" t="str">
            <v>Sovereign wealth funds - Joint ventures and club deals</v>
          </cell>
          <cell r="E184" t="str">
            <v>6_18</v>
          </cell>
        </row>
        <row r="185">
          <cell r="D185" t="str">
            <v>Sovereign wealth funds - Funds of funds</v>
          </cell>
          <cell r="E185" t="str">
            <v>6_19</v>
          </cell>
        </row>
        <row r="186">
          <cell r="D186" t="str">
            <v>Sovereign wealth funds - Non-listed debt products</v>
          </cell>
          <cell r="E186" t="str">
            <v>6_20</v>
          </cell>
        </row>
        <row r="187">
          <cell r="D187" t="str">
            <v>Sovereign wealth funds TOTAL</v>
          </cell>
          <cell r="E187" t="str">
            <v>6_21</v>
          </cell>
        </row>
        <row r="188">
          <cell r="D188" t="str">
            <v>Government institutions - Non-listed/ commingled real estate funds/private REITs</v>
          </cell>
          <cell r="E188" t="str">
            <v>6_22</v>
          </cell>
        </row>
        <row r="189">
          <cell r="D189" t="str">
            <v>Government institutions - Separate accounts investing directly into real estate</v>
          </cell>
          <cell r="E189" t="str">
            <v>6_23</v>
          </cell>
        </row>
        <row r="190">
          <cell r="D190" t="str">
            <v>Government institutions - Separate accounts investing into indirect vehicles</v>
          </cell>
          <cell r="E190" t="str">
            <v>6_24</v>
          </cell>
        </row>
        <row r="191">
          <cell r="D191" t="str">
            <v>Government institutions - Joint ventures and club deals</v>
          </cell>
          <cell r="E191" t="str">
            <v>6_25</v>
          </cell>
        </row>
        <row r="192">
          <cell r="D192" t="str">
            <v>Government institutions - Funds of funds</v>
          </cell>
          <cell r="E192" t="str">
            <v>6_26</v>
          </cell>
        </row>
        <row r="193">
          <cell r="D193" t="str">
            <v>Government institutions - Non-listed debt products</v>
          </cell>
          <cell r="E193" t="str">
            <v>6_27</v>
          </cell>
        </row>
        <row r="194">
          <cell r="D194" t="str">
            <v>Government institutions TOTAL</v>
          </cell>
          <cell r="E194" t="str">
            <v>6_28</v>
          </cell>
        </row>
        <row r="195">
          <cell r="D195" t="str">
            <v>Charities, foundations, non-profit organisations - Non-listed/ commingled real estate funds/private REITs</v>
          </cell>
          <cell r="E195" t="str">
            <v>6_29</v>
          </cell>
        </row>
        <row r="196">
          <cell r="D196" t="str">
            <v>Charities, foundations, non-profit organisations - Separate accounts investing directly into real estate</v>
          </cell>
          <cell r="E196" t="str">
            <v>6_30</v>
          </cell>
        </row>
        <row r="197">
          <cell r="D197" t="str">
            <v>Charities, foundations, non-profit organisations - Separate accounts investing into indirect vehicles</v>
          </cell>
          <cell r="E197" t="str">
            <v>6_31</v>
          </cell>
        </row>
        <row r="198">
          <cell r="D198" t="str">
            <v>Charities, foundations, non-profit organisations - Joint ventures and club deals</v>
          </cell>
          <cell r="E198" t="str">
            <v>6_32</v>
          </cell>
        </row>
        <row r="199">
          <cell r="D199" t="str">
            <v>Charities, foundations, non-profit organisations - Funds of funds</v>
          </cell>
          <cell r="E199" t="str">
            <v>6_33</v>
          </cell>
        </row>
        <row r="200">
          <cell r="D200" t="str">
            <v>Charities, foundations, non-profit organisations - Non-listed debt products</v>
          </cell>
          <cell r="E200" t="str">
            <v>6_34</v>
          </cell>
        </row>
        <row r="201">
          <cell r="D201" t="str">
            <v>Charities, foundations, non-profit organisations  TOTAL</v>
          </cell>
          <cell r="E201" t="str">
            <v>6_35</v>
          </cell>
        </row>
        <row r="202">
          <cell r="D202" t="str">
            <v>Funds of funds - Non-listed/ commingled real estate funds/private REITs</v>
          </cell>
          <cell r="E202" t="str">
            <v>6_36</v>
          </cell>
        </row>
        <row r="203">
          <cell r="D203" t="str">
            <v>Funds of funds - Separate accounts investing directly into real estate</v>
          </cell>
          <cell r="E203" t="str">
            <v>6_37</v>
          </cell>
        </row>
        <row r="204">
          <cell r="D204" t="str">
            <v>Funds of funds - Separate accounts investing into indirect vehicles</v>
          </cell>
          <cell r="E204" t="str">
            <v>6_38</v>
          </cell>
        </row>
        <row r="205">
          <cell r="D205" t="str">
            <v>Funds of funds - Joint ventures and club deals</v>
          </cell>
          <cell r="E205" t="str">
            <v>6_39</v>
          </cell>
        </row>
        <row r="206">
          <cell r="D206" t="str">
            <v>Funds of funds - Funds of funds</v>
          </cell>
          <cell r="E206" t="str">
            <v>6_40</v>
          </cell>
        </row>
        <row r="207">
          <cell r="D207" t="str">
            <v>Funds of funds - Non-listed debt products</v>
          </cell>
          <cell r="E207" t="str">
            <v>6_41</v>
          </cell>
        </row>
        <row r="208">
          <cell r="D208" t="str">
            <v>Funds of funds TOTAL</v>
          </cell>
          <cell r="E208" t="str">
            <v>6_42</v>
          </cell>
        </row>
        <row r="209">
          <cell r="D209" t="str">
            <v>High net worth individuals /Family offices - Non-listed/ commingled real estate funds/private REITs</v>
          </cell>
          <cell r="E209" t="str">
            <v>6_43</v>
          </cell>
        </row>
        <row r="210">
          <cell r="D210" t="str">
            <v>High net worth individuals /Family offices - Separate accounts investing directly into real estate</v>
          </cell>
          <cell r="E210" t="str">
            <v>6_44</v>
          </cell>
        </row>
        <row r="211">
          <cell r="D211" t="str">
            <v>High net worth individuals /Family offices - Separate accounts investing into indirect vehicles</v>
          </cell>
          <cell r="E211" t="str">
            <v>6_45</v>
          </cell>
        </row>
        <row r="212">
          <cell r="D212" t="str">
            <v>High net worth individuals /Family offices - Joint ventures and club deals</v>
          </cell>
          <cell r="E212" t="str">
            <v>6_46</v>
          </cell>
        </row>
        <row r="213">
          <cell r="D213" t="str">
            <v>High net worth individuals /Family offices - Funds of funds</v>
          </cell>
          <cell r="E213" t="str">
            <v>6_47</v>
          </cell>
        </row>
        <row r="214">
          <cell r="D214" t="str">
            <v>High net worth individuals /Family offices - Non-listed debt products</v>
          </cell>
          <cell r="E214" t="str">
            <v>6_48</v>
          </cell>
        </row>
        <row r="215">
          <cell r="D215" t="str">
            <v>High net worth individuals /Family offices TOTAL</v>
          </cell>
          <cell r="E215" t="str">
            <v>6_49</v>
          </cell>
        </row>
        <row r="216">
          <cell r="D216" t="str">
            <v>Other (please specify)</v>
          </cell>
          <cell r="E216" t="str">
            <v>6_50</v>
          </cell>
        </row>
        <row r="217">
          <cell r="D217" t="str">
            <v>Other - Non-listed/ commingled real estate funds/private REITs</v>
          </cell>
          <cell r="E217" t="str">
            <v>6_51</v>
          </cell>
        </row>
        <row r="218">
          <cell r="D218" t="str">
            <v>Other - Separate accounts investing directly into real estate</v>
          </cell>
          <cell r="E218" t="str">
            <v>6_52</v>
          </cell>
        </row>
        <row r="219">
          <cell r="D219" t="str">
            <v>Other - Separate accounts investing into indirect vehicles</v>
          </cell>
          <cell r="E219" t="str">
            <v>6_53</v>
          </cell>
        </row>
        <row r="220">
          <cell r="D220" t="str">
            <v>Other - Joint ventures and club deals</v>
          </cell>
          <cell r="E220" t="str">
            <v>6_54</v>
          </cell>
        </row>
        <row r="221">
          <cell r="D221" t="str">
            <v>Other - Funds of funds</v>
          </cell>
          <cell r="E221" t="str">
            <v>6_55</v>
          </cell>
        </row>
        <row r="222">
          <cell r="D222" t="str">
            <v>Other - Non-listed debt products</v>
          </cell>
          <cell r="E222" t="str">
            <v>6_56</v>
          </cell>
        </row>
        <row r="223">
          <cell r="D223" t="str">
            <v>Other TOTAL</v>
          </cell>
          <cell r="E223" t="str">
            <v>6_57</v>
          </cell>
        </row>
        <row r="224">
          <cell r="D224" t="str">
            <v>Non-listed/ commingled real estate funds/private REITs TOTAL</v>
          </cell>
          <cell r="E224" t="str">
            <v>6_58</v>
          </cell>
        </row>
        <row r="225">
          <cell r="D225" t="str">
            <v>Separate accounts investing directly into real estate TOTAL</v>
          </cell>
          <cell r="E225" t="str">
            <v>6_59</v>
          </cell>
        </row>
        <row r="226">
          <cell r="D226" t="str">
            <v>Separate accounts investing into indirect vehicles TOTAL</v>
          </cell>
          <cell r="E226" t="str">
            <v>6_60</v>
          </cell>
        </row>
        <row r="227">
          <cell r="D227" t="str">
            <v>Joint ventures and club deals TOTAL</v>
          </cell>
          <cell r="E227" t="str">
            <v>6_61</v>
          </cell>
        </row>
        <row r="228">
          <cell r="D228" t="str">
            <v>Funds of funds TOTAL</v>
          </cell>
          <cell r="E228" t="str">
            <v>6_62</v>
          </cell>
        </row>
        <row r="229">
          <cell r="D229" t="str">
            <v>Non-listed debt products TOTAL</v>
          </cell>
          <cell r="E229" t="str">
            <v>6_63</v>
          </cell>
        </row>
        <row r="230">
          <cell r="D230" t="str">
            <v>Total capital company raised in 2016 from institutional investors by investor type (million)</v>
          </cell>
          <cell r="E230" t="str">
            <v>6_64</v>
          </cell>
        </row>
        <row r="231">
          <cell r="D231" t="str">
            <v>How much institutional capital did your company raise in 2017 by investor domicile (million)?</v>
          </cell>
          <cell r="E231">
            <v>7</v>
          </cell>
        </row>
        <row r="232">
          <cell r="D232" t="str">
            <v>Asia Pacific - Non-listed/ commingled real estate funds/private REITs</v>
          </cell>
          <cell r="E232" t="str">
            <v>7_1</v>
          </cell>
        </row>
        <row r="233">
          <cell r="D233" t="str">
            <v>Asia Pacific - Separate accounts investing directly into real estate</v>
          </cell>
          <cell r="E233" t="str">
            <v>7_2</v>
          </cell>
        </row>
        <row r="234">
          <cell r="D234" t="str">
            <v>Asia Pacific - Separate accounts investing into indirect vehicles</v>
          </cell>
          <cell r="E234" t="str">
            <v>7_3</v>
          </cell>
        </row>
        <row r="235">
          <cell r="D235" t="str">
            <v>Asia Pacific - Joint ventures and club deals</v>
          </cell>
          <cell r="E235" t="str">
            <v>7_4</v>
          </cell>
        </row>
        <row r="236">
          <cell r="D236" t="str">
            <v>Asia Pacific - Funds of funds</v>
          </cell>
          <cell r="E236" t="str">
            <v>7_5</v>
          </cell>
        </row>
        <row r="237">
          <cell r="D237" t="str">
            <v>Asia Pacific - Non-listed debt products</v>
          </cell>
          <cell r="E237" t="str">
            <v>7_6</v>
          </cell>
        </row>
        <row r="238">
          <cell r="D238" t="str">
            <v>Asia Pacific  TOTAL</v>
          </cell>
          <cell r="E238" t="str">
            <v>7_7</v>
          </cell>
        </row>
        <row r="239">
          <cell r="D239" t="str">
            <v>Europe - Non-listed/ commingled real estate funds/private REITs</v>
          </cell>
          <cell r="E239" t="str">
            <v>7_8</v>
          </cell>
        </row>
        <row r="240">
          <cell r="D240" t="str">
            <v>Europe - Separate accounts investing directly into real estate</v>
          </cell>
          <cell r="E240" t="str">
            <v>7_9</v>
          </cell>
        </row>
        <row r="241">
          <cell r="D241" t="str">
            <v>Europe - Separate accounts investing into indirect vehicles</v>
          </cell>
          <cell r="E241" t="str">
            <v>7_10</v>
          </cell>
        </row>
        <row r="242">
          <cell r="D242" t="str">
            <v>Europe - Joint ventures and club deals</v>
          </cell>
          <cell r="E242" t="str">
            <v>7_11</v>
          </cell>
        </row>
        <row r="243">
          <cell r="D243" t="str">
            <v>Europe - Funds of funds</v>
          </cell>
          <cell r="E243" t="str">
            <v>7_12</v>
          </cell>
        </row>
        <row r="244">
          <cell r="D244" t="str">
            <v>Europe - Non-listed debt products</v>
          </cell>
          <cell r="E244" t="str">
            <v>7_13</v>
          </cell>
        </row>
        <row r="245">
          <cell r="D245" t="str">
            <v>Europe  TOTAL</v>
          </cell>
          <cell r="E245" t="str">
            <v>7_14</v>
          </cell>
        </row>
        <row r="246">
          <cell r="D246" t="str">
            <v>North America - Non-listed/ commingled real estate funds/private REITs</v>
          </cell>
          <cell r="E246" t="str">
            <v>7_15</v>
          </cell>
        </row>
        <row r="247">
          <cell r="D247" t="str">
            <v>North America - Separate accounts investing directly into real estate</v>
          </cell>
          <cell r="E247" t="str">
            <v>7_16</v>
          </cell>
        </row>
        <row r="248">
          <cell r="D248" t="str">
            <v>North America - Separate accounts investing into indirect vehicles</v>
          </cell>
          <cell r="E248" t="str">
            <v>7_17</v>
          </cell>
        </row>
        <row r="249">
          <cell r="D249" t="str">
            <v>North America - Joint ventures and club deals</v>
          </cell>
          <cell r="E249" t="str">
            <v>7_18</v>
          </cell>
        </row>
        <row r="250">
          <cell r="D250" t="str">
            <v>North America - Funds of funds</v>
          </cell>
          <cell r="E250" t="str">
            <v>7_19</v>
          </cell>
        </row>
        <row r="251">
          <cell r="D251" t="str">
            <v>North America - Non-listed debt products</v>
          </cell>
          <cell r="E251" t="str">
            <v>7_20</v>
          </cell>
        </row>
        <row r="252">
          <cell r="D252" t="str">
            <v>North America  TOTAL</v>
          </cell>
          <cell r="E252" t="str">
            <v>7_21</v>
          </cell>
        </row>
        <row r="253">
          <cell r="D253" t="str">
            <v>South America - Non-listed/ commingled real estate funds/private REITs</v>
          </cell>
          <cell r="E253" t="str">
            <v>7_22</v>
          </cell>
        </row>
        <row r="254">
          <cell r="D254" t="str">
            <v>South America - Separate accounts investing directly into real estate</v>
          </cell>
          <cell r="E254" t="str">
            <v>7_23</v>
          </cell>
        </row>
        <row r="255">
          <cell r="D255" t="str">
            <v>South America - Separate accounts investing into indirect vehicles</v>
          </cell>
          <cell r="E255" t="str">
            <v>7_24</v>
          </cell>
        </row>
        <row r="256">
          <cell r="D256" t="str">
            <v>South America - Joint ventures and club deals</v>
          </cell>
          <cell r="E256" t="str">
            <v>7_25</v>
          </cell>
        </row>
        <row r="257">
          <cell r="D257" t="str">
            <v>South America - Funds of funds</v>
          </cell>
          <cell r="E257" t="str">
            <v>7_26</v>
          </cell>
        </row>
        <row r="258">
          <cell r="D258" t="str">
            <v>South America - Non-listed debt products</v>
          </cell>
          <cell r="E258" t="str">
            <v>7_27</v>
          </cell>
        </row>
        <row r="259">
          <cell r="D259" t="str">
            <v>South America  TOTAL</v>
          </cell>
          <cell r="E259" t="str">
            <v>7_28</v>
          </cell>
        </row>
        <row r="260">
          <cell r="D260" t="str">
            <v>Africa - Non-listed/ commingled real estate funds/private REITs</v>
          </cell>
          <cell r="E260" t="str">
            <v>7_29</v>
          </cell>
        </row>
        <row r="261">
          <cell r="D261" t="str">
            <v>Africa - Separate accounts investing directly into real estate</v>
          </cell>
          <cell r="E261" t="str">
            <v>7_30</v>
          </cell>
        </row>
        <row r="262">
          <cell r="D262" t="str">
            <v>Africa - Separate accounts investing into indirect vehicles</v>
          </cell>
          <cell r="E262" t="str">
            <v>7_31</v>
          </cell>
        </row>
        <row r="263">
          <cell r="D263" t="str">
            <v>Africa - Joint ventures and club deals</v>
          </cell>
          <cell r="E263" t="str">
            <v>7_32</v>
          </cell>
        </row>
        <row r="264">
          <cell r="D264" t="str">
            <v>Africa - Funds of funds</v>
          </cell>
          <cell r="E264" t="str">
            <v>7_33</v>
          </cell>
        </row>
        <row r="265">
          <cell r="D265" t="str">
            <v>Africa - Non-listed debt products</v>
          </cell>
          <cell r="E265" t="str">
            <v>7_34</v>
          </cell>
        </row>
        <row r="266">
          <cell r="D266" t="str">
            <v>Africa  TOTAL</v>
          </cell>
          <cell r="E266" t="str">
            <v>7_35</v>
          </cell>
        </row>
        <row r="267">
          <cell r="D267" t="str">
            <v>Non-listed/ commingled real estate funds/private REITs TOTAL</v>
          </cell>
          <cell r="E267" t="str">
            <v>7_36</v>
          </cell>
        </row>
        <row r="268">
          <cell r="D268" t="str">
            <v>Separate accounts investing directly into real estate TOTAL</v>
          </cell>
          <cell r="E268" t="str">
            <v>7_37</v>
          </cell>
        </row>
        <row r="269">
          <cell r="D269" t="str">
            <v>Separate accounts investing into indirect vehicles TOTAL</v>
          </cell>
          <cell r="E269" t="str">
            <v>7_38</v>
          </cell>
        </row>
        <row r="270">
          <cell r="D270" t="str">
            <v>Joint ventures and club deals TOTAL</v>
          </cell>
          <cell r="E270" t="str">
            <v>7_39</v>
          </cell>
        </row>
        <row r="271">
          <cell r="D271" t="str">
            <v>Funds of funds TOTAL</v>
          </cell>
          <cell r="E271" t="str">
            <v>7_40</v>
          </cell>
        </row>
        <row r="272">
          <cell r="D272" t="str">
            <v>Non-listed debt products TOTAL</v>
          </cell>
          <cell r="E272" t="str">
            <v>7_41</v>
          </cell>
        </row>
        <row r="273">
          <cell r="D273" t="str">
            <v>Total capital company raised in 2016 from Institutional Investors by investor domicile (million)</v>
          </cell>
          <cell r="E273" t="str">
            <v>7_42</v>
          </cell>
        </row>
        <row r="274">
          <cell r="D274" t="str">
            <v>What percentage of the total capital was raised via...?</v>
          </cell>
          <cell r="E274">
            <v>8</v>
          </cell>
        </row>
        <row r="275">
          <cell r="D275" t="str">
            <v>Placement agent</v>
          </cell>
          <cell r="E275" t="str">
            <v>8_1</v>
          </cell>
        </row>
        <row r="276">
          <cell r="D276" t="str">
            <v>Investors contacting you directly</v>
          </cell>
          <cell r="E276" t="str">
            <v>8_2</v>
          </cell>
        </row>
        <row r="277">
          <cell r="D277" t="str">
            <v>Your own direct relationship with investors</v>
          </cell>
          <cell r="E277" t="str">
            <v>8_3</v>
          </cell>
        </row>
        <row r="278">
          <cell r="D278" t="str">
            <v>Other (please specify)</v>
          </cell>
          <cell r="E278" t="str">
            <v>8_4</v>
          </cell>
        </row>
        <row r="279">
          <cell r="D279" t="str">
            <v>Other</v>
          </cell>
          <cell r="E279" t="str">
            <v>8_5</v>
          </cell>
        </row>
        <row r="280">
          <cell r="D280" t="str">
            <v>How do you expect capital raising activities to develop over the next two years?</v>
          </cell>
          <cell r="E280">
            <v>9</v>
          </cell>
        </row>
        <row r="281">
          <cell r="D281" t="str">
            <v>What impact do you expect regulation to have on capital raising activities over the next two years?</v>
          </cell>
          <cell r="E281">
            <v>10</v>
          </cell>
        </row>
        <row r="282">
          <cell r="D282" t="str">
            <v>Would you like the name of your company to be included in the list of participants?</v>
          </cell>
          <cell r="E282">
            <v>11</v>
          </cell>
        </row>
        <row r="283">
          <cell r="D283" t="str">
            <v>IGNORE</v>
          </cell>
        </row>
        <row r="285">
          <cell r="D285" t="str">
            <v>For your [REGION] strategy, how much institutional capital did your company raise in 2017 by investor type (million)?</v>
          </cell>
          <cell r="E285">
            <v>12</v>
          </cell>
        </row>
        <row r="286">
          <cell r="D286" t="str">
            <v>Pension funds - Non-listed/ commingled real estate funds/private REITs</v>
          </cell>
          <cell r="E286" t="str">
            <v>12_1</v>
          </cell>
        </row>
        <row r="287">
          <cell r="D287" t="str">
            <v>Pension funds - Separate accounts investing directly into real estate</v>
          </cell>
          <cell r="E287" t="str">
            <v>12_2</v>
          </cell>
        </row>
        <row r="288">
          <cell r="D288" t="str">
            <v>Pension funds - Separate accounts investing into indirect vehicles</v>
          </cell>
          <cell r="E288" t="str">
            <v>12_3</v>
          </cell>
        </row>
        <row r="289">
          <cell r="D289" t="str">
            <v>Pension funds - Joint ventures and club deals</v>
          </cell>
          <cell r="E289" t="str">
            <v>12_4</v>
          </cell>
        </row>
        <row r="290">
          <cell r="D290" t="str">
            <v>Pension funds - Funds of funds</v>
          </cell>
          <cell r="E290" t="str">
            <v>12_5</v>
          </cell>
        </row>
        <row r="291">
          <cell r="D291" t="str">
            <v>Pension funds - Non-listed debt products</v>
          </cell>
          <cell r="E291" t="str">
            <v>12_6</v>
          </cell>
        </row>
        <row r="292">
          <cell r="D292" t="str">
            <v>Pension funds TOTAL</v>
          </cell>
          <cell r="E292" t="str">
            <v>12_7</v>
          </cell>
        </row>
        <row r="293">
          <cell r="D293" t="str">
            <v>Insurance companies - Non-listed/ commingled real estate funds/private REITs</v>
          </cell>
          <cell r="E293" t="str">
            <v>12_8</v>
          </cell>
        </row>
        <row r="294">
          <cell r="D294" t="str">
            <v>Insurance companies - Separate accounts investing directly into real estate</v>
          </cell>
          <cell r="E294" t="str">
            <v>12_9</v>
          </cell>
        </row>
        <row r="295">
          <cell r="D295" t="str">
            <v>Insurance companies - Separate accounts investing into indirect vehicles</v>
          </cell>
          <cell r="E295" t="str">
            <v>12_10</v>
          </cell>
        </row>
        <row r="296">
          <cell r="D296" t="str">
            <v>Insurance companies - Joint ventures and club deals</v>
          </cell>
          <cell r="E296" t="str">
            <v>12_11</v>
          </cell>
        </row>
        <row r="297">
          <cell r="D297" t="str">
            <v>Insurance companies - Funds of funds</v>
          </cell>
          <cell r="E297" t="str">
            <v>12_12</v>
          </cell>
        </row>
        <row r="298">
          <cell r="D298" t="str">
            <v>Insurance companies - Non-listed debt products</v>
          </cell>
          <cell r="E298" t="str">
            <v>12_13</v>
          </cell>
        </row>
        <row r="299">
          <cell r="D299" t="str">
            <v>Insurance companies TOTAL</v>
          </cell>
          <cell r="E299" t="str">
            <v>12_14</v>
          </cell>
        </row>
        <row r="300">
          <cell r="D300" t="str">
            <v>Sovereign wealth funds - Non-listed/ commingled real estate funds/private REITs</v>
          </cell>
          <cell r="E300" t="str">
            <v>12_15</v>
          </cell>
        </row>
        <row r="301">
          <cell r="D301" t="str">
            <v>Sovereign wealth funds - Separate accounts investing directly into real estate</v>
          </cell>
          <cell r="E301" t="str">
            <v>12_16</v>
          </cell>
        </row>
        <row r="302">
          <cell r="D302" t="str">
            <v>Sovereign wealth funds - Separate accounts investing into indirect vehicles</v>
          </cell>
          <cell r="E302" t="str">
            <v>12_17</v>
          </cell>
        </row>
        <row r="303">
          <cell r="D303" t="str">
            <v>Sovereign wealth funds - Joint ventures and club deals</v>
          </cell>
          <cell r="E303" t="str">
            <v>12_18</v>
          </cell>
        </row>
        <row r="304">
          <cell r="D304" t="str">
            <v>Sovereign wealth funds - Funds of funds</v>
          </cell>
          <cell r="E304" t="str">
            <v>12_19</v>
          </cell>
        </row>
        <row r="305">
          <cell r="D305" t="str">
            <v>Sovereign wealth funds - Non-listed debt products</v>
          </cell>
          <cell r="E305" t="str">
            <v>12_20</v>
          </cell>
        </row>
        <row r="306">
          <cell r="D306" t="str">
            <v>Sovereign wealth funds TOTAL</v>
          </cell>
          <cell r="E306" t="str">
            <v>12_21</v>
          </cell>
        </row>
        <row r="307">
          <cell r="D307" t="str">
            <v>Government institutions - Non-listed/ commingled real estate funds/private REITs</v>
          </cell>
          <cell r="E307" t="str">
            <v>12_22</v>
          </cell>
        </row>
        <row r="308">
          <cell r="D308" t="str">
            <v>Government institutions - Separate accounts investing directly into real estate</v>
          </cell>
          <cell r="E308" t="str">
            <v>12_23</v>
          </cell>
        </row>
        <row r="309">
          <cell r="D309" t="str">
            <v>Government institutions - Separate accounts investing into indirect vehicles</v>
          </cell>
          <cell r="E309" t="str">
            <v>12_24</v>
          </cell>
        </row>
        <row r="310">
          <cell r="D310" t="str">
            <v>Government institutions - Joint ventures and club deals</v>
          </cell>
          <cell r="E310" t="str">
            <v>12_25</v>
          </cell>
        </row>
        <row r="311">
          <cell r="D311" t="str">
            <v>Government institutions - Funds of funds</v>
          </cell>
          <cell r="E311" t="str">
            <v>12_26</v>
          </cell>
        </row>
        <row r="312">
          <cell r="D312" t="str">
            <v>Government institutions - Non-listed debt products</v>
          </cell>
          <cell r="E312" t="str">
            <v>12_27</v>
          </cell>
        </row>
        <row r="313">
          <cell r="D313" t="str">
            <v>Government institutions TOTAL</v>
          </cell>
          <cell r="E313" t="str">
            <v>12_28</v>
          </cell>
        </row>
        <row r="314">
          <cell r="D314" t="str">
            <v>Charities, foundations, non-profit organisations - Non-listed/ commingled real estate funds/private REITs</v>
          </cell>
          <cell r="E314" t="str">
            <v>12_29</v>
          </cell>
        </row>
        <row r="315">
          <cell r="D315" t="str">
            <v>Charities, foundations, non-profit organisations - Separate accounts investing directly into real estate</v>
          </cell>
          <cell r="E315" t="str">
            <v>12_30</v>
          </cell>
        </row>
        <row r="316">
          <cell r="D316" t="str">
            <v>Charities, foundations, non-profit organisations - Separate accounts investing into indirect vehicles</v>
          </cell>
          <cell r="E316" t="str">
            <v>12_31</v>
          </cell>
        </row>
        <row r="317">
          <cell r="D317" t="str">
            <v>Charities, foundations, non-profit organisations - Joint ventures and club deals</v>
          </cell>
          <cell r="E317" t="str">
            <v>12_32</v>
          </cell>
        </row>
        <row r="318">
          <cell r="D318" t="str">
            <v>Charities, foundations, non-profit organisations - Funds of funds</v>
          </cell>
          <cell r="E318" t="str">
            <v>12_33</v>
          </cell>
        </row>
        <row r="319">
          <cell r="D319" t="str">
            <v>Charities, foundations, non-profit organisations - Non-listed debt products</v>
          </cell>
          <cell r="E319" t="str">
            <v>12_34</v>
          </cell>
        </row>
        <row r="320">
          <cell r="D320" t="str">
            <v>Charities, foundations, non-profit organisations  TOTAL</v>
          </cell>
          <cell r="E320" t="str">
            <v>12_35</v>
          </cell>
        </row>
        <row r="321">
          <cell r="D321" t="str">
            <v>Funds of funds - Non-listed/ commingled real estate funds/private REITs</v>
          </cell>
          <cell r="E321" t="str">
            <v>12_36</v>
          </cell>
        </row>
        <row r="322">
          <cell r="D322" t="str">
            <v>Funds of funds - Separate accounts investing directly into real estate</v>
          </cell>
          <cell r="E322" t="str">
            <v>12_37</v>
          </cell>
        </row>
        <row r="323">
          <cell r="D323" t="str">
            <v>Funds of funds - Separate accounts investing into indirect vehicles</v>
          </cell>
          <cell r="E323" t="str">
            <v>12_38</v>
          </cell>
        </row>
        <row r="324">
          <cell r="D324" t="str">
            <v>Funds of funds - Joint ventures and club deals</v>
          </cell>
          <cell r="E324" t="str">
            <v>12_39</v>
          </cell>
        </row>
        <row r="325">
          <cell r="D325" t="str">
            <v>Funds of funds - Funds of funds</v>
          </cell>
          <cell r="E325" t="str">
            <v>12_40</v>
          </cell>
        </row>
        <row r="326">
          <cell r="D326" t="str">
            <v>Funds of funds - Non-listed debt products</v>
          </cell>
          <cell r="E326" t="str">
            <v>12_41</v>
          </cell>
        </row>
        <row r="327">
          <cell r="D327" t="str">
            <v>Funds of funds TOTAL</v>
          </cell>
          <cell r="E327" t="str">
            <v>12_42</v>
          </cell>
        </row>
        <row r="328">
          <cell r="D328" t="str">
            <v>High net worth individuals /Family offices - Non-listed/ commingled real estate funds/private REITs</v>
          </cell>
          <cell r="E328" t="str">
            <v>12_43</v>
          </cell>
        </row>
        <row r="329">
          <cell r="D329" t="str">
            <v>High net worth individuals /Family offices - Separate accounts investing directly into real estate</v>
          </cell>
          <cell r="E329" t="str">
            <v>12_44</v>
          </cell>
        </row>
        <row r="330">
          <cell r="D330" t="str">
            <v>High net worth individuals /Family offices - Separate accounts investing into indirect vehicles</v>
          </cell>
          <cell r="E330" t="str">
            <v>12_45</v>
          </cell>
        </row>
        <row r="331">
          <cell r="D331" t="str">
            <v>High net worth individuals /Family offices - Joint ventures and club deals</v>
          </cell>
          <cell r="E331" t="str">
            <v>12_46</v>
          </cell>
        </row>
        <row r="332">
          <cell r="D332" t="str">
            <v>High net worth individuals /Family offices - Funds of funds</v>
          </cell>
          <cell r="E332" t="str">
            <v>12_47</v>
          </cell>
        </row>
        <row r="333">
          <cell r="D333" t="str">
            <v>High net worth individuals /Family offices - Non-listed debt products</v>
          </cell>
          <cell r="E333" t="str">
            <v>12_48</v>
          </cell>
        </row>
        <row r="334">
          <cell r="D334" t="str">
            <v>High net worth individuals /Family offices TOTAL</v>
          </cell>
          <cell r="E334" t="str">
            <v>12_49</v>
          </cell>
        </row>
        <row r="335">
          <cell r="D335" t="str">
            <v>Other (please specify)</v>
          </cell>
          <cell r="E335" t="str">
            <v>12_50</v>
          </cell>
        </row>
        <row r="336">
          <cell r="D336" t="str">
            <v>Other - Non-listed/ commingled real estate funds/private REITs</v>
          </cell>
          <cell r="E336" t="str">
            <v>12_51</v>
          </cell>
        </row>
        <row r="337">
          <cell r="D337" t="str">
            <v>Other - Separate accounts investing directly into real estate</v>
          </cell>
          <cell r="E337" t="str">
            <v>12_52</v>
          </cell>
        </row>
        <row r="338">
          <cell r="D338" t="str">
            <v>Other - Separate accounts investing into indirect vehicles</v>
          </cell>
          <cell r="E338" t="str">
            <v>12_53</v>
          </cell>
        </row>
        <row r="339">
          <cell r="D339" t="str">
            <v>Other - Joint ventures and club deals</v>
          </cell>
          <cell r="E339" t="str">
            <v>12_54</v>
          </cell>
        </row>
        <row r="340">
          <cell r="D340" t="str">
            <v>Other - Funds of funds</v>
          </cell>
          <cell r="E340" t="str">
            <v>12_55</v>
          </cell>
        </row>
        <row r="341">
          <cell r="D341" t="str">
            <v>Other - Non-listed debt products</v>
          </cell>
          <cell r="E341" t="str">
            <v>12_56</v>
          </cell>
        </row>
        <row r="342">
          <cell r="D342" t="str">
            <v>Other TOTAL</v>
          </cell>
          <cell r="E342" t="str">
            <v>12_57</v>
          </cell>
        </row>
        <row r="343">
          <cell r="D343" t="str">
            <v>Non-listed/ commingled real estate funds/private REITs TOTAL</v>
          </cell>
          <cell r="E343" t="str">
            <v>12_58</v>
          </cell>
        </row>
        <row r="344">
          <cell r="D344" t="str">
            <v>Separate accounts investing directly into real estate TOTAL</v>
          </cell>
          <cell r="E344" t="str">
            <v>12_59</v>
          </cell>
        </row>
        <row r="345">
          <cell r="D345" t="str">
            <v>Separate accounts investing into indirect vehicles TOTAL</v>
          </cell>
          <cell r="E345" t="str">
            <v>12_60</v>
          </cell>
        </row>
        <row r="346">
          <cell r="D346" t="str">
            <v>Joint ventures and club deals TOTAL</v>
          </cell>
          <cell r="E346" t="str">
            <v>12_61</v>
          </cell>
        </row>
        <row r="347">
          <cell r="D347" t="str">
            <v>Funds of funds TOTAL</v>
          </cell>
          <cell r="E347" t="str">
            <v>12_62</v>
          </cell>
        </row>
        <row r="348">
          <cell r="D348" t="str">
            <v>Non-listed debt products TOTAL</v>
          </cell>
          <cell r="E348" t="str">
            <v>12_63</v>
          </cell>
        </row>
        <row r="349">
          <cell r="D349" t="str">
            <v>Total capital raised in 2016 from[REGION] strategy</v>
          </cell>
          <cell r="E349" t="str">
            <v>12_64</v>
          </cell>
        </row>
        <row r="350">
          <cell r="D350" t="str">
            <v>[REGION] How much institutional capital did your company raise in 2017 by investor domicile (million)?</v>
          </cell>
          <cell r="E350">
            <v>13</v>
          </cell>
        </row>
        <row r="351">
          <cell r="D351" t="str">
            <v>Europe - Non-listed/ commingled real estate funds/private REITs</v>
          </cell>
          <cell r="E351" t="str">
            <v>13_1</v>
          </cell>
        </row>
        <row r="352">
          <cell r="D352" t="str">
            <v>Europe - Separate accounts investing directly into real estate</v>
          </cell>
          <cell r="E352" t="str">
            <v>13_2</v>
          </cell>
        </row>
        <row r="353">
          <cell r="D353" t="str">
            <v>Europe - Separate accounts investing into indirect vehicles</v>
          </cell>
          <cell r="E353" t="str">
            <v>13_3</v>
          </cell>
        </row>
        <row r="354">
          <cell r="D354" t="str">
            <v>Europe - Joint ventures and club deals</v>
          </cell>
          <cell r="E354" t="str">
            <v>13_4</v>
          </cell>
        </row>
        <row r="355">
          <cell r="D355" t="str">
            <v>Europe - Funds of funds</v>
          </cell>
          <cell r="E355" t="str">
            <v>13_5</v>
          </cell>
        </row>
        <row r="356">
          <cell r="D356" t="str">
            <v>Europe - Non-listed debt products</v>
          </cell>
          <cell r="E356" t="str">
            <v>13_6</v>
          </cell>
        </row>
        <row r="357">
          <cell r="D357" t="str">
            <v>Europe TOTAL</v>
          </cell>
          <cell r="E357" t="str">
            <v>13_7</v>
          </cell>
        </row>
        <row r="358">
          <cell r="D358" t="str">
            <v>Asia Pacific - Non-listed/ commingled real estate funds/private REITs</v>
          </cell>
          <cell r="E358" t="str">
            <v>13_8</v>
          </cell>
        </row>
        <row r="359">
          <cell r="D359" t="str">
            <v>Asia Pacific - Separate accounts investing directly into real estate</v>
          </cell>
          <cell r="E359" t="str">
            <v>13_9</v>
          </cell>
        </row>
        <row r="360">
          <cell r="D360" t="str">
            <v>Asia Pacific - Separate accounts investing into indirect vehicles</v>
          </cell>
          <cell r="E360" t="str">
            <v>13_10</v>
          </cell>
        </row>
        <row r="361">
          <cell r="D361" t="str">
            <v>Asia Pacific - Joint ventures and club deals</v>
          </cell>
          <cell r="E361" t="str">
            <v>13_11</v>
          </cell>
        </row>
        <row r="362">
          <cell r="D362" t="str">
            <v>Asia Pacific - Funds of funds</v>
          </cell>
          <cell r="E362" t="str">
            <v>13_12</v>
          </cell>
        </row>
        <row r="363">
          <cell r="D363" t="str">
            <v>Asia Pacific - Non-listed debt products</v>
          </cell>
          <cell r="E363" t="str">
            <v>13_13</v>
          </cell>
        </row>
        <row r="364">
          <cell r="D364" t="str">
            <v>Asia Pacific TOTAL</v>
          </cell>
          <cell r="E364" t="str">
            <v>13_14</v>
          </cell>
        </row>
        <row r="365">
          <cell r="D365" t="str">
            <v>North America - Non-listed/ commingled real estate funds/private REITs</v>
          </cell>
          <cell r="E365" t="str">
            <v>13_15</v>
          </cell>
        </row>
        <row r="366">
          <cell r="D366" t="str">
            <v>North America - Separate accounts investing directly into real estate</v>
          </cell>
          <cell r="E366" t="str">
            <v>13_16</v>
          </cell>
        </row>
        <row r="367">
          <cell r="D367" t="str">
            <v>North America - Separate accounts investing into indirect vehicles</v>
          </cell>
          <cell r="E367" t="str">
            <v>13_17</v>
          </cell>
        </row>
        <row r="368">
          <cell r="D368" t="str">
            <v>North America - Joint ventures and club deals</v>
          </cell>
          <cell r="E368" t="str">
            <v>13_18</v>
          </cell>
        </row>
        <row r="369">
          <cell r="D369" t="str">
            <v>North America - Funds of funds</v>
          </cell>
          <cell r="E369" t="str">
            <v>13_19</v>
          </cell>
        </row>
        <row r="370">
          <cell r="D370" t="str">
            <v>North America - Non-listed debt products</v>
          </cell>
          <cell r="E370" t="str">
            <v>13_20</v>
          </cell>
        </row>
        <row r="371">
          <cell r="D371" t="str">
            <v>North America TOTAL</v>
          </cell>
          <cell r="E371" t="str">
            <v>13_21</v>
          </cell>
        </row>
        <row r="372">
          <cell r="D372" t="str">
            <v>South America - Non-listed/ commingled real estate funds/private REITs</v>
          </cell>
          <cell r="E372" t="str">
            <v>13_22</v>
          </cell>
        </row>
        <row r="373">
          <cell r="D373" t="str">
            <v>South America - Separate accounts investing directly into real estate</v>
          </cell>
          <cell r="E373" t="str">
            <v>13_23</v>
          </cell>
        </row>
        <row r="374">
          <cell r="D374" t="str">
            <v>South America - Separate accounts investing into indirect vehicles</v>
          </cell>
          <cell r="E374" t="str">
            <v>13_24</v>
          </cell>
        </row>
        <row r="375">
          <cell r="D375" t="str">
            <v>South America - Joint ventures and club deals</v>
          </cell>
          <cell r="E375" t="str">
            <v>13_25</v>
          </cell>
        </row>
        <row r="376">
          <cell r="D376" t="str">
            <v>South America - Funds of funds</v>
          </cell>
          <cell r="E376" t="str">
            <v>13_26</v>
          </cell>
        </row>
        <row r="377">
          <cell r="D377" t="str">
            <v>South America - Non-listed debt products</v>
          </cell>
          <cell r="E377" t="str">
            <v>13_27</v>
          </cell>
        </row>
        <row r="378">
          <cell r="D378" t="str">
            <v>South America TOTAL</v>
          </cell>
          <cell r="E378" t="str">
            <v>13_28</v>
          </cell>
        </row>
        <row r="379">
          <cell r="D379" t="str">
            <v>Africa - Non-listed/ commingled real estate funds/private REITs</v>
          </cell>
          <cell r="E379" t="str">
            <v>13_29</v>
          </cell>
        </row>
        <row r="380">
          <cell r="D380" t="str">
            <v>Africa - Separate accounts investing directly into real estate</v>
          </cell>
          <cell r="E380" t="str">
            <v>13_30</v>
          </cell>
        </row>
        <row r="381">
          <cell r="D381" t="str">
            <v>Africa - Separate accounts investing into indirect vehicles</v>
          </cell>
          <cell r="E381" t="str">
            <v>13_31</v>
          </cell>
        </row>
        <row r="382">
          <cell r="D382" t="str">
            <v>Africa - Joint ventures and club deals</v>
          </cell>
          <cell r="E382" t="str">
            <v>13_32</v>
          </cell>
        </row>
        <row r="383">
          <cell r="D383" t="str">
            <v>Africa - Funds of funds</v>
          </cell>
          <cell r="E383" t="str">
            <v>13_33</v>
          </cell>
        </row>
        <row r="384">
          <cell r="D384" t="str">
            <v>Africa - Non-listed debt products</v>
          </cell>
          <cell r="E384" t="str">
            <v>13_34</v>
          </cell>
        </row>
        <row r="385">
          <cell r="D385" t="str">
            <v>Africa  TOTAL</v>
          </cell>
          <cell r="E385" t="str">
            <v>13_35</v>
          </cell>
        </row>
        <row r="386">
          <cell r="D386" t="str">
            <v>Non-listed/ commingled real estate funds/private REITs TOTAL</v>
          </cell>
          <cell r="E386" t="str">
            <v>13_36</v>
          </cell>
        </row>
        <row r="387">
          <cell r="D387" t="str">
            <v>Separate accounts investing directly into real estate TOTAL</v>
          </cell>
          <cell r="E387" t="str">
            <v>13_37</v>
          </cell>
        </row>
        <row r="388">
          <cell r="D388" t="str">
            <v>Separate accounts investing into indirect vehicles TOTAL</v>
          </cell>
          <cell r="E388" t="str">
            <v>13_38</v>
          </cell>
        </row>
        <row r="389">
          <cell r="D389" t="str">
            <v>Joint ventures and club deals TOTAL</v>
          </cell>
          <cell r="E389" t="str">
            <v>13_39</v>
          </cell>
        </row>
        <row r="390">
          <cell r="D390" t="str">
            <v>Funds of funds TOTAL</v>
          </cell>
          <cell r="E390" t="str">
            <v>13_40</v>
          </cell>
        </row>
        <row r="391">
          <cell r="D391" t="str">
            <v>Non-listed debt products TOTAL</v>
          </cell>
          <cell r="E391" t="str">
            <v>13_41</v>
          </cell>
        </row>
        <row r="392">
          <cell r="D392" t="str">
            <v>Total capital raised in 2016 from[REGION] strategy</v>
          </cell>
          <cell r="E392" t="str">
            <v>13_42</v>
          </cell>
        </row>
        <row r="393">
          <cell r="D393" t="str">
            <v>IGNORE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Data"/>
      <sheetName val="Full Data-Map"/>
      <sheetName val="DataCompleted"/>
      <sheetName val="Sheet1"/>
      <sheetName val="Sheet3"/>
      <sheetName val="Sheet4"/>
      <sheetName val="Sheet5"/>
    </sheetNames>
    <sheetDataSet>
      <sheetData sheetId="0">
        <row r="1">
          <cell r="Z1" t="str">
            <v>RecordNo</v>
          </cell>
          <cell r="AA1" t="str">
            <v>DateCompleted</v>
          </cell>
        </row>
        <row r="2">
          <cell r="Z2">
            <v>121</v>
          </cell>
          <cell r="AA2">
            <v>42761.068749999999</v>
          </cell>
        </row>
        <row r="3">
          <cell r="Z3">
            <v>161</v>
          </cell>
          <cell r="AA3">
            <v>42769.068055555559</v>
          </cell>
        </row>
        <row r="4">
          <cell r="Z4">
            <v>83</v>
          </cell>
          <cell r="AA4">
            <v>42761.107638888891</v>
          </cell>
        </row>
        <row r="5">
          <cell r="Z5">
            <v>162</v>
          </cell>
          <cell r="AA5">
            <v>42772.408333333333</v>
          </cell>
        </row>
        <row r="6">
          <cell r="Z6">
            <v>77</v>
          </cell>
          <cell r="AA6">
            <v>42747.280555555553</v>
          </cell>
        </row>
        <row r="7">
          <cell r="Z7">
            <v>117</v>
          </cell>
          <cell r="AA7">
            <v>42760.369444444441</v>
          </cell>
        </row>
        <row r="8">
          <cell r="Z8">
            <v>168</v>
          </cell>
          <cell r="AA8">
            <v>42772.083333333336</v>
          </cell>
        </row>
        <row r="9">
          <cell r="Z9">
            <v>115</v>
          </cell>
          <cell r="AA9">
            <v>42775.331944444442</v>
          </cell>
        </row>
        <row r="10">
          <cell r="Z10">
            <v>114</v>
          </cell>
          <cell r="AA10">
            <v>42774.097222222219</v>
          </cell>
        </row>
        <row r="11">
          <cell r="Z11">
            <v>110</v>
          </cell>
          <cell r="AA11">
            <v>42760.140972222223</v>
          </cell>
        </row>
        <row r="12">
          <cell r="Z12">
            <v>71</v>
          </cell>
          <cell r="AA12">
            <v>42779.143750000003</v>
          </cell>
        </row>
        <row r="13">
          <cell r="Z13">
            <v>76</v>
          </cell>
          <cell r="AA13">
            <v>42747.182638888888</v>
          </cell>
        </row>
        <row r="14">
          <cell r="Z14">
            <v>100</v>
          </cell>
          <cell r="AA14">
            <v>42752.604166666664</v>
          </cell>
        </row>
        <row r="15">
          <cell r="Z15">
            <v>73</v>
          </cell>
          <cell r="AA15">
            <v>42759.268055555556</v>
          </cell>
        </row>
        <row r="16">
          <cell r="Z16">
            <v>74</v>
          </cell>
          <cell r="AA16">
            <v>42780.236805555556</v>
          </cell>
        </row>
        <row r="17">
          <cell r="Z17">
            <v>182</v>
          </cell>
          <cell r="AA17">
            <v>42774.168055555558</v>
          </cell>
        </row>
        <row r="18">
          <cell r="Z18">
            <v>92</v>
          </cell>
          <cell r="AA18">
            <v>42773.090277777781</v>
          </cell>
        </row>
        <row r="19">
          <cell r="Z19">
            <v>183</v>
          </cell>
          <cell r="AA19">
            <v>42774.283333333333</v>
          </cell>
        </row>
        <row r="20">
          <cell r="Z20">
            <v>116</v>
          </cell>
          <cell r="AA20">
            <v>42760.325694444444</v>
          </cell>
        </row>
        <row r="21">
          <cell r="Z21">
            <v>75</v>
          </cell>
          <cell r="AA21">
            <v>42772.365277777775</v>
          </cell>
        </row>
        <row r="22">
          <cell r="Z22">
            <v>160</v>
          </cell>
          <cell r="AA22">
            <v>42769.145138888889</v>
          </cell>
        </row>
        <row r="23">
          <cell r="Z23">
            <v>86</v>
          </cell>
          <cell r="AA23">
            <v>42751.07916666667</v>
          </cell>
        </row>
        <row r="24">
          <cell r="Z24">
            <v>179</v>
          </cell>
          <cell r="AA24">
            <v>42779.606249999997</v>
          </cell>
        </row>
        <row r="25">
          <cell r="Z25">
            <v>96</v>
          </cell>
          <cell r="AA25">
            <v>42751.05</v>
          </cell>
        </row>
        <row r="26">
          <cell r="Z26">
            <v>120</v>
          </cell>
          <cell r="AA26">
            <v>42761.040972222225</v>
          </cell>
        </row>
        <row r="27">
          <cell r="Z27">
            <v>118</v>
          </cell>
          <cell r="AA27">
            <v>42760.336805555555</v>
          </cell>
        </row>
        <row r="28">
          <cell r="Z28">
            <v>87</v>
          </cell>
          <cell r="AA28">
            <v>42748.282638888886</v>
          </cell>
        </row>
        <row r="29">
          <cell r="Z29">
            <v>181</v>
          </cell>
          <cell r="AA29">
            <v>42774.34652777778</v>
          </cell>
        </row>
        <row r="30">
          <cell r="Z30">
            <v>81</v>
          </cell>
          <cell r="AA30">
            <v>42747.760416666664</v>
          </cell>
        </row>
        <row r="31">
          <cell r="Z31">
            <v>68</v>
          </cell>
          <cell r="AA31">
            <v>42746.9</v>
          </cell>
        </row>
        <row r="32">
          <cell r="Z32">
            <v>165</v>
          </cell>
          <cell r="AA32">
            <v>42769.956250000003</v>
          </cell>
        </row>
        <row r="33">
          <cell r="Z33">
            <v>109</v>
          </cell>
          <cell r="AA33">
            <v>42755.96875</v>
          </cell>
        </row>
        <row r="34">
          <cell r="Z34">
            <v>169</v>
          </cell>
          <cell r="AA34">
            <v>42772.517361111109</v>
          </cell>
        </row>
        <row r="35">
          <cell r="Z35">
            <v>203</v>
          </cell>
          <cell r="AA35">
            <v>42779.351388888892</v>
          </cell>
        </row>
        <row r="36">
          <cell r="Z36">
            <v>154</v>
          </cell>
          <cell r="AA36">
            <v>42767.386111111111</v>
          </cell>
        </row>
        <row r="37">
          <cell r="Z37">
            <v>51</v>
          </cell>
          <cell r="AA37">
            <v>42766.359027777777</v>
          </cell>
        </row>
        <row r="38">
          <cell r="Z38">
            <v>209</v>
          </cell>
          <cell r="AA38">
            <v>42779.479166666664</v>
          </cell>
        </row>
        <row r="39">
          <cell r="Z39">
            <v>159</v>
          </cell>
          <cell r="AA39">
            <v>42768.642361111109</v>
          </cell>
        </row>
        <row r="40">
          <cell r="Z40">
            <v>50</v>
          </cell>
          <cell r="AA40">
            <v>42766.356249999997</v>
          </cell>
        </row>
        <row r="41">
          <cell r="Z41">
            <v>105</v>
          </cell>
          <cell r="AA41">
            <v>42754.410416666666</v>
          </cell>
        </row>
        <row r="42">
          <cell r="Z42">
            <v>60</v>
          </cell>
          <cell r="AA42">
            <v>42773.713888888888</v>
          </cell>
        </row>
        <row r="43">
          <cell r="Z43">
            <v>80</v>
          </cell>
          <cell r="AA43">
            <v>42779.597916666666</v>
          </cell>
        </row>
        <row r="44">
          <cell r="Z44">
            <v>156</v>
          </cell>
          <cell r="AA44">
            <v>42767.561111111114</v>
          </cell>
        </row>
        <row r="45">
          <cell r="Z45">
            <v>143</v>
          </cell>
          <cell r="AA45">
            <v>42766.406944444447</v>
          </cell>
        </row>
        <row r="46">
          <cell r="Z46">
            <v>141</v>
          </cell>
          <cell r="AA46">
            <v>42766.361111111109</v>
          </cell>
        </row>
        <row r="47">
          <cell r="Z47">
            <v>107</v>
          </cell>
          <cell r="AA47">
            <v>42754.489583333336</v>
          </cell>
        </row>
        <row r="48">
          <cell r="Z48">
            <v>153</v>
          </cell>
          <cell r="AA48">
            <v>42766.690972222219</v>
          </cell>
        </row>
        <row r="49">
          <cell r="Z49">
            <v>49</v>
          </cell>
          <cell r="AA49">
            <v>42761.388888888891</v>
          </cell>
        </row>
        <row r="50">
          <cell r="Z50">
            <v>148</v>
          </cell>
          <cell r="AA50">
            <v>42766.470833333333</v>
          </cell>
        </row>
        <row r="51">
          <cell r="Z51">
            <v>204</v>
          </cell>
          <cell r="AA51">
            <v>42779.347916666666</v>
          </cell>
        </row>
        <row r="52">
          <cell r="Z52">
            <v>93</v>
          </cell>
          <cell r="AA52">
            <v>42748.531944444447</v>
          </cell>
        </row>
        <row r="53">
          <cell r="Z53">
            <v>62</v>
          </cell>
          <cell r="AA53">
            <v>42760.459027777775</v>
          </cell>
        </row>
        <row r="54">
          <cell r="Z54">
            <v>188</v>
          </cell>
          <cell r="AA54">
            <v>42774.457638888889</v>
          </cell>
        </row>
        <row r="55">
          <cell r="Z55">
            <v>112</v>
          </cell>
          <cell r="AA55">
            <v>42779.491666666669</v>
          </cell>
        </row>
        <row r="56">
          <cell r="Z56">
            <v>190</v>
          </cell>
          <cell r="AA56">
            <v>42774.622916666667</v>
          </cell>
        </row>
        <row r="57">
          <cell r="Z57">
            <v>214</v>
          </cell>
          <cell r="AA57">
            <v>42780.072916666664</v>
          </cell>
        </row>
        <row r="58">
          <cell r="Z58">
            <v>44</v>
          </cell>
          <cell r="AA58">
            <v>42745.554166666669</v>
          </cell>
        </row>
        <row r="59">
          <cell r="Z59">
            <v>90</v>
          </cell>
          <cell r="AA59">
            <v>42748.421527777777</v>
          </cell>
        </row>
        <row r="60">
          <cell r="Z60">
            <v>146</v>
          </cell>
          <cell r="AA60">
            <v>42766.466666666667</v>
          </cell>
        </row>
        <row r="61">
          <cell r="Z61">
            <v>38</v>
          </cell>
          <cell r="AA61">
            <v>42760.523611111108</v>
          </cell>
        </row>
        <row r="62">
          <cell r="Z62">
            <v>211</v>
          </cell>
          <cell r="AA62">
            <v>42780.329861111109</v>
          </cell>
        </row>
        <row r="63">
          <cell r="Z63">
            <v>207</v>
          </cell>
          <cell r="AA63">
            <v>42779.604166666664</v>
          </cell>
        </row>
        <row r="64">
          <cell r="Z64">
            <v>196</v>
          </cell>
          <cell r="AA64">
            <v>42775.447916666664</v>
          </cell>
        </row>
        <row r="65">
          <cell r="Z65">
            <v>151</v>
          </cell>
          <cell r="AA65">
            <v>42766.643055555556</v>
          </cell>
        </row>
        <row r="66">
          <cell r="Z66">
            <v>113</v>
          </cell>
          <cell r="AA66">
            <v>42761.595138888886</v>
          </cell>
        </row>
        <row r="67">
          <cell r="Z67">
            <v>195</v>
          </cell>
          <cell r="AA67">
            <v>42775.420138888891</v>
          </cell>
        </row>
        <row r="68">
          <cell r="Z68">
            <v>175</v>
          </cell>
          <cell r="AA68">
            <v>42776.027083333334</v>
          </cell>
        </row>
        <row r="69">
          <cell r="Z69">
            <v>198</v>
          </cell>
          <cell r="AA69">
            <v>42776.505555555559</v>
          </cell>
        </row>
        <row r="70">
          <cell r="Z70">
            <v>119</v>
          </cell>
          <cell r="AA70">
            <v>42766.592361111114</v>
          </cell>
        </row>
        <row r="71">
          <cell r="Z71">
            <v>124</v>
          </cell>
          <cell r="AA71">
            <v>42766.603472222225</v>
          </cell>
        </row>
        <row r="72">
          <cell r="Z72">
            <v>33</v>
          </cell>
          <cell r="AA72">
            <v>42767.844444444447</v>
          </cell>
        </row>
        <row r="73">
          <cell r="Z73">
            <v>56</v>
          </cell>
          <cell r="AA73">
            <v>42745.734027777777</v>
          </cell>
        </row>
        <row r="74">
          <cell r="Z74">
            <v>176</v>
          </cell>
          <cell r="AA74">
            <v>42779.67291666667</v>
          </cell>
        </row>
        <row r="75">
          <cell r="Z75">
            <v>134</v>
          </cell>
          <cell r="AA75">
            <v>42766.318749999999</v>
          </cell>
        </row>
        <row r="76">
          <cell r="Z76">
            <v>178</v>
          </cell>
          <cell r="AA76">
            <v>42773.338194444441</v>
          </cell>
        </row>
        <row r="77">
          <cell r="Z77">
            <v>35</v>
          </cell>
          <cell r="AA77">
            <v>42766.709722222222</v>
          </cell>
        </row>
        <row r="78">
          <cell r="Z78">
            <v>52</v>
          </cell>
          <cell r="AA78">
            <v>42745.660416666666</v>
          </cell>
        </row>
        <row r="79">
          <cell r="Z79">
            <v>186</v>
          </cell>
          <cell r="AA79">
            <v>42774.374305555553</v>
          </cell>
        </row>
        <row r="80">
          <cell r="Z80">
            <v>82</v>
          </cell>
          <cell r="AA80">
            <v>42747.725694444445</v>
          </cell>
        </row>
        <row r="81">
          <cell r="Z81">
            <v>201</v>
          </cell>
          <cell r="AA81">
            <v>42779.477083333331</v>
          </cell>
        </row>
        <row r="82">
          <cell r="Z82">
            <v>152</v>
          </cell>
          <cell r="AA82">
            <v>42774.670138888891</v>
          </cell>
        </row>
        <row r="83">
          <cell r="Z83">
            <v>158</v>
          </cell>
          <cell r="AA83">
            <v>42769.34097222222</v>
          </cell>
        </row>
        <row r="84">
          <cell r="Z84">
            <v>123</v>
          </cell>
          <cell r="AA84">
            <v>42761.411111111112</v>
          </cell>
        </row>
        <row r="85">
          <cell r="Z85">
            <v>193</v>
          </cell>
          <cell r="AA85">
            <v>42774.740277777775</v>
          </cell>
        </row>
        <row r="86">
          <cell r="Z86">
            <v>39</v>
          </cell>
          <cell r="AA86">
            <v>42765.543749999997</v>
          </cell>
        </row>
        <row r="87">
          <cell r="Z87">
            <v>144</v>
          </cell>
          <cell r="AA87">
            <v>42766.42083333333</v>
          </cell>
        </row>
        <row r="88">
          <cell r="Z88">
            <v>215</v>
          </cell>
          <cell r="AA88">
            <v>42780.387499999997</v>
          </cell>
        </row>
        <row r="89">
          <cell r="Z89">
            <v>61</v>
          </cell>
          <cell r="AA89">
            <v>42746.566666666666</v>
          </cell>
        </row>
        <row r="90">
          <cell r="Z90">
            <v>36</v>
          </cell>
          <cell r="AA90">
            <v>42745.513888888891</v>
          </cell>
        </row>
        <row r="91">
          <cell r="Z91">
            <v>133</v>
          </cell>
          <cell r="AA91">
            <v>42779.3</v>
          </cell>
        </row>
        <row r="92">
          <cell r="Z92">
            <v>46</v>
          </cell>
          <cell r="AA92">
            <v>42745.581250000003</v>
          </cell>
        </row>
        <row r="93">
          <cell r="Z93">
            <v>173</v>
          </cell>
          <cell r="AA93">
            <v>42772.716666666667</v>
          </cell>
        </row>
        <row r="94">
          <cell r="Z94">
            <v>139</v>
          </cell>
          <cell r="AA94">
            <v>42766.425694444442</v>
          </cell>
        </row>
        <row r="95">
          <cell r="Z95">
            <v>155</v>
          </cell>
          <cell r="AA95">
            <v>42767.690972222219</v>
          </cell>
        </row>
        <row r="96">
          <cell r="Z96">
            <v>103</v>
          </cell>
          <cell r="AA96">
            <v>42752.595138888886</v>
          </cell>
        </row>
        <row r="97">
          <cell r="Z97">
            <v>59</v>
          </cell>
          <cell r="AA97">
            <v>42746.446527777778</v>
          </cell>
        </row>
        <row r="98">
          <cell r="Z98">
            <v>166</v>
          </cell>
          <cell r="AA98">
            <v>42770.480555555558</v>
          </cell>
        </row>
        <row r="99">
          <cell r="Z99">
            <v>41</v>
          </cell>
          <cell r="AA99">
            <v>42745.556944444441</v>
          </cell>
        </row>
        <row r="100">
          <cell r="Z100">
            <v>194</v>
          </cell>
          <cell r="AA100">
            <v>42775.370833333334</v>
          </cell>
        </row>
        <row r="101">
          <cell r="Z101">
            <v>157</v>
          </cell>
          <cell r="AA101">
            <v>42767.498611111114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Map Questions"/>
    </sheetNames>
    <sheetDataSet>
      <sheetData sheetId="0" refreshError="1">
        <row r="1">
          <cell r="D1" t="str">
            <v>QuestionText</v>
          </cell>
          <cell r="E1" t="str">
            <v>dtcode</v>
          </cell>
        </row>
        <row r="3">
          <cell r="D3" t="str">
            <v>RecordNo</v>
          </cell>
        </row>
        <row r="4">
          <cell r="D4" t="str">
            <v>Surveycode</v>
          </cell>
        </row>
        <row r="5">
          <cell r="D5" t="str">
            <v>URIstring</v>
          </cell>
        </row>
        <row r="6">
          <cell r="D6" t="str">
            <v>DateUpdated</v>
          </cell>
        </row>
        <row r="7">
          <cell r="D7" t="str">
            <v>DateCompleted</v>
          </cell>
        </row>
        <row r="8">
          <cell r="D8" t="str">
            <v>PageNo</v>
          </cell>
        </row>
        <row r="9">
          <cell r="D9" t="str">
            <v>PathInfo</v>
          </cell>
        </row>
        <row r="10">
          <cell r="D10" t="str">
            <v>Referrer</v>
          </cell>
        </row>
        <row r="11">
          <cell r="D11" t="str">
            <v>IPaddress</v>
          </cell>
        </row>
        <row r="12">
          <cell r="D12" t="str">
            <v>Association</v>
          </cell>
        </row>
        <row r="13">
          <cell r="D13" t="str">
            <v>Contact Name</v>
          </cell>
        </row>
        <row r="14">
          <cell r="D14" t="str">
            <v>Company</v>
          </cell>
        </row>
        <row r="15">
          <cell r="D15" t="str">
            <v>Job title</v>
          </cell>
        </row>
        <row r="16">
          <cell r="D16" t="str">
            <v>Email address</v>
          </cell>
        </row>
        <row r="17">
          <cell r="D17" t="str">
            <v>Contact Number</v>
          </cell>
        </row>
        <row r="18">
          <cell r="D18" t="str">
            <v>Country of Origin Global Head Office</v>
          </cell>
        </row>
        <row r="19">
          <cell r="D19" t="str">
            <v>Currency</v>
          </cell>
        </row>
        <row r="20">
          <cell r="D20" t="str">
            <v>Currency (OTHER)</v>
          </cell>
        </row>
        <row r="21">
          <cell r="D21" t="str">
            <v>Did your company raise institutional capital for non-listed real estate vehicles in 2017?</v>
          </cell>
          <cell r="E21">
            <v>1</v>
          </cell>
        </row>
        <row r="22">
          <cell r="D22" t="str">
            <v>If no, please state select one of the following reasons:</v>
          </cell>
          <cell r="E22">
            <v>2</v>
          </cell>
        </row>
        <row r="23">
          <cell r="D23" t="str">
            <v>If no, please state select one of the following reasons: (Other)</v>
          </cell>
          <cell r="E23">
            <v>3</v>
          </cell>
        </row>
        <row r="24">
          <cell r="D24" t="str">
            <v>How much institutional capital did your company raise in 2017 by regional strategy (million)?</v>
          </cell>
          <cell r="E24">
            <v>4</v>
          </cell>
        </row>
        <row r="25">
          <cell r="D25" t="str">
            <v>Asia Pacific strategy - Non-listed/ commingled real estate funds/private REITs</v>
          </cell>
          <cell r="E25" t="str">
            <v>4_1</v>
          </cell>
        </row>
        <row r="26">
          <cell r="D26" t="str">
            <v>Asia Pacific strategy - Separate accounts investing directly into real estate</v>
          </cell>
          <cell r="E26" t="str">
            <v>4_2</v>
          </cell>
        </row>
        <row r="27">
          <cell r="D27" t="str">
            <v>Asia Pacific strategy - Separate accounts investing into indirect vehicles</v>
          </cell>
          <cell r="E27" t="str">
            <v>4_3</v>
          </cell>
        </row>
        <row r="28">
          <cell r="D28" t="str">
            <v>Asia Pacific strategy - Joint ventures and club deals</v>
          </cell>
          <cell r="E28" t="str">
            <v>4_4</v>
          </cell>
        </row>
        <row r="29">
          <cell r="D29" t="str">
            <v>Asia Pacific strategy - Funds of funds</v>
          </cell>
          <cell r="E29" t="str">
            <v>4_5</v>
          </cell>
        </row>
        <row r="30">
          <cell r="D30" t="str">
            <v>Asia Pacific strategy - Non-listed debt products</v>
          </cell>
          <cell r="E30" t="str">
            <v>4_6</v>
          </cell>
        </row>
        <row r="31">
          <cell r="D31" t="str">
            <v>Asia Pacific strategy TOTAL</v>
          </cell>
          <cell r="E31" t="str">
            <v>4_7</v>
          </cell>
        </row>
        <row r="32">
          <cell r="D32" t="str">
            <v>European strategy - Non-listed/ commingled real estate funds/private REITs</v>
          </cell>
          <cell r="E32" t="str">
            <v>4_8</v>
          </cell>
        </row>
        <row r="33">
          <cell r="D33" t="str">
            <v>European strategy - Separate accounts investing directly into real estate</v>
          </cell>
          <cell r="E33" t="str">
            <v>4_9</v>
          </cell>
        </row>
        <row r="34">
          <cell r="D34" t="str">
            <v>European strategy - Separate accounts investing into indirect vehicles</v>
          </cell>
          <cell r="E34" t="str">
            <v>4_10</v>
          </cell>
        </row>
        <row r="35">
          <cell r="D35" t="str">
            <v>European strategy - Joint ventures and club deals</v>
          </cell>
          <cell r="E35" t="str">
            <v>4_11</v>
          </cell>
        </row>
        <row r="36">
          <cell r="D36" t="str">
            <v>European strategy - Funds of funds</v>
          </cell>
          <cell r="E36" t="str">
            <v>4_12</v>
          </cell>
        </row>
        <row r="37">
          <cell r="D37" t="str">
            <v>European strategy - Non-listed debt products</v>
          </cell>
          <cell r="E37" t="str">
            <v>4_13</v>
          </cell>
        </row>
        <row r="38">
          <cell r="D38" t="str">
            <v>European strategy TOTAL</v>
          </cell>
          <cell r="E38" t="str">
            <v>4_14</v>
          </cell>
        </row>
        <row r="39">
          <cell r="D39" t="str">
            <v>North American strategy - Non-listed/ commingled real estate funds/private REITs</v>
          </cell>
          <cell r="E39" t="str">
            <v>4_15</v>
          </cell>
        </row>
        <row r="40">
          <cell r="D40" t="str">
            <v>North American strategy - Separate accounts investing directly into real estate</v>
          </cell>
          <cell r="E40" t="str">
            <v>4_16</v>
          </cell>
        </row>
        <row r="41">
          <cell r="D41" t="str">
            <v>North American strategy - Separate accounts investing into indirect vehicles</v>
          </cell>
          <cell r="E41" t="str">
            <v>4_17</v>
          </cell>
        </row>
        <row r="42">
          <cell r="D42" t="str">
            <v>North American strategy - Joint ventures and club deals</v>
          </cell>
          <cell r="E42" t="str">
            <v>4_18</v>
          </cell>
        </row>
        <row r="43">
          <cell r="D43" t="str">
            <v>North American strategy - Funds of funds</v>
          </cell>
          <cell r="E43" t="str">
            <v>4_19</v>
          </cell>
        </row>
        <row r="44">
          <cell r="D44" t="str">
            <v>North American strategy - Non-listed debt products</v>
          </cell>
          <cell r="E44" t="str">
            <v>4_20</v>
          </cell>
        </row>
        <row r="45">
          <cell r="D45" t="str">
            <v>North American strategy TOTAL</v>
          </cell>
          <cell r="E45" t="str">
            <v>4_21</v>
          </cell>
        </row>
        <row r="46">
          <cell r="D46" t="str">
            <v>Global strategy - Non-listed/ commingled real estate funds/private REITs</v>
          </cell>
          <cell r="E46" t="str">
            <v>4_22</v>
          </cell>
        </row>
        <row r="47">
          <cell r="D47" t="str">
            <v>Global strategy - Separate accounts investing directly into real estate</v>
          </cell>
          <cell r="E47" t="str">
            <v>4_23</v>
          </cell>
        </row>
        <row r="48">
          <cell r="D48" t="str">
            <v>Global strategy - Separate accounts investing into indirect vehicles</v>
          </cell>
          <cell r="E48" t="str">
            <v>4_24</v>
          </cell>
        </row>
        <row r="49">
          <cell r="D49" t="str">
            <v>Global strategy - Joint ventures and club deals</v>
          </cell>
          <cell r="E49" t="str">
            <v>4_25</v>
          </cell>
        </row>
        <row r="50">
          <cell r="D50" t="str">
            <v>Global strategy - Funds of funds</v>
          </cell>
          <cell r="E50" t="str">
            <v>4_26</v>
          </cell>
        </row>
        <row r="51">
          <cell r="D51" t="str">
            <v>Global strategy - Non-listed debt products</v>
          </cell>
          <cell r="E51" t="str">
            <v>4_27</v>
          </cell>
        </row>
        <row r="52">
          <cell r="D52" t="str">
            <v>Global strategy TOTAL</v>
          </cell>
          <cell r="E52" t="str">
            <v>4_28</v>
          </cell>
        </row>
        <row r="53">
          <cell r="D53" t="str">
            <v>South American strategy - Non-listed/ commingled real estate funds/private REITs</v>
          </cell>
          <cell r="E53" t="str">
            <v>4_29</v>
          </cell>
        </row>
        <row r="54">
          <cell r="D54" t="str">
            <v>South American strategy - Separate accounts investing directly into real estate</v>
          </cell>
          <cell r="E54" t="str">
            <v>4_30</v>
          </cell>
        </row>
        <row r="55">
          <cell r="D55" t="str">
            <v>South American strategy - Separate accounts investing into indirect vehicles</v>
          </cell>
          <cell r="E55" t="str">
            <v>4_31</v>
          </cell>
        </row>
        <row r="56">
          <cell r="D56" t="str">
            <v>South American strategy - Joint ventures and club deals</v>
          </cell>
          <cell r="E56" t="str">
            <v>4_32</v>
          </cell>
        </row>
        <row r="57">
          <cell r="D57" t="str">
            <v>South American strategy - Funds of funds</v>
          </cell>
          <cell r="E57" t="str">
            <v>4_33</v>
          </cell>
        </row>
        <row r="58">
          <cell r="D58" t="str">
            <v>South American strategy - Non-listed debt products</v>
          </cell>
          <cell r="E58" t="str">
            <v>4_34</v>
          </cell>
        </row>
        <row r="59">
          <cell r="D59" t="str">
            <v>South American strategy TOTAL</v>
          </cell>
          <cell r="E59" t="str">
            <v>4_35</v>
          </cell>
        </row>
        <row r="60">
          <cell r="D60" t="str">
            <v>African strategy - Non-listed/ commingled real estate funds/private REITs</v>
          </cell>
          <cell r="E60" t="str">
            <v>4_36</v>
          </cell>
        </row>
        <row r="61">
          <cell r="D61" t="str">
            <v>African strategy - Separate accounts investing directly into real estate</v>
          </cell>
          <cell r="E61" t="str">
            <v>4_37</v>
          </cell>
        </row>
        <row r="62">
          <cell r="D62" t="str">
            <v>African strategy - Separate accounts investing into indirect vehicles</v>
          </cell>
          <cell r="E62" t="str">
            <v>4_38</v>
          </cell>
        </row>
        <row r="63">
          <cell r="D63" t="str">
            <v>African strategy - Joint ventures and club deals</v>
          </cell>
          <cell r="E63" t="str">
            <v>4_39</v>
          </cell>
        </row>
        <row r="64">
          <cell r="D64" t="str">
            <v>African strategy - Funds of funds</v>
          </cell>
          <cell r="E64" t="str">
            <v>4_40</v>
          </cell>
        </row>
        <row r="65">
          <cell r="D65" t="str">
            <v>African strategy - Non-listed debt products</v>
          </cell>
          <cell r="E65" t="str">
            <v>4_41</v>
          </cell>
        </row>
        <row r="66">
          <cell r="D66" t="str">
            <v>African strategy TOTAL</v>
          </cell>
          <cell r="E66" t="str">
            <v>4_42</v>
          </cell>
        </row>
        <row r="67">
          <cell r="D67" t="str">
            <v>Non-listed/ commingled real estate funds/private REITs TOTAL</v>
          </cell>
          <cell r="E67" t="str">
            <v>4_43</v>
          </cell>
        </row>
        <row r="68">
          <cell r="D68" t="str">
            <v>Separate accounts investing directly into real estate TOTAL</v>
          </cell>
          <cell r="E68" t="str">
            <v>4_44</v>
          </cell>
        </row>
        <row r="69">
          <cell r="D69" t="str">
            <v>Separate accounts investing into indirect vehicles TOTAL</v>
          </cell>
          <cell r="E69" t="str">
            <v>4_45</v>
          </cell>
        </row>
        <row r="70">
          <cell r="D70" t="str">
            <v>Joint ventures and club deals TOTAL</v>
          </cell>
          <cell r="E70" t="str">
            <v>4_46</v>
          </cell>
        </row>
        <row r="71">
          <cell r="D71" t="str">
            <v>Funds of funds TOTAL</v>
          </cell>
          <cell r="E71" t="str">
            <v>4_47</v>
          </cell>
        </row>
        <row r="72">
          <cell r="D72" t="str">
            <v>Non-listed debt products TOTAL</v>
          </cell>
          <cell r="E72" t="str">
            <v>4_48</v>
          </cell>
        </row>
        <row r="73">
          <cell r="D73" t="str">
            <v>TOTAL capital raised in 2016 by regional strategy (million)</v>
          </cell>
          <cell r="E73" t="str">
            <v>4_49</v>
          </cell>
        </row>
        <row r="74">
          <cell r="D74" t="str">
            <v>IGNORE</v>
          </cell>
          <cell r="E74" t="str">
            <v>4_50</v>
          </cell>
        </row>
        <row r="75">
          <cell r="D75" t="str">
            <v>IGNORE</v>
          </cell>
          <cell r="E75" t="str">
            <v>4_51</v>
          </cell>
        </row>
        <row r="76">
          <cell r="D76" t="str">
            <v>IGNORE</v>
          </cell>
          <cell r="E76" t="str">
            <v>4_52</v>
          </cell>
        </row>
        <row r="77">
          <cell r="D77" t="str">
            <v>IGNORE</v>
          </cell>
          <cell r="E77" t="str">
            <v>4_53</v>
          </cell>
        </row>
        <row r="78">
          <cell r="D78" t="str">
            <v>IGNORE</v>
          </cell>
          <cell r="E78" t="str">
            <v>4_54</v>
          </cell>
        </row>
        <row r="79">
          <cell r="D79" t="str">
            <v>IGNORE</v>
          </cell>
          <cell r="E79" t="str">
            <v>4_55</v>
          </cell>
        </row>
        <row r="80">
          <cell r="D80" t="str">
            <v>For how many vehicles did your company raise institutional capital for in 2017?</v>
          </cell>
          <cell r="E80">
            <v>5</v>
          </cell>
        </row>
        <row r="81">
          <cell r="D81" t="str">
            <v>Asia Pacific strategy - Non-listed/ commingled real estate funds/private REITs</v>
          </cell>
          <cell r="E81" t="str">
            <v>5_1</v>
          </cell>
        </row>
        <row r="82">
          <cell r="D82" t="str">
            <v>Asia Pacific strategy - Separate accounts investing directly into real estate</v>
          </cell>
          <cell r="E82" t="str">
            <v>5_2</v>
          </cell>
        </row>
        <row r="83">
          <cell r="D83" t="str">
            <v>Asia Pacific strategy - Separate accounts investing into indirect vehicles</v>
          </cell>
          <cell r="E83" t="str">
            <v>5_3</v>
          </cell>
        </row>
        <row r="84">
          <cell r="D84" t="str">
            <v>Asia Pacific strategy - Joint ventures and club deals</v>
          </cell>
          <cell r="E84" t="str">
            <v>5_4</v>
          </cell>
        </row>
        <row r="85">
          <cell r="D85" t="str">
            <v>Asia Pacific strategy - Funds of funds</v>
          </cell>
          <cell r="E85" t="str">
            <v>5_5</v>
          </cell>
        </row>
        <row r="86">
          <cell r="D86" t="str">
            <v>Asia Pacific strategy - Non-listed debt products</v>
          </cell>
          <cell r="E86" t="str">
            <v>5_6</v>
          </cell>
        </row>
        <row r="87">
          <cell r="D87" t="str">
            <v>Asia Pacific strategy TOTAL</v>
          </cell>
          <cell r="E87" t="str">
            <v>5_7</v>
          </cell>
        </row>
        <row r="88">
          <cell r="D88" t="str">
            <v>European strategy - Non-listed/ commingled real estate funds/private REITs</v>
          </cell>
          <cell r="E88" t="str">
            <v>5_8</v>
          </cell>
        </row>
        <row r="89">
          <cell r="D89" t="str">
            <v>European strategy - Separate accounts investing directly into real estate</v>
          </cell>
          <cell r="E89" t="str">
            <v>5_9</v>
          </cell>
        </row>
        <row r="90">
          <cell r="D90" t="str">
            <v>European strategy - Separate accounts investing into indirect vehicles</v>
          </cell>
          <cell r="E90" t="str">
            <v>5_10</v>
          </cell>
        </row>
        <row r="91">
          <cell r="D91" t="str">
            <v>European strategy - Joint ventures and club deals</v>
          </cell>
          <cell r="E91" t="str">
            <v>5_11</v>
          </cell>
        </row>
        <row r="92">
          <cell r="D92" t="str">
            <v>European strategy - Funds of funds</v>
          </cell>
          <cell r="E92" t="str">
            <v>5_12</v>
          </cell>
        </row>
        <row r="93">
          <cell r="D93" t="str">
            <v>European strategy - Non-listed debt products</v>
          </cell>
          <cell r="E93" t="str">
            <v>5_13</v>
          </cell>
        </row>
        <row r="94">
          <cell r="D94" t="str">
            <v>European strategy TOTAL</v>
          </cell>
          <cell r="E94" t="str">
            <v>5_14</v>
          </cell>
        </row>
        <row r="95">
          <cell r="D95" t="str">
            <v>North American strategy - Non-listed/ commingled real estate funds/private REITs</v>
          </cell>
          <cell r="E95" t="str">
            <v>5_15</v>
          </cell>
        </row>
        <row r="96">
          <cell r="D96" t="str">
            <v>North American strategy - Separate accounts investing directly into real estate</v>
          </cell>
          <cell r="E96" t="str">
            <v>5_16</v>
          </cell>
        </row>
        <row r="97">
          <cell r="D97" t="str">
            <v>North American strategy - Separate accounts investing into indirect vehicles</v>
          </cell>
          <cell r="E97" t="str">
            <v>5_17</v>
          </cell>
        </row>
        <row r="98">
          <cell r="D98" t="str">
            <v>North American strategy - Joint ventures and club deals</v>
          </cell>
          <cell r="E98" t="str">
            <v>5_18</v>
          </cell>
        </row>
        <row r="99">
          <cell r="D99" t="str">
            <v>North American strategy - Funds of funds</v>
          </cell>
          <cell r="E99" t="str">
            <v>5_19</v>
          </cell>
        </row>
        <row r="100">
          <cell r="D100" t="str">
            <v>North American strategy - Non-listed debt products</v>
          </cell>
          <cell r="E100" t="str">
            <v>5_20</v>
          </cell>
        </row>
        <row r="101">
          <cell r="D101" t="str">
            <v>North American strategy TOTAL</v>
          </cell>
          <cell r="E101" t="str">
            <v>5_21</v>
          </cell>
        </row>
        <row r="102">
          <cell r="D102" t="str">
            <v>Global strategy - Non-listed/ commingled real estate funds/private REITs</v>
          </cell>
          <cell r="E102" t="str">
            <v>5_22</v>
          </cell>
        </row>
        <row r="103">
          <cell r="D103" t="str">
            <v>Global strategy - Separate accounts investing directly into real estate</v>
          </cell>
          <cell r="E103" t="str">
            <v>5_23</v>
          </cell>
        </row>
        <row r="104">
          <cell r="D104" t="str">
            <v>Global strategy - Separate accounts investing into indirect vehicles</v>
          </cell>
          <cell r="E104" t="str">
            <v>5_24</v>
          </cell>
        </row>
        <row r="105">
          <cell r="D105" t="str">
            <v>Global strategy - Joint ventures and club deals</v>
          </cell>
          <cell r="E105" t="str">
            <v>5_25</v>
          </cell>
        </row>
        <row r="106">
          <cell r="D106" t="str">
            <v>Global strategy - Funds of funds</v>
          </cell>
          <cell r="E106" t="str">
            <v>5_26</v>
          </cell>
        </row>
        <row r="107">
          <cell r="D107" t="str">
            <v>Global strategy - Non-listed debt products</v>
          </cell>
          <cell r="E107" t="str">
            <v>5_27</v>
          </cell>
        </row>
        <row r="108">
          <cell r="D108" t="str">
            <v>Global strategy TOTAL</v>
          </cell>
          <cell r="E108" t="str">
            <v>5_28</v>
          </cell>
        </row>
        <row r="109">
          <cell r="D109" t="str">
            <v>South American strategy - Non-listed/ commingled real estate funds/private REITs</v>
          </cell>
          <cell r="E109" t="str">
            <v>5_29</v>
          </cell>
        </row>
        <row r="110">
          <cell r="D110" t="str">
            <v>South American strategy - Separate accounts investing directly into real estate</v>
          </cell>
          <cell r="E110" t="str">
            <v>5_30</v>
          </cell>
        </row>
        <row r="111">
          <cell r="D111" t="str">
            <v>South American strategy - Separate accounts investing into indirect vehicles</v>
          </cell>
          <cell r="E111" t="str">
            <v>5_31</v>
          </cell>
        </row>
        <row r="112">
          <cell r="D112" t="str">
            <v>South American strategy - Joint ventures and club deals</v>
          </cell>
          <cell r="E112" t="str">
            <v>5_32</v>
          </cell>
        </row>
        <row r="113">
          <cell r="D113" t="str">
            <v>South American strategy - Funds of funds</v>
          </cell>
          <cell r="E113" t="str">
            <v>5_33</v>
          </cell>
        </row>
        <row r="114">
          <cell r="D114" t="str">
            <v>South American strategy - Non-listed debt products</v>
          </cell>
          <cell r="E114" t="str">
            <v>5_34</v>
          </cell>
        </row>
        <row r="115">
          <cell r="D115" t="str">
            <v>South American strategy TOTAL</v>
          </cell>
          <cell r="E115" t="str">
            <v>5_35</v>
          </cell>
        </row>
        <row r="116">
          <cell r="D116" t="str">
            <v>African strategy - Non-listed/ commingled real estate funds/private REITs</v>
          </cell>
          <cell r="E116" t="str">
            <v>5_36</v>
          </cell>
        </row>
        <row r="117">
          <cell r="D117" t="str">
            <v>African strategy - Separate accounts investing directly into real estate</v>
          </cell>
          <cell r="E117" t="str">
            <v>5_37</v>
          </cell>
        </row>
        <row r="118">
          <cell r="D118" t="str">
            <v>African strategy - Separate accounts investing into indirect vehicles</v>
          </cell>
          <cell r="E118" t="str">
            <v>5_38</v>
          </cell>
        </row>
        <row r="119">
          <cell r="D119" t="str">
            <v>African strategy - Joint ventures and club deals</v>
          </cell>
          <cell r="E119" t="str">
            <v>5_39</v>
          </cell>
        </row>
        <row r="120">
          <cell r="D120" t="str">
            <v>African strategy - Funds of funds</v>
          </cell>
          <cell r="E120" t="str">
            <v>5_40</v>
          </cell>
        </row>
        <row r="121">
          <cell r="D121" t="str">
            <v>African strategy - Non-listed debt products</v>
          </cell>
          <cell r="E121" t="str">
            <v>5_41</v>
          </cell>
        </row>
        <row r="122">
          <cell r="D122" t="str">
            <v>African strategy TOTAL</v>
          </cell>
          <cell r="E122" t="str">
            <v>5_42</v>
          </cell>
        </row>
        <row r="123">
          <cell r="D123" t="str">
            <v>Non-listed/ commingled real estate funds/private REITs TOTAL</v>
          </cell>
          <cell r="E123" t="str">
            <v>5_43</v>
          </cell>
        </row>
        <row r="124">
          <cell r="D124" t="str">
            <v>Separate accounts investing directly into real estate TOTAL</v>
          </cell>
          <cell r="E124" t="str">
            <v>5_44</v>
          </cell>
        </row>
        <row r="125">
          <cell r="D125" t="str">
            <v>Separate accounts investing into indirect vehicles TOTAL</v>
          </cell>
          <cell r="E125" t="str">
            <v>5_45</v>
          </cell>
        </row>
        <row r="126">
          <cell r="D126" t="str">
            <v>Joint ventures and club deals TOTAL</v>
          </cell>
          <cell r="E126" t="str">
            <v>5_46</v>
          </cell>
        </row>
        <row r="127">
          <cell r="D127" t="str">
            <v>Funds of funds TOTAL</v>
          </cell>
          <cell r="E127" t="str">
            <v>5_47</v>
          </cell>
        </row>
        <row r="128">
          <cell r="D128" t="str">
            <v>Non-listed debt products TOTAL</v>
          </cell>
          <cell r="E128" t="str">
            <v>5_48</v>
          </cell>
        </row>
        <row r="129">
          <cell r="D129" t="str">
            <v>Total number of vehicles company raised capital for in 2016 by regional strategy</v>
          </cell>
          <cell r="E129" t="str">
            <v>5_49</v>
          </cell>
        </row>
        <row r="130">
          <cell r="D130" t="str">
            <v>IGNORE</v>
          </cell>
          <cell r="E130" t="str">
            <v>5_50</v>
          </cell>
        </row>
        <row r="131">
          <cell r="D131" t="str">
            <v>IGNORE</v>
          </cell>
          <cell r="E131" t="str">
            <v>5_51</v>
          </cell>
        </row>
        <row r="132">
          <cell r="D132" t="str">
            <v>IGNORE</v>
          </cell>
          <cell r="E132" t="str">
            <v>5_52</v>
          </cell>
        </row>
        <row r="133">
          <cell r="D133" t="str">
            <v>IGNORE</v>
          </cell>
          <cell r="E133" t="str">
            <v>5_53</v>
          </cell>
        </row>
        <row r="134">
          <cell r="D134" t="str">
            <v>IGNORE</v>
          </cell>
          <cell r="E134" t="str">
            <v>5_54</v>
          </cell>
        </row>
        <row r="135">
          <cell r="D135" t="str">
            <v>IGNORE</v>
          </cell>
          <cell r="E135" t="str">
            <v>5_55</v>
          </cell>
        </row>
        <row r="136">
          <cell r="D136" t="str">
            <v>IGNORE</v>
          </cell>
          <cell r="E136" t="str">
            <v>5_56</v>
          </cell>
        </row>
        <row r="137">
          <cell r="D137" t="str">
            <v>IGNORE</v>
          </cell>
          <cell r="E137" t="str">
            <v>5_57</v>
          </cell>
        </row>
        <row r="138">
          <cell r="D138" t="str">
            <v>IGNORE</v>
          </cell>
          <cell r="E138" t="str">
            <v>5_58</v>
          </cell>
        </row>
        <row r="139">
          <cell r="D139" t="str">
            <v>IGNORE</v>
          </cell>
          <cell r="E139" t="str">
            <v>5_59</v>
          </cell>
        </row>
        <row r="140">
          <cell r="D140" t="str">
            <v>IGNORE</v>
          </cell>
          <cell r="E140" t="str">
            <v>5_60</v>
          </cell>
        </row>
        <row r="141">
          <cell r="D141" t="str">
            <v>IGNORE</v>
          </cell>
          <cell r="E141" t="str">
            <v>5_61</v>
          </cell>
        </row>
        <row r="142">
          <cell r="D142" t="str">
            <v>IGNORE</v>
          </cell>
          <cell r="E142" t="str">
            <v>5_62</v>
          </cell>
        </row>
        <row r="143">
          <cell r="D143" t="str">
            <v>IGNORE</v>
          </cell>
          <cell r="E143" t="str">
            <v>5_63</v>
          </cell>
        </row>
        <row r="144">
          <cell r="D144" t="str">
            <v>IGNORE</v>
          </cell>
          <cell r="E144" t="str">
            <v>5_64</v>
          </cell>
        </row>
        <row r="145">
          <cell r="D145" t="str">
            <v>IGNORE</v>
          </cell>
          <cell r="E145" t="str">
            <v>5_65</v>
          </cell>
        </row>
        <row r="146">
          <cell r="D146" t="str">
            <v>IGNORE</v>
          </cell>
          <cell r="E146" t="str">
            <v>5_66</v>
          </cell>
        </row>
        <row r="147">
          <cell r="D147" t="str">
            <v>IGNORE</v>
          </cell>
          <cell r="E147" t="str">
            <v>5_67</v>
          </cell>
        </row>
        <row r="148">
          <cell r="D148" t="str">
            <v>IGNORE</v>
          </cell>
          <cell r="E148" t="str">
            <v>5_68</v>
          </cell>
        </row>
        <row r="149">
          <cell r="D149" t="str">
            <v>IGNORE</v>
          </cell>
          <cell r="E149" t="str">
            <v>5_69</v>
          </cell>
        </row>
        <row r="150">
          <cell r="D150" t="str">
            <v>IGNORE</v>
          </cell>
          <cell r="E150" t="str">
            <v>5_70</v>
          </cell>
        </row>
        <row r="151">
          <cell r="D151" t="str">
            <v>IGNORE</v>
          </cell>
          <cell r="E151" t="str">
            <v>5_71</v>
          </cell>
        </row>
        <row r="152">
          <cell r="D152" t="str">
            <v>IGNORE</v>
          </cell>
          <cell r="E152" t="str">
            <v>5_72</v>
          </cell>
        </row>
        <row r="153">
          <cell r="D153" t="str">
            <v>IGNORE</v>
          </cell>
          <cell r="E153" t="str">
            <v>5_73</v>
          </cell>
        </row>
        <row r="154">
          <cell r="D154" t="str">
            <v>IGNORE</v>
          </cell>
          <cell r="E154" t="str">
            <v>5_74</v>
          </cell>
        </row>
        <row r="155">
          <cell r="D155" t="str">
            <v>IGNORE</v>
          </cell>
          <cell r="E155" t="str">
            <v>5_75</v>
          </cell>
        </row>
        <row r="156">
          <cell r="D156" t="str">
            <v>IGNORE</v>
          </cell>
          <cell r="E156" t="str">
            <v>5_76</v>
          </cell>
        </row>
        <row r="157">
          <cell r="D157" t="str">
            <v>IGNORE</v>
          </cell>
          <cell r="E157" t="str">
            <v>5_77</v>
          </cell>
        </row>
        <row r="158">
          <cell r="D158" t="str">
            <v>IGNORE</v>
          </cell>
          <cell r="E158" t="str">
            <v>5_78</v>
          </cell>
        </row>
        <row r="159">
          <cell r="D159" t="str">
            <v>IGNORE</v>
          </cell>
          <cell r="E159" t="str">
            <v>5_79</v>
          </cell>
        </row>
        <row r="160">
          <cell r="D160" t="str">
            <v>IGNORE</v>
          </cell>
          <cell r="E160" t="str">
            <v>5_80</v>
          </cell>
        </row>
        <row r="161">
          <cell r="D161" t="str">
            <v>IGNORE</v>
          </cell>
          <cell r="E161" t="str">
            <v>5_81</v>
          </cell>
        </row>
        <row r="162">
          <cell r="D162" t="str">
            <v>IGNORE</v>
          </cell>
          <cell r="E162" t="str">
            <v>5_82</v>
          </cell>
        </row>
        <row r="163">
          <cell r="D163" t="str">
            <v>IGNORE</v>
          </cell>
          <cell r="E163" t="str">
            <v>5_83</v>
          </cell>
        </row>
        <row r="164">
          <cell r="D164" t="str">
            <v>IGNORE</v>
          </cell>
          <cell r="E164" t="str">
            <v>5_84</v>
          </cell>
        </row>
        <row r="165">
          <cell r="D165" t="str">
            <v>IGNORE</v>
          </cell>
          <cell r="E165" t="str">
            <v>5_85</v>
          </cell>
        </row>
        <row r="166">
          <cell r="D166" t="str">
            <v>How much institutional capital did your company raise in 2017 by investor type (million)?</v>
          </cell>
          <cell r="E166">
            <v>6</v>
          </cell>
        </row>
        <row r="167">
          <cell r="D167" t="str">
            <v>Pension funds - Non-listed/ commingled real estate funds/private REITs</v>
          </cell>
          <cell r="E167" t="str">
            <v>6_1</v>
          </cell>
        </row>
        <row r="168">
          <cell r="D168" t="str">
            <v>Pension funds - Separate accounts investing directly into real estate</v>
          </cell>
          <cell r="E168" t="str">
            <v>6_2</v>
          </cell>
        </row>
        <row r="169">
          <cell r="D169" t="str">
            <v>Pension funds - Separate accounts investing into indirect vehicles</v>
          </cell>
          <cell r="E169" t="str">
            <v>6_3</v>
          </cell>
        </row>
        <row r="170">
          <cell r="D170" t="str">
            <v>Pension funds - Joint ventures and club deals</v>
          </cell>
          <cell r="E170" t="str">
            <v>6_4</v>
          </cell>
        </row>
        <row r="171">
          <cell r="D171" t="str">
            <v>Pension funds - Funds of funds</v>
          </cell>
          <cell r="E171" t="str">
            <v>6_5</v>
          </cell>
        </row>
        <row r="172">
          <cell r="D172" t="str">
            <v>Pension funds - Non-listed debt products</v>
          </cell>
          <cell r="E172" t="str">
            <v>6_6</v>
          </cell>
        </row>
        <row r="173">
          <cell r="D173" t="str">
            <v>Pension funds TOTAL</v>
          </cell>
          <cell r="E173" t="str">
            <v>6_7</v>
          </cell>
        </row>
        <row r="174">
          <cell r="D174" t="str">
            <v>Insurance companies - Non-listed/ commingled real estate funds/private REITs</v>
          </cell>
          <cell r="E174" t="str">
            <v>6_8</v>
          </cell>
        </row>
        <row r="175">
          <cell r="D175" t="str">
            <v>Insurance companies - Separate accounts investing directly into real estate</v>
          </cell>
          <cell r="E175" t="str">
            <v>6_9</v>
          </cell>
        </row>
        <row r="176">
          <cell r="D176" t="str">
            <v>Insurance companies - Separate accounts investing into indirect vehicles</v>
          </cell>
          <cell r="E176" t="str">
            <v>6_10</v>
          </cell>
        </row>
        <row r="177">
          <cell r="D177" t="str">
            <v>Insurance companies - Joint ventures and club deals</v>
          </cell>
          <cell r="E177" t="str">
            <v>6_11</v>
          </cell>
        </row>
        <row r="178">
          <cell r="D178" t="str">
            <v>Insurance companies - Funds of funds</v>
          </cell>
          <cell r="E178" t="str">
            <v>6_12</v>
          </cell>
        </row>
        <row r="179">
          <cell r="D179" t="str">
            <v>Insurance companies - Non-listed debt products</v>
          </cell>
          <cell r="E179" t="str">
            <v>6_13</v>
          </cell>
        </row>
        <row r="180">
          <cell r="D180" t="str">
            <v>Insurance companies TOTAL</v>
          </cell>
          <cell r="E180" t="str">
            <v>6_14</v>
          </cell>
        </row>
        <row r="181">
          <cell r="D181" t="str">
            <v>Sovereign wealth funds - Non-listed/ commingled real estate funds/private REITs</v>
          </cell>
          <cell r="E181" t="str">
            <v>6_15</v>
          </cell>
        </row>
        <row r="182">
          <cell r="D182" t="str">
            <v>Sovereign wealth funds - Separate accounts investing directly into real estate</v>
          </cell>
          <cell r="E182" t="str">
            <v>6_16</v>
          </cell>
        </row>
        <row r="183">
          <cell r="D183" t="str">
            <v>Sovereign wealth funds - Separate accounts investing into indirect vehicles</v>
          </cell>
          <cell r="E183" t="str">
            <v>6_17</v>
          </cell>
        </row>
        <row r="184">
          <cell r="D184" t="str">
            <v>Sovereign wealth funds - Joint ventures and club deals</v>
          </cell>
          <cell r="E184" t="str">
            <v>6_18</v>
          </cell>
        </row>
        <row r="185">
          <cell r="D185" t="str">
            <v>Sovereign wealth funds - Funds of funds</v>
          </cell>
          <cell r="E185" t="str">
            <v>6_19</v>
          </cell>
        </row>
        <row r="186">
          <cell r="D186" t="str">
            <v>Sovereign wealth funds - Non-listed debt products</v>
          </cell>
          <cell r="E186" t="str">
            <v>6_20</v>
          </cell>
        </row>
        <row r="187">
          <cell r="D187" t="str">
            <v>Sovereign wealth funds TOTAL</v>
          </cell>
          <cell r="E187" t="str">
            <v>6_21</v>
          </cell>
        </row>
        <row r="188">
          <cell r="D188" t="str">
            <v>Government institutions - Non-listed/ commingled real estate funds/private REITs</v>
          </cell>
          <cell r="E188" t="str">
            <v>6_22</v>
          </cell>
        </row>
        <row r="189">
          <cell r="D189" t="str">
            <v>Government institutions - Separate accounts investing directly into real estate</v>
          </cell>
          <cell r="E189" t="str">
            <v>6_23</v>
          </cell>
        </row>
        <row r="190">
          <cell r="D190" t="str">
            <v>Government institutions - Separate accounts investing into indirect vehicles</v>
          </cell>
          <cell r="E190" t="str">
            <v>6_24</v>
          </cell>
        </row>
        <row r="191">
          <cell r="D191" t="str">
            <v>Government institutions - Joint ventures and club deals</v>
          </cell>
          <cell r="E191" t="str">
            <v>6_25</v>
          </cell>
        </row>
        <row r="192">
          <cell r="D192" t="str">
            <v>Government institutions - Funds of funds</v>
          </cell>
          <cell r="E192" t="str">
            <v>6_26</v>
          </cell>
        </row>
        <row r="193">
          <cell r="D193" t="str">
            <v>Government institutions - Non-listed debt products</v>
          </cell>
          <cell r="E193" t="str">
            <v>6_27</v>
          </cell>
        </row>
        <row r="194">
          <cell r="D194" t="str">
            <v>Government institutions TOTAL</v>
          </cell>
          <cell r="E194" t="str">
            <v>6_28</v>
          </cell>
        </row>
        <row r="195">
          <cell r="D195" t="str">
            <v>Charities, foundations, non-profit organisations - Non-listed/ commingled real estate funds/private REITs</v>
          </cell>
          <cell r="E195" t="str">
            <v>6_29</v>
          </cell>
        </row>
        <row r="196">
          <cell r="D196" t="str">
            <v>Charities, foundations, non-profit organisations - Separate accounts investing directly into real estate</v>
          </cell>
          <cell r="E196" t="str">
            <v>6_30</v>
          </cell>
        </row>
        <row r="197">
          <cell r="D197" t="str">
            <v>Charities, foundations, non-profit organisations - Separate accounts investing into indirect vehicles</v>
          </cell>
          <cell r="E197" t="str">
            <v>6_31</v>
          </cell>
        </row>
        <row r="198">
          <cell r="D198" t="str">
            <v>Charities, foundations, non-profit organisations - Joint ventures and club deals</v>
          </cell>
          <cell r="E198" t="str">
            <v>6_32</v>
          </cell>
        </row>
        <row r="199">
          <cell r="D199" t="str">
            <v>Charities, foundations, non-profit organisations - Funds of funds</v>
          </cell>
          <cell r="E199" t="str">
            <v>6_33</v>
          </cell>
        </row>
        <row r="200">
          <cell r="D200" t="str">
            <v>Charities, foundations, non-profit organisations - Non-listed debt products</v>
          </cell>
          <cell r="E200" t="str">
            <v>6_34</v>
          </cell>
        </row>
        <row r="201">
          <cell r="D201" t="str">
            <v>Charities, foundations, non-profit organisations  TOTAL</v>
          </cell>
          <cell r="E201" t="str">
            <v>6_35</v>
          </cell>
        </row>
        <row r="202">
          <cell r="D202" t="str">
            <v>Funds of funds - Non-listed/ commingled real estate funds/private REITs</v>
          </cell>
          <cell r="E202" t="str">
            <v>6_36</v>
          </cell>
        </row>
        <row r="203">
          <cell r="D203" t="str">
            <v>Funds of funds - Separate accounts investing directly into real estate</v>
          </cell>
          <cell r="E203" t="str">
            <v>6_37</v>
          </cell>
        </row>
        <row r="204">
          <cell r="D204" t="str">
            <v>Funds of funds - Separate accounts investing into indirect vehicles</v>
          </cell>
          <cell r="E204" t="str">
            <v>6_38</v>
          </cell>
        </row>
        <row r="205">
          <cell r="D205" t="str">
            <v>Funds of funds - Joint ventures and club deals</v>
          </cell>
          <cell r="E205" t="str">
            <v>6_39</v>
          </cell>
        </row>
        <row r="206">
          <cell r="D206" t="str">
            <v>Funds of funds - Funds of funds</v>
          </cell>
          <cell r="E206" t="str">
            <v>6_40</v>
          </cell>
        </row>
        <row r="207">
          <cell r="D207" t="str">
            <v>Funds of funds - Non-listed debt products</v>
          </cell>
          <cell r="E207" t="str">
            <v>6_41</v>
          </cell>
        </row>
        <row r="208">
          <cell r="D208" t="str">
            <v>Funds of funds TOTAL</v>
          </cell>
          <cell r="E208" t="str">
            <v>6_42</v>
          </cell>
        </row>
        <row r="209">
          <cell r="D209" t="str">
            <v>High net worth individuals /Family offices - Non-listed/ commingled real estate funds/private REITs</v>
          </cell>
          <cell r="E209" t="str">
            <v>6_43</v>
          </cell>
        </row>
        <row r="210">
          <cell r="D210" t="str">
            <v>High net worth individuals /Family offices - Separate accounts investing directly into real estate</v>
          </cell>
          <cell r="E210" t="str">
            <v>6_44</v>
          </cell>
        </row>
        <row r="211">
          <cell r="D211" t="str">
            <v>High net worth individuals /Family offices - Separate accounts investing into indirect vehicles</v>
          </cell>
          <cell r="E211" t="str">
            <v>6_45</v>
          </cell>
        </row>
        <row r="212">
          <cell r="D212" t="str">
            <v>High net worth individuals /Family offices - Joint ventures and club deals</v>
          </cell>
          <cell r="E212" t="str">
            <v>6_46</v>
          </cell>
        </row>
        <row r="213">
          <cell r="D213" t="str">
            <v>High net worth individuals /Family offices - Funds of funds</v>
          </cell>
          <cell r="E213" t="str">
            <v>6_47</v>
          </cell>
        </row>
        <row r="214">
          <cell r="D214" t="str">
            <v>High net worth individuals /Family offices - Non-listed debt products</v>
          </cell>
          <cell r="E214" t="str">
            <v>6_48</v>
          </cell>
        </row>
        <row r="215">
          <cell r="D215" t="str">
            <v>High net worth individuals /Family offices TOTAL</v>
          </cell>
          <cell r="E215" t="str">
            <v>6_49</v>
          </cell>
        </row>
        <row r="216">
          <cell r="D216" t="str">
            <v>Other (please specify)</v>
          </cell>
          <cell r="E216" t="str">
            <v>6_50</v>
          </cell>
        </row>
        <row r="217">
          <cell r="D217" t="str">
            <v>Other - Non-listed/ commingled real estate funds/private REITs</v>
          </cell>
          <cell r="E217" t="str">
            <v>6_51</v>
          </cell>
        </row>
        <row r="218">
          <cell r="D218" t="str">
            <v>Other - Separate accounts investing directly into real estate</v>
          </cell>
          <cell r="E218" t="str">
            <v>6_52</v>
          </cell>
        </row>
        <row r="219">
          <cell r="D219" t="str">
            <v>Other - Separate accounts investing into indirect vehicles</v>
          </cell>
          <cell r="E219" t="str">
            <v>6_53</v>
          </cell>
        </row>
        <row r="220">
          <cell r="D220" t="str">
            <v>Other - Joint ventures and club deals</v>
          </cell>
          <cell r="E220" t="str">
            <v>6_54</v>
          </cell>
        </row>
        <row r="221">
          <cell r="D221" t="str">
            <v>Other - Funds of funds</v>
          </cell>
          <cell r="E221" t="str">
            <v>6_55</v>
          </cell>
        </row>
        <row r="222">
          <cell r="D222" t="str">
            <v>Other - Non-listed debt products</v>
          </cell>
          <cell r="E222" t="str">
            <v>6_56</v>
          </cell>
        </row>
        <row r="223">
          <cell r="D223" t="str">
            <v>Other TOTAL</v>
          </cell>
          <cell r="E223" t="str">
            <v>6_57</v>
          </cell>
        </row>
        <row r="224">
          <cell r="D224" t="str">
            <v>Non-listed/ commingled real estate funds/private REITs TOTAL</v>
          </cell>
          <cell r="E224" t="str">
            <v>6_58</v>
          </cell>
        </row>
        <row r="225">
          <cell r="D225" t="str">
            <v>Separate accounts investing directly into real estate TOTAL</v>
          </cell>
          <cell r="E225" t="str">
            <v>6_59</v>
          </cell>
        </row>
        <row r="226">
          <cell r="D226" t="str">
            <v>Separate accounts investing into indirect vehicles TOTAL</v>
          </cell>
          <cell r="E226" t="str">
            <v>6_60</v>
          </cell>
        </row>
        <row r="227">
          <cell r="D227" t="str">
            <v>Joint ventures and club deals TOTAL</v>
          </cell>
          <cell r="E227" t="str">
            <v>6_61</v>
          </cell>
        </row>
        <row r="228">
          <cell r="D228" t="str">
            <v>Funds of funds TOTAL</v>
          </cell>
          <cell r="E228" t="str">
            <v>6_62</v>
          </cell>
        </row>
        <row r="229">
          <cell r="D229" t="str">
            <v>Non-listed debt products TOTAL</v>
          </cell>
          <cell r="E229" t="str">
            <v>6_63</v>
          </cell>
        </row>
        <row r="230">
          <cell r="D230" t="str">
            <v>Total capital company raised in 2016 from institutional investors by investor type (million)</v>
          </cell>
          <cell r="E230" t="str">
            <v>6_64</v>
          </cell>
        </row>
        <row r="231">
          <cell r="D231" t="str">
            <v>How much institutional capital did your company raise in 2017 by investor domicile (million)?</v>
          </cell>
          <cell r="E231">
            <v>7</v>
          </cell>
        </row>
        <row r="232">
          <cell r="D232" t="str">
            <v>Asia Pacific - Non-listed/ commingled real estate funds/private REITs</v>
          </cell>
          <cell r="E232" t="str">
            <v>7_1</v>
          </cell>
        </row>
        <row r="233">
          <cell r="D233" t="str">
            <v>Asia Pacific - Separate accounts investing directly into real estate</v>
          </cell>
          <cell r="E233" t="str">
            <v>7_2</v>
          </cell>
        </row>
        <row r="234">
          <cell r="D234" t="str">
            <v>Asia Pacific - Separate accounts investing into indirect vehicles</v>
          </cell>
          <cell r="E234" t="str">
            <v>7_3</v>
          </cell>
        </row>
        <row r="235">
          <cell r="D235" t="str">
            <v>Asia Pacific - Joint ventures and club deals</v>
          </cell>
          <cell r="E235" t="str">
            <v>7_4</v>
          </cell>
        </row>
        <row r="236">
          <cell r="D236" t="str">
            <v>Asia Pacific - Funds of funds</v>
          </cell>
          <cell r="E236" t="str">
            <v>7_5</v>
          </cell>
        </row>
        <row r="237">
          <cell r="D237" t="str">
            <v>Asia Pacific - Non-listed debt products</v>
          </cell>
          <cell r="E237" t="str">
            <v>7_6</v>
          </cell>
        </row>
        <row r="238">
          <cell r="D238" t="str">
            <v>Asia Pacific  TOTAL</v>
          </cell>
          <cell r="E238" t="str">
            <v>7_7</v>
          </cell>
        </row>
        <row r="239">
          <cell r="D239" t="str">
            <v>Europe - Non-listed/ commingled real estate funds/private REITs</v>
          </cell>
          <cell r="E239" t="str">
            <v>7_8</v>
          </cell>
        </row>
        <row r="240">
          <cell r="D240" t="str">
            <v>Europe - Separate accounts investing directly into real estate</v>
          </cell>
          <cell r="E240" t="str">
            <v>7_9</v>
          </cell>
        </row>
        <row r="241">
          <cell r="D241" t="str">
            <v>Europe - Separate accounts investing into indirect vehicles</v>
          </cell>
          <cell r="E241" t="str">
            <v>7_10</v>
          </cell>
        </row>
        <row r="242">
          <cell r="D242" t="str">
            <v>Europe - Joint ventures and club deals</v>
          </cell>
          <cell r="E242" t="str">
            <v>7_11</v>
          </cell>
        </row>
        <row r="243">
          <cell r="D243" t="str">
            <v>Europe - Funds of funds</v>
          </cell>
          <cell r="E243" t="str">
            <v>7_12</v>
          </cell>
        </row>
        <row r="244">
          <cell r="D244" t="str">
            <v>Europe - Non-listed debt products</v>
          </cell>
          <cell r="E244" t="str">
            <v>7_13</v>
          </cell>
        </row>
        <row r="245">
          <cell r="D245" t="str">
            <v>Europe  TOTAL</v>
          </cell>
          <cell r="E245" t="str">
            <v>7_14</v>
          </cell>
        </row>
        <row r="246">
          <cell r="D246" t="str">
            <v>North America - Non-listed/ commingled real estate funds/private REITs</v>
          </cell>
          <cell r="E246" t="str">
            <v>7_15</v>
          </cell>
        </row>
        <row r="247">
          <cell r="D247" t="str">
            <v>North America - Separate accounts investing directly into real estate</v>
          </cell>
          <cell r="E247" t="str">
            <v>7_16</v>
          </cell>
        </row>
        <row r="248">
          <cell r="D248" t="str">
            <v>North America - Separate accounts investing into indirect vehicles</v>
          </cell>
          <cell r="E248" t="str">
            <v>7_17</v>
          </cell>
        </row>
        <row r="249">
          <cell r="D249" t="str">
            <v>North America - Joint ventures and club deals</v>
          </cell>
          <cell r="E249" t="str">
            <v>7_18</v>
          </cell>
        </row>
        <row r="250">
          <cell r="D250" t="str">
            <v>North America - Funds of funds</v>
          </cell>
          <cell r="E250" t="str">
            <v>7_19</v>
          </cell>
        </row>
        <row r="251">
          <cell r="D251" t="str">
            <v>North America - Non-listed debt products</v>
          </cell>
          <cell r="E251" t="str">
            <v>7_20</v>
          </cell>
        </row>
        <row r="252">
          <cell r="D252" t="str">
            <v>North America  TOTAL</v>
          </cell>
          <cell r="E252" t="str">
            <v>7_21</v>
          </cell>
        </row>
        <row r="253">
          <cell r="D253" t="str">
            <v>South America - Non-listed/ commingled real estate funds/private REITs</v>
          </cell>
          <cell r="E253" t="str">
            <v>7_22</v>
          </cell>
        </row>
        <row r="254">
          <cell r="D254" t="str">
            <v>South America - Separate accounts investing directly into real estate</v>
          </cell>
          <cell r="E254" t="str">
            <v>7_23</v>
          </cell>
        </row>
        <row r="255">
          <cell r="D255" t="str">
            <v>South America - Separate accounts investing into indirect vehicles</v>
          </cell>
          <cell r="E255" t="str">
            <v>7_24</v>
          </cell>
        </row>
        <row r="256">
          <cell r="D256" t="str">
            <v>South America - Joint ventures and club deals</v>
          </cell>
          <cell r="E256" t="str">
            <v>7_25</v>
          </cell>
        </row>
        <row r="257">
          <cell r="D257" t="str">
            <v>South America - Funds of funds</v>
          </cell>
          <cell r="E257" t="str">
            <v>7_26</v>
          </cell>
        </row>
        <row r="258">
          <cell r="D258" t="str">
            <v>South America - Non-listed debt products</v>
          </cell>
          <cell r="E258" t="str">
            <v>7_27</v>
          </cell>
        </row>
        <row r="259">
          <cell r="D259" t="str">
            <v>South America  TOTAL</v>
          </cell>
          <cell r="E259" t="str">
            <v>7_28</v>
          </cell>
        </row>
        <row r="260">
          <cell r="D260" t="str">
            <v>Africa - Non-listed/ commingled real estate funds/private REITs</v>
          </cell>
          <cell r="E260" t="str">
            <v>7_29</v>
          </cell>
        </row>
        <row r="261">
          <cell r="D261" t="str">
            <v>Africa - Separate accounts investing directly into real estate</v>
          </cell>
          <cell r="E261" t="str">
            <v>7_30</v>
          </cell>
        </row>
        <row r="262">
          <cell r="D262" t="str">
            <v>Africa - Separate accounts investing into indirect vehicles</v>
          </cell>
          <cell r="E262" t="str">
            <v>7_31</v>
          </cell>
        </row>
        <row r="263">
          <cell r="D263" t="str">
            <v>Africa - Joint ventures and club deals</v>
          </cell>
          <cell r="E263" t="str">
            <v>7_32</v>
          </cell>
        </row>
        <row r="264">
          <cell r="D264" t="str">
            <v>Africa - Funds of funds</v>
          </cell>
          <cell r="E264" t="str">
            <v>7_33</v>
          </cell>
        </row>
        <row r="265">
          <cell r="D265" t="str">
            <v>Africa - Non-listed debt products</v>
          </cell>
          <cell r="E265" t="str">
            <v>7_34</v>
          </cell>
        </row>
        <row r="266">
          <cell r="D266" t="str">
            <v>Africa  TOTAL</v>
          </cell>
          <cell r="E266" t="str">
            <v>7_35</v>
          </cell>
        </row>
        <row r="267">
          <cell r="D267" t="str">
            <v>Non-listed/ commingled real estate funds/private REITs TOTAL</v>
          </cell>
          <cell r="E267" t="str">
            <v>7_36</v>
          </cell>
        </row>
        <row r="268">
          <cell r="D268" t="str">
            <v>Separate accounts investing directly into real estate TOTAL</v>
          </cell>
          <cell r="E268" t="str">
            <v>7_37</v>
          </cell>
        </row>
        <row r="269">
          <cell r="D269" t="str">
            <v>Separate accounts investing into indirect vehicles TOTAL</v>
          </cell>
          <cell r="E269" t="str">
            <v>7_38</v>
          </cell>
        </row>
        <row r="270">
          <cell r="D270" t="str">
            <v>Joint ventures and club deals TOTAL</v>
          </cell>
          <cell r="E270" t="str">
            <v>7_39</v>
          </cell>
        </row>
        <row r="271">
          <cell r="D271" t="str">
            <v>Funds of funds TOTAL</v>
          </cell>
          <cell r="E271" t="str">
            <v>7_40</v>
          </cell>
        </row>
        <row r="272">
          <cell r="D272" t="str">
            <v>Non-listed debt products TOTAL</v>
          </cell>
          <cell r="E272" t="str">
            <v>7_41</v>
          </cell>
        </row>
        <row r="273">
          <cell r="D273" t="str">
            <v>Total capital company raised in 2016 from Institutional Investors by investor domicile (million)</v>
          </cell>
          <cell r="E273" t="str">
            <v>7_42</v>
          </cell>
        </row>
        <row r="274">
          <cell r="D274" t="str">
            <v>What percentage of the total capital was raised via...?</v>
          </cell>
          <cell r="E274">
            <v>8</v>
          </cell>
        </row>
        <row r="275">
          <cell r="D275" t="str">
            <v>Placement agent</v>
          </cell>
          <cell r="E275" t="str">
            <v>8_1</v>
          </cell>
        </row>
        <row r="276">
          <cell r="D276" t="str">
            <v>Investors contacting you directly</v>
          </cell>
          <cell r="E276" t="str">
            <v>8_2</v>
          </cell>
        </row>
        <row r="277">
          <cell r="D277" t="str">
            <v>Your own direct relationship with investors</v>
          </cell>
          <cell r="E277" t="str">
            <v>8_3</v>
          </cell>
        </row>
        <row r="278">
          <cell r="D278" t="str">
            <v>Other (please specify)</v>
          </cell>
          <cell r="E278" t="str">
            <v>8_4</v>
          </cell>
        </row>
        <row r="279">
          <cell r="D279" t="str">
            <v>Other</v>
          </cell>
          <cell r="E279" t="str">
            <v>8_5</v>
          </cell>
        </row>
        <row r="280">
          <cell r="D280" t="str">
            <v>How do you expect capital raising activities to develop over the next two years?</v>
          </cell>
          <cell r="E280">
            <v>9</v>
          </cell>
        </row>
        <row r="281">
          <cell r="D281" t="str">
            <v>What impact do you expect regulation to have on capital raising activities over the next two years?</v>
          </cell>
          <cell r="E281">
            <v>10</v>
          </cell>
        </row>
        <row r="282">
          <cell r="D282" t="str">
            <v>Would you like the name of your company to be included in the list of participants?</v>
          </cell>
          <cell r="E282">
            <v>11</v>
          </cell>
        </row>
        <row r="283">
          <cell r="D283" t="str">
            <v>IGNORE</v>
          </cell>
        </row>
        <row r="285">
          <cell r="D285" t="str">
            <v>For your [REGION] strategy, how much institutional capital did your company raise in 2017 by investor type (million)?</v>
          </cell>
          <cell r="E285">
            <v>12</v>
          </cell>
        </row>
        <row r="286">
          <cell r="D286" t="str">
            <v>Pension funds - Non-listed/ commingled real estate funds/private REITs</v>
          </cell>
          <cell r="E286" t="str">
            <v>12_1</v>
          </cell>
        </row>
        <row r="287">
          <cell r="D287" t="str">
            <v>Pension funds - Separate accounts investing directly into real estate</v>
          </cell>
          <cell r="E287" t="str">
            <v>12_2</v>
          </cell>
        </row>
        <row r="288">
          <cell r="D288" t="str">
            <v>Pension funds - Separate accounts investing into indirect vehicles</v>
          </cell>
          <cell r="E288" t="str">
            <v>12_3</v>
          </cell>
        </row>
        <row r="289">
          <cell r="D289" t="str">
            <v>Pension funds - Joint ventures and club deals</v>
          </cell>
          <cell r="E289" t="str">
            <v>12_4</v>
          </cell>
        </row>
        <row r="290">
          <cell r="D290" t="str">
            <v>Pension funds - Funds of funds</v>
          </cell>
          <cell r="E290" t="str">
            <v>12_5</v>
          </cell>
        </row>
        <row r="291">
          <cell r="D291" t="str">
            <v>Pension funds - Non-listed debt products</v>
          </cell>
          <cell r="E291" t="str">
            <v>12_6</v>
          </cell>
        </row>
        <row r="292">
          <cell r="D292" t="str">
            <v>Pension funds TOTAL</v>
          </cell>
          <cell r="E292" t="str">
            <v>12_7</v>
          </cell>
        </row>
        <row r="293">
          <cell r="D293" t="str">
            <v>Insurance companies - Non-listed/ commingled real estate funds/private REITs</v>
          </cell>
          <cell r="E293" t="str">
            <v>12_8</v>
          </cell>
        </row>
        <row r="294">
          <cell r="D294" t="str">
            <v>Insurance companies - Separate accounts investing directly into real estate</v>
          </cell>
          <cell r="E294" t="str">
            <v>12_9</v>
          </cell>
        </row>
        <row r="295">
          <cell r="D295" t="str">
            <v>Insurance companies - Separate accounts investing into indirect vehicles</v>
          </cell>
          <cell r="E295" t="str">
            <v>12_10</v>
          </cell>
        </row>
        <row r="296">
          <cell r="D296" t="str">
            <v>Insurance companies - Joint ventures and club deals</v>
          </cell>
          <cell r="E296" t="str">
            <v>12_11</v>
          </cell>
        </row>
        <row r="297">
          <cell r="D297" t="str">
            <v>Insurance companies - Funds of funds</v>
          </cell>
          <cell r="E297" t="str">
            <v>12_12</v>
          </cell>
        </row>
        <row r="298">
          <cell r="D298" t="str">
            <v>Insurance companies - Non-listed debt products</v>
          </cell>
          <cell r="E298" t="str">
            <v>12_13</v>
          </cell>
        </row>
        <row r="299">
          <cell r="D299" t="str">
            <v>Insurance companies TOTAL</v>
          </cell>
          <cell r="E299" t="str">
            <v>12_14</v>
          </cell>
        </row>
        <row r="300">
          <cell r="D300" t="str">
            <v>Sovereign wealth funds - Non-listed/ commingled real estate funds/private REITs</v>
          </cell>
          <cell r="E300" t="str">
            <v>12_15</v>
          </cell>
        </row>
        <row r="301">
          <cell r="D301" t="str">
            <v>Sovereign wealth funds - Separate accounts investing directly into real estate</v>
          </cell>
          <cell r="E301" t="str">
            <v>12_16</v>
          </cell>
        </row>
        <row r="302">
          <cell r="D302" t="str">
            <v>Sovereign wealth funds - Separate accounts investing into indirect vehicles</v>
          </cell>
          <cell r="E302" t="str">
            <v>12_17</v>
          </cell>
        </row>
        <row r="303">
          <cell r="D303" t="str">
            <v>Sovereign wealth funds - Joint ventures and club deals</v>
          </cell>
          <cell r="E303" t="str">
            <v>12_18</v>
          </cell>
        </row>
        <row r="304">
          <cell r="D304" t="str">
            <v>Sovereign wealth funds - Funds of funds</v>
          </cell>
          <cell r="E304" t="str">
            <v>12_19</v>
          </cell>
        </row>
        <row r="305">
          <cell r="D305" t="str">
            <v>Sovereign wealth funds - Non-listed debt products</v>
          </cell>
          <cell r="E305" t="str">
            <v>12_20</v>
          </cell>
        </row>
        <row r="306">
          <cell r="D306" t="str">
            <v>Sovereign wealth funds TOTAL</v>
          </cell>
          <cell r="E306" t="str">
            <v>12_21</v>
          </cell>
        </row>
        <row r="307">
          <cell r="D307" t="str">
            <v>Government institutions - Non-listed/ commingled real estate funds/private REITs</v>
          </cell>
          <cell r="E307" t="str">
            <v>12_22</v>
          </cell>
        </row>
        <row r="308">
          <cell r="D308" t="str">
            <v>Government institutions - Separate accounts investing directly into real estate</v>
          </cell>
          <cell r="E308" t="str">
            <v>12_23</v>
          </cell>
        </row>
        <row r="309">
          <cell r="D309" t="str">
            <v>Government institutions - Separate accounts investing into indirect vehicles</v>
          </cell>
          <cell r="E309" t="str">
            <v>12_24</v>
          </cell>
        </row>
        <row r="310">
          <cell r="D310" t="str">
            <v>Government institutions - Joint ventures and club deals</v>
          </cell>
          <cell r="E310" t="str">
            <v>12_25</v>
          </cell>
        </row>
        <row r="311">
          <cell r="D311" t="str">
            <v>Government institutions - Funds of funds</v>
          </cell>
          <cell r="E311" t="str">
            <v>12_26</v>
          </cell>
        </row>
        <row r="312">
          <cell r="D312" t="str">
            <v>Government institutions - Non-listed debt products</v>
          </cell>
          <cell r="E312" t="str">
            <v>12_27</v>
          </cell>
        </row>
        <row r="313">
          <cell r="D313" t="str">
            <v>Government institutions TOTAL</v>
          </cell>
          <cell r="E313" t="str">
            <v>12_28</v>
          </cell>
        </row>
        <row r="314">
          <cell r="D314" t="str">
            <v>Charities, foundations, non-profit organisations - Non-listed/ commingled real estate funds/private REITs</v>
          </cell>
          <cell r="E314" t="str">
            <v>12_29</v>
          </cell>
        </row>
        <row r="315">
          <cell r="D315" t="str">
            <v>Charities, foundations, non-profit organisations - Separate accounts investing directly into real estate</v>
          </cell>
          <cell r="E315" t="str">
            <v>12_30</v>
          </cell>
        </row>
        <row r="316">
          <cell r="D316" t="str">
            <v>Charities, foundations, non-profit organisations - Separate accounts investing into indirect vehicles</v>
          </cell>
          <cell r="E316" t="str">
            <v>12_31</v>
          </cell>
        </row>
        <row r="317">
          <cell r="D317" t="str">
            <v>Charities, foundations, non-profit organisations - Joint ventures and club deals</v>
          </cell>
          <cell r="E317" t="str">
            <v>12_32</v>
          </cell>
        </row>
        <row r="318">
          <cell r="D318" t="str">
            <v>Charities, foundations, non-profit organisations - Funds of funds</v>
          </cell>
          <cell r="E318" t="str">
            <v>12_33</v>
          </cell>
        </row>
        <row r="319">
          <cell r="D319" t="str">
            <v>Charities, foundations, non-profit organisations - Non-listed debt products</v>
          </cell>
          <cell r="E319" t="str">
            <v>12_34</v>
          </cell>
        </row>
        <row r="320">
          <cell r="D320" t="str">
            <v>Charities, foundations, non-profit organisations  TOTAL</v>
          </cell>
          <cell r="E320" t="str">
            <v>12_35</v>
          </cell>
        </row>
        <row r="321">
          <cell r="D321" t="str">
            <v>Funds of funds - Non-listed/ commingled real estate funds/private REITs</v>
          </cell>
          <cell r="E321" t="str">
            <v>12_36</v>
          </cell>
        </row>
        <row r="322">
          <cell r="D322" t="str">
            <v>Funds of funds - Separate accounts investing directly into real estate</v>
          </cell>
          <cell r="E322" t="str">
            <v>12_37</v>
          </cell>
        </row>
        <row r="323">
          <cell r="D323" t="str">
            <v>Funds of funds - Separate accounts investing into indirect vehicles</v>
          </cell>
          <cell r="E323" t="str">
            <v>12_38</v>
          </cell>
        </row>
        <row r="324">
          <cell r="D324" t="str">
            <v>Funds of funds - Joint ventures and club deals</v>
          </cell>
          <cell r="E324" t="str">
            <v>12_39</v>
          </cell>
        </row>
        <row r="325">
          <cell r="D325" t="str">
            <v>Funds of funds - Funds of funds</v>
          </cell>
          <cell r="E325" t="str">
            <v>12_40</v>
          </cell>
        </row>
        <row r="326">
          <cell r="D326" t="str">
            <v>Funds of funds - Non-listed debt products</v>
          </cell>
          <cell r="E326" t="str">
            <v>12_41</v>
          </cell>
        </row>
        <row r="327">
          <cell r="D327" t="str">
            <v>Funds of funds TOTAL</v>
          </cell>
          <cell r="E327" t="str">
            <v>12_42</v>
          </cell>
        </row>
        <row r="328">
          <cell r="D328" t="str">
            <v>High net worth individuals /Family offices - Non-listed/ commingled real estate funds/private REITs</v>
          </cell>
          <cell r="E328" t="str">
            <v>12_43</v>
          </cell>
        </row>
        <row r="329">
          <cell r="D329" t="str">
            <v>High net worth individuals /Family offices - Separate accounts investing directly into real estate</v>
          </cell>
          <cell r="E329" t="str">
            <v>12_44</v>
          </cell>
        </row>
        <row r="330">
          <cell r="D330" t="str">
            <v>High net worth individuals /Family offices - Separate accounts investing into indirect vehicles</v>
          </cell>
          <cell r="E330" t="str">
            <v>12_45</v>
          </cell>
        </row>
        <row r="331">
          <cell r="D331" t="str">
            <v>High net worth individuals /Family offices - Joint ventures and club deals</v>
          </cell>
          <cell r="E331" t="str">
            <v>12_46</v>
          </cell>
        </row>
        <row r="332">
          <cell r="D332" t="str">
            <v>High net worth individuals /Family offices - Funds of funds</v>
          </cell>
          <cell r="E332" t="str">
            <v>12_47</v>
          </cell>
        </row>
        <row r="333">
          <cell r="D333" t="str">
            <v>High net worth individuals /Family offices - Non-listed debt products</v>
          </cell>
          <cell r="E333" t="str">
            <v>12_48</v>
          </cell>
        </row>
        <row r="334">
          <cell r="D334" t="str">
            <v>High net worth individuals /Family offices TOTAL</v>
          </cell>
          <cell r="E334" t="str">
            <v>12_49</v>
          </cell>
        </row>
        <row r="335">
          <cell r="D335" t="str">
            <v>Other (please specify)</v>
          </cell>
          <cell r="E335" t="str">
            <v>12_50</v>
          </cell>
        </row>
        <row r="336">
          <cell r="D336" t="str">
            <v>Other - Non-listed/ commingled real estate funds/private REITs</v>
          </cell>
          <cell r="E336" t="str">
            <v>12_51</v>
          </cell>
        </row>
        <row r="337">
          <cell r="D337" t="str">
            <v>Other - Separate accounts investing directly into real estate</v>
          </cell>
          <cell r="E337" t="str">
            <v>12_52</v>
          </cell>
        </row>
        <row r="338">
          <cell r="D338" t="str">
            <v>Other - Separate accounts investing into indirect vehicles</v>
          </cell>
          <cell r="E338" t="str">
            <v>12_53</v>
          </cell>
        </row>
        <row r="339">
          <cell r="D339" t="str">
            <v>Other - Joint ventures and club deals</v>
          </cell>
          <cell r="E339" t="str">
            <v>12_54</v>
          </cell>
        </row>
        <row r="340">
          <cell r="D340" t="str">
            <v>Other - Funds of funds</v>
          </cell>
          <cell r="E340" t="str">
            <v>12_55</v>
          </cell>
        </row>
        <row r="341">
          <cell r="D341" t="str">
            <v>Other - Non-listed debt products</v>
          </cell>
          <cell r="E341" t="str">
            <v>12_56</v>
          </cell>
        </row>
        <row r="342">
          <cell r="D342" t="str">
            <v>Other TOTAL</v>
          </cell>
          <cell r="E342" t="str">
            <v>12_57</v>
          </cell>
        </row>
        <row r="343">
          <cell r="D343" t="str">
            <v>Non-listed/ commingled real estate funds/private REITs TOTAL</v>
          </cell>
          <cell r="E343" t="str">
            <v>12_58</v>
          </cell>
        </row>
        <row r="344">
          <cell r="D344" t="str">
            <v>Separate accounts investing directly into real estate TOTAL</v>
          </cell>
          <cell r="E344" t="str">
            <v>12_59</v>
          </cell>
        </row>
        <row r="345">
          <cell r="D345" t="str">
            <v>Separate accounts investing into indirect vehicles TOTAL</v>
          </cell>
          <cell r="E345" t="str">
            <v>12_60</v>
          </cell>
        </row>
        <row r="346">
          <cell r="D346" t="str">
            <v>Joint ventures and club deals TOTAL</v>
          </cell>
          <cell r="E346" t="str">
            <v>12_61</v>
          </cell>
        </row>
        <row r="347">
          <cell r="D347" t="str">
            <v>Funds of funds TOTAL</v>
          </cell>
          <cell r="E347" t="str">
            <v>12_62</v>
          </cell>
        </row>
        <row r="348">
          <cell r="D348" t="str">
            <v>Non-listed debt products TOTAL</v>
          </cell>
          <cell r="E348" t="str">
            <v>12_63</v>
          </cell>
        </row>
        <row r="349">
          <cell r="D349" t="str">
            <v>Total capital raised in 2016 from[REGION] strategy</v>
          </cell>
          <cell r="E349" t="str">
            <v>12_64</v>
          </cell>
        </row>
        <row r="350">
          <cell r="D350" t="str">
            <v>[REGION] How much institutional capital did your company raise in 2017 by investor domicile (million)?</v>
          </cell>
          <cell r="E350">
            <v>13</v>
          </cell>
        </row>
        <row r="351">
          <cell r="D351" t="str">
            <v>Europe - Non-listed/ commingled real estate funds/private REITs</v>
          </cell>
          <cell r="E351" t="str">
            <v>13_1</v>
          </cell>
        </row>
        <row r="352">
          <cell r="D352" t="str">
            <v>Europe - Separate accounts investing directly into real estate</v>
          </cell>
          <cell r="E352" t="str">
            <v>13_2</v>
          </cell>
        </row>
        <row r="353">
          <cell r="D353" t="str">
            <v>Europe - Separate accounts investing into indirect vehicles</v>
          </cell>
          <cell r="E353" t="str">
            <v>13_3</v>
          </cell>
        </row>
        <row r="354">
          <cell r="D354" t="str">
            <v>Europe - Joint ventures and club deals</v>
          </cell>
          <cell r="E354" t="str">
            <v>13_4</v>
          </cell>
        </row>
        <row r="355">
          <cell r="D355" t="str">
            <v>Europe - Funds of funds</v>
          </cell>
          <cell r="E355" t="str">
            <v>13_5</v>
          </cell>
        </row>
        <row r="356">
          <cell r="D356" t="str">
            <v>Europe - Non-listed debt products</v>
          </cell>
          <cell r="E356" t="str">
            <v>13_6</v>
          </cell>
        </row>
        <row r="357">
          <cell r="D357" t="str">
            <v>Europe TOTAL</v>
          </cell>
          <cell r="E357" t="str">
            <v>13_7</v>
          </cell>
        </row>
        <row r="358">
          <cell r="D358" t="str">
            <v>Asia Pacific - Non-listed/ commingled real estate funds/private REITs</v>
          </cell>
          <cell r="E358" t="str">
            <v>13_8</v>
          </cell>
        </row>
        <row r="359">
          <cell r="D359" t="str">
            <v>Asia Pacific - Separate accounts investing directly into real estate</v>
          </cell>
          <cell r="E359" t="str">
            <v>13_9</v>
          </cell>
        </row>
        <row r="360">
          <cell r="D360" t="str">
            <v>Asia Pacific - Separate accounts investing into indirect vehicles</v>
          </cell>
          <cell r="E360" t="str">
            <v>13_10</v>
          </cell>
        </row>
        <row r="361">
          <cell r="D361" t="str">
            <v>Asia Pacific - Joint ventures and club deals</v>
          </cell>
          <cell r="E361" t="str">
            <v>13_11</v>
          </cell>
        </row>
        <row r="362">
          <cell r="D362" t="str">
            <v>Asia Pacific - Funds of funds</v>
          </cell>
          <cell r="E362" t="str">
            <v>13_12</v>
          </cell>
        </row>
        <row r="363">
          <cell r="D363" t="str">
            <v>Asia Pacific - Non-listed debt products</v>
          </cell>
          <cell r="E363" t="str">
            <v>13_13</v>
          </cell>
        </row>
        <row r="364">
          <cell r="D364" t="str">
            <v>Asia Pacific TOTAL</v>
          </cell>
          <cell r="E364" t="str">
            <v>13_14</v>
          </cell>
        </row>
        <row r="365">
          <cell r="D365" t="str">
            <v>North America - Non-listed/ commingled real estate funds/private REITs</v>
          </cell>
          <cell r="E365" t="str">
            <v>13_15</v>
          </cell>
        </row>
        <row r="366">
          <cell r="D366" t="str">
            <v>North America - Separate accounts investing directly into real estate</v>
          </cell>
          <cell r="E366" t="str">
            <v>13_16</v>
          </cell>
        </row>
        <row r="367">
          <cell r="D367" t="str">
            <v>North America - Separate accounts investing into indirect vehicles</v>
          </cell>
          <cell r="E367" t="str">
            <v>13_17</v>
          </cell>
        </row>
        <row r="368">
          <cell r="D368" t="str">
            <v>North America - Joint ventures and club deals</v>
          </cell>
          <cell r="E368" t="str">
            <v>13_18</v>
          </cell>
        </row>
        <row r="369">
          <cell r="D369" t="str">
            <v>North America - Funds of funds</v>
          </cell>
          <cell r="E369" t="str">
            <v>13_19</v>
          </cell>
        </row>
        <row r="370">
          <cell r="D370" t="str">
            <v>North America - Non-listed debt products</v>
          </cell>
          <cell r="E370" t="str">
            <v>13_20</v>
          </cell>
        </row>
        <row r="371">
          <cell r="D371" t="str">
            <v>North America TOTAL</v>
          </cell>
          <cell r="E371" t="str">
            <v>13_21</v>
          </cell>
        </row>
        <row r="372">
          <cell r="D372" t="str">
            <v>South America - Non-listed/ commingled real estate funds/private REITs</v>
          </cell>
          <cell r="E372" t="str">
            <v>13_22</v>
          </cell>
        </row>
        <row r="373">
          <cell r="D373" t="str">
            <v>South America - Separate accounts investing directly into real estate</v>
          </cell>
          <cell r="E373" t="str">
            <v>13_23</v>
          </cell>
        </row>
        <row r="374">
          <cell r="D374" t="str">
            <v>South America - Separate accounts investing into indirect vehicles</v>
          </cell>
          <cell r="E374" t="str">
            <v>13_24</v>
          </cell>
        </row>
        <row r="375">
          <cell r="D375" t="str">
            <v>South America - Joint ventures and club deals</v>
          </cell>
          <cell r="E375" t="str">
            <v>13_25</v>
          </cell>
        </row>
        <row r="376">
          <cell r="D376" t="str">
            <v>South America - Funds of funds</v>
          </cell>
          <cell r="E376" t="str">
            <v>13_26</v>
          </cell>
        </row>
        <row r="377">
          <cell r="D377" t="str">
            <v>South America - Non-listed debt products</v>
          </cell>
          <cell r="E377" t="str">
            <v>13_27</v>
          </cell>
        </row>
        <row r="378">
          <cell r="D378" t="str">
            <v>South America TOTAL</v>
          </cell>
          <cell r="E378" t="str">
            <v>13_28</v>
          </cell>
        </row>
        <row r="379">
          <cell r="D379" t="str">
            <v>Africa - Non-listed/ commingled real estate funds/private REITs</v>
          </cell>
          <cell r="E379" t="str">
            <v>13_29</v>
          </cell>
        </row>
        <row r="380">
          <cell r="D380" t="str">
            <v>Africa - Separate accounts investing directly into real estate</v>
          </cell>
          <cell r="E380" t="str">
            <v>13_30</v>
          </cell>
        </row>
        <row r="381">
          <cell r="D381" t="str">
            <v>Africa - Separate accounts investing into indirect vehicles</v>
          </cell>
          <cell r="E381" t="str">
            <v>13_31</v>
          </cell>
        </row>
        <row r="382">
          <cell r="D382" t="str">
            <v>Africa - Joint ventures and club deals</v>
          </cell>
          <cell r="E382" t="str">
            <v>13_32</v>
          </cell>
        </row>
        <row r="383">
          <cell r="D383" t="str">
            <v>Africa - Funds of funds</v>
          </cell>
          <cell r="E383" t="str">
            <v>13_33</v>
          </cell>
        </row>
        <row r="384">
          <cell r="D384" t="str">
            <v>Africa - Non-listed debt products</v>
          </cell>
          <cell r="E384" t="str">
            <v>13_34</v>
          </cell>
        </row>
        <row r="385">
          <cell r="D385" t="str">
            <v>Africa  TOTAL</v>
          </cell>
          <cell r="E385" t="str">
            <v>13_35</v>
          </cell>
        </row>
        <row r="386">
          <cell r="D386" t="str">
            <v>Non-listed/ commingled real estate funds/private REITs TOTAL</v>
          </cell>
          <cell r="E386" t="str">
            <v>13_36</v>
          </cell>
        </row>
        <row r="387">
          <cell r="D387" t="str">
            <v>Separate accounts investing directly into real estate TOTAL</v>
          </cell>
          <cell r="E387" t="str">
            <v>13_37</v>
          </cell>
        </row>
        <row r="388">
          <cell r="D388" t="str">
            <v>Separate accounts investing into indirect vehicles TOTAL</v>
          </cell>
          <cell r="E388" t="str">
            <v>13_38</v>
          </cell>
        </row>
        <row r="389">
          <cell r="D389" t="str">
            <v>Joint ventures and club deals TOTAL</v>
          </cell>
          <cell r="E389" t="str">
            <v>13_39</v>
          </cell>
        </row>
        <row r="390">
          <cell r="D390" t="str">
            <v>Funds of funds TOTAL</v>
          </cell>
          <cell r="E390" t="str">
            <v>13_40</v>
          </cell>
        </row>
        <row r="391">
          <cell r="D391" t="str">
            <v>Non-listed debt products TOTAL</v>
          </cell>
          <cell r="E391" t="str">
            <v>13_41</v>
          </cell>
        </row>
        <row r="392">
          <cell r="D392" t="str">
            <v>Total capital raised in 2016 from[REGION] strategy</v>
          </cell>
          <cell r="E392" t="str">
            <v>13_42</v>
          </cell>
        </row>
        <row r="393">
          <cell r="D393" t="str">
            <v>IGNORE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F5B67E-9388-4D54-9FEC-AE9B5FBE2B27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CC5267-5638-4221-8DD1-B4EECCAC003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E353A-F905-4E34-9CFE-593EFF5EFAB8}" name="cr_2017_answer_map" displayName="cr_2017_answer_map" ref="A1:D42" tableType="queryTable" totalsRowShown="0" headerRowDxfId="8">
  <autoFilter ref="A1:D42" xr:uid="{B47E353A-F905-4E34-9CFE-593EFF5EFAB8}"/>
  <tableColumns count="4">
    <tableColumn id="1" xr3:uid="{96176E42-3F05-42DD-B16D-4FC7D0018182}" uniqueName="1" name="Question" queryTableFieldId="1" dataDxfId="7"/>
    <tableColumn id="2" xr3:uid="{20146182-0293-4E63-A646-5DDBE3429367}" uniqueName="2" name="Value" queryTableFieldId="2" dataDxfId="6"/>
    <tableColumn id="3" xr3:uid="{6FEEF891-2B58-4D3F-A59B-3D6EE92FA5B3}" uniqueName="3" name="Text" queryTableFieldId="3" dataDxfId="5"/>
    <tableColumn id="4" xr3:uid="{F43AB8CF-E3AE-46CC-81D6-4F534FE37858}" uniqueName="4" name="Label" queryTableFieldId="4" dataDxfId="4">
      <calculatedColumnFormula>VLOOKUP(cr_2017_answer_map[[#This Row],[Question]],cr_2017_question_map4!A:E,5,FALSE)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918FF-5215-4BD3-A729-762ED4B05A61}" name="cr_2017_answer_map3" displayName="cr_2017_answer_map3" ref="A1:C42" tableType="queryTable" totalsRowShown="0" headerRowDxfId="3">
  <autoFilter ref="A1:C42" xr:uid="{B47E353A-F905-4E34-9CFE-593EFF5EFAB8}"/>
  <tableColumns count="3">
    <tableColumn id="1" xr3:uid="{8A9CA032-9863-4AE3-AB15-F61C7D90CEB3}" uniqueName="1" name="Question" queryTableFieldId="1" dataDxfId="2"/>
    <tableColumn id="2" xr3:uid="{1C2F52B8-6CB1-4BEB-BAC8-E90F9257EC17}" uniqueName="2" name="Value" queryTableFieldId="2" dataDxfId="1"/>
    <tableColumn id="3" xr3:uid="{88170A37-BB77-49B5-84FA-52B7CCFB26EC}" uniqueName="3" name="Tex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customProperty" Target="../customProperty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1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2770-3347-41F0-95BE-63FDEB2A3D0C}">
  <sheetPr>
    <tabColor theme="9" tint="-0.249977111117893"/>
  </sheetPr>
  <dimension ref="A1:AHU163"/>
  <sheetViews>
    <sheetView topLeftCell="I1" workbookViewId="0">
      <selection activeCell="Z18" sqref="Z18"/>
    </sheetView>
  </sheetViews>
  <sheetFormatPr defaultColWidth="9.140625" defaultRowHeight="15" x14ac:dyDescent="0.25"/>
  <cols>
    <col min="1" max="1" width="11.28515625" style="14" bestFit="1" customWidth="1"/>
    <col min="2" max="2" width="8.7109375" style="14" bestFit="1" customWidth="1"/>
    <col min="3" max="3" width="25.42578125" style="16" customWidth="1"/>
    <col min="4" max="4" width="27.85546875" style="14" bestFit="1" customWidth="1"/>
    <col min="5" max="5" width="45.42578125" style="14" bestFit="1" customWidth="1"/>
    <col min="6" max="6" width="45.42578125" style="14" customWidth="1"/>
    <col min="7" max="7" width="47.140625" style="14" bestFit="1" customWidth="1"/>
    <col min="8" max="8" width="41" style="14" bestFit="1" customWidth="1"/>
    <col min="9" max="9" width="23.85546875" style="14" bestFit="1" customWidth="1"/>
    <col min="10" max="10" width="19.85546875" style="14" bestFit="1" customWidth="1"/>
    <col min="11" max="63" width="9.140625" style="14"/>
    <col min="64" max="64" width="24.85546875" style="14" bestFit="1" customWidth="1"/>
    <col min="65" max="904" width="9.140625" style="14"/>
    <col min="905" max="905" width="26.140625" style="14" bestFit="1" customWidth="1"/>
    <col min="906" max="16384" width="9.140625" style="14"/>
  </cols>
  <sheetData>
    <row r="1" spans="1:905" s="13" customFormat="1" x14ac:dyDescent="0.25">
      <c r="A1" t="s">
        <v>26</v>
      </c>
      <c r="B1" t="s">
        <v>35</v>
      </c>
      <c r="C1" s="15" t="s">
        <v>30</v>
      </c>
      <c r="D1" t="s">
        <v>37</v>
      </c>
      <c r="E1" t="s">
        <v>40</v>
      </c>
      <c r="F1" t="s">
        <v>4922</v>
      </c>
      <c r="G1" t="s">
        <v>42</v>
      </c>
      <c r="H1" t="s">
        <v>44</v>
      </c>
      <c r="I1" t="s">
        <v>46</v>
      </c>
      <c r="J1" t="s">
        <v>48</v>
      </c>
      <c r="K1" t="s">
        <v>50</v>
      </c>
      <c r="L1" t="s">
        <v>53</v>
      </c>
      <c r="M1" t="s">
        <v>55</v>
      </c>
      <c r="N1" t="s">
        <v>57</v>
      </c>
      <c r="O1" t="s">
        <v>59</v>
      </c>
      <c r="P1" t="s">
        <v>69</v>
      </c>
      <c r="Q1" t="s">
        <v>71</v>
      </c>
      <c r="R1" t="s">
        <v>73</v>
      </c>
      <c r="S1" t="s">
        <v>75</v>
      </c>
      <c r="T1" t="s">
        <v>77</v>
      </c>
      <c r="U1" t="s">
        <v>79</v>
      </c>
      <c r="V1" t="s">
        <v>81</v>
      </c>
      <c r="W1" t="s">
        <v>83</v>
      </c>
      <c r="X1" t="s">
        <v>85</v>
      </c>
      <c r="Y1" t="s">
        <v>87</v>
      </c>
      <c r="Z1" t="s">
        <v>89</v>
      </c>
      <c r="AA1" t="s">
        <v>91</v>
      </c>
      <c r="AB1" t="s">
        <v>93</v>
      </c>
      <c r="AC1" t="s">
        <v>95</v>
      </c>
      <c r="AD1" t="s">
        <v>97</v>
      </c>
      <c r="AE1" t="s">
        <v>99</v>
      </c>
      <c r="AF1" t="s">
        <v>101</v>
      </c>
      <c r="AG1" t="s">
        <v>103</v>
      </c>
      <c r="AH1" t="s">
        <v>105</v>
      </c>
      <c r="AI1" t="s">
        <v>107</v>
      </c>
      <c r="AJ1" t="s">
        <v>109</v>
      </c>
      <c r="AK1" t="s">
        <v>111</v>
      </c>
      <c r="AL1" t="s">
        <v>113</v>
      </c>
      <c r="AM1" t="s">
        <v>115</v>
      </c>
      <c r="AN1" t="s">
        <v>117</v>
      </c>
      <c r="AO1" t="s">
        <v>119</v>
      </c>
      <c r="AP1" t="s">
        <v>121</v>
      </c>
      <c r="AQ1" t="s">
        <v>123</v>
      </c>
      <c r="AR1" t="s">
        <v>125</v>
      </c>
      <c r="AS1" t="s">
        <v>127</v>
      </c>
      <c r="AT1" t="s">
        <v>129</v>
      </c>
      <c r="AU1" t="s">
        <v>131</v>
      </c>
      <c r="AV1" t="s">
        <v>133</v>
      </c>
      <c r="AW1" t="s">
        <v>135</v>
      </c>
      <c r="AX1" t="s">
        <v>137</v>
      </c>
      <c r="AY1" t="s">
        <v>139</v>
      </c>
      <c r="AZ1" t="s">
        <v>141</v>
      </c>
      <c r="BA1" t="s">
        <v>143</v>
      </c>
      <c r="BB1" t="s">
        <v>145</v>
      </c>
      <c r="BC1" t="s">
        <v>147</v>
      </c>
      <c r="BD1" t="s">
        <v>149</v>
      </c>
      <c r="BE1" t="s">
        <v>151</v>
      </c>
      <c r="BF1" t="s">
        <v>153</v>
      </c>
      <c r="BG1" t="s">
        <v>155</v>
      </c>
      <c r="BH1" t="s">
        <v>157</v>
      </c>
      <c r="BI1" t="s">
        <v>159</v>
      </c>
      <c r="BJ1" t="s">
        <v>161</v>
      </c>
      <c r="BK1" t="s">
        <v>163</v>
      </c>
      <c r="BL1" t="s">
        <v>165</v>
      </c>
      <c r="BM1" t="s">
        <v>166</v>
      </c>
      <c r="BN1" t="s">
        <v>168</v>
      </c>
      <c r="BO1" t="s">
        <v>169</v>
      </c>
      <c r="BP1" t="s">
        <v>170</v>
      </c>
      <c r="BQ1" t="s">
        <v>171</v>
      </c>
      <c r="BR1" t="s">
        <v>172</v>
      </c>
      <c r="BS1" t="s">
        <v>173</v>
      </c>
      <c r="BT1" t="s">
        <v>174</v>
      </c>
      <c r="BU1" t="s">
        <v>175</v>
      </c>
      <c r="BV1" t="s">
        <v>176</v>
      </c>
      <c r="BW1" t="s">
        <v>177</v>
      </c>
      <c r="BX1" t="s">
        <v>178</v>
      </c>
      <c r="BY1" t="s">
        <v>179</v>
      </c>
      <c r="BZ1" t="s">
        <v>180</v>
      </c>
      <c r="CA1" t="s">
        <v>181</v>
      </c>
      <c r="CB1" t="s">
        <v>182</v>
      </c>
      <c r="CC1" t="s">
        <v>183</v>
      </c>
      <c r="CD1" t="s">
        <v>184</v>
      </c>
      <c r="CE1" t="s">
        <v>185</v>
      </c>
      <c r="CF1" t="s">
        <v>186</v>
      </c>
      <c r="CG1" t="s">
        <v>187</v>
      </c>
      <c r="CH1" t="s">
        <v>188</v>
      </c>
      <c r="CI1" t="s">
        <v>189</v>
      </c>
      <c r="CJ1" t="s">
        <v>190</v>
      </c>
      <c r="CK1" t="s">
        <v>191</v>
      </c>
      <c r="CL1" t="s">
        <v>192</v>
      </c>
      <c r="CM1" t="s">
        <v>193</v>
      </c>
      <c r="CN1" t="s">
        <v>194</v>
      </c>
      <c r="CO1" t="s">
        <v>195</v>
      </c>
      <c r="CP1" t="s">
        <v>196</v>
      </c>
      <c r="CQ1" t="s">
        <v>197</v>
      </c>
      <c r="CR1" t="s">
        <v>198</v>
      </c>
      <c r="CS1" t="s">
        <v>199</v>
      </c>
      <c r="CT1" t="s">
        <v>200</v>
      </c>
      <c r="CU1" t="s">
        <v>201</v>
      </c>
      <c r="CV1" t="s">
        <v>202</v>
      </c>
      <c r="CW1" t="s">
        <v>203</v>
      </c>
      <c r="CX1" t="s">
        <v>204</v>
      </c>
      <c r="CY1" t="s">
        <v>205</v>
      </c>
      <c r="CZ1" t="s">
        <v>206</v>
      </c>
      <c r="DA1" t="s">
        <v>207</v>
      </c>
      <c r="DB1" t="s">
        <v>208</v>
      </c>
      <c r="DC1" t="s">
        <v>209</v>
      </c>
      <c r="DD1" t="s">
        <v>210</v>
      </c>
      <c r="DE1" t="s">
        <v>211</v>
      </c>
      <c r="DF1" t="s">
        <v>212</v>
      </c>
      <c r="DG1" t="s">
        <v>213</v>
      </c>
      <c r="DH1" t="s">
        <v>214</v>
      </c>
      <c r="DI1" t="s">
        <v>215</v>
      </c>
      <c r="DJ1" t="s">
        <v>216</v>
      </c>
      <c r="DK1" t="s">
        <v>218</v>
      </c>
      <c r="DL1" t="s">
        <v>219</v>
      </c>
      <c r="DM1" t="s">
        <v>220</v>
      </c>
      <c r="DN1" t="s">
        <v>221</v>
      </c>
      <c r="DO1" t="s">
        <v>222</v>
      </c>
      <c r="DP1" t="s">
        <v>223</v>
      </c>
      <c r="DQ1" t="s">
        <v>224</v>
      </c>
      <c r="DR1" t="s">
        <v>225</v>
      </c>
      <c r="DS1" t="s">
        <v>226</v>
      </c>
      <c r="DT1" t="s">
        <v>227</v>
      </c>
      <c r="DU1" t="s">
        <v>228</v>
      </c>
      <c r="DV1" t="s">
        <v>229</v>
      </c>
      <c r="DW1" t="s">
        <v>230</v>
      </c>
      <c r="DX1" t="s">
        <v>231</v>
      </c>
      <c r="DY1" t="s">
        <v>232</v>
      </c>
      <c r="DZ1" t="s">
        <v>233</v>
      </c>
      <c r="EA1" t="s">
        <v>234</v>
      </c>
      <c r="EB1" t="s">
        <v>235</v>
      </c>
      <c r="EC1" t="s">
        <v>236</v>
      </c>
      <c r="ED1" t="s">
        <v>237</v>
      </c>
      <c r="EE1" t="s">
        <v>238</v>
      </c>
      <c r="EF1" t="s">
        <v>239</v>
      </c>
      <c r="EG1" t="s">
        <v>240</v>
      </c>
      <c r="EH1" t="s">
        <v>241</v>
      </c>
      <c r="EI1" t="s">
        <v>242</v>
      </c>
      <c r="EJ1" t="s">
        <v>243</v>
      </c>
      <c r="EK1" t="s">
        <v>244</v>
      </c>
      <c r="EL1" t="s">
        <v>245</v>
      </c>
      <c r="EM1" t="s">
        <v>246</v>
      </c>
      <c r="EN1" t="s">
        <v>247</v>
      </c>
      <c r="EO1" t="s">
        <v>248</v>
      </c>
      <c r="EP1" t="s">
        <v>249</v>
      </c>
      <c r="EQ1" t="s">
        <v>250</v>
      </c>
      <c r="ER1" t="s">
        <v>251</v>
      </c>
      <c r="ES1" t="s">
        <v>252</v>
      </c>
      <c r="ET1" t="s">
        <v>253</v>
      </c>
      <c r="EU1" t="s">
        <v>255</v>
      </c>
      <c r="EV1" t="s">
        <v>257</v>
      </c>
      <c r="EW1" t="s">
        <v>259</v>
      </c>
      <c r="EX1" t="s">
        <v>261</v>
      </c>
      <c r="EY1" t="s">
        <v>263</v>
      </c>
      <c r="EZ1" t="s">
        <v>265</v>
      </c>
      <c r="FA1" t="s">
        <v>267</v>
      </c>
      <c r="FB1" t="s">
        <v>269</v>
      </c>
      <c r="FC1" t="s">
        <v>271</v>
      </c>
      <c r="FD1" t="s">
        <v>273</v>
      </c>
      <c r="FE1" t="s">
        <v>275</v>
      </c>
      <c r="FF1" t="s">
        <v>277</v>
      </c>
      <c r="FG1" t="s">
        <v>279</v>
      </c>
      <c r="FH1" t="s">
        <v>281</v>
      </c>
      <c r="FI1" t="s">
        <v>283</v>
      </c>
      <c r="FJ1" t="s">
        <v>285</v>
      </c>
      <c r="FK1" t="s">
        <v>287</v>
      </c>
      <c r="FL1" t="s">
        <v>289</v>
      </c>
      <c r="FM1" t="s">
        <v>291</v>
      </c>
      <c r="FN1" t="s">
        <v>293</v>
      </c>
      <c r="FO1" t="s">
        <v>295</v>
      </c>
      <c r="FP1" t="s">
        <v>297</v>
      </c>
      <c r="FQ1" t="s">
        <v>299</v>
      </c>
      <c r="FR1" t="s">
        <v>301</v>
      </c>
      <c r="FS1" t="s">
        <v>303</v>
      </c>
      <c r="FT1" t="s">
        <v>305</v>
      </c>
      <c r="FU1" t="s">
        <v>307</v>
      </c>
      <c r="FV1" t="s">
        <v>309</v>
      </c>
      <c r="FW1" t="s">
        <v>311</v>
      </c>
      <c r="FX1" t="s">
        <v>313</v>
      </c>
      <c r="FY1" t="s">
        <v>315</v>
      </c>
      <c r="FZ1" t="s">
        <v>317</v>
      </c>
      <c r="GA1" t="s">
        <v>319</v>
      </c>
      <c r="GB1" t="s">
        <v>321</v>
      </c>
      <c r="GC1" t="s">
        <v>323</v>
      </c>
      <c r="GD1" t="s">
        <v>325</v>
      </c>
      <c r="GE1" t="s">
        <v>327</v>
      </c>
      <c r="GF1" t="s">
        <v>329</v>
      </c>
      <c r="GG1" t="s">
        <v>331</v>
      </c>
      <c r="GH1" t="s">
        <v>333</v>
      </c>
      <c r="GI1" t="s">
        <v>335</v>
      </c>
      <c r="GJ1" t="s">
        <v>336</v>
      </c>
      <c r="GK1" t="s">
        <v>338</v>
      </c>
      <c r="GL1" t="s">
        <v>340</v>
      </c>
      <c r="GM1" t="s">
        <v>342</v>
      </c>
      <c r="GN1" t="s">
        <v>344</v>
      </c>
      <c r="GO1" t="s">
        <v>346</v>
      </c>
      <c r="GP1" t="s">
        <v>348</v>
      </c>
      <c r="GQ1" t="s">
        <v>350</v>
      </c>
      <c r="GR1" t="s">
        <v>352</v>
      </c>
      <c r="GS1" t="s">
        <v>354</v>
      </c>
      <c r="GT1" t="s">
        <v>356</v>
      </c>
      <c r="GU1" t="s">
        <v>358</v>
      </c>
      <c r="GV1" t="s">
        <v>360</v>
      </c>
      <c r="GW1" t="s">
        <v>362</v>
      </c>
      <c r="GX1" t="s">
        <v>364</v>
      </c>
      <c r="GY1" t="s">
        <v>366</v>
      </c>
      <c r="GZ1" t="s">
        <v>367</v>
      </c>
      <c r="HA1" t="s">
        <v>368</v>
      </c>
      <c r="HB1" t="s">
        <v>369</v>
      </c>
      <c r="HC1" t="s">
        <v>370</v>
      </c>
      <c r="HD1" t="s">
        <v>371</v>
      </c>
      <c r="HE1" t="s">
        <v>372</v>
      </c>
      <c r="HF1" t="s">
        <v>373</v>
      </c>
      <c r="HG1" t="s">
        <v>375</v>
      </c>
      <c r="HH1" t="s">
        <v>377</v>
      </c>
      <c r="HI1" t="s">
        <v>379</v>
      </c>
      <c r="HJ1" t="s">
        <v>381</v>
      </c>
      <c r="HK1" t="s">
        <v>383</v>
      </c>
      <c r="HL1" t="s">
        <v>385</v>
      </c>
      <c r="HM1" t="s">
        <v>387</v>
      </c>
      <c r="HN1" t="s">
        <v>389</v>
      </c>
      <c r="HO1" t="s">
        <v>391</v>
      </c>
      <c r="HP1" t="s">
        <v>393</v>
      </c>
      <c r="HQ1" t="s">
        <v>395</v>
      </c>
      <c r="HR1" t="s">
        <v>397</v>
      </c>
      <c r="HS1" t="s">
        <v>399</v>
      </c>
      <c r="HT1" t="s">
        <v>401</v>
      </c>
      <c r="HU1" t="s">
        <v>403</v>
      </c>
      <c r="HV1" t="s">
        <v>405</v>
      </c>
      <c r="HW1" t="s">
        <v>407</v>
      </c>
      <c r="HX1" t="s">
        <v>409</v>
      </c>
      <c r="HY1" t="s">
        <v>411</v>
      </c>
      <c r="HZ1" t="s">
        <v>413</v>
      </c>
      <c r="IA1" t="s">
        <v>415</v>
      </c>
      <c r="IB1" t="s">
        <v>417</v>
      </c>
      <c r="IC1" t="s">
        <v>419</v>
      </c>
      <c r="ID1" t="s">
        <v>421</v>
      </c>
      <c r="IE1" t="s">
        <v>423</v>
      </c>
      <c r="IF1" t="s">
        <v>425</v>
      </c>
      <c r="IG1" t="s">
        <v>427</v>
      </c>
      <c r="IH1" t="s">
        <v>429</v>
      </c>
      <c r="II1" t="s">
        <v>431</v>
      </c>
      <c r="IJ1" t="s">
        <v>433</v>
      </c>
      <c r="IK1" t="s">
        <v>435</v>
      </c>
      <c r="IL1" t="s">
        <v>437</v>
      </c>
      <c r="IM1" t="s">
        <v>439</v>
      </c>
      <c r="IN1" t="s">
        <v>441</v>
      </c>
      <c r="IO1" t="s">
        <v>443</v>
      </c>
      <c r="IP1" t="s">
        <v>444</v>
      </c>
      <c r="IQ1" t="s">
        <v>445</v>
      </c>
      <c r="IR1" t="s">
        <v>446</v>
      </c>
      <c r="IS1" t="s">
        <v>447</v>
      </c>
      <c r="IT1" t="s">
        <v>448</v>
      </c>
      <c r="IU1" t="s">
        <v>449</v>
      </c>
      <c r="IV1" t="s">
        <v>451</v>
      </c>
      <c r="IW1" t="s">
        <v>454</v>
      </c>
      <c r="IX1" t="s">
        <v>456</v>
      </c>
      <c r="IY1" t="s">
        <v>458</v>
      </c>
      <c r="IZ1" t="s">
        <v>459</v>
      </c>
      <c r="JA1" t="s">
        <v>461</v>
      </c>
      <c r="JB1" t="s">
        <v>463</v>
      </c>
      <c r="JC1" t="s">
        <v>465</v>
      </c>
      <c r="JD1" t="s">
        <v>1414</v>
      </c>
      <c r="JE1" t="s">
        <v>1415</v>
      </c>
      <c r="JF1" t="s">
        <v>1416</v>
      </c>
      <c r="JG1" t="s">
        <v>1417</v>
      </c>
      <c r="JH1" t="s">
        <v>1418</v>
      </c>
      <c r="JI1" t="s">
        <v>1419</v>
      </c>
      <c r="JJ1" t="s">
        <v>1420</v>
      </c>
      <c r="JK1" t="s">
        <v>1421</v>
      </c>
      <c r="JL1" t="s">
        <v>1422</v>
      </c>
      <c r="JM1" t="s">
        <v>1423</v>
      </c>
      <c r="JN1" t="s">
        <v>1424</v>
      </c>
      <c r="JO1" t="s">
        <v>1425</v>
      </c>
      <c r="JP1" t="s">
        <v>1426</v>
      </c>
      <c r="JQ1" t="s">
        <v>1427</v>
      </c>
      <c r="JR1" t="s">
        <v>1428</v>
      </c>
      <c r="JS1" t="s">
        <v>1429</v>
      </c>
      <c r="JT1" t="s">
        <v>1430</v>
      </c>
      <c r="JU1" t="s">
        <v>1431</v>
      </c>
      <c r="JV1" t="s">
        <v>1432</v>
      </c>
      <c r="JW1" t="s">
        <v>1433</v>
      </c>
      <c r="JX1" t="s">
        <v>1434</v>
      </c>
      <c r="JY1" t="s">
        <v>1435</v>
      </c>
      <c r="JZ1" t="s">
        <v>1436</v>
      </c>
      <c r="KA1" t="s">
        <v>1437</v>
      </c>
      <c r="KB1" t="s">
        <v>1438</v>
      </c>
      <c r="KC1" t="s">
        <v>1439</v>
      </c>
      <c r="KD1" t="s">
        <v>1440</v>
      </c>
      <c r="KE1" t="s">
        <v>1441</v>
      </c>
      <c r="KF1" t="s">
        <v>1442</v>
      </c>
      <c r="KG1" t="s">
        <v>1443</v>
      </c>
      <c r="KH1" t="s">
        <v>1444</v>
      </c>
      <c r="KI1" t="s">
        <v>1445</v>
      </c>
      <c r="KJ1" t="s">
        <v>1446</v>
      </c>
      <c r="KK1" t="s">
        <v>1447</v>
      </c>
      <c r="KL1" t="s">
        <v>1448</v>
      </c>
      <c r="KM1" t="s">
        <v>1449</v>
      </c>
      <c r="KN1" t="s">
        <v>1450</v>
      </c>
      <c r="KO1" t="s">
        <v>1451</v>
      </c>
      <c r="KP1" t="s">
        <v>1452</v>
      </c>
      <c r="KQ1" t="s">
        <v>1453</v>
      </c>
      <c r="KR1" t="s">
        <v>1454</v>
      </c>
      <c r="KS1" t="s">
        <v>1455</v>
      </c>
      <c r="KT1" t="s">
        <v>1456</v>
      </c>
      <c r="KU1" t="s">
        <v>1457</v>
      </c>
      <c r="KV1" t="s">
        <v>1458</v>
      </c>
      <c r="KW1" t="s">
        <v>1459</v>
      </c>
      <c r="KX1" t="s">
        <v>1460</v>
      </c>
      <c r="KY1" t="s">
        <v>1461</v>
      </c>
      <c r="KZ1" t="s">
        <v>1462</v>
      </c>
      <c r="LA1" t="s">
        <v>1463</v>
      </c>
      <c r="LB1" t="s">
        <v>1464</v>
      </c>
      <c r="LC1" t="s">
        <v>1465</v>
      </c>
      <c r="LD1" t="s">
        <v>1466</v>
      </c>
      <c r="LE1" t="s">
        <v>1467</v>
      </c>
      <c r="LF1" t="s">
        <v>1468</v>
      </c>
      <c r="LG1" t="s">
        <v>1469</v>
      </c>
      <c r="LH1" t="s">
        <v>1470</v>
      </c>
      <c r="LI1" t="s">
        <v>1471</v>
      </c>
      <c r="LJ1" t="s">
        <v>1472</v>
      </c>
      <c r="LK1" t="s">
        <v>1473</v>
      </c>
      <c r="LL1" t="s">
        <v>1474</v>
      </c>
      <c r="LM1" t="s">
        <v>1475</v>
      </c>
      <c r="LN1" t="s">
        <v>1476</v>
      </c>
      <c r="LO1" t="s">
        <v>1477</v>
      </c>
      <c r="LP1" t="s">
        <v>1478</v>
      </c>
      <c r="LQ1" t="s">
        <v>1479</v>
      </c>
      <c r="LR1" t="s">
        <v>1480</v>
      </c>
      <c r="LS1" t="s">
        <v>1481</v>
      </c>
      <c r="LT1" t="s">
        <v>1482</v>
      </c>
      <c r="LU1" t="s">
        <v>1483</v>
      </c>
      <c r="LV1" t="s">
        <v>1484</v>
      </c>
      <c r="LW1" t="s">
        <v>1485</v>
      </c>
      <c r="LX1" t="s">
        <v>1486</v>
      </c>
      <c r="LY1" t="s">
        <v>1487</v>
      </c>
      <c r="LZ1" t="s">
        <v>1488</v>
      </c>
      <c r="MA1" t="s">
        <v>1489</v>
      </c>
      <c r="MB1" t="s">
        <v>1490</v>
      </c>
      <c r="MC1" t="s">
        <v>1491</v>
      </c>
      <c r="MD1" t="s">
        <v>1492</v>
      </c>
      <c r="ME1" t="s">
        <v>1493</v>
      </c>
      <c r="MF1" t="s">
        <v>1494</v>
      </c>
      <c r="MG1" t="s">
        <v>1495</v>
      </c>
      <c r="MH1" t="s">
        <v>1496</v>
      </c>
      <c r="MI1" t="s">
        <v>1497</v>
      </c>
      <c r="MJ1" t="s">
        <v>1498</v>
      </c>
      <c r="MK1" t="s">
        <v>1499</v>
      </c>
      <c r="ML1" t="s">
        <v>1500</v>
      </c>
      <c r="MM1" t="s">
        <v>1501</v>
      </c>
      <c r="MN1" t="s">
        <v>1502</v>
      </c>
      <c r="MO1" t="s">
        <v>1503</v>
      </c>
      <c r="MP1" t="s">
        <v>1504</v>
      </c>
      <c r="MQ1" t="s">
        <v>1505</v>
      </c>
      <c r="MR1" t="s">
        <v>1506</v>
      </c>
      <c r="MS1" t="s">
        <v>1507</v>
      </c>
      <c r="MT1" t="s">
        <v>1508</v>
      </c>
      <c r="MU1" t="s">
        <v>1509</v>
      </c>
      <c r="MV1" t="s">
        <v>1510</v>
      </c>
      <c r="MW1" t="s">
        <v>1511</v>
      </c>
      <c r="MX1" t="s">
        <v>1512</v>
      </c>
      <c r="MY1" t="s">
        <v>1513</v>
      </c>
      <c r="MZ1" t="s">
        <v>1514</v>
      </c>
      <c r="NA1" t="s">
        <v>1515</v>
      </c>
      <c r="NB1" t="s">
        <v>1516</v>
      </c>
      <c r="NC1" t="s">
        <v>1517</v>
      </c>
      <c r="ND1" t="s">
        <v>1518</v>
      </c>
      <c r="NE1" t="s">
        <v>1519</v>
      </c>
      <c r="NF1" t="s">
        <v>1520</v>
      </c>
      <c r="NG1" t="s">
        <v>1521</v>
      </c>
      <c r="NH1" t="s">
        <v>1522</v>
      </c>
      <c r="NI1" t="s">
        <v>1523</v>
      </c>
      <c r="NJ1" t="s">
        <v>1524</v>
      </c>
      <c r="NK1" t="s">
        <v>1525</v>
      </c>
      <c r="NL1" t="s">
        <v>1526</v>
      </c>
      <c r="NM1" t="s">
        <v>1527</v>
      </c>
      <c r="NN1" t="s">
        <v>1528</v>
      </c>
      <c r="NO1" t="s">
        <v>1529</v>
      </c>
      <c r="NP1" t="s">
        <v>1530</v>
      </c>
      <c r="NQ1" t="s">
        <v>1531</v>
      </c>
      <c r="NR1" t="s">
        <v>1532</v>
      </c>
      <c r="NS1" t="s">
        <v>1533</v>
      </c>
      <c r="NT1" t="s">
        <v>1534</v>
      </c>
      <c r="NU1" t="s">
        <v>1535</v>
      </c>
      <c r="NV1" t="s">
        <v>1536</v>
      </c>
      <c r="NW1" t="s">
        <v>1537</v>
      </c>
      <c r="NX1" t="s">
        <v>1538</v>
      </c>
      <c r="NY1" t="s">
        <v>1539</v>
      </c>
      <c r="NZ1" t="s">
        <v>1540</v>
      </c>
      <c r="OA1" t="s">
        <v>1541</v>
      </c>
      <c r="OB1" t="s">
        <v>1542</v>
      </c>
      <c r="OC1" t="s">
        <v>1543</v>
      </c>
      <c r="OD1" t="s">
        <v>1544</v>
      </c>
      <c r="OE1" t="s">
        <v>1545</v>
      </c>
      <c r="OF1" t="s">
        <v>1546</v>
      </c>
      <c r="OG1" t="s">
        <v>1547</v>
      </c>
      <c r="OH1" t="s">
        <v>1548</v>
      </c>
      <c r="OI1" t="s">
        <v>1549</v>
      </c>
      <c r="OJ1" t="s">
        <v>1550</v>
      </c>
      <c r="OK1" t="s">
        <v>1551</v>
      </c>
      <c r="OL1" t="s">
        <v>1552</v>
      </c>
      <c r="OM1" t="s">
        <v>1553</v>
      </c>
      <c r="ON1" t="s">
        <v>1554</v>
      </c>
      <c r="OO1" t="s">
        <v>1555</v>
      </c>
      <c r="OP1" t="s">
        <v>1556</v>
      </c>
      <c r="OQ1" t="s">
        <v>1557</v>
      </c>
      <c r="OR1" t="s">
        <v>1558</v>
      </c>
      <c r="OS1" t="s">
        <v>1559</v>
      </c>
      <c r="OT1" t="s">
        <v>1560</v>
      </c>
      <c r="OU1" t="s">
        <v>1561</v>
      </c>
      <c r="OV1" t="s">
        <v>1562</v>
      </c>
      <c r="OW1" t="s">
        <v>1563</v>
      </c>
      <c r="OX1" t="s">
        <v>1564</v>
      </c>
      <c r="OY1" t="s">
        <v>1565</v>
      </c>
      <c r="OZ1" t="s">
        <v>1566</v>
      </c>
      <c r="PA1" t="s">
        <v>1567</v>
      </c>
      <c r="PB1" t="s">
        <v>1568</v>
      </c>
      <c r="PC1" t="s">
        <v>1569</v>
      </c>
      <c r="PD1" t="s">
        <v>1570</v>
      </c>
      <c r="PE1" t="s">
        <v>1571</v>
      </c>
      <c r="PF1" t="s">
        <v>1572</v>
      </c>
      <c r="PG1" t="s">
        <v>1573</v>
      </c>
      <c r="PH1" t="s">
        <v>1574</v>
      </c>
      <c r="PI1" t="s">
        <v>1575</v>
      </c>
      <c r="PJ1" t="s">
        <v>1576</v>
      </c>
      <c r="PK1" t="s">
        <v>1577</v>
      </c>
      <c r="PL1" t="s">
        <v>1578</v>
      </c>
      <c r="PM1" t="s">
        <v>1579</v>
      </c>
      <c r="PN1" t="s">
        <v>1580</v>
      </c>
      <c r="PO1" t="s">
        <v>1581</v>
      </c>
      <c r="PP1" t="s">
        <v>1582</v>
      </c>
      <c r="PQ1" t="s">
        <v>1583</v>
      </c>
      <c r="PR1" t="s">
        <v>1584</v>
      </c>
      <c r="PS1" t="s">
        <v>1585</v>
      </c>
      <c r="PT1" t="s">
        <v>1586</v>
      </c>
      <c r="PU1" t="s">
        <v>1587</v>
      </c>
      <c r="PV1" t="s">
        <v>1588</v>
      </c>
      <c r="PW1" t="s">
        <v>1589</v>
      </c>
      <c r="PX1" t="s">
        <v>1590</v>
      </c>
      <c r="PY1" t="s">
        <v>1591</v>
      </c>
      <c r="PZ1" t="s">
        <v>1592</v>
      </c>
      <c r="QA1" t="s">
        <v>1593</v>
      </c>
      <c r="QB1" t="s">
        <v>1594</v>
      </c>
      <c r="QC1" t="s">
        <v>1595</v>
      </c>
      <c r="QD1" t="s">
        <v>1596</v>
      </c>
      <c r="QE1" t="s">
        <v>1597</v>
      </c>
      <c r="QF1" t="s">
        <v>1598</v>
      </c>
      <c r="QG1" t="s">
        <v>1599</v>
      </c>
      <c r="QH1" t="s">
        <v>1600</v>
      </c>
      <c r="QI1" t="s">
        <v>1601</v>
      </c>
      <c r="QJ1" t="s">
        <v>1602</v>
      </c>
      <c r="QK1" t="s">
        <v>1603</v>
      </c>
      <c r="QL1" t="s">
        <v>1604</v>
      </c>
      <c r="QM1" t="s">
        <v>1605</v>
      </c>
      <c r="QN1" t="s">
        <v>1606</v>
      </c>
      <c r="QO1" t="s">
        <v>1607</v>
      </c>
      <c r="QP1" t="s">
        <v>1608</v>
      </c>
      <c r="QQ1" t="s">
        <v>1609</v>
      </c>
      <c r="QR1" t="s">
        <v>1610</v>
      </c>
      <c r="QS1" t="s">
        <v>1611</v>
      </c>
      <c r="QT1" t="s">
        <v>1612</v>
      </c>
      <c r="QU1" t="s">
        <v>1613</v>
      </c>
      <c r="QV1" t="s">
        <v>1614</v>
      </c>
      <c r="QW1" t="s">
        <v>1615</v>
      </c>
      <c r="QX1" t="s">
        <v>1616</v>
      </c>
      <c r="QY1" t="s">
        <v>1617</v>
      </c>
      <c r="QZ1" t="s">
        <v>1618</v>
      </c>
      <c r="RA1" t="s">
        <v>1619</v>
      </c>
      <c r="RB1" t="s">
        <v>1620</v>
      </c>
      <c r="RC1" t="s">
        <v>1621</v>
      </c>
      <c r="RD1" t="s">
        <v>1622</v>
      </c>
      <c r="RE1" t="s">
        <v>1623</v>
      </c>
      <c r="RF1" t="s">
        <v>1624</v>
      </c>
      <c r="RG1" t="s">
        <v>1625</v>
      </c>
      <c r="RH1" t="s">
        <v>1626</v>
      </c>
      <c r="RI1" t="s">
        <v>1627</v>
      </c>
      <c r="RJ1" t="s">
        <v>1628</v>
      </c>
      <c r="RK1" t="s">
        <v>1629</v>
      </c>
      <c r="RL1" t="s">
        <v>1630</v>
      </c>
      <c r="RM1" t="s">
        <v>1631</v>
      </c>
      <c r="RN1" t="s">
        <v>1632</v>
      </c>
      <c r="RO1" t="s">
        <v>1633</v>
      </c>
      <c r="RP1" t="s">
        <v>1634</v>
      </c>
      <c r="RQ1" t="s">
        <v>1635</v>
      </c>
      <c r="RR1" t="s">
        <v>1636</v>
      </c>
      <c r="RS1" t="s">
        <v>1637</v>
      </c>
      <c r="RT1" t="s">
        <v>1638</v>
      </c>
      <c r="RU1" t="s">
        <v>1639</v>
      </c>
      <c r="RV1" t="s">
        <v>1640</v>
      </c>
      <c r="RW1" t="s">
        <v>1641</v>
      </c>
      <c r="RX1" t="s">
        <v>1642</v>
      </c>
      <c r="RY1" t="s">
        <v>1643</v>
      </c>
      <c r="RZ1" t="s">
        <v>1644</v>
      </c>
      <c r="SA1" t="s">
        <v>1645</v>
      </c>
      <c r="SB1" t="s">
        <v>1646</v>
      </c>
      <c r="SC1" t="s">
        <v>1647</v>
      </c>
      <c r="SD1" t="s">
        <v>1648</v>
      </c>
      <c r="SE1" t="s">
        <v>1649</v>
      </c>
      <c r="SF1" t="s">
        <v>1650</v>
      </c>
      <c r="SG1" t="s">
        <v>1651</v>
      </c>
      <c r="SH1" t="s">
        <v>1652</v>
      </c>
      <c r="SI1" t="s">
        <v>1653</v>
      </c>
      <c r="SJ1" t="s">
        <v>1654</v>
      </c>
      <c r="SK1" t="s">
        <v>1655</v>
      </c>
      <c r="SL1" t="s">
        <v>1656</v>
      </c>
      <c r="SM1" t="s">
        <v>1657</v>
      </c>
      <c r="SN1" t="s">
        <v>1658</v>
      </c>
      <c r="SO1" t="s">
        <v>1659</v>
      </c>
      <c r="SP1" t="s">
        <v>1660</v>
      </c>
      <c r="SQ1" t="s">
        <v>1661</v>
      </c>
      <c r="SR1" t="s">
        <v>1662</v>
      </c>
      <c r="SS1" t="s">
        <v>1663</v>
      </c>
      <c r="ST1" t="s">
        <v>1664</v>
      </c>
      <c r="SU1" t="s">
        <v>1665</v>
      </c>
      <c r="SV1" t="s">
        <v>1666</v>
      </c>
      <c r="SW1" t="s">
        <v>1667</v>
      </c>
      <c r="SX1" t="s">
        <v>1668</v>
      </c>
      <c r="SY1" t="s">
        <v>1669</v>
      </c>
      <c r="SZ1" t="s">
        <v>1670</v>
      </c>
      <c r="TA1" t="s">
        <v>1671</v>
      </c>
      <c r="TB1" t="s">
        <v>1672</v>
      </c>
      <c r="TC1" t="s">
        <v>1673</v>
      </c>
      <c r="TD1" t="s">
        <v>1674</v>
      </c>
      <c r="TE1" t="s">
        <v>1675</v>
      </c>
      <c r="TF1" t="s">
        <v>1676</v>
      </c>
      <c r="TG1" t="s">
        <v>1677</v>
      </c>
      <c r="TH1" t="s">
        <v>1678</v>
      </c>
      <c r="TI1" t="s">
        <v>1679</v>
      </c>
      <c r="TJ1" t="s">
        <v>1680</v>
      </c>
      <c r="TK1" t="s">
        <v>1681</v>
      </c>
      <c r="TL1" t="s">
        <v>1682</v>
      </c>
      <c r="TM1" t="s">
        <v>1683</v>
      </c>
      <c r="TN1" t="s">
        <v>1684</v>
      </c>
      <c r="TO1" t="s">
        <v>1685</v>
      </c>
      <c r="TP1" t="s">
        <v>1686</v>
      </c>
      <c r="TQ1" t="s">
        <v>1687</v>
      </c>
      <c r="TR1" t="s">
        <v>1688</v>
      </c>
      <c r="TS1" t="s">
        <v>1689</v>
      </c>
      <c r="TT1" t="s">
        <v>1690</v>
      </c>
      <c r="TU1" t="s">
        <v>1691</v>
      </c>
      <c r="TV1" t="s">
        <v>1692</v>
      </c>
      <c r="TW1" t="s">
        <v>1693</v>
      </c>
      <c r="TX1" t="s">
        <v>1694</v>
      </c>
      <c r="TY1" t="s">
        <v>1695</v>
      </c>
      <c r="TZ1" t="s">
        <v>1696</v>
      </c>
      <c r="UA1" t="s">
        <v>1697</v>
      </c>
      <c r="UB1" t="s">
        <v>1698</v>
      </c>
      <c r="UC1" t="s">
        <v>1699</v>
      </c>
      <c r="UD1" t="s">
        <v>1700</v>
      </c>
      <c r="UE1" t="s">
        <v>1701</v>
      </c>
      <c r="UF1" t="s">
        <v>1702</v>
      </c>
      <c r="UG1" t="s">
        <v>1703</v>
      </c>
      <c r="UH1" t="s">
        <v>1704</v>
      </c>
      <c r="UI1" t="s">
        <v>1705</v>
      </c>
      <c r="UJ1" t="s">
        <v>1706</v>
      </c>
      <c r="UK1" t="s">
        <v>1707</v>
      </c>
      <c r="UL1" t="s">
        <v>1708</v>
      </c>
      <c r="UM1" t="s">
        <v>1709</v>
      </c>
      <c r="UN1" t="s">
        <v>1710</v>
      </c>
      <c r="UO1" t="s">
        <v>1711</v>
      </c>
      <c r="UP1" t="s">
        <v>1712</v>
      </c>
      <c r="UQ1" t="s">
        <v>1713</v>
      </c>
      <c r="UR1" t="s">
        <v>1714</v>
      </c>
      <c r="US1" t="s">
        <v>1715</v>
      </c>
      <c r="UT1" t="s">
        <v>1716</v>
      </c>
      <c r="UU1" t="s">
        <v>1717</v>
      </c>
      <c r="UV1" t="s">
        <v>1718</v>
      </c>
      <c r="UW1" t="s">
        <v>1719</v>
      </c>
      <c r="UX1" t="s">
        <v>1720</v>
      </c>
      <c r="UY1" t="s">
        <v>1721</v>
      </c>
      <c r="UZ1" t="s">
        <v>1722</v>
      </c>
      <c r="VA1" t="s">
        <v>1723</v>
      </c>
      <c r="VB1" t="s">
        <v>1724</v>
      </c>
      <c r="VC1" t="s">
        <v>1725</v>
      </c>
      <c r="VD1" t="s">
        <v>1726</v>
      </c>
      <c r="VE1" t="s">
        <v>1727</v>
      </c>
      <c r="VF1" t="s">
        <v>1728</v>
      </c>
      <c r="VG1" t="s">
        <v>1729</v>
      </c>
      <c r="VH1" t="s">
        <v>1730</v>
      </c>
      <c r="VI1" t="s">
        <v>1731</v>
      </c>
      <c r="VJ1" t="s">
        <v>1732</v>
      </c>
      <c r="VK1" t="s">
        <v>1733</v>
      </c>
      <c r="VL1" t="s">
        <v>1734</v>
      </c>
      <c r="VM1" t="s">
        <v>1735</v>
      </c>
      <c r="VN1" t="s">
        <v>1736</v>
      </c>
      <c r="VO1" t="s">
        <v>1737</v>
      </c>
      <c r="VP1" t="s">
        <v>1738</v>
      </c>
      <c r="VQ1" t="s">
        <v>1739</v>
      </c>
      <c r="VR1" t="s">
        <v>1740</v>
      </c>
      <c r="VS1" t="s">
        <v>1741</v>
      </c>
      <c r="VT1" t="s">
        <v>1742</v>
      </c>
      <c r="VU1" t="s">
        <v>1743</v>
      </c>
      <c r="VV1" t="s">
        <v>1744</v>
      </c>
      <c r="VW1" t="s">
        <v>1745</v>
      </c>
      <c r="VX1" t="s">
        <v>1746</v>
      </c>
      <c r="VY1" t="s">
        <v>1747</v>
      </c>
      <c r="VZ1" t="s">
        <v>1748</v>
      </c>
      <c r="WA1" t="s">
        <v>1749</v>
      </c>
      <c r="WB1" t="s">
        <v>1750</v>
      </c>
      <c r="WC1" t="s">
        <v>1751</v>
      </c>
      <c r="WD1" t="s">
        <v>1752</v>
      </c>
      <c r="WE1" t="s">
        <v>1753</v>
      </c>
      <c r="WF1" t="s">
        <v>1754</v>
      </c>
      <c r="WG1" t="s">
        <v>1755</v>
      </c>
      <c r="WH1" t="s">
        <v>1756</v>
      </c>
      <c r="WI1" t="s">
        <v>1757</v>
      </c>
      <c r="WJ1" t="s">
        <v>1758</v>
      </c>
      <c r="WK1" t="s">
        <v>1759</v>
      </c>
      <c r="WL1" t="s">
        <v>1760</v>
      </c>
      <c r="WM1" t="s">
        <v>1761</v>
      </c>
      <c r="WN1" t="s">
        <v>1762</v>
      </c>
      <c r="WO1" t="s">
        <v>1763</v>
      </c>
      <c r="WP1" t="s">
        <v>1764</v>
      </c>
      <c r="WQ1" t="s">
        <v>1765</v>
      </c>
      <c r="WR1" t="s">
        <v>1766</v>
      </c>
      <c r="WS1" t="s">
        <v>1767</v>
      </c>
      <c r="WT1" t="s">
        <v>1768</v>
      </c>
      <c r="WU1" t="s">
        <v>1769</v>
      </c>
      <c r="WV1" t="s">
        <v>1770</v>
      </c>
      <c r="WW1" t="s">
        <v>1771</v>
      </c>
      <c r="WX1" t="s">
        <v>1772</v>
      </c>
      <c r="WY1" t="s">
        <v>1773</v>
      </c>
      <c r="WZ1" t="s">
        <v>1774</v>
      </c>
      <c r="XA1" t="s">
        <v>1775</v>
      </c>
      <c r="XB1" t="s">
        <v>1776</v>
      </c>
      <c r="XC1" t="s">
        <v>1777</v>
      </c>
      <c r="XD1" t="s">
        <v>1778</v>
      </c>
      <c r="XE1" t="s">
        <v>1779</v>
      </c>
      <c r="XF1" t="s">
        <v>1780</v>
      </c>
      <c r="XG1" t="s">
        <v>1781</v>
      </c>
      <c r="XH1" t="s">
        <v>1782</v>
      </c>
      <c r="XI1" t="s">
        <v>1783</v>
      </c>
      <c r="XJ1" t="s">
        <v>1784</v>
      </c>
      <c r="XK1" t="s">
        <v>1785</v>
      </c>
      <c r="XL1" t="s">
        <v>1786</v>
      </c>
      <c r="XM1" t="s">
        <v>1787</v>
      </c>
      <c r="XN1" t="s">
        <v>1788</v>
      </c>
      <c r="XO1" t="s">
        <v>1789</v>
      </c>
      <c r="XP1" t="s">
        <v>1790</v>
      </c>
      <c r="XQ1" t="s">
        <v>1791</v>
      </c>
      <c r="XR1" t="s">
        <v>1792</v>
      </c>
      <c r="XS1" t="s">
        <v>1793</v>
      </c>
      <c r="XT1" t="s">
        <v>1794</v>
      </c>
      <c r="XU1" t="s">
        <v>1795</v>
      </c>
      <c r="XV1" t="s">
        <v>1796</v>
      </c>
      <c r="XW1" t="s">
        <v>1797</v>
      </c>
      <c r="XX1" t="s">
        <v>1798</v>
      </c>
      <c r="XY1" t="s">
        <v>1799</v>
      </c>
      <c r="XZ1" t="s">
        <v>1800</v>
      </c>
      <c r="YA1" t="s">
        <v>1801</v>
      </c>
      <c r="YB1" t="s">
        <v>1802</v>
      </c>
      <c r="YC1" t="s">
        <v>1803</v>
      </c>
      <c r="YD1" t="s">
        <v>1804</v>
      </c>
      <c r="YE1" t="s">
        <v>1805</v>
      </c>
      <c r="YF1" t="s">
        <v>1806</v>
      </c>
      <c r="YG1" t="s">
        <v>1807</v>
      </c>
      <c r="YH1" t="s">
        <v>1808</v>
      </c>
      <c r="YI1" t="s">
        <v>1809</v>
      </c>
      <c r="YJ1" t="s">
        <v>1810</v>
      </c>
      <c r="YK1" t="s">
        <v>1811</v>
      </c>
      <c r="YL1" t="s">
        <v>1812</v>
      </c>
      <c r="YM1" t="s">
        <v>1813</v>
      </c>
      <c r="YN1" t="s">
        <v>1814</v>
      </c>
      <c r="YO1" t="s">
        <v>1815</v>
      </c>
      <c r="YP1" t="s">
        <v>1816</v>
      </c>
      <c r="YQ1" t="s">
        <v>1817</v>
      </c>
      <c r="YR1" t="s">
        <v>1818</v>
      </c>
      <c r="YS1" t="s">
        <v>1819</v>
      </c>
      <c r="YT1" t="s">
        <v>1820</v>
      </c>
      <c r="YU1" t="s">
        <v>1821</v>
      </c>
      <c r="YV1" t="s">
        <v>1822</v>
      </c>
      <c r="YW1" t="s">
        <v>1823</v>
      </c>
      <c r="YX1" t="s">
        <v>1824</v>
      </c>
      <c r="YY1" t="s">
        <v>1825</v>
      </c>
      <c r="YZ1" t="s">
        <v>1826</v>
      </c>
      <c r="ZA1" t="s">
        <v>1827</v>
      </c>
      <c r="ZB1" t="s">
        <v>1828</v>
      </c>
      <c r="ZC1" t="s">
        <v>1829</v>
      </c>
      <c r="ZD1" t="s">
        <v>1830</v>
      </c>
      <c r="ZE1" t="s">
        <v>1831</v>
      </c>
      <c r="ZF1" t="s">
        <v>1832</v>
      </c>
      <c r="ZG1" t="s">
        <v>1833</v>
      </c>
      <c r="ZH1" t="s">
        <v>1834</v>
      </c>
      <c r="ZI1" t="s">
        <v>1835</v>
      </c>
      <c r="ZJ1" t="s">
        <v>1836</v>
      </c>
      <c r="ZK1" t="s">
        <v>1837</v>
      </c>
      <c r="ZL1" t="s">
        <v>1838</v>
      </c>
      <c r="ZM1" t="s">
        <v>1839</v>
      </c>
      <c r="ZN1" t="s">
        <v>1840</v>
      </c>
      <c r="ZO1" t="s">
        <v>1841</v>
      </c>
      <c r="ZP1" t="s">
        <v>1842</v>
      </c>
      <c r="ZQ1" t="s">
        <v>1843</v>
      </c>
      <c r="ZR1" t="s">
        <v>1844</v>
      </c>
      <c r="ZS1" t="s">
        <v>1845</v>
      </c>
      <c r="ZT1" t="s">
        <v>1846</v>
      </c>
      <c r="ZU1" t="s">
        <v>1847</v>
      </c>
      <c r="ZV1" t="s">
        <v>1848</v>
      </c>
      <c r="ZW1" t="s">
        <v>1849</v>
      </c>
      <c r="ZX1" t="s">
        <v>1850</v>
      </c>
      <c r="ZY1" t="s">
        <v>1851</v>
      </c>
      <c r="ZZ1" t="s">
        <v>1852</v>
      </c>
      <c r="AAA1" t="s">
        <v>1853</v>
      </c>
      <c r="AAB1" t="s">
        <v>1854</v>
      </c>
      <c r="AAC1" t="s">
        <v>1855</v>
      </c>
      <c r="AAD1" t="s">
        <v>1856</v>
      </c>
      <c r="AAE1" t="s">
        <v>1857</v>
      </c>
      <c r="AAF1" t="s">
        <v>1858</v>
      </c>
      <c r="AAG1" t="s">
        <v>1859</v>
      </c>
      <c r="AAH1" t="s">
        <v>1860</v>
      </c>
      <c r="AAI1" t="s">
        <v>1861</v>
      </c>
      <c r="AAJ1" t="s">
        <v>1862</v>
      </c>
      <c r="AAK1" t="s">
        <v>1863</v>
      </c>
      <c r="AAL1" t="s">
        <v>1864</v>
      </c>
      <c r="AAM1" t="s">
        <v>1865</v>
      </c>
      <c r="AAN1" t="s">
        <v>1866</v>
      </c>
      <c r="AAO1" t="s">
        <v>1867</v>
      </c>
      <c r="AAP1" t="s">
        <v>1868</v>
      </c>
      <c r="AAQ1" t="s">
        <v>1869</v>
      </c>
      <c r="AAR1" t="s">
        <v>1870</v>
      </c>
      <c r="AAS1" t="s">
        <v>1871</v>
      </c>
      <c r="AAT1" t="s">
        <v>1872</v>
      </c>
      <c r="AAU1" t="s">
        <v>1873</v>
      </c>
      <c r="AAV1" t="s">
        <v>1874</v>
      </c>
      <c r="AAW1" t="s">
        <v>1875</v>
      </c>
      <c r="AAX1" t="s">
        <v>1876</v>
      </c>
      <c r="AAY1" t="s">
        <v>1877</v>
      </c>
      <c r="AAZ1" t="s">
        <v>1878</v>
      </c>
      <c r="ABA1" t="s">
        <v>1879</v>
      </c>
      <c r="ABB1" t="s">
        <v>1880</v>
      </c>
      <c r="ABC1" t="s">
        <v>1881</v>
      </c>
      <c r="ABD1" t="s">
        <v>1882</v>
      </c>
      <c r="ABE1" t="s">
        <v>1883</v>
      </c>
      <c r="ABF1" t="s">
        <v>1884</v>
      </c>
      <c r="ABG1" t="s">
        <v>1885</v>
      </c>
      <c r="ABH1" t="s">
        <v>1886</v>
      </c>
      <c r="ABI1" t="s">
        <v>1887</v>
      </c>
      <c r="ABJ1" t="s">
        <v>1888</v>
      </c>
      <c r="ABK1" t="s">
        <v>1889</v>
      </c>
      <c r="ABL1" t="s">
        <v>1890</v>
      </c>
      <c r="ABM1" t="s">
        <v>1891</v>
      </c>
      <c r="ABN1" t="s">
        <v>1892</v>
      </c>
      <c r="ABO1" t="s">
        <v>1893</v>
      </c>
      <c r="ABP1" t="s">
        <v>1894</v>
      </c>
      <c r="ABQ1" t="s">
        <v>1895</v>
      </c>
      <c r="ABR1" t="s">
        <v>1896</v>
      </c>
      <c r="ABS1" t="s">
        <v>1897</v>
      </c>
      <c r="ABT1" t="s">
        <v>1898</v>
      </c>
      <c r="ABU1" t="s">
        <v>1899</v>
      </c>
      <c r="ABV1" t="s">
        <v>1900</v>
      </c>
      <c r="ABW1" t="s">
        <v>1901</v>
      </c>
      <c r="ABX1" t="s">
        <v>1902</v>
      </c>
      <c r="ABY1" t="s">
        <v>1903</v>
      </c>
      <c r="ABZ1" t="s">
        <v>1904</v>
      </c>
      <c r="ACA1" t="s">
        <v>1905</v>
      </c>
      <c r="ACB1" t="s">
        <v>1906</v>
      </c>
      <c r="ACC1" t="s">
        <v>1907</v>
      </c>
      <c r="ACD1" t="s">
        <v>1908</v>
      </c>
      <c r="ACE1" t="s">
        <v>1909</v>
      </c>
      <c r="ACF1" t="s">
        <v>1910</v>
      </c>
      <c r="ACG1" t="s">
        <v>1911</v>
      </c>
      <c r="ACH1" t="s">
        <v>1912</v>
      </c>
      <c r="ACI1" t="s">
        <v>1913</v>
      </c>
      <c r="ACJ1" t="s">
        <v>1914</v>
      </c>
      <c r="ACK1" t="s">
        <v>1915</v>
      </c>
      <c r="ACL1" t="s">
        <v>1916</v>
      </c>
      <c r="ACM1" t="s">
        <v>1917</v>
      </c>
      <c r="ACN1" t="s">
        <v>1918</v>
      </c>
      <c r="ACO1" t="s">
        <v>1919</v>
      </c>
      <c r="ACP1" t="s">
        <v>1920</v>
      </c>
      <c r="ACQ1" t="s">
        <v>1921</v>
      </c>
      <c r="ACR1" t="s">
        <v>1922</v>
      </c>
      <c r="ACS1" t="s">
        <v>1923</v>
      </c>
      <c r="ACT1" t="s">
        <v>1924</v>
      </c>
      <c r="ACU1" t="s">
        <v>1925</v>
      </c>
      <c r="ACV1" t="s">
        <v>1926</v>
      </c>
      <c r="ACW1" t="s">
        <v>1927</v>
      </c>
      <c r="ACX1" t="s">
        <v>1928</v>
      </c>
      <c r="ACY1" t="s">
        <v>1929</v>
      </c>
      <c r="ACZ1" t="s">
        <v>1930</v>
      </c>
      <c r="ADA1" t="s">
        <v>1931</v>
      </c>
      <c r="ADB1" t="s">
        <v>1932</v>
      </c>
      <c r="ADC1" t="s">
        <v>1933</v>
      </c>
      <c r="ADD1" t="s">
        <v>1934</v>
      </c>
      <c r="ADE1" t="s">
        <v>1935</v>
      </c>
      <c r="ADF1" t="s">
        <v>1936</v>
      </c>
      <c r="ADG1" t="s">
        <v>1937</v>
      </c>
      <c r="ADH1" t="s">
        <v>1938</v>
      </c>
      <c r="ADI1" t="s">
        <v>1939</v>
      </c>
      <c r="ADJ1" t="s">
        <v>1940</v>
      </c>
      <c r="ADK1" t="s">
        <v>1941</v>
      </c>
      <c r="ADL1" t="s">
        <v>1942</v>
      </c>
      <c r="ADM1" t="s">
        <v>1943</v>
      </c>
      <c r="ADN1" t="s">
        <v>1944</v>
      </c>
      <c r="ADO1" t="s">
        <v>1945</v>
      </c>
      <c r="ADP1" t="s">
        <v>1946</v>
      </c>
      <c r="ADQ1" t="s">
        <v>1947</v>
      </c>
      <c r="ADR1" t="s">
        <v>1948</v>
      </c>
      <c r="ADS1" t="s">
        <v>1949</v>
      </c>
      <c r="ADT1" t="s">
        <v>1950</v>
      </c>
      <c r="ADU1" t="s">
        <v>1951</v>
      </c>
      <c r="ADV1" t="s">
        <v>1952</v>
      </c>
      <c r="ADW1" t="s">
        <v>1953</v>
      </c>
      <c r="ADX1" t="s">
        <v>1954</v>
      </c>
      <c r="ADY1" t="s">
        <v>1955</v>
      </c>
      <c r="ADZ1" t="s">
        <v>1956</v>
      </c>
      <c r="AEA1" t="s">
        <v>1957</v>
      </c>
      <c r="AEB1" t="s">
        <v>1958</v>
      </c>
      <c r="AEC1" t="s">
        <v>1959</v>
      </c>
      <c r="AED1" t="s">
        <v>1960</v>
      </c>
      <c r="AEE1" t="s">
        <v>1961</v>
      </c>
      <c r="AEF1" t="s">
        <v>1962</v>
      </c>
      <c r="AEG1" t="s">
        <v>1963</v>
      </c>
      <c r="AEH1" t="s">
        <v>1964</v>
      </c>
      <c r="AEI1" t="s">
        <v>1965</v>
      </c>
      <c r="AEJ1" t="s">
        <v>1966</v>
      </c>
      <c r="AEK1" t="s">
        <v>1967</v>
      </c>
      <c r="AEL1" t="s">
        <v>1968</v>
      </c>
      <c r="AEM1" t="s">
        <v>1969</v>
      </c>
      <c r="AEN1" t="s">
        <v>1970</v>
      </c>
      <c r="AEO1" t="s">
        <v>1971</v>
      </c>
      <c r="AEP1" t="s">
        <v>1972</v>
      </c>
      <c r="AEQ1" t="s">
        <v>1973</v>
      </c>
      <c r="AER1" t="s">
        <v>1974</v>
      </c>
      <c r="AES1" t="s">
        <v>1975</v>
      </c>
      <c r="AET1" t="s">
        <v>1976</v>
      </c>
      <c r="AEU1" t="s">
        <v>1977</v>
      </c>
      <c r="AEV1" t="s">
        <v>1978</v>
      </c>
      <c r="AEW1" t="s">
        <v>1979</v>
      </c>
      <c r="AEX1" t="s">
        <v>1980</v>
      </c>
      <c r="AEY1" t="s">
        <v>1981</v>
      </c>
      <c r="AEZ1" t="s">
        <v>1982</v>
      </c>
      <c r="AFA1" t="s">
        <v>1983</v>
      </c>
      <c r="AFB1" t="s">
        <v>1984</v>
      </c>
      <c r="AFC1" t="s">
        <v>1985</v>
      </c>
      <c r="AFD1" t="s">
        <v>1986</v>
      </c>
      <c r="AFE1" t="s">
        <v>1987</v>
      </c>
      <c r="AFF1" t="s">
        <v>1988</v>
      </c>
      <c r="AFG1" t="s">
        <v>1989</v>
      </c>
      <c r="AFH1" t="s">
        <v>1990</v>
      </c>
      <c r="AFI1" t="s">
        <v>1991</v>
      </c>
      <c r="AFJ1" t="s">
        <v>1992</v>
      </c>
      <c r="AFK1" t="s">
        <v>1993</v>
      </c>
      <c r="AFL1" t="s">
        <v>1994</v>
      </c>
      <c r="AFM1" t="s">
        <v>1995</v>
      </c>
      <c r="AFN1" t="s">
        <v>1996</v>
      </c>
      <c r="AFO1" t="s">
        <v>1997</v>
      </c>
      <c r="AFP1" t="s">
        <v>1998</v>
      </c>
      <c r="AFQ1" t="s">
        <v>1999</v>
      </c>
      <c r="AFR1" t="s">
        <v>2000</v>
      </c>
      <c r="AFS1" t="s">
        <v>2001</v>
      </c>
      <c r="AFT1" t="s">
        <v>2002</v>
      </c>
      <c r="AFU1" t="s">
        <v>2003</v>
      </c>
      <c r="AFV1" t="s">
        <v>2004</v>
      </c>
      <c r="AFW1" t="s">
        <v>2005</v>
      </c>
      <c r="AFX1" t="s">
        <v>2006</v>
      </c>
      <c r="AFY1" t="s">
        <v>2007</v>
      </c>
      <c r="AFZ1" t="s">
        <v>2008</v>
      </c>
      <c r="AGA1" t="s">
        <v>2009</v>
      </c>
      <c r="AGB1" t="s">
        <v>2010</v>
      </c>
      <c r="AGC1" t="s">
        <v>2011</v>
      </c>
      <c r="AGD1" t="s">
        <v>2012</v>
      </c>
      <c r="AGE1" t="s">
        <v>2013</v>
      </c>
      <c r="AGF1" t="s">
        <v>2014</v>
      </c>
      <c r="AGG1" t="s">
        <v>2015</v>
      </c>
      <c r="AGH1" t="s">
        <v>2016</v>
      </c>
      <c r="AGI1" t="s">
        <v>2017</v>
      </c>
      <c r="AGJ1" t="s">
        <v>2018</v>
      </c>
      <c r="AGK1" t="s">
        <v>2019</v>
      </c>
      <c r="AGL1" t="s">
        <v>2020</v>
      </c>
      <c r="AGM1" t="s">
        <v>2021</v>
      </c>
      <c r="AGN1" t="s">
        <v>2022</v>
      </c>
      <c r="AGO1" t="s">
        <v>2023</v>
      </c>
      <c r="AGP1" t="s">
        <v>2024</v>
      </c>
      <c r="AGQ1" t="s">
        <v>2025</v>
      </c>
      <c r="AGR1" t="s">
        <v>2026</v>
      </c>
      <c r="AGS1" t="s">
        <v>2027</v>
      </c>
      <c r="AGT1" t="s">
        <v>2028</v>
      </c>
      <c r="AGU1" t="s">
        <v>2029</v>
      </c>
      <c r="AGV1" t="s">
        <v>2030</v>
      </c>
      <c r="AGW1" t="s">
        <v>2031</v>
      </c>
      <c r="AGX1" t="s">
        <v>2032</v>
      </c>
      <c r="AGY1" t="s">
        <v>2033</v>
      </c>
      <c r="AGZ1" t="s">
        <v>2034</v>
      </c>
      <c r="AHA1" t="s">
        <v>2035</v>
      </c>
      <c r="AHB1" t="s">
        <v>2036</v>
      </c>
      <c r="AHC1" t="s">
        <v>2037</v>
      </c>
      <c r="AHD1" t="s">
        <v>2038</v>
      </c>
      <c r="AHE1" t="s">
        <v>2039</v>
      </c>
      <c r="AHF1" t="s">
        <v>2040</v>
      </c>
      <c r="AHG1" t="s">
        <v>2041</v>
      </c>
      <c r="AHH1" t="s">
        <v>2042</v>
      </c>
      <c r="AHI1" t="s">
        <v>2043</v>
      </c>
      <c r="AHJ1" t="s">
        <v>2044</v>
      </c>
      <c r="AHK1" t="s">
        <v>2045</v>
      </c>
      <c r="AHL1" t="s">
        <v>2046</v>
      </c>
      <c r="AHM1" t="s">
        <v>2047</v>
      </c>
      <c r="AHN1" t="s">
        <v>2048</v>
      </c>
      <c r="AHO1" t="s">
        <v>2049</v>
      </c>
      <c r="AHP1" t="s">
        <v>2050</v>
      </c>
      <c r="AHQ1" t="s">
        <v>2051</v>
      </c>
      <c r="AHR1" t="s">
        <v>2052</v>
      </c>
      <c r="AHS1" t="s">
        <v>2053</v>
      </c>
      <c r="AHT1" t="s">
        <v>2054</v>
      </c>
      <c r="AHU1" t="s">
        <v>2055</v>
      </c>
    </row>
    <row r="2" spans="1:905" x14ac:dyDescent="0.25">
      <c r="A2" s="14">
        <v>121</v>
      </c>
      <c r="B2" s="14" t="s">
        <v>590</v>
      </c>
      <c r="C2" s="16">
        <v>42761.068749999999</v>
      </c>
      <c r="D2" s="14" t="s">
        <v>591</v>
      </c>
      <c r="E2" s="14" t="s">
        <v>592</v>
      </c>
      <c r="F2" s="14" t="str">
        <f>VLOOKUP(MID(H2,SEARCH("@",H2,1),LEN(H2)-SEARCH("@",H2,1)+1),[2]Sheet1!$D:$F,3,FALSE)</f>
        <v>M0182</v>
      </c>
      <c r="G2" s="14" t="s">
        <v>593</v>
      </c>
      <c r="H2" s="14" t="s">
        <v>594</v>
      </c>
      <c r="I2" s="14">
        <v>6569225560</v>
      </c>
      <c r="J2" s="14" t="s">
        <v>595</v>
      </c>
      <c r="K2" s="14" t="s">
        <v>596</v>
      </c>
      <c r="M2" s="14">
        <v>1</v>
      </c>
      <c r="P2" s="14">
        <v>109</v>
      </c>
      <c r="V2" s="14">
        <v>109</v>
      </c>
      <c r="AC2" s="14">
        <v>0</v>
      </c>
      <c r="AJ2" s="14">
        <v>0</v>
      </c>
      <c r="AQ2" s="14">
        <v>0</v>
      </c>
      <c r="AX2" s="14">
        <v>0</v>
      </c>
      <c r="BE2" s="14">
        <v>0</v>
      </c>
      <c r="BF2" s="14">
        <v>109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109</v>
      </c>
      <c r="BM2" s="14">
        <v>2</v>
      </c>
      <c r="BS2" s="14">
        <v>2</v>
      </c>
      <c r="BZ2" s="14">
        <v>0</v>
      </c>
      <c r="CG2" s="14">
        <v>0</v>
      </c>
      <c r="CN2" s="14">
        <v>0</v>
      </c>
      <c r="CU2" s="14">
        <v>0</v>
      </c>
      <c r="DB2" s="14">
        <v>0</v>
      </c>
      <c r="DC2" s="14">
        <v>2</v>
      </c>
      <c r="DD2" s="14">
        <v>0</v>
      </c>
      <c r="DE2" s="14">
        <v>0</v>
      </c>
      <c r="DF2" s="14">
        <v>0</v>
      </c>
      <c r="DG2" s="14">
        <v>0</v>
      </c>
      <c r="DH2" s="14">
        <v>0</v>
      </c>
      <c r="DI2" s="14">
        <v>2</v>
      </c>
      <c r="DJ2" s="14" t="s">
        <v>597</v>
      </c>
      <c r="DK2" s="14" t="s">
        <v>598</v>
      </c>
      <c r="DL2" s="14" t="s">
        <v>598</v>
      </c>
      <c r="DM2" s="14" t="s">
        <v>598</v>
      </c>
      <c r="DN2" s="14" t="s">
        <v>598</v>
      </c>
      <c r="DO2" s="14" t="s">
        <v>598</v>
      </c>
      <c r="DP2" s="14" t="s">
        <v>598</v>
      </c>
      <c r="DQ2" s="14" t="s">
        <v>598</v>
      </c>
      <c r="DR2" s="14" t="s">
        <v>598</v>
      </c>
      <c r="DS2" s="14" t="s">
        <v>598</v>
      </c>
      <c r="DT2" s="14" t="s">
        <v>598</v>
      </c>
      <c r="DU2" s="14" t="s">
        <v>598</v>
      </c>
      <c r="DV2" s="14" t="s">
        <v>598</v>
      </c>
      <c r="DW2" s="14" t="s">
        <v>598</v>
      </c>
      <c r="DX2" s="14" t="s">
        <v>598</v>
      </c>
      <c r="DY2" s="14" t="s">
        <v>598</v>
      </c>
      <c r="DZ2" s="14" t="s">
        <v>598</v>
      </c>
      <c r="EA2" s="14" t="s">
        <v>598</v>
      </c>
      <c r="EB2" s="14" t="s">
        <v>598</v>
      </c>
      <c r="EC2" s="14" t="s">
        <v>598</v>
      </c>
      <c r="ED2" s="14" t="s">
        <v>598</v>
      </c>
      <c r="EE2" s="14" t="s">
        <v>598</v>
      </c>
      <c r="EF2" s="14" t="s">
        <v>598</v>
      </c>
      <c r="EG2" s="14" t="s">
        <v>598</v>
      </c>
      <c r="EH2" s="14" t="s">
        <v>598</v>
      </c>
      <c r="EI2" s="14" t="s">
        <v>598</v>
      </c>
      <c r="EJ2" s="14" t="s">
        <v>598</v>
      </c>
      <c r="EK2" s="14" t="s">
        <v>598</v>
      </c>
      <c r="EL2" s="14" t="s">
        <v>598</v>
      </c>
      <c r="EM2" s="14" t="s">
        <v>598</v>
      </c>
      <c r="EN2" s="14" t="s">
        <v>598</v>
      </c>
      <c r="EO2" s="14" t="s">
        <v>598</v>
      </c>
      <c r="EP2" s="14" t="s">
        <v>598</v>
      </c>
      <c r="EQ2" s="14" t="s">
        <v>598</v>
      </c>
      <c r="ER2" s="14" t="s">
        <v>598</v>
      </c>
      <c r="ES2" s="14" t="s">
        <v>598</v>
      </c>
      <c r="ET2" s="14">
        <v>45</v>
      </c>
      <c r="EZ2" s="14">
        <v>45</v>
      </c>
      <c r="FA2" s="14">
        <v>47</v>
      </c>
      <c r="FG2" s="14">
        <v>47</v>
      </c>
      <c r="FN2" s="14">
        <v>0</v>
      </c>
      <c r="FU2" s="14">
        <v>0</v>
      </c>
      <c r="GB2" s="14">
        <v>0</v>
      </c>
      <c r="GI2" s="14">
        <v>0</v>
      </c>
      <c r="GJ2" s="14">
        <v>2</v>
      </c>
      <c r="GP2" s="14">
        <v>2</v>
      </c>
      <c r="GQ2" s="14" t="s">
        <v>599</v>
      </c>
      <c r="GR2" s="14">
        <v>15</v>
      </c>
      <c r="GX2" s="14">
        <v>15</v>
      </c>
      <c r="GY2" s="14">
        <v>109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109</v>
      </c>
      <c r="HF2" s="14">
        <v>2</v>
      </c>
      <c r="HL2" s="14">
        <v>2</v>
      </c>
      <c r="HM2" s="14">
        <v>67</v>
      </c>
      <c r="HS2" s="14">
        <v>67</v>
      </c>
      <c r="HT2" s="14">
        <v>40</v>
      </c>
      <c r="HZ2" s="14">
        <v>40</v>
      </c>
      <c r="IG2" s="14">
        <v>0</v>
      </c>
      <c r="IN2" s="14">
        <v>0</v>
      </c>
      <c r="IO2" s="14">
        <v>109</v>
      </c>
      <c r="IP2" s="14">
        <v>0</v>
      </c>
      <c r="IQ2" s="14">
        <v>0</v>
      </c>
      <c r="IR2" s="14">
        <v>0</v>
      </c>
      <c r="IS2" s="14">
        <v>0</v>
      </c>
      <c r="IT2" s="14">
        <v>0</v>
      </c>
      <c r="IU2" s="14">
        <v>109</v>
      </c>
      <c r="IV2" s="14">
        <v>100</v>
      </c>
      <c r="JA2" s="14">
        <v>3</v>
      </c>
      <c r="JB2" s="14">
        <v>3</v>
      </c>
      <c r="JC2" s="14">
        <v>2</v>
      </c>
      <c r="JD2" s="14" t="s">
        <v>600</v>
      </c>
      <c r="JE2" s="14">
        <v>45</v>
      </c>
      <c r="JK2" s="14">
        <v>45</v>
      </c>
      <c r="JL2" s="14">
        <v>47</v>
      </c>
      <c r="JR2" s="14">
        <v>47</v>
      </c>
      <c r="JY2" s="14">
        <v>0</v>
      </c>
      <c r="KF2" s="14">
        <v>0</v>
      </c>
      <c r="KM2" s="14">
        <v>0</v>
      </c>
      <c r="KT2" s="14">
        <v>0</v>
      </c>
      <c r="KU2" s="14">
        <v>2</v>
      </c>
      <c r="LA2" s="14">
        <v>2</v>
      </c>
      <c r="LC2" s="14">
        <v>15</v>
      </c>
      <c r="LI2" s="14">
        <v>15</v>
      </c>
      <c r="LJ2" s="14">
        <v>109</v>
      </c>
      <c r="LK2" s="14">
        <v>0</v>
      </c>
      <c r="LL2" s="14">
        <v>0</v>
      </c>
      <c r="LM2" s="14">
        <v>0</v>
      </c>
      <c r="LN2" s="14">
        <v>0</v>
      </c>
      <c r="LO2" s="14">
        <v>0</v>
      </c>
      <c r="LP2" s="14">
        <v>109</v>
      </c>
      <c r="LQ2" s="14">
        <v>67</v>
      </c>
      <c r="LW2" s="14">
        <v>67</v>
      </c>
      <c r="LX2" s="14">
        <v>2</v>
      </c>
      <c r="MD2" s="14">
        <v>2</v>
      </c>
      <c r="ME2" s="14">
        <v>40</v>
      </c>
      <c r="MK2" s="14">
        <v>40</v>
      </c>
      <c r="MR2" s="14">
        <v>0</v>
      </c>
      <c r="MY2" s="14">
        <v>0</v>
      </c>
      <c r="MZ2" s="14">
        <v>109</v>
      </c>
      <c r="NA2" s="14">
        <v>0</v>
      </c>
      <c r="NB2" s="14">
        <v>0</v>
      </c>
      <c r="NC2" s="14">
        <v>0</v>
      </c>
      <c r="ND2" s="14">
        <v>0</v>
      </c>
      <c r="NE2" s="14">
        <v>0</v>
      </c>
      <c r="NF2" s="14">
        <v>109</v>
      </c>
      <c r="NG2" s="14" t="s">
        <v>601</v>
      </c>
      <c r="RJ2" s="14" t="s">
        <v>602</v>
      </c>
      <c r="VM2" s="14" t="s">
        <v>603</v>
      </c>
      <c r="ZP2" s="14" t="s">
        <v>604</v>
      </c>
      <c r="ADS2" s="14" t="s">
        <v>605</v>
      </c>
    </row>
    <row r="3" spans="1:905" x14ac:dyDescent="0.25">
      <c r="A3" s="14">
        <v>78</v>
      </c>
      <c r="B3" s="14" t="s">
        <v>590</v>
      </c>
      <c r="C3" s="16">
        <v>42780</v>
      </c>
      <c r="D3" s="14" t="s">
        <v>606</v>
      </c>
      <c r="E3" s="14" t="s">
        <v>607</v>
      </c>
      <c r="F3" s="14" t="str">
        <f>VLOOKUP(MID(H3,SEARCH("@",H3,1),LEN(H3)-SEARCH("@",H3,1)+1),[2]Sheet1!$D:$F,3,FALSE)</f>
        <v>M107</v>
      </c>
      <c r="G3" s="14" t="s">
        <v>608</v>
      </c>
      <c r="H3" s="14" t="s">
        <v>609</v>
      </c>
      <c r="I3" s="14" t="s">
        <v>610</v>
      </c>
      <c r="J3" s="14" t="s">
        <v>611</v>
      </c>
      <c r="K3" s="14" t="s">
        <v>596</v>
      </c>
      <c r="M3" s="14">
        <v>1</v>
      </c>
      <c r="V3" s="14">
        <v>0</v>
      </c>
      <c r="W3" s="14">
        <v>152</v>
      </c>
      <c r="AC3" s="14">
        <v>152</v>
      </c>
      <c r="AD3" s="14">
        <v>911</v>
      </c>
      <c r="AE3" s="14">
        <v>742</v>
      </c>
      <c r="AI3" s="14">
        <v>355</v>
      </c>
      <c r="AJ3" s="14">
        <v>2008</v>
      </c>
      <c r="AQ3" s="14">
        <v>0</v>
      </c>
      <c r="AX3" s="14">
        <v>0</v>
      </c>
      <c r="BE3" s="14">
        <v>0</v>
      </c>
      <c r="BF3" s="14">
        <v>1063</v>
      </c>
      <c r="BG3" s="14">
        <v>742</v>
      </c>
      <c r="BH3" s="14">
        <v>0</v>
      </c>
      <c r="BI3" s="14">
        <v>0</v>
      </c>
      <c r="BJ3" s="14">
        <v>0</v>
      </c>
      <c r="BK3" s="14">
        <v>355</v>
      </c>
      <c r="BL3" s="14">
        <v>2160</v>
      </c>
      <c r="BS3" s="14">
        <v>0</v>
      </c>
      <c r="BT3" s="14">
        <v>1</v>
      </c>
      <c r="BZ3" s="14">
        <v>1</v>
      </c>
      <c r="CA3" s="14">
        <v>1</v>
      </c>
      <c r="CB3" s="14">
        <v>3</v>
      </c>
      <c r="CF3" s="14">
        <v>2</v>
      </c>
      <c r="CG3" s="14">
        <v>6</v>
      </c>
      <c r="CN3" s="14">
        <v>0</v>
      </c>
      <c r="CU3" s="14">
        <v>0</v>
      </c>
      <c r="DB3" s="14">
        <v>0</v>
      </c>
      <c r="DC3" s="14">
        <v>2</v>
      </c>
      <c r="DD3" s="14">
        <v>3</v>
      </c>
      <c r="DE3" s="14">
        <v>0</v>
      </c>
      <c r="DF3" s="14">
        <v>0</v>
      </c>
      <c r="DG3" s="14">
        <v>0</v>
      </c>
      <c r="DH3" s="14">
        <v>2</v>
      </c>
      <c r="DI3" s="14">
        <v>7</v>
      </c>
      <c r="DJ3" s="14" t="s">
        <v>598</v>
      </c>
      <c r="DK3" s="14" t="s">
        <v>598</v>
      </c>
      <c r="DL3" s="14" t="s">
        <v>598</v>
      </c>
      <c r="DM3" s="14" t="s">
        <v>598</v>
      </c>
      <c r="DN3" s="14" t="s">
        <v>598</v>
      </c>
      <c r="DO3" s="14" t="s">
        <v>598</v>
      </c>
      <c r="DP3" s="14" t="s">
        <v>597</v>
      </c>
      <c r="DQ3" s="14" t="s">
        <v>598</v>
      </c>
      <c r="DR3" s="14" t="s">
        <v>598</v>
      </c>
      <c r="DS3" s="14" t="s">
        <v>598</v>
      </c>
      <c r="DT3" s="14" t="s">
        <v>598</v>
      </c>
      <c r="DU3" s="14" t="s">
        <v>598</v>
      </c>
      <c r="DV3" s="14" t="s">
        <v>597</v>
      </c>
      <c r="DW3" s="14" t="s">
        <v>597</v>
      </c>
      <c r="DX3" s="14" t="s">
        <v>598</v>
      </c>
      <c r="DY3" s="14" t="s">
        <v>598</v>
      </c>
      <c r="DZ3" s="14" t="s">
        <v>598</v>
      </c>
      <c r="EA3" s="14" t="s">
        <v>597</v>
      </c>
      <c r="EB3" s="14" t="s">
        <v>598</v>
      </c>
      <c r="EC3" s="14" t="s">
        <v>598</v>
      </c>
      <c r="ED3" s="14" t="s">
        <v>598</v>
      </c>
      <c r="EE3" s="14" t="s">
        <v>598</v>
      </c>
      <c r="EF3" s="14" t="s">
        <v>598</v>
      </c>
      <c r="EG3" s="14" t="s">
        <v>598</v>
      </c>
      <c r="EH3" s="14" t="s">
        <v>598</v>
      </c>
      <c r="EI3" s="14" t="s">
        <v>598</v>
      </c>
      <c r="EJ3" s="14" t="s">
        <v>598</v>
      </c>
      <c r="EK3" s="14" t="s">
        <v>598</v>
      </c>
      <c r="EL3" s="14" t="s">
        <v>598</v>
      </c>
      <c r="EM3" s="14" t="s">
        <v>598</v>
      </c>
      <c r="EN3" s="14" t="s">
        <v>598</v>
      </c>
      <c r="EO3" s="14" t="s">
        <v>598</v>
      </c>
      <c r="EP3" s="14" t="s">
        <v>598</v>
      </c>
      <c r="EQ3" s="14" t="s">
        <v>598</v>
      </c>
      <c r="ER3" s="14" t="s">
        <v>598</v>
      </c>
      <c r="ES3" s="14" t="s">
        <v>598</v>
      </c>
      <c r="ET3" s="14">
        <v>99</v>
      </c>
      <c r="EZ3" s="14">
        <v>99</v>
      </c>
      <c r="FA3" s="14">
        <v>64</v>
      </c>
      <c r="FG3" s="14">
        <v>64</v>
      </c>
      <c r="FH3" s="14">
        <v>409</v>
      </c>
      <c r="FN3" s="14">
        <v>409</v>
      </c>
      <c r="FO3" s="14">
        <v>294</v>
      </c>
      <c r="FP3" s="14">
        <v>742</v>
      </c>
      <c r="FT3" s="14">
        <v>355</v>
      </c>
      <c r="FU3" s="14">
        <v>1391</v>
      </c>
      <c r="FV3" s="14">
        <v>10</v>
      </c>
      <c r="GB3" s="14">
        <v>10</v>
      </c>
      <c r="GC3" s="14">
        <v>134</v>
      </c>
      <c r="GI3" s="14">
        <v>134</v>
      </c>
      <c r="GP3" s="14">
        <v>0</v>
      </c>
      <c r="GQ3" s="14" t="s">
        <v>612</v>
      </c>
      <c r="GR3" s="14">
        <v>53</v>
      </c>
      <c r="GX3" s="14">
        <v>53</v>
      </c>
      <c r="GY3" s="14">
        <v>1063</v>
      </c>
      <c r="GZ3" s="14">
        <v>742</v>
      </c>
      <c r="HA3" s="14">
        <v>0</v>
      </c>
      <c r="HB3" s="14">
        <v>0</v>
      </c>
      <c r="HC3" s="14">
        <v>0</v>
      </c>
      <c r="HD3" s="14">
        <v>355</v>
      </c>
      <c r="HE3" s="14">
        <v>2160</v>
      </c>
      <c r="HF3" s="14">
        <v>400</v>
      </c>
      <c r="HL3" s="14">
        <v>400</v>
      </c>
      <c r="HM3" s="14">
        <v>186</v>
      </c>
      <c r="HS3" s="14">
        <v>186</v>
      </c>
      <c r="HT3" s="14">
        <v>477</v>
      </c>
      <c r="HU3" s="14">
        <v>742</v>
      </c>
      <c r="HY3" s="14">
        <v>355</v>
      </c>
      <c r="HZ3" s="14">
        <v>1574</v>
      </c>
      <c r="IG3" s="14">
        <v>0</v>
      </c>
      <c r="IN3" s="14">
        <v>0</v>
      </c>
      <c r="IO3" s="14">
        <v>1063</v>
      </c>
      <c r="IP3" s="14">
        <v>742</v>
      </c>
      <c r="IQ3" s="14">
        <v>0</v>
      </c>
      <c r="IR3" s="14">
        <v>0</v>
      </c>
      <c r="IS3" s="14">
        <v>0</v>
      </c>
      <c r="IT3" s="14">
        <v>355</v>
      </c>
      <c r="IU3" s="14">
        <v>2160</v>
      </c>
      <c r="IW3" s="14">
        <v>5</v>
      </c>
      <c r="IX3" s="14">
        <v>50</v>
      </c>
      <c r="IY3" s="14" t="s">
        <v>613</v>
      </c>
      <c r="IZ3" s="14">
        <v>45</v>
      </c>
      <c r="JA3" s="14">
        <v>3</v>
      </c>
      <c r="JB3" s="14">
        <v>1</v>
      </c>
      <c r="JC3" s="14">
        <v>1</v>
      </c>
      <c r="JD3" s="14" t="s">
        <v>600</v>
      </c>
      <c r="NG3" s="14" t="s">
        <v>601</v>
      </c>
      <c r="RJ3" s="14" t="s">
        <v>602</v>
      </c>
      <c r="VM3" s="14" t="s">
        <v>603</v>
      </c>
      <c r="ZP3" s="14" t="s">
        <v>604</v>
      </c>
      <c r="ADS3" s="14" t="s">
        <v>605</v>
      </c>
    </row>
    <row r="4" spans="1:905" x14ac:dyDescent="0.25">
      <c r="A4" s="14">
        <v>161</v>
      </c>
      <c r="B4" s="14" t="s">
        <v>590</v>
      </c>
      <c r="C4" s="16">
        <v>42769.068055555559</v>
      </c>
      <c r="D4" s="14" t="s">
        <v>614</v>
      </c>
      <c r="E4" s="14" t="s">
        <v>615</v>
      </c>
      <c r="F4" s="14" t="str">
        <f>VLOOKUP(MID(H4,SEARCH("@",H4,1),LEN(H4)-SEARCH("@",H4,1)+1),[2]Sheet1!$D:$F,3,FALSE)</f>
        <v>M0149</v>
      </c>
      <c r="G4" s="14" t="s">
        <v>616</v>
      </c>
      <c r="H4" s="14" t="s">
        <v>617</v>
      </c>
      <c r="I4" s="14">
        <v>85228439312</v>
      </c>
      <c r="J4" s="14" t="s">
        <v>618</v>
      </c>
      <c r="K4" s="14" t="s">
        <v>596</v>
      </c>
      <c r="M4" s="14">
        <v>2</v>
      </c>
      <c r="N4" s="14">
        <v>6</v>
      </c>
      <c r="O4" s="14" t="s">
        <v>619</v>
      </c>
      <c r="V4" s="14">
        <v>0</v>
      </c>
      <c r="AC4" s="14">
        <v>0</v>
      </c>
      <c r="AJ4" s="14">
        <v>0</v>
      </c>
      <c r="AQ4" s="14">
        <v>0</v>
      </c>
      <c r="AX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S4" s="14">
        <v>0</v>
      </c>
      <c r="BZ4" s="14">
        <v>0</v>
      </c>
      <c r="CG4" s="14">
        <v>0</v>
      </c>
      <c r="CN4" s="14">
        <v>0</v>
      </c>
      <c r="CU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 t="s">
        <v>598</v>
      </c>
      <c r="DK4" s="14" t="s">
        <v>598</v>
      </c>
      <c r="DL4" s="14" t="s">
        <v>598</v>
      </c>
      <c r="DM4" s="14" t="s">
        <v>598</v>
      </c>
      <c r="DN4" s="14" t="s">
        <v>598</v>
      </c>
      <c r="DO4" s="14" t="s">
        <v>598</v>
      </c>
      <c r="DP4" s="14" t="s">
        <v>598</v>
      </c>
      <c r="DQ4" s="14" t="s">
        <v>598</v>
      </c>
      <c r="DR4" s="14" t="s">
        <v>598</v>
      </c>
      <c r="DS4" s="14" t="s">
        <v>598</v>
      </c>
      <c r="DT4" s="14" t="s">
        <v>598</v>
      </c>
      <c r="DU4" s="14" t="s">
        <v>598</v>
      </c>
      <c r="DV4" s="14" t="s">
        <v>598</v>
      </c>
      <c r="DW4" s="14" t="s">
        <v>598</v>
      </c>
      <c r="DX4" s="14" t="s">
        <v>598</v>
      </c>
      <c r="DY4" s="14" t="s">
        <v>598</v>
      </c>
      <c r="DZ4" s="14" t="s">
        <v>598</v>
      </c>
      <c r="EA4" s="14" t="s">
        <v>598</v>
      </c>
      <c r="EB4" s="14" t="s">
        <v>598</v>
      </c>
      <c r="EC4" s="14" t="s">
        <v>598</v>
      </c>
      <c r="ED4" s="14" t="s">
        <v>598</v>
      </c>
      <c r="EE4" s="14" t="s">
        <v>598</v>
      </c>
      <c r="EF4" s="14" t="s">
        <v>598</v>
      </c>
      <c r="EG4" s="14" t="s">
        <v>598</v>
      </c>
      <c r="EH4" s="14" t="s">
        <v>598</v>
      </c>
      <c r="EI4" s="14" t="s">
        <v>598</v>
      </c>
      <c r="EJ4" s="14" t="s">
        <v>598</v>
      </c>
      <c r="EK4" s="14" t="s">
        <v>598</v>
      </c>
      <c r="EL4" s="14" t="s">
        <v>598</v>
      </c>
      <c r="EM4" s="14" t="s">
        <v>598</v>
      </c>
      <c r="EN4" s="14" t="s">
        <v>598</v>
      </c>
      <c r="EO4" s="14" t="s">
        <v>598</v>
      </c>
      <c r="EP4" s="14" t="s">
        <v>598</v>
      </c>
      <c r="EQ4" s="14" t="s">
        <v>598</v>
      </c>
      <c r="ER4" s="14" t="s">
        <v>598</v>
      </c>
      <c r="ES4" s="14" t="s">
        <v>598</v>
      </c>
      <c r="EZ4" s="14">
        <v>0</v>
      </c>
      <c r="FG4" s="14">
        <v>0</v>
      </c>
      <c r="FN4" s="14">
        <v>0</v>
      </c>
      <c r="FU4" s="14">
        <v>0</v>
      </c>
      <c r="GB4" s="14">
        <v>0</v>
      </c>
      <c r="GI4" s="14">
        <v>0</v>
      </c>
      <c r="GP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L4" s="14">
        <v>0</v>
      </c>
      <c r="HS4" s="14">
        <v>0</v>
      </c>
      <c r="HZ4" s="14">
        <v>0</v>
      </c>
      <c r="IG4" s="14">
        <v>0</v>
      </c>
      <c r="IN4" s="14">
        <v>0</v>
      </c>
      <c r="IO4" s="14">
        <v>0</v>
      </c>
      <c r="IP4" s="14">
        <v>0</v>
      </c>
      <c r="IQ4" s="14">
        <v>0</v>
      </c>
      <c r="IR4" s="14">
        <v>0</v>
      </c>
      <c r="IS4" s="14">
        <v>0</v>
      </c>
      <c r="IT4" s="14">
        <v>0</v>
      </c>
      <c r="IU4" s="14">
        <v>0</v>
      </c>
      <c r="JA4" s="14">
        <v>1</v>
      </c>
      <c r="JB4" s="14">
        <v>2</v>
      </c>
      <c r="JC4" s="14">
        <v>1</v>
      </c>
      <c r="JD4" s="14" t="s">
        <v>600</v>
      </c>
      <c r="NG4" s="14" t="s">
        <v>601</v>
      </c>
      <c r="RJ4" s="14" t="s">
        <v>602</v>
      </c>
      <c r="VM4" s="14" t="s">
        <v>603</v>
      </c>
      <c r="ZP4" s="14" t="s">
        <v>604</v>
      </c>
      <c r="ADS4" s="14" t="s">
        <v>605</v>
      </c>
    </row>
    <row r="5" spans="1:905" x14ac:dyDescent="0.25">
      <c r="A5" s="14">
        <v>217</v>
      </c>
      <c r="B5" s="14" t="s">
        <v>590</v>
      </c>
      <c r="C5" s="16">
        <v>42780</v>
      </c>
      <c r="D5" s="14" t="s">
        <v>620</v>
      </c>
      <c r="E5" s="14" t="s">
        <v>620</v>
      </c>
      <c r="F5" s="14" t="str">
        <f>VLOOKUP(MID(H5,SEARCH("@",H5,1),LEN(H5)-SEARCH("@",H5,1)+1),[2]Sheet1!$D:$F,3,FALSE)</f>
        <v>M03232</v>
      </c>
      <c r="G5" s="14" t="s">
        <v>621</v>
      </c>
      <c r="H5" s="14" t="s">
        <v>622</v>
      </c>
      <c r="I5" s="14" t="s">
        <v>623</v>
      </c>
      <c r="J5" s="14" t="s">
        <v>624</v>
      </c>
      <c r="K5" s="14" t="s">
        <v>625</v>
      </c>
      <c r="M5" s="14">
        <v>1</v>
      </c>
      <c r="P5" s="14">
        <v>1004</v>
      </c>
      <c r="S5" s="14">
        <v>1017</v>
      </c>
      <c r="V5" s="14">
        <v>2021</v>
      </c>
      <c r="AC5" s="14">
        <v>0</v>
      </c>
      <c r="AJ5" s="14">
        <v>0</v>
      </c>
      <c r="AQ5" s="14">
        <v>0</v>
      </c>
      <c r="AX5" s="14">
        <v>0</v>
      </c>
      <c r="BE5" s="14">
        <v>0</v>
      </c>
      <c r="BF5" s="14">
        <v>1004</v>
      </c>
      <c r="BG5" s="14">
        <v>0</v>
      </c>
      <c r="BH5" s="14">
        <v>0</v>
      </c>
      <c r="BI5" s="14">
        <v>1017</v>
      </c>
      <c r="BJ5" s="14">
        <v>0</v>
      </c>
      <c r="BK5" s="14">
        <v>0</v>
      </c>
      <c r="BL5" s="14">
        <v>2021</v>
      </c>
      <c r="BM5" s="14">
        <v>6</v>
      </c>
      <c r="BP5" s="14">
        <v>7</v>
      </c>
      <c r="BS5" s="14">
        <v>13</v>
      </c>
      <c r="BZ5" s="14">
        <v>0</v>
      </c>
      <c r="CG5" s="14">
        <v>0</v>
      </c>
      <c r="CN5" s="14">
        <v>0</v>
      </c>
      <c r="CU5" s="14">
        <v>0</v>
      </c>
      <c r="DB5" s="14">
        <v>0</v>
      </c>
      <c r="DC5" s="14">
        <v>6</v>
      </c>
      <c r="DD5" s="14">
        <v>0</v>
      </c>
      <c r="DE5" s="14">
        <v>0</v>
      </c>
      <c r="DF5" s="14">
        <v>7</v>
      </c>
      <c r="DG5" s="14">
        <v>0</v>
      </c>
      <c r="DH5" s="14">
        <v>0</v>
      </c>
      <c r="DI5" s="14">
        <v>13</v>
      </c>
      <c r="DJ5" s="14" t="s">
        <v>597</v>
      </c>
      <c r="DK5" s="14" t="s">
        <v>598</v>
      </c>
      <c r="DL5" s="14" t="s">
        <v>598</v>
      </c>
      <c r="DM5" s="14" t="s">
        <v>597</v>
      </c>
      <c r="DN5" s="14" t="s">
        <v>598</v>
      </c>
      <c r="DO5" s="14" t="s">
        <v>598</v>
      </c>
      <c r="DP5" s="14" t="s">
        <v>598</v>
      </c>
      <c r="DQ5" s="14" t="s">
        <v>598</v>
      </c>
      <c r="DR5" s="14" t="s">
        <v>598</v>
      </c>
      <c r="DS5" s="14" t="s">
        <v>598</v>
      </c>
      <c r="DT5" s="14" t="s">
        <v>598</v>
      </c>
      <c r="DU5" s="14" t="s">
        <v>598</v>
      </c>
      <c r="DV5" s="14" t="s">
        <v>598</v>
      </c>
      <c r="DW5" s="14" t="s">
        <v>598</v>
      </c>
      <c r="DX5" s="14" t="s">
        <v>598</v>
      </c>
      <c r="DY5" s="14" t="s">
        <v>598</v>
      </c>
      <c r="DZ5" s="14" t="s">
        <v>598</v>
      </c>
      <c r="EA5" s="14" t="s">
        <v>598</v>
      </c>
      <c r="EB5" s="14" t="s">
        <v>598</v>
      </c>
      <c r="EC5" s="14" t="s">
        <v>598</v>
      </c>
      <c r="ED5" s="14" t="s">
        <v>598</v>
      </c>
      <c r="EE5" s="14" t="s">
        <v>598</v>
      </c>
      <c r="EF5" s="14" t="s">
        <v>598</v>
      </c>
      <c r="EG5" s="14" t="s">
        <v>598</v>
      </c>
      <c r="EH5" s="14" t="s">
        <v>598</v>
      </c>
      <c r="EI5" s="14" t="s">
        <v>598</v>
      </c>
      <c r="EJ5" s="14" t="s">
        <v>598</v>
      </c>
      <c r="EK5" s="14" t="s">
        <v>598</v>
      </c>
      <c r="EL5" s="14" t="s">
        <v>598</v>
      </c>
      <c r="EM5" s="14" t="s">
        <v>598</v>
      </c>
      <c r="EN5" s="14" t="s">
        <v>598</v>
      </c>
      <c r="EO5" s="14" t="s">
        <v>598</v>
      </c>
      <c r="EP5" s="14" t="s">
        <v>598</v>
      </c>
      <c r="EQ5" s="14" t="s">
        <v>598</v>
      </c>
      <c r="ER5" s="14" t="s">
        <v>598</v>
      </c>
      <c r="ES5" s="14" t="s">
        <v>598</v>
      </c>
      <c r="ET5" s="14">
        <v>152</v>
      </c>
      <c r="EW5" s="14">
        <v>596</v>
      </c>
      <c r="EZ5" s="14">
        <v>748</v>
      </c>
      <c r="FA5" s="14">
        <v>0</v>
      </c>
      <c r="FD5" s="14">
        <v>92</v>
      </c>
      <c r="FG5" s="14">
        <v>92</v>
      </c>
      <c r="FH5" s="14">
        <v>0</v>
      </c>
      <c r="FK5" s="14">
        <v>5</v>
      </c>
      <c r="FN5" s="14">
        <v>5</v>
      </c>
      <c r="FO5" s="14">
        <v>0</v>
      </c>
      <c r="FU5" s="14">
        <v>0</v>
      </c>
      <c r="FV5" s="14">
        <v>0</v>
      </c>
      <c r="GB5" s="14">
        <v>0</v>
      </c>
      <c r="GC5" s="14">
        <v>37</v>
      </c>
      <c r="GF5" s="14">
        <v>76</v>
      </c>
      <c r="GI5" s="14">
        <v>113</v>
      </c>
      <c r="GJ5" s="14">
        <v>97</v>
      </c>
      <c r="GM5" s="14">
        <v>0</v>
      </c>
      <c r="GP5" s="14">
        <v>97</v>
      </c>
      <c r="GQ5" s="14" t="s">
        <v>626</v>
      </c>
      <c r="GR5" s="14">
        <v>718</v>
      </c>
      <c r="GU5" s="14">
        <v>248</v>
      </c>
      <c r="GX5" s="14">
        <v>966</v>
      </c>
      <c r="GY5" s="14">
        <v>1004</v>
      </c>
      <c r="GZ5" s="14">
        <v>0</v>
      </c>
      <c r="HA5" s="14">
        <v>0</v>
      </c>
      <c r="HB5" s="14">
        <v>1017</v>
      </c>
      <c r="HC5" s="14">
        <v>0</v>
      </c>
      <c r="HD5" s="14">
        <v>0</v>
      </c>
      <c r="HE5" s="14">
        <v>2021</v>
      </c>
      <c r="HF5" s="14">
        <v>1002</v>
      </c>
      <c r="HI5" s="14">
        <v>595</v>
      </c>
      <c r="HL5" s="14">
        <v>1597</v>
      </c>
      <c r="HM5" s="14">
        <v>2</v>
      </c>
      <c r="HP5" s="14">
        <v>274</v>
      </c>
      <c r="HS5" s="14">
        <v>276</v>
      </c>
      <c r="HT5" s="14">
        <v>0</v>
      </c>
      <c r="HW5" s="14">
        <v>148</v>
      </c>
      <c r="HZ5" s="14">
        <v>148</v>
      </c>
      <c r="IA5" s="14">
        <v>0</v>
      </c>
      <c r="ID5" s="14">
        <v>0</v>
      </c>
      <c r="IG5" s="14">
        <v>0</v>
      </c>
      <c r="IH5" s="14">
        <v>0</v>
      </c>
      <c r="IK5" s="14">
        <v>0</v>
      </c>
      <c r="IN5" s="14">
        <v>0</v>
      </c>
      <c r="IO5" s="14">
        <v>1004</v>
      </c>
      <c r="IP5" s="14">
        <v>0</v>
      </c>
      <c r="IQ5" s="14">
        <v>0</v>
      </c>
      <c r="IR5" s="14">
        <v>1017</v>
      </c>
      <c r="IS5" s="14">
        <v>0</v>
      </c>
      <c r="IT5" s="14">
        <v>0</v>
      </c>
      <c r="IU5" s="14">
        <v>2021</v>
      </c>
      <c r="IX5" s="14">
        <v>100</v>
      </c>
      <c r="JA5" s="14">
        <v>1</v>
      </c>
      <c r="JB5" s="14">
        <v>1</v>
      </c>
      <c r="JC5" s="14">
        <v>1</v>
      </c>
      <c r="JD5" s="14" t="s">
        <v>600</v>
      </c>
      <c r="JE5" s="14">
        <v>152</v>
      </c>
      <c r="JH5" s="14">
        <v>596</v>
      </c>
      <c r="JK5" s="14">
        <v>748</v>
      </c>
      <c r="JL5" s="14">
        <v>0</v>
      </c>
      <c r="JO5" s="14">
        <v>92</v>
      </c>
      <c r="JR5" s="14">
        <v>92</v>
      </c>
      <c r="JS5" s="14">
        <v>0</v>
      </c>
      <c r="JV5" s="14">
        <v>5</v>
      </c>
      <c r="JY5" s="14">
        <v>5</v>
      </c>
      <c r="JZ5" s="14">
        <v>0</v>
      </c>
      <c r="KC5" s="14">
        <v>0</v>
      </c>
      <c r="KF5" s="14">
        <v>0</v>
      </c>
      <c r="KG5" s="14">
        <v>0</v>
      </c>
      <c r="KJ5" s="14">
        <v>0</v>
      </c>
      <c r="KM5" s="14">
        <v>0</v>
      </c>
      <c r="KN5" s="14">
        <v>38</v>
      </c>
      <c r="KQ5" s="14">
        <v>76</v>
      </c>
      <c r="KT5" s="14">
        <v>114</v>
      </c>
      <c r="KU5" s="14">
        <v>97</v>
      </c>
      <c r="KX5" s="14">
        <v>0</v>
      </c>
      <c r="LA5" s="14">
        <v>97</v>
      </c>
      <c r="LB5" s="14" t="s">
        <v>626</v>
      </c>
      <c r="LC5" s="14">
        <v>718</v>
      </c>
      <c r="LF5" s="14">
        <v>247</v>
      </c>
      <c r="LI5" s="14">
        <v>965</v>
      </c>
      <c r="LJ5" s="14">
        <v>1005</v>
      </c>
      <c r="LK5" s="14">
        <v>0</v>
      </c>
      <c r="LL5" s="14">
        <v>0</v>
      </c>
      <c r="LM5" s="14">
        <v>1016</v>
      </c>
      <c r="LN5" s="14">
        <v>0</v>
      </c>
      <c r="LO5" s="14">
        <v>0</v>
      </c>
      <c r="LP5" s="14">
        <v>2021</v>
      </c>
      <c r="LQ5" s="14">
        <v>2</v>
      </c>
      <c r="LT5" s="14">
        <v>273</v>
      </c>
      <c r="LW5" s="14">
        <v>275</v>
      </c>
      <c r="LX5" s="14">
        <v>1002</v>
      </c>
      <c r="MA5" s="14">
        <v>596</v>
      </c>
      <c r="MD5" s="14">
        <v>1598</v>
      </c>
      <c r="ME5" s="14">
        <v>0</v>
      </c>
      <c r="MH5" s="14">
        <v>148</v>
      </c>
      <c r="MK5" s="14">
        <v>148</v>
      </c>
      <c r="ML5" s="14">
        <v>0</v>
      </c>
      <c r="MO5" s="14">
        <v>0</v>
      </c>
      <c r="MR5" s="14">
        <v>0</v>
      </c>
      <c r="MS5" s="14">
        <v>0</v>
      </c>
      <c r="MV5" s="14">
        <v>0</v>
      </c>
      <c r="MY5" s="14">
        <v>0</v>
      </c>
      <c r="MZ5" s="14">
        <v>1004</v>
      </c>
      <c r="NA5" s="14">
        <v>0</v>
      </c>
      <c r="NB5" s="14">
        <v>0</v>
      </c>
      <c r="NC5" s="14">
        <v>1017</v>
      </c>
      <c r="ND5" s="14">
        <v>0</v>
      </c>
      <c r="NE5" s="14">
        <v>0</v>
      </c>
      <c r="NF5" s="14">
        <v>2021</v>
      </c>
      <c r="NG5" s="14" t="s">
        <v>601</v>
      </c>
      <c r="RJ5" s="14" t="s">
        <v>602</v>
      </c>
      <c r="VM5" s="14" t="s">
        <v>603</v>
      </c>
      <c r="ZP5" s="14" t="s">
        <v>604</v>
      </c>
      <c r="ADS5" s="14" t="s">
        <v>605</v>
      </c>
    </row>
    <row r="6" spans="1:905" x14ac:dyDescent="0.25">
      <c r="A6" s="14">
        <v>83</v>
      </c>
      <c r="B6" s="14" t="s">
        <v>590</v>
      </c>
      <c r="C6" s="16">
        <v>42761.107638888891</v>
      </c>
      <c r="D6" s="14" t="s">
        <v>627</v>
      </c>
      <c r="E6" s="14" t="s">
        <v>628</v>
      </c>
      <c r="F6" s="14" t="str">
        <f>VLOOKUP(MID(H6,SEARCH("@",H6,1),LEN(H6)-SEARCH("@",H6,1)+1),[2]Sheet1!$D:$F,3,FALSE)</f>
        <v>M0333</v>
      </c>
      <c r="G6" s="14" t="s">
        <v>629</v>
      </c>
      <c r="H6" s="14" t="s">
        <v>630</v>
      </c>
      <c r="I6" s="14" t="s">
        <v>631</v>
      </c>
      <c r="J6" s="14" t="s">
        <v>632</v>
      </c>
      <c r="K6" s="14" t="s">
        <v>633</v>
      </c>
      <c r="M6" s="14">
        <v>2</v>
      </c>
    </row>
    <row r="7" spans="1:905" x14ac:dyDescent="0.25">
      <c r="A7" s="14">
        <v>228</v>
      </c>
      <c r="B7" s="14" t="s">
        <v>590</v>
      </c>
      <c r="C7" s="16">
        <v>42780</v>
      </c>
      <c r="D7" s="14" t="s">
        <v>634</v>
      </c>
      <c r="E7" s="14" t="s">
        <v>635</v>
      </c>
      <c r="F7" s="14" t="str">
        <f>VLOOKUP(MID(H7,SEARCH("@",H7,1),LEN(H7)-SEARCH("@",H7,1)+1),[2]Sheet1!$D:$F,3,FALSE)</f>
        <v>M0231</v>
      </c>
      <c r="G7" s="14" t="s">
        <v>636</v>
      </c>
      <c r="H7" s="14" t="s">
        <v>637</v>
      </c>
      <c r="I7" s="14">
        <v>6568500454</v>
      </c>
      <c r="J7" s="14" t="s">
        <v>618</v>
      </c>
      <c r="K7" s="14" t="s">
        <v>596</v>
      </c>
      <c r="M7" s="14">
        <v>1</v>
      </c>
      <c r="P7" s="14">
        <v>310.8</v>
      </c>
      <c r="Q7" s="14">
        <v>470</v>
      </c>
      <c r="S7" s="14">
        <v>477.3</v>
      </c>
      <c r="V7" s="14">
        <v>1258.0999999999999</v>
      </c>
      <c r="AC7" s="14">
        <v>0</v>
      </c>
      <c r="AJ7" s="14">
        <v>0</v>
      </c>
      <c r="AQ7" s="14">
        <v>0</v>
      </c>
      <c r="AX7" s="14">
        <v>0</v>
      </c>
      <c r="BE7" s="14">
        <v>0</v>
      </c>
      <c r="BF7" s="14">
        <v>310.8</v>
      </c>
      <c r="BG7" s="14">
        <v>470</v>
      </c>
      <c r="BH7" s="14">
        <v>0</v>
      </c>
      <c r="BI7" s="14">
        <v>477.3</v>
      </c>
      <c r="BJ7" s="14">
        <v>0</v>
      </c>
      <c r="BK7" s="14">
        <v>0</v>
      </c>
      <c r="BL7" s="14">
        <v>1258.0999999999999</v>
      </c>
      <c r="BM7" s="14">
        <v>1</v>
      </c>
      <c r="BN7" s="14">
        <v>2</v>
      </c>
      <c r="BP7" s="14">
        <v>3</v>
      </c>
      <c r="BS7" s="14">
        <v>6</v>
      </c>
      <c r="BZ7" s="14">
        <v>0</v>
      </c>
      <c r="CG7" s="14">
        <v>0</v>
      </c>
      <c r="CN7" s="14">
        <v>0</v>
      </c>
      <c r="CU7" s="14">
        <v>0</v>
      </c>
      <c r="DB7" s="14">
        <v>0</v>
      </c>
      <c r="DC7" s="14">
        <v>1</v>
      </c>
      <c r="DD7" s="14">
        <v>2</v>
      </c>
      <c r="DE7" s="14">
        <v>0</v>
      </c>
      <c r="DF7" s="14">
        <v>3</v>
      </c>
      <c r="DG7" s="14">
        <v>0</v>
      </c>
      <c r="DH7" s="14">
        <v>0</v>
      </c>
      <c r="DI7" s="14">
        <v>6</v>
      </c>
      <c r="DJ7" s="14" t="s">
        <v>597</v>
      </c>
      <c r="DK7" s="14" t="s">
        <v>597</v>
      </c>
      <c r="DL7" s="14" t="s">
        <v>598</v>
      </c>
      <c r="DM7" s="14" t="s">
        <v>597</v>
      </c>
      <c r="DN7" s="14" t="s">
        <v>598</v>
      </c>
      <c r="DO7" s="14" t="s">
        <v>598</v>
      </c>
      <c r="DP7" s="14" t="s">
        <v>598</v>
      </c>
      <c r="DQ7" s="14" t="s">
        <v>598</v>
      </c>
      <c r="DR7" s="14" t="s">
        <v>598</v>
      </c>
      <c r="DS7" s="14" t="s">
        <v>598</v>
      </c>
      <c r="DT7" s="14" t="s">
        <v>598</v>
      </c>
      <c r="DU7" s="14" t="s">
        <v>598</v>
      </c>
      <c r="DV7" s="14" t="s">
        <v>598</v>
      </c>
      <c r="DW7" s="14" t="s">
        <v>598</v>
      </c>
      <c r="DX7" s="14" t="s">
        <v>598</v>
      </c>
      <c r="DY7" s="14" t="s">
        <v>598</v>
      </c>
      <c r="DZ7" s="14" t="s">
        <v>598</v>
      </c>
      <c r="EA7" s="14" t="s">
        <v>598</v>
      </c>
      <c r="EB7" s="14" t="s">
        <v>598</v>
      </c>
      <c r="EC7" s="14" t="s">
        <v>598</v>
      </c>
      <c r="ED7" s="14" t="s">
        <v>598</v>
      </c>
      <c r="EE7" s="14" t="s">
        <v>598</v>
      </c>
      <c r="EF7" s="14" t="s">
        <v>598</v>
      </c>
      <c r="EG7" s="14" t="s">
        <v>598</v>
      </c>
      <c r="EH7" s="14" t="s">
        <v>598</v>
      </c>
      <c r="EI7" s="14" t="s">
        <v>598</v>
      </c>
      <c r="EJ7" s="14" t="s">
        <v>598</v>
      </c>
      <c r="EK7" s="14" t="s">
        <v>598</v>
      </c>
      <c r="EL7" s="14" t="s">
        <v>598</v>
      </c>
      <c r="EM7" s="14" t="s">
        <v>598</v>
      </c>
      <c r="EN7" s="14" t="s">
        <v>598</v>
      </c>
      <c r="EO7" s="14" t="s">
        <v>598</v>
      </c>
      <c r="EP7" s="14" t="s">
        <v>598</v>
      </c>
      <c r="EQ7" s="14" t="s">
        <v>598</v>
      </c>
      <c r="ER7" s="14" t="s">
        <v>598</v>
      </c>
      <c r="ES7" s="14" t="s">
        <v>598</v>
      </c>
      <c r="ET7" s="14">
        <v>200</v>
      </c>
      <c r="EU7" s="14">
        <v>200</v>
      </c>
      <c r="EZ7" s="14">
        <v>400</v>
      </c>
      <c r="FB7" s="14">
        <v>250</v>
      </c>
      <c r="FD7" s="14">
        <v>236.6</v>
      </c>
      <c r="FG7" s="14">
        <v>486.6</v>
      </c>
      <c r="FN7" s="14">
        <v>0</v>
      </c>
      <c r="FU7" s="14">
        <v>0</v>
      </c>
      <c r="GB7" s="14">
        <v>0</v>
      </c>
      <c r="GI7" s="14">
        <v>0</v>
      </c>
      <c r="GP7" s="14">
        <v>0</v>
      </c>
      <c r="GQ7" s="14" t="s">
        <v>638</v>
      </c>
      <c r="GR7" s="14">
        <v>110.8</v>
      </c>
      <c r="GS7" s="14">
        <v>20</v>
      </c>
      <c r="GU7" s="14">
        <v>240.7</v>
      </c>
      <c r="GX7" s="14">
        <v>371.5</v>
      </c>
      <c r="GY7" s="14">
        <v>310.8</v>
      </c>
      <c r="GZ7" s="14">
        <v>470</v>
      </c>
      <c r="HA7" s="14">
        <v>0</v>
      </c>
      <c r="HB7" s="14">
        <v>477.3</v>
      </c>
      <c r="HC7" s="14">
        <v>0</v>
      </c>
      <c r="HD7" s="14">
        <v>0</v>
      </c>
      <c r="HE7" s="14">
        <v>1258.0999999999999</v>
      </c>
      <c r="HF7" s="14">
        <v>300</v>
      </c>
      <c r="HG7" s="14">
        <v>265</v>
      </c>
      <c r="HI7" s="14">
        <v>477.3</v>
      </c>
      <c r="HL7" s="14">
        <v>1042.3</v>
      </c>
      <c r="HM7" s="14">
        <v>10.8</v>
      </c>
      <c r="HS7" s="14">
        <v>10.8</v>
      </c>
      <c r="HU7" s="14">
        <v>205</v>
      </c>
      <c r="HZ7" s="14">
        <v>205</v>
      </c>
      <c r="IG7" s="14">
        <v>0</v>
      </c>
      <c r="IN7" s="14">
        <v>0</v>
      </c>
      <c r="IO7" s="14">
        <v>310.8</v>
      </c>
      <c r="IP7" s="14">
        <v>470</v>
      </c>
      <c r="IQ7" s="14">
        <v>0</v>
      </c>
      <c r="IR7" s="14">
        <v>477.3</v>
      </c>
      <c r="IS7" s="14">
        <v>0</v>
      </c>
      <c r="IT7" s="14">
        <v>0</v>
      </c>
      <c r="IU7" s="14">
        <v>1258.0999999999999</v>
      </c>
      <c r="IV7" s="14">
        <v>23.8</v>
      </c>
      <c r="IX7" s="14">
        <v>76.2</v>
      </c>
      <c r="JA7" s="14">
        <v>1</v>
      </c>
      <c r="JB7" s="14">
        <v>1</v>
      </c>
      <c r="JC7" s="14">
        <v>2</v>
      </c>
      <c r="JD7" s="14" t="s">
        <v>600</v>
      </c>
      <c r="JE7" s="14">
        <v>200</v>
      </c>
      <c r="JF7" s="14">
        <v>200</v>
      </c>
      <c r="JK7" s="14">
        <v>400</v>
      </c>
      <c r="JM7" s="14">
        <v>250</v>
      </c>
      <c r="JO7" s="14">
        <v>236.6</v>
      </c>
      <c r="JR7" s="14">
        <v>486.6</v>
      </c>
      <c r="JY7" s="14">
        <v>0</v>
      </c>
      <c r="KF7" s="14">
        <v>0</v>
      </c>
      <c r="KM7" s="14">
        <v>0</v>
      </c>
      <c r="KT7" s="14">
        <v>0</v>
      </c>
      <c r="LA7" s="14">
        <v>0</v>
      </c>
      <c r="LB7" s="14" t="s">
        <v>638</v>
      </c>
      <c r="LC7" s="14">
        <v>110.8</v>
      </c>
      <c r="LD7" s="14">
        <v>20</v>
      </c>
      <c r="LF7" s="14">
        <v>240.7</v>
      </c>
      <c r="LI7" s="14">
        <v>371.5</v>
      </c>
      <c r="LJ7" s="14">
        <v>310.8</v>
      </c>
      <c r="LK7" s="14">
        <v>470</v>
      </c>
      <c r="LL7" s="14">
        <v>0</v>
      </c>
      <c r="LM7" s="14">
        <v>477.3</v>
      </c>
      <c r="LN7" s="14">
        <v>0</v>
      </c>
      <c r="LO7" s="14">
        <v>0</v>
      </c>
      <c r="LP7" s="14">
        <v>1258.0999999999999</v>
      </c>
      <c r="LQ7" s="14">
        <v>10.8</v>
      </c>
      <c r="LW7" s="14">
        <v>10.8</v>
      </c>
      <c r="LX7" s="14">
        <v>300</v>
      </c>
      <c r="LY7" s="14">
        <v>265</v>
      </c>
      <c r="MA7" s="14">
        <v>477.3</v>
      </c>
      <c r="MD7" s="14">
        <v>1042.3</v>
      </c>
      <c r="MF7" s="14">
        <v>205</v>
      </c>
      <c r="MK7" s="14">
        <v>205</v>
      </c>
      <c r="MR7" s="14">
        <v>0</v>
      </c>
      <c r="MY7" s="14">
        <v>0</v>
      </c>
      <c r="MZ7" s="14">
        <v>310.8</v>
      </c>
      <c r="NA7" s="14">
        <v>470</v>
      </c>
      <c r="NB7" s="14">
        <v>0</v>
      </c>
      <c r="NC7" s="14">
        <v>477.3</v>
      </c>
      <c r="ND7" s="14">
        <v>0</v>
      </c>
      <c r="NE7" s="14">
        <v>0</v>
      </c>
      <c r="NF7" s="14">
        <v>1258.0999999999999</v>
      </c>
      <c r="NG7" s="14" t="s">
        <v>601</v>
      </c>
      <c r="RJ7" s="14" t="s">
        <v>602</v>
      </c>
      <c r="VM7" s="14" t="s">
        <v>603</v>
      </c>
      <c r="ZP7" s="14" t="s">
        <v>604</v>
      </c>
      <c r="ADS7" s="14" t="s">
        <v>605</v>
      </c>
    </row>
    <row r="8" spans="1:905" x14ac:dyDescent="0.25">
      <c r="A8" s="14">
        <v>122</v>
      </c>
      <c r="B8" s="14" t="s">
        <v>590</v>
      </c>
      <c r="C8" s="16">
        <v>42780</v>
      </c>
      <c r="D8" s="14" t="s">
        <v>639</v>
      </c>
      <c r="E8" s="14" t="s">
        <v>640</v>
      </c>
      <c r="F8" s="14" t="str">
        <f>VLOOKUP(MID(H8,SEARCH("@",H8,1),LEN(H8)-SEARCH("@",H8,1)+1),[2]Sheet1!$D:$F,3,FALSE)</f>
        <v>M0137</v>
      </c>
      <c r="G8" s="14" t="s">
        <v>641</v>
      </c>
      <c r="H8" s="14" t="s">
        <v>642</v>
      </c>
      <c r="I8" s="14" t="s">
        <v>643</v>
      </c>
      <c r="J8" s="14" t="s">
        <v>618</v>
      </c>
      <c r="K8" s="14" t="s">
        <v>596</v>
      </c>
      <c r="M8" s="14">
        <v>1</v>
      </c>
      <c r="P8" s="14">
        <v>1150</v>
      </c>
      <c r="V8" s="14">
        <v>1150</v>
      </c>
      <c r="AC8" s="14">
        <v>0</v>
      </c>
      <c r="AJ8" s="14">
        <v>0</v>
      </c>
      <c r="AQ8" s="14">
        <v>0</v>
      </c>
      <c r="AX8" s="14">
        <v>0</v>
      </c>
      <c r="BE8" s="14">
        <v>0</v>
      </c>
      <c r="BF8" s="14">
        <v>1150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1150</v>
      </c>
      <c r="BM8" s="14">
        <v>1</v>
      </c>
      <c r="BS8" s="14">
        <v>1</v>
      </c>
      <c r="BZ8" s="14">
        <v>0</v>
      </c>
      <c r="CG8" s="14">
        <v>0</v>
      </c>
      <c r="CN8" s="14">
        <v>0</v>
      </c>
      <c r="CU8" s="14">
        <v>0</v>
      </c>
      <c r="DB8" s="14">
        <v>0</v>
      </c>
      <c r="DC8" s="14">
        <v>1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1</v>
      </c>
      <c r="DJ8" s="14" t="s">
        <v>597</v>
      </c>
      <c r="DK8" s="14" t="s">
        <v>598</v>
      </c>
      <c r="DL8" s="14" t="s">
        <v>598</v>
      </c>
      <c r="DM8" s="14" t="s">
        <v>598</v>
      </c>
      <c r="DN8" s="14" t="s">
        <v>598</v>
      </c>
      <c r="DO8" s="14" t="s">
        <v>598</v>
      </c>
      <c r="DP8" s="14" t="s">
        <v>598</v>
      </c>
      <c r="DQ8" s="14" t="s">
        <v>598</v>
      </c>
      <c r="DR8" s="14" t="s">
        <v>598</v>
      </c>
      <c r="DS8" s="14" t="s">
        <v>598</v>
      </c>
      <c r="DT8" s="14" t="s">
        <v>598</v>
      </c>
      <c r="DU8" s="14" t="s">
        <v>598</v>
      </c>
      <c r="DV8" s="14" t="s">
        <v>598</v>
      </c>
      <c r="DW8" s="14" t="s">
        <v>598</v>
      </c>
      <c r="DX8" s="14" t="s">
        <v>598</v>
      </c>
      <c r="DY8" s="14" t="s">
        <v>598</v>
      </c>
      <c r="DZ8" s="14" t="s">
        <v>598</v>
      </c>
      <c r="EA8" s="14" t="s">
        <v>598</v>
      </c>
      <c r="EB8" s="14" t="s">
        <v>598</v>
      </c>
      <c r="EC8" s="14" t="s">
        <v>598</v>
      </c>
      <c r="ED8" s="14" t="s">
        <v>598</v>
      </c>
      <c r="EE8" s="14" t="s">
        <v>598</v>
      </c>
      <c r="EF8" s="14" t="s">
        <v>598</v>
      </c>
      <c r="EG8" s="14" t="s">
        <v>598</v>
      </c>
      <c r="EH8" s="14" t="s">
        <v>598</v>
      </c>
      <c r="EI8" s="14" t="s">
        <v>598</v>
      </c>
      <c r="EJ8" s="14" t="s">
        <v>598</v>
      </c>
      <c r="EK8" s="14" t="s">
        <v>598</v>
      </c>
      <c r="EL8" s="14" t="s">
        <v>598</v>
      </c>
      <c r="EM8" s="14" t="s">
        <v>598</v>
      </c>
      <c r="EN8" s="14" t="s">
        <v>598</v>
      </c>
      <c r="EO8" s="14" t="s">
        <v>598</v>
      </c>
      <c r="EP8" s="14" t="s">
        <v>598</v>
      </c>
      <c r="EQ8" s="14" t="s">
        <v>598</v>
      </c>
      <c r="ER8" s="14" t="s">
        <v>598</v>
      </c>
      <c r="ES8" s="14" t="s">
        <v>598</v>
      </c>
      <c r="ET8" s="14">
        <v>645</v>
      </c>
      <c r="EZ8" s="14">
        <v>645</v>
      </c>
      <c r="FG8" s="14">
        <v>0</v>
      </c>
      <c r="FH8" s="14">
        <v>375</v>
      </c>
      <c r="FN8" s="14">
        <v>375</v>
      </c>
      <c r="FU8" s="14">
        <v>0</v>
      </c>
      <c r="FV8" s="14">
        <v>35</v>
      </c>
      <c r="GB8" s="14">
        <v>35</v>
      </c>
      <c r="GC8" s="14">
        <v>55</v>
      </c>
      <c r="GI8" s="14">
        <v>55</v>
      </c>
      <c r="GP8" s="14">
        <v>0</v>
      </c>
      <c r="GQ8" s="14" t="s">
        <v>644</v>
      </c>
      <c r="GR8" s="14">
        <v>35</v>
      </c>
      <c r="GX8" s="14">
        <v>35</v>
      </c>
      <c r="GY8" s="14">
        <v>1145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1145</v>
      </c>
      <c r="HF8" s="14">
        <v>430</v>
      </c>
      <c r="HL8" s="14">
        <v>430</v>
      </c>
      <c r="HM8" s="14">
        <v>35</v>
      </c>
      <c r="HS8" s="14">
        <v>35</v>
      </c>
      <c r="HT8" s="14">
        <v>680</v>
      </c>
      <c r="HZ8" s="14">
        <v>680</v>
      </c>
      <c r="IG8" s="14">
        <v>0</v>
      </c>
      <c r="IN8" s="14">
        <v>0</v>
      </c>
      <c r="IO8" s="14">
        <v>1145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1145</v>
      </c>
      <c r="IV8" s="14">
        <v>33</v>
      </c>
      <c r="IX8" s="14">
        <v>67</v>
      </c>
      <c r="JA8" s="14">
        <v>1</v>
      </c>
      <c r="JB8" s="14">
        <v>3</v>
      </c>
      <c r="JC8" s="14">
        <v>1</v>
      </c>
      <c r="JD8" s="14" t="s">
        <v>600</v>
      </c>
      <c r="JE8" s="14">
        <v>645</v>
      </c>
      <c r="JK8" s="14">
        <v>645</v>
      </c>
      <c r="JR8" s="14">
        <v>0</v>
      </c>
      <c r="JS8" s="14">
        <v>375</v>
      </c>
      <c r="JY8" s="14">
        <v>375</v>
      </c>
      <c r="KF8" s="14">
        <v>0</v>
      </c>
      <c r="KG8" s="14">
        <v>35</v>
      </c>
      <c r="KM8" s="14">
        <v>35</v>
      </c>
      <c r="KN8" s="14">
        <v>55</v>
      </c>
      <c r="KT8" s="14">
        <v>55</v>
      </c>
      <c r="LA8" s="14">
        <v>0</v>
      </c>
      <c r="LC8" s="14">
        <v>35</v>
      </c>
      <c r="LI8" s="14">
        <v>35</v>
      </c>
      <c r="LJ8" s="14">
        <v>1145</v>
      </c>
      <c r="LK8" s="14">
        <v>0</v>
      </c>
      <c r="LL8" s="14">
        <v>0</v>
      </c>
      <c r="LM8" s="14">
        <v>0</v>
      </c>
      <c r="LN8" s="14">
        <v>0</v>
      </c>
      <c r="LO8" s="14">
        <v>0</v>
      </c>
      <c r="LP8" s="14">
        <v>1145</v>
      </c>
      <c r="LQ8" s="14">
        <v>35</v>
      </c>
      <c r="LW8" s="14">
        <v>35</v>
      </c>
      <c r="LX8" s="14">
        <v>430</v>
      </c>
      <c r="MD8" s="14">
        <v>430</v>
      </c>
      <c r="ME8" s="14">
        <v>680</v>
      </c>
      <c r="MK8" s="14">
        <v>680</v>
      </c>
      <c r="MR8" s="14">
        <v>0</v>
      </c>
      <c r="MY8" s="14">
        <v>0</v>
      </c>
      <c r="MZ8" s="14">
        <v>1145</v>
      </c>
      <c r="NA8" s="14">
        <v>0</v>
      </c>
      <c r="NB8" s="14">
        <v>0</v>
      </c>
      <c r="NC8" s="14">
        <v>0</v>
      </c>
      <c r="ND8" s="14">
        <v>0</v>
      </c>
      <c r="NE8" s="14">
        <v>0</v>
      </c>
      <c r="NF8" s="14">
        <v>1145</v>
      </c>
      <c r="NG8" s="14" t="s">
        <v>601</v>
      </c>
      <c r="RJ8" s="14" t="s">
        <v>602</v>
      </c>
      <c r="VM8" s="14" t="s">
        <v>603</v>
      </c>
      <c r="ZP8" s="14" t="s">
        <v>604</v>
      </c>
      <c r="ADS8" s="14" t="s">
        <v>605</v>
      </c>
    </row>
    <row r="9" spans="1:905" x14ac:dyDescent="0.25">
      <c r="A9" s="14">
        <v>162</v>
      </c>
      <c r="B9" s="14" t="s">
        <v>590</v>
      </c>
      <c r="C9" s="16">
        <v>42772.408333333333</v>
      </c>
      <c r="D9" s="14" t="s">
        <v>645</v>
      </c>
      <c r="E9" s="14" t="s">
        <v>646</v>
      </c>
      <c r="F9" s="14" t="str">
        <f>VLOOKUP(MID(H9,SEARCH("@",H9,1),LEN(H9)-SEARCH("@",H9,1)+1),[2]Sheet1!$D:$F,3,FALSE)</f>
        <v>M766</v>
      </c>
      <c r="G9" s="14" t="s">
        <v>647</v>
      </c>
      <c r="H9" s="14" t="s">
        <v>648</v>
      </c>
      <c r="I9" s="14" t="s">
        <v>649</v>
      </c>
      <c r="J9" s="14" t="s">
        <v>624</v>
      </c>
      <c r="K9" s="14" t="s">
        <v>596</v>
      </c>
      <c r="M9" s="14">
        <v>2</v>
      </c>
      <c r="N9" s="14">
        <v>1</v>
      </c>
      <c r="V9" s="14">
        <v>0</v>
      </c>
      <c r="AC9" s="14">
        <v>0</v>
      </c>
      <c r="AJ9" s="14">
        <v>0</v>
      </c>
      <c r="AQ9" s="14">
        <v>0</v>
      </c>
      <c r="AX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S9" s="14">
        <v>0</v>
      </c>
      <c r="BZ9" s="14">
        <v>0</v>
      </c>
      <c r="CG9" s="14">
        <v>0</v>
      </c>
      <c r="CN9" s="14">
        <v>0</v>
      </c>
      <c r="CU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 t="s">
        <v>598</v>
      </c>
      <c r="DK9" s="14" t="s">
        <v>598</v>
      </c>
      <c r="DL9" s="14" t="s">
        <v>598</v>
      </c>
      <c r="DM9" s="14" t="s">
        <v>598</v>
      </c>
      <c r="DN9" s="14" t="s">
        <v>598</v>
      </c>
      <c r="DO9" s="14" t="s">
        <v>598</v>
      </c>
      <c r="DP9" s="14" t="s">
        <v>598</v>
      </c>
      <c r="DQ9" s="14" t="s">
        <v>598</v>
      </c>
      <c r="DR9" s="14" t="s">
        <v>598</v>
      </c>
      <c r="DS9" s="14" t="s">
        <v>598</v>
      </c>
      <c r="DT9" s="14" t="s">
        <v>598</v>
      </c>
      <c r="DU9" s="14" t="s">
        <v>598</v>
      </c>
      <c r="DV9" s="14" t="s">
        <v>598</v>
      </c>
      <c r="DW9" s="14" t="s">
        <v>598</v>
      </c>
      <c r="DX9" s="14" t="s">
        <v>598</v>
      </c>
      <c r="DY9" s="14" t="s">
        <v>598</v>
      </c>
      <c r="DZ9" s="14" t="s">
        <v>598</v>
      </c>
      <c r="EA9" s="14" t="s">
        <v>598</v>
      </c>
      <c r="EB9" s="14" t="s">
        <v>598</v>
      </c>
      <c r="EC9" s="14" t="s">
        <v>598</v>
      </c>
      <c r="ED9" s="14" t="s">
        <v>598</v>
      </c>
      <c r="EE9" s="14" t="s">
        <v>598</v>
      </c>
      <c r="EF9" s="14" t="s">
        <v>598</v>
      </c>
      <c r="EG9" s="14" t="s">
        <v>598</v>
      </c>
      <c r="EH9" s="14" t="s">
        <v>598</v>
      </c>
      <c r="EI9" s="14" t="s">
        <v>598</v>
      </c>
      <c r="EJ9" s="14" t="s">
        <v>598</v>
      </c>
      <c r="EK9" s="14" t="s">
        <v>598</v>
      </c>
      <c r="EL9" s="14" t="s">
        <v>598</v>
      </c>
      <c r="EM9" s="14" t="s">
        <v>598</v>
      </c>
      <c r="EN9" s="14" t="s">
        <v>598</v>
      </c>
      <c r="EO9" s="14" t="s">
        <v>598</v>
      </c>
      <c r="EP9" s="14" t="s">
        <v>598</v>
      </c>
      <c r="EQ9" s="14" t="s">
        <v>598</v>
      </c>
      <c r="ER9" s="14" t="s">
        <v>598</v>
      </c>
      <c r="ES9" s="14" t="s">
        <v>598</v>
      </c>
      <c r="EZ9" s="14">
        <v>0</v>
      </c>
      <c r="FG9" s="14">
        <v>0</v>
      </c>
      <c r="FN9" s="14">
        <v>0</v>
      </c>
      <c r="FU9" s="14">
        <v>0</v>
      </c>
      <c r="GB9" s="14">
        <v>0</v>
      </c>
      <c r="GI9" s="14">
        <v>0</v>
      </c>
      <c r="GP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L9" s="14">
        <v>0</v>
      </c>
      <c r="HS9" s="14">
        <v>0</v>
      </c>
      <c r="HZ9" s="14">
        <v>0</v>
      </c>
      <c r="IG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JA9" s="14">
        <v>1</v>
      </c>
      <c r="JB9" s="14">
        <v>2</v>
      </c>
      <c r="JC9" s="14">
        <v>2</v>
      </c>
      <c r="JD9" s="14" t="s">
        <v>600</v>
      </c>
      <c r="NG9" s="14" t="s">
        <v>601</v>
      </c>
      <c r="RJ9" s="14" t="s">
        <v>602</v>
      </c>
      <c r="VM9" s="14" t="s">
        <v>603</v>
      </c>
      <c r="ZP9" s="14" t="s">
        <v>604</v>
      </c>
      <c r="ADS9" s="14" t="s">
        <v>605</v>
      </c>
    </row>
    <row r="10" spans="1:905" x14ac:dyDescent="0.25">
      <c r="A10" s="14">
        <v>226</v>
      </c>
      <c r="B10" s="14" t="s">
        <v>590</v>
      </c>
      <c r="C10" s="16">
        <v>42780</v>
      </c>
      <c r="D10" s="14" t="s">
        <v>650</v>
      </c>
      <c r="E10" s="14" t="s">
        <v>651</v>
      </c>
      <c r="F10" s="14" t="str">
        <f>VLOOKUP(MID(H10,SEARCH("@",H10,1),LEN(H10)-SEARCH("@",H10,1)+1),[2]Sheet1!$D:$F,3,FALSE)</f>
        <v>M082</v>
      </c>
      <c r="G10" s="14" t="s">
        <v>652</v>
      </c>
      <c r="H10" s="14" t="s">
        <v>653</v>
      </c>
      <c r="I10" s="14">
        <v>-2603</v>
      </c>
      <c r="J10" s="14" t="s">
        <v>611</v>
      </c>
      <c r="K10" s="14" t="s">
        <v>596</v>
      </c>
      <c r="M10" s="14">
        <v>1</v>
      </c>
      <c r="P10" s="14">
        <v>500</v>
      </c>
      <c r="S10" s="14">
        <v>75</v>
      </c>
      <c r="V10" s="14">
        <v>575</v>
      </c>
      <c r="AC10" s="14">
        <v>0</v>
      </c>
      <c r="AD10" s="14">
        <v>1377</v>
      </c>
      <c r="AG10" s="14">
        <v>500</v>
      </c>
      <c r="AH10" s="14">
        <v>287</v>
      </c>
      <c r="AI10" s="14">
        <v>280</v>
      </c>
      <c r="AJ10" s="14">
        <v>2444</v>
      </c>
      <c r="AQ10" s="14">
        <v>0</v>
      </c>
      <c r="AX10" s="14">
        <v>0</v>
      </c>
      <c r="BE10" s="14">
        <v>0</v>
      </c>
      <c r="BF10" s="14">
        <v>1877</v>
      </c>
      <c r="BG10" s="14">
        <v>0</v>
      </c>
      <c r="BH10" s="14">
        <v>0</v>
      </c>
      <c r="BI10" s="14">
        <v>575</v>
      </c>
      <c r="BJ10" s="14">
        <v>287</v>
      </c>
      <c r="BK10" s="14">
        <v>280</v>
      </c>
      <c r="BL10" s="14">
        <v>3019</v>
      </c>
      <c r="BM10" s="14">
        <v>1</v>
      </c>
      <c r="BP10" s="14">
        <v>1</v>
      </c>
      <c r="BS10" s="14">
        <v>2</v>
      </c>
      <c r="BZ10" s="14">
        <v>0</v>
      </c>
      <c r="CA10" s="14">
        <v>3</v>
      </c>
      <c r="CD10" s="14">
        <v>1</v>
      </c>
      <c r="CE10" s="14">
        <v>2</v>
      </c>
      <c r="CF10" s="14">
        <v>1</v>
      </c>
      <c r="CG10" s="14">
        <v>7</v>
      </c>
      <c r="CN10" s="14">
        <v>0</v>
      </c>
      <c r="CU10" s="14">
        <v>0</v>
      </c>
      <c r="DB10" s="14">
        <v>0</v>
      </c>
      <c r="DC10" s="14">
        <v>4</v>
      </c>
      <c r="DD10" s="14">
        <v>0</v>
      </c>
      <c r="DE10" s="14">
        <v>0</v>
      </c>
      <c r="DF10" s="14">
        <v>2</v>
      </c>
      <c r="DG10" s="14">
        <v>2</v>
      </c>
      <c r="DH10" s="14">
        <v>1</v>
      </c>
      <c r="DI10" s="14">
        <v>9</v>
      </c>
      <c r="DJ10" s="14" t="s">
        <v>597</v>
      </c>
      <c r="DK10" s="14" t="s">
        <v>598</v>
      </c>
      <c r="DL10" s="14" t="s">
        <v>598</v>
      </c>
      <c r="DM10" s="14" t="s">
        <v>597</v>
      </c>
      <c r="DN10" s="14" t="s">
        <v>598</v>
      </c>
      <c r="DO10" s="14" t="s">
        <v>598</v>
      </c>
      <c r="DP10" s="14" t="s">
        <v>598</v>
      </c>
      <c r="DQ10" s="14" t="s">
        <v>598</v>
      </c>
      <c r="DR10" s="14" t="s">
        <v>598</v>
      </c>
      <c r="DS10" s="14" t="s">
        <v>598</v>
      </c>
      <c r="DT10" s="14" t="s">
        <v>598</v>
      </c>
      <c r="DU10" s="14" t="s">
        <v>598</v>
      </c>
      <c r="DV10" s="14" t="s">
        <v>597</v>
      </c>
      <c r="DW10" s="14" t="s">
        <v>598</v>
      </c>
      <c r="DX10" s="14" t="s">
        <v>598</v>
      </c>
      <c r="DY10" s="14" t="s">
        <v>597</v>
      </c>
      <c r="DZ10" s="14" t="s">
        <v>597</v>
      </c>
      <c r="EA10" s="14" t="s">
        <v>597</v>
      </c>
      <c r="EB10" s="14" t="s">
        <v>598</v>
      </c>
      <c r="EC10" s="14" t="s">
        <v>598</v>
      </c>
      <c r="ED10" s="14" t="s">
        <v>598</v>
      </c>
      <c r="EE10" s="14" t="s">
        <v>598</v>
      </c>
      <c r="EF10" s="14" t="s">
        <v>598</v>
      </c>
      <c r="EG10" s="14" t="s">
        <v>598</v>
      </c>
      <c r="EH10" s="14" t="s">
        <v>598</v>
      </c>
      <c r="EI10" s="14" t="s">
        <v>598</v>
      </c>
      <c r="EJ10" s="14" t="s">
        <v>598</v>
      </c>
      <c r="EK10" s="14" t="s">
        <v>598</v>
      </c>
      <c r="EL10" s="14" t="s">
        <v>598</v>
      </c>
      <c r="EM10" s="14" t="s">
        <v>598</v>
      </c>
      <c r="EN10" s="14" t="s">
        <v>598</v>
      </c>
      <c r="EO10" s="14" t="s">
        <v>598</v>
      </c>
      <c r="EP10" s="14" t="s">
        <v>598</v>
      </c>
      <c r="EQ10" s="14" t="s">
        <v>598</v>
      </c>
      <c r="ER10" s="14" t="s">
        <v>598</v>
      </c>
      <c r="ES10" s="14" t="s">
        <v>598</v>
      </c>
      <c r="ET10" s="14">
        <v>1863</v>
      </c>
      <c r="EW10" s="14">
        <v>575</v>
      </c>
      <c r="EX10" s="14">
        <v>287</v>
      </c>
      <c r="EZ10" s="14">
        <v>2725</v>
      </c>
      <c r="FG10" s="14">
        <v>0</v>
      </c>
      <c r="FN10" s="14">
        <v>0</v>
      </c>
      <c r="FU10" s="14">
        <v>0</v>
      </c>
      <c r="FV10" s="14">
        <v>6</v>
      </c>
      <c r="GB10" s="14">
        <v>6</v>
      </c>
      <c r="GC10" s="14">
        <v>8</v>
      </c>
      <c r="GI10" s="14">
        <v>8</v>
      </c>
      <c r="GP10" s="14">
        <v>0</v>
      </c>
      <c r="GQ10" s="14" t="s">
        <v>654</v>
      </c>
      <c r="GW10" s="14">
        <v>280</v>
      </c>
      <c r="GX10" s="14">
        <v>280</v>
      </c>
      <c r="GY10" s="14">
        <v>1877</v>
      </c>
      <c r="GZ10" s="14">
        <v>0</v>
      </c>
      <c r="HA10" s="14">
        <v>0</v>
      </c>
      <c r="HB10" s="14">
        <v>575</v>
      </c>
      <c r="HC10" s="14">
        <v>287</v>
      </c>
      <c r="HD10" s="14">
        <v>280</v>
      </c>
      <c r="HE10" s="14">
        <v>3019</v>
      </c>
      <c r="HK10" s="14">
        <v>280</v>
      </c>
      <c r="HL10" s="14">
        <v>280</v>
      </c>
      <c r="HM10" s="14">
        <v>50</v>
      </c>
      <c r="HS10" s="14">
        <v>50</v>
      </c>
      <c r="HT10" s="14">
        <v>1827</v>
      </c>
      <c r="HW10" s="14">
        <v>575</v>
      </c>
      <c r="HX10" s="14">
        <v>287</v>
      </c>
      <c r="HZ10" s="14">
        <v>2689</v>
      </c>
      <c r="IG10" s="14">
        <v>0</v>
      </c>
      <c r="IN10" s="14">
        <v>0</v>
      </c>
      <c r="IO10" s="14">
        <v>1877</v>
      </c>
      <c r="IP10" s="14">
        <v>0</v>
      </c>
      <c r="IQ10" s="14">
        <v>0</v>
      </c>
      <c r="IR10" s="14">
        <v>575</v>
      </c>
      <c r="IS10" s="14">
        <v>287</v>
      </c>
      <c r="IT10" s="14">
        <v>280</v>
      </c>
      <c r="IU10" s="14">
        <v>3019</v>
      </c>
      <c r="IW10" s="14">
        <v>50</v>
      </c>
      <c r="IX10" s="14">
        <v>50</v>
      </c>
      <c r="JA10" s="14">
        <v>1</v>
      </c>
      <c r="JB10" s="14">
        <v>1</v>
      </c>
      <c r="JC10" s="14">
        <v>1</v>
      </c>
      <c r="JD10" s="14" t="s">
        <v>600</v>
      </c>
      <c r="JE10" s="14">
        <v>500</v>
      </c>
      <c r="JH10" s="14">
        <v>75</v>
      </c>
      <c r="JK10" s="14">
        <v>575</v>
      </c>
      <c r="JR10" s="14">
        <v>0</v>
      </c>
      <c r="JY10" s="14">
        <v>0</v>
      </c>
      <c r="KF10" s="14">
        <v>0</v>
      </c>
      <c r="KM10" s="14">
        <v>0</v>
      </c>
      <c r="KT10" s="14">
        <v>0</v>
      </c>
      <c r="LA10" s="14">
        <v>0</v>
      </c>
      <c r="LI10" s="14">
        <v>0</v>
      </c>
      <c r="LJ10" s="14">
        <v>500</v>
      </c>
      <c r="LK10" s="14">
        <v>0</v>
      </c>
      <c r="LL10" s="14">
        <v>0</v>
      </c>
      <c r="LM10" s="14">
        <v>75</v>
      </c>
      <c r="LN10" s="14">
        <v>0</v>
      </c>
      <c r="LO10" s="14">
        <v>0</v>
      </c>
      <c r="LP10" s="14">
        <v>575</v>
      </c>
      <c r="LQ10" s="14">
        <v>50</v>
      </c>
      <c r="LW10" s="14">
        <v>50</v>
      </c>
      <c r="MD10" s="14">
        <v>0</v>
      </c>
      <c r="ME10" s="14">
        <v>450</v>
      </c>
      <c r="MH10" s="14">
        <v>75</v>
      </c>
      <c r="MK10" s="14">
        <v>525</v>
      </c>
      <c r="MR10" s="14">
        <v>0</v>
      </c>
      <c r="MY10" s="14">
        <v>0</v>
      </c>
      <c r="MZ10" s="14">
        <v>500</v>
      </c>
      <c r="NA10" s="14">
        <v>0</v>
      </c>
      <c r="NB10" s="14">
        <v>0</v>
      </c>
      <c r="NC10" s="14">
        <v>75</v>
      </c>
      <c r="ND10" s="14">
        <v>0</v>
      </c>
      <c r="NE10" s="14">
        <v>0</v>
      </c>
      <c r="NF10" s="14">
        <v>575</v>
      </c>
      <c r="NG10" s="14" t="s">
        <v>601</v>
      </c>
      <c r="RJ10" s="14" t="s">
        <v>602</v>
      </c>
      <c r="RK10" s="14">
        <v>1363</v>
      </c>
      <c r="RN10" s="14">
        <v>500</v>
      </c>
      <c r="RO10" s="14">
        <v>287</v>
      </c>
      <c r="RQ10" s="14">
        <v>2150</v>
      </c>
      <c r="RX10" s="14">
        <v>0</v>
      </c>
      <c r="SE10" s="14">
        <v>0</v>
      </c>
      <c r="SL10" s="14">
        <v>0</v>
      </c>
      <c r="SM10" s="14">
        <v>6</v>
      </c>
      <c r="SS10" s="14">
        <v>6</v>
      </c>
      <c r="ST10" s="14">
        <v>8</v>
      </c>
      <c r="SZ10" s="14">
        <v>8</v>
      </c>
      <c r="TG10" s="14">
        <v>0</v>
      </c>
      <c r="TH10" s="14" t="s">
        <v>654</v>
      </c>
      <c r="TN10" s="14">
        <v>280</v>
      </c>
      <c r="TO10" s="14">
        <v>280</v>
      </c>
      <c r="TP10" s="14">
        <v>1377</v>
      </c>
      <c r="TQ10" s="14">
        <v>0</v>
      </c>
      <c r="TR10" s="14">
        <v>0</v>
      </c>
      <c r="TS10" s="14">
        <v>500</v>
      </c>
      <c r="TT10" s="14">
        <v>287</v>
      </c>
      <c r="TU10" s="14">
        <v>280</v>
      </c>
      <c r="TV10" s="14">
        <v>2444</v>
      </c>
      <c r="UC10" s="14">
        <v>0</v>
      </c>
      <c r="UI10" s="14">
        <v>280</v>
      </c>
      <c r="UJ10" s="14">
        <v>280</v>
      </c>
      <c r="UK10" s="14">
        <v>1377</v>
      </c>
      <c r="UN10" s="14">
        <v>500</v>
      </c>
      <c r="UO10" s="14">
        <v>287</v>
      </c>
      <c r="UQ10" s="14">
        <v>2164</v>
      </c>
      <c r="UX10" s="14">
        <v>0</v>
      </c>
      <c r="VE10" s="14">
        <v>0</v>
      </c>
      <c r="VF10" s="14">
        <v>1377</v>
      </c>
      <c r="VG10" s="14">
        <v>0</v>
      </c>
      <c r="VH10" s="14">
        <v>0</v>
      </c>
      <c r="VI10" s="14">
        <v>500</v>
      </c>
      <c r="VJ10" s="14">
        <v>287</v>
      </c>
      <c r="VK10" s="14">
        <v>280</v>
      </c>
      <c r="VL10" s="14">
        <v>2444</v>
      </c>
      <c r="VM10" s="14" t="s">
        <v>603</v>
      </c>
      <c r="ZP10" s="14" t="s">
        <v>604</v>
      </c>
      <c r="ADS10" s="14" t="s">
        <v>605</v>
      </c>
    </row>
    <row r="11" spans="1:905" x14ac:dyDescent="0.25">
      <c r="A11" s="14">
        <v>77</v>
      </c>
      <c r="B11" s="14" t="s">
        <v>590</v>
      </c>
      <c r="C11" s="16">
        <v>42747.280555555553</v>
      </c>
      <c r="D11" s="14" t="s">
        <v>655</v>
      </c>
      <c r="E11" s="14" t="s">
        <v>656</v>
      </c>
      <c r="F11" s="14" t="str">
        <f>VLOOKUP(MID(H11,SEARCH("@",H11,1),LEN(H11)-SEARCH("@",H11,1)+1),[2]Sheet1!$D:$F,3,FALSE)</f>
        <v>M0226</v>
      </c>
      <c r="G11" s="14" t="s">
        <v>657</v>
      </c>
      <c r="H11" s="14" t="s">
        <v>658</v>
      </c>
      <c r="I11" s="14">
        <v>85237982627</v>
      </c>
      <c r="J11" s="14" t="s">
        <v>659</v>
      </c>
      <c r="K11" s="14" t="s">
        <v>596</v>
      </c>
      <c r="M11" s="14">
        <v>2</v>
      </c>
      <c r="N11" s="14">
        <v>6</v>
      </c>
      <c r="O11" s="14" t="s">
        <v>660</v>
      </c>
      <c r="V11" s="14">
        <v>0</v>
      </c>
      <c r="AC11" s="14">
        <v>0</v>
      </c>
      <c r="AJ11" s="14">
        <v>0</v>
      </c>
      <c r="AQ11" s="14">
        <v>0</v>
      </c>
      <c r="AX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S11" s="14">
        <v>0</v>
      </c>
      <c r="BZ11" s="14">
        <v>0</v>
      </c>
      <c r="CG11" s="14">
        <v>0</v>
      </c>
      <c r="CN11" s="14">
        <v>0</v>
      </c>
      <c r="CU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 t="s">
        <v>598</v>
      </c>
      <c r="DK11" s="14" t="s">
        <v>598</v>
      </c>
      <c r="DL11" s="14" t="s">
        <v>598</v>
      </c>
      <c r="DM11" s="14" t="s">
        <v>598</v>
      </c>
      <c r="DN11" s="14" t="s">
        <v>598</v>
      </c>
      <c r="DO11" s="14" t="s">
        <v>598</v>
      </c>
      <c r="DP11" s="14" t="s">
        <v>598</v>
      </c>
      <c r="DQ11" s="14" t="s">
        <v>598</v>
      </c>
      <c r="DR11" s="14" t="s">
        <v>598</v>
      </c>
      <c r="DS11" s="14" t="s">
        <v>598</v>
      </c>
      <c r="DT11" s="14" t="s">
        <v>598</v>
      </c>
      <c r="DU11" s="14" t="s">
        <v>598</v>
      </c>
      <c r="DV11" s="14" t="s">
        <v>598</v>
      </c>
      <c r="DW11" s="14" t="s">
        <v>598</v>
      </c>
      <c r="DX11" s="14" t="s">
        <v>598</v>
      </c>
      <c r="DY11" s="14" t="s">
        <v>598</v>
      </c>
      <c r="DZ11" s="14" t="s">
        <v>598</v>
      </c>
      <c r="EA11" s="14" t="s">
        <v>598</v>
      </c>
      <c r="EB11" s="14" t="s">
        <v>598</v>
      </c>
      <c r="EC11" s="14" t="s">
        <v>598</v>
      </c>
      <c r="ED11" s="14" t="s">
        <v>598</v>
      </c>
      <c r="EE11" s="14" t="s">
        <v>598</v>
      </c>
      <c r="EF11" s="14" t="s">
        <v>598</v>
      </c>
      <c r="EG11" s="14" t="s">
        <v>598</v>
      </c>
      <c r="EH11" s="14" t="s">
        <v>598</v>
      </c>
      <c r="EI11" s="14" t="s">
        <v>598</v>
      </c>
      <c r="EJ11" s="14" t="s">
        <v>598</v>
      </c>
      <c r="EK11" s="14" t="s">
        <v>598</v>
      </c>
      <c r="EL11" s="14" t="s">
        <v>598</v>
      </c>
      <c r="EM11" s="14" t="s">
        <v>598</v>
      </c>
      <c r="EN11" s="14" t="s">
        <v>598</v>
      </c>
      <c r="EO11" s="14" t="s">
        <v>598</v>
      </c>
      <c r="EP11" s="14" t="s">
        <v>598</v>
      </c>
      <c r="EQ11" s="14" t="s">
        <v>598</v>
      </c>
      <c r="ER11" s="14" t="s">
        <v>598</v>
      </c>
      <c r="ES11" s="14" t="s">
        <v>598</v>
      </c>
      <c r="EZ11" s="14">
        <v>0</v>
      </c>
      <c r="FG11" s="14">
        <v>0</v>
      </c>
      <c r="FN11" s="14">
        <v>0</v>
      </c>
      <c r="FU11" s="14">
        <v>0</v>
      </c>
      <c r="GB11" s="14">
        <v>0</v>
      </c>
      <c r="GI11" s="14">
        <v>0</v>
      </c>
      <c r="GP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L11" s="14">
        <v>0</v>
      </c>
      <c r="HS11" s="14">
        <v>0</v>
      </c>
      <c r="HZ11" s="14">
        <v>0</v>
      </c>
      <c r="IG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JA11" s="14">
        <v>1</v>
      </c>
      <c r="JB11" s="14">
        <v>3</v>
      </c>
      <c r="JC11" s="14">
        <v>1</v>
      </c>
      <c r="JD11" s="14" t="s">
        <v>600</v>
      </c>
      <c r="NG11" s="14" t="s">
        <v>601</v>
      </c>
      <c r="RJ11" s="14" t="s">
        <v>602</v>
      </c>
      <c r="VM11" s="14" t="s">
        <v>603</v>
      </c>
      <c r="ZP11" s="14" t="s">
        <v>604</v>
      </c>
      <c r="ADS11" s="14" t="s">
        <v>605</v>
      </c>
    </row>
    <row r="12" spans="1:905" x14ac:dyDescent="0.25">
      <c r="A12" s="14">
        <v>117</v>
      </c>
      <c r="B12" s="14" t="s">
        <v>590</v>
      </c>
      <c r="C12" s="16">
        <v>42760.369444444441</v>
      </c>
      <c r="D12" s="14" t="s">
        <v>661</v>
      </c>
      <c r="E12" s="14" t="s">
        <v>662</v>
      </c>
      <c r="F12" s="14" t="str">
        <f>VLOOKUP(MID(H12,SEARCH("@",H12,1),LEN(H12)-SEARCH("@",H12,1)+1),[2]Sheet1!$D:$F,3,FALSE)</f>
        <v>M0159</v>
      </c>
      <c r="G12" s="14" t="s">
        <v>663</v>
      </c>
      <c r="H12" s="14" t="s">
        <v>664</v>
      </c>
      <c r="I12" s="14">
        <v>-14384</v>
      </c>
      <c r="J12" s="14" t="s">
        <v>595</v>
      </c>
      <c r="K12" s="14" t="s">
        <v>596</v>
      </c>
      <c r="M12" s="14">
        <v>1</v>
      </c>
      <c r="P12" s="14">
        <v>280</v>
      </c>
      <c r="V12" s="14">
        <v>280</v>
      </c>
      <c r="AC12" s="14">
        <v>0</v>
      </c>
      <c r="AJ12" s="14">
        <v>0</v>
      </c>
      <c r="AQ12" s="14">
        <v>0</v>
      </c>
      <c r="AX12" s="14">
        <v>0</v>
      </c>
      <c r="BE12" s="14">
        <v>0</v>
      </c>
      <c r="BF12" s="14">
        <v>280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280</v>
      </c>
      <c r="BM12" s="14">
        <v>1</v>
      </c>
      <c r="BS12" s="14">
        <v>1</v>
      </c>
      <c r="BZ12" s="14">
        <v>0</v>
      </c>
      <c r="CG12" s="14">
        <v>0</v>
      </c>
      <c r="CN12" s="14">
        <v>0</v>
      </c>
      <c r="CU12" s="14">
        <v>0</v>
      </c>
      <c r="DB12" s="14">
        <v>0</v>
      </c>
      <c r="DC12" s="14">
        <v>1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1</v>
      </c>
      <c r="DJ12" s="14" t="s">
        <v>597</v>
      </c>
      <c r="DK12" s="14" t="s">
        <v>598</v>
      </c>
      <c r="DL12" s="14" t="s">
        <v>598</v>
      </c>
      <c r="DM12" s="14" t="s">
        <v>598</v>
      </c>
      <c r="DN12" s="14" t="s">
        <v>598</v>
      </c>
      <c r="DO12" s="14" t="s">
        <v>598</v>
      </c>
      <c r="DP12" s="14" t="s">
        <v>598</v>
      </c>
      <c r="DQ12" s="14" t="s">
        <v>598</v>
      </c>
      <c r="DR12" s="14" t="s">
        <v>598</v>
      </c>
      <c r="DS12" s="14" t="s">
        <v>598</v>
      </c>
      <c r="DT12" s="14" t="s">
        <v>598</v>
      </c>
      <c r="DU12" s="14" t="s">
        <v>598</v>
      </c>
      <c r="DV12" s="14" t="s">
        <v>598</v>
      </c>
      <c r="DW12" s="14" t="s">
        <v>598</v>
      </c>
      <c r="DX12" s="14" t="s">
        <v>598</v>
      </c>
      <c r="DY12" s="14" t="s">
        <v>598</v>
      </c>
      <c r="DZ12" s="14" t="s">
        <v>598</v>
      </c>
      <c r="EA12" s="14" t="s">
        <v>598</v>
      </c>
      <c r="EB12" s="14" t="s">
        <v>598</v>
      </c>
      <c r="EC12" s="14" t="s">
        <v>598</v>
      </c>
      <c r="ED12" s="14" t="s">
        <v>598</v>
      </c>
      <c r="EE12" s="14" t="s">
        <v>598</v>
      </c>
      <c r="EF12" s="14" t="s">
        <v>598</v>
      </c>
      <c r="EG12" s="14" t="s">
        <v>598</v>
      </c>
      <c r="EH12" s="14" t="s">
        <v>598</v>
      </c>
      <c r="EI12" s="14" t="s">
        <v>598</v>
      </c>
      <c r="EJ12" s="14" t="s">
        <v>598</v>
      </c>
      <c r="EK12" s="14" t="s">
        <v>598</v>
      </c>
      <c r="EL12" s="14" t="s">
        <v>598</v>
      </c>
      <c r="EM12" s="14" t="s">
        <v>598</v>
      </c>
      <c r="EN12" s="14" t="s">
        <v>598</v>
      </c>
      <c r="EO12" s="14" t="s">
        <v>598</v>
      </c>
      <c r="EP12" s="14" t="s">
        <v>598</v>
      </c>
      <c r="EQ12" s="14" t="s">
        <v>598</v>
      </c>
      <c r="ER12" s="14" t="s">
        <v>598</v>
      </c>
      <c r="ES12" s="14" t="s">
        <v>598</v>
      </c>
      <c r="ET12" s="14">
        <v>158</v>
      </c>
      <c r="EZ12" s="14">
        <v>158</v>
      </c>
      <c r="FA12" s="14">
        <v>18</v>
      </c>
      <c r="FG12" s="14">
        <v>18</v>
      </c>
      <c r="FH12" s="14">
        <v>100</v>
      </c>
      <c r="FN12" s="14">
        <v>100</v>
      </c>
      <c r="FU12" s="14">
        <v>0</v>
      </c>
      <c r="GB12" s="14">
        <v>0</v>
      </c>
      <c r="GI12" s="14">
        <v>0</v>
      </c>
      <c r="GP12" s="14">
        <v>0</v>
      </c>
      <c r="GQ12" s="14" t="s">
        <v>665</v>
      </c>
      <c r="GR12" s="14">
        <v>4</v>
      </c>
      <c r="GX12" s="14">
        <v>4</v>
      </c>
      <c r="GY12" s="14">
        <v>280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280</v>
      </c>
      <c r="HL12" s="14">
        <v>0</v>
      </c>
      <c r="HM12" s="14">
        <v>88.5</v>
      </c>
      <c r="HS12" s="14">
        <v>88.5</v>
      </c>
      <c r="HT12" s="14">
        <v>191.5</v>
      </c>
      <c r="HZ12" s="14">
        <v>191.5</v>
      </c>
      <c r="IG12" s="14">
        <v>0</v>
      </c>
      <c r="IN12" s="14">
        <v>0</v>
      </c>
      <c r="IO12" s="14">
        <v>280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280</v>
      </c>
      <c r="IV12" s="14">
        <v>31.6</v>
      </c>
      <c r="IX12" s="14">
        <v>68.400000000000006</v>
      </c>
      <c r="JA12" s="14">
        <v>2</v>
      </c>
      <c r="JB12" s="14">
        <v>2</v>
      </c>
      <c r="JC12" s="14">
        <v>1</v>
      </c>
      <c r="JD12" s="14" t="s">
        <v>600</v>
      </c>
      <c r="NG12" s="14" t="s">
        <v>601</v>
      </c>
      <c r="RJ12" s="14" t="s">
        <v>602</v>
      </c>
      <c r="VM12" s="14" t="s">
        <v>603</v>
      </c>
      <c r="ZP12" s="14" t="s">
        <v>604</v>
      </c>
      <c r="ADS12" s="14" t="s">
        <v>605</v>
      </c>
    </row>
    <row r="13" spans="1:905" x14ac:dyDescent="0.25">
      <c r="A13" s="14">
        <v>168</v>
      </c>
      <c r="B13" s="14" t="s">
        <v>590</v>
      </c>
      <c r="C13" s="16">
        <v>42772.083333333336</v>
      </c>
      <c r="D13" s="14" t="s">
        <v>666</v>
      </c>
      <c r="E13" s="14" t="s">
        <v>667</v>
      </c>
      <c r="F13" s="14" t="str">
        <f>VLOOKUP(MID(H13,SEARCH("@",H13,1),LEN(H13)-SEARCH("@",H13,1)+1),[2]Sheet1!$D:$F,3,FALSE)</f>
        <v>M0090</v>
      </c>
      <c r="G13" s="14" t="s">
        <v>668</v>
      </c>
      <c r="H13" s="14" t="s">
        <v>669</v>
      </c>
      <c r="I13" s="14" t="s">
        <v>670</v>
      </c>
      <c r="J13" s="14" t="s">
        <v>624</v>
      </c>
      <c r="K13" s="14" t="s">
        <v>625</v>
      </c>
      <c r="M13" s="14">
        <v>2</v>
      </c>
      <c r="N13" s="14">
        <v>1</v>
      </c>
      <c r="V13" s="14">
        <v>0</v>
      </c>
      <c r="AC13" s="14">
        <v>0</v>
      </c>
      <c r="AJ13" s="14">
        <v>0</v>
      </c>
      <c r="AQ13" s="14">
        <v>0</v>
      </c>
      <c r="AX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S13" s="14">
        <v>0</v>
      </c>
      <c r="BZ13" s="14">
        <v>0</v>
      </c>
      <c r="CG13" s="14">
        <v>0</v>
      </c>
      <c r="CN13" s="14">
        <v>0</v>
      </c>
      <c r="CU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 t="s">
        <v>598</v>
      </c>
      <c r="DK13" s="14" t="s">
        <v>598</v>
      </c>
      <c r="DL13" s="14" t="s">
        <v>598</v>
      </c>
      <c r="DM13" s="14" t="s">
        <v>598</v>
      </c>
      <c r="DN13" s="14" t="s">
        <v>598</v>
      </c>
      <c r="DO13" s="14" t="s">
        <v>598</v>
      </c>
      <c r="DP13" s="14" t="s">
        <v>598</v>
      </c>
      <c r="DQ13" s="14" t="s">
        <v>598</v>
      </c>
      <c r="DR13" s="14" t="s">
        <v>598</v>
      </c>
      <c r="DS13" s="14" t="s">
        <v>598</v>
      </c>
      <c r="DT13" s="14" t="s">
        <v>598</v>
      </c>
      <c r="DU13" s="14" t="s">
        <v>598</v>
      </c>
      <c r="DV13" s="14" t="s">
        <v>598</v>
      </c>
      <c r="DW13" s="14" t="s">
        <v>598</v>
      </c>
      <c r="DX13" s="14" t="s">
        <v>598</v>
      </c>
      <c r="DY13" s="14" t="s">
        <v>598</v>
      </c>
      <c r="DZ13" s="14" t="s">
        <v>598</v>
      </c>
      <c r="EA13" s="14" t="s">
        <v>598</v>
      </c>
      <c r="EB13" s="14" t="s">
        <v>598</v>
      </c>
      <c r="EC13" s="14" t="s">
        <v>598</v>
      </c>
      <c r="ED13" s="14" t="s">
        <v>598</v>
      </c>
      <c r="EE13" s="14" t="s">
        <v>598</v>
      </c>
      <c r="EF13" s="14" t="s">
        <v>598</v>
      </c>
      <c r="EG13" s="14" t="s">
        <v>598</v>
      </c>
      <c r="EH13" s="14" t="s">
        <v>598</v>
      </c>
      <c r="EI13" s="14" t="s">
        <v>598</v>
      </c>
      <c r="EJ13" s="14" t="s">
        <v>598</v>
      </c>
      <c r="EK13" s="14" t="s">
        <v>598</v>
      </c>
      <c r="EL13" s="14" t="s">
        <v>598</v>
      </c>
      <c r="EM13" s="14" t="s">
        <v>598</v>
      </c>
      <c r="EN13" s="14" t="s">
        <v>598</v>
      </c>
      <c r="EO13" s="14" t="s">
        <v>598</v>
      </c>
      <c r="EP13" s="14" t="s">
        <v>598</v>
      </c>
      <c r="EQ13" s="14" t="s">
        <v>598</v>
      </c>
      <c r="ER13" s="14" t="s">
        <v>598</v>
      </c>
      <c r="ES13" s="14" t="s">
        <v>598</v>
      </c>
      <c r="EZ13" s="14">
        <v>0</v>
      </c>
      <c r="FG13" s="14">
        <v>0</v>
      </c>
      <c r="FN13" s="14">
        <v>0</v>
      </c>
      <c r="FU13" s="14">
        <v>0</v>
      </c>
      <c r="GB13" s="14">
        <v>0</v>
      </c>
      <c r="GI13" s="14">
        <v>0</v>
      </c>
      <c r="GP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L13" s="14">
        <v>0</v>
      </c>
      <c r="HS13" s="14">
        <v>0</v>
      </c>
      <c r="HZ13" s="14">
        <v>0</v>
      </c>
      <c r="IG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JA13" s="14">
        <v>1</v>
      </c>
      <c r="JB13" s="14">
        <v>3</v>
      </c>
      <c r="JC13" s="14">
        <v>2</v>
      </c>
      <c r="JD13" s="14" t="s">
        <v>600</v>
      </c>
      <c r="NG13" s="14" t="s">
        <v>601</v>
      </c>
      <c r="RJ13" s="14" t="s">
        <v>602</v>
      </c>
      <c r="VM13" s="14" t="s">
        <v>603</v>
      </c>
      <c r="ZP13" s="14" t="s">
        <v>604</v>
      </c>
      <c r="ADS13" s="14" t="s">
        <v>605</v>
      </c>
    </row>
    <row r="14" spans="1:905" x14ac:dyDescent="0.25">
      <c r="A14" s="14">
        <v>170</v>
      </c>
      <c r="B14" s="14" t="s">
        <v>590</v>
      </c>
      <c r="C14" s="16">
        <v>42780</v>
      </c>
      <c r="D14" s="14" t="s">
        <v>671</v>
      </c>
      <c r="E14" s="14" t="s">
        <v>672</v>
      </c>
      <c r="F14" s="14" t="str">
        <f>VLOOKUP(MID(H14,SEARCH("@",H14,1),LEN(H14)-SEARCH("@",H14,1)+1),[2]Sheet1!$D:$F,3,FALSE)</f>
        <v>M421</v>
      </c>
      <c r="G14" s="14" t="s">
        <v>673</v>
      </c>
      <c r="H14" s="14" t="s">
        <v>674</v>
      </c>
      <c r="I14" s="14">
        <v>22644662</v>
      </c>
      <c r="J14" s="14" t="s">
        <v>618</v>
      </c>
      <c r="K14" s="14" t="s">
        <v>596</v>
      </c>
      <c r="M14" s="14">
        <v>1</v>
      </c>
      <c r="P14" s="14">
        <v>12.5</v>
      </c>
      <c r="V14" s="14">
        <v>12.5</v>
      </c>
      <c r="AC14" s="14">
        <v>0</v>
      </c>
      <c r="AJ14" s="14">
        <v>0</v>
      </c>
      <c r="AQ14" s="14">
        <v>0</v>
      </c>
      <c r="AX14" s="14">
        <v>0</v>
      </c>
      <c r="BE14" s="14">
        <v>0</v>
      </c>
      <c r="BF14" s="14">
        <v>12.5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12.5</v>
      </c>
      <c r="BM14" s="14">
        <v>1</v>
      </c>
      <c r="BS14" s="14">
        <v>1</v>
      </c>
      <c r="BZ14" s="14">
        <v>0</v>
      </c>
      <c r="CG14" s="14">
        <v>0</v>
      </c>
      <c r="CN14" s="14">
        <v>0</v>
      </c>
      <c r="CU14" s="14">
        <v>0</v>
      </c>
      <c r="DB14" s="14">
        <v>0</v>
      </c>
      <c r="DC14" s="14">
        <v>1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1</v>
      </c>
      <c r="DJ14" s="14" t="s">
        <v>597</v>
      </c>
      <c r="DK14" s="14" t="s">
        <v>598</v>
      </c>
      <c r="DL14" s="14" t="s">
        <v>598</v>
      </c>
      <c r="DM14" s="14" t="s">
        <v>598</v>
      </c>
      <c r="DN14" s="14" t="s">
        <v>598</v>
      </c>
      <c r="DO14" s="14" t="s">
        <v>598</v>
      </c>
      <c r="DP14" s="14" t="s">
        <v>598</v>
      </c>
      <c r="DQ14" s="14" t="s">
        <v>598</v>
      </c>
      <c r="DR14" s="14" t="s">
        <v>598</v>
      </c>
      <c r="DS14" s="14" t="s">
        <v>598</v>
      </c>
      <c r="DT14" s="14" t="s">
        <v>598</v>
      </c>
      <c r="DU14" s="14" t="s">
        <v>598</v>
      </c>
      <c r="DV14" s="14" t="s">
        <v>598</v>
      </c>
      <c r="DW14" s="14" t="s">
        <v>598</v>
      </c>
      <c r="DX14" s="14" t="s">
        <v>598</v>
      </c>
      <c r="DY14" s="14" t="s">
        <v>598</v>
      </c>
      <c r="DZ14" s="14" t="s">
        <v>598</v>
      </c>
      <c r="EA14" s="14" t="s">
        <v>598</v>
      </c>
      <c r="EB14" s="14" t="s">
        <v>598</v>
      </c>
      <c r="EC14" s="14" t="s">
        <v>598</v>
      </c>
      <c r="ED14" s="14" t="s">
        <v>598</v>
      </c>
      <c r="EE14" s="14" t="s">
        <v>598</v>
      </c>
      <c r="EF14" s="14" t="s">
        <v>598</v>
      </c>
      <c r="EG14" s="14" t="s">
        <v>598</v>
      </c>
      <c r="EH14" s="14" t="s">
        <v>598</v>
      </c>
      <c r="EI14" s="14" t="s">
        <v>598</v>
      </c>
      <c r="EJ14" s="14" t="s">
        <v>598</v>
      </c>
      <c r="EK14" s="14" t="s">
        <v>598</v>
      </c>
      <c r="EL14" s="14" t="s">
        <v>598</v>
      </c>
      <c r="EM14" s="14" t="s">
        <v>598</v>
      </c>
      <c r="EN14" s="14" t="s">
        <v>598</v>
      </c>
      <c r="EO14" s="14" t="s">
        <v>598</v>
      </c>
      <c r="EP14" s="14" t="s">
        <v>598</v>
      </c>
      <c r="EQ14" s="14" t="s">
        <v>598</v>
      </c>
      <c r="ER14" s="14" t="s">
        <v>598</v>
      </c>
      <c r="ES14" s="14" t="s">
        <v>598</v>
      </c>
      <c r="EZ14" s="14">
        <v>0</v>
      </c>
      <c r="FG14" s="14">
        <v>0</v>
      </c>
      <c r="FN14" s="14">
        <v>0</v>
      </c>
      <c r="FU14" s="14">
        <v>0</v>
      </c>
      <c r="GB14" s="14">
        <v>0</v>
      </c>
      <c r="GI14" s="14">
        <v>0</v>
      </c>
      <c r="GJ14" s="14">
        <v>12.5</v>
      </c>
      <c r="GP14" s="14">
        <v>12.5</v>
      </c>
      <c r="GX14" s="14">
        <v>0</v>
      </c>
      <c r="GY14" s="14">
        <v>12.5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12.5</v>
      </c>
      <c r="HL14" s="14">
        <v>0</v>
      </c>
      <c r="HM14" s="14">
        <v>12.5</v>
      </c>
      <c r="HS14" s="14">
        <v>12.5</v>
      </c>
      <c r="HZ14" s="14">
        <v>0</v>
      </c>
      <c r="IG14" s="14">
        <v>0</v>
      </c>
      <c r="IN14" s="14">
        <v>0</v>
      </c>
      <c r="IO14" s="14">
        <v>12.5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12.5</v>
      </c>
      <c r="IX14" s="14">
        <v>100</v>
      </c>
      <c r="JA14" s="14">
        <v>3</v>
      </c>
      <c r="JB14" s="14">
        <v>3</v>
      </c>
      <c r="JC14" s="14">
        <v>2</v>
      </c>
      <c r="JD14" s="14" t="s">
        <v>600</v>
      </c>
      <c r="JK14" s="14">
        <v>0</v>
      </c>
      <c r="JR14" s="14">
        <v>0</v>
      </c>
      <c r="JY14" s="14">
        <v>0</v>
      </c>
      <c r="KF14" s="14">
        <v>0</v>
      </c>
      <c r="KM14" s="14">
        <v>0</v>
      </c>
      <c r="KT14" s="14">
        <v>0</v>
      </c>
      <c r="KU14" s="14">
        <v>12.5</v>
      </c>
      <c r="LA14" s="14">
        <v>12.5</v>
      </c>
      <c r="LI14" s="14">
        <v>0</v>
      </c>
      <c r="LJ14" s="14">
        <v>12.5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12.5</v>
      </c>
      <c r="LQ14" s="14">
        <v>12.5</v>
      </c>
      <c r="LW14" s="14">
        <v>12.5</v>
      </c>
      <c r="MD14" s="14">
        <v>0</v>
      </c>
      <c r="MK14" s="14">
        <v>0</v>
      </c>
      <c r="MR14" s="14">
        <v>0</v>
      </c>
      <c r="MY14" s="14">
        <v>0</v>
      </c>
      <c r="MZ14" s="14">
        <v>12.5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12.5</v>
      </c>
      <c r="NG14" s="14" t="s">
        <v>601</v>
      </c>
      <c r="RJ14" s="14" t="s">
        <v>602</v>
      </c>
      <c r="VM14" s="14" t="s">
        <v>603</v>
      </c>
      <c r="ZP14" s="14" t="s">
        <v>604</v>
      </c>
      <c r="ADS14" s="14" t="s">
        <v>605</v>
      </c>
    </row>
    <row r="15" spans="1:905" x14ac:dyDescent="0.25">
      <c r="A15" s="14">
        <v>236</v>
      </c>
      <c r="B15" s="14" t="s">
        <v>590</v>
      </c>
      <c r="C15" s="16">
        <v>42780</v>
      </c>
      <c r="D15" s="14" t="s">
        <v>675</v>
      </c>
      <c r="E15" s="14" t="s">
        <v>676</v>
      </c>
      <c r="F15" s="14" t="str">
        <f>VLOOKUP(MID(H15,SEARCH("@",H15,1),LEN(H15)-SEARCH("@",H15,1)+1),[2]Sheet1!$D:$F,3,FALSE)</f>
        <v>M0189</v>
      </c>
      <c r="G15" s="14" t="s">
        <v>677</v>
      </c>
      <c r="H15" s="14" t="s">
        <v>678</v>
      </c>
      <c r="I15" s="14">
        <v>6565088808</v>
      </c>
      <c r="J15" s="14" t="s">
        <v>595</v>
      </c>
      <c r="K15" s="14" t="s">
        <v>679</v>
      </c>
      <c r="M15" s="14">
        <v>1</v>
      </c>
      <c r="S15" s="14">
        <v>350</v>
      </c>
      <c r="V15" s="14">
        <v>350</v>
      </c>
      <c r="AC15" s="14">
        <v>0</v>
      </c>
      <c r="AJ15" s="14">
        <v>0</v>
      </c>
      <c r="AQ15" s="14">
        <v>0</v>
      </c>
      <c r="AX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350</v>
      </c>
      <c r="BJ15" s="14">
        <v>0</v>
      </c>
      <c r="BK15" s="14">
        <v>0</v>
      </c>
      <c r="BL15" s="14">
        <v>350</v>
      </c>
      <c r="BP15" s="14">
        <v>1</v>
      </c>
      <c r="BS15" s="14">
        <v>1</v>
      </c>
      <c r="BZ15" s="14">
        <v>0</v>
      </c>
      <c r="CG15" s="14">
        <v>0</v>
      </c>
      <c r="CN15" s="14">
        <v>0</v>
      </c>
      <c r="CU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1</v>
      </c>
      <c r="DG15" s="14">
        <v>0</v>
      </c>
      <c r="DH15" s="14">
        <v>0</v>
      </c>
      <c r="DI15" s="14">
        <v>1</v>
      </c>
      <c r="DJ15" s="14" t="s">
        <v>598</v>
      </c>
      <c r="DK15" s="14" t="s">
        <v>598</v>
      </c>
      <c r="DL15" s="14" t="s">
        <v>598</v>
      </c>
      <c r="DM15" s="14" t="s">
        <v>597</v>
      </c>
      <c r="DN15" s="14" t="s">
        <v>598</v>
      </c>
      <c r="DO15" s="14" t="s">
        <v>598</v>
      </c>
      <c r="DP15" s="14" t="s">
        <v>598</v>
      </c>
      <c r="DQ15" s="14" t="s">
        <v>598</v>
      </c>
      <c r="DR15" s="14" t="s">
        <v>598</v>
      </c>
      <c r="DS15" s="14" t="s">
        <v>598</v>
      </c>
      <c r="DT15" s="14" t="s">
        <v>598</v>
      </c>
      <c r="DU15" s="14" t="s">
        <v>598</v>
      </c>
      <c r="DV15" s="14" t="s">
        <v>598</v>
      </c>
      <c r="DW15" s="14" t="s">
        <v>598</v>
      </c>
      <c r="DX15" s="14" t="s">
        <v>598</v>
      </c>
      <c r="DY15" s="14" t="s">
        <v>598</v>
      </c>
      <c r="DZ15" s="14" t="s">
        <v>598</v>
      </c>
      <c r="EA15" s="14" t="s">
        <v>598</v>
      </c>
      <c r="EB15" s="14" t="s">
        <v>598</v>
      </c>
      <c r="EC15" s="14" t="s">
        <v>598</v>
      </c>
      <c r="ED15" s="14" t="s">
        <v>598</v>
      </c>
      <c r="EE15" s="14" t="s">
        <v>598</v>
      </c>
      <c r="EF15" s="14" t="s">
        <v>598</v>
      </c>
      <c r="EG15" s="14" t="s">
        <v>598</v>
      </c>
      <c r="EH15" s="14" t="s">
        <v>598</v>
      </c>
      <c r="EI15" s="14" t="s">
        <v>598</v>
      </c>
      <c r="EJ15" s="14" t="s">
        <v>598</v>
      </c>
      <c r="EK15" s="14" t="s">
        <v>598</v>
      </c>
      <c r="EL15" s="14" t="s">
        <v>598</v>
      </c>
      <c r="EM15" s="14" t="s">
        <v>598</v>
      </c>
      <c r="EN15" s="14" t="s">
        <v>598</v>
      </c>
      <c r="EO15" s="14" t="s">
        <v>598</v>
      </c>
      <c r="EP15" s="14" t="s">
        <v>598</v>
      </c>
      <c r="EQ15" s="14" t="s">
        <v>598</v>
      </c>
      <c r="ER15" s="14" t="s">
        <v>598</v>
      </c>
      <c r="ES15" s="14" t="s">
        <v>598</v>
      </c>
      <c r="EZ15" s="14">
        <v>0</v>
      </c>
      <c r="FG15" s="14">
        <v>0</v>
      </c>
      <c r="FN15" s="14">
        <v>0</v>
      </c>
      <c r="FU15" s="14">
        <v>0</v>
      </c>
      <c r="GB15" s="14">
        <v>0</v>
      </c>
      <c r="GI15" s="14">
        <v>0</v>
      </c>
      <c r="GP15" s="14">
        <v>0</v>
      </c>
      <c r="GQ15" s="14" t="s">
        <v>680</v>
      </c>
      <c r="GU15" s="14">
        <v>350</v>
      </c>
      <c r="GX15" s="14">
        <v>350</v>
      </c>
      <c r="GY15" s="14">
        <v>0</v>
      </c>
      <c r="GZ15" s="14">
        <v>0</v>
      </c>
      <c r="HA15" s="14">
        <v>0</v>
      </c>
      <c r="HB15" s="14">
        <v>350</v>
      </c>
      <c r="HC15" s="14">
        <v>0</v>
      </c>
      <c r="HD15" s="14">
        <v>0</v>
      </c>
      <c r="HE15" s="14">
        <v>350</v>
      </c>
      <c r="HI15" s="14">
        <v>350</v>
      </c>
      <c r="HL15" s="14">
        <v>350</v>
      </c>
      <c r="HS15" s="14">
        <v>0</v>
      </c>
      <c r="HZ15" s="14">
        <v>0</v>
      </c>
      <c r="IG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350</v>
      </c>
      <c r="IS15" s="14">
        <v>0</v>
      </c>
      <c r="IT15" s="14">
        <v>0</v>
      </c>
      <c r="IU15" s="14">
        <v>350</v>
      </c>
      <c r="IX15" s="14">
        <v>100</v>
      </c>
      <c r="JA15" s="14">
        <v>1</v>
      </c>
      <c r="JB15" s="14">
        <v>2</v>
      </c>
      <c r="JC15" s="14">
        <v>1</v>
      </c>
      <c r="JD15" s="14" t="s">
        <v>600</v>
      </c>
      <c r="JK15" s="14">
        <v>0</v>
      </c>
      <c r="JR15" s="14">
        <v>0</v>
      </c>
      <c r="JY15" s="14">
        <v>0</v>
      </c>
      <c r="KF15" s="14">
        <v>0</v>
      </c>
      <c r="KM15" s="14">
        <v>0</v>
      </c>
      <c r="KT15" s="14">
        <v>0</v>
      </c>
      <c r="LA15" s="14">
        <v>0</v>
      </c>
      <c r="LB15" s="14" t="s">
        <v>680</v>
      </c>
      <c r="LF15" s="14">
        <v>350</v>
      </c>
      <c r="LI15" s="14">
        <v>350</v>
      </c>
      <c r="LJ15" s="14">
        <v>0</v>
      </c>
      <c r="LK15" s="14">
        <v>0</v>
      </c>
      <c r="LL15" s="14">
        <v>0</v>
      </c>
      <c r="LM15" s="14">
        <v>350</v>
      </c>
      <c r="LN15" s="14">
        <v>0</v>
      </c>
      <c r="LO15" s="14">
        <v>0</v>
      </c>
      <c r="LP15" s="14">
        <v>350</v>
      </c>
      <c r="LW15" s="14">
        <v>0</v>
      </c>
      <c r="MA15" s="14">
        <v>350</v>
      </c>
      <c r="MD15" s="14">
        <v>350</v>
      </c>
      <c r="MK15" s="14">
        <v>0</v>
      </c>
      <c r="MR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350</v>
      </c>
      <c r="ND15" s="14">
        <v>0</v>
      </c>
      <c r="NE15" s="14">
        <v>0</v>
      </c>
      <c r="NF15" s="14">
        <v>350</v>
      </c>
      <c r="NG15" s="14" t="s">
        <v>601</v>
      </c>
      <c r="RJ15" s="14" t="s">
        <v>602</v>
      </c>
      <c r="VM15" s="14" t="s">
        <v>603</v>
      </c>
      <c r="ZP15" s="14" t="s">
        <v>604</v>
      </c>
      <c r="ADS15" s="14" t="s">
        <v>605</v>
      </c>
    </row>
    <row r="16" spans="1:905" x14ac:dyDescent="0.25">
      <c r="A16" s="14">
        <v>115</v>
      </c>
      <c r="B16" s="14" t="s">
        <v>590</v>
      </c>
      <c r="C16" s="16">
        <v>42775.331944444442</v>
      </c>
      <c r="D16" s="14" t="s">
        <v>681</v>
      </c>
      <c r="E16" s="14" t="s">
        <v>682</v>
      </c>
      <c r="F16" s="14" t="str">
        <f>VLOOKUP(MID(H16,SEARCH("@",H16,1),LEN(H16)-SEARCH("@",H16,1)+1),[2]Sheet1!$D:$F,3,FALSE)</f>
        <v>M0180</v>
      </c>
      <c r="G16" s="14" t="s">
        <v>683</v>
      </c>
      <c r="H16" s="14" t="s">
        <v>684</v>
      </c>
      <c r="I16" s="14" t="s">
        <v>685</v>
      </c>
      <c r="J16" s="14" t="s">
        <v>595</v>
      </c>
      <c r="K16" s="14" t="s">
        <v>596</v>
      </c>
      <c r="M16" s="14">
        <v>2</v>
      </c>
      <c r="V16" s="14">
        <v>0</v>
      </c>
      <c r="AC16" s="14">
        <v>0</v>
      </c>
      <c r="AJ16" s="14">
        <v>0</v>
      </c>
      <c r="AQ16" s="14">
        <v>0</v>
      </c>
      <c r="AX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S16" s="14">
        <v>0</v>
      </c>
      <c r="BZ16" s="14">
        <v>0</v>
      </c>
      <c r="CG16" s="14">
        <v>0</v>
      </c>
      <c r="CN16" s="14">
        <v>0</v>
      </c>
      <c r="CU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 t="s">
        <v>598</v>
      </c>
      <c r="DK16" s="14" t="s">
        <v>598</v>
      </c>
      <c r="DL16" s="14" t="s">
        <v>598</v>
      </c>
      <c r="DM16" s="14" t="s">
        <v>598</v>
      </c>
      <c r="DN16" s="14" t="s">
        <v>598</v>
      </c>
      <c r="DO16" s="14" t="s">
        <v>598</v>
      </c>
      <c r="DP16" s="14" t="s">
        <v>598</v>
      </c>
      <c r="DQ16" s="14" t="s">
        <v>598</v>
      </c>
      <c r="DR16" s="14" t="s">
        <v>598</v>
      </c>
      <c r="DS16" s="14" t="s">
        <v>598</v>
      </c>
      <c r="DT16" s="14" t="s">
        <v>598</v>
      </c>
      <c r="DU16" s="14" t="s">
        <v>598</v>
      </c>
      <c r="DV16" s="14" t="s">
        <v>598</v>
      </c>
      <c r="DW16" s="14" t="s">
        <v>598</v>
      </c>
      <c r="DX16" s="14" t="s">
        <v>598</v>
      </c>
      <c r="DY16" s="14" t="s">
        <v>598</v>
      </c>
      <c r="DZ16" s="14" t="s">
        <v>598</v>
      </c>
      <c r="EA16" s="14" t="s">
        <v>598</v>
      </c>
      <c r="EB16" s="14" t="s">
        <v>598</v>
      </c>
      <c r="EC16" s="14" t="s">
        <v>598</v>
      </c>
      <c r="ED16" s="14" t="s">
        <v>598</v>
      </c>
      <c r="EE16" s="14" t="s">
        <v>598</v>
      </c>
      <c r="EF16" s="14" t="s">
        <v>598</v>
      </c>
      <c r="EG16" s="14" t="s">
        <v>598</v>
      </c>
      <c r="EH16" s="14" t="s">
        <v>598</v>
      </c>
      <c r="EI16" s="14" t="s">
        <v>598</v>
      </c>
      <c r="EJ16" s="14" t="s">
        <v>598</v>
      </c>
      <c r="EK16" s="14" t="s">
        <v>598</v>
      </c>
      <c r="EL16" s="14" t="s">
        <v>598</v>
      </c>
      <c r="EM16" s="14" t="s">
        <v>598</v>
      </c>
      <c r="EN16" s="14" t="s">
        <v>598</v>
      </c>
      <c r="EO16" s="14" t="s">
        <v>598</v>
      </c>
      <c r="EP16" s="14" t="s">
        <v>598</v>
      </c>
      <c r="EQ16" s="14" t="s">
        <v>598</v>
      </c>
      <c r="ER16" s="14" t="s">
        <v>598</v>
      </c>
      <c r="ES16" s="14" t="s">
        <v>598</v>
      </c>
      <c r="EZ16" s="14">
        <v>0</v>
      </c>
      <c r="FG16" s="14">
        <v>0</v>
      </c>
      <c r="FN16" s="14">
        <v>0</v>
      </c>
      <c r="FU16" s="14">
        <v>0</v>
      </c>
      <c r="GB16" s="14">
        <v>0</v>
      </c>
      <c r="GI16" s="14">
        <v>0</v>
      </c>
      <c r="GP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L16" s="14">
        <v>0</v>
      </c>
      <c r="HS16" s="14">
        <v>0</v>
      </c>
      <c r="HZ16" s="14">
        <v>0</v>
      </c>
      <c r="IG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JA16" s="14">
        <v>1</v>
      </c>
      <c r="JB16" s="14">
        <v>2</v>
      </c>
      <c r="JC16" s="14">
        <v>2</v>
      </c>
      <c r="JD16" s="14" t="s">
        <v>600</v>
      </c>
      <c r="NG16" s="14" t="s">
        <v>601</v>
      </c>
      <c r="RJ16" s="14" t="s">
        <v>602</v>
      </c>
      <c r="VM16" s="14" t="s">
        <v>603</v>
      </c>
      <c r="ZP16" s="14" t="s">
        <v>604</v>
      </c>
      <c r="ADS16" s="14" t="s">
        <v>605</v>
      </c>
    </row>
    <row r="17" spans="1:799" x14ac:dyDescent="0.25">
      <c r="A17" s="14">
        <v>88</v>
      </c>
      <c r="B17" s="14" t="s">
        <v>590</v>
      </c>
      <c r="C17" s="16">
        <v>42780</v>
      </c>
      <c r="D17" s="14" t="s">
        <v>686</v>
      </c>
      <c r="E17" s="14" t="s">
        <v>687</v>
      </c>
      <c r="F17" s="14" t="str">
        <f>VLOOKUP(MID(H17,SEARCH("@",H17,1),LEN(H17)-SEARCH("@",H17,1)+1),[2]Sheet1!$D:$F,3,FALSE)</f>
        <v>M0106</v>
      </c>
      <c r="G17" s="14" t="s">
        <v>688</v>
      </c>
      <c r="H17" s="14" t="s">
        <v>689</v>
      </c>
      <c r="I17" s="14">
        <v>-68031736</v>
      </c>
      <c r="J17" s="14" t="s">
        <v>595</v>
      </c>
      <c r="K17" s="14" t="s">
        <v>596</v>
      </c>
      <c r="M17" s="14">
        <v>1</v>
      </c>
      <c r="P17" s="14">
        <v>281.52</v>
      </c>
      <c r="Q17" s="14">
        <v>265</v>
      </c>
      <c r="V17" s="14">
        <v>546.52</v>
      </c>
      <c r="AC17" s="14">
        <v>0</v>
      </c>
      <c r="AJ17" s="14">
        <v>0</v>
      </c>
      <c r="AK17" s="14">
        <v>132.34</v>
      </c>
      <c r="AQ17" s="14">
        <v>132.34</v>
      </c>
      <c r="AX17" s="14">
        <v>0</v>
      </c>
      <c r="BE17" s="14">
        <v>0</v>
      </c>
      <c r="BF17" s="14">
        <v>413.86</v>
      </c>
      <c r="BG17" s="14">
        <v>265</v>
      </c>
      <c r="BH17" s="14">
        <v>0</v>
      </c>
      <c r="BI17" s="14">
        <v>0</v>
      </c>
      <c r="BJ17" s="14">
        <v>0</v>
      </c>
      <c r="BK17" s="14">
        <v>0</v>
      </c>
      <c r="BL17" s="14">
        <v>678.86</v>
      </c>
      <c r="BM17" s="14">
        <v>1</v>
      </c>
      <c r="BN17" s="14">
        <v>1</v>
      </c>
      <c r="BS17" s="14">
        <v>2</v>
      </c>
      <c r="BZ17" s="14">
        <v>0</v>
      </c>
      <c r="CG17" s="14">
        <v>0</v>
      </c>
      <c r="CH17" s="14">
        <v>1</v>
      </c>
      <c r="CN17" s="14">
        <v>1</v>
      </c>
      <c r="CU17" s="14">
        <v>0</v>
      </c>
      <c r="DB17" s="14">
        <v>0</v>
      </c>
      <c r="DC17" s="14">
        <v>2</v>
      </c>
      <c r="DD17" s="14">
        <v>1</v>
      </c>
      <c r="DE17" s="14">
        <v>0</v>
      </c>
      <c r="DF17" s="14">
        <v>0</v>
      </c>
      <c r="DG17" s="14">
        <v>0</v>
      </c>
      <c r="DH17" s="14">
        <v>0</v>
      </c>
      <c r="DI17" s="14">
        <v>3</v>
      </c>
      <c r="DJ17" s="14" t="s">
        <v>597</v>
      </c>
      <c r="DK17" s="14" t="s">
        <v>597</v>
      </c>
      <c r="DL17" s="14" t="s">
        <v>598</v>
      </c>
      <c r="DM17" s="14" t="s">
        <v>598</v>
      </c>
      <c r="DN17" s="14" t="s">
        <v>598</v>
      </c>
      <c r="DO17" s="14" t="s">
        <v>598</v>
      </c>
      <c r="DP17" s="14" t="s">
        <v>598</v>
      </c>
      <c r="DQ17" s="14" t="s">
        <v>598</v>
      </c>
      <c r="DR17" s="14" t="s">
        <v>598</v>
      </c>
      <c r="DS17" s="14" t="s">
        <v>598</v>
      </c>
      <c r="DT17" s="14" t="s">
        <v>598</v>
      </c>
      <c r="DU17" s="14" t="s">
        <v>598</v>
      </c>
      <c r="DV17" s="14" t="s">
        <v>598</v>
      </c>
      <c r="DW17" s="14" t="s">
        <v>598</v>
      </c>
      <c r="DX17" s="14" t="s">
        <v>598</v>
      </c>
      <c r="DY17" s="14" t="s">
        <v>598</v>
      </c>
      <c r="DZ17" s="14" t="s">
        <v>598</v>
      </c>
      <c r="EA17" s="14" t="s">
        <v>598</v>
      </c>
      <c r="EB17" s="14" t="s">
        <v>597</v>
      </c>
      <c r="EC17" s="14" t="s">
        <v>598</v>
      </c>
      <c r="ED17" s="14" t="s">
        <v>598</v>
      </c>
      <c r="EE17" s="14" t="s">
        <v>598</v>
      </c>
      <c r="EF17" s="14" t="s">
        <v>598</v>
      </c>
      <c r="EG17" s="14" t="s">
        <v>598</v>
      </c>
      <c r="EH17" s="14" t="s">
        <v>598</v>
      </c>
      <c r="EI17" s="14" t="s">
        <v>598</v>
      </c>
      <c r="EJ17" s="14" t="s">
        <v>598</v>
      </c>
      <c r="EK17" s="14" t="s">
        <v>598</v>
      </c>
      <c r="EL17" s="14" t="s">
        <v>598</v>
      </c>
      <c r="EM17" s="14" t="s">
        <v>598</v>
      </c>
      <c r="EN17" s="14" t="s">
        <v>598</v>
      </c>
      <c r="EO17" s="14" t="s">
        <v>598</v>
      </c>
      <c r="EP17" s="14" t="s">
        <v>598</v>
      </c>
      <c r="EQ17" s="14" t="s">
        <v>598</v>
      </c>
      <c r="ER17" s="14" t="s">
        <v>598</v>
      </c>
      <c r="ES17" s="14" t="s">
        <v>598</v>
      </c>
      <c r="ET17" s="14">
        <v>134</v>
      </c>
      <c r="EU17" s="14">
        <v>265</v>
      </c>
      <c r="EZ17" s="14">
        <v>399</v>
      </c>
      <c r="FG17" s="14">
        <v>0</v>
      </c>
      <c r="FN17" s="14">
        <v>0</v>
      </c>
      <c r="FO17" s="14">
        <v>20</v>
      </c>
      <c r="FU17" s="14">
        <v>20</v>
      </c>
      <c r="FV17" s="14">
        <v>30</v>
      </c>
      <c r="GB17" s="14">
        <v>30</v>
      </c>
      <c r="GI17" s="14">
        <v>0</v>
      </c>
      <c r="GP17" s="14">
        <v>0</v>
      </c>
      <c r="GQ17" s="14" t="s">
        <v>690</v>
      </c>
      <c r="GR17" s="14">
        <v>229.86</v>
      </c>
      <c r="GX17" s="14">
        <v>229.86</v>
      </c>
      <c r="GY17" s="14">
        <v>413.86</v>
      </c>
      <c r="GZ17" s="14">
        <v>265</v>
      </c>
      <c r="HA17" s="14">
        <v>0</v>
      </c>
      <c r="HB17" s="14">
        <v>0</v>
      </c>
      <c r="HC17" s="14">
        <v>0</v>
      </c>
      <c r="HD17" s="14">
        <v>0</v>
      </c>
      <c r="HE17" s="14">
        <v>678.86</v>
      </c>
      <c r="HF17" s="14">
        <v>279.86</v>
      </c>
      <c r="HL17" s="14">
        <v>279.86</v>
      </c>
      <c r="HM17" s="14">
        <v>134</v>
      </c>
      <c r="HN17" s="14">
        <v>265</v>
      </c>
      <c r="HS17" s="14">
        <v>399</v>
      </c>
      <c r="HZ17" s="14">
        <v>0</v>
      </c>
      <c r="IG17" s="14">
        <v>0</v>
      </c>
      <c r="IN17" s="14">
        <v>0</v>
      </c>
      <c r="IO17" s="14">
        <v>413.86</v>
      </c>
      <c r="IP17" s="14">
        <v>265</v>
      </c>
      <c r="IQ17" s="14">
        <v>0</v>
      </c>
      <c r="IR17" s="14">
        <v>0</v>
      </c>
      <c r="IS17" s="14">
        <v>0</v>
      </c>
      <c r="IT17" s="14">
        <v>0</v>
      </c>
      <c r="IU17" s="14">
        <v>678.86</v>
      </c>
      <c r="IW17" s="14">
        <v>100</v>
      </c>
      <c r="JA17" s="14">
        <v>1</v>
      </c>
      <c r="JB17" s="14">
        <v>1</v>
      </c>
      <c r="JC17" s="14">
        <v>2</v>
      </c>
      <c r="JD17" s="14" t="s">
        <v>600</v>
      </c>
      <c r="NG17" s="14" t="s">
        <v>601</v>
      </c>
      <c r="RJ17" s="14" t="s">
        <v>602</v>
      </c>
      <c r="VM17" s="14" t="s">
        <v>603</v>
      </c>
      <c r="ZP17" s="14" t="s">
        <v>604</v>
      </c>
      <c r="ADS17" s="14" t="s">
        <v>605</v>
      </c>
    </row>
    <row r="18" spans="1:799" x14ac:dyDescent="0.25">
      <c r="A18" s="14">
        <v>114</v>
      </c>
      <c r="B18" s="14" t="s">
        <v>590</v>
      </c>
      <c r="C18" s="16">
        <v>42774.097222222219</v>
      </c>
      <c r="D18" s="14" t="s">
        <v>691</v>
      </c>
      <c r="E18" s="14" t="s">
        <v>692</v>
      </c>
      <c r="F18" s="14" t="str">
        <f>VLOOKUP(MID(H18,SEARCH("@",H18,1),LEN(H18)-SEARCH("@",H18,1)+1),[2]Sheet1!$D:$F,3,FALSE)</f>
        <v>M0001</v>
      </c>
      <c r="G18" s="14" t="s">
        <v>693</v>
      </c>
      <c r="H18" s="14" t="s">
        <v>694</v>
      </c>
      <c r="I18" s="14" t="s">
        <v>695</v>
      </c>
      <c r="J18" s="14" t="s">
        <v>611</v>
      </c>
      <c r="K18" s="14" t="s">
        <v>596</v>
      </c>
      <c r="M18" s="14">
        <v>1</v>
      </c>
      <c r="P18" s="14">
        <v>566</v>
      </c>
      <c r="V18" s="14">
        <v>566</v>
      </c>
      <c r="AC18" s="14">
        <v>0</v>
      </c>
      <c r="AJ18" s="14">
        <v>0</v>
      </c>
      <c r="AK18" s="14">
        <v>361</v>
      </c>
      <c r="AQ18" s="14">
        <v>361</v>
      </c>
      <c r="AX18" s="14">
        <v>0</v>
      </c>
      <c r="BE18" s="14">
        <v>0</v>
      </c>
      <c r="BF18" s="14">
        <v>927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927</v>
      </c>
      <c r="BM18" s="14">
        <v>1</v>
      </c>
      <c r="BS18" s="14">
        <v>1</v>
      </c>
      <c r="BZ18" s="14">
        <v>0</v>
      </c>
      <c r="CG18" s="14">
        <v>0</v>
      </c>
      <c r="CH18" s="14">
        <v>1</v>
      </c>
      <c r="CN18" s="14">
        <v>1</v>
      </c>
      <c r="CU18" s="14">
        <v>0</v>
      </c>
      <c r="DB18" s="14">
        <v>0</v>
      </c>
      <c r="DC18" s="14">
        <v>2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2</v>
      </c>
      <c r="DJ18" s="14" t="s">
        <v>597</v>
      </c>
      <c r="DK18" s="14" t="s">
        <v>598</v>
      </c>
      <c r="DL18" s="14" t="s">
        <v>598</v>
      </c>
      <c r="DM18" s="14" t="s">
        <v>598</v>
      </c>
      <c r="DN18" s="14" t="s">
        <v>598</v>
      </c>
      <c r="DO18" s="14" t="s">
        <v>598</v>
      </c>
      <c r="DP18" s="14" t="s">
        <v>598</v>
      </c>
      <c r="DQ18" s="14" t="s">
        <v>598</v>
      </c>
      <c r="DR18" s="14" t="s">
        <v>598</v>
      </c>
      <c r="DS18" s="14" t="s">
        <v>598</v>
      </c>
      <c r="DT18" s="14" t="s">
        <v>598</v>
      </c>
      <c r="DU18" s="14" t="s">
        <v>598</v>
      </c>
      <c r="DV18" s="14" t="s">
        <v>598</v>
      </c>
      <c r="DW18" s="14" t="s">
        <v>598</v>
      </c>
      <c r="DX18" s="14" t="s">
        <v>598</v>
      </c>
      <c r="DY18" s="14" t="s">
        <v>598</v>
      </c>
      <c r="DZ18" s="14" t="s">
        <v>598</v>
      </c>
      <c r="EA18" s="14" t="s">
        <v>598</v>
      </c>
      <c r="EB18" s="14" t="s">
        <v>597</v>
      </c>
      <c r="EC18" s="14" t="s">
        <v>598</v>
      </c>
      <c r="ED18" s="14" t="s">
        <v>598</v>
      </c>
      <c r="EE18" s="14" t="s">
        <v>598</v>
      </c>
      <c r="EF18" s="14" t="s">
        <v>598</v>
      </c>
      <c r="EG18" s="14" t="s">
        <v>598</v>
      </c>
      <c r="EH18" s="14" t="s">
        <v>598</v>
      </c>
      <c r="EI18" s="14" t="s">
        <v>598</v>
      </c>
      <c r="EJ18" s="14" t="s">
        <v>598</v>
      </c>
      <c r="EK18" s="14" t="s">
        <v>598</v>
      </c>
      <c r="EL18" s="14" t="s">
        <v>598</v>
      </c>
      <c r="EM18" s="14" t="s">
        <v>598</v>
      </c>
      <c r="EN18" s="14" t="s">
        <v>598</v>
      </c>
      <c r="EO18" s="14" t="s">
        <v>598</v>
      </c>
      <c r="EP18" s="14" t="s">
        <v>598</v>
      </c>
      <c r="EQ18" s="14" t="s">
        <v>598</v>
      </c>
      <c r="ER18" s="14" t="s">
        <v>598</v>
      </c>
      <c r="ES18" s="14" t="s">
        <v>598</v>
      </c>
      <c r="EZ18" s="14">
        <v>0</v>
      </c>
      <c r="FG18" s="14">
        <v>0</v>
      </c>
      <c r="FN18" s="14">
        <v>0</v>
      </c>
      <c r="FU18" s="14">
        <v>0</v>
      </c>
      <c r="GB18" s="14">
        <v>0</v>
      </c>
      <c r="GI18" s="14">
        <v>0</v>
      </c>
      <c r="GP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L18" s="14">
        <v>0</v>
      </c>
      <c r="HS18" s="14">
        <v>0</v>
      </c>
      <c r="HZ18" s="14">
        <v>0</v>
      </c>
      <c r="IG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3</v>
      </c>
      <c r="IX18" s="14">
        <v>97</v>
      </c>
      <c r="JC18" s="14">
        <v>1</v>
      </c>
      <c r="JD18" s="14" t="s">
        <v>600</v>
      </c>
      <c r="JK18" s="14">
        <v>0</v>
      </c>
      <c r="JR18" s="14">
        <v>0</v>
      </c>
      <c r="JY18" s="14">
        <v>0</v>
      </c>
      <c r="KF18" s="14">
        <v>0</v>
      </c>
      <c r="KM18" s="14">
        <v>0</v>
      </c>
      <c r="KT18" s="14">
        <v>0</v>
      </c>
      <c r="LA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W18" s="14">
        <v>0</v>
      </c>
      <c r="MD18" s="14">
        <v>0</v>
      </c>
      <c r="MK18" s="14">
        <v>0</v>
      </c>
      <c r="MR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 t="s">
        <v>601</v>
      </c>
      <c r="RJ18" s="14" t="s">
        <v>602</v>
      </c>
      <c r="VM18" s="14" t="s">
        <v>603</v>
      </c>
      <c r="VT18" s="14">
        <v>0</v>
      </c>
      <c r="WA18" s="14">
        <v>0</v>
      </c>
      <c r="WH18" s="14">
        <v>0</v>
      </c>
      <c r="WO18" s="14">
        <v>0</v>
      </c>
      <c r="WV18" s="14">
        <v>0</v>
      </c>
      <c r="XC18" s="14">
        <v>0</v>
      </c>
      <c r="XJ18" s="14">
        <v>0</v>
      </c>
      <c r="XR18" s="14">
        <v>0</v>
      </c>
      <c r="XS18" s="14">
        <v>0</v>
      </c>
      <c r="XT18" s="14">
        <v>0</v>
      </c>
      <c r="XU18" s="14">
        <v>0</v>
      </c>
      <c r="XV18" s="14">
        <v>0</v>
      </c>
      <c r="XW18" s="14">
        <v>0</v>
      </c>
      <c r="XX18" s="14">
        <v>0</v>
      </c>
      <c r="XY18" s="14">
        <v>0</v>
      </c>
      <c r="YF18" s="14">
        <v>0</v>
      </c>
      <c r="YM18" s="14">
        <v>0</v>
      </c>
      <c r="YT18" s="14">
        <v>0</v>
      </c>
      <c r="ZA18" s="14">
        <v>0</v>
      </c>
      <c r="ZH18" s="14">
        <v>0</v>
      </c>
      <c r="ZI18" s="14">
        <v>0</v>
      </c>
      <c r="ZJ18" s="14">
        <v>0</v>
      </c>
      <c r="ZK18" s="14">
        <v>0</v>
      </c>
      <c r="ZL18" s="14">
        <v>0</v>
      </c>
      <c r="ZM18" s="14">
        <v>0</v>
      </c>
      <c r="ZN18" s="14">
        <v>0</v>
      </c>
      <c r="ZO18" s="14">
        <v>0</v>
      </c>
      <c r="ZP18" s="14" t="s">
        <v>604</v>
      </c>
      <c r="ADS18" s="14" t="s">
        <v>605</v>
      </c>
    </row>
    <row r="19" spans="1:799" x14ac:dyDescent="0.25">
      <c r="A19" s="14">
        <v>110</v>
      </c>
      <c r="B19" s="14" t="s">
        <v>590</v>
      </c>
      <c r="C19" s="16">
        <v>42760.140972222223</v>
      </c>
      <c r="D19" s="14" t="s">
        <v>696</v>
      </c>
      <c r="E19" s="14" t="s">
        <v>697</v>
      </c>
      <c r="F19" s="14" t="str">
        <f>VLOOKUP(MID(H19,SEARCH("@",H19,1),LEN(H19)-SEARCH("@",H19,1)+1),[2]Sheet1!$D:$F,3,FALSE)</f>
        <v>M0082</v>
      </c>
      <c r="G19" s="14" t="s">
        <v>698</v>
      </c>
      <c r="H19" s="14" t="s">
        <v>699</v>
      </c>
      <c r="I19" s="14">
        <v>61292576129</v>
      </c>
      <c r="J19" s="14" t="s">
        <v>624</v>
      </c>
      <c r="K19" s="14" t="s">
        <v>625</v>
      </c>
      <c r="M19" s="14">
        <v>1</v>
      </c>
      <c r="P19" s="14">
        <v>1408</v>
      </c>
      <c r="Q19" s="14">
        <v>30</v>
      </c>
      <c r="T19" s="14">
        <v>5</v>
      </c>
      <c r="V19" s="14">
        <v>1443</v>
      </c>
      <c r="AC19" s="14">
        <v>0</v>
      </c>
      <c r="AJ19" s="14">
        <v>0</v>
      </c>
      <c r="AQ19" s="14">
        <v>0</v>
      </c>
      <c r="AX19" s="14">
        <v>0</v>
      </c>
      <c r="BE19" s="14">
        <v>0</v>
      </c>
      <c r="BF19" s="14">
        <v>1408</v>
      </c>
      <c r="BG19" s="14">
        <v>30</v>
      </c>
      <c r="BH19" s="14">
        <v>0</v>
      </c>
      <c r="BI19" s="14">
        <v>0</v>
      </c>
      <c r="BJ19" s="14">
        <v>5</v>
      </c>
      <c r="BK19" s="14">
        <v>0</v>
      </c>
      <c r="BL19" s="14">
        <v>1443</v>
      </c>
      <c r="BM19" s="14">
        <v>4</v>
      </c>
      <c r="BN19" s="14">
        <v>1</v>
      </c>
      <c r="BQ19" s="14">
        <v>1</v>
      </c>
      <c r="BS19" s="14">
        <v>6</v>
      </c>
      <c r="BZ19" s="14">
        <v>0</v>
      </c>
      <c r="CG19" s="14">
        <v>0</v>
      </c>
      <c r="CN19" s="14">
        <v>0</v>
      </c>
      <c r="CU19" s="14">
        <v>0</v>
      </c>
      <c r="DB19" s="14">
        <v>0</v>
      </c>
      <c r="DC19" s="14">
        <v>4</v>
      </c>
      <c r="DD19" s="14">
        <v>1</v>
      </c>
      <c r="DE19" s="14">
        <v>0</v>
      </c>
      <c r="DF19" s="14">
        <v>0</v>
      </c>
      <c r="DG19" s="14">
        <v>1</v>
      </c>
      <c r="DH19" s="14">
        <v>0</v>
      </c>
      <c r="DI19" s="14">
        <v>6</v>
      </c>
      <c r="DJ19" s="14" t="s">
        <v>597</v>
      </c>
      <c r="DK19" s="14" t="s">
        <v>597</v>
      </c>
      <c r="DL19" s="14" t="s">
        <v>598</v>
      </c>
      <c r="DM19" s="14" t="s">
        <v>598</v>
      </c>
      <c r="DN19" s="14" t="s">
        <v>597</v>
      </c>
      <c r="DO19" s="14" t="s">
        <v>598</v>
      </c>
      <c r="DP19" s="14" t="s">
        <v>598</v>
      </c>
      <c r="DQ19" s="14" t="s">
        <v>598</v>
      </c>
      <c r="DR19" s="14" t="s">
        <v>598</v>
      </c>
      <c r="DS19" s="14" t="s">
        <v>598</v>
      </c>
      <c r="DT19" s="14" t="s">
        <v>598</v>
      </c>
      <c r="DU19" s="14" t="s">
        <v>598</v>
      </c>
      <c r="DV19" s="14" t="s">
        <v>598</v>
      </c>
      <c r="DW19" s="14" t="s">
        <v>598</v>
      </c>
      <c r="DX19" s="14" t="s">
        <v>598</v>
      </c>
      <c r="DY19" s="14" t="s">
        <v>598</v>
      </c>
      <c r="DZ19" s="14" t="s">
        <v>598</v>
      </c>
      <c r="EA19" s="14" t="s">
        <v>598</v>
      </c>
      <c r="EB19" s="14" t="s">
        <v>598</v>
      </c>
      <c r="EC19" s="14" t="s">
        <v>598</v>
      </c>
      <c r="ED19" s="14" t="s">
        <v>598</v>
      </c>
      <c r="EE19" s="14" t="s">
        <v>598</v>
      </c>
      <c r="EF19" s="14" t="s">
        <v>598</v>
      </c>
      <c r="EG19" s="14" t="s">
        <v>598</v>
      </c>
      <c r="EH19" s="14" t="s">
        <v>598</v>
      </c>
      <c r="EI19" s="14" t="s">
        <v>598</v>
      </c>
      <c r="EJ19" s="14" t="s">
        <v>598</v>
      </c>
      <c r="EK19" s="14" t="s">
        <v>598</v>
      </c>
      <c r="EL19" s="14" t="s">
        <v>598</v>
      </c>
      <c r="EM19" s="14" t="s">
        <v>598</v>
      </c>
      <c r="EN19" s="14" t="s">
        <v>598</v>
      </c>
      <c r="EO19" s="14" t="s">
        <v>598</v>
      </c>
      <c r="EP19" s="14" t="s">
        <v>598</v>
      </c>
      <c r="EQ19" s="14" t="s">
        <v>598</v>
      </c>
      <c r="ER19" s="14" t="s">
        <v>598</v>
      </c>
      <c r="ES19" s="14" t="s">
        <v>598</v>
      </c>
      <c r="ET19" s="14">
        <v>728.17</v>
      </c>
      <c r="EZ19" s="14">
        <v>728.17</v>
      </c>
      <c r="FA19" s="14">
        <v>89.78</v>
      </c>
      <c r="FG19" s="14">
        <v>89.78</v>
      </c>
      <c r="FN19" s="14">
        <v>0</v>
      </c>
      <c r="FO19" s="14">
        <v>116.05</v>
      </c>
      <c r="FU19" s="14">
        <v>116.05</v>
      </c>
      <c r="GB19" s="14">
        <v>0</v>
      </c>
      <c r="GI19" s="14">
        <v>0</v>
      </c>
      <c r="GK19" s="14">
        <v>30</v>
      </c>
      <c r="GP19" s="14">
        <v>30</v>
      </c>
      <c r="GQ19" s="14" t="s">
        <v>700</v>
      </c>
      <c r="GR19" s="14">
        <v>474</v>
      </c>
      <c r="GV19" s="14">
        <v>5</v>
      </c>
      <c r="GX19" s="14">
        <v>479</v>
      </c>
      <c r="GY19" s="14">
        <v>1408</v>
      </c>
      <c r="GZ19" s="14">
        <v>30</v>
      </c>
      <c r="HA19" s="14">
        <v>0</v>
      </c>
      <c r="HB19" s="14">
        <v>0</v>
      </c>
      <c r="HC19" s="14">
        <v>5</v>
      </c>
      <c r="HD19" s="14">
        <v>0</v>
      </c>
      <c r="HE19" s="14">
        <v>1443</v>
      </c>
      <c r="HF19" s="14">
        <v>1108.74</v>
      </c>
      <c r="HG19" s="14">
        <v>30</v>
      </c>
      <c r="HJ19" s="14">
        <v>5</v>
      </c>
      <c r="HL19" s="14">
        <v>1143.74</v>
      </c>
      <c r="HM19" s="14">
        <v>299.26</v>
      </c>
      <c r="HS19" s="14">
        <v>299.26</v>
      </c>
      <c r="HZ19" s="14">
        <v>0</v>
      </c>
      <c r="IG19" s="14">
        <v>0</v>
      </c>
      <c r="IN19" s="14">
        <v>0</v>
      </c>
      <c r="IO19" s="14">
        <v>1408</v>
      </c>
      <c r="IP19" s="14">
        <v>30</v>
      </c>
      <c r="IQ19" s="14">
        <v>0</v>
      </c>
      <c r="IR19" s="14">
        <v>0</v>
      </c>
      <c r="IS19" s="14">
        <v>5</v>
      </c>
      <c r="IT19" s="14">
        <v>0</v>
      </c>
      <c r="IU19" s="14">
        <v>1443</v>
      </c>
      <c r="IW19" s="14">
        <v>22</v>
      </c>
      <c r="IX19" s="14">
        <v>78</v>
      </c>
      <c r="JA19" s="14">
        <v>3</v>
      </c>
      <c r="JB19" s="14">
        <v>3</v>
      </c>
      <c r="JC19" s="14">
        <v>1</v>
      </c>
      <c r="JD19" s="14" t="s">
        <v>600</v>
      </c>
      <c r="JE19" s="14">
        <v>728.17</v>
      </c>
      <c r="JK19" s="14">
        <v>728.17</v>
      </c>
      <c r="JL19" s="14">
        <v>89.78</v>
      </c>
      <c r="JR19" s="14">
        <v>89.78</v>
      </c>
      <c r="JY19" s="14">
        <v>0</v>
      </c>
      <c r="JZ19" s="14">
        <v>116.05</v>
      </c>
      <c r="KF19" s="14">
        <v>116.05</v>
      </c>
      <c r="KM19" s="14">
        <v>0</v>
      </c>
      <c r="KT19" s="14">
        <v>0</v>
      </c>
      <c r="KV19" s="14">
        <v>30</v>
      </c>
      <c r="LA19" s="14">
        <v>30</v>
      </c>
      <c r="LB19" s="14" t="s">
        <v>700</v>
      </c>
      <c r="LC19" s="14">
        <v>474</v>
      </c>
      <c r="LG19" s="14">
        <v>5</v>
      </c>
      <c r="LI19" s="14">
        <v>479</v>
      </c>
      <c r="LJ19" s="14">
        <v>1408</v>
      </c>
      <c r="LK19" s="14">
        <v>30</v>
      </c>
      <c r="LL19" s="14">
        <v>0</v>
      </c>
      <c r="LM19" s="14">
        <v>0</v>
      </c>
      <c r="LN19" s="14">
        <v>5</v>
      </c>
      <c r="LO19" s="14">
        <v>0</v>
      </c>
      <c r="LP19" s="14">
        <v>1443</v>
      </c>
      <c r="LQ19" s="14">
        <v>299.26</v>
      </c>
      <c r="LW19" s="14">
        <v>299.26</v>
      </c>
      <c r="LX19" s="14">
        <v>1143.74</v>
      </c>
      <c r="MD19" s="14">
        <v>1143.74</v>
      </c>
      <c r="MK19" s="14">
        <v>0</v>
      </c>
      <c r="MR19" s="14">
        <v>0</v>
      </c>
      <c r="MY19" s="14">
        <v>0</v>
      </c>
      <c r="MZ19" s="14">
        <v>1443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1443</v>
      </c>
      <c r="NG19" s="14" t="s">
        <v>601</v>
      </c>
      <c r="RJ19" s="14" t="s">
        <v>602</v>
      </c>
      <c r="VM19" s="14" t="s">
        <v>603</v>
      </c>
      <c r="ZP19" s="14" t="s">
        <v>604</v>
      </c>
      <c r="ADS19" s="14" t="s">
        <v>605</v>
      </c>
    </row>
    <row r="20" spans="1:799" x14ac:dyDescent="0.25">
      <c r="A20" s="14">
        <v>242</v>
      </c>
      <c r="B20" s="14" t="s">
        <v>590</v>
      </c>
      <c r="C20" s="16">
        <v>42780</v>
      </c>
      <c r="D20" s="14" t="s">
        <v>701</v>
      </c>
      <c r="E20" s="14" t="s">
        <v>702</v>
      </c>
      <c r="F20" s="14" t="str">
        <f>VLOOKUP(MID(H20,SEARCH("@",H20,1),LEN(H20)-SEARCH("@",H20,1)+1),[2]Sheet1!$D:$F,3,FALSE)</f>
        <v>M0077</v>
      </c>
      <c r="G20" s="14" t="s">
        <v>703</v>
      </c>
      <c r="H20" s="14" t="s">
        <v>704</v>
      </c>
      <c r="I20" s="14" t="s">
        <v>705</v>
      </c>
      <c r="J20" s="14" t="s">
        <v>624</v>
      </c>
      <c r="K20" s="14" t="s">
        <v>625</v>
      </c>
      <c r="M20" s="14">
        <v>1</v>
      </c>
      <c r="P20" s="14">
        <v>469</v>
      </c>
      <c r="R20" s="14">
        <v>100</v>
      </c>
      <c r="V20" s="14">
        <v>569</v>
      </c>
      <c r="AC20" s="14">
        <v>0</v>
      </c>
      <c r="AJ20" s="14">
        <v>0</v>
      </c>
      <c r="AQ20" s="14">
        <v>0</v>
      </c>
      <c r="AX20" s="14">
        <v>0</v>
      </c>
      <c r="BE20" s="14">
        <v>0</v>
      </c>
      <c r="BF20" s="14">
        <v>469</v>
      </c>
      <c r="BG20" s="14">
        <v>0</v>
      </c>
      <c r="BH20" s="14">
        <v>100</v>
      </c>
      <c r="BI20" s="14">
        <v>0</v>
      </c>
      <c r="BJ20" s="14">
        <v>0</v>
      </c>
      <c r="BK20" s="14">
        <v>0</v>
      </c>
      <c r="BL20" s="14">
        <v>569</v>
      </c>
      <c r="BM20" s="14">
        <v>1</v>
      </c>
      <c r="BO20" s="14">
        <v>1</v>
      </c>
      <c r="BS20" s="14">
        <v>2</v>
      </c>
      <c r="BZ20" s="14">
        <v>0</v>
      </c>
      <c r="CG20" s="14">
        <v>0</v>
      </c>
      <c r="CN20" s="14">
        <v>0</v>
      </c>
      <c r="CU20" s="14">
        <v>0</v>
      </c>
      <c r="DB20" s="14">
        <v>0</v>
      </c>
      <c r="DC20" s="14">
        <v>1</v>
      </c>
      <c r="DD20" s="14">
        <v>0</v>
      </c>
      <c r="DE20" s="14">
        <v>1</v>
      </c>
      <c r="DF20" s="14">
        <v>0</v>
      </c>
      <c r="DG20" s="14">
        <v>0</v>
      </c>
      <c r="DH20" s="14">
        <v>0</v>
      </c>
      <c r="DI20" s="14">
        <v>2</v>
      </c>
      <c r="DJ20" s="14" t="s">
        <v>597</v>
      </c>
      <c r="DK20" s="14" t="s">
        <v>598</v>
      </c>
      <c r="DL20" s="14" t="s">
        <v>597</v>
      </c>
      <c r="DM20" s="14" t="s">
        <v>598</v>
      </c>
      <c r="DN20" s="14" t="s">
        <v>598</v>
      </c>
      <c r="DO20" s="14" t="s">
        <v>598</v>
      </c>
      <c r="DP20" s="14" t="s">
        <v>598</v>
      </c>
      <c r="DQ20" s="14" t="s">
        <v>598</v>
      </c>
      <c r="DR20" s="14" t="s">
        <v>598</v>
      </c>
      <c r="DS20" s="14" t="s">
        <v>598</v>
      </c>
      <c r="DT20" s="14" t="s">
        <v>598</v>
      </c>
      <c r="DU20" s="14" t="s">
        <v>598</v>
      </c>
      <c r="DV20" s="14" t="s">
        <v>598</v>
      </c>
      <c r="DW20" s="14" t="s">
        <v>598</v>
      </c>
      <c r="DX20" s="14" t="s">
        <v>598</v>
      </c>
      <c r="DY20" s="14" t="s">
        <v>598</v>
      </c>
      <c r="DZ20" s="14" t="s">
        <v>598</v>
      </c>
      <c r="EA20" s="14" t="s">
        <v>598</v>
      </c>
      <c r="EB20" s="14" t="s">
        <v>598</v>
      </c>
      <c r="EC20" s="14" t="s">
        <v>598</v>
      </c>
      <c r="ED20" s="14" t="s">
        <v>598</v>
      </c>
      <c r="EE20" s="14" t="s">
        <v>598</v>
      </c>
      <c r="EF20" s="14" t="s">
        <v>598</v>
      </c>
      <c r="EG20" s="14" t="s">
        <v>598</v>
      </c>
      <c r="EH20" s="14" t="s">
        <v>598</v>
      </c>
      <c r="EI20" s="14" t="s">
        <v>598</v>
      </c>
      <c r="EJ20" s="14" t="s">
        <v>598</v>
      </c>
      <c r="EK20" s="14" t="s">
        <v>598</v>
      </c>
      <c r="EL20" s="14" t="s">
        <v>598</v>
      </c>
      <c r="EM20" s="14" t="s">
        <v>598</v>
      </c>
      <c r="EN20" s="14" t="s">
        <v>598</v>
      </c>
      <c r="EO20" s="14" t="s">
        <v>598</v>
      </c>
      <c r="EP20" s="14" t="s">
        <v>598</v>
      </c>
      <c r="EQ20" s="14" t="s">
        <v>598</v>
      </c>
      <c r="ER20" s="14" t="s">
        <v>598</v>
      </c>
      <c r="ES20" s="14" t="s">
        <v>598</v>
      </c>
      <c r="EZ20" s="14">
        <v>0</v>
      </c>
      <c r="FG20" s="14">
        <v>0</v>
      </c>
      <c r="FN20" s="14">
        <v>0</v>
      </c>
      <c r="FU20" s="14">
        <v>0</v>
      </c>
      <c r="GB20" s="14">
        <v>0</v>
      </c>
      <c r="GI20" s="14">
        <v>0</v>
      </c>
      <c r="GP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427.8</v>
      </c>
      <c r="HH20" s="14">
        <v>100</v>
      </c>
      <c r="HL20" s="14">
        <v>527.79999999999995</v>
      </c>
      <c r="HM20" s="14">
        <v>40.5</v>
      </c>
      <c r="HS20" s="14">
        <v>40.5</v>
      </c>
      <c r="HZ20" s="14">
        <v>0</v>
      </c>
      <c r="IG20" s="14">
        <v>0</v>
      </c>
      <c r="IN20" s="14">
        <v>0</v>
      </c>
      <c r="IO20" s="14">
        <v>468.3</v>
      </c>
      <c r="IP20" s="14">
        <v>0</v>
      </c>
      <c r="IQ20" s="14">
        <v>100</v>
      </c>
      <c r="IR20" s="14">
        <v>0</v>
      </c>
      <c r="IS20" s="14">
        <v>0</v>
      </c>
      <c r="IT20" s="14">
        <v>0</v>
      </c>
      <c r="IU20" s="14">
        <v>568.29999999999995</v>
      </c>
      <c r="JC20" s="14">
        <v>1</v>
      </c>
      <c r="JD20" s="14" t="s">
        <v>600</v>
      </c>
      <c r="JK20" s="14">
        <v>0</v>
      </c>
      <c r="JR20" s="14">
        <v>0</v>
      </c>
      <c r="JY20" s="14">
        <v>0</v>
      </c>
      <c r="KF20" s="14">
        <v>0</v>
      </c>
      <c r="KM20" s="14">
        <v>0</v>
      </c>
      <c r="KT20" s="14">
        <v>0</v>
      </c>
      <c r="LA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40.5</v>
      </c>
      <c r="LS20" s="14">
        <v>100</v>
      </c>
      <c r="LW20" s="14">
        <v>140.5</v>
      </c>
      <c r="LX20" s="14">
        <v>427.8</v>
      </c>
      <c r="MD20" s="14">
        <v>427.8</v>
      </c>
      <c r="MK20" s="14">
        <v>0</v>
      </c>
      <c r="MR20" s="14">
        <v>0</v>
      </c>
      <c r="MY20" s="14">
        <v>0</v>
      </c>
      <c r="MZ20" s="14">
        <v>468.3</v>
      </c>
      <c r="NA20" s="14">
        <v>0</v>
      </c>
      <c r="NB20" s="14">
        <v>100</v>
      </c>
      <c r="NC20" s="14">
        <v>0</v>
      </c>
      <c r="ND20" s="14">
        <v>0</v>
      </c>
      <c r="NE20" s="14">
        <v>0</v>
      </c>
      <c r="NF20" s="14">
        <v>568.29999999999995</v>
      </c>
      <c r="NG20" s="14" t="s">
        <v>601</v>
      </c>
      <c r="RJ20" s="14" t="s">
        <v>602</v>
      </c>
      <c r="VM20" s="14" t="s">
        <v>603</v>
      </c>
      <c r="ZP20" s="14" t="s">
        <v>604</v>
      </c>
      <c r="ADS20" s="14" t="s">
        <v>605</v>
      </c>
    </row>
    <row r="21" spans="1:799" x14ac:dyDescent="0.25">
      <c r="A21" s="14">
        <v>237</v>
      </c>
      <c r="B21" s="14" t="s">
        <v>590</v>
      </c>
      <c r="C21" s="16">
        <v>42780</v>
      </c>
      <c r="D21" s="14" t="s">
        <v>706</v>
      </c>
      <c r="E21" s="14" t="s">
        <v>707</v>
      </c>
      <c r="F21" s="14" t="str">
        <f>VLOOKUP(MID(H21,SEARCH("@",H21,1),LEN(H21)-SEARCH("@",H21,1)+1),[2]Sheet1!$D:$F,3,FALSE)</f>
        <v>M0186</v>
      </c>
      <c r="G21" s="14" t="s">
        <v>708</v>
      </c>
      <c r="H21" s="14" t="s">
        <v>709</v>
      </c>
      <c r="I21" s="14">
        <v>25837774</v>
      </c>
      <c r="J21" s="14" t="s">
        <v>618</v>
      </c>
      <c r="K21" s="14" t="s">
        <v>596</v>
      </c>
      <c r="M21" s="14">
        <v>1</v>
      </c>
      <c r="P21" s="14">
        <v>1252.2</v>
      </c>
      <c r="V21" s="14">
        <v>1252.2</v>
      </c>
      <c r="AC21" s="14">
        <v>0</v>
      </c>
      <c r="AJ21" s="14">
        <v>0</v>
      </c>
      <c r="AQ21" s="14">
        <v>0</v>
      </c>
      <c r="AX21" s="14">
        <v>0</v>
      </c>
      <c r="BE21" s="14">
        <v>0</v>
      </c>
      <c r="BF21" s="14">
        <v>1252.2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1252.2</v>
      </c>
      <c r="BM21" s="14">
        <v>2</v>
      </c>
      <c r="BS21" s="14">
        <v>2</v>
      </c>
      <c r="BZ21" s="14">
        <v>0</v>
      </c>
      <c r="CG21" s="14">
        <v>0</v>
      </c>
      <c r="CN21" s="14">
        <v>0</v>
      </c>
      <c r="CU21" s="14">
        <v>0</v>
      </c>
      <c r="DB21" s="14">
        <v>0</v>
      </c>
      <c r="DC21" s="14">
        <v>2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2</v>
      </c>
      <c r="DJ21" s="14" t="s">
        <v>597</v>
      </c>
      <c r="DK21" s="14" t="s">
        <v>598</v>
      </c>
      <c r="DL21" s="14" t="s">
        <v>598</v>
      </c>
      <c r="DM21" s="14" t="s">
        <v>598</v>
      </c>
      <c r="DN21" s="14" t="s">
        <v>598</v>
      </c>
      <c r="DO21" s="14" t="s">
        <v>598</v>
      </c>
      <c r="DP21" s="14" t="s">
        <v>598</v>
      </c>
      <c r="DQ21" s="14" t="s">
        <v>598</v>
      </c>
      <c r="DR21" s="14" t="s">
        <v>598</v>
      </c>
      <c r="DS21" s="14" t="s">
        <v>598</v>
      </c>
      <c r="DT21" s="14" t="s">
        <v>598</v>
      </c>
      <c r="DU21" s="14" t="s">
        <v>598</v>
      </c>
      <c r="DV21" s="14" t="s">
        <v>598</v>
      </c>
      <c r="DW21" s="14" t="s">
        <v>598</v>
      </c>
      <c r="DX21" s="14" t="s">
        <v>598</v>
      </c>
      <c r="DY21" s="14" t="s">
        <v>598</v>
      </c>
      <c r="DZ21" s="14" t="s">
        <v>598</v>
      </c>
      <c r="EA21" s="14" t="s">
        <v>598</v>
      </c>
      <c r="EB21" s="14" t="s">
        <v>598</v>
      </c>
      <c r="EC21" s="14" t="s">
        <v>598</v>
      </c>
      <c r="ED21" s="14" t="s">
        <v>598</v>
      </c>
      <c r="EE21" s="14" t="s">
        <v>598</v>
      </c>
      <c r="EF21" s="14" t="s">
        <v>598</v>
      </c>
      <c r="EG21" s="14" t="s">
        <v>598</v>
      </c>
      <c r="EH21" s="14" t="s">
        <v>598</v>
      </c>
      <c r="EI21" s="14" t="s">
        <v>598</v>
      </c>
      <c r="EJ21" s="14" t="s">
        <v>598</v>
      </c>
      <c r="EK21" s="14" t="s">
        <v>598</v>
      </c>
      <c r="EL21" s="14" t="s">
        <v>598</v>
      </c>
      <c r="EM21" s="14" t="s">
        <v>598</v>
      </c>
      <c r="EN21" s="14" t="s">
        <v>598</v>
      </c>
      <c r="EO21" s="14" t="s">
        <v>598</v>
      </c>
      <c r="EP21" s="14" t="s">
        <v>598</v>
      </c>
      <c r="EQ21" s="14" t="s">
        <v>598</v>
      </c>
      <c r="ER21" s="14" t="s">
        <v>598</v>
      </c>
      <c r="ES21" s="14" t="s">
        <v>598</v>
      </c>
      <c r="ET21" s="14">
        <v>520</v>
      </c>
      <c r="EZ21" s="14">
        <v>520</v>
      </c>
      <c r="FG21" s="14">
        <v>0</v>
      </c>
      <c r="FH21" s="14">
        <v>460</v>
      </c>
      <c r="FN21" s="14">
        <v>460</v>
      </c>
      <c r="FU21" s="14">
        <v>0</v>
      </c>
      <c r="FV21" s="14">
        <v>10</v>
      </c>
      <c r="GB21" s="14">
        <v>10</v>
      </c>
      <c r="GC21" s="14">
        <v>146.4</v>
      </c>
      <c r="GI21" s="14">
        <v>146.4</v>
      </c>
      <c r="GJ21" s="14">
        <v>23</v>
      </c>
      <c r="GP21" s="14">
        <v>23</v>
      </c>
      <c r="GQ21" s="14" t="s">
        <v>710</v>
      </c>
      <c r="GR21" s="14">
        <v>92.8</v>
      </c>
      <c r="GX21" s="14">
        <v>92.8</v>
      </c>
      <c r="GY21" s="14">
        <v>1252.2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1252.2</v>
      </c>
      <c r="HF21" s="14">
        <v>589.29999999999995</v>
      </c>
      <c r="HL21" s="14">
        <v>589.29999999999995</v>
      </c>
      <c r="HM21" s="14">
        <v>297.89999999999998</v>
      </c>
      <c r="HS21" s="14">
        <v>297.89999999999998</v>
      </c>
      <c r="HT21" s="14">
        <v>365</v>
      </c>
      <c r="HZ21" s="14">
        <v>365</v>
      </c>
      <c r="IG21" s="14">
        <v>0</v>
      </c>
      <c r="IN21" s="14">
        <v>0</v>
      </c>
      <c r="IO21" s="14">
        <v>1252.2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1252.2</v>
      </c>
      <c r="JA21" s="14">
        <v>1</v>
      </c>
      <c r="JB21" s="14">
        <v>2</v>
      </c>
      <c r="JC21" s="14">
        <v>1</v>
      </c>
      <c r="JD21" s="14" t="s">
        <v>600</v>
      </c>
      <c r="JE21" s="14">
        <v>520</v>
      </c>
      <c r="JK21" s="14">
        <v>520</v>
      </c>
      <c r="JR21" s="14">
        <v>0</v>
      </c>
      <c r="JS21" s="14">
        <v>460</v>
      </c>
      <c r="JY21" s="14">
        <v>460</v>
      </c>
      <c r="KF21" s="14">
        <v>0</v>
      </c>
      <c r="KG21" s="14">
        <v>10</v>
      </c>
      <c r="KM21" s="14">
        <v>10</v>
      </c>
      <c r="KN21" s="14">
        <v>146.4</v>
      </c>
      <c r="KT21" s="14">
        <v>146.4</v>
      </c>
      <c r="KU21" s="14">
        <v>23</v>
      </c>
      <c r="LA21" s="14">
        <v>23</v>
      </c>
      <c r="LB21" s="14" t="s">
        <v>711</v>
      </c>
      <c r="LC21" s="14">
        <v>92.8</v>
      </c>
      <c r="LI21" s="14">
        <v>92.8</v>
      </c>
      <c r="LJ21" s="14">
        <v>1252.2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1252.2</v>
      </c>
      <c r="LQ21" s="14">
        <v>589.29999999999995</v>
      </c>
      <c r="LW21" s="14">
        <v>589.29999999999995</v>
      </c>
      <c r="LX21" s="14">
        <v>297.89999999999998</v>
      </c>
      <c r="MD21" s="14">
        <v>297.89999999999998</v>
      </c>
      <c r="ME21" s="14">
        <v>365</v>
      </c>
      <c r="MK21" s="14">
        <v>365</v>
      </c>
      <c r="MR21" s="14">
        <v>0</v>
      </c>
      <c r="MY21" s="14">
        <v>0</v>
      </c>
      <c r="MZ21" s="14">
        <v>1252.2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1252.2</v>
      </c>
      <c r="NG21" s="14" t="s">
        <v>601</v>
      </c>
      <c r="RJ21" s="14" t="s">
        <v>602</v>
      </c>
      <c r="VM21" s="14" t="s">
        <v>603</v>
      </c>
      <c r="ZP21" s="14" t="s">
        <v>604</v>
      </c>
      <c r="ADS21" s="14" t="s">
        <v>605</v>
      </c>
    </row>
    <row r="22" spans="1:799" x14ac:dyDescent="0.25">
      <c r="A22" s="14">
        <v>71</v>
      </c>
      <c r="B22" s="14" t="s">
        <v>590</v>
      </c>
      <c r="C22" s="16">
        <v>42779.143750000003</v>
      </c>
      <c r="D22" s="14" t="s">
        <v>712</v>
      </c>
      <c r="E22" s="14" t="s">
        <v>713</v>
      </c>
      <c r="F22" s="14" t="str">
        <f>VLOOKUP(MID(H22,SEARCH("@",H22,1),LEN(H22)-SEARCH("@",H22,1)+1),[2]Sheet1!$D:$F,3,FALSE)</f>
        <v>M065</v>
      </c>
      <c r="G22" s="14" t="s">
        <v>714</v>
      </c>
      <c r="H22" s="14" t="s">
        <v>715</v>
      </c>
      <c r="I22" s="14" t="s">
        <v>716</v>
      </c>
      <c r="J22" s="14" t="s">
        <v>624</v>
      </c>
      <c r="K22" s="14" t="s">
        <v>625</v>
      </c>
      <c r="M22" s="14">
        <v>1</v>
      </c>
      <c r="S22" s="14">
        <v>1633.92</v>
      </c>
      <c r="V22" s="14">
        <v>1633.92</v>
      </c>
      <c r="Z22" s="14">
        <v>684.11</v>
      </c>
      <c r="AC22" s="14">
        <v>684.11</v>
      </c>
      <c r="AJ22" s="14">
        <v>0</v>
      </c>
      <c r="AQ22" s="14">
        <v>0</v>
      </c>
      <c r="AX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2318.0300000000002</v>
      </c>
      <c r="BJ22" s="14">
        <v>0</v>
      </c>
      <c r="BK22" s="14">
        <v>0</v>
      </c>
      <c r="BL22" s="14">
        <v>2318.0300000000002</v>
      </c>
      <c r="BP22" s="14">
        <v>3</v>
      </c>
      <c r="BS22" s="14">
        <v>3</v>
      </c>
      <c r="BW22" s="14">
        <v>1</v>
      </c>
      <c r="BZ22" s="14">
        <v>1</v>
      </c>
      <c r="CG22" s="14">
        <v>0</v>
      </c>
      <c r="CN22" s="14">
        <v>0</v>
      </c>
      <c r="CU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4</v>
      </c>
      <c r="DG22" s="14">
        <v>0</v>
      </c>
      <c r="DH22" s="14">
        <v>0</v>
      </c>
      <c r="DI22" s="14">
        <v>4</v>
      </c>
      <c r="DJ22" s="14" t="s">
        <v>598</v>
      </c>
      <c r="DK22" s="14" t="s">
        <v>598</v>
      </c>
      <c r="DL22" s="14" t="s">
        <v>598</v>
      </c>
      <c r="DM22" s="14" t="s">
        <v>597</v>
      </c>
      <c r="DN22" s="14" t="s">
        <v>598</v>
      </c>
      <c r="DO22" s="14" t="s">
        <v>598</v>
      </c>
      <c r="DP22" s="14" t="s">
        <v>598</v>
      </c>
      <c r="DQ22" s="14" t="s">
        <v>598</v>
      </c>
      <c r="DR22" s="14" t="s">
        <v>598</v>
      </c>
      <c r="DS22" s="14" t="s">
        <v>597</v>
      </c>
      <c r="DT22" s="14" t="s">
        <v>598</v>
      </c>
      <c r="DU22" s="14" t="s">
        <v>598</v>
      </c>
      <c r="DV22" s="14" t="s">
        <v>598</v>
      </c>
      <c r="DW22" s="14" t="s">
        <v>598</v>
      </c>
      <c r="DX22" s="14" t="s">
        <v>598</v>
      </c>
      <c r="DY22" s="14" t="s">
        <v>598</v>
      </c>
      <c r="DZ22" s="14" t="s">
        <v>598</v>
      </c>
      <c r="EA22" s="14" t="s">
        <v>598</v>
      </c>
      <c r="EB22" s="14" t="s">
        <v>598</v>
      </c>
      <c r="EC22" s="14" t="s">
        <v>598</v>
      </c>
      <c r="ED22" s="14" t="s">
        <v>598</v>
      </c>
      <c r="EE22" s="14" t="s">
        <v>598</v>
      </c>
      <c r="EF22" s="14" t="s">
        <v>598</v>
      </c>
      <c r="EG22" s="14" t="s">
        <v>598</v>
      </c>
      <c r="EH22" s="14" t="s">
        <v>598</v>
      </c>
      <c r="EI22" s="14" t="s">
        <v>598</v>
      </c>
      <c r="EJ22" s="14" t="s">
        <v>598</v>
      </c>
      <c r="EK22" s="14" t="s">
        <v>598</v>
      </c>
      <c r="EL22" s="14" t="s">
        <v>598</v>
      </c>
      <c r="EM22" s="14" t="s">
        <v>598</v>
      </c>
      <c r="EN22" s="14" t="s">
        <v>598</v>
      </c>
      <c r="EO22" s="14" t="s">
        <v>598</v>
      </c>
      <c r="EP22" s="14" t="s">
        <v>598</v>
      </c>
      <c r="EQ22" s="14" t="s">
        <v>598</v>
      </c>
      <c r="ER22" s="14" t="s">
        <v>598</v>
      </c>
      <c r="ES22" s="14" t="s">
        <v>598</v>
      </c>
      <c r="EW22" s="14">
        <v>2256.75</v>
      </c>
      <c r="EZ22" s="14">
        <v>2256.75</v>
      </c>
      <c r="FG22" s="14">
        <v>0</v>
      </c>
      <c r="FK22" s="14">
        <v>61.28</v>
      </c>
      <c r="FN22" s="14">
        <v>61.28</v>
      </c>
      <c r="FU22" s="14">
        <v>0</v>
      </c>
      <c r="GB22" s="14">
        <v>0</v>
      </c>
      <c r="GI22" s="14">
        <v>0</v>
      </c>
      <c r="GP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2318.0300000000002</v>
      </c>
      <c r="HC22" s="14">
        <v>0</v>
      </c>
      <c r="HD22" s="14">
        <v>0</v>
      </c>
      <c r="HE22" s="14">
        <v>2318.0300000000002</v>
      </c>
      <c r="HL22" s="14">
        <v>0</v>
      </c>
      <c r="HP22" s="14">
        <v>587.16999999999996</v>
      </c>
      <c r="HS22" s="14">
        <v>587.16999999999996</v>
      </c>
      <c r="HW22" s="14">
        <v>1730.86</v>
      </c>
      <c r="HZ22" s="14">
        <v>1730.86</v>
      </c>
      <c r="IG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2318.0300000000002</v>
      </c>
      <c r="IS22" s="14">
        <v>0</v>
      </c>
      <c r="IT22" s="14">
        <v>0</v>
      </c>
      <c r="IU22" s="14">
        <v>2318.0300000000002</v>
      </c>
      <c r="IX22" s="14">
        <v>100</v>
      </c>
      <c r="JA22" s="14">
        <v>3</v>
      </c>
      <c r="JB22" s="14">
        <v>3</v>
      </c>
      <c r="JC22" s="14">
        <v>1</v>
      </c>
      <c r="JD22" s="14" t="s">
        <v>600</v>
      </c>
      <c r="JH22" s="14">
        <v>1572.64</v>
      </c>
      <c r="JK22" s="14">
        <v>1572.64</v>
      </c>
      <c r="JR22" s="14">
        <v>0</v>
      </c>
      <c r="JV22" s="14">
        <v>61.28</v>
      </c>
      <c r="JY22" s="14">
        <v>61.28</v>
      </c>
      <c r="KF22" s="14">
        <v>0</v>
      </c>
      <c r="KM22" s="14">
        <v>0</v>
      </c>
      <c r="KT22" s="14">
        <v>0</v>
      </c>
      <c r="LA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1633.92</v>
      </c>
      <c r="LN22" s="14">
        <v>0</v>
      </c>
      <c r="LO22" s="14">
        <v>0</v>
      </c>
      <c r="LP22" s="14">
        <v>1633.92</v>
      </c>
      <c r="LT22" s="14">
        <v>245.12</v>
      </c>
      <c r="LW22" s="14">
        <v>245.12</v>
      </c>
      <c r="MD22" s="14">
        <v>0</v>
      </c>
      <c r="MH22" s="14">
        <v>1388.8</v>
      </c>
      <c r="MK22" s="14">
        <v>1388.8</v>
      </c>
      <c r="MR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1633.92</v>
      </c>
      <c r="ND22" s="14">
        <v>0</v>
      </c>
      <c r="NE22" s="14">
        <v>0</v>
      </c>
      <c r="NF22" s="14">
        <v>1633.92</v>
      </c>
      <c r="NG22" s="14" t="s">
        <v>601</v>
      </c>
      <c r="NK22" s="14">
        <v>684.11</v>
      </c>
      <c r="NN22" s="14">
        <v>684.11</v>
      </c>
      <c r="NU22" s="14">
        <v>0</v>
      </c>
      <c r="OB22" s="14">
        <v>0</v>
      </c>
      <c r="OI22" s="14">
        <v>0</v>
      </c>
      <c r="OP22" s="14">
        <v>0</v>
      </c>
      <c r="OW22" s="14">
        <v>0</v>
      </c>
      <c r="PD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684.11</v>
      </c>
      <c r="PQ22" s="14">
        <v>0</v>
      </c>
      <c r="PR22" s="14">
        <v>0</v>
      </c>
      <c r="PS22" s="14">
        <v>684.11</v>
      </c>
      <c r="PW22" s="14">
        <v>342.05</v>
      </c>
      <c r="PZ22" s="14">
        <v>342.05</v>
      </c>
      <c r="QG22" s="14">
        <v>0</v>
      </c>
      <c r="QK22" s="14">
        <v>342.06</v>
      </c>
      <c r="QN22" s="14">
        <v>342.06</v>
      </c>
      <c r="QU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684.11</v>
      </c>
      <c r="RG22" s="14">
        <v>0</v>
      </c>
      <c r="RH22" s="14">
        <v>0</v>
      </c>
      <c r="RI22" s="14">
        <v>684.11</v>
      </c>
      <c r="RJ22" s="14" t="s">
        <v>602</v>
      </c>
      <c r="VM22" s="14" t="s">
        <v>603</v>
      </c>
      <c r="ZP22" s="14" t="s">
        <v>604</v>
      </c>
      <c r="ADS22" s="14" t="s">
        <v>605</v>
      </c>
    </row>
    <row r="23" spans="1:799" x14ac:dyDescent="0.25">
      <c r="A23" s="14">
        <v>184</v>
      </c>
      <c r="B23" s="14" t="s">
        <v>590</v>
      </c>
      <c r="C23" s="16">
        <v>42780</v>
      </c>
      <c r="D23" s="14" t="s">
        <v>717</v>
      </c>
      <c r="E23" s="14" t="s">
        <v>718</v>
      </c>
      <c r="F23" s="14" t="str">
        <f>VLOOKUP(MID(H23,SEARCH("@",H23,1),LEN(H23)-SEARCH("@",H23,1)+1),[2]Sheet1!$D:$F,3,FALSE)</f>
        <v>M0309</v>
      </c>
      <c r="G23" s="14" t="s">
        <v>719</v>
      </c>
      <c r="H23" s="14" t="s">
        <v>720</v>
      </c>
      <c r="I23" s="14" t="s">
        <v>721</v>
      </c>
      <c r="J23" s="14" t="s">
        <v>618</v>
      </c>
      <c r="K23" s="14" t="s">
        <v>596</v>
      </c>
      <c r="M23" s="14">
        <v>2</v>
      </c>
      <c r="V23" s="14">
        <v>0</v>
      </c>
      <c r="AC23" s="14">
        <v>0</v>
      </c>
      <c r="AJ23" s="14">
        <v>0</v>
      </c>
      <c r="AQ23" s="14">
        <v>0</v>
      </c>
      <c r="AX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S23" s="14">
        <v>0</v>
      </c>
      <c r="BZ23" s="14">
        <v>0</v>
      </c>
      <c r="CG23" s="14">
        <v>0</v>
      </c>
      <c r="CN23" s="14">
        <v>0</v>
      </c>
      <c r="CU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 t="s">
        <v>598</v>
      </c>
      <c r="DK23" s="14" t="s">
        <v>598</v>
      </c>
      <c r="DL23" s="14" t="s">
        <v>598</v>
      </c>
      <c r="DM23" s="14" t="s">
        <v>598</v>
      </c>
      <c r="DN23" s="14" t="s">
        <v>598</v>
      </c>
      <c r="DO23" s="14" t="s">
        <v>598</v>
      </c>
      <c r="DP23" s="14" t="s">
        <v>598</v>
      </c>
      <c r="DQ23" s="14" t="s">
        <v>598</v>
      </c>
      <c r="DR23" s="14" t="s">
        <v>598</v>
      </c>
      <c r="DS23" s="14" t="s">
        <v>598</v>
      </c>
      <c r="DT23" s="14" t="s">
        <v>598</v>
      </c>
      <c r="DU23" s="14" t="s">
        <v>598</v>
      </c>
      <c r="DV23" s="14" t="s">
        <v>598</v>
      </c>
      <c r="DW23" s="14" t="s">
        <v>598</v>
      </c>
      <c r="DX23" s="14" t="s">
        <v>598</v>
      </c>
      <c r="DY23" s="14" t="s">
        <v>598</v>
      </c>
      <c r="DZ23" s="14" t="s">
        <v>598</v>
      </c>
      <c r="EA23" s="14" t="s">
        <v>598</v>
      </c>
      <c r="EB23" s="14" t="s">
        <v>598</v>
      </c>
      <c r="EC23" s="14" t="s">
        <v>598</v>
      </c>
      <c r="ED23" s="14" t="s">
        <v>598</v>
      </c>
      <c r="EE23" s="14" t="s">
        <v>598</v>
      </c>
      <c r="EF23" s="14" t="s">
        <v>598</v>
      </c>
      <c r="EG23" s="14" t="s">
        <v>598</v>
      </c>
      <c r="EH23" s="14" t="s">
        <v>598</v>
      </c>
      <c r="EI23" s="14" t="s">
        <v>598</v>
      </c>
      <c r="EJ23" s="14" t="s">
        <v>598</v>
      </c>
      <c r="EK23" s="14" t="s">
        <v>598</v>
      </c>
      <c r="EL23" s="14" t="s">
        <v>598</v>
      </c>
      <c r="EM23" s="14" t="s">
        <v>598</v>
      </c>
      <c r="EN23" s="14" t="s">
        <v>598</v>
      </c>
      <c r="EO23" s="14" t="s">
        <v>598</v>
      </c>
      <c r="EP23" s="14" t="s">
        <v>598</v>
      </c>
      <c r="EQ23" s="14" t="s">
        <v>598</v>
      </c>
      <c r="ER23" s="14" t="s">
        <v>598</v>
      </c>
      <c r="ES23" s="14" t="s">
        <v>598</v>
      </c>
      <c r="EZ23" s="14">
        <v>0</v>
      </c>
      <c r="FG23" s="14">
        <v>0</v>
      </c>
      <c r="FN23" s="14">
        <v>0</v>
      </c>
      <c r="FU23" s="14">
        <v>0</v>
      </c>
      <c r="GB23" s="14">
        <v>0</v>
      </c>
      <c r="GI23" s="14">
        <v>0</v>
      </c>
      <c r="GP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L23" s="14">
        <v>0</v>
      </c>
      <c r="HS23" s="14">
        <v>0</v>
      </c>
      <c r="HZ23" s="14">
        <v>0</v>
      </c>
      <c r="IG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JC23" s="14">
        <v>2</v>
      </c>
      <c r="JD23" s="14" t="s">
        <v>600</v>
      </c>
      <c r="NG23" s="14" t="s">
        <v>601</v>
      </c>
      <c r="RJ23" s="14" t="s">
        <v>602</v>
      </c>
      <c r="VM23" s="14" t="s">
        <v>603</v>
      </c>
      <c r="ZP23" s="14" t="s">
        <v>604</v>
      </c>
      <c r="ADS23" s="14" t="s">
        <v>605</v>
      </c>
    </row>
    <row r="24" spans="1:799" x14ac:dyDescent="0.25">
      <c r="A24" s="14">
        <v>76</v>
      </c>
      <c r="B24" s="14" t="s">
        <v>590</v>
      </c>
      <c r="C24" s="16">
        <v>42747.182638888888</v>
      </c>
      <c r="D24" s="14" t="s">
        <v>722</v>
      </c>
      <c r="E24" s="14" t="s">
        <v>723</v>
      </c>
      <c r="F24" s="14" t="str">
        <f>VLOOKUP(MID(H24,SEARCH("@",H24,1),LEN(H24)-SEARCH("@",H24,1)+1),[2]Sheet1!$D:$F,3,FALSE)</f>
        <v>M0144</v>
      </c>
      <c r="G24" s="14" t="s">
        <v>647</v>
      </c>
      <c r="H24" s="14" t="s">
        <v>724</v>
      </c>
      <c r="I24" s="14" t="s">
        <v>725</v>
      </c>
      <c r="J24" s="14" t="s">
        <v>595</v>
      </c>
      <c r="K24" s="14" t="s">
        <v>596</v>
      </c>
      <c r="M24" s="14">
        <v>1</v>
      </c>
      <c r="S24" s="14">
        <v>500</v>
      </c>
      <c r="V24" s="14">
        <v>500</v>
      </c>
      <c r="AC24" s="14">
        <v>0</v>
      </c>
      <c r="AD24" s="14">
        <v>560</v>
      </c>
      <c r="AJ24" s="14">
        <v>560</v>
      </c>
      <c r="AQ24" s="14">
        <v>0</v>
      </c>
      <c r="AX24" s="14">
        <v>0</v>
      </c>
      <c r="BE24" s="14">
        <v>0</v>
      </c>
      <c r="BF24" s="14">
        <v>560</v>
      </c>
      <c r="BG24" s="14">
        <v>0</v>
      </c>
      <c r="BH24" s="14">
        <v>0</v>
      </c>
      <c r="BI24" s="14">
        <v>500</v>
      </c>
      <c r="BJ24" s="14">
        <v>0</v>
      </c>
      <c r="BK24" s="14">
        <v>0</v>
      </c>
      <c r="BL24" s="14">
        <v>1060</v>
      </c>
      <c r="BP24" s="14">
        <v>1</v>
      </c>
      <c r="BS24" s="14">
        <v>1</v>
      </c>
      <c r="BZ24" s="14">
        <v>0</v>
      </c>
      <c r="CA24" s="14">
        <v>1</v>
      </c>
      <c r="CG24" s="14">
        <v>1</v>
      </c>
      <c r="CN24" s="14">
        <v>0</v>
      </c>
      <c r="CU24" s="14">
        <v>0</v>
      </c>
      <c r="DB24" s="14">
        <v>0</v>
      </c>
      <c r="DC24" s="14">
        <v>1</v>
      </c>
      <c r="DD24" s="14">
        <v>0</v>
      </c>
      <c r="DE24" s="14">
        <v>0</v>
      </c>
      <c r="DF24" s="14">
        <v>1</v>
      </c>
      <c r="DG24" s="14">
        <v>0</v>
      </c>
      <c r="DH24" s="14">
        <v>0</v>
      </c>
      <c r="DI24" s="14">
        <v>2</v>
      </c>
      <c r="DJ24" s="14" t="s">
        <v>598</v>
      </c>
      <c r="DK24" s="14" t="s">
        <v>598</v>
      </c>
      <c r="DL24" s="14" t="s">
        <v>598</v>
      </c>
      <c r="DM24" s="14" t="s">
        <v>597</v>
      </c>
      <c r="DN24" s="14" t="s">
        <v>598</v>
      </c>
      <c r="DO24" s="14" t="s">
        <v>598</v>
      </c>
      <c r="DP24" s="14" t="s">
        <v>598</v>
      </c>
      <c r="DQ24" s="14" t="s">
        <v>598</v>
      </c>
      <c r="DR24" s="14" t="s">
        <v>598</v>
      </c>
      <c r="DS24" s="14" t="s">
        <v>598</v>
      </c>
      <c r="DT24" s="14" t="s">
        <v>598</v>
      </c>
      <c r="DU24" s="14" t="s">
        <v>598</v>
      </c>
      <c r="DV24" s="14" t="s">
        <v>597</v>
      </c>
      <c r="DW24" s="14" t="s">
        <v>598</v>
      </c>
      <c r="DX24" s="14" t="s">
        <v>598</v>
      </c>
      <c r="DY24" s="14" t="s">
        <v>598</v>
      </c>
      <c r="DZ24" s="14" t="s">
        <v>598</v>
      </c>
      <c r="EA24" s="14" t="s">
        <v>598</v>
      </c>
      <c r="EB24" s="14" t="s">
        <v>598</v>
      </c>
      <c r="EC24" s="14" t="s">
        <v>598</v>
      </c>
      <c r="ED24" s="14" t="s">
        <v>598</v>
      </c>
      <c r="EE24" s="14" t="s">
        <v>598</v>
      </c>
      <c r="EF24" s="14" t="s">
        <v>598</v>
      </c>
      <c r="EG24" s="14" t="s">
        <v>598</v>
      </c>
      <c r="EH24" s="14" t="s">
        <v>598</v>
      </c>
      <c r="EI24" s="14" t="s">
        <v>598</v>
      </c>
      <c r="EJ24" s="14" t="s">
        <v>598</v>
      </c>
      <c r="EK24" s="14" t="s">
        <v>598</v>
      </c>
      <c r="EL24" s="14" t="s">
        <v>598</v>
      </c>
      <c r="EM24" s="14" t="s">
        <v>598</v>
      </c>
      <c r="EN24" s="14" t="s">
        <v>598</v>
      </c>
      <c r="EO24" s="14" t="s">
        <v>598</v>
      </c>
      <c r="EP24" s="14" t="s">
        <v>598</v>
      </c>
      <c r="EQ24" s="14" t="s">
        <v>598</v>
      </c>
      <c r="ER24" s="14" t="s">
        <v>598</v>
      </c>
      <c r="ES24" s="14" t="s">
        <v>598</v>
      </c>
      <c r="ET24" s="14">
        <v>160</v>
      </c>
      <c r="EW24" s="14">
        <v>500</v>
      </c>
      <c r="EZ24" s="14">
        <v>660</v>
      </c>
      <c r="FA24" s="14">
        <v>150</v>
      </c>
      <c r="FG24" s="14">
        <v>150</v>
      </c>
      <c r="FH24" s="14">
        <v>150</v>
      </c>
      <c r="FN24" s="14">
        <v>150</v>
      </c>
      <c r="FU24" s="14">
        <v>0</v>
      </c>
      <c r="GB24" s="14">
        <v>0</v>
      </c>
      <c r="GI24" s="14">
        <v>0</v>
      </c>
      <c r="GP24" s="14">
        <v>0</v>
      </c>
      <c r="GQ24" s="14" t="s">
        <v>726</v>
      </c>
      <c r="GR24" s="14">
        <v>100</v>
      </c>
      <c r="GX24" s="14">
        <v>100</v>
      </c>
      <c r="GY24" s="14">
        <v>560</v>
      </c>
      <c r="GZ24" s="14">
        <v>0</v>
      </c>
      <c r="HA24" s="14">
        <v>0</v>
      </c>
      <c r="HB24" s="14">
        <v>500</v>
      </c>
      <c r="HC24" s="14">
        <v>0</v>
      </c>
      <c r="HD24" s="14">
        <v>0</v>
      </c>
      <c r="HE24" s="14">
        <v>1060</v>
      </c>
      <c r="HF24" s="14">
        <v>450</v>
      </c>
      <c r="HL24" s="14">
        <v>450</v>
      </c>
      <c r="HM24" s="14">
        <v>50</v>
      </c>
      <c r="HS24" s="14">
        <v>50</v>
      </c>
      <c r="HT24" s="14">
        <v>60</v>
      </c>
      <c r="HW24" s="14">
        <v>500</v>
      </c>
      <c r="HZ24" s="14">
        <v>560</v>
      </c>
      <c r="IG24" s="14">
        <v>0</v>
      </c>
      <c r="IN24" s="14">
        <v>0</v>
      </c>
      <c r="IO24" s="14">
        <v>560</v>
      </c>
      <c r="IP24" s="14">
        <v>0</v>
      </c>
      <c r="IQ24" s="14">
        <v>0</v>
      </c>
      <c r="IR24" s="14">
        <v>500</v>
      </c>
      <c r="IS24" s="14">
        <v>0</v>
      </c>
      <c r="IT24" s="14">
        <v>0</v>
      </c>
      <c r="IU24" s="14">
        <v>1060</v>
      </c>
      <c r="IV24" s="14">
        <v>100</v>
      </c>
      <c r="JA24" s="14">
        <v>1</v>
      </c>
      <c r="JB24" s="14">
        <v>3</v>
      </c>
      <c r="JC24" s="14">
        <v>1</v>
      </c>
      <c r="JD24" s="14" t="s">
        <v>600</v>
      </c>
      <c r="JH24" s="14">
        <v>500</v>
      </c>
      <c r="JK24" s="14">
        <v>500</v>
      </c>
      <c r="JR24" s="14">
        <v>0</v>
      </c>
      <c r="JY24" s="14">
        <v>0</v>
      </c>
      <c r="KF24" s="14">
        <v>0</v>
      </c>
      <c r="KM24" s="14">
        <v>0</v>
      </c>
      <c r="KT24" s="14">
        <v>0</v>
      </c>
      <c r="LA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500</v>
      </c>
      <c r="LN24" s="14">
        <v>0</v>
      </c>
      <c r="LO24" s="14">
        <v>0</v>
      </c>
      <c r="LP24" s="14">
        <v>500</v>
      </c>
      <c r="LW24" s="14">
        <v>0</v>
      </c>
      <c r="MD24" s="14">
        <v>0</v>
      </c>
      <c r="MH24" s="14">
        <v>500</v>
      </c>
      <c r="MK24" s="14">
        <v>500</v>
      </c>
      <c r="MR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500</v>
      </c>
      <c r="ND24" s="14">
        <v>0</v>
      </c>
      <c r="NE24" s="14">
        <v>0</v>
      </c>
      <c r="NF24" s="14">
        <v>500</v>
      </c>
      <c r="NG24" s="14" t="s">
        <v>601</v>
      </c>
      <c r="RJ24" s="14" t="s">
        <v>602</v>
      </c>
      <c r="RK24" s="14">
        <v>160</v>
      </c>
      <c r="RQ24" s="14">
        <v>160</v>
      </c>
      <c r="RR24" s="14">
        <v>150</v>
      </c>
      <c r="RX24" s="14">
        <v>150</v>
      </c>
      <c r="RY24" s="14">
        <v>150</v>
      </c>
      <c r="SE24" s="14">
        <v>150</v>
      </c>
      <c r="SL24" s="14">
        <v>0</v>
      </c>
      <c r="SS24" s="14">
        <v>0</v>
      </c>
      <c r="SZ24" s="14">
        <v>0</v>
      </c>
      <c r="TG24" s="14">
        <v>0</v>
      </c>
      <c r="TH24" s="14" t="s">
        <v>726</v>
      </c>
      <c r="TI24" s="14">
        <v>100</v>
      </c>
      <c r="TO24" s="14">
        <v>100</v>
      </c>
      <c r="TP24" s="14">
        <v>560</v>
      </c>
      <c r="TQ24" s="14">
        <v>0</v>
      </c>
      <c r="TR24" s="14">
        <v>0</v>
      </c>
      <c r="TS24" s="14">
        <v>0</v>
      </c>
      <c r="TT24" s="14">
        <v>0</v>
      </c>
      <c r="TU24" s="14">
        <v>0</v>
      </c>
      <c r="TV24" s="14">
        <v>560</v>
      </c>
      <c r="TW24" s="14">
        <v>50</v>
      </c>
      <c r="UC24" s="14">
        <v>50</v>
      </c>
      <c r="UD24" s="14">
        <v>450</v>
      </c>
      <c r="UJ24" s="14">
        <v>450</v>
      </c>
      <c r="UK24" s="14">
        <v>60</v>
      </c>
      <c r="UQ24" s="14">
        <v>60</v>
      </c>
      <c r="UX24" s="14">
        <v>0</v>
      </c>
      <c r="VE24" s="14">
        <v>0</v>
      </c>
      <c r="VF24" s="14">
        <v>560</v>
      </c>
      <c r="VG24" s="14">
        <v>0</v>
      </c>
      <c r="VH24" s="14">
        <v>0</v>
      </c>
      <c r="VI24" s="14">
        <v>0</v>
      </c>
      <c r="VJ24" s="14">
        <v>0</v>
      </c>
      <c r="VK24" s="14">
        <v>0</v>
      </c>
      <c r="VL24" s="14">
        <v>560</v>
      </c>
      <c r="VM24" s="14" t="s">
        <v>603</v>
      </c>
      <c r="ZP24" s="14" t="s">
        <v>604</v>
      </c>
      <c r="ADS24" s="14" t="s">
        <v>605</v>
      </c>
    </row>
    <row r="25" spans="1:799" x14ac:dyDescent="0.25">
      <c r="A25" s="14">
        <v>100</v>
      </c>
      <c r="B25" s="14" t="s">
        <v>590</v>
      </c>
      <c r="C25" s="16">
        <v>42752.604166666664</v>
      </c>
      <c r="D25" s="14" t="s">
        <v>727</v>
      </c>
      <c r="E25" s="14" t="s">
        <v>728</v>
      </c>
      <c r="F25" s="14" t="str">
        <f>VLOOKUP(MID(H25,SEARCH("@",H25,1),LEN(H25)-SEARCH("@",H25,1)+1),[2]Sheet1!$D:$F,3,FALSE)</f>
        <v>M0267</v>
      </c>
      <c r="G25" s="14" t="s">
        <v>729</v>
      </c>
      <c r="H25" s="14" t="s">
        <v>730</v>
      </c>
      <c r="I25" s="14">
        <v>7974221882</v>
      </c>
      <c r="J25" s="14" t="s">
        <v>731</v>
      </c>
      <c r="K25" s="14" t="s">
        <v>732</v>
      </c>
      <c r="M25" s="14">
        <v>1</v>
      </c>
      <c r="V25" s="14">
        <v>0</v>
      </c>
      <c r="W25" s="14">
        <v>90</v>
      </c>
      <c r="X25" s="14">
        <v>612</v>
      </c>
      <c r="AC25" s="14">
        <v>702</v>
      </c>
      <c r="AJ25" s="14">
        <v>0</v>
      </c>
      <c r="AQ25" s="14">
        <v>0</v>
      </c>
      <c r="AX25" s="14">
        <v>0</v>
      </c>
      <c r="BE25" s="14">
        <v>0</v>
      </c>
      <c r="BF25" s="14">
        <v>90</v>
      </c>
      <c r="BG25" s="14">
        <v>612</v>
      </c>
      <c r="BH25" s="14">
        <v>0</v>
      </c>
      <c r="BI25" s="14">
        <v>0</v>
      </c>
      <c r="BJ25" s="14">
        <v>0</v>
      </c>
      <c r="BK25" s="14">
        <v>0</v>
      </c>
      <c r="BL25" s="14">
        <v>702</v>
      </c>
      <c r="BS25" s="14">
        <v>0</v>
      </c>
      <c r="BT25" s="14">
        <v>1</v>
      </c>
      <c r="BU25" s="14">
        <v>9</v>
      </c>
      <c r="BZ25" s="14">
        <v>10</v>
      </c>
      <c r="CG25" s="14">
        <v>0</v>
      </c>
      <c r="CN25" s="14">
        <v>0</v>
      </c>
      <c r="CU25" s="14">
        <v>0</v>
      </c>
      <c r="DB25" s="14">
        <v>0</v>
      </c>
      <c r="DC25" s="14">
        <v>1</v>
      </c>
      <c r="DD25" s="14">
        <v>9</v>
      </c>
      <c r="DE25" s="14">
        <v>0</v>
      </c>
      <c r="DF25" s="14">
        <v>0</v>
      </c>
      <c r="DG25" s="14">
        <v>0</v>
      </c>
      <c r="DH25" s="14">
        <v>0</v>
      </c>
      <c r="DI25" s="14">
        <v>10</v>
      </c>
      <c r="DJ25" s="14" t="s">
        <v>598</v>
      </c>
      <c r="DK25" s="14" t="s">
        <v>598</v>
      </c>
      <c r="DL25" s="14" t="s">
        <v>598</v>
      </c>
      <c r="DM25" s="14" t="s">
        <v>598</v>
      </c>
      <c r="DN25" s="14" t="s">
        <v>598</v>
      </c>
      <c r="DO25" s="14" t="s">
        <v>598</v>
      </c>
      <c r="DP25" s="14" t="s">
        <v>597</v>
      </c>
      <c r="DQ25" s="14" t="s">
        <v>597</v>
      </c>
      <c r="DR25" s="14" t="s">
        <v>598</v>
      </c>
      <c r="DS25" s="14" t="s">
        <v>598</v>
      </c>
      <c r="DT25" s="14" t="s">
        <v>598</v>
      </c>
      <c r="DU25" s="14" t="s">
        <v>598</v>
      </c>
      <c r="DV25" s="14" t="s">
        <v>598</v>
      </c>
      <c r="DW25" s="14" t="s">
        <v>598</v>
      </c>
      <c r="DX25" s="14" t="s">
        <v>598</v>
      </c>
      <c r="DY25" s="14" t="s">
        <v>598</v>
      </c>
      <c r="DZ25" s="14" t="s">
        <v>598</v>
      </c>
      <c r="EA25" s="14" t="s">
        <v>598</v>
      </c>
      <c r="EB25" s="14" t="s">
        <v>598</v>
      </c>
      <c r="EC25" s="14" t="s">
        <v>598</v>
      </c>
      <c r="ED25" s="14" t="s">
        <v>598</v>
      </c>
      <c r="EE25" s="14" t="s">
        <v>598</v>
      </c>
      <c r="EF25" s="14" t="s">
        <v>598</v>
      </c>
      <c r="EG25" s="14" t="s">
        <v>598</v>
      </c>
      <c r="EH25" s="14" t="s">
        <v>598</v>
      </c>
      <c r="EI25" s="14" t="s">
        <v>598</v>
      </c>
      <c r="EJ25" s="14" t="s">
        <v>598</v>
      </c>
      <c r="EK25" s="14" t="s">
        <v>598</v>
      </c>
      <c r="EL25" s="14" t="s">
        <v>598</v>
      </c>
      <c r="EM25" s="14" t="s">
        <v>598</v>
      </c>
      <c r="EN25" s="14" t="s">
        <v>598</v>
      </c>
      <c r="EO25" s="14" t="s">
        <v>598</v>
      </c>
      <c r="EP25" s="14" t="s">
        <v>598</v>
      </c>
      <c r="EQ25" s="14" t="s">
        <v>598</v>
      </c>
      <c r="ER25" s="14" t="s">
        <v>598</v>
      </c>
      <c r="ES25" s="14" t="s">
        <v>598</v>
      </c>
      <c r="ET25" s="14">
        <v>90</v>
      </c>
      <c r="EZ25" s="14">
        <v>90</v>
      </c>
      <c r="FG25" s="14">
        <v>0</v>
      </c>
      <c r="FN25" s="14">
        <v>0</v>
      </c>
      <c r="FU25" s="14">
        <v>0</v>
      </c>
      <c r="GB25" s="14">
        <v>0</v>
      </c>
      <c r="GI25" s="14">
        <v>0</v>
      </c>
      <c r="GP25" s="14">
        <v>0</v>
      </c>
      <c r="GQ25" s="14" t="s">
        <v>733</v>
      </c>
      <c r="GS25" s="14">
        <v>612</v>
      </c>
      <c r="GX25" s="14">
        <v>612</v>
      </c>
      <c r="GY25" s="14">
        <v>90</v>
      </c>
      <c r="GZ25" s="14">
        <v>612</v>
      </c>
      <c r="HA25" s="14">
        <v>0</v>
      </c>
      <c r="HB25" s="14">
        <v>0</v>
      </c>
      <c r="HC25" s="14">
        <v>0</v>
      </c>
      <c r="HD25" s="14">
        <v>0</v>
      </c>
      <c r="HE25" s="14">
        <v>702</v>
      </c>
      <c r="HL25" s="14">
        <v>0</v>
      </c>
      <c r="HM25" s="14">
        <v>90</v>
      </c>
      <c r="HN25" s="14">
        <v>612</v>
      </c>
      <c r="HS25" s="14">
        <v>702</v>
      </c>
      <c r="HZ25" s="14">
        <v>0</v>
      </c>
      <c r="IG25" s="14">
        <v>0</v>
      </c>
      <c r="IN25" s="14">
        <v>0</v>
      </c>
      <c r="IO25" s="14">
        <v>90</v>
      </c>
      <c r="IP25" s="14">
        <v>612</v>
      </c>
      <c r="IQ25" s="14">
        <v>0</v>
      </c>
      <c r="IR25" s="14">
        <v>0</v>
      </c>
      <c r="IS25" s="14">
        <v>0</v>
      </c>
      <c r="IT25" s="14">
        <v>0</v>
      </c>
      <c r="IU25" s="14">
        <v>702</v>
      </c>
      <c r="IX25" s="14">
        <v>100</v>
      </c>
      <c r="JA25" s="14">
        <v>1</v>
      </c>
      <c r="JB25" s="14">
        <v>3</v>
      </c>
      <c r="JC25" s="14">
        <v>1</v>
      </c>
      <c r="JD25" s="14" t="s">
        <v>600</v>
      </c>
      <c r="NG25" s="14" t="s">
        <v>601</v>
      </c>
      <c r="NH25" s="14">
        <v>90</v>
      </c>
      <c r="NN25" s="14">
        <v>90</v>
      </c>
      <c r="NU25" s="14">
        <v>0</v>
      </c>
      <c r="OB25" s="14">
        <v>0</v>
      </c>
      <c r="OI25" s="14">
        <v>0</v>
      </c>
      <c r="OP25" s="14">
        <v>0</v>
      </c>
      <c r="OW25" s="14">
        <v>0</v>
      </c>
      <c r="PD25" s="14">
        <v>0</v>
      </c>
      <c r="PG25" s="14">
        <v>612</v>
      </c>
      <c r="PL25" s="14">
        <v>612</v>
      </c>
      <c r="PM25" s="14">
        <v>90</v>
      </c>
      <c r="PN25" s="14">
        <v>612</v>
      </c>
      <c r="PO25" s="14">
        <v>0</v>
      </c>
      <c r="PP25" s="14">
        <v>0</v>
      </c>
      <c r="PQ25" s="14">
        <v>0</v>
      </c>
      <c r="PR25" s="14">
        <v>0</v>
      </c>
      <c r="PS25" s="14">
        <v>702</v>
      </c>
      <c r="PT25" s="14">
        <v>90</v>
      </c>
      <c r="PU25" s="14">
        <v>612</v>
      </c>
      <c r="PZ25" s="14">
        <v>702</v>
      </c>
      <c r="QG25" s="14">
        <v>0</v>
      </c>
      <c r="QN25" s="14">
        <v>0</v>
      </c>
      <c r="QU25" s="14">
        <v>0</v>
      </c>
      <c r="RB25" s="14">
        <v>0</v>
      </c>
      <c r="RC25" s="14">
        <v>90</v>
      </c>
      <c r="RD25" s="14">
        <v>612</v>
      </c>
      <c r="RE25" s="14">
        <v>0</v>
      </c>
      <c r="RF25" s="14">
        <v>0</v>
      </c>
      <c r="RG25" s="14">
        <v>0</v>
      </c>
      <c r="RH25" s="14">
        <v>0</v>
      </c>
      <c r="RI25" s="14">
        <v>702</v>
      </c>
      <c r="RJ25" s="14" t="s">
        <v>602</v>
      </c>
      <c r="VM25" s="14" t="s">
        <v>603</v>
      </c>
      <c r="ZP25" s="14" t="s">
        <v>604</v>
      </c>
      <c r="ADS25" s="14" t="s">
        <v>605</v>
      </c>
    </row>
    <row r="26" spans="1:799" x14ac:dyDescent="0.25">
      <c r="A26" s="14">
        <v>73</v>
      </c>
      <c r="B26" s="14" t="s">
        <v>590</v>
      </c>
      <c r="C26" s="16">
        <v>42759.268055555556</v>
      </c>
      <c r="D26" s="14" t="s">
        <v>734</v>
      </c>
      <c r="E26" s="14" t="s">
        <v>735</v>
      </c>
      <c r="F26" s="14" t="str">
        <f>VLOOKUP(MID(H26,SEARCH("@",H26,1),LEN(H26)-SEARCH("@",H26,1)+1),[2]Sheet1!$D:$F,3,FALSE)</f>
        <v>M0239</v>
      </c>
      <c r="G26" s="14" t="s">
        <v>736</v>
      </c>
      <c r="H26" s="14" t="s">
        <v>737</v>
      </c>
      <c r="I26" s="14">
        <v>-6821</v>
      </c>
      <c r="J26" s="14" t="s">
        <v>738</v>
      </c>
      <c r="K26" s="14" t="s">
        <v>739</v>
      </c>
      <c r="M26" s="14">
        <v>1</v>
      </c>
      <c r="P26" s="14">
        <v>6140</v>
      </c>
      <c r="Q26" s="14">
        <v>2622</v>
      </c>
      <c r="T26" s="14">
        <v>125</v>
      </c>
      <c r="V26" s="14">
        <v>8887</v>
      </c>
      <c r="AC26" s="14">
        <v>0</v>
      </c>
      <c r="AJ26" s="14">
        <v>0</v>
      </c>
      <c r="AQ26" s="14">
        <v>0</v>
      </c>
      <c r="AX26" s="14">
        <v>0</v>
      </c>
      <c r="BE26" s="14">
        <v>0</v>
      </c>
      <c r="BF26" s="14">
        <v>6140</v>
      </c>
      <c r="BG26" s="14">
        <v>2622</v>
      </c>
      <c r="BH26" s="14">
        <v>0</v>
      </c>
      <c r="BI26" s="14">
        <v>0</v>
      </c>
      <c r="BJ26" s="14">
        <v>125</v>
      </c>
      <c r="BK26" s="14">
        <v>0</v>
      </c>
      <c r="BL26" s="14">
        <v>8887</v>
      </c>
      <c r="BM26" s="14">
        <v>1</v>
      </c>
      <c r="BN26" s="14">
        <v>1</v>
      </c>
      <c r="BQ26" s="14">
        <v>1</v>
      </c>
      <c r="BS26" s="14">
        <v>3</v>
      </c>
      <c r="BZ26" s="14">
        <v>0</v>
      </c>
      <c r="CG26" s="14">
        <v>0</v>
      </c>
      <c r="CN26" s="14">
        <v>0</v>
      </c>
      <c r="CU26" s="14">
        <v>0</v>
      </c>
      <c r="DB26" s="14">
        <v>0</v>
      </c>
      <c r="DC26" s="14">
        <v>1</v>
      </c>
      <c r="DD26" s="14">
        <v>1</v>
      </c>
      <c r="DE26" s="14">
        <v>0</v>
      </c>
      <c r="DF26" s="14">
        <v>0</v>
      </c>
      <c r="DG26" s="14">
        <v>1</v>
      </c>
      <c r="DH26" s="14">
        <v>0</v>
      </c>
      <c r="DI26" s="14">
        <v>3</v>
      </c>
      <c r="DJ26" s="14" t="s">
        <v>597</v>
      </c>
      <c r="DK26" s="14" t="s">
        <v>597</v>
      </c>
      <c r="DL26" s="14" t="s">
        <v>598</v>
      </c>
      <c r="DM26" s="14" t="s">
        <v>598</v>
      </c>
      <c r="DN26" s="14" t="s">
        <v>597</v>
      </c>
      <c r="DO26" s="14" t="s">
        <v>598</v>
      </c>
      <c r="DP26" s="14" t="s">
        <v>598</v>
      </c>
      <c r="DQ26" s="14" t="s">
        <v>598</v>
      </c>
      <c r="DR26" s="14" t="s">
        <v>598</v>
      </c>
      <c r="DS26" s="14" t="s">
        <v>598</v>
      </c>
      <c r="DT26" s="14" t="s">
        <v>598</v>
      </c>
      <c r="DU26" s="14" t="s">
        <v>598</v>
      </c>
      <c r="DV26" s="14" t="s">
        <v>598</v>
      </c>
      <c r="DW26" s="14" t="s">
        <v>598</v>
      </c>
      <c r="DX26" s="14" t="s">
        <v>598</v>
      </c>
      <c r="DY26" s="14" t="s">
        <v>598</v>
      </c>
      <c r="DZ26" s="14" t="s">
        <v>598</v>
      </c>
      <c r="EA26" s="14" t="s">
        <v>598</v>
      </c>
      <c r="EB26" s="14" t="s">
        <v>598</v>
      </c>
      <c r="EC26" s="14" t="s">
        <v>598</v>
      </c>
      <c r="ED26" s="14" t="s">
        <v>598</v>
      </c>
      <c r="EE26" s="14" t="s">
        <v>598</v>
      </c>
      <c r="EF26" s="14" t="s">
        <v>598</v>
      </c>
      <c r="EG26" s="14" t="s">
        <v>598</v>
      </c>
      <c r="EH26" s="14" t="s">
        <v>598</v>
      </c>
      <c r="EI26" s="14" t="s">
        <v>598</v>
      </c>
      <c r="EJ26" s="14" t="s">
        <v>598</v>
      </c>
      <c r="EK26" s="14" t="s">
        <v>598</v>
      </c>
      <c r="EL26" s="14" t="s">
        <v>598</v>
      </c>
      <c r="EM26" s="14" t="s">
        <v>598</v>
      </c>
      <c r="EN26" s="14" t="s">
        <v>598</v>
      </c>
      <c r="EO26" s="14" t="s">
        <v>598</v>
      </c>
      <c r="EP26" s="14" t="s">
        <v>598</v>
      </c>
      <c r="EQ26" s="14" t="s">
        <v>598</v>
      </c>
      <c r="ER26" s="14" t="s">
        <v>598</v>
      </c>
      <c r="ES26" s="14" t="s">
        <v>598</v>
      </c>
      <c r="EZ26" s="14">
        <v>0</v>
      </c>
      <c r="FA26" s="14">
        <v>512</v>
      </c>
      <c r="FG26" s="14">
        <v>512</v>
      </c>
      <c r="FN26" s="14">
        <v>0</v>
      </c>
      <c r="FU26" s="14">
        <v>0</v>
      </c>
      <c r="GB26" s="14">
        <v>0</v>
      </c>
      <c r="GI26" s="14">
        <v>0</v>
      </c>
      <c r="GP26" s="14">
        <v>0</v>
      </c>
      <c r="GQ26" s="14" t="s">
        <v>740</v>
      </c>
      <c r="GR26" s="14">
        <v>5628</v>
      </c>
      <c r="GS26" s="14">
        <v>2622</v>
      </c>
      <c r="GV26" s="14">
        <v>125</v>
      </c>
      <c r="GX26" s="14">
        <v>8375</v>
      </c>
      <c r="GY26" s="14">
        <v>6140</v>
      </c>
      <c r="GZ26" s="14">
        <v>2622</v>
      </c>
      <c r="HA26" s="14">
        <v>0</v>
      </c>
      <c r="HB26" s="14">
        <v>0</v>
      </c>
      <c r="HC26" s="14">
        <v>125</v>
      </c>
      <c r="HD26" s="14">
        <v>0</v>
      </c>
      <c r="HE26" s="14">
        <v>8887</v>
      </c>
      <c r="HF26" s="14">
        <v>6140</v>
      </c>
      <c r="HG26" s="14">
        <v>2622</v>
      </c>
      <c r="HJ26" s="14">
        <v>125</v>
      </c>
      <c r="HL26" s="14">
        <v>8887</v>
      </c>
      <c r="HS26" s="14">
        <v>0</v>
      </c>
      <c r="HZ26" s="14">
        <v>0</v>
      </c>
      <c r="IG26" s="14">
        <v>0</v>
      </c>
      <c r="IN26" s="14">
        <v>0</v>
      </c>
      <c r="IO26" s="14">
        <v>6140</v>
      </c>
      <c r="IP26" s="14">
        <v>2622</v>
      </c>
      <c r="IQ26" s="14">
        <v>0</v>
      </c>
      <c r="IR26" s="14">
        <v>0</v>
      </c>
      <c r="IS26" s="14">
        <v>125</v>
      </c>
      <c r="IT26" s="14">
        <v>0</v>
      </c>
      <c r="IU26" s="14">
        <v>8887</v>
      </c>
      <c r="IV26" s="14">
        <v>99</v>
      </c>
      <c r="IX26" s="14">
        <v>1</v>
      </c>
      <c r="JA26" s="14">
        <v>3</v>
      </c>
      <c r="JB26" s="14">
        <v>3</v>
      </c>
      <c r="JC26" s="14">
        <v>1</v>
      </c>
      <c r="JD26" s="14" t="s">
        <v>600</v>
      </c>
      <c r="JK26" s="14">
        <v>0</v>
      </c>
      <c r="JL26" s="14">
        <v>512</v>
      </c>
      <c r="JR26" s="14">
        <v>512</v>
      </c>
      <c r="JY26" s="14">
        <v>0</v>
      </c>
      <c r="KF26" s="14">
        <v>0</v>
      </c>
      <c r="KM26" s="14">
        <v>0</v>
      </c>
      <c r="KT26" s="14">
        <v>0</v>
      </c>
      <c r="LA26" s="14">
        <v>0</v>
      </c>
      <c r="LB26" s="14" t="s">
        <v>740</v>
      </c>
      <c r="LC26" s="14">
        <v>5628</v>
      </c>
      <c r="LD26" s="14">
        <v>2622</v>
      </c>
      <c r="LG26" s="14">
        <v>125</v>
      </c>
      <c r="LI26" s="14">
        <v>8375</v>
      </c>
      <c r="LJ26" s="14">
        <v>6140</v>
      </c>
      <c r="LK26" s="14">
        <v>2622</v>
      </c>
      <c r="LL26" s="14">
        <v>0</v>
      </c>
      <c r="LM26" s="14">
        <v>0</v>
      </c>
      <c r="LN26" s="14">
        <v>125</v>
      </c>
      <c r="LO26" s="14">
        <v>0</v>
      </c>
      <c r="LP26" s="14">
        <v>8887</v>
      </c>
      <c r="LW26" s="14">
        <v>0</v>
      </c>
      <c r="LX26" s="14">
        <v>6140</v>
      </c>
      <c r="LY26" s="14">
        <v>2622</v>
      </c>
      <c r="MB26" s="14">
        <v>125</v>
      </c>
      <c r="MD26" s="14">
        <v>8887</v>
      </c>
      <c r="MK26" s="14">
        <v>0</v>
      </c>
      <c r="MR26" s="14">
        <v>0</v>
      </c>
      <c r="MY26" s="14">
        <v>0</v>
      </c>
      <c r="MZ26" s="14">
        <v>6140</v>
      </c>
      <c r="NA26" s="14">
        <v>2622</v>
      </c>
      <c r="NB26" s="14">
        <v>0</v>
      </c>
      <c r="NC26" s="14">
        <v>0</v>
      </c>
      <c r="ND26" s="14">
        <v>125</v>
      </c>
      <c r="NE26" s="14">
        <v>0</v>
      </c>
      <c r="NF26" s="14">
        <v>8887</v>
      </c>
      <c r="NG26" s="14" t="s">
        <v>601</v>
      </c>
      <c r="RJ26" s="14" t="s">
        <v>602</v>
      </c>
      <c r="VM26" s="14" t="s">
        <v>603</v>
      </c>
      <c r="ZP26" s="14" t="s">
        <v>604</v>
      </c>
      <c r="ADS26" s="14" t="s">
        <v>605</v>
      </c>
    </row>
    <row r="27" spans="1:799" x14ac:dyDescent="0.25">
      <c r="A27" s="14">
        <v>74</v>
      </c>
      <c r="B27" s="14" t="s">
        <v>590</v>
      </c>
      <c r="C27" s="16">
        <v>42780</v>
      </c>
      <c r="D27" s="14" t="s">
        <v>741</v>
      </c>
      <c r="E27" s="14" t="s">
        <v>742</v>
      </c>
      <c r="F27" s="14" t="str">
        <f>VLOOKUP(MID(H27,SEARCH("@",H27,1),LEN(H27)-SEARCH("@",H27,1)+1),[2]Sheet1!$D:$F,3,FALSE)</f>
        <v>M0075</v>
      </c>
      <c r="G27" s="14" t="s">
        <v>743</v>
      </c>
      <c r="H27" s="14" t="s">
        <v>744</v>
      </c>
      <c r="I27" s="14">
        <v>61282393780</v>
      </c>
      <c r="J27" s="14" t="s">
        <v>624</v>
      </c>
      <c r="K27" s="14" t="s">
        <v>625</v>
      </c>
      <c r="M27" s="14">
        <v>2</v>
      </c>
      <c r="N27" s="14">
        <v>6</v>
      </c>
      <c r="O27" s="14" t="s">
        <v>745</v>
      </c>
      <c r="V27" s="14">
        <v>0</v>
      </c>
      <c r="AC27" s="14">
        <v>0</v>
      </c>
      <c r="AJ27" s="14">
        <v>0</v>
      </c>
      <c r="AQ27" s="14">
        <v>0</v>
      </c>
      <c r="AX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S27" s="14">
        <v>0</v>
      </c>
      <c r="BZ27" s="14">
        <v>0</v>
      </c>
      <c r="CG27" s="14">
        <v>0</v>
      </c>
      <c r="CN27" s="14">
        <v>0</v>
      </c>
      <c r="CU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 t="s">
        <v>598</v>
      </c>
      <c r="DK27" s="14" t="s">
        <v>598</v>
      </c>
      <c r="DL27" s="14" t="s">
        <v>598</v>
      </c>
      <c r="DM27" s="14" t="s">
        <v>598</v>
      </c>
      <c r="DN27" s="14" t="s">
        <v>598</v>
      </c>
      <c r="DO27" s="14" t="s">
        <v>598</v>
      </c>
      <c r="DP27" s="14" t="s">
        <v>598</v>
      </c>
      <c r="DQ27" s="14" t="s">
        <v>598</v>
      </c>
      <c r="DR27" s="14" t="s">
        <v>598</v>
      </c>
      <c r="DS27" s="14" t="s">
        <v>598</v>
      </c>
      <c r="DT27" s="14" t="s">
        <v>598</v>
      </c>
      <c r="DU27" s="14" t="s">
        <v>598</v>
      </c>
      <c r="DV27" s="14" t="s">
        <v>598</v>
      </c>
      <c r="DW27" s="14" t="s">
        <v>598</v>
      </c>
      <c r="DX27" s="14" t="s">
        <v>598</v>
      </c>
      <c r="DY27" s="14" t="s">
        <v>598</v>
      </c>
      <c r="DZ27" s="14" t="s">
        <v>598</v>
      </c>
      <c r="EA27" s="14" t="s">
        <v>598</v>
      </c>
      <c r="EB27" s="14" t="s">
        <v>598</v>
      </c>
      <c r="EC27" s="14" t="s">
        <v>598</v>
      </c>
      <c r="ED27" s="14" t="s">
        <v>598</v>
      </c>
      <c r="EE27" s="14" t="s">
        <v>598</v>
      </c>
      <c r="EF27" s="14" t="s">
        <v>598</v>
      </c>
      <c r="EG27" s="14" t="s">
        <v>598</v>
      </c>
      <c r="EH27" s="14" t="s">
        <v>598</v>
      </c>
      <c r="EI27" s="14" t="s">
        <v>598</v>
      </c>
      <c r="EJ27" s="14" t="s">
        <v>598</v>
      </c>
      <c r="EK27" s="14" t="s">
        <v>598</v>
      </c>
      <c r="EL27" s="14" t="s">
        <v>598</v>
      </c>
      <c r="EM27" s="14" t="s">
        <v>598</v>
      </c>
      <c r="EN27" s="14" t="s">
        <v>598</v>
      </c>
      <c r="EO27" s="14" t="s">
        <v>598</v>
      </c>
      <c r="EP27" s="14" t="s">
        <v>598</v>
      </c>
      <c r="EQ27" s="14" t="s">
        <v>598</v>
      </c>
      <c r="ER27" s="14" t="s">
        <v>598</v>
      </c>
      <c r="ES27" s="14" t="s">
        <v>598</v>
      </c>
      <c r="EZ27" s="14">
        <v>0</v>
      </c>
      <c r="FG27" s="14">
        <v>0</v>
      </c>
      <c r="FN27" s="14">
        <v>0</v>
      </c>
      <c r="FU27" s="14">
        <v>0</v>
      </c>
      <c r="GB27" s="14">
        <v>0</v>
      </c>
      <c r="GI27" s="14">
        <v>0</v>
      </c>
      <c r="GP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L27" s="14">
        <v>0</v>
      </c>
      <c r="HS27" s="14">
        <v>0</v>
      </c>
      <c r="HZ27" s="14">
        <v>0</v>
      </c>
      <c r="IG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JA27" s="14">
        <v>1</v>
      </c>
      <c r="JB27" s="14">
        <v>2</v>
      </c>
      <c r="JC27" s="14">
        <v>1</v>
      </c>
      <c r="JD27" s="14" t="s">
        <v>600</v>
      </c>
      <c r="NG27" s="14" t="s">
        <v>601</v>
      </c>
      <c r="RJ27" s="14" t="s">
        <v>602</v>
      </c>
      <c r="VM27" s="14" t="s">
        <v>603</v>
      </c>
      <c r="ZP27" s="14" t="s">
        <v>604</v>
      </c>
      <c r="ADS27" s="14" t="s">
        <v>605</v>
      </c>
    </row>
    <row r="28" spans="1:799" x14ac:dyDescent="0.25">
      <c r="A28" s="14">
        <v>182</v>
      </c>
      <c r="B28" s="14" t="s">
        <v>590</v>
      </c>
      <c r="C28" s="16">
        <v>42774.168055555558</v>
      </c>
      <c r="D28" s="14" t="s">
        <v>746</v>
      </c>
      <c r="E28" s="14" t="s">
        <v>747</v>
      </c>
      <c r="F28" s="14" t="str">
        <f>VLOOKUP(MID(H28,SEARCH("@",H28,1),LEN(H28)-SEARCH("@",H28,1)+1),[2]Sheet1!$D:$F,3,FALSE)</f>
        <v>M0271</v>
      </c>
      <c r="G28" s="14" t="s">
        <v>748</v>
      </c>
      <c r="H28" s="14" t="s">
        <v>749</v>
      </c>
      <c r="I28" s="14">
        <v>60888301</v>
      </c>
      <c r="J28" s="14" t="s">
        <v>618</v>
      </c>
      <c r="K28" s="14" t="s">
        <v>596</v>
      </c>
      <c r="M28" s="14">
        <v>1</v>
      </c>
      <c r="P28" s="14">
        <v>100</v>
      </c>
      <c r="V28" s="14">
        <v>100</v>
      </c>
      <c r="AC28" s="14">
        <v>0</v>
      </c>
      <c r="AJ28" s="14">
        <v>0</v>
      </c>
      <c r="AQ28" s="14">
        <v>0</v>
      </c>
      <c r="AX28" s="14">
        <v>0</v>
      </c>
      <c r="BE28" s="14">
        <v>0</v>
      </c>
      <c r="BF28" s="14">
        <v>100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100</v>
      </c>
      <c r="BM28" s="14">
        <v>1</v>
      </c>
      <c r="BS28" s="14">
        <v>1</v>
      </c>
      <c r="BZ28" s="14">
        <v>0</v>
      </c>
      <c r="CG28" s="14">
        <v>0</v>
      </c>
      <c r="CN28" s="14">
        <v>0</v>
      </c>
      <c r="CU28" s="14">
        <v>0</v>
      </c>
      <c r="DB28" s="14">
        <v>0</v>
      </c>
      <c r="DC28" s="14">
        <v>1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1</v>
      </c>
      <c r="DJ28" s="14" t="s">
        <v>597</v>
      </c>
      <c r="DK28" s="14" t="s">
        <v>598</v>
      </c>
      <c r="DL28" s="14" t="s">
        <v>598</v>
      </c>
      <c r="DM28" s="14" t="s">
        <v>598</v>
      </c>
      <c r="DN28" s="14" t="s">
        <v>598</v>
      </c>
      <c r="DO28" s="14" t="s">
        <v>598</v>
      </c>
      <c r="DP28" s="14" t="s">
        <v>598</v>
      </c>
      <c r="DQ28" s="14" t="s">
        <v>598</v>
      </c>
      <c r="DR28" s="14" t="s">
        <v>598</v>
      </c>
      <c r="DS28" s="14" t="s">
        <v>598</v>
      </c>
      <c r="DT28" s="14" t="s">
        <v>598</v>
      </c>
      <c r="DU28" s="14" t="s">
        <v>598</v>
      </c>
      <c r="DV28" s="14" t="s">
        <v>598</v>
      </c>
      <c r="DW28" s="14" t="s">
        <v>598</v>
      </c>
      <c r="DX28" s="14" t="s">
        <v>598</v>
      </c>
      <c r="DY28" s="14" t="s">
        <v>598</v>
      </c>
      <c r="DZ28" s="14" t="s">
        <v>598</v>
      </c>
      <c r="EA28" s="14" t="s">
        <v>598</v>
      </c>
      <c r="EB28" s="14" t="s">
        <v>598</v>
      </c>
      <c r="EC28" s="14" t="s">
        <v>598</v>
      </c>
      <c r="ED28" s="14" t="s">
        <v>598</v>
      </c>
      <c r="EE28" s="14" t="s">
        <v>598</v>
      </c>
      <c r="EF28" s="14" t="s">
        <v>598</v>
      </c>
      <c r="EG28" s="14" t="s">
        <v>598</v>
      </c>
      <c r="EH28" s="14" t="s">
        <v>598</v>
      </c>
      <c r="EI28" s="14" t="s">
        <v>598</v>
      </c>
      <c r="EJ28" s="14" t="s">
        <v>598</v>
      </c>
      <c r="EK28" s="14" t="s">
        <v>598</v>
      </c>
      <c r="EL28" s="14" t="s">
        <v>598</v>
      </c>
      <c r="EM28" s="14" t="s">
        <v>598</v>
      </c>
      <c r="EN28" s="14" t="s">
        <v>598</v>
      </c>
      <c r="EO28" s="14" t="s">
        <v>598</v>
      </c>
      <c r="EP28" s="14" t="s">
        <v>598</v>
      </c>
      <c r="EQ28" s="14" t="s">
        <v>598</v>
      </c>
      <c r="ER28" s="14" t="s">
        <v>598</v>
      </c>
      <c r="ES28" s="14" t="s">
        <v>598</v>
      </c>
      <c r="EZ28" s="14">
        <v>0</v>
      </c>
      <c r="FG28" s="14">
        <v>0</v>
      </c>
      <c r="FN28" s="14">
        <v>0</v>
      </c>
      <c r="FU28" s="14">
        <v>0</v>
      </c>
      <c r="GB28" s="14">
        <v>0</v>
      </c>
      <c r="GI28" s="14">
        <v>0</v>
      </c>
      <c r="GJ28" s="14">
        <v>100</v>
      </c>
      <c r="GP28" s="14">
        <v>100</v>
      </c>
      <c r="GX28" s="14">
        <v>0</v>
      </c>
      <c r="GY28" s="14">
        <v>100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100</v>
      </c>
      <c r="HF28" s="14">
        <v>100</v>
      </c>
      <c r="HL28" s="14">
        <v>100</v>
      </c>
      <c r="HS28" s="14">
        <v>0</v>
      </c>
      <c r="HZ28" s="14">
        <v>0</v>
      </c>
      <c r="IG28" s="14">
        <v>0</v>
      </c>
      <c r="IN28" s="14">
        <v>0</v>
      </c>
      <c r="IO28" s="14">
        <v>100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100</v>
      </c>
      <c r="IV28" s="14">
        <v>0</v>
      </c>
      <c r="IW28" s="14">
        <v>0</v>
      </c>
      <c r="IX28" s="14">
        <v>100</v>
      </c>
      <c r="JA28" s="14">
        <v>2</v>
      </c>
      <c r="JB28" s="14">
        <v>3</v>
      </c>
      <c r="JC28" s="14">
        <v>1</v>
      </c>
      <c r="JD28" s="14" t="s">
        <v>600</v>
      </c>
      <c r="JK28" s="14">
        <v>0</v>
      </c>
      <c r="JR28" s="14">
        <v>0</v>
      </c>
      <c r="JY28" s="14">
        <v>0</v>
      </c>
      <c r="KF28" s="14">
        <v>0</v>
      </c>
      <c r="KM28" s="14">
        <v>0</v>
      </c>
      <c r="KT28" s="14">
        <v>0</v>
      </c>
      <c r="KU28" s="14">
        <v>100</v>
      </c>
      <c r="LA28" s="14">
        <v>100</v>
      </c>
      <c r="LI28" s="14">
        <v>0</v>
      </c>
      <c r="LJ28" s="14">
        <v>100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100</v>
      </c>
      <c r="LW28" s="14">
        <v>0</v>
      </c>
      <c r="LX28" s="14">
        <v>100</v>
      </c>
      <c r="MD28" s="14">
        <v>100</v>
      </c>
      <c r="MK28" s="14">
        <v>0</v>
      </c>
      <c r="MR28" s="14">
        <v>0</v>
      </c>
      <c r="MY28" s="14">
        <v>0</v>
      </c>
      <c r="MZ28" s="14">
        <v>100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100</v>
      </c>
      <c r="NG28" s="14" t="s">
        <v>601</v>
      </c>
      <c r="RJ28" s="14" t="s">
        <v>602</v>
      </c>
      <c r="VM28" s="14" t="s">
        <v>603</v>
      </c>
      <c r="ZP28" s="14" t="s">
        <v>604</v>
      </c>
      <c r="ADS28" s="14" t="s">
        <v>605</v>
      </c>
    </row>
    <row r="29" spans="1:799" x14ac:dyDescent="0.25">
      <c r="A29" s="14">
        <v>92</v>
      </c>
      <c r="B29" s="14" t="s">
        <v>590</v>
      </c>
      <c r="C29" s="16">
        <v>42773.090277777781</v>
      </c>
      <c r="D29" s="14" t="s">
        <v>750</v>
      </c>
      <c r="E29" s="14" t="s">
        <v>751</v>
      </c>
      <c r="F29" s="14" t="str">
        <f>VLOOKUP(MID(H29,SEARCH("@",H29,1),LEN(H29)-SEARCH("@",H29,1)+1),[2]Sheet1!$D:$F,3,FALSE)</f>
        <v>M114</v>
      </c>
      <c r="G29" s="14" t="s">
        <v>752</v>
      </c>
      <c r="H29" s="14" t="s">
        <v>753</v>
      </c>
      <c r="I29" s="14" t="s">
        <v>754</v>
      </c>
      <c r="J29" s="14" t="s">
        <v>611</v>
      </c>
      <c r="K29" s="14" t="s">
        <v>596</v>
      </c>
      <c r="M29" s="14">
        <v>1</v>
      </c>
      <c r="P29" s="14">
        <v>95</v>
      </c>
      <c r="V29" s="14">
        <v>95</v>
      </c>
      <c r="W29" s="14">
        <v>748.56</v>
      </c>
      <c r="X29" s="14">
        <v>742.38</v>
      </c>
      <c r="AC29" s="14">
        <v>1490.94</v>
      </c>
      <c r="AD29" s="14">
        <v>994.5</v>
      </c>
      <c r="AE29" s="14">
        <v>1644.25</v>
      </c>
      <c r="AJ29" s="14">
        <v>2638.75</v>
      </c>
      <c r="AK29" s="14">
        <v>15</v>
      </c>
      <c r="AL29" s="14">
        <v>1101.3399999999999</v>
      </c>
      <c r="AQ29" s="14">
        <v>1116.3399999999999</v>
      </c>
      <c r="AX29" s="14">
        <v>0</v>
      </c>
      <c r="BE29" s="14">
        <v>0</v>
      </c>
      <c r="BF29" s="14">
        <v>1853.06</v>
      </c>
      <c r="BG29" s="14">
        <v>3487.97</v>
      </c>
      <c r="BH29" s="14">
        <v>0</v>
      </c>
      <c r="BI29" s="14">
        <v>0</v>
      </c>
      <c r="BJ29" s="14">
        <v>0</v>
      </c>
      <c r="BK29" s="14">
        <v>0</v>
      </c>
      <c r="BL29" s="14">
        <v>5341.03</v>
      </c>
      <c r="BM29" s="14">
        <v>1</v>
      </c>
      <c r="BS29" s="14">
        <v>1</v>
      </c>
      <c r="BT29" s="14">
        <v>3</v>
      </c>
      <c r="BU29" s="14">
        <v>7</v>
      </c>
      <c r="BZ29" s="14">
        <v>10</v>
      </c>
      <c r="CA29" s="14">
        <v>3</v>
      </c>
      <c r="CB29" s="14">
        <v>9</v>
      </c>
      <c r="CG29" s="14">
        <v>12</v>
      </c>
      <c r="CH29" s="14">
        <v>1</v>
      </c>
      <c r="CI29" s="14">
        <v>2</v>
      </c>
      <c r="CN29" s="14">
        <v>3</v>
      </c>
      <c r="CU29" s="14">
        <v>0</v>
      </c>
      <c r="DB29" s="14">
        <v>0</v>
      </c>
      <c r="DC29" s="14">
        <v>8</v>
      </c>
      <c r="DD29" s="14">
        <v>18</v>
      </c>
      <c r="DE29" s="14">
        <v>0</v>
      </c>
      <c r="DF29" s="14">
        <v>0</v>
      </c>
      <c r="DG29" s="14">
        <v>0</v>
      </c>
      <c r="DH29" s="14">
        <v>0</v>
      </c>
      <c r="DI29" s="14">
        <v>26</v>
      </c>
      <c r="DJ29" s="14" t="s">
        <v>597</v>
      </c>
      <c r="DK29" s="14" t="s">
        <v>598</v>
      </c>
      <c r="DL29" s="14" t="s">
        <v>598</v>
      </c>
      <c r="DM29" s="14" t="s">
        <v>598</v>
      </c>
      <c r="DN29" s="14" t="s">
        <v>598</v>
      </c>
      <c r="DO29" s="14" t="s">
        <v>598</v>
      </c>
      <c r="DP29" s="14" t="s">
        <v>597</v>
      </c>
      <c r="DQ29" s="14" t="s">
        <v>597</v>
      </c>
      <c r="DR29" s="14" t="s">
        <v>598</v>
      </c>
      <c r="DS29" s="14" t="s">
        <v>598</v>
      </c>
      <c r="DT29" s="14" t="s">
        <v>598</v>
      </c>
      <c r="DU29" s="14" t="s">
        <v>598</v>
      </c>
      <c r="DV29" s="14" t="s">
        <v>597</v>
      </c>
      <c r="DW29" s="14" t="s">
        <v>597</v>
      </c>
      <c r="DX29" s="14" t="s">
        <v>598</v>
      </c>
      <c r="DY29" s="14" t="s">
        <v>598</v>
      </c>
      <c r="DZ29" s="14" t="s">
        <v>598</v>
      </c>
      <c r="EA29" s="14" t="s">
        <v>598</v>
      </c>
      <c r="EB29" s="14" t="s">
        <v>597</v>
      </c>
      <c r="EC29" s="14" t="s">
        <v>597</v>
      </c>
      <c r="ED29" s="14" t="s">
        <v>598</v>
      </c>
      <c r="EE29" s="14" t="s">
        <v>598</v>
      </c>
      <c r="EF29" s="14" t="s">
        <v>598</v>
      </c>
      <c r="EG29" s="14" t="s">
        <v>598</v>
      </c>
      <c r="EH29" s="14" t="s">
        <v>598</v>
      </c>
      <c r="EI29" s="14" t="s">
        <v>598</v>
      </c>
      <c r="EJ29" s="14" t="s">
        <v>598</v>
      </c>
      <c r="EK29" s="14" t="s">
        <v>598</v>
      </c>
      <c r="EL29" s="14" t="s">
        <v>598</v>
      </c>
      <c r="EM29" s="14" t="s">
        <v>598</v>
      </c>
      <c r="EN29" s="14" t="s">
        <v>598</v>
      </c>
      <c r="EO29" s="14" t="s">
        <v>598</v>
      </c>
      <c r="EP29" s="14" t="s">
        <v>598</v>
      </c>
      <c r="EQ29" s="14" t="s">
        <v>598</v>
      </c>
      <c r="ER29" s="14" t="s">
        <v>598</v>
      </c>
      <c r="ES29" s="14" t="s">
        <v>598</v>
      </c>
      <c r="ET29" s="14">
        <v>1159.77</v>
      </c>
      <c r="EU29" s="14">
        <v>1702.36</v>
      </c>
      <c r="EZ29" s="14">
        <v>2862.13</v>
      </c>
      <c r="FA29" s="14">
        <v>63.98</v>
      </c>
      <c r="FG29" s="14">
        <v>63.98</v>
      </c>
      <c r="FH29" s="14">
        <v>203.05</v>
      </c>
      <c r="FI29" s="14">
        <v>1639.05</v>
      </c>
      <c r="FN29" s="14">
        <v>1842.1</v>
      </c>
      <c r="FU29" s="14">
        <v>0</v>
      </c>
      <c r="FV29" s="14">
        <v>27.57</v>
      </c>
      <c r="GB29" s="14">
        <v>27.57</v>
      </c>
      <c r="GC29" s="14">
        <v>259.04000000000002</v>
      </c>
      <c r="GI29" s="14">
        <v>259.04000000000002</v>
      </c>
      <c r="GJ29" s="14">
        <v>3.5</v>
      </c>
      <c r="GP29" s="14">
        <v>3.5</v>
      </c>
      <c r="GQ29" s="14" t="s">
        <v>755</v>
      </c>
      <c r="GR29" s="14">
        <v>136.16</v>
      </c>
      <c r="GS29" s="14">
        <v>146.55000000000001</v>
      </c>
      <c r="GX29" s="14">
        <v>282.70999999999998</v>
      </c>
      <c r="GY29" s="14">
        <v>1853.07</v>
      </c>
      <c r="GZ29" s="14">
        <v>3487.96</v>
      </c>
      <c r="HA29" s="14">
        <v>0</v>
      </c>
      <c r="HB29" s="14">
        <v>0</v>
      </c>
      <c r="HC29" s="14">
        <v>0</v>
      </c>
      <c r="HD29" s="14">
        <v>0</v>
      </c>
      <c r="HE29" s="14">
        <v>5341.03</v>
      </c>
      <c r="HF29" s="14">
        <v>382.04</v>
      </c>
      <c r="HG29" s="14">
        <v>1639.06</v>
      </c>
      <c r="HL29" s="14">
        <v>2021.1</v>
      </c>
      <c r="HM29" s="14">
        <v>916.52</v>
      </c>
      <c r="HN29" s="14">
        <v>753.22</v>
      </c>
      <c r="HS29" s="14">
        <v>1669.74</v>
      </c>
      <c r="HT29" s="14">
        <v>554.5</v>
      </c>
      <c r="HU29" s="14">
        <v>1095.69</v>
      </c>
      <c r="HZ29" s="14">
        <v>1650.19</v>
      </c>
      <c r="IG29" s="14">
        <v>0</v>
      </c>
      <c r="IN29" s="14">
        <v>0</v>
      </c>
      <c r="IO29" s="14">
        <v>1853.06</v>
      </c>
      <c r="IP29" s="14">
        <v>3487.97</v>
      </c>
      <c r="IQ29" s="14">
        <v>0</v>
      </c>
      <c r="IR29" s="14">
        <v>0</v>
      </c>
      <c r="IS29" s="14">
        <v>0</v>
      </c>
      <c r="IT29" s="14">
        <v>0</v>
      </c>
      <c r="IU29" s="14">
        <v>5341.03</v>
      </c>
      <c r="IV29" s="14">
        <v>0</v>
      </c>
      <c r="IW29" s="14">
        <v>0</v>
      </c>
      <c r="IX29" s="14">
        <v>100</v>
      </c>
      <c r="IZ29" s="14">
        <v>0</v>
      </c>
      <c r="JA29" s="14">
        <v>1</v>
      </c>
      <c r="JB29" s="14">
        <v>2</v>
      </c>
      <c r="JC29" s="14">
        <v>1</v>
      </c>
      <c r="JD29" s="14" t="s">
        <v>600</v>
      </c>
      <c r="JE29" s="14">
        <v>50</v>
      </c>
      <c r="JK29" s="14">
        <v>50</v>
      </c>
      <c r="JR29" s="14">
        <v>0</v>
      </c>
      <c r="JY29" s="14">
        <v>0</v>
      </c>
      <c r="KF29" s="14">
        <v>0</v>
      </c>
      <c r="KM29" s="14">
        <v>0</v>
      </c>
      <c r="KN29" s="14">
        <v>20</v>
      </c>
      <c r="KT29" s="14">
        <v>20</v>
      </c>
      <c r="LA29" s="14">
        <v>0</v>
      </c>
      <c r="LB29" s="14" t="s">
        <v>680</v>
      </c>
      <c r="LC29" s="14">
        <v>25</v>
      </c>
      <c r="LI29" s="14">
        <v>25</v>
      </c>
      <c r="LJ29" s="14">
        <v>95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95</v>
      </c>
      <c r="LQ29" s="14">
        <v>75</v>
      </c>
      <c r="LW29" s="14">
        <v>75</v>
      </c>
      <c r="MD29" s="14">
        <v>0</v>
      </c>
      <c r="ME29" s="14">
        <v>20</v>
      </c>
      <c r="MK29" s="14">
        <v>20</v>
      </c>
      <c r="MR29" s="14">
        <v>0</v>
      </c>
      <c r="MY29" s="14">
        <v>0</v>
      </c>
      <c r="MZ29" s="14">
        <v>95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95</v>
      </c>
      <c r="NG29" s="14" t="s">
        <v>601</v>
      </c>
      <c r="NH29" s="14">
        <v>377.87</v>
      </c>
      <c r="NI29" s="14">
        <v>690.83</v>
      </c>
      <c r="NN29" s="14">
        <v>1068.7</v>
      </c>
      <c r="NO29" s="14">
        <v>61.98</v>
      </c>
      <c r="NU29" s="14">
        <v>61.98</v>
      </c>
      <c r="NV29" s="14">
        <v>53.04</v>
      </c>
      <c r="OB29" s="14">
        <v>53.04</v>
      </c>
      <c r="OI29" s="14">
        <v>0</v>
      </c>
      <c r="OJ29" s="14">
        <v>27.57</v>
      </c>
      <c r="OP29" s="14">
        <v>27.57</v>
      </c>
      <c r="OQ29" s="14">
        <v>121.74</v>
      </c>
      <c r="OW29" s="14">
        <v>121.74</v>
      </c>
      <c r="PD29" s="14">
        <v>0</v>
      </c>
      <c r="PF29" s="14">
        <v>106.36</v>
      </c>
      <c r="PG29" s="14">
        <v>51.55</v>
      </c>
      <c r="PL29" s="14">
        <v>157.91</v>
      </c>
      <c r="PM29" s="14">
        <v>748.56</v>
      </c>
      <c r="PN29" s="14">
        <v>742.38</v>
      </c>
      <c r="PO29" s="14">
        <v>0</v>
      </c>
      <c r="PP29" s="14">
        <v>0</v>
      </c>
      <c r="PQ29" s="14">
        <v>0</v>
      </c>
      <c r="PR29" s="14">
        <v>0</v>
      </c>
      <c r="PS29" s="14">
        <v>1490.94</v>
      </c>
      <c r="PT29" s="14">
        <v>684.91</v>
      </c>
      <c r="PU29" s="14">
        <v>682.38</v>
      </c>
      <c r="PZ29" s="14">
        <v>1367.29</v>
      </c>
      <c r="QA29" s="14">
        <v>47.04</v>
      </c>
      <c r="QG29" s="14">
        <v>47.04</v>
      </c>
      <c r="QH29" s="14">
        <v>16.61</v>
      </c>
      <c r="QI29" s="14">
        <v>60</v>
      </c>
      <c r="QN29" s="14">
        <v>76.61</v>
      </c>
      <c r="QU29" s="14">
        <v>0</v>
      </c>
      <c r="RB29" s="14">
        <v>0</v>
      </c>
      <c r="RC29" s="14">
        <v>748.56</v>
      </c>
      <c r="RD29" s="14">
        <v>742.38</v>
      </c>
      <c r="RE29" s="14">
        <v>0</v>
      </c>
      <c r="RF29" s="14">
        <v>0</v>
      </c>
      <c r="RG29" s="14">
        <v>0</v>
      </c>
      <c r="RH29" s="14">
        <v>0</v>
      </c>
      <c r="RI29" s="14">
        <v>1490.94</v>
      </c>
      <c r="RJ29" s="14" t="s">
        <v>602</v>
      </c>
      <c r="RK29" s="14">
        <v>716.9</v>
      </c>
      <c r="RL29" s="14">
        <v>940.69</v>
      </c>
      <c r="RQ29" s="14">
        <v>1657.59</v>
      </c>
      <c r="RR29" s="14">
        <v>2</v>
      </c>
      <c r="RX29" s="14">
        <v>2</v>
      </c>
      <c r="RY29" s="14">
        <v>150</v>
      </c>
      <c r="RZ29" s="14">
        <v>608.55999999999995</v>
      </c>
      <c r="SE29" s="14">
        <v>758.56</v>
      </c>
      <c r="SL29" s="14">
        <v>0</v>
      </c>
      <c r="SS29" s="14">
        <v>0</v>
      </c>
      <c r="ST29" s="14">
        <v>117.3</v>
      </c>
      <c r="SZ29" s="14">
        <v>117.3</v>
      </c>
      <c r="TA29" s="14">
        <v>3.5</v>
      </c>
      <c r="TG29" s="14">
        <v>3.5</v>
      </c>
      <c r="TI29" s="14">
        <v>4.8</v>
      </c>
      <c r="TJ29" s="14">
        <v>95</v>
      </c>
      <c r="TO29" s="14">
        <v>99.8</v>
      </c>
      <c r="TP29" s="14">
        <v>994.5</v>
      </c>
      <c r="TQ29" s="14">
        <v>1644.25</v>
      </c>
      <c r="TR29" s="14">
        <v>0</v>
      </c>
      <c r="TS29" s="14">
        <v>0</v>
      </c>
      <c r="TT29" s="14">
        <v>0</v>
      </c>
      <c r="TU29" s="14">
        <v>0</v>
      </c>
      <c r="TV29" s="14">
        <v>2638.75</v>
      </c>
      <c r="TW29" s="14">
        <v>140</v>
      </c>
      <c r="UC29" s="14">
        <v>140</v>
      </c>
      <c r="UD29" s="14">
        <v>335</v>
      </c>
      <c r="UE29" s="14">
        <v>608.55999999999995</v>
      </c>
      <c r="UJ29" s="14">
        <v>943.56</v>
      </c>
      <c r="UK29" s="14">
        <v>519.5</v>
      </c>
      <c r="UL29" s="14">
        <v>1035.69</v>
      </c>
      <c r="UQ29" s="14">
        <v>1555.19</v>
      </c>
      <c r="UX29" s="14">
        <v>0</v>
      </c>
      <c r="VE29" s="14">
        <v>0</v>
      </c>
      <c r="VF29" s="14">
        <v>994.5</v>
      </c>
      <c r="VG29" s="14">
        <v>1644.25</v>
      </c>
      <c r="VH29" s="14">
        <v>0</v>
      </c>
      <c r="VI29" s="14">
        <v>0</v>
      </c>
      <c r="VJ29" s="14">
        <v>0</v>
      </c>
      <c r="VK29" s="14">
        <v>0</v>
      </c>
      <c r="VL29" s="14">
        <v>2638.75</v>
      </c>
      <c r="VM29" s="14" t="s">
        <v>603</v>
      </c>
      <c r="VN29" s="14">
        <v>15</v>
      </c>
      <c r="VO29" s="14">
        <v>70.84</v>
      </c>
      <c r="VT29" s="14">
        <v>85.84</v>
      </c>
      <c r="WA29" s="14">
        <v>0</v>
      </c>
      <c r="WC29" s="14">
        <v>1030.5</v>
      </c>
      <c r="WH29" s="14">
        <v>1030.5</v>
      </c>
      <c r="WO29" s="14">
        <v>0</v>
      </c>
      <c r="WV29" s="14">
        <v>0</v>
      </c>
      <c r="XC29" s="14">
        <v>0</v>
      </c>
      <c r="XJ29" s="14">
        <v>0</v>
      </c>
      <c r="XR29" s="14">
        <v>0</v>
      </c>
      <c r="XS29" s="14">
        <v>15</v>
      </c>
      <c r="XT29" s="14">
        <v>1101.3399999999999</v>
      </c>
      <c r="XU29" s="14">
        <v>0</v>
      </c>
      <c r="XV29" s="14">
        <v>0</v>
      </c>
      <c r="XW29" s="14">
        <v>0</v>
      </c>
      <c r="XX29" s="14">
        <v>0</v>
      </c>
      <c r="XY29" s="14">
        <v>1116.3399999999999</v>
      </c>
      <c r="YA29" s="14">
        <v>70.84</v>
      </c>
      <c r="YF29" s="14">
        <v>70.84</v>
      </c>
      <c r="YH29" s="14">
        <v>1030.5</v>
      </c>
      <c r="YM29" s="14">
        <v>1030.5</v>
      </c>
      <c r="YN29" s="14">
        <v>15</v>
      </c>
      <c r="YT29" s="14">
        <v>15</v>
      </c>
      <c r="ZA29" s="14">
        <v>0</v>
      </c>
      <c r="ZH29" s="14">
        <v>0</v>
      </c>
      <c r="ZI29" s="14">
        <v>15</v>
      </c>
      <c r="ZJ29" s="14">
        <v>1101.3399999999999</v>
      </c>
      <c r="ZK29" s="14">
        <v>0</v>
      </c>
      <c r="ZL29" s="14">
        <v>0</v>
      </c>
      <c r="ZM29" s="14">
        <v>0</v>
      </c>
      <c r="ZN29" s="14">
        <v>0</v>
      </c>
      <c r="ZO29" s="14">
        <v>1116.3399999999999</v>
      </c>
      <c r="ZP29" s="14" t="s">
        <v>604</v>
      </c>
      <c r="ADS29" s="14" t="s">
        <v>605</v>
      </c>
    </row>
    <row r="30" spans="1:799" x14ac:dyDescent="0.25">
      <c r="A30" s="14">
        <v>84</v>
      </c>
      <c r="B30" s="14" t="s">
        <v>590</v>
      </c>
      <c r="C30" s="16">
        <v>42780</v>
      </c>
      <c r="D30" s="14" t="s">
        <v>756</v>
      </c>
      <c r="E30" s="14" t="s">
        <v>757</v>
      </c>
      <c r="F30" s="14" t="str">
        <f>VLOOKUP(MID(H30,SEARCH("@",H30,1),LEN(H30)-SEARCH("@",H30,1)+1),[2]Sheet1!$D:$F,3,FALSE)</f>
        <v>M0045</v>
      </c>
      <c r="G30" s="14" t="s">
        <v>721</v>
      </c>
      <c r="H30" s="14" t="s">
        <v>758</v>
      </c>
      <c r="I30" s="14" t="s">
        <v>759</v>
      </c>
      <c r="J30" s="14" t="s">
        <v>611</v>
      </c>
      <c r="K30" s="14" t="s">
        <v>596</v>
      </c>
      <c r="M30" s="14">
        <v>1</v>
      </c>
      <c r="P30" s="14">
        <v>258</v>
      </c>
      <c r="V30" s="14">
        <v>258</v>
      </c>
      <c r="X30" s="14">
        <v>746</v>
      </c>
      <c r="AC30" s="14">
        <v>746</v>
      </c>
      <c r="AD30" s="14">
        <v>1950</v>
      </c>
      <c r="AJ30" s="14">
        <v>1950</v>
      </c>
      <c r="AQ30" s="14">
        <v>0</v>
      </c>
      <c r="AX30" s="14">
        <v>0</v>
      </c>
      <c r="BE30" s="14">
        <v>0</v>
      </c>
      <c r="BF30" s="14">
        <v>2208</v>
      </c>
      <c r="BG30" s="14">
        <v>746</v>
      </c>
      <c r="BH30" s="14">
        <v>0</v>
      </c>
      <c r="BI30" s="14">
        <v>0</v>
      </c>
      <c r="BJ30" s="14">
        <v>0</v>
      </c>
      <c r="BK30" s="14">
        <v>0</v>
      </c>
      <c r="BL30" s="14">
        <v>2954</v>
      </c>
      <c r="BM30" s="14">
        <v>1</v>
      </c>
      <c r="BS30" s="14">
        <v>1</v>
      </c>
      <c r="BU30" s="14">
        <v>1</v>
      </c>
      <c r="BZ30" s="14">
        <v>1</v>
      </c>
      <c r="CA30" s="14">
        <v>1</v>
      </c>
      <c r="CG30" s="14">
        <v>1</v>
      </c>
      <c r="CN30" s="14">
        <v>0</v>
      </c>
      <c r="CU30" s="14">
        <v>0</v>
      </c>
      <c r="DB30" s="14">
        <v>0</v>
      </c>
      <c r="DC30" s="14">
        <v>2</v>
      </c>
      <c r="DD30" s="14">
        <v>1</v>
      </c>
      <c r="DE30" s="14">
        <v>0</v>
      </c>
      <c r="DF30" s="14">
        <v>0</v>
      </c>
      <c r="DG30" s="14">
        <v>0</v>
      </c>
      <c r="DH30" s="14">
        <v>0</v>
      </c>
      <c r="DI30" s="14">
        <v>3</v>
      </c>
      <c r="DJ30" s="14" t="s">
        <v>597</v>
      </c>
      <c r="DK30" s="14" t="s">
        <v>598</v>
      </c>
      <c r="DL30" s="14" t="s">
        <v>598</v>
      </c>
      <c r="DM30" s="14" t="s">
        <v>598</v>
      </c>
      <c r="DN30" s="14" t="s">
        <v>598</v>
      </c>
      <c r="DO30" s="14" t="s">
        <v>598</v>
      </c>
      <c r="DP30" s="14" t="s">
        <v>598</v>
      </c>
      <c r="DQ30" s="14" t="s">
        <v>597</v>
      </c>
      <c r="DR30" s="14" t="s">
        <v>598</v>
      </c>
      <c r="DS30" s="14" t="s">
        <v>598</v>
      </c>
      <c r="DT30" s="14" t="s">
        <v>598</v>
      </c>
      <c r="DU30" s="14" t="s">
        <v>598</v>
      </c>
      <c r="DV30" s="14" t="s">
        <v>597</v>
      </c>
      <c r="DW30" s="14" t="s">
        <v>598</v>
      </c>
      <c r="DX30" s="14" t="s">
        <v>598</v>
      </c>
      <c r="DY30" s="14" t="s">
        <v>598</v>
      </c>
      <c r="DZ30" s="14" t="s">
        <v>598</v>
      </c>
      <c r="EA30" s="14" t="s">
        <v>598</v>
      </c>
      <c r="EB30" s="14" t="s">
        <v>598</v>
      </c>
      <c r="EC30" s="14" t="s">
        <v>598</v>
      </c>
      <c r="ED30" s="14" t="s">
        <v>598</v>
      </c>
      <c r="EE30" s="14" t="s">
        <v>598</v>
      </c>
      <c r="EF30" s="14" t="s">
        <v>598</v>
      </c>
      <c r="EG30" s="14" t="s">
        <v>598</v>
      </c>
      <c r="EH30" s="14" t="s">
        <v>598</v>
      </c>
      <c r="EI30" s="14" t="s">
        <v>598</v>
      </c>
      <c r="EJ30" s="14" t="s">
        <v>598</v>
      </c>
      <c r="EK30" s="14" t="s">
        <v>598</v>
      </c>
      <c r="EL30" s="14" t="s">
        <v>598</v>
      </c>
      <c r="EM30" s="14" t="s">
        <v>598</v>
      </c>
      <c r="EN30" s="14" t="s">
        <v>598</v>
      </c>
      <c r="EO30" s="14" t="s">
        <v>598</v>
      </c>
      <c r="EP30" s="14" t="s">
        <v>598</v>
      </c>
      <c r="EQ30" s="14" t="s">
        <v>598</v>
      </c>
      <c r="ER30" s="14" t="s">
        <v>598</v>
      </c>
      <c r="ES30" s="14" t="s">
        <v>598</v>
      </c>
      <c r="ET30" s="14">
        <v>800</v>
      </c>
      <c r="EZ30" s="14">
        <v>800</v>
      </c>
      <c r="FA30" s="14">
        <v>68</v>
      </c>
      <c r="FB30" s="14">
        <v>107</v>
      </c>
      <c r="FG30" s="14">
        <v>175</v>
      </c>
      <c r="FN30" s="14">
        <v>0</v>
      </c>
      <c r="FO30" s="14">
        <v>66</v>
      </c>
      <c r="FP30" s="14">
        <v>639</v>
      </c>
      <c r="FU30" s="14">
        <v>705</v>
      </c>
      <c r="FV30" s="14">
        <v>129</v>
      </c>
      <c r="GB30" s="14">
        <v>129</v>
      </c>
      <c r="GI30" s="14">
        <v>0</v>
      </c>
      <c r="GP30" s="14">
        <v>0</v>
      </c>
      <c r="GR30" s="14">
        <v>1145</v>
      </c>
      <c r="GX30" s="14">
        <v>1145</v>
      </c>
      <c r="GY30" s="14">
        <v>2208</v>
      </c>
      <c r="GZ30" s="14">
        <v>746</v>
      </c>
      <c r="HA30" s="14">
        <v>0</v>
      </c>
      <c r="HB30" s="14">
        <v>0</v>
      </c>
      <c r="HC30" s="14">
        <v>0</v>
      </c>
      <c r="HD30" s="14">
        <v>0</v>
      </c>
      <c r="HE30" s="14">
        <v>2954</v>
      </c>
      <c r="HF30" s="14">
        <v>40</v>
      </c>
      <c r="HG30" s="14">
        <v>639</v>
      </c>
      <c r="HL30" s="14">
        <v>679</v>
      </c>
      <c r="HM30" s="14">
        <v>426</v>
      </c>
      <c r="HN30" s="14">
        <v>107</v>
      </c>
      <c r="HS30" s="14">
        <v>533</v>
      </c>
      <c r="HT30" s="14">
        <v>1742</v>
      </c>
      <c r="HZ30" s="14">
        <v>1742</v>
      </c>
      <c r="IG30" s="14">
        <v>0</v>
      </c>
      <c r="IN30" s="14">
        <v>0</v>
      </c>
      <c r="IO30" s="14">
        <v>2208</v>
      </c>
      <c r="IP30" s="14">
        <v>746</v>
      </c>
      <c r="IQ30" s="14">
        <v>0</v>
      </c>
      <c r="IR30" s="14">
        <v>0</v>
      </c>
      <c r="IS30" s="14">
        <v>0</v>
      </c>
      <c r="IT30" s="14">
        <v>0</v>
      </c>
      <c r="IU30" s="14">
        <v>2954</v>
      </c>
      <c r="IX30" s="14">
        <v>100</v>
      </c>
      <c r="JA30" s="14">
        <v>3</v>
      </c>
      <c r="JB30" s="14">
        <v>3</v>
      </c>
      <c r="JC30" s="14">
        <v>1</v>
      </c>
      <c r="JD30" s="14" t="s">
        <v>600</v>
      </c>
      <c r="JE30" s="14">
        <v>200</v>
      </c>
      <c r="JK30" s="14">
        <v>200</v>
      </c>
      <c r="JR30" s="14">
        <v>0</v>
      </c>
      <c r="JY30" s="14">
        <v>0</v>
      </c>
      <c r="JZ30" s="14">
        <v>58</v>
      </c>
      <c r="KF30" s="14">
        <v>58</v>
      </c>
      <c r="KM30" s="14">
        <v>0</v>
      </c>
      <c r="KT30" s="14">
        <v>0</v>
      </c>
      <c r="LA30" s="14">
        <v>0</v>
      </c>
      <c r="LI30" s="14">
        <v>0</v>
      </c>
      <c r="LJ30" s="14">
        <v>258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258</v>
      </c>
      <c r="LQ30" s="14">
        <v>258</v>
      </c>
      <c r="LW30" s="14">
        <v>258</v>
      </c>
      <c r="MD30" s="14">
        <v>0</v>
      </c>
      <c r="MK30" s="14">
        <v>0</v>
      </c>
      <c r="MR30" s="14">
        <v>0</v>
      </c>
      <c r="MY30" s="14">
        <v>0</v>
      </c>
      <c r="MZ30" s="14">
        <v>258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258</v>
      </c>
      <c r="NG30" s="14" t="s">
        <v>601</v>
      </c>
      <c r="NN30" s="14">
        <v>0</v>
      </c>
      <c r="NP30" s="14">
        <v>107</v>
      </c>
      <c r="NU30" s="14">
        <v>107</v>
      </c>
      <c r="OB30" s="14">
        <v>0</v>
      </c>
      <c r="OD30" s="14">
        <v>639</v>
      </c>
      <c r="OI30" s="14">
        <v>639</v>
      </c>
      <c r="OP30" s="14">
        <v>0</v>
      </c>
      <c r="OW30" s="14">
        <v>0</v>
      </c>
      <c r="PD30" s="14">
        <v>0</v>
      </c>
      <c r="PL30" s="14">
        <v>0</v>
      </c>
      <c r="PM30" s="14">
        <v>0</v>
      </c>
      <c r="PN30" s="14">
        <v>746</v>
      </c>
      <c r="PO30" s="14">
        <v>0</v>
      </c>
      <c r="PP30" s="14">
        <v>0</v>
      </c>
      <c r="PQ30" s="14">
        <v>0</v>
      </c>
      <c r="PR30" s="14">
        <v>0</v>
      </c>
      <c r="PS30" s="14">
        <v>746</v>
      </c>
      <c r="PU30" s="14">
        <v>107</v>
      </c>
      <c r="PZ30" s="14">
        <v>107</v>
      </c>
      <c r="QB30" s="14">
        <v>639</v>
      </c>
      <c r="QG30" s="14">
        <v>639</v>
      </c>
      <c r="QN30" s="14">
        <v>0</v>
      </c>
      <c r="QU30" s="14">
        <v>0</v>
      </c>
      <c r="RB30" s="14">
        <v>0</v>
      </c>
      <c r="RC30" s="14">
        <v>0</v>
      </c>
      <c r="RD30" s="14">
        <v>746</v>
      </c>
      <c r="RE30" s="14">
        <v>0</v>
      </c>
      <c r="RF30" s="14">
        <v>0</v>
      </c>
      <c r="RG30" s="14">
        <v>0</v>
      </c>
      <c r="RH30" s="14">
        <v>0</v>
      </c>
      <c r="RI30" s="14">
        <v>746</v>
      </c>
      <c r="RJ30" s="14" t="s">
        <v>602</v>
      </c>
      <c r="RK30" s="14">
        <v>600</v>
      </c>
      <c r="RQ30" s="14">
        <v>600</v>
      </c>
      <c r="RR30" s="14">
        <v>68</v>
      </c>
      <c r="RX30" s="14">
        <v>68</v>
      </c>
      <c r="SE30" s="14">
        <v>0</v>
      </c>
      <c r="SF30" s="14">
        <v>8</v>
      </c>
      <c r="SL30" s="14">
        <v>8</v>
      </c>
      <c r="SM30" s="14">
        <v>129</v>
      </c>
      <c r="SS30" s="14">
        <v>129</v>
      </c>
      <c r="SZ30" s="14">
        <v>0</v>
      </c>
      <c r="TG30" s="14">
        <v>0</v>
      </c>
      <c r="TI30" s="14">
        <v>1145</v>
      </c>
      <c r="TO30" s="14">
        <v>1145</v>
      </c>
      <c r="TP30" s="14">
        <v>1950</v>
      </c>
      <c r="TQ30" s="14">
        <v>0</v>
      </c>
      <c r="TR30" s="14">
        <v>0</v>
      </c>
      <c r="TS30" s="14">
        <v>0</v>
      </c>
      <c r="TT30" s="14">
        <v>0</v>
      </c>
      <c r="TU30" s="14">
        <v>0</v>
      </c>
      <c r="TV30" s="14">
        <v>1950</v>
      </c>
      <c r="TW30" s="14">
        <v>168</v>
      </c>
      <c r="UC30" s="14">
        <v>168</v>
      </c>
      <c r="UD30" s="14">
        <v>40</v>
      </c>
      <c r="UJ30" s="14">
        <v>40</v>
      </c>
      <c r="UK30" s="14">
        <v>1742</v>
      </c>
      <c r="UQ30" s="14">
        <v>1742</v>
      </c>
      <c r="UX30" s="14">
        <v>0</v>
      </c>
      <c r="VE30" s="14">
        <v>0</v>
      </c>
      <c r="VF30" s="14">
        <v>1950</v>
      </c>
      <c r="VG30" s="14">
        <v>0</v>
      </c>
      <c r="VH30" s="14">
        <v>0</v>
      </c>
      <c r="VI30" s="14">
        <v>0</v>
      </c>
      <c r="VJ30" s="14">
        <v>0</v>
      </c>
      <c r="VK30" s="14">
        <v>0</v>
      </c>
      <c r="VL30" s="14">
        <v>1950</v>
      </c>
      <c r="VM30" s="14" t="s">
        <v>603</v>
      </c>
      <c r="ZP30" s="14" t="s">
        <v>604</v>
      </c>
      <c r="ADS30" s="14" t="s">
        <v>605</v>
      </c>
    </row>
    <row r="31" spans="1:799" x14ac:dyDescent="0.25">
      <c r="A31" s="14">
        <v>183</v>
      </c>
      <c r="B31" s="14" t="s">
        <v>590</v>
      </c>
      <c r="C31" s="16">
        <v>42774.283333333333</v>
      </c>
      <c r="D31" s="14" t="s">
        <v>760</v>
      </c>
      <c r="E31" s="14" t="s">
        <v>761</v>
      </c>
      <c r="F31" s="14" t="str">
        <f>VLOOKUP(MID(H31,SEARCH("@",H31,1),LEN(H31)-SEARCH("@",H31,1)+1),[2]Sheet1!$D:$F,3,FALSE)</f>
        <v>M0107</v>
      </c>
      <c r="G31" s="14" t="s">
        <v>762</v>
      </c>
      <c r="H31" s="14" t="s">
        <v>763</v>
      </c>
      <c r="I31" s="14">
        <v>37106834</v>
      </c>
      <c r="J31" s="14" t="s">
        <v>618</v>
      </c>
      <c r="K31" s="14" t="s">
        <v>596</v>
      </c>
      <c r="M31" s="14">
        <v>1</v>
      </c>
      <c r="P31" s="14">
        <v>36</v>
      </c>
      <c r="V31" s="14">
        <v>36</v>
      </c>
      <c r="W31" s="14">
        <v>79</v>
      </c>
      <c r="AC31" s="14">
        <v>79</v>
      </c>
      <c r="AJ31" s="14">
        <v>0</v>
      </c>
      <c r="AQ31" s="14">
        <v>0</v>
      </c>
      <c r="AX31" s="14">
        <v>0</v>
      </c>
      <c r="BE31" s="14">
        <v>0</v>
      </c>
      <c r="BF31" s="14">
        <v>115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115</v>
      </c>
      <c r="BM31" s="14">
        <v>1</v>
      </c>
      <c r="BS31" s="14">
        <v>1</v>
      </c>
      <c r="BT31" s="14">
        <v>2</v>
      </c>
      <c r="BZ31" s="14">
        <v>2</v>
      </c>
      <c r="CG31" s="14">
        <v>0</v>
      </c>
      <c r="CN31" s="14">
        <v>0</v>
      </c>
      <c r="CU31" s="14">
        <v>0</v>
      </c>
      <c r="DB31" s="14">
        <v>0</v>
      </c>
      <c r="DC31" s="14">
        <v>3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3</v>
      </c>
      <c r="DJ31" s="14" t="s">
        <v>597</v>
      </c>
      <c r="DK31" s="14" t="s">
        <v>598</v>
      </c>
      <c r="DL31" s="14" t="s">
        <v>598</v>
      </c>
      <c r="DM31" s="14" t="s">
        <v>598</v>
      </c>
      <c r="DN31" s="14" t="s">
        <v>598</v>
      </c>
      <c r="DO31" s="14" t="s">
        <v>598</v>
      </c>
      <c r="DP31" s="14" t="s">
        <v>597</v>
      </c>
      <c r="DQ31" s="14" t="s">
        <v>598</v>
      </c>
      <c r="DR31" s="14" t="s">
        <v>598</v>
      </c>
      <c r="DS31" s="14" t="s">
        <v>598</v>
      </c>
      <c r="DT31" s="14" t="s">
        <v>598</v>
      </c>
      <c r="DU31" s="14" t="s">
        <v>598</v>
      </c>
      <c r="DV31" s="14" t="s">
        <v>598</v>
      </c>
      <c r="DW31" s="14" t="s">
        <v>598</v>
      </c>
      <c r="DX31" s="14" t="s">
        <v>598</v>
      </c>
      <c r="DY31" s="14" t="s">
        <v>598</v>
      </c>
      <c r="DZ31" s="14" t="s">
        <v>598</v>
      </c>
      <c r="EA31" s="14" t="s">
        <v>598</v>
      </c>
      <c r="EB31" s="14" t="s">
        <v>598</v>
      </c>
      <c r="EC31" s="14" t="s">
        <v>598</v>
      </c>
      <c r="ED31" s="14" t="s">
        <v>598</v>
      </c>
      <c r="EE31" s="14" t="s">
        <v>598</v>
      </c>
      <c r="EF31" s="14" t="s">
        <v>598</v>
      </c>
      <c r="EG31" s="14" t="s">
        <v>598</v>
      </c>
      <c r="EH31" s="14" t="s">
        <v>598</v>
      </c>
      <c r="EI31" s="14" t="s">
        <v>598</v>
      </c>
      <c r="EJ31" s="14" t="s">
        <v>598</v>
      </c>
      <c r="EK31" s="14" t="s">
        <v>598</v>
      </c>
      <c r="EL31" s="14" t="s">
        <v>598</v>
      </c>
      <c r="EM31" s="14" t="s">
        <v>598</v>
      </c>
      <c r="EN31" s="14" t="s">
        <v>598</v>
      </c>
      <c r="EO31" s="14" t="s">
        <v>598</v>
      </c>
      <c r="EP31" s="14" t="s">
        <v>598</v>
      </c>
      <c r="EQ31" s="14" t="s">
        <v>598</v>
      </c>
      <c r="ER31" s="14" t="s">
        <v>598</v>
      </c>
      <c r="ES31" s="14" t="s">
        <v>598</v>
      </c>
      <c r="EZ31" s="14">
        <v>0</v>
      </c>
      <c r="FA31" s="14">
        <v>25</v>
      </c>
      <c r="FG31" s="14">
        <v>25</v>
      </c>
      <c r="FN31" s="14">
        <v>0</v>
      </c>
      <c r="FU31" s="14">
        <v>0</v>
      </c>
      <c r="GB31" s="14">
        <v>0</v>
      </c>
      <c r="GI31" s="14">
        <v>0</v>
      </c>
      <c r="GP31" s="14">
        <v>0</v>
      </c>
      <c r="GQ31" s="14" t="s">
        <v>726</v>
      </c>
      <c r="GR31" s="14">
        <v>90</v>
      </c>
      <c r="GX31" s="14">
        <v>90</v>
      </c>
      <c r="GY31" s="14">
        <v>115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115</v>
      </c>
      <c r="HF31" s="14">
        <v>115</v>
      </c>
      <c r="HL31" s="14">
        <v>115</v>
      </c>
      <c r="HS31" s="14">
        <v>0</v>
      </c>
      <c r="HZ31" s="14">
        <v>0</v>
      </c>
      <c r="IG31" s="14">
        <v>0</v>
      </c>
      <c r="IN31" s="14">
        <v>0</v>
      </c>
      <c r="IO31" s="14">
        <v>115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115</v>
      </c>
      <c r="IX31" s="14">
        <v>100</v>
      </c>
      <c r="JA31" s="14">
        <v>1</v>
      </c>
      <c r="JB31" s="14">
        <v>2</v>
      </c>
      <c r="JC31" s="14">
        <v>1</v>
      </c>
      <c r="JD31" s="14" t="s">
        <v>600</v>
      </c>
      <c r="JK31" s="14">
        <v>0</v>
      </c>
      <c r="JR31" s="14">
        <v>0</v>
      </c>
      <c r="JY31" s="14">
        <v>0</v>
      </c>
      <c r="KF31" s="14">
        <v>0</v>
      </c>
      <c r="KM31" s="14">
        <v>0</v>
      </c>
      <c r="KT31" s="14">
        <v>0</v>
      </c>
      <c r="LA31" s="14">
        <v>0</v>
      </c>
      <c r="LB31" s="14" t="s">
        <v>764</v>
      </c>
      <c r="LC31" s="14">
        <v>36</v>
      </c>
      <c r="LI31" s="14">
        <v>36</v>
      </c>
      <c r="LJ31" s="14">
        <v>36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36</v>
      </c>
      <c r="LW31" s="14">
        <v>0</v>
      </c>
      <c r="LX31" s="14">
        <v>36</v>
      </c>
      <c r="MD31" s="14">
        <v>36</v>
      </c>
      <c r="MK31" s="14">
        <v>0</v>
      </c>
      <c r="MR31" s="14">
        <v>0</v>
      </c>
      <c r="MY31" s="14">
        <v>0</v>
      </c>
      <c r="MZ31" s="14">
        <v>36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36</v>
      </c>
      <c r="NG31" s="14" t="s">
        <v>601</v>
      </c>
      <c r="RJ31" s="14" t="s">
        <v>602</v>
      </c>
      <c r="VM31" s="14" t="s">
        <v>603</v>
      </c>
      <c r="ZP31" s="14" t="s">
        <v>604</v>
      </c>
      <c r="ADS31" s="14" t="s">
        <v>605</v>
      </c>
    </row>
    <row r="32" spans="1:799" x14ac:dyDescent="0.25">
      <c r="A32" s="14">
        <v>116</v>
      </c>
      <c r="B32" s="14" t="s">
        <v>590</v>
      </c>
      <c r="C32" s="16">
        <v>42760.325694444444</v>
      </c>
      <c r="D32" s="14" t="s">
        <v>765</v>
      </c>
      <c r="E32" s="14" t="s">
        <v>766</v>
      </c>
      <c r="F32" s="14" t="str">
        <f>VLOOKUP(MID(H32,SEARCH("@",H32,1),LEN(H32)-SEARCH("@",H32,1)+1),[2]Sheet1!$D:$F,3,FALSE)</f>
        <v>M0222</v>
      </c>
      <c r="G32" s="14" t="s">
        <v>767</v>
      </c>
      <c r="H32" s="14" t="s">
        <v>768</v>
      </c>
      <c r="I32" s="14" t="s">
        <v>769</v>
      </c>
      <c r="J32" s="14" t="s">
        <v>595</v>
      </c>
      <c r="K32" s="14" t="s">
        <v>596</v>
      </c>
      <c r="M32" s="14">
        <v>1</v>
      </c>
      <c r="Q32" s="14">
        <v>497</v>
      </c>
      <c r="S32" s="14">
        <v>1699</v>
      </c>
      <c r="V32" s="14">
        <v>2196</v>
      </c>
      <c r="AC32" s="14">
        <v>0</v>
      </c>
      <c r="AJ32" s="14">
        <v>0</v>
      </c>
      <c r="AQ32" s="14">
        <v>0</v>
      </c>
      <c r="AX32" s="14">
        <v>0</v>
      </c>
      <c r="BE32" s="14">
        <v>0</v>
      </c>
      <c r="BF32" s="14">
        <v>0</v>
      </c>
      <c r="BG32" s="14">
        <v>497</v>
      </c>
      <c r="BH32" s="14">
        <v>0</v>
      </c>
      <c r="BI32" s="14">
        <v>1699</v>
      </c>
      <c r="BJ32" s="14">
        <v>0</v>
      </c>
      <c r="BK32" s="14">
        <v>0</v>
      </c>
      <c r="BL32" s="14">
        <v>2196</v>
      </c>
      <c r="BN32" s="14">
        <v>1</v>
      </c>
      <c r="BP32" s="14">
        <v>1</v>
      </c>
      <c r="BS32" s="14">
        <v>2</v>
      </c>
      <c r="BZ32" s="14">
        <v>0</v>
      </c>
      <c r="CG32" s="14">
        <v>0</v>
      </c>
      <c r="CN32" s="14">
        <v>0</v>
      </c>
      <c r="CU32" s="14">
        <v>0</v>
      </c>
      <c r="DB32" s="14">
        <v>0</v>
      </c>
      <c r="DC32" s="14">
        <v>0</v>
      </c>
      <c r="DD32" s="14">
        <v>1</v>
      </c>
      <c r="DE32" s="14">
        <v>0</v>
      </c>
      <c r="DF32" s="14">
        <v>1</v>
      </c>
      <c r="DG32" s="14">
        <v>0</v>
      </c>
      <c r="DH32" s="14">
        <v>0</v>
      </c>
      <c r="DI32" s="14">
        <v>2</v>
      </c>
      <c r="DJ32" s="14" t="s">
        <v>598</v>
      </c>
      <c r="DK32" s="14" t="s">
        <v>597</v>
      </c>
      <c r="DL32" s="14" t="s">
        <v>598</v>
      </c>
      <c r="DM32" s="14" t="s">
        <v>597</v>
      </c>
      <c r="DN32" s="14" t="s">
        <v>598</v>
      </c>
      <c r="DO32" s="14" t="s">
        <v>598</v>
      </c>
      <c r="DP32" s="14" t="s">
        <v>598</v>
      </c>
      <c r="DQ32" s="14" t="s">
        <v>598</v>
      </c>
      <c r="DR32" s="14" t="s">
        <v>598</v>
      </c>
      <c r="DS32" s="14" t="s">
        <v>598</v>
      </c>
      <c r="DT32" s="14" t="s">
        <v>598</v>
      </c>
      <c r="DU32" s="14" t="s">
        <v>598</v>
      </c>
      <c r="DV32" s="14" t="s">
        <v>598</v>
      </c>
      <c r="DW32" s="14" t="s">
        <v>598</v>
      </c>
      <c r="DX32" s="14" t="s">
        <v>598</v>
      </c>
      <c r="DY32" s="14" t="s">
        <v>598</v>
      </c>
      <c r="DZ32" s="14" t="s">
        <v>598</v>
      </c>
      <c r="EA32" s="14" t="s">
        <v>598</v>
      </c>
      <c r="EB32" s="14" t="s">
        <v>598</v>
      </c>
      <c r="EC32" s="14" t="s">
        <v>598</v>
      </c>
      <c r="ED32" s="14" t="s">
        <v>598</v>
      </c>
      <c r="EE32" s="14" t="s">
        <v>598</v>
      </c>
      <c r="EF32" s="14" t="s">
        <v>598</v>
      </c>
      <c r="EG32" s="14" t="s">
        <v>598</v>
      </c>
      <c r="EH32" s="14" t="s">
        <v>598</v>
      </c>
      <c r="EI32" s="14" t="s">
        <v>598</v>
      </c>
      <c r="EJ32" s="14" t="s">
        <v>598</v>
      </c>
      <c r="EK32" s="14" t="s">
        <v>598</v>
      </c>
      <c r="EL32" s="14" t="s">
        <v>598</v>
      </c>
      <c r="EM32" s="14" t="s">
        <v>598</v>
      </c>
      <c r="EN32" s="14" t="s">
        <v>598</v>
      </c>
      <c r="EO32" s="14" t="s">
        <v>598</v>
      </c>
      <c r="EP32" s="14" t="s">
        <v>598</v>
      </c>
      <c r="EQ32" s="14" t="s">
        <v>598</v>
      </c>
      <c r="ER32" s="14" t="s">
        <v>598</v>
      </c>
      <c r="ES32" s="14" t="s">
        <v>598</v>
      </c>
      <c r="EU32" s="14">
        <v>497</v>
      </c>
      <c r="EZ32" s="14">
        <v>497</v>
      </c>
      <c r="FD32" s="14">
        <v>1274</v>
      </c>
      <c r="FG32" s="14">
        <v>1274</v>
      </c>
      <c r="FK32" s="14">
        <v>425</v>
      </c>
      <c r="FN32" s="14">
        <v>425</v>
      </c>
      <c r="FU32" s="14">
        <v>0</v>
      </c>
      <c r="GB32" s="14">
        <v>0</v>
      </c>
      <c r="GI32" s="14">
        <v>0</v>
      </c>
      <c r="GP32" s="14">
        <v>0</v>
      </c>
      <c r="GX32" s="14">
        <v>0</v>
      </c>
      <c r="GY32" s="14">
        <v>0</v>
      </c>
      <c r="GZ32" s="14">
        <v>497</v>
      </c>
      <c r="HA32" s="14">
        <v>0</v>
      </c>
      <c r="HB32" s="14">
        <v>1699</v>
      </c>
      <c r="HC32" s="14">
        <v>0</v>
      </c>
      <c r="HD32" s="14">
        <v>0</v>
      </c>
      <c r="HE32" s="14">
        <v>2196</v>
      </c>
      <c r="HI32" s="14">
        <v>1699</v>
      </c>
      <c r="HL32" s="14">
        <v>1699</v>
      </c>
      <c r="HS32" s="14">
        <v>0</v>
      </c>
      <c r="HU32" s="14">
        <v>497</v>
      </c>
      <c r="HZ32" s="14">
        <v>497</v>
      </c>
      <c r="IG32" s="14">
        <v>0</v>
      </c>
      <c r="IN32" s="14">
        <v>0</v>
      </c>
      <c r="IO32" s="14">
        <v>0</v>
      </c>
      <c r="IP32" s="14">
        <v>497</v>
      </c>
      <c r="IQ32" s="14">
        <v>0</v>
      </c>
      <c r="IR32" s="14">
        <v>1699</v>
      </c>
      <c r="IS32" s="14">
        <v>0</v>
      </c>
      <c r="IT32" s="14">
        <v>0</v>
      </c>
      <c r="IU32" s="14">
        <v>2196</v>
      </c>
      <c r="IX32" s="14">
        <v>100</v>
      </c>
      <c r="JA32" s="14">
        <v>1</v>
      </c>
      <c r="JB32" s="14">
        <v>3</v>
      </c>
      <c r="JC32" s="14">
        <v>1</v>
      </c>
      <c r="JD32" s="14" t="s">
        <v>600</v>
      </c>
      <c r="JF32" s="14">
        <v>497</v>
      </c>
      <c r="JK32" s="14">
        <v>497</v>
      </c>
      <c r="JO32" s="14">
        <v>1274</v>
      </c>
      <c r="JR32" s="14">
        <v>1274</v>
      </c>
      <c r="JV32" s="14">
        <v>425</v>
      </c>
      <c r="JY32" s="14">
        <v>425</v>
      </c>
      <c r="KF32" s="14">
        <v>0</v>
      </c>
      <c r="KM32" s="14">
        <v>0</v>
      </c>
      <c r="KT32" s="14">
        <v>0</v>
      </c>
      <c r="LA32" s="14">
        <v>0</v>
      </c>
      <c r="LI32" s="14">
        <v>0</v>
      </c>
      <c r="LJ32" s="14">
        <v>0</v>
      </c>
      <c r="LK32" s="14">
        <v>497</v>
      </c>
      <c r="LL32" s="14">
        <v>0</v>
      </c>
      <c r="LM32" s="14">
        <v>1699</v>
      </c>
      <c r="LN32" s="14">
        <v>0</v>
      </c>
      <c r="LO32" s="14">
        <v>0</v>
      </c>
      <c r="LP32" s="14">
        <v>2196</v>
      </c>
      <c r="LW32" s="14">
        <v>0</v>
      </c>
      <c r="MA32" s="14">
        <v>1699</v>
      </c>
      <c r="MD32" s="14">
        <v>1699</v>
      </c>
      <c r="MF32" s="14">
        <v>497</v>
      </c>
      <c r="MK32" s="14">
        <v>497</v>
      </c>
      <c r="MR32" s="14">
        <v>0</v>
      </c>
      <c r="MY32" s="14">
        <v>0</v>
      </c>
      <c r="MZ32" s="14">
        <v>0</v>
      </c>
      <c r="NA32" s="14">
        <v>497</v>
      </c>
      <c r="NB32" s="14">
        <v>0</v>
      </c>
      <c r="NC32" s="14">
        <v>1699</v>
      </c>
      <c r="ND32" s="14">
        <v>0</v>
      </c>
      <c r="NE32" s="14">
        <v>0</v>
      </c>
      <c r="NF32" s="14">
        <v>2196</v>
      </c>
      <c r="NG32" s="14" t="s">
        <v>601</v>
      </c>
      <c r="RJ32" s="14" t="s">
        <v>602</v>
      </c>
      <c r="VM32" s="14" t="s">
        <v>603</v>
      </c>
      <c r="ZP32" s="14" t="s">
        <v>604</v>
      </c>
      <c r="ADS32" s="14" t="s">
        <v>605</v>
      </c>
    </row>
    <row r="33" spans="1:799" x14ac:dyDescent="0.25">
      <c r="A33" s="14">
        <v>85</v>
      </c>
      <c r="B33" s="14" t="s">
        <v>590</v>
      </c>
      <c r="C33" s="16">
        <v>42780</v>
      </c>
      <c r="D33" s="14" t="s">
        <v>770</v>
      </c>
      <c r="E33" s="14" t="s">
        <v>771</v>
      </c>
      <c r="F33" s="14" t="str">
        <f>VLOOKUP(MID(H33,SEARCH("@",H33,1),LEN(H33)-SEARCH("@",H33,1)+1),[2]Sheet1!$D:$F,3,FALSE)</f>
        <v>M03210</v>
      </c>
      <c r="G33" s="14" t="s">
        <v>772</v>
      </c>
      <c r="H33" s="14" t="s">
        <v>773</v>
      </c>
      <c r="I33" s="14">
        <v>9737341461</v>
      </c>
      <c r="J33" s="14" t="s">
        <v>611</v>
      </c>
      <c r="K33" s="14" t="s">
        <v>596</v>
      </c>
      <c r="M33" s="14">
        <v>1</v>
      </c>
      <c r="P33" s="14">
        <v>162</v>
      </c>
      <c r="Q33" s="14">
        <v>476</v>
      </c>
      <c r="V33" s="14">
        <v>638</v>
      </c>
      <c r="W33" s="14">
        <v>601</v>
      </c>
      <c r="X33" s="14">
        <v>174</v>
      </c>
      <c r="AB33" s="14">
        <v>694</v>
      </c>
      <c r="AC33" s="14">
        <v>1469</v>
      </c>
      <c r="AD33" s="14">
        <v>302</v>
      </c>
      <c r="AE33" s="14">
        <v>275</v>
      </c>
      <c r="AJ33" s="14">
        <v>577</v>
      </c>
      <c r="AK33" s="14">
        <v>15</v>
      </c>
      <c r="AQ33" s="14">
        <v>15</v>
      </c>
      <c r="AX33" s="14">
        <v>0</v>
      </c>
      <c r="BE33" s="14">
        <v>0</v>
      </c>
      <c r="BF33" s="14">
        <v>1080</v>
      </c>
      <c r="BG33" s="14">
        <v>925</v>
      </c>
      <c r="BH33" s="14">
        <v>0</v>
      </c>
      <c r="BI33" s="14">
        <v>0</v>
      </c>
      <c r="BJ33" s="14">
        <v>0</v>
      </c>
      <c r="BK33" s="14">
        <v>694</v>
      </c>
      <c r="BL33" s="14">
        <v>2699</v>
      </c>
      <c r="BM33" s="14">
        <v>2</v>
      </c>
      <c r="BN33" s="14">
        <v>1</v>
      </c>
      <c r="BS33" s="14">
        <v>3</v>
      </c>
      <c r="BT33" s="14">
        <v>3</v>
      </c>
      <c r="BU33" s="14">
        <v>1</v>
      </c>
      <c r="BY33" s="14">
        <v>2</v>
      </c>
      <c r="BZ33" s="14">
        <v>6</v>
      </c>
      <c r="CA33" s="14">
        <v>3</v>
      </c>
      <c r="CB33" s="14">
        <v>1</v>
      </c>
      <c r="CG33" s="14">
        <v>4</v>
      </c>
      <c r="CH33" s="14">
        <v>1</v>
      </c>
      <c r="CN33" s="14">
        <v>1</v>
      </c>
      <c r="CU33" s="14">
        <v>0</v>
      </c>
      <c r="DB33" s="14">
        <v>0</v>
      </c>
      <c r="DC33" s="14">
        <v>9</v>
      </c>
      <c r="DD33" s="14">
        <v>3</v>
      </c>
      <c r="DE33" s="14">
        <v>0</v>
      </c>
      <c r="DF33" s="14">
        <v>0</v>
      </c>
      <c r="DG33" s="14">
        <v>0</v>
      </c>
      <c r="DH33" s="14">
        <v>2</v>
      </c>
      <c r="DI33" s="14">
        <v>14</v>
      </c>
      <c r="DJ33" s="14" t="s">
        <v>597</v>
      </c>
      <c r="DK33" s="14" t="s">
        <v>597</v>
      </c>
      <c r="DL33" s="14" t="s">
        <v>598</v>
      </c>
      <c r="DM33" s="14" t="s">
        <v>598</v>
      </c>
      <c r="DN33" s="14" t="s">
        <v>598</v>
      </c>
      <c r="DO33" s="14" t="s">
        <v>598</v>
      </c>
      <c r="DP33" s="14" t="s">
        <v>597</v>
      </c>
      <c r="DQ33" s="14" t="s">
        <v>597</v>
      </c>
      <c r="DR33" s="14" t="s">
        <v>598</v>
      </c>
      <c r="DS33" s="14" t="s">
        <v>598</v>
      </c>
      <c r="DT33" s="14" t="s">
        <v>598</v>
      </c>
      <c r="DU33" s="14" t="s">
        <v>597</v>
      </c>
      <c r="DV33" s="14" t="s">
        <v>597</v>
      </c>
      <c r="DW33" s="14" t="s">
        <v>597</v>
      </c>
      <c r="DX33" s="14" t="s">
        <v>598</v>
      </c>
      <c r="DY33" s="14" t="s">
        <v>598</v>
      </c>
      <c r="DZ33" s="14" t="s">
        <v>598</v>
      </c>
      <c r="EA33" s="14" t="s">
        <v>598</v>
      </c>
      <c r="EB33" s="14" t="s">
        <v>597</v>
      </c>
      <c r="EC33" s="14" t="s">
        <v>598</v>
      </c>
      <c r="ED33" s="14" t="s">
        <v>598</v>
      </c>
      <c r="EE33" s="14" t="s">
        <v>598</v>
      </c>
      <c r="EF33" s="14" t="s">
        <v>598</v>
      </c>
      <c r="EG33" s="14" t="s">
        <v>598</v>
      </c>
      <c r="EH33" s="14" t="s">
        <v>598</v>
      </c>
      <c r="EI33" s="14" t="s">
        <v>598</v>
      </c>
      <c r="EJ33" s="14" t="s">
        <v>598</v>
      </c>
      <c r="EK33" s="14" t="s">
        <v>598</v>
      </c>
      <c r="EL33" s="14" t="s">
        <v>598</v>
      </c>
      <c r="EM33" s="14" t="s">
        <v>598</v>
      </c>
      <c r="EN33" s="14" t="s">
        <v>598</v>
      </c>
      <c r="EO33" s="14" t="s">
        <v>598</v>
      </c>
      <c r="EP33" s="14" t="s">
        <v>598</v>
      </c>
      <c r="EQ33" s="14" t="s">
        <v>598</v>
      </c>
      <c r="ER33" s="14" t="s">
        <v>598</v>
      </c>
      <c r="ES33" s="14" t="s">
        <v>598</v>
      </c>
      <c r="ET33" s="14">
        <v>360</v>
      </c>
      <c r="EU33" s="14">
        <v>245</v>
      </c>
      <c r="EY33" s="14">
        <v>508</v>
      </c>
      <c r="EZ33" s="14">
        <v>1113</v>
      </c>
      <c r="FA33" s="14">
        <v>164</v>
      </c>
      <c r="FB33" s="14">
        <v>228</v>
      </c>
      <c r="FF33" s="14">
        <v>37</v>
      </c>
      <c r="FG33" s="14">
        <v>429</v>
      </c>
      <c r="FH33" s="14">
        <v>148</v>
      </c>
      <c r="FI33" s="14">
        <v>442</v>
      </c>
      <c r="FM33" s="14">
        <v>104</v>
      </c>
      <c r="FN33" s="14">
        <v>694</v>
      </c>
      <c r="FU33" s="14">
        <v>0</v>
      </c>
      <c r="FV33" s="14">
        <v>42</v>
      </c>
      <c r="GA33" s="14">
        <v>37</v>
      </c>
      <c r="GB33" s="14">
        <v>79</v>
      </c>
      <c r="GC33" s="14">
        <v>3</v>
      </c>
      <c r="GH33" s="14">
        <v>9</v>
      </c>
      <c r="GI33" s="14">
        <v>12</v>
      </c>
      <c r="GP33" s="14">
        <v>0</v>
      </c>
      <c r="GR33" s="14">
        <v>372</v>
      </c>
      <c r="GX33" s="14">
        <v>372</v>
      </c>
      <c r="GY33" s="14">
        <v>1089</v>
      </c>
      <c r="GZ33" s="14">
        <v>915</v>
      </c>
      <c r="HA33" s="14">
        <v>0</v>
      </c>
      <c r="HB33" s="14">
        <v>0</v>
      </c>
      <c r="HC33" s="14">
        <v>0</v>
      </c>
      <c r="HD33" s="14">
        <v>695</v>
      </c>
      <c r="HE33" s="14">
        <v>2699</v>
      </c>
      <c r="HF33" s="14">
        <v>137</v>
      </c>
      <c r="HG33" s="14">
        <v>34</v>
      </c>
      <c r="HK33" s="14">
        <v>15</v>
      </c>
      <c r="HL33" s="14">
        <v>186</v>
      </c>
      <c r="HM33" s="14">
        <v>675</v>
      </c>
      <c r="HN33" s="14">
        <v>453.69991400000004</v>
      </c>
      <c r="HR33" s="14">
        <v>130</v>
      </c>
      <c r="HS33" s="14">
        <v>1274</v>
      </c>
      <c r="HT33" s="14">
        <v>277</v>
      </c>
      <c r="HU33" s="14">
        <v>413</v>
      </c>
      <c r="HY33" s="14">
        <v>549</v>
      </c>
      <c r="HZ33" s="14">
        <v>1239</v>
      </c>
      <c r="IG33" s="14">
        <v>0</v>
      </c>
      <c r="IN33" s="14">
        <v>0</v>
      </c>
      <c r="IO33" s="14">
        <v>1089</v>
      </c>
      <c r="IP33" s="14">
        <v>916</v>
      </c>
      <c r="IQ33" s="14">
        <v>0</v>
      </c>
      <c r="IR33" s="14">
        <v>0</v>
      </c>
      <c r="IS33" s="14">
        <v>0</v>
      </c>
      <c r="IT33" s="14">
        <v>694</v>
      </c>
      <c r="IU33" s="14">
        <v>2699</v>
      </c>
      <c r="IV33" s="14">
        <v>0.5</v>
      </c>
      <c r="IX33" s="14">
        <v>99.5</v>
      </c>
      <c r="JA33" s="14">
        <v>1</v>
      </c>
      <c r="JB33" s="14">
        <v>3</v>
      </c>
      <c r="JC33" s="14">
        <v>1</v>
      </c>
      <c r="JD33" s="14" t="s">
        <v>600</v>
      </c>
      <c r="NG33" s="14" t="s">
        <v>601</v>
      </c>
      <c r="RJ33" s="14" t="s">
        <v>602</v>
      </c>
      <c r="VM33" s="14" t="s">
        <v>603</v>
      </c>
      <c r="ZP33" s="14" t="s">
        <v>604</v>
      </c>
      <c r="ADS33" s="14" t="s">
        <v>605</v>
      </c>
    </row>
    <row r="34" spans="1:799" x14ac:dyDescent="0.25">
      <c r="A34" s="14">
        <v>91</v>
      </c>
      <c r="B34" s="14" t="s">
        <v>590</v>
      </c>
      <c r="C34" s="16">
        <v>42780</v>
      </c>
      <c r="D34" s="14" t="s">
        <v>774</v>
      </c>
      <c r="E34" s="14" t="s">
        <v>774</v>
      </c>
      <c r="F34" s="14" t="str">
        <f>VLOOKUP(MID(H34,SEARCH("@",H34,1),LEN(H34)-SEARCH("@",H34,1)+1),[2]Sheet1!$D:$F,3,FALSE)</f>
        <v>N0292</v>
      </c>
      <c r="G34" s="14" t="s">
        <v>775</v>
      </c>
      <c r="H34" s="14" t="s">
        <v>776</v>
      </c>
      <c r="I34" s="14">
        <v>2261513460</v>
      </c>
      <c r="J34" s="14" t="s">
        <v>777</v>
      </c>
      <c r="K34" s="14" t="s">
        <v>778</v>
      </c>
      <c r="M34" s="14">
        <v>1</v>
      </c>
      <c r="P34" s="14">
        <v>1420</v>
      </c>
      <c r="Q34" s="14">
        <v>840</v>
      </c>
      <c r="V34" s="14">
        <v>2260</v>
      </c>
      <c r="AC34" s="14">
        <v>0</v>
      </c>
      <c r="AJ34" s="14">
        <v>0</v>
      </c>
      <c r="AQ34" s="14">
        <v>0</v>
      </c>
      <c r="AX34" s="14">
        <v>0</v>
      </c>
      <c r="BE34" s="14">
        <v>0</v>
      </c>
      <c r="BF34" s="14">
        <v>1420</v>
      </c>
      <c r="BG34" s="14">
        <v>840</v>
      </c>
      <c r="BH34" s="14">
        <v>0</v>
      </c>
      <c r="BI34" s="14">
        <v>0</v>
      </c>
      <c r="BJ34" s="14">
        <v>0</v>
      </c>
      <c r="BK34" s="14">
        <v>0</v>
      </c>
      <c r="BL34" s="14">
        <v>2260</v>
      </c>
      <c r="BM34" s="14">
        <v>1</v>
      </c>
      <c r="BN34" s="14">
        <v>1</v>
      </c>
      <c r="BS34" s="14">
        <v>2</v>
      </c>
      <c r="BZ34" s="14">
        <v>0</v>
      </c>
      <c r="CG34" s="14">
        <v>0</v>
      </c>
      <c r="CN34" s="14">
        <v>0</v>
      </c>
      <c r="CU34" s="14">
        <v>0</v>
      </c>
      <c r="DB34" s="14">
        <v>0</v>
      </c>
      <c r="DC34" s="14">
        <v>1</v>
      </c>
      <c r="DD34" s="14">
        <v>1</v>
      </c>
      <c r="DE34" s="14">
        <v>0</v>
      </c>
      <c r="DF34" s="14">
        <v>0</v>
      </c>
      <c r="DG34" s="14">
        <v>0</v>
      </c>
      <c r="DH34" s="14">
        <v>0</v>
      </c>
      <c r="DI34" s="14">
        <v>2</v>
      </c>
      <c r="DJ34" s="14" t="s">
        <v>597</v>
      </c>
      <c r="DK34" s="14" t="s">
        <v>597</v>
      </c>
      <c r="DL34" s="14" t="s">
        <v>598</v>
      </c>
      <c r="DM34" s="14" t="s">
        <v>598</v>
      </c>
      <c r="DN34" s="14" t="s">
        <v>598</v>
      </c>
      <c r="DO34" s="14" t="s">
        <v>598</v>
      </c>
      <c r="DP34" s="14" t="s">
        <v>598</v>
      </c>
      <c r="DQ34" s="14" t="s">
        <v>598</v>
      </c>
      <c r="DR34" s="14" t="s">
        <v>598</v>
      </c>
      <c r="DS34" s="14" t="s">
        <v>598</v>
      </c>
      <c r="DT34" s="14" t="s">
        <v>598</v>
      </c>
      <c r="DU34" s="14" t="s">
        <v>598</v>
      </c>
      <c r="DV34" s="14" t="s">
        <v>598</v>
      </c>
      <c r="DW34" s="14" t="s">
        <v>598</v>
      </c>
      <c r="DX34" s="14" t="s">
        <v>598</v>
      </c>
      <c r="DY34" s="14" t="s">
        <v>598</v>
      </c>
      <c r="DZ34" s="14" t="s">
        <v>598</v>
      </c>
      <c r="EA34" s="14" t="s">
        <v>598</v>
      </c>
      <c r="EB34" s="14" t="s">
        <v>598</v>
      </c>
      <c r="EC34" s="14" t="s">
        <v>598</v>
      </c>
      <c r="ED34" s="14" t="s">
        <v>598</v>
      </c>
      <c r="EE34" s="14" t="s">
        <v>598</v>
      </c>
      <c r="EF34" s="14" t="s">
        <v>598</v>
      </c>
      <c r="EG34" s="14" t="s">
        <v>598</v>
      </c>
      <c r="EH34" s="14" t="s">
        <v>598</v>
      </c>
      <c r="EI34" s="14" t="s">
        <v>598</v>
      </c>
      <c r="EJ34" s="14" t="s">
        <v>598</v>
      </c>
      <c r="EK34" s="14" t="s">
        <v>598</v>
      </c>
      <c r="EL34" s="14" t="s">
        <v>598</v>
      </c>
      <c r="EM34" s="14" t="s">
        <v>598</v>
      </c>
      <c r="EN34" s="14" t="s">
        <v>598</v>
      </c>
      <c r="EO34" s="14" t="s">
        <v>598</v>
      </c>
      <c r="EP34" s="14" t="s">
        <v>598</v>
      </c>
      <c r="EQ34" s="14" t="s">
        <v>598</v>
      </c>
      <c r="ER34" s="14" t="s">
        <v>598</v>
      </c>
      <c r="ES34" s="14" t="s">
        <v>598</v>
      </c>
      <c r="EZ34" s="14">
        <v>0</v>
      </c>
      <c r="FG34" s="14">
        <v>0</v>
      </c>
      <c r="FN34" s="14">
        <v>0</v>
      </c>
      <c r="FU34" s="14">
        <v>0</v>
      </c>
      <c r="GB34" s="14">
        <v>0</v>
      </c>
      <c r="GI34" s="14">
        <v>0</v>
      </c>
      <c r="GJ34" s="14">
        <v>2260</v>
      </c>
      <c r="GP34" s="14">
        <v>2260</v>
      </c>
      <c r="GX34" s="14">
        <v>0</v>
      </c>
      <c r="GY34" s="14">
        <v>2260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2260</v>
      </c>
      <c r="HF34" s="14">
        <v>1420</v>
      </c>
      <c r="HG34" s="14">
        <v>840</v>
      </c>
      <c r="HL34" s="14">
        <v>2260</v>
      </c>
      <c r="HS34" s="14">
        <v>0</v>
      </c>
      <c r="HZ34" s="14">
        <v>0</v>
      </c>
      <c r="IG34" s="14">
        <v>0</v>
      </c>
      <c r="IN34" s="14">
        <v>0</v>
      </c>
      <c r="IO34" s="14">
        <v>1420</v>
      </c>
      <c r="IP34" s="14">
        <v>840</v>
      </c>
      <c r="IQ34" s="14">
        <v>0</v>
      </c>
      <c r="IR34" s="14">
        <v>0</v>
      </c>
      <c r="IS34" s="14">
        <v>0</v>
      </c>
      <c r="IT34" s="14">
        <v>0</v>
      </c>
      <c r="IU34" s="14">
        <v>2260</v>
      </c>
      <c r="IV34" s="14">
        <v>100</v>
      </c>
      <c r="JA34" s="14">
        <v>1</v>
      </c>
      <c r="JB34" s="14">
        <v>1</v>
      </c>
      <c r="JC34" s="14">
        <v>2</v>
      </c>
      <c r="JD34" s="14" t="s">
        <v>600</v>
      </c>
      <c r="JK34" s="14">
        <v>0</v>
      </c>
      <c r="JR34" s="14">
        <v>0</v>
      </c>
      <c r="JY34" s="14">
        <v>0</v>
      </c>
      <c r="KF34" s="14">
        <v>0</v>
      </c>
      <c r="KM34" s="14">
        <v>0</v>
      </c>
      <c r="KT34" s="14">
        <v>0</v>
      </c>
      <c r="KU34" s="14">
        <v>2260</v>
      </c>
      <c r="LA34" s="14">
        <v>2260</v>
      </c>
      <c r="LI34" s="14">
        <v>0</v>
      </c>
      <c r="LJ34" s="14">
        <v>2260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2260</v>
      </c>
      <c r="LW34" s="14">
        <v>0</v>
      </c>
      <c r="LX34" s="14">
        <v>2260</v>
      </c>
      <c r="MD34" s="14">
        <v>2260</v>
      </c>
      <c r="MK34" s="14">
        <v>0</v>
      </c>
      <c r="MR34" s="14">
        <v>0</v>
      </c>
      <c r="MY34" s="14">
        <v>0</v>
      </c>
      <c r="MZ34" s="14">
        <v>2260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2260</v>
      </c>
      <c r="NG34" s="14" t="s">
        <v>601</v>
      </c>
      <c r="RJ34" s="14" t="s">
        <v>602</v>
      </c>
      <c r="VM34" s="14" t="s">
        <v>603</v>
      </c>
      <c r="ZP34" s="14" t="s">
        <v>604</v>
      </c>
      <c r="ADS34" s="14" t="s">
        <v>605</v>
      </c>
    </row>
    <row r="35" spans="1:799" x14ac:dyDescent="0.25">
      <c r="A35" s="14">
        <v>229</v>
      </c>
      <c r="B35" s="14" t="s">
        <v>590</v>
      </c>
      <c r="C35" s="16">
        <v>42780</v>
      </c>
      <c r="D35" s="14" t="s">
        <v>779</v>
      </c>
      <c r="E35" s="14" t="s">
        <v>780</v>
      </c>
      <c r="F35" s="14" t="str">
        <f>VLOOKUP(MID(H35,SEARCH("@",H35,1),LEN(H35)-SEARCH("@",H35,1)+1),[2]Sheet1!$D:$F,3,FALSE)</f>
        <v>M243</v>
      </c>
      <c r="G35" s="14" t="s">
        <v>781</v>
      </c>
      <c r="H35" s="14" t="s">
        <v>782</v>
      </c>
      <c r="I35" s="14">
        <v>61477309659</v>
      </c>
      <c r="J35" s="14" t="s">
        <v>624</v>
      </c>
      <c r="K35" s="14" t="s">
        <v>625</v>
      </c>
      <c r="M35" s="14">
        <v>2</v>
      </c>
      <c r="N35" s="14">
        <v>6</v>
      </c>
      <c r="O35" s="14" t="s">
        <v>783</v>
      </c>
      <c r="V35" s="14">
        <v>0</v>
      </c>
      <c r="AC35" s="14">
        <v>0</v>
      </c>
      <c r="AJ35" s="14">
        <v>0</v>
      </c>
      <c r="AQ35" s="14">
        <v>0</v>
      </c>
      <c r="AX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S35" s="14">
        <v>0</v>
      </c>
      <c r="BZ35" s="14">
        <v>0</v>
      </c>
      <c r="CG35" s="14">
        <v>0</v>
      </c>
      <c r="CN35" s="14">
        <v>0</v>
      </c>
      <c r="CU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 t="s">
        <v>598</v>
      </c>
      <c r="DK35" s="14" t="s">
        <v>598</v>
      </c>
      <c r="DL35" s="14" t="s">
        <v>598</v>
      </c>
      <c r="DM35" s="14" t="s">
        <v>598</v>
      </c>
      <c r="DN35" s="14" t="s">
        <v>598</v>
      </c>
      <c r="DO35" s="14" t="s">
        <v>598</v>
      </c>
      <c r="DP35" s="14" t="s">
        <v>598</v>
      </c>
      <c r="DQ35" s="14" t="s">
        <v>598</v>
      </c>
      <c r="DR35" s="14" t="s">
        <v>598</v>
      </c>
      <c r="DS35" s="14" t="s">
        <v>598</v>
      </c>
      <c r="DT35" s="14" t="s">
        <v>598</v>
      </c>
      <c r="DU35" s="14" t="s">
        <v>598</v>
      </c>
      <c r="DV35" s="14" t="s">
        <v>598</v>
      </c>
      <c r="DW35" s="14" t="s">
        <v>598</v>
      </c>
      <c r="DX35" s="14" t="s">
        <v>598</v>
      </c>
      <c r="DY35" s="14" t="s">
        <v>598</v>
      </c>
      <c r="DZ35" s="14" t="s">
        <v>598</v>
      </c>
      <c r="EA35" s="14" t="s">
        <v>598</v>
      </c>
      <c r="EB35" s="14" t="s">
        <v>598</v>
      </c>
      <c r="EC35" s="14" t="s">
        <v>598</v>
      </c>
      <c r="ED35" s="14" t="s">
        <v>598</v>
      </c>
      <c r="EE35" s="14" t="s">
        <v>598</v>
      </c>
      <c r="EF35" s="14" t="s">
        <v>598</v>
      </c>
      <c r="EG35" s="14" t="s">
        <v>598</v>
      </c>
      <c r="EH35" s="14" t="s">
        <v>598</v>
      </c>
      <c r="EI35" s="14" t="s">
        <v>598</v>
      </c>
      <c r="EJ35" s="14" t="s">
        <v>598</v>
      </c>
      <c r="EK35" s="14" t="s">
        <v>598</v>
      </c>
      <c r="EL35" s="14" t="s">
        <v>598</v>
      </c>
      <c r="EM35" s="14" t="s">
        <v>598</v>
      </c>
      <c r="EN35" s="14" t="s">
        <v>598</v>
      </c>
      <c r="EO35" s="14" t="s">
        <v>598</v>
      </c>
      <c r="EP35" s="14" t="s">
        <v>598</v>
      </c>
      <c r="EQ35" s="14" t="s">
        <v>598</v>
      </c>
      <c r="ER35" s="14" t="s">
        <v>598</v>
      </c>
      <c r="ES35" s="14" t="s">
        <v>598</v>
      </c>
      <c r="EZ35" s="14">
        <v>0</v>
      </c>
      <c r="FG35" s="14">
        <v>0</v>
      </c>
      <c r="FN35" s="14">
        <v>0</v>
      </c>
      <c r="FU35" s="14">
        <v>0</v>
      </c>
      <c r="GB35" s="14">
        <v>0</v>
      </c>
      <c r="GI35" s="14">
        <v>0</v>
      </c>
      <c r="GP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L35" s="14">
        <v>0</v>
      </c>
      <c r="HS35" s="14">
        <v>0</v>
      </c>
      <c r="HZ35" s="14">
        <v>0</v>
      </c>
      <c r="IG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JA35" s="14">
        <v>1</v>
      </c>
      <c r="JB35" s="14">
        <v>1</v>
      </c>
      <c r="JC35" s="14">
        <v>1</v>
      </c>
      <c r="JD35" s="14" t="s">
        <v>600</v>
      </c>
      <c r="NG35" s="14" t="s">
        <v>601</v>
      </c>
      <c r="RJ35" s="14" t="s">
        <v>602</v>
      </c>
      <c r="VM35" s="14" t="s">
        <v>603</v>
      </c>
      <c r="ZP35" s="14" t="s">
        <v>604</v>
      </c>
      <c r="ADS35" s="14" t="s">
        <v>605</v>
      </c>
    </row>
    <row r="36" spans="1:799" x14ac:dyDescent="0.25">
      <c r="A36" s="14">
        <v>235</v>
      </c>
      <c r="B36" s="14" t="s">
        <v>590</v>
      </c>
      <c r="C36" s="16">
        <v>42780</v>
      </c>
      <c r="D36" s="14" t="s">
        <v>784</v>
      </c>
      <c r="E36" s="14" t="s">
        <v>785</v>
      </c>
      <c r="F36" s="14" t="str">
        <f>VLOOKUP(MID(H36,SEARCH("@",H36,1),LEN(H36)-SEARCH("@",H36,1)+1),[2]Sheet1!$D:$F,3,FALSE)</f>
        <v>M0124</v>
      </c>
      <c r="G36" s="14" t="s">
        <v>786</v>
      </c>
      <c r="H36" s="14" t="s">
        <v>787</v>
      </c>
      <c r="I36" s="14" t="s">
        <v>788</v>
      </c>
      <c r="J36" s="14" t="s">
        <v>738</v>
      </c>
      <c r="K36" s="14" t="s">
        <v>739</v>
      </c>
      <c r="M36" s="14">
        <v>1</v>
      </c>
      <c r="S36" s="14">
        <v>25676</v>
      </c>
      <c r="V36" s="14">
        <v>25676</v>
      </c>
      <c r="AC36" s="14">
        <v>0</v>
      </c>
      <c r="AJ36" s="14">
        <v>0</v>
      </c>
      <c r="AQ36" s="14">
        <v>0</v>
      </c>
      <c r="AX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25676</v>
      </c>
      <c r="BJ36" s="14">
        <v>0</v>
      </c>
      <c r="BK36" s="14">
        <v>0</v>
      </c>
      <c r="BL36" s="14">
        <v>25676</v>
      </c>
      <c r="BP36" s="14">
        <v>1</v>
      </c>
      <c r="BS36" s="14">
        <v>1</v>
      </c>
      <c r="BZ36" s="14">
        <v>0</v>
      </c>
      <c r="CG36" s="14">
        <v>0</v>
      </c>
      <c r="CN36" s="14">
        <v>0</v>
      </c>
      <c r="CU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1</v>
      </c>
      <c r="DG36" s="14">
        <v>0</v>
      </c>
      <c r="DH36" s="14">
        <v>0</v>
      </c>
      <c r="DI36" s="14">
        <v>1</v>
      </c>
      <c r="DJ36" s="14" t="s">
        <v>598</v>
      </c>
      <c r="DK36" s="14" t="s">
        <v>598</v>
      </c>
      <c r="DL36" s="14" t="s">
        <v>598</v>
      </c>
      <c r="DM36" s="14" t="s">
        <v>597</v>
      </c>
      <c r="DN36" s="14" t="s">
        <v>598</v>
      </c>
      <c r="DO36" s="14" t="s">
        <v>598</v>
      </c>
      <c r="DP36" s="14" t="s">
        <v>598</v>
      </c>
      <c r="DQ36" s="14" t="s">
        <v>598</v>
      </c>
      <c r="DR36" s="14" t="s">
        <v>598</v>
      </c>
      <c r="DS36" s="14" t="s">
        <v>598</v>
      </c>
      <c r="DT36" s="14" t="s">
        <v>598</v>
      </c>
      <c r="DU36" s="14" t="s">
        <v>598</v>
      </c>
      <c r="DV36" s="14" t="s">
        <v>598</v>
      </c>
      <c r="DW36" s="14" t="s">
        <v>598</v>
      </c>
      <c r="DX36" s="14" t="s">
        <v>598</v>
      </c>
      <c r="DY36" s="14" t="s">
        <v>598</v>
      </c>
      <c r="DZ36" s="14" t="s">
        <v>598</v>
      </c>
      <c r="EA36" s="14" t="s">
        <v>598</v>
      </c>
      <c r="EB36" s="14" t="s">
        <v>598</v>
      </c>
      <c r="EC36" s="14" t="s">
        <v>598</v>
      </c>
      <c r="ED36" s="14" t="s">
        <v>598</v>
      </c>
      <c r="EE36" s="14" t="s">
        <v>598</v>
      </c>
      <c r="EF36" s="14" t="s">
        <v>598</v>
      </c>
      <c r="EG36" s="14" t="s">
        <v>598</v>
      </c>
      <c r="EH36" s="14" t="s">
        <v>598</v>
      </c>
      <c r="EI36" s="14" t="s">
        <v>598</v>
      </c>
      <c r="EJ36" s="14" t="s">
        <v>598</v>
      </c>
      <c r="EK36" s="14" t="s">
        <v>598</v>
      </c>
      <c r="EL36" s="14" t="s">
        <v>598</v>
      </c>
      <c r="EM36" s="14" t="s">
        <v>598</v>
      </c>
      <c r="EN36" s="14" t="s">
        <v>598</v>
      </c>
      <c r="EO36" s="14" t="s">
        <v>598</v>
      </c>
      <c r="EP36" s="14" t="s">
        <v>598</v>
      </c>
      <c r="EQ36" s="14" t="s">
        <v>598</v>
      </c>
      <c r="ER36" s="14" t="s">
        <v>598</v>
      </c>
      <c r="ES36" s="14" t="s">
        <v>598</v>
      </c>
      <c r="EW36" s="14">
        <v>24500</v>
      </c>
      <c r="EZ36" s="14">
        <v>24500</v>
      </c>
      <c r="FG36" s="14">
        <v>0</v>
      </c>
      <c r="FN36" s="14">
        <v>0</v>
      </c>
      <c r="FU36" s="14">
        <v>0</v>
      </c>
      <c r="GB36" s="14">
        <v>0</v>
      </c>
      <c r="GI36" s="14">
        <v>0</v>
      </c>
      <c r="GP36" s="14">
        <v>0</v>
      </c>
      <c r="GU36" s="14">
        <v>1176</v>
      </c>
      <c r="GX36" s="14">
        <v>1176</v>
      </c>
      <c r="GY36" s="14">
        <v>0</v>
      </c>
      <c r="GZ36" s="14">
        <v>0</v>
      </c>
      <c r="HA36" s="14">
        <v>0</v>
      </c>
      <c r="HB36" s="14">
        <v>25676</v>
      </c>
      <c r="HC36" s="14">
        <v>0</v>
      </c>
      <c r="HD36" s="14">
        <v>0</v>
      </c>
      <c r="HE36" s="14">
        <v>25676</v>
      </c>
      <c r="HI36" s="14">
        <v>1176</v>
      </c>
      <c r="HL36" s="14">
        <v>1176</v>
      </c>
      <c r="HP36" s="14">
        <v>24500</v>
      </c>
      <c r="HS36" s="14">
        <v>24500</v>
      </c>
      <c r="HZ36" s="14">
        <v>0</v>
      </c>
      <c r="IG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25676</v>
      </c>
      <c r="IS36" s="14">
        <v>0</v>
      </c>
      <c r="IT36" s="14">
        <v>0</v>
      </c>
      <c r="IU36" s="14">
        <v>25676</v>
      </c>
      <c r="IW36" s="14">
        <v>95.2</v>
      </c>
      <c r="IZ36" s="14">
        <v>4.8</v>
      </c>
      <c r="JA36" s="14">
        <v>1</v>
      </c>
      <c r="JB36" s="14">
        <v>1</v>
      </c>
      <c r="JC36" s="14">
        <v>1</v>
      </c>
      <c r="JD36" s="14" t="s">
        <v>600</v>
      </c>
      <c r="JH36" s="14">
        <v>24500</v>
      </c>
      <c r="JK36" s="14">
        <v>24500</v>
      </c>
      <c r="JR36" s="14">
        <v>0</v>
      </c>
      <c r="JY36" s="14">
        <v>0</v>
      </c>
      <c r="KF36" s="14">
        <v>0</v>
      </c>
      <c r="KM36" s="14">
        <v>0</v>
      </c>
      <c r="KT36" s="14">
        <v>0</v>
      </c>
      <c r="LA36" s="14">
        <v>0</v>
      </c>
      <c r="LF36" s="14">
        <v>1176</v>
      </c>
      <c r="LI36" s="14">
        <v>1176</v>
      </c>
      <c r="LJ36" s="14">
        <v>0</v>
      </c>
      <c r="LK36" s="14">
        <v>0</v>
      </c>
      <c r="LL36" s="14">
        <v>0</v>
      </c>
      <c r="LM36" s="14">
        <v>25676</v>
      </c>
      <c r="LN36" s="14">
        <v>0</v>
      </c>
      <c r="LO36" s="14">
        <v>0</v>
      </c>
      <c r="LP36" s="14">
        <v>25676</v>
      </c>
      <c r="LT36" s="14">
        <v>24500</v>
      </c>
      <c r="LW36" s="14">
        <v>24500</v>
      </c>
      <c r="MA36" s="14">
        <v>1176</v>
      </c>
      <c r="MD36" s="14">
        <v>1176</v>
      </c>
      <c r="MK36" s="14">
        <v>0</v>
      </c>
      <c r="MR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25676</v>
      </c>
      <c r="ND36" s="14">
        <v>0</v>
      </c>
      <c r="NE36" s="14">
        <v>0</v>
      </c>
      <c r="NF36" s="14">
        <v>25676</v>
      </c>
      <c r="NG36" s="14" t="s">
        <v>601</v>
      </c>
      <c r="RJ36" s="14" t="s">
        <v>602</v>
      </c>
      <c r="VM36" s="14" t="s">
        <v>603</v>
      </c>
      <c r="ZP36" s="14" t="s">
        <v>604</v>
      </c>
      <c r="ADS36" s="14" t="s">
        <v>605</v>
      </c>
    </row>
    <row r="37" spans="1:799" x14ac:dyDescent="0.25">
      <c r="A37" s="14">
        <v>75</v>
      </c>
      <c r="B37" s="14" t="s">
        <v>590</v>
      </c>
      <c r="C37" s="16">
        <v>42772.365277777775</v>
      </c>
      <c r="D37" s="14" t="s">
        <v>789</v>
      </c>
      <c r="E37" s="14" t="s">
        <v>790</v>
      </c>
      <c r="F37" s="14" t="str">
        <f>VLOOKUP(MID(H37,SEARCH("@",H37,1),LEN(H37)-SEARCH("@",H37,1)+1),[2]Sheet1!$D:$F,3,FALSE)</f>
        <v>M0035</v>
      </c>
      <c r="G37" s="14" t="s">
        <v>791</v>
      </c>
      <c r="H37" s="14" t="s">
        <v>792</v>
      </c>
      <c r="I37" s="14" t="s">
        <v>793</v>
      </c>
      <c r="J37" s="14" t="s">
        <v>618</v>
      </c>
      <c r="K37" s="14" t="s">
        <v>596</v>
      </c>
      <c r="M37" s="14">
        <v>1</v>
      </c>
      <c r="P37" s="14">
        <v>70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70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70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70</v>
      </c>
      <c r="BM37" s="14">
        <v>1</v>
      </c>
      <c r="BS37" s="14">
        <v>1</v>
      </c>
      <c r="BZ37" s="14">
        <v>0</v>
      </c>
      <c r="CG37" s="14">
        <v>0</v>
      </c>
      <c r="CN37" s="14">
        <v>0</v>
      </c>
      <c r="CU37" s="14">
        <v>0</v>
      </c>
      <c r="DB37" s="14">
        <v>0</v>
      </c>
      <c r="DC37" s="14">
        <v>1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1</v>
      </c>
      <c r="DJ37" s="14" t="s">
        <v>597</v>
      </c>
      <c r="DK37" s="14" t="s">
        <v>598</v>
      </c>
      <c r="DL37" s="14" t="s">
        <v>598</v>
      </c>
      <c r="DM37" s="14" t="s">
        <v>598</v>
      </c>
      <c r="DN37" s="14" t="s">
        <v>598</v>
      </c>
      <c r="DO37" s="14" t="s">
        <v>598</v>
      </c>
      <c r="DP37" s="14" t="s">
        <v>598</v>
      </c>
      <c r="DQ37" s="14" t="s">
        <v>598</v>
      </c>
      <c r="DR37" s="14" t="s">
        <v>598</v>
      </c>
      <c r="DS37" s="14" t="s">
        <v>598</v>
      </c>
      <c r="DT37" s="14" t="s">
        <v>598</v>
      </c>
      <c r="DU37" s="14" t="s">
        <v>598</v>
      </c>
      <c r="DV37" s="14" t="s">
        <v>598</v>
      </c>
      <c r="DW37" s="14" t="s">
        <v>598</v>
      </c>
      <c r="DX37" s="14" t="s">
        <v>598</v>
      </c>
      <c r="DY37" s="14" t="s">
        <v>598</v>
      </c>
      <c r="DZ37" s="14" t="s">
        <v>598</v>
      </c>
      <c r="EA37" s="14" t="s">
        <v>598</v>
      </c>
      <c r="EB37" s="14" t="s">
        <v>598</v>
      </c>
      <c r="EC37" s="14" t="s">
        <v>598</v>
      </c>
      <c r="ED37" s="14" t="s">
        <v>598</v>
      </c>
      <c r="EE37" s="14" t="s">
        <v>598</v>
      </c>
      <c r="EF37" s="14" t="s">
        <v>598</v>
      </c>
      <c r="EG37" s="14" t="s">
        <v>598</v>
      </c>
      <c r="EH37" s="14" t="s">
        <v>598</v>
      </c>
      <c r="EI37" s="14" t="s">
        <v>598</v>
      </c>
      <c r="EJ37" s="14" t="s">
        <v>598</v>
      </c>
      <c r="EK37" s="14" t="s">
        <v>598</v>
      </c>
      <c r="EL37" s="14" t="s">
        <v>598</v>
      </c>
      <c r="EM37" s="14" t="s">
        <v>598</v>
      </c>
      <c r="EN37" s="14" t="s">
        <v>598</v>
      </c>
      <c r="EO37" s="14" t="s">
        <v>598</v>
      </c>
      <c r="EP37" s="14" t="s">
        <v>598</v>
      </c>
      <c r="EQ37" s="14" t="s">
        <v>598</v>
      </c>
      <c r="ER37" s="14" t="s">
        <v>598</v>
      </c>
      <c r="ES37" s="14" t="s">
        <v>598</v>
      </c>
      <c r="ET37" s="14">
        <v>70</v>
      </c>
      <c r="EZ37" s="14">
        <v>70</v>
      </c>
      <c r="FA37" s="14">
        <v>0</v>
      </c>
      <c r="FG37" s="14">
        <v>0</v>
      </c>
      <c r="FH37" s="14">
        <v>0</v>
      </c>
      <c r="FN37" s="14">
        <v>0</v>
      </c>
      <c r="FO37" s="14">
        <v>0</v>
      </c>
      <c r="FU37" s="14">
        <v>0</v>
      </c>
      <c r="FV37" s="14">
        <v>0</v>
      </c>
      <c r="GB37" s="14">
        <v>0</v>
      </c>
      <c r="GC37" s="14">
        <v>0</v>
      </c>
      <c r="GI37" s="14">
        <v>0</v>
      </c>
      <c r="GJ37" s="14">
        <v>0</v>
      </c>
      <c r="GP37" s="14">
        <v>0</v>
      </c>
      <c r="GR37" s="14">
        <v>0</v>
      </c>
      <c r="GX37" s="14">
        <v>0</v>
      </c>
      <c r="GY37" s="14">
        <v>70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70</v>
      </c>
      <c r="HF37" s="14">
        <v>60</v>
      </c>
      <c r="HL37" s="14">
        <v>60</v>
      </c>
      <c r="HM37" s="14">
        <v>10</v>
      </c>
      <c r="HS37" s="14">
        <v>10</v>
      </c>
      <c r="HT37" s="14">
        <v>0</v>
      </c>
      <c r="HZ37" s="14">
        <v>0</v>
      </c>
      <c r="IA37" s="14">
        <v>0</v>
      </c>
      <c r="IG37" s="14">
        <v>0</v>
      </c>
      <c r="IH37" s="14">
        <v>0</v>
      </c>
      <c r="IN37" s="14">
        <v>0</v>
      </c>
      <c r="IO37" s="14">
        <v>70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70</v>
      </c>
      <c r="IV37" s="14">
        <v>86</v>
      </c>
      <c r="IW37" s="14">
        <v>14</v>
      </c>
      <c r="IX37" s="14">
        <v>0</v>
      </c>
      <c r="IZ37" s="14">
        <v>0</v>
      </c>
      <c r="JA37" s="14">
        <v>1</v>
      </c>
      <c r="JB37" s="14">
        <v>3</v>
      </c>
      <c r="JC37" s="14">
        <v>1</v>
      </c>
      <c r="JD37" s="14" t="s">
        <v>600</v>
      </c>
      <c r="JE37" s="14">
        <v>70</v>
      </c>
      <c r="JK37" s="14">
        <v>70</v>
      </c>
      <c r="JL37" s="14">
        <v>0</v>
      </c>
      <c r="JR37" s="14">
        <v>0</v>
      </c>
      <c r="JS37" s="14">
        <v>0</v>
      </c>
      <c r="JY37" s="14">
        <v>0</v>
      </c>
      <c r="JZ37" s="14">
        <v>0</v>
      </c>
      <c r="KF37" s="14">
        <v>0</v>
      </c>
      <c r="KG37" s="14">
        <v>0</v>
      </c>
      <c r="KM37" s="14">
        <v>0</v>
      </c>
      <c r="KN37" s="14">
        <v>0</v>
      </c>
      <c r="KT37" s="14">
        <v>0</v>
      </c>
      <c r="KU37" s="14">
        <v>0</v>
      </c>
      <c r="LA37" s="14">
        <v>0</v>
      </c>
      <c r="LC37" s="14">
        <v>0</v>
      </c>
      <c r="LI37" s="14">
        <v>0</v>
      </c>
      <c r="LJ37" s="14">
        <v>70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70</v>
      </c>
      <c r="LQ37" s="14">
        <v>10</v>
      </c>
      <c r="LW37" s="14">
        <v>10</v>
      </c>
      <c r="LX37" s="14">
        <v>60</v>
      </c>
      <c r="MD37" s="14">
        <v>60</v>
      </c>
      <c r="ME37" s="14">
        <v>0</v>
      </c>
      <c r="MK37" s="14">
        <v>0</v>
      </c>
      <c r="ML37" s="14">
        <v>0</v>
      </c>
      <c r="MR37" s="14">
        <v>0</v>
      </c>
      <c r="MS37" s="14">
        <v>0</v>
      </c>
      <c r="MY37" s="14">
        <v>0</v>
      </c>
      <c r="MZ37" s="14">
        <v>70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70</v>
      </c>
      <c r="NG37" s="14" t="s">
        <v>601</v>
      </c>
      <c r="RJ37" s="14" t="s">
        <v>602</v>
      </c>
      <c r="VM37" s="14" t="s">
        <v>603</v>
      </c>
      <c r="ZP37" s="14" t="s">
        <v>604</v>
      </c>
      <c r="ADS37" s="14" t="s">
        <v>605</v>
      </c>
    </row>
    <row r="38" spans="1:799" x14ac:dyDescent="0.25">
      <c r="A38" s="14">
        <v>160</v>
      </c>
      <c r="B38" s="14" t="s">
        <v>590</v>
      </c>
      <c r="C38" s="16">
        <v>42769.145138888889</v>
      </c>
      <c r="D38" s="14" t="s">
        <v>794</v>
      </c>
      <c r="E38" s="14" t="s">
        <v>795</v>
      </c>
      <c r="F38" s="14" t="str">
        <f>VLOOKUP(MID(H38,SEARCH("@",H38,1),LEN(H38)-SEARCH("@",H38,1)+1),[2]Sheet1!$D:$F,3,FALSE)</f>
        <v>M0220</v>
      </c>
      <c r="G38" s="14" t="s">
        <v>796</v>
      </c>
      <c r="H38" s="14" t="s">
        <v>797</v>
      </c>
      <c r="I38" s="14" t="s">
        <v>798</v>
      </c>
      <c r="J38" s="14" t="s">
        <v>624</v>
      </c>
      <c r="K38" s="14" t="s">
        <v>625</v>
      </c>
      <c r="M38" s="14">
        <v>1</v>
      </c>
      <c r="S38" s="14">
        <v>115</v>
      </c>
      <c r="V38" s="14">
        <v>115</v>
      </c>
      <c r="AC38" s="14">
        <v>0</v>
      </c>
      <c r="AJ38" s="14">
        <v>0</v>
      </c>
      <c r="AQ38" s="14">
        <v>0</v>
      </c>
      <c r="AX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115</v>
      </c>
      <c r="BJ38" s="14">
        <v>0</v>
      </c>
      <c r="BK38" s="14">
        <v>0</v>
      </c>
      <c r="BL38" s="14">
        <v>115</v>
      </c>
      <c r="BP38" s="14">
        <v>2</v>
      </c>
      <c r="BS38" s="14">
        <v>2</v>
      </c>
      <c r="BZ38" s="14">
        <v>0</v>
      </c>
      <c r="CG38" s="14">
        <v>0</v>
      </c>
      <c r="CN38" s="14">
        <v>0</v>
      </c>
      <c r="CU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2</v>
      </c>
      <c r="DG38" s="14">
        <v>0</v>
      </c>
      <c r="DH38" s="14">
        <v>0</v>
      </c>
      <c r="DI38" s="14">
        <v>2</v>
      </c>
      <c r="DJ38" s="14" t="s">
        <v>598</v>
      </c>
      <c r="DK38" s="14" t="s">
        <v>598</v>
      </c>
      <c r="DL38" s="14" t="s">
        <v>598</v>
      </c>
      <c r="DM38" s="14" t="s">
        <v>597</v>
      </c>
      <c r="DN38" s="14" t="s">
        <v>598</v>
      </c>
      <c r="DO38" s="14" t="s">
        <v>598</v>
      </c>
      <c r="DP38" s="14" t="s">
        <v>598</v>
      </c>
      <c r="DQ38" s="14" t="s">
        <v>598</v>
      </c>
      <c r="DR38" s="14" t="s">
        <v>598</v>
      </c>
      <c r="DS38" s="14" t="s">
        <v>598</v>
      </c>
      <c r="DT38" s="14" t="s">
        <v>598</v>
      </c>
      <c r="DU38" s="14" t="s">
        <v>598</v>
      </c>
      <c r="DV38" s="14" t="s">
        <v>598</v>
      </c>
      <c r="DW38" s="14" t="s">
        <v>598</v>
      </c>
      <c r="DX38" s="14" t="s">
        <v>598</v>
      </c>
      <c r="DY38" s="14" t="s">
        <v>598</v>
      </c>
      <c r="DZ38" s="14" t="s">
        <v>598</v>
      </c>
      <c r="EA38" s="14" t="s">
        <v>598</v>
      </c>
      <c r="EB38" s="14" t="s">
        <v>598</v>
      </c>
      <c r="EC38" s="14" t="s">
        <v>598</v>
      </c>
      <c r="ED38" s="14" t="s">
        <v>598</v>
      </c>
      <c r="EE38" s="14" t="s">
        <v>598</v>
      </c>
      <c r="EF38" s="14" t="s">
        <v>598</v>
      </c>
      <c r="EG38" s="14" t="s">
        <v>598</v>
      </c>
      <c r="EH38" s="14" t="s">
        <v>598</v>
      </c>
      <c r="EI38" s="14" t="s">
        <v>598</v>
      </c>
      <c r="EJ38" s="14" t="s">
        <v>598</v>
      </c>
      <c r="EK38" s="14" t="s">
        <v>598</v>
      </c>
      <c r="EL38" s="14" t="s">
        <v>598</v>
      </c>
      <c r="EM38" s="14" t="s">
        <v>598</v>
      </c>
      <c r="EN38" s="14" t="s">
        <v>598</v>
      </c>
      <c r="EO38" s="14" t="s">
        <v>598</v>
      </c>
      <c r="EP38" s="14" t="s">
        <v>598</v>
      </c>
      <c r="EQ38" s="14" t="s">
        <v>598</v>
      </c>
      <c r="ER38" s="14" t="s">
        <v>598</v>
      </c>
      <c r="ES38" s="14" t="s">
        <v>598</v>
      </c>
      <c r="EZ38" s="14">
        <v>0</v>
      </c>
      <c r="FG38" s="14">
        <v>0</v>
      </c>
      <c r="FN38" s="14">
        <v>0</v>
      </c>
      <c r="FU38" s="14">
        <v>0</v>
      </c>
      <c r="GB38" s="14">
        <v>0</v>
      </c>
      <c r="GI38" s="14">
        <v>0</v>
      </c>
      <c r="GP38" s="14">
        <v>0</v>
      </c>
      <c r="GQ38" s="14" t="s">
        <v>799</v>
      </c>
      <c r="GU38" s="14">
        <v>115</v>
      </c>
      <c r="GX38" s="14">
        <v>115</v>
      </c>
      <c r="GY38" s="14">
        <v>0</v>
      </c>
      <c r="GZ38" s="14">
        <v>0</v>
      </c>
      <c r="HA38" s="14">
        <v>0</v>
      </c>
      <c r="HB38" s="14">
        <v>115</v>
      </c>
      <c r="HC38" s="14">
        <v>0</v>
      </c>
      <c r="HD38" s="14">
        <v>0</v>
      </c>
      <c r="HE38" s="14">
        <v>115</v>
      </c>
      <c r="HI38" s="14">
        <v>23</v>
      </c>
      <c r="HL38" s="14">
        <v>23</v>
      </c>
      <c r="HP38" s="14">
        <v>40</v>
      </c>
      <c r="HS38" s="14">
        <v>40</v>
      </c>
      <c r="HW38" s="14">
        <v>52</v>
      </c>
      <c r="HZ38" s="14">
        <v>52</v>
      </c>
      <c r="IG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115</v>
      </c>
      <c r="IS38" s="14">
        <v>0</v>
      </c>
      <c r="IT38" s="14">
        <v>0</v>
      </c>
      <c r="IU38" s="14">
        <v>115</v>
      </c>
      <c r="IX38" s="14">
        <v>100</v>
      </c>
      <c r="JA38" s="14">
        <v>1</v>
      </c>
      <c r="JB38" s="14">
        <v>3</v>
      </c>
      <c r="JC38" s="14">
        <v>1</v>
      </c>
      <c r="JD38" s="14" t="s">
        <v>600</v>
      </c>
      <c r="JK38" s="14">
        <v>0</v>
      </c>
      <c r="JR38" s="14">
        <v>0</v>
      </c>
      <c r="JY38" s="14">
        <v>0</v>
      </c>
      <c r="KF38" s="14">
        <v>0</v>
      </c>
      <c r="KM38" s="14">
        <v>0</v>
      </c>
      <c r="KT38" s="14">
        <v>0</v>
      </c>
      <c r="LA38" s="14">
        <v>0</v>
      </c>
      <c r="LB38" s="14" t="s">
        <v>799</v>
      </c>
      <c r="LF38" s="14">
        <v>115</v>
      </c>
      <c r="LI38" s="14">
        <v>115</v>
      </c>
      <c r="LJ38" s="14">
        <v>0</v>
      </c>
      <c r="LK38" s="14">
        <v>0</v>
      </c>
      <c r="LL38" s="14">
        <v>0</v>
      </c>
      <c r="LM38" s="14">
        <v>115</v>
      </c>
      <c r="LN38" s="14">
        <v>0</v>
      </c>
      <c r="LO38" s="14">
        <v>0</v>
      </c>
      <c r="LP38" s="14">
        <v>115</v>
      </c>
      <c r="LT38" s="14">
        <v>40</v>
      </c>
      <c r="LW38" s="14">
        <v>40</v>
      </c>
      <c r="MA38" s="14">
        <v>23</v>
      </c>
      <c r="MD38" s="14">
        <v>23</v>
      </c>
      <c r="MH38" s="14">
        <v>52</v>
      </c>
      <c r="MK38" s="14">
        <v>52</v>
      </c>
      <c r="MR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115</v>
      </c>
      <c r="ND38" s="14">
        <v>0</v>
      </c>
      <c r="NE38" s="14">
        <v>0</v>
      </c>
      <c r="NF38" s="14">
        <v>115</v>
      </c>
      <c r="NG38" s="14" t="s">
        <v>601</v>
      </c>
      <c r="RJ38" s="14" t="s">
        <v>602</v>
      </c>
      <c r="VM38" s="14" t="s">
        <v>603</v>
      </c>
      <c r="ZP38" s="14" t="s">
        <v>604</v>
      </c>
      <c r="ADS38" s="14" t="s">
        <v>605</v>
      </c>
    </row>
    <row r="39" spans="1:799" x14ac:dyDescent="0.25">
      <c r="A39" s="14">
        <v>86</v>
      </c>
      <c r="B39" s="14" t="s">
        <v>590</v>
      </c>
      <c r="C39" s="16">
        <v>42751.07916666667</v>
      </c>
      <c r="D39" s="14" t="s">
        <v>800</v>
      </c>
      <c r="E39" s="14" t="s">
        <v>801</v>
      </c>
      <c r="F39" s="14" t="str">
        <f>VLOOKUP(MID(H39,SEARCH("@",H39,1),LEN(H39)-SEARCH("@",H39,1)+1),[2]Sheet1!$D:$F,3,FALSE)</f>
        <v>M0269</v>
      </c>
      <c r="G39" s="14" t="s">
        <v>802</v>
      </c>
      <c r="H39" s="14" t="s">
        <v>803</v>
      </c>
      <c r="I39" s="14" t="s">
        <v>804</v>
      </c>
      <c r="J39" s="14" t="s">
        <v>624</v>
      </c>
      <c r="K39" s="14" t="s">
        <v>625</v>
      </c>
      <c r="M39" s="14">
        <v>1</v>
      </c>
      <c r="Q39" s="14">
        <v>620</v>
      </c>
      <c r="V39" s="14">
        <v>620</v>
      </c>
      <c r="AC39" s="14">
        <v>0</v>
      </c>
      <c r="AJ39" s="14">
        <v>0</v>
      </c>
      <c r="AQ39" s="14">
        <v>0</v>
      </c>
      <c r="AX39" s="14">
        <v>0</v>
      </c>
      <c r="BE39" s="14">
        <v>0</v>
      </c>
      <c r="BF39" s="14">
        <v>0</v>
      </c>
      <c r="BG39" s="14">
        <v>620</v>
      </c>
      <c r="BH39" s="14">
        <v>0</v>
      </c>
      <c r="BI39" s="14">
        <v>0</v>
      </c>
      <c r="BJ39" s="14">
        <v>0</v>
      </c>
      <c r="BK39" s="14">
        <v>0</v>
      </c>
      <c r="BL39" s="14">
        <v>620</v>
      </c>
      <c r="BN39" s="14">
        <v>2</v>
      </c>
      <c r="BS39" s="14">
        <v>2</v>
      </c>
      <c r="BZ39" s="14">
        <v>0</v>
      </c>
      <c r="CG39" s="14">
        <v>0</v>
      </c>
      <c r="CN39" s="14">
        <v>0</v>
      </c>
      <c r="CU39" s="14">
        <v>0</v>
      </c>
      <c r="DB39" s="14">
        <v>0</v>
      </c>
      <c r="DC39" s="14">
        <v>0</v>
      </c>
      <c r="DD39" s="14">
        <v>2</v>
      </c>
      <c r="DE39" s="14">
        <v>0</v>
      </c>
      <c r="DF39" s="14">
        <v>0</v>
      </c>
      <c r="DG39" s="14">
        <v>0</v>
      </c>
      <c r="DH39" s="14">
        <v>0</v>
      </c>
      <c r="DI39" s="14">
        <v>2</v>
      </c>
      <c r="DJ39" s="14" t="s">
        <v>598</v>
      </c>
      <c r="DK39" s="14" t="s">
        <v>597</v>
      </c>
      <c r="DL39" s="14" t="s">
        <v>598</v>
      </c>
      <c r="DM39" s="14" t="s">
        <v>598</v>
      </c>
      <c r="DN39" s="14" t="s">
        <v>598</v>
      </c>
      <c r="DO39" s="14" t="s">
        <v>598</v>
      </c>
      <c r="DP39" s="14" t="s">
        <v>598</v>
      </c>
      <c r="DQ39" s="14" t="s">
        <v>598</v>
      </c>
      <c r="DR39" s="14" t="s">
        <v>598</v>
      </c>
      <c r="DS39" s="14" t="s">
        <v>598</v>
      </c>
      <c r="DT39" s="14" t="s">
        <v>598</v>
      </c>
      <c r="DU39" s="14" t="s">
        <v>598</v>
      </c>
      <c r="DV39" s="14" t="s">
        <v>598</v>
      </c>
      <c r="DW39" s="14" t="s">
        <v>598</v>
      </c>
      <c r="DX39" s="14" t="s">
        <v>598</v>
      </c>
      <c r="DY39" s="14" t="s">
        <v>598</v>
      </c>
      <c r="DZ39" s="14" t="s">
        <v>598</v>
      </c>
      <c r="EA39" s="14" t="s">
        <v>598</v>
      </c>
      <c r="EB39" s="14" t="s">
        <v>598</v>
      </c>
      <c r="EC39" s="14" t="s">
        <v>598</v>
      </c>
      <c r="ED39" s="14" t="s">
        <v>598</v>
      </c>
      <c r="EE39" s="14" t="s">
        <v>598</v>
      </c>
      <c r="EF39" s="14" t="s">
        <v>598</v>
      </c>
      <c r="EG39" s="14" t="s">
        <v>598</v>
      </c>
      <c r="EH39" s="14" t="s">
        <v>598</v>
      </c>
      <c r="EI39" s="14" t="s">
        <v>598</v>
      </c>
      <c r="EJ39" s="14" t="s">
        <v>598</v>
      </c>
      <c r="EK39" s="14" t="s">
        <v>598</v>
      </c>
      <c r="EL39" s="14" t="s">
        <v>598</v>
      </c>
      <c r="EM39" s="14" t="s">
        <v>598</v>
      </c>
      <c r="EN39" s="14" t="s">
        <v>598</v>
      </c>
      <c r="EO39" s="14" t="s">
        <v>598</v>
      </c>
      <c r="EP39" s="14" t="s">
        <v>598</v>
      </c>
      <c r="EQ39" s="14" t="s">
        <v>598</v>
      </c>
      <c r="ER39" s="14" t="s">
        <v>598</v>
      </c>
      <c r="ES39" s="14" t="s">
        <v>598</v>
      </c>
      <c r="EU39" s="14">
        <v>620</v>
      </c>
      <c r="EZ39" s="14">
        <v>620</v>
      </c>
      <c r="FG39" s="14">
        <v>0</v>
      </c>
      <c r="FN39" s="14">
        <v>0</v>
      </c>
      <c r="FU39" s="14">
        <v>0</v>
      </c>
      <c r="GB39" s="14">
        <v>0</v>
      </c>
      <c r="GI39" s="14">
        <v>0</v>
      </c>
      <c r="GP39" s="14">
        <v>0</v>
      </c>
      <c r="GX39" s="14">
        <v>0</v>
      </c>
      <c r="GY39" s="14">
        <v>0</v>
      </c>
      <c r="GZ39" s="14">
        <v>620</v>
      </c>
      <c r="HA39" s="14">
        <v>0</v>
      </c>
      <c r="HB39" s="14">
        <v>0</v>
      </c>
      <c r="HC39" s="14">
        <v>0</v>
      </c>
      <c r="HD39" s="14">
        <v>0</v>
      </c>
      <c r="HE39" s="14">
        <v>620</v>
      </c>
      <c r="HG39" s="14">
        <v>620</v>
      </c>
      <c r="HL39" s="14">
        <v>620</v>
      </c>
      <c r="HS39" s="14">
        <v>0</v>
      </c>
      <c r="HZ39" s="14">
        <v>0</v>
      </c>
      <c r="IG39" s="14">
        <v>0</v>
      </c>
      <c r="IN39" s="14">
        <v>0</v>
      </c>
      <c r="IO39" s="14">
        <v>0</v>
      </c>
      <c r="IP39" s="14">
        <v>620</v>
      </c>
      <c r="IQ39" s="14">
        <v>0</v>
      </c>
      <c r="IR39" s="14">
        <v>0</v>
      </c>
      <c r="IS39" s="14">
        <v>0</v>
      </c>
      <c r="IT39" s="14">
        <v>0</v>
      </c>
      <c r="IU39" s="14">
        <v>620</v>
      </c>
      <c r="IX39" s="14">
        <v>100</v>
      </c>
      <c r="JA39" s="14">
        <v>3</v>
      </c>
      <c r="JB39" s="14">
        <v>2</v>
      </c>
      <c r="JC39" s="14">
        <v>1</v>
      </c>
      <c r="JD39" s="14" t="s">
        <v>600</v>
      </c>
      <c r="JF39" s="14">
        <v>620</v>
      </c>
      <c r="JK39" s="14">
        <v>620</v>
      </c>
      <c r="JR39" s="14">
        <v>0</v>
      </c>
      <c r="JY39" s="14">
        <v>0</v>
      </c>
      <c r="KF39" s="14">
        <v>0</v>
      </c>
      <c r="KM39" s="14">
        <v>0</v>
      </c>
      <c r="KT39" s="14">
        <v>0</v>
      </c>
      <c r="LA39" s="14">
        <v>0</v>
      </c>
      <c r="LI39" s="14">
        <v>0</v>
      </c>
      <c r="LJ39" s="14">
        <v>0</v>
      </c>
      <c r="LK39" s="14">
        <v>620</v>
      </c>
      <c r="LL39" s="14">
        <v>0</v>
      </c>
      <c r="LM39" s="14">
        <v>0</v>
      </c>
      <c r="LN39" s="14">
        <v>0</v>
      </c>
      <c r="LO39" s="14">
        <v>0</v>
      </c>
      <c r="LP39" s="14">
        <v>620</v>
      </c>
      <c r="LW39" s="14">
        <v>0</v>
      </c>
      <c r="LY39" s="14">
        <v>620</v>
      </c>
      <c r="MD39" s="14">
        <v>620</v>
      </c>
      <c r="MK39" s="14">
        <v>0</v>
      </c>
      <c r="MR39" s="14">
        <v>0</v>
      </c>
      <c r="MY39" s="14">
        <v>0</v>
      </c>
      <c r="MZ39" s="14">
        <v>0</v>
      </c>
      <c r="NA39" s="14">
        <v>620</v>
      </c>
      <c r="NB39" s="14">
        <v>0</v>
      </c>
      <c r="NC39" s="14">
        <v>0</v>
      </c>
      <c r="ND39" s="14">
        <v>0</v>
      </c>
      <c r="NE39" s="14">
        <v>0</v>
      </c>
      <c r="NF39" s="14">
        <v>620</v>
      </c>
      <c r="NG39" s="14" t="s">
        <v>601</v>
      </c>
      <c r="RJ39" s="14" t="s">
        <v>602</v>
      </c>
      <c r="VM39" s="14" t="s">
        <v>603</v>
      </c>
      <c r="ZP39" s="14" t="s">
        <v>604</v>
      </c>
      <c r="ADS39" s="14" t="s">
        <v>605</v>
      </c>
    </row>
    <row r="40" spans="1:799" x14ac:dyDescent="0.25">
      <c r="A40" s="14">
        <v>179</v>
      </c>
      <c r="B40" s="14" t="s">
        <v>590</v>
      </c>
      <c r="C40" s="16">
        <v>42779.606249999997</v>
      </c>
      <c r="D40" s="14" t="s">
        <v>805</v>
      </c>
      <c r="E40" s="14" t="s">
        <v>806</v>
      </c>
      <c r="F40" s="14" t="str">
        <f>VLOOKUP(MID(H40,SEARCH("@",H40,1),LEN(H40)-SEARCH("@",H40,1)+1),[2]Sheet1!$D:$F,3,FALSE)</f>
        <v>M181</v>
      </c>
      <c r="G40" s="14" t="s">
        <v>807</v>
      </c>
      <c r="H40" s="14" t="s">
        <v>808</v>
      </c>
      <c r="I40" s="14">
        <v>2077432603</v>
      </c>
      <c r="J40" s="14" t="s">
        <v>611</v>
      </c>
      <c r="K40" s="14" t="s">
        <v>596</v>
      </c>
      <c r="M40" s="14">
        <v>1</v>
      </c>
      <c r="P40" s="14">
        <v>115.2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115.2</v>
      </c>
      <c r="W40" s="14">
        <v>680.2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680.2</v>
      </c>
      <c r="AD40" s="14">
        <v>103.3</v>
      </c>
      <c r="AE40" s="14">
        <v>185.8</v>
      </c>
      <c r="AF40" s="14">
        <v>0</v>
      </c>
      <c r="AG40" s="14">
        <v>0</v>
      </c>
      <c r="AH40" s="14">
        <v>0</v>
      </c>
      <c r="AI40" s="14">
        <v>315</v>
      </c>
      <c r="AJ40" s="14">
        <v>604.1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898.7</v>
      </c>
      <c r="BG40" s="14">
        <v>185.8</v>
      </c>
      <c r="BH40" s="14">
        <v>0</v>
      </c>
      <c r="BI40" s="14">
        <v>0</v>
      </c>
      <c r="BJ40" s="14">
        <v>0</v>
      </c>
      <c r="BK40" s="14">
        <v>315</v>
      </c>
      <c r="BL40" s="14">
        <v>1399.5</v>
      </c>
      <c r="BM40" s="14">
        <v>2</v>
      </c>
      <c r="BS40" s="14">
        <v>2</v>
      </c>
      <c r="BT40" s="14">
        <v>3</v>
      </c>
      <c r="BZ40" s="14">
        <v>3</v>
      </c>
      <c r="CA40" s="14">
        <v>1</v>
      </c>
      <c r="CB40" s="14">
        <v>4</v>
      </c>
      <c r="CF40" s="14">
        <v>1</v>
      </c>
      <c r="CG40" s="14">
        <v>6</v>
      </c>
      <c r="CN40" s="14">
        <v>0</v>
      </c>
      <c r="CU40" s="14">
        <v>0</v>
      </c>
      <c r="DB40" s="14">
        <v>0</v>
      </c>
      <c r="DC40" s="14">
        <v>6</v>
      </c>
      <c r="DD40" s="14">
        <v>4</v>
      </c>
      <c r="DE40" s="14">
        <v>0</v>
      </c>
      <c r="DF40" s="14">
        <v>0</v>
      </c>
      <c r="DG40" s="14">
        <v>0</v>
      </c>
      <c r="DH40" s="14">
        <v>1</v>
      </c>
      <c r="DI40" s="14">
        <v>11</v>
      </c>
      <c r="DJ40" s="14" t="s">
        <v>597</v>
      </c>
      <c r="DK40" s="14" t="s">
        <v>598</v>
      </c>
      <c r="DL40" s="14" t="s">
        <v>598</v>
      </c>
      <c r="DM40" s="14" t="s">
        <v>598</v>
      </c>
      <c r="DN40" s="14" t="s">
        <v>598</v>
      </c>
      <c r="DO40" s="14" t="s">
        <v>598</v>
      </c>
      <c r="DP40" s="14" t="s">
        <v>597</v>
      </c>
      <c r="DQ40" s="14" t="s">
        <v>598</v>
      </c>
      <c r="DR40" s="14" t="s">
        <v>598</v>
      </c>
      <c r="DS40" s="14" t="s">
        <v>598</v>
      </c>
      <c r="DT40" s="14" t="s">
        <v>598</v>
      </c>
      <c r="DU40" s="14" t="s">
        <v>598</v>
      </c>
      <c r="DV40" s="14" t="s">
        <v>597</v>
      </c>
      <c r="DW40" s="14" t="s">
        <v>597</v>
      </c>
      <c r="DX40" s="14" t="s">
        <v>598</v>
      </c>
      <c r="DY40" s="14" t="s">
        <v>598</v>
      </c>
      <c r="DZ40" s="14" t="s">
        <v>598</v>
      </c>
      <c r="EA40" s="14" t="s">
        <v>597</v>
      </c>
      <c r="EB40" s="14" t="s">
        <v>598</v>
      </c>
      <c r="EC40" s="14" t="s">
        <v>598</v>
      </c>
      <c r="ED40" s="14" t="s">
        <v>598</v>
      </c>
      <c r="EE40" s="14" t="s">
        <v>598</v>
      </c>
      <c r="EF40" s="14" t="s">
        <v>598</v>
      </c>
      <c r="EG40" s="14" t="s">
        <v>598</v>
      </c>
      <c r="EH40" s="14" t="s">
        <v>598</v>
      </c>
      <c r="EI40" s="14" t="s">
        <v>598</v>
      </c>
      <c r="EJ40" s="14" t="s">
        <v>598</v>
      </c>
      <c r="EK40" s="14" t="s">
        <v>598</v>
      </c>
      <c r="EL40" s="14" t="s">
        <v>598</v>
      </c>
      <c r="EM40" s="14" t="s">
        <v>598</v>
      </c>
      <c r="EN40" s="14" t="s">
        <v>598</v>
      </c>
      <c r="EO40" s="14" t="s">
        <v>598</v>
      </c>
      <c r="EP40" s="14" t="s">
        <v>598</v>
      </c>
      <c r="EQ40" s="14" t="s">
        <v>598</v>
      </c>
      <c r="ER40" s="14" t="s">
        <v>598</v>
      </c>
      <c r="ES40" s="14" t="s">
        <v>598</v>
      </c>
      <c r="ET40" s="14">
        <v>747.1</v>
      </c>
      <c r="EU40" s="14">
        <v>131.4</v>
      </c>
      <c r="EY40" s="14">
        <v>117.5</v>
      </c>
      <c r="EZ40" s="14">
        <v>996</v>
      </c>
      <c r="FA40" s="14">
        <v>91.8</v>
      </c>
      <c r="FF40" s="14">
        <v>125.5</v>
      </c>
      <c r="FG40" s="14">
        <v>217.3</v>
      </c>
      <c r="FM40" s="14">
        <v>54</v>
      </c>
      <c r="FN40" s="14">
        <v>54</v>
      </c>
      <c r="FU40" s="14">
        <v>0</v>
      </c>
      <c r="FV40" s="14">
        <v>8.8000000000000007</v>
      </c>
      <c r="GB40" s="14">
        <v>8.8000000000000007</v>
      </c>
      <c r="GC40" s="14">
        <v>15</v>
      </c>
      <c r="GH40" s="14">
        <v>18.100000000000001</v>
      </c>
      <c r="GI40" s="14">
        <v>33.1</v>
      </c>
      <c r="GP40" s="14">
        <v>0</v>
      </c>
      <c r="GR40" s="14">
        <v>90.3</v>
      </c>
      <c r="GS40" s="14">
        <v>0</v>
      </c>
      <c r="GX40" s="14">
        <v>90.3</v>
      </c>
      <c r="GY40" s="14">
        <v>953</v>
      </c>
      <c r="GZ40" s="14">
        <v>131.4</v>
      </c>
      <c r="HA40" s="14">
        <v>0</v>
      </c>
      <c r="HB40" s="14">
        <v>0</v>
      </c>
      <c r="HC40" s="14">
        <v>0</v>
      </c>
      <c r="HD40" s="14">
        <v>315.10000000000002</v>
      </c>
      <c r="HE40" s="14">
        <v>1399.5</v>
      </c>
      <c r="HF40" s="14">
        <v>56.7</v>
      </c>
      <c r="HK40" s="14">
        <v>94</v>
      </c>
      <c r="HL40" s="14">
        <v>150.69999999999999</v>
      </c>
      <c r="HM40" s="14">
        <v>429.3</v>
      </c>
      <c r="HS40" s="14">
        <v>429.3</v>
      </c>
      <c r="HT40" s="14">
        <v>467</v>
      </c>
      <c r="HU40" s="14">
        <v>131.4</v>
      </c>
      <c r="HY40" s="14">
        <v>221.1</v>
      </c>
      <c r="HZ40" s="14">
        <v>819.5</v>
      </c>
      <c r="IG40" s="14">
        <v>0</v>
      </c>
      <c r="IN40" s="14">
        <v>0</v>
      </c>
      <c r="IO40" s="14">
        <v>953</v>
      </c>
      <c r="IP40" s="14">
        <v>131.4</v>
      </c>
      <c r="IQ40" s="14">
        <v>0</v>
      </c>
      <c r="IR40" s="14">
        <v>0</v>
      </c>
      <c r="IS40" s="14">
        <v>0</v>
      </c>
      <c r="IT40" s="14">
        <v>315.10000000000002</v>
      </c>
      <c r="IU40" s="14">
        <v>1399.5</v>
      </c>
      <c r="IX40" s="14">
        <v>100</v>
      </c>
      <c r="JA40" s="14">
        <v>1</v>
      </c>
      <c r="JB40" s="14">
        <v>3</v>
      </c>
      <c r="JC40" s="14">
        <v>1</v>
      </c>
      <c r="JD40" s="14" t="s">
        <v>600</v>
      </c>
      <c r="JE40" s="14">
        <v>62</v>
      </c>
      <c r="JK40" s="14">
        <v>62</v>
      </c>
      <c r="JL40" s="14">
        <v>14.4</v>
      </c>
      <c r="JR40" s="14">
        <v>14.4</v>
      </c>
      <c r="JY40" s="14">
        <v>0</v>
      </c>
      <c r="KF40" s="14">
        <v>0</v>
      </c>
      <c r="KM40" s="14">
        <v>0</v>
      </c>
      <c r="KT40" s="14">
        <v>0</v>
      </c>
      <c r="LA40" s="14">
        <v>0</v>
      </c>
      <c r="LB40" s="14" t="s">
        <v>680</v>
      </c>
      <c r="LC40" s="14">
        <v>38.799999999999997</v>
      </c>
      <c r="LI40" s="14">
        <v>38.799999999999997</v>
      </c>
      <c r="LJ40" s="14">
        <v>115.2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115.2</v>
      </c>
      <c r="LQ40" s="14">
        <v>57.2</v>
      </c>
      <c r="LW40" s="14">
        <v>57.2</v>
      </c>
      <c r="LX40" s="14">
        <v>15.7</v>
      </c>
      <c r="MD40" s="14">
        <v>15.7</v>
      </c>
      <c r="ME40" s="14">
        <v>42.3</v>
      </c>
      <c r="MK40" s="14">
        <v>42.3</v>
      </c>
      <c r="MR40" s="14">
        <v>0</v>
      </c>
      <c r="MY40" s="14">
        <v>0</v>
      </c>
      <c r="MZ40" s="14">
        <v>115.2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115.2</v>
      </c>
      <c r="NG40" s="14" t="s">
        <v>601</v>
      </c>
      <c r="NH40" s="14">
        <v>608.1</v>
      </c>
      <c r="NN40" s="14">
        <v>608.1</v>
      </c>
      <c r="NO40" s="14">
        <v>46.2</v>
      </c>
      <c r="NU40" s="14">
        <v>46.2</v>
      </c>
      <c r="OB40" s="14">
        <v>0</v>
      </c>
      <c r="OI40" s="14">
        <v>0</v>
      </c>
      <c r="OJ40" s="14">
        <v>8.8000000000000007</v>
      </c>
      <c r="OP40" s="14">
        <v>8.8000000000000007</v>
      </c>
      <c r="OW40" s="14">
        <v>0</v>
      </c>
      <c r="PD40" s="14">
        <v>0</v>
      </c>
      <c r="PF40" s="14">
        <v>17.100000000000001</v>
      </c>
      <c r="PL40" s="14">
        <v>17.100000000000001</v>
      </c>
      <c r="PM40" s="14">
        <v>680.2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680.2</v>
      </c>
      <c r="PT40" s="14">
        <v>372.2</v>
      </c>
      <c r="PZ40" s="14">
        <v>372.2</v>
      </c>
      <c r="QG40" s="14">
        <v>0</v>
      </c>
      <c r="QH40" s="14">
        <v>308</v>
      </c>
      <c r="QN40" s="14">
        <v>308</v>
      </c>
      <c r="QU40" s="14">
        <v>0</v>
      </c>
      <c r="RB40" s="14">
        <v>0</v>
      </c>
      <c r="RC40" s="14">
        <v>680.2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680.2</v>
      </c>
      <c r="RJ40" s="14" t="s">
        <v>602</v>
      </c>
      <c r="RK40" s="14">
        <v>77</v>
      </c>
      <c r="RL40" s="14">
        <v>131.4</v>
      </c>
      <c r="RP40" s="14">
        <v>117.5</v>
      </c>
      <c r="RQ40" s="14">
        <v>325.89999999999998</v>
      </c>
      <c r="RR40" s="14">
        <v>31.2</v>
      </c>
      <c r="RW40" s="14">
        <v>125.5</v>
      </c>
      <c r="RX40" s="14">
        <v>156.69999999999999</v>
      </c>
      <c r="SD40" s="14">
        <v>54</v>
      </c>
      <c r="SE40" s="14">
        <v>54</v>
      </c>
      <c r="SL40" s="14">
        <v>0</v>
      </c>
      <c r="SS40" s="14">
        <v>0</v>
      </c>
      <c r="ST40" s="14">
        <v>15</v>
      </c>
      <c r="SY40" s="14">
        <v>18.100000000000001</v>
      </c>
      <c r="SZ40" s="14">
        <v>33.1</v>
      </c>
      <c r="TG40" s="14">
        <v>0</v>
      </c>
      <c r="TI40" s="14">
        <v>34.4</v>
      </c>
      <c r="TO40" s="14">
        <v>34.4</v>
      </c>
      <c r="TP40" s="14">
        <v>157.6</v>
      </c>
      <c r="TQ40" s="14">
        <v>131.4</v>
      </c>
      <c r="TR40" s="14">
        <v>0</v>
      </c>
      <c r="TS40" s="14">
        <v>0</v>
      </c>
      <c r="TT40" s="14">
        <v>0</v>
      </c>
      <c r="TU40" s="14">
        <v>315.10000000000002</v>
      </c>
      <c r="TV40" s="14">
        <v>604.1</v>
      </c>
      <c r="UC40" s="14">
        <v>0</v>
      </c>
      <c r="UD40" s="14">
        <v>136.19999999999999</v>
      </c>
      <c r="UJ40" s="14">
        <v>136.19999999999999</v>
      </c>
      <c r="UK40" s="14">
        <v>467.9</v>
      </c>
      <c r="UQ40" s="14">
        <v>467.9</v>
      </c>
      <c r="UX40" s="14">
        <v>0</v>
      </c>
      <c r="VE40" s="14">
        <v>0</v>
      </c>
      <c r="VF40" s="14">
        <v>604.1</v>
      </c>
      <c r="VG40" s="14">
        <v>0</v>
      </c>
      <c r="VH40" s="14">
        <v>0</v>
      </c>
      <c r="VI40" s="14">
        <v>0</v>
      </c>
      <c r="VJ40" s="14">
        <v>0</v>
      </c>
      <c r="VK40" s="14">
        <v>0</v>
      </c>
      <c r="VL40" s="14">
        <v>604.1</v>
      </c>
      <c r="VM40" s="14" t="s">
        <v>603</v>
      </c>
      <c r="ZP40" s="14" t="s">
        <v>604</v>
      </c>
      <c r="ADS40" s="14" t="s">
        <v>605</v>
      </c>
    </row>
    <row r="41" spans="1:799" x14ac:dyDescent="0.25">
      <c r="A41" s="14">
        <v>108</v>
      </c>
      <c r="B41" s="14" t="s">
        <v>590</v>
      </c>
      <c r="C41" s="16">
        <v>42780</v>
      </c>
      <c r="D41" s="14" t="s">
        <v>809</v>
      </c>
      <c r="E41" s="14" t="s">
        <v>810</v>
      </c>
      <c r="F41" s="14" t="str">
        <f>VLOOKUP(MID(H41,SEARCH("@",H41,1),LEN(H41)-SEARCH("@",H41,1)+1),[2]Sheet1!$D:$F,3,FALSE)</f>
        <v>M0091</v>
      </c>
      <c r="G41" s="14" t="s">
        <v>811</v>
      </c>
      <c r="H41" s="14" t="s">
        <v>812</v>
      </c>
      <c r="I41" s="14" t="s">
        <v>813</v>
      </c>
      <c r="J41" s="14" t="s">
        <v>595</v>
      </c>
      <c r="K41" s="14" t="s">
        <v>596</v>
      </c>
      <c r="M41" s="14">
        <v>1</v>
      </c>
      <c r="P41" s="14">
        <v>1500</v>
      </c>
      <c r="V41" s="14">
        <v>1500</v>
      </c>
      <c r="AC41" s="14">
        <v>0</v>
      </c>
      <c r="AJ41" s="14">
        <v>0</v>
      </c>
      <c r="AQ41" s="14">
        <v>0</v>
      </c>
      <c r="AX41" s="14">
        <v>0</v>
      </c>
      <c r="BE41" s="14">
        <v>0</v>
      </c>
      <c r="BF41" s="14">
        <v>1500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1500</v>
      </c>
      <c r="BM41" s="14">
        <v>1</v>
      </c>
      <c r="BS41" s="14">
        <v>1</v>
      </c>
      <c r="BZ41" s="14">
        <v>0</v>
      </c>
      <c r="CG41" s="14">
        <v>0</v>
      </c>
      <c r="CN41" s="14">
        <v>0</v>
      </c>
      <c r="CU41" s="14">
        <v>0</v>
      </c>
      <c r="DB41" s="14">
        <v>0</v>
      </c>
      <c r="DC41" s="14">
        <v>1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1</v>
      </c>
      <c r="DJ41" s="14" t="s">
        <v>597</v>
      </c>
      <c r="DK41" s="14" t="s">
        <v>598</v>
      </c>
      <c r="DL41" s="14" t="s">
        <v>598</v>
      </c>
      <c r="DM41" s="14" t="s">
        <v>598</v>
      </c>
      <c r="DN41" s="14" t="s">
        <v>598</v>
      </c>
      <c r="DO41" s="14" t="s">
        <v>598</v>
      </c>
      <c r="DP41" s="14" t="s">
        <v>598</v>
      </c>
      <c r="DQ41" s="14" t="s">
        <v>598</v>
      </c>
      <c r="DR41" s="14" t="s">
        <v>598</v>
      </c>
      <c r="DS41" s="14" t="s">
        <v>598</v>
      </c>
      <c r="DT41" s="14" t="s">
        <v>598</v>
      </c>
      <c r="DU41" s="14" t="s">
        <v>598</v>
      </c>
      <c r="DV41" s="14" t="s">
        <v>598</v>
      </c>
      <c r="DW41" s="14" t="s">
        <v>598</v>
      </c>
      <c r="DX41" s="14" t="s">
        <v>598</v>
      </c>
      <c r="DY41" s="14" t="s">
        <v>598</v>
      </c>
      <c r="DZ41" s="14" t="s">
        <v>598</v>
      </c>
      <c r="EA41" s="14" t="s">
        <v>598</v>
      </c>
      <c r="EB41" s="14" t="s">
        <v>598</v>
      </c>
      <c r="EC41" s="14" t="s">
        <v>598</v>
      </c>
      <c r="ED41" s="14" t="s">
        <v>598</v>
      </c>
      <c r="EE41" s="14" t="s">
        <v>598</v>
      </c>
      <c r="EF41" s="14" t="s">
        <v>598</v>
      </c>
      <c r="EG41" s="14" t="s">
        <v>598</v>
      </c>
      <c r="EH41" s="14" t="s">
        <v>598</v>
      </c>
      <c r="EI41" s="14" t="s">
        <v>598</v>
      </c>
      <c r="EJ41" s="14" t="s">
        <v>598</v>
      </c>
      <c r="EK41" s="14" t="s">
        <v>598</v>
      </c>
      <c r="EL41" s="14" t="s">
        <v>598</v>
      </c>
      <c r="EM41" s="14" t="s">
        <v>598</v>
      </c>
      <c r="EN41" s="14" t="s">
        <v>598</v>
      </c>
      <c r="EO41" s="14" t="s">
        <v>598</v>
      </c>
      <c r="EP41" s="14" t="s">
        <v>598</v>
      </c>
      <c r="EQ41" s="14" t="s">
        <v>598</v>
      </c>
      <c r="ER41" s="14" t="s">
        <v>598</v>
      </c>
      <c r="ES41" s="14" t="s">
        <v>598</v>
      </c>
      <c r="ET41" s="14">
        <v>725</v>
      </c>
      <c r="EZ41" s="14">
        <v>725</v>
      </c>
      <c r="FG41" s="14">
        <v>0</v>
      </c>
      <c r="FH41" s="14">
        <v>100</v>
      </c>
      <c r="FN41" s="14">
        <v>100</v>
      </c>
      <c r="FU41" s="14">
        <v>0</v>
      </c>
      <c r="GB41" s="14">
        <v>0</v>
      </c>
      <c r="GI41" s="14">
        <v>0</v>
      </c>
      <c r="GP41" s="14">
        <v>0</v>
      </c>
      <c r="GQ41" s="14" t="s">
        <v>814</v>
      </c>
      <c r="GR41" s="14">
        <v>675</v>
      </c>
      <c r="GX41" s="14">
        <v>675</v>
      </c>
      <c r="GY41" s="14">
        <v>1500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1500</v>
      </c>
      <c r="HF41" s="14">
        <v>775</v>
      </c>
      <c r="HL41" s="14">
        <v>775</v>
      </c>
      <c r="HS41" s="14">
        <v>0</v>
      </c>
      <c r="HT41" s="14">
        <v>725</v>
      </c>
      <c r="HZ41" s="14">
        <v>725</v>
      </c>
      <c r="IG41" s="14">
        <v>0</v>
      </c>
      <c r="IN41" s="14">
        <v>0</v>
      </c>
      <c r="IO41" s="14">
        <v>1500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1500</v>
      </c>
      <c r="IV41" s="14">
        <v>58</v>
      </c>
      <c r="IZ41" s="14">
        <v>42</v>
      </c>
      <c r="JA41" s="14">
        <v>1</v>
      </c>
      <c r="JB41" s="14">
        <v>2</v>
      </c>
      <c r="JC41" s="14">
        <v>1</v>
      </c>
      <c r="JD41" s="14" t="s">
        <v>600</v>
      </c>
      <c r="JE41" s="14">
        <v>725</v>
      </c>
      <c r="JK41" s="14">
        <v>725</v>
      </c>
      <c r="JR41" s="14">
        <v>0</v>
      </c>
      <c r="JS41" s="14">
        <v>100</v>
      </c>
      <c r="JY41" s="14">
        <v>100</v>
      </c>
      <c r="KF41" s="14">
        <v>0</v>
      </c>
      <c r="KM41" s="14">
        <v>0</v>
      </c>
      <c r="KT41" s="14">
        <v>0</v>
      </c>
      <c r="LA41" s="14">
        <v>0</v>
      </c>
      <c r="LB41" s="14" t="s">
        <v>815</v>
      </c>
      <c r="LC41" s="14">
        <v>675</v>
      </c>
      <c r="LI41" s="14">
        <v>675</v>
      </c>
      <c r="LJ41" s="14">
        <v>1500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1500</v>
      </c>
      <c r="LW41" s="14">
        <v>0</v>
      </c>
      <c r="LX41" s="14">
        <v>775</v>
      </c>
      <c r="MD41" s="14">
        <v>775</v>
      </c>
      <c r="ME41" s="14">
        <v>725</v>
      </c>
      <c r="MK41" s="14">
        <v>725</v>
      </c>
      <c r="MR41" s="14">
        <v>0</v>
      </c>
      <c r="MY41" s="14">
        <v>0</v>
      </c>
      <c r="MZ41" s="14">
        <v>1500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1500</v>
      </c>
      <c r="NG41" s="14" t="s">
        <v>601</v>
      </c>
      <c r="RJ41" s="14" t="s">
        <v>602</v>
      </c>
      <c r="VM41" s="14" t="s">
        <v>603</v>
      </c>
      <c r="ZP41" s="14" t="s">
        <v>604</v>
      </c>
      <c r="ADS41" s="14" t="s">
        <v>605</v>
      </c>
    </row>
    <row r="42" spans="1:799" x14ac:dyDescent="0.25">
      <c r="A42" s="14">
        <v>96</v>
      </c>
      <c r="B42" s="14" t="s">
        <v>590</v>
      </c>
      <c r="C42" s="16">
        <v>42751.05</v>
      </c>
      <c r="D42" s="14" t="s">
        <v>816</v>
      </c>
      <c r="E42" s="14" t="s">
        <v>817</v>
      </c>
      <c r="F42" s="14" t="str">
        <f>VLOOKUP(MID(H42,SEARCH("@",H42,1),LEN(H42)-SEARCH("@",H42,1)+1),[2]Sheet1!$D:$F,3,FALSE)</f>
        <v>M0249</v>
      </c>
      <c r="G42" s="14" t="s">
        <v>807</v>
      </c>
      <c r="H42" s="14" t="s">
        <v>818</v>
      </c>
      <c r="I42" s="14" t="s">
        <v>819</v>
      </c>
      <c r="J42" s="14" t="s">
        <v>624</v>
      </c>
      <c r="K42" s="14" t="s">
        <v>625</v>
      </c>
      <c r="M42" s="14">
        <v>1</v>
      </c>
      <c r="R42" s="14">
        <v>520</v>
      </c>
      <c r="V42" s="14">
        <v>520</v>
      </c>
      <c r="AC42" s="14">
        <v>0</v>
      </c>
      <c r="AJ42" s="14">
        <v>0</v>
      </c>
      <c r="AQ42" s="14">
        <v>0</v>
      </c>
      <c r="AX42" s="14">
        <v>0</v>
      </c>
      <c r="BE42" s="14">
        <v>0</v>
      </c>
      <c r="BF42" s="14">
        <v>0</v>
      </c>
      <c r="BG42" s="14">
        <v>0</v>
      </c>
      <c r="BH42" s="14">
        <v>520</v>
      </c>
      <c r="BI42" s="14">
        <v>0</v>
      </c>
      <c r="BJ42" s="14">
        <v>0</v>
      </c>
      <c r="BK42" s="14">
        <v>0</v>
      </c>
      <c r="BL42" s="14">
        <v>520</v>
      </c>
      <c r="BO42" s="14">
        <v>2</v>
      </c>
      <c r="BS42" s="14">
        <v>2</v>
      </c>
      <c r="BZ42" s="14">
        <v>0</v>
      </c>
      <c r="CG42" s="14">
        <v>0</v>
      </c>
      <c r="CN42" s="14">
        <v>0</v>
      </c>
      <c r="CU42" s="14">
        <v>0</v>
      </c>
      <c r="DB42" s="14">
        <v>0</v>
      </c>
      <c r="DC42" s="14">
        <v>0</v>
      </c>
      <c r="DD42" s="14">
        <v>0</v>
      </c>
      <c r="DE42" s="14">
        <v>2</v>
      </c>
      <c r="DF42" s="14">
        <v>0</v>
      </c>
      <c r="DG42" s="14">
        <v>0</v>
      </c>
      <c r="DH42" s="14">
        <v>0</v>
      </c>
      <c r="DI42" s="14">
        <v>2</v>
      </c>
      <c r="DJ42" s="14" t="s">
        <v>598</v>
      </c>
      <c r="DK42" s="14" t="s">
        <v>598</v>
      </c>
      <c r="DL42" s="14" t="s">
        <v>597</v>
      </c>
      <c r="DM42" s="14" t="s">
        <v>598</v>
      </c>
      <c r="DN42" s="14" t="s">
        <v>598</v>
      </c>
      <c r="DO42" s="14" t="s">
        <v>598</v>
      </c>
      <c r="DP42" s="14" t="s">
        <v>598</v>
      </c>
      <c r="DQ42" s="14" t="s">
        <v>598</v>
      </c>
      <c r="DR42" s="14" t="s">
        <v>598</v>
      </c>
      <c r="DS42" s="14" t="s">
        <v>598</v>
      </c>
      <c r="DT42" s="14" t="s">
        <v>598</v>
      </c>
      <c r="DU42" s="14" t="s">
        <v>598</v>
      </c>
      <c r="DV42" s="14" t="s">
        <v>598</v>
      </c>
      <c r="DW42" s="14" t="s">
        <v>598</v>
      </c>
      <c r="DX42" s="14" t="s">
        <v>598</v>
      </c>
      <c r="DY42" s="14" t="s">
        <v>598</v>
      </c>
      <c r="DZ42" s="14" t="s">
        <v>598</v>
      </c>
      <c r="EA42" s="14" t="s">
        <v>598</v>
      </c>
      <c r="EB42" s="14" t="s">
        <v>598</v>
      </c>
      <c r="EC42" s="14" t="s">
        <v>598</v>
      </c>
      <c r="ED42" s="14" t="s">
        <v>598</v>
      </c>
      <c r="EE42" s="14" t="s">
        <v>598</v>
      </c>
      <c r="EF42" s="14" t="s">
        <v>598</v>
      </c>
      <c r="EG42" s="14" t="s">
        <v>598</v>
      </c>
      <c r="EH42" s="14" t="s">
        <v>598</v>
      </c>
      <c r="EI42" s="14" t="s">
        <v>598</v>
      </c>
      <c r="EJ42" s="14" t="s">
        <v>598</v>
      </c>
      <c r="EK42" s="14" t="s">
        <v>598</v>
      </c>
      <c r="EL42" s="14" t="s">
        <v>598</v>
      </c>
      <c r="EM42" s="14" t="s">
        <v>598</v>
      </c>
      <c r="EN42" s="14" t="s">
        <v>598</v>
      </c>
      <c r="EO42" s="14" t="s">
        <v>598</v>
      </c>
      <c r="EP42" s="14" t="s">
        <v>598</v>
      </c>
      <c r="EQ42" s="14" t="s">
        <v>598</v>
      </c>
      <c r="ER42" s="14" t="s">
        <v>598</v>
      </c>
      <c r="ES42" s="14" t="s">
        <v>598</v>
      </c>
      <c r="EV42" s="14">
        <v>503</v>
      </c>
      <c r="EZ42" s="14">
        <v>503</v>
      </c>
      <c r="FG42" s="14">
        <v>0</v>
      </c>
      <c r="FN42" s="14">
        <v>0</v>
      </c>
      <c r="FU42" s="14">
        <v>0</v>
      </c>
      <c r="GB42" s="14">
        <v>0</v>
      </c>
      <c r="GI42" s="14">
        <v>0</v>
      </c>
      <c r="GL42" s="14">
        <v>17</v>
      </c>
      <c r="GP42" s="14">
        <v>17</v>
      </c>
      <c r="GX42" s="14">
        <v>0</v>
      </c>
      <c r="GY42" s="14">
        <v>0</v>
      </c>
      <c r="GZ42" s="14">
        <v>0</v>
      </c>
      <c r="HA42" s="14">
        <v>520</v>
      </c>
      <c r="HB42" s="14">
        <v>0</v>
      </c>
      <c r="HC42" s="14">
        <v>0</v>
      </c>
      <c r="HD42" s="14">
        <v>0</v>
      </c>
      <c r="HE42" s="14">
        <v>520</v>
      </c>
      <c r="HH42" s="14">
        <v>505</v>
      </c>
      <c r="HL42" s="14">
        <v>505</v>
      </c>
      <c r="HO42" s="14">
        <v>15</v>
      </c>
      <c r="HS42" s="14">
        <v>15</v>
      </c>
      <c r="HZ42" s="14">
        <v>0</v>
      </c>
      <c r="IG42" s="14">
        <v>0</v>
      </c>
      <c r="IN42" s="14">
        <v>0</v>
      </c>
      <c r="IO42" s="14">
        <v>0</v>
      </c>
      <c r="IP42" s="14">
        <v>0</v>
      </c>
      <c r="IQ42" s="14">
        <v>520</v>
      </c>
      <c r="IR42" s="14">
        <v>0</v>
      </c>
      <c r="IS42" s="14">
        <v>0</v>
      </c>
      <c r="IT42" s="14">
        <v>0</v>
      </c>
      <c r="IU42" s="14">
        <v>520</v>
      </c>
      <c r="IX42" s="14">
        <v>100</v>
      </c>
      <c r="JA42" s="14">
        <v>1</v>
      </c>
      <c r="JB42" s="14">
        <v>2</v>
      </c>
      <c r="JC42" s="14">
        <v>1</v>
      </c>
      <c r="JD42" s="14" t="s">
        <v>600</v>
      </c>
      <c r="JG42" s="14">
        <v>503</v>
      </c>
      <c r="JK42" s="14">
        <v>503</v>
      </c>
      <c r="JR42" s="14">
        <v>0</v>
      </c>
      <c r="JY42" s="14">
        <v>0</v>
      </c>
      <c r="KF42" s="14">
        <v>0</v>
      </c>
      <c r="KM42" s="14">
        <v>0</v>
      </c>
      <c r="KT42" s="14">
        <v>0</v>
      </c>
      <c r="KW42" s="14">
        <v>17</v>
      </c>
      <c r="LA42" s="14">
        <v>17</v>
      </c>
      <c r="LI42" s="14">
        <v>0</v>
      </c>
      <c r="LJ42" s="14">
        <v>0</v>
      </c>
      <c r="LK42" s="14">
        <v>0</v>
      </c>
      <c r="LL42" s="14">
        <v>520</v>
      </c>
      <c r="LM42" s="14">
        <v>0</v>
      </c>
      <c r="LN42" s="14">
        <v>0</v>
      </c>
      <c r="LO42" s="14">
        <v>0</v>
      </c>
      <c r="LP42" s="14">
        <v>520</v>
      </c>
      <c r="LS42" s="14">
        <v>15</v>
      </c>
      <c r="LW42" s="14">
        <v>15</v>
      </c>
      <c r="LZ42" s="14">
        <v>505</v>
      </c>
      <c r="MD42" s="14">
        <v>505</v>
      </c>
      <c r="MK42" s="14">
        <v>0</v>
      </c>
      <c r="MR42" s="14">
        <v>0</v>
      </c>
      <c r="MY42" s="14">
        <v>0</v>
      </c>
      <c r="MZ42" s="14">
        <v>0</v>
      </c>
      <c r="NA42" s="14">
        <v>0</v>
      </c>
      <c r="NB42" s="14">
        <v>520</v>
      </c>
      <c r="NC42" s="14">
        <v>0</v>
      </c>
      <c r="ND42" s="14">
        <v>0</v>
      </c>
      <c r="NE42" s="14">
        <v>0</v>
      </c>
      <c r="NF42" s="14">
        <v>520</v>
      </c>
      <c r="NG42" s="14" t="s">
        <v>601</v>
      </c>
      <c r="RJ42" s="14" t="s">
        <v>602</v>
      </c>
      <c r="VM42" s="14" t="s">
        <v>603</v>
      </c>
      <c r="ZP42" s="14" t="s">
        <v>604</v>
      </c>
      <c r="ADS42" s="14" t="s">
        <v>605</v>
      </c>
    </row>
    <row r="43" spans="1:799" x14ac:dyDescent="0.25">
      <c r="A43" s="14">
        <v>231</v>
      </c>
      <c r="B43" s="14" t="s">
        <v>590</v>
      </c>
      <c r="C43" s="16">
        <v>42780</v>
      </c>
      <c r="D43" s="14" t="s">
        <v>820</v>
      </c>
      <c r="E43" s="14" t="s">
        <v>738</v>
      </c>
      <c r="F43" s="14" t="str">
        <f>VLOOKUP(MID(H43,SEARCH("@",H43,1),LEN(H43)-SEARCH("@",H43,1)+1),[2]Sheet1!$D:$F,3,FALSE)</f>
        <v>M0007</v>
      </c>
      <c r="G43" s="14" t="s">
        <v>821</v>
      </c>
      <c r="H43" s="14" t="s">
        <v>822</v>
      </c>
      <c r="I43" s="14">
        <v>-8851</v>
      </c>
      <c r="J43" s="14" t="s">
        <v>738</v>
      </c>
      <c r="K43" s="14" t="s">
        <v>739</v>
      </c>
      <c r="M43" s="14">
        <v>1</v>
      </c>
      <c r="P43" s="14">
        <v>184246</v>
      </c>
      <c r="Q43" s="14">
        <v>38200</v>
      </c>
      <c r="R43" s="14">
        <v>5180</v>
      </c>
      <c r="S43" s="14">
        <v>2230</v>
      </c>
      <c r="T43" s="14">
        <v>0</v>
      </c>
      <c r="U43" s="14">
        <v>20878</v>
      </c>
      <c r="V43" s="14">
        <v>250734</v>
      </c>
      <c r="AC43" s="14">
        <v>0</v>
      </c>
      <c r="AJ43" s="14">
        <v>0</v>
      </c>
      <c r="AQ43" s="14">
        <v>0</v>
      </c>
      <c r="AX43" s="14">
        <v>0</v>
      </c>
      <c r="BE43" s="14">
        <v>0</v>
      </c>
      <c r="BF43" s="14">
        <v>184246</v>
      </c>
      <c r="BG43" s="14">
        <v>38200</v>
      </c>
      <c r="BH43" s="14">
        <v>5180</v>
      </c>
      <c r="BI43" s="14">
        <v>2230</v>
      </c>
      <c r="BJ43" s="14">
        <v>0</v>
      </c>
      <c r="BK43" s="14">
        <v>20878</v>
      </c>
      <c r="BL43" s="14">
        <v>250734</v>
      </c>
      <c r="BM43" s="14">
        <v>1</v>
      </c>
      <c r="BN43" s="14">
        <v>1</v>
      </c>
      <c r="BO43" s="14">
        <v>2</v>
      </c>
      <c r="BP43" s="14">
        <v>1</v>
      </c>
      <c r="BR43" s="14">
        <v>3</v>
      </c>
      <c r="BS43" s="14">
        <v>8</v>
      </c>
      <c r="BZ43" s="14">
        <v>0</v>
      </c>
      <c r="CG43" s="14">
        <v>0</v>
      </c>
      <c r="CN43" s="14">
        <v>0</v>
      </c>
      <c r="CU43" s="14">
        <v>0</v>
      </c>
      <c r="DB43" s="14">
        <v>0</v>
      </c>
      <c r="DC43" s="14">
        <v>1</v>
      </c>
      <c r="DD43" s="14">
        <v>1</v>
      </c>
      <c r="DE43" s="14">
        <v>2</v>
      </c>
      <c r="DF43" s="14">
        <v>1</v>
      </c>
      <c r="DG43" s="14">
        <v>0</v>
      </c>
      <c r="DH43" s="14">
        <v>3</v>
      </c>
      <c r="DI43" s="14">
        <v>8</v>
      </c>
      <c r="DJ43" s="14" t="s">
        <v>597</v>
      </c>
      <c r="DK43" s="14" t="s">
        <v>597</v>
      </c>
      <c r="DL43" s="14" t="s">
        <v>597</v>
      </c>
      <c r="DM43" s="14" t="s">
        <v>597</v>
      </c>
      <c r="DN43" s="14" t="s">
        <v>598</v>
      </c>
      <c r="DO43" s="14" t="s">
        <v>597</v>
      </c>
      <c r="DP43" s="14" t="s">
        <v>598</v>
      </c>
      <c r="DQ43" s="14" t="s">
        <v>598</v>
      </c>
      <c r="DR43" s="14" t="s">
        <v>598</v>
      </c>
      <c r="DS43" s="14" t="s">
        <v>598</v>
      </c>
      <c r="DT43" s="14" t="s">
        <v>598</v>
      </c>
      <c r="DU43" s="14" t="s">
        <v>598</v>
      </c>
      <c r="DV43" s="14" t="s">
        <v>598</v>
      </c>
      <c r="DW43" s="14" t="s">
        <v>598</v>
      </c>
      <c r="DX43" s="14" t="s">
        <v>598</v>
      </c>
      <c r="DY43" s="14" t="s">
        <v>598</v>
      </c>
      <c r="DZ43" s="14" t="s">
        <v>598</v>
      </c>
      <c r="EA43" s="14" t="s">
        <v>598</v>
      </c>
      <c r="EB43" s="14" t="s">
        <v>598</v>
      </c>
      <c r="EC43" s="14" t="s">
        <v>598</v>
      </c>
      <c r="ED43" s="14" t="s">
        <v>598</v>
      </c>
      <c r="EE43" s="14" t="s">
        <v>598</v>
      </c>
      <c r="EF43" s="14" t="s">
        <v>598</v>
      </c>
      <c r="EG43" s="14" t="s">
        <v>598</v>
      </c>
      <c r="EH43" s="14" t="s">
        <v>598</v>
      </c>
      <c r="EI43" s="14" t="s">
        <v>598</v>
      </c>
      <c r="EJ43" s="14" t="s">
        <v>598</v>
      </c>
      <c r="EK43" s="14" t="s">
        <v>598</v>
      </c>
      <c r="EL43" s="14" t="s">
        <v>598</v>
      </c>
      <c r="EM43" s="14" t="s">
        <v>598</v>
      </c>
      <c r="EN43" s="14" t="s">
        <v>598</v>
      </c>
      <c r="EO43" s="14" t="s">
        <v>598</v>
      </c>
      <c r="EP43" s="14" t="s">
        <v>598</v>
      </c>
      <c r="EQ43" s="14" t="s">
        <v>598</v>
      </c>
      <c r="ER43" s="14" t="s">
        <v>598</v>
      </c>
      <c r="ES43" s="14" t="s">
        <v>598</v>
      </c>
      <c r="ET43" s="14">
        <v>27637</v>
      </c>
      <c r="EY43" s="14">
        <v>5158</v>
      </c>
      <c r="EZ43" s="14">
        <v>32795</v>
      </c>
      <c r="FF43" s="14">
        <v>1205</v>
      </c>
      <c r="FG43" s="14">
        <v>1205</v>
      </c>
      <c r="FK43" s="14">
        <v>1784</v>
      </c>
      <c r="FN43" s="14">
        <v>1784</v>
      </c>
      <c r="FU43" s="14">
        <v>0</v>
      </c>
      <c r="GB43" s="14">
        <v>0</v>
      </c>
      <c r="GI43" s="14">
        <v>0</v>
      </c>
      <c r="GP43" s="14">
        <v>0</v>
      </c>
      <c r="GR43" s="14">
        <v>156609</v>
      </c>
      <c r="GS43" s="14">
        <v>38200</v>
      </c>
      <c r="GT43" s="14">
        <v>5180</v>
      </c>
      <c r="GU43" s="14">
        <v>446</v>
      </c>
      <c r="GW43" s="14">
        <v>14515</v>
      </c>
      <c r="GX43" s="14">
        <v>214950</v>
      </c>
      <c r="GY43" s="14">
        <v>184246</v>
      </c>
      <c r="GZ43" s="14">
        <v>38200</v>
      </c>
      <c r="HA43" s="14">
        <v>5180</v>
      </c>
      <c r="HB43" s="14">
        <v>2230</v>
      </c>
      <c r="HC43" s="14">
        <v>0</v>
      </c>
      <c r="HD43" s="14">
        <v>20878</v>
      </c>
      <c r="HE43" s="14">
        <v>250734</v>
      </c>
      <c r="HF43" s="14">
        <v>184264</v>
      </c>
      <c r="HG43" s="14">
        <v>38200</v>
      </c>
      <c r="HH43" s="14">
        <v>5180</v>
      </c>
      <c r="HI43" s="14">
        <v>2230</v>
      </c>
      <c r="HK43" s="14">
        <v>20878</v>
      </c>
      <c r="HL43" s="14">
        <v>250752</v>
      </c>
      <c r="HS43" s="14">
        <v>0</v>
      </c>
      <c r="HZ43" s="14">
        <v>0</v>
      </c>
      <c r="IG43" s="14">
        <v>0</v>
      </c>
      <c r="IN43" s="14">
        <v>0</v>
      </c>
      <c r="IO43" s="14">
        <v>184264</v>
      </c>
      <c r="IP43" s="14">
        <v>38200</v>
      </c>
      <c r="IQ43" s="14">
        <v>5180</v>
      </c>
      <c r="IR43" s="14">
        <v>2230</v>
      </c>
      <c r="IS43" s="14">
        <v>0</v>
      </c>
      <c r="IT43" s="14">
        <v>20878</v>
      </c>
      <c r="IU43" s="14">
        <v>250752</v>
      </c>
      <c r="IV43" s="14">
        <v>77</v>
      </c>
      <c r="IX43" s="14">
        <v>23</v>
      </c>
      <c r="JA43" s="14">
        <v>1</v>
      </c>
      <c r="JB43" s="14">
        <v>3</v>
      </c>
      <c r="JC43" s="14">
        <v>1</v>
      </c>
      <c r="JD43" s="14" t="s">
        <v>600</v>
      </c>
      <c r="JE43" s="14">
        <v>27637</v>
      </c>
      <c r="JJ43" s="14">
        <v>5158</v>
      </c>
      <c r="JK43" s="14">
        <v>32795</v>
      </c>
      <c r="JQ43" s="14">
        <v>1205</v>
      </c>
      <c r="JR43" s="14">
        <v>1205</v>
      </c>
      <c r="JV43" s="14">
        <v>1784</v>
      </c>
      <c r="JY43" s="14">
        <v>1784</v>
      </c>
      <c r="KF43" s="14">
        <v>0</v>
      </c>
      <c r="KM43" s="14">
        <v>0</v>
      </c>
      <c r="KT43" s="14">
        <v>0</v>
      </c>
      <c r="LA43" s="14">
        <v>0</v>
      </c>
      <c r="LC43" s="14">
        <v>156609</v>
      </c>
      <c r="LD43" s="14">
        <v>38200</v>
      </c>
      <c r="LE43" s="14">
        <v>5180</v>
      </c>
      <c r="LF43" s="14">
        <v>446</v>
      </c>
      <c r="LH43" s="14">
        <v>14515</v>
      </c>
      <c r="LI43" s="14">
        <v>214950</v>
      </c>
      <c r="LJ43" s="14">
        <v>184246</v>
      </c>
      <c r="LK43" s="14">
        <v>38200</v>
      </c>
      <c r="LL43" s="14">
        <v>5180</v>
      </c>
      <c r="LM43" s="14">
        <v>2230</v>
      </c>
      <c r="LN43" s="14">
        <v>0</v>
      </c>
      <c r="LO43" s="14">
        <v>20878</v>
      </c>
      <c r="LP43" s="14">
        <v>250734</v>
      </c>
      <c r="LW43" s="14">
        <v>0</v>
      </c>
      <c r="LX43" s="14">
        <v>18246</v>
      </c>
      <c r="LY43" s="14">
        <v>38200</v>
      </c>
      <c r="LZ43" s="14">
        <v>5180</v>
      </c>
      <c r="MA43" s="14">
        <v>2230</v>
      </c>
      <c r="MC43" s="14">
        <v>20878</v>
      </c>
      <c r="MD43" s="14">
        <v>84734</v>
      </c>
      <c r="MK43" s="14">
        <v>0</v>
      </c>
      <c r="MR43" s="14">
        <v>0</v>
      </c>
      <c r="MY43" s="14">
        <v>0</v>
      </c>
      <c r="MZ43" s="14">
        <v>18246</v>
      </c>
      <c r="NA43" s="14">
        <v>38200</v>
      </c>
      <c r="NB43" s="14">
        <v>5180</v>
      </c>
      <c r="NC43" s="14">
        <v>2230</v>
      </c>
      <c r="ND43" s="14">
        <v>0</v>
      </c>
      <c r="NE43" s="14">
        <v>20878</v>
      </c>
      <c r="NF43" s="14">
        <v>84734</v>
      </c>
      <c r="NG43" s="14" t="s">
        <v>601</v>
      </c>
      <c r="RJ43" s="14" t="s">
        <v>602</v>
      </c>
      <c r="VM43" s="14" t="s">
        <v>603</v>
      </c>
      <c r="ZP43" s="14" t="s">
        <v>604</v>
      </c>
      <c r="ADS43" s="14" t="s">
        <v>605</v>
      </c>
    </row>
    <row r="44" spans="1:799" x14ac:dyDescent="0.25">
      <c r="A44" s="14">
        <v>120</v>
      </c>
      <c r="B44" s="14" t="s">
        <v>590</v>
      </c>
      <c r="C44" s="16">
        <v>42761.040972222225</v>
      </c>
      <c r="D44" s="14" t="s">
        <v>823</v>
      </c>
      <c r="E44" s="14" t="s">
        <v>824</v>
      </c>
      <c r="F44" s="14" t="str">
        <f>VLOOKUP(MID(H44,SEARCH("@",H44,1),LEN(H44)-SEARCH("@",H44,1)+1),[2]Sheet1!$D:$F,3,FALSE)</f>
        <v>M0235</v>
      </c>
      <c r="G44" s="14" t="s">
        <v>825</v>
      </c>
      <c r="H44" s="14" t="s">
        <v>826</v>
      </c>
      <c r="I44" s="14" t="s">
        <v>827</v>
      </c>
      <c r="J44" s="14" t="s">
        <v>738</v>
      </c>
      <c r="K44" s="14" t="s">
        <v>739</v>
      </c>
      <c r="M44" s="14">
        <v>2</v>
      </c>
      <c r="N44" s="14">
        <v>6</v>
      </c>
      <c r="O44" s="14" t="s">
        <v>828</v>
      </c>
      <c r="V44" s="14">
        <v>0</v>
      </c>
      <c r="AC44" s="14">
        <v>0</v>
      </c>
      <c r="AJ44" s="14">
        <v>0</v>
      </c>
      <c r="AQ44" s="14">
        <v>0</v>
      </c>
      <c r="AX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S44" s="14">
        <v>0</v>
      </c>
      <c r="BZ44" s="14">
        <v>0</v>
      </c>
      <c r="CG44" s="14">
        <v>0</v>
      </c>
      <c r="CN44" s="14">
        <v>0</v>
      </c>
      <c r="CU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 t="s">
        <v>598</v>
      </c>
      <c r="DK44" s="14" t="s">
        <v>598</v>
      </c>
      <c r="DL44" s="14" t="s">
        <v>598</v>
      </c>
      <c r="DM44" s="14" t="s">
        <v>598</v>
      </c>
      <c r="DN44" s="14" t="s">
        <v>598</v>
      </c>
      <c r="DO44" s="14" t="s">
        <v>598</v>
      </c>
      <c r="DP44" s="14" t="s">
        <v>598</v>
      </c>
      <c r="DQ44" s="14" t="s">
        <v>598</v>
      </c>
      <c r="DR44" s="14" t="s">
        <v>598</v>
      </c>
      <c r="DS44" s="14" t="s">
        <v>598</v>
      </c>
      <c r="DT44" s="14" t="s">
        <v>598</v>
      </c>
      <c r="DU44" s="14" t="s">
        <v>598</v>
      </c>
      <c r="DV44" s="14" t="s">
        <v>598</v>
      </c>
      <c r="DW44" s="14" t="s">
        <v>598</v>
      </c>
      <c r="DX44" s="14" t="s">
        <v>598</v>
      </c>
      <c r="DY44" s="14" t="s">
        <v>598</v>
      </c>
      <c r="DZ44" s="14" t="s">
        <v>598</v>
      </c>
      <c r="EA44" s="14" t="s">
        <v>598</v>
      </c>
      <c r="EB44" s="14" t="s">
        <v>598</v>
      </c>
      <c r="EC44" s="14" t="s">
        <v>598</v>
      </c>
      <c r="ED44" s="14" t="s">
        <v>598</v>
      </c>
      <c r="EE44" s="14" t="s">
        <v>598</v>
      </c>
      <c r="EF44" s="14" t="s">
        <v>598</v>
      </c>
      <c r="EG44" s="14" t="s">
        <v>598</v>
      </c>
      <c r="EH44" s="14" t="s">
        <v>598</v>
      </c>
      <c r="EI44" s="14" t="s">
        <v>598</v>
      </c>
      <c r="EJ44" s="14" t="s">
        <v>598</v>
      </c>
      <c r="EK44" s="14" t="s">
        <v>598</v>
      </c>
      <c r="EL44" s="14" t="s">
        <v>598</v>
      </c>
      <c r="EM44" s="14" t="s">
        <v>598</v>
      </c>
      <c r="EN44" s="14" t="s">
        <v>598</v>
      </c>
      <c r="EO44" s="14" t="s">
        <v>598</v>
      </c>
      <c r="EP44" s="14" t="s">
        <v>598</v>
      </c>
      <c r="EQ44" s="14" t="s">
        <v>598</v>
      </c>
      <c r="ER44" s="14" t="s">
        <v>598</v>
      </c>
      <c r="ES44" s="14" t="s">
        <v>598</v>
      </c>
      <c r="EZ44" s="14">
        <v>0</v>
      </c>
      <c r="FG44" s="14">
        <v>0</v>
      </c>
      <c r="FN44" s="14">
        <v>0</v>
      </c>
      <c r="FU44" s="14">
        <v>0</v>
      </c>
      <c r="GB44" s="14">
        <v>0</v>
      </c>
      <c r="GI44" s="14">
        <v>0</v>
      </c>
      <c r="GP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L44" s="14">
        <v>0</v>
      </c>
      <c r="HS44" s="14">
        <v>0</v>
      </c>
      <c r="HZ44" s="14">
        <v>0</v>
      </c>
      <c r="IG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JA44" s="14">
        <v>1</v>
      </c>
      <c r="JB44" s="14">
        <v>3</v>
      </c>
      <c r="JC44" s="14">
        <v>1</v>
      </c>
      <c r="JD44" s="14" t="s">
        <v>600</v>
      </c>
      <c r="NG44" s="14" t="s">
        <v>601</v>
      </c>
      <c r="RJ44" s="14" t="s">
        <v>602</v>
      </c>
      <c r="VM44" s="14" t="s">
        <v>603</v>
      </c>
      <c r="ZP44" s="14" t="s">
        <v>604</v>
      </c>
      <c r="ADS44" s="14" t="s">
        <v>605</v>
      </c>
    </row>
    <row r="45" spans="1:799" x14ac:dyDescent="0.25">
      <c r="A45" s="14">
        <v>118</v>
      </c>
      <c r="B45" s="14" t="s">
        <v>590</v>
      </c>
      <c r="C45" s="16">
        <v>42760.336805555555</v>
      </c>
      <c r="D45" s="14" t="s">
        <v>829</v>
      </c>
      <c r="E45" s="14" t="s">
        <v>830</v>
      </c>
      <c r="F45" s="14" t="str">
        <f>VLOOKUP(MID(H45,SEARCH("@",H45,1),LEN(H45)-SEARCH("@",H45,1)+1),[2]Sheet1!$D:$F,3,FALSE)</f>
        <v>M0128</v>
      </c>
      <c r="G45" s="14" t="s">
        <v>831</v>
      </c>
      <c r="H45" s="14" t="s">
        <v>832</v>
      </c>
      <c r="I45" s="14">
        <v>85297392141</v>
      </c>
      <c r="J45" s="14" t="s">
        <v>659</v>
      </c>
      <c r="K45" s="14" t="s">
        <v>833</v>
      </c>
      <c r="M45" s="14">
        <v>1</v>
      </c>
      <c r="P45" s="14">
        <v>811</v>
      </c>
      <c r="V45" s="14">
        <v>811</v>
      </c>
      <c r="AC45" s="14">
        <v>0</v>
      </c>
      <c r="AJ45" s="14">
        <v>0</v>
      </c>
      <c r="AQ45" s="14">
        <v>0</v>
      </c>
      <c r="AX45" s="14">
        <v>0</v>
      </c>
      <c r="BE45" s="14">
        <v>0</v>
      </c>
      <c r="BF45" s="14">
        <v>811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811</v>
      </c>
      <c r="BM45" s="14">
        <v>1</v>
      </c>
      <c r="BS45" s="14">
        <v>1</v>
      </c>
      <c r="BZ45" s="14">
        <v>0</v>
      </c>
      <c r="CG45" s="14">
        <v>0</v>
      </c>
      <c r="CN45" s="14">
        <v>0</v>
      </c>
      <c r="CU45" s="14">
        <v>0</v>
      </c>
      <c r="DB45" s="14">
        <v>0</v>
      </c>
      <c r="DC45" s="14">
        <v>1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1</v>
      </c>
      <c r="DJ45" s="14" t="s">
        <v>597</v>
      </c>
      <c r="DK45" s="14" t="s">
        <v>598</v>
      </c>
      <c r="DL45" s="14" t="s">
        <v>598</v>
      </c>
      <c r="DM45" s="14" t="s">
        <v>598</v>
      </c>
      <c r="DN45" s="14" t="s">
        <v>598</v>
      </c>
      <c r="DO45" s="14" t="s">
        <v>598</v>
      </c>
      <c r="DP45" s="14" t="s">
        <v>598</v>
      </c>
      <c r="DQ45" s="14" t="s">
        <v>598</v>
      </c>
      <c r="DR45" s="14" t="s">
        <v>598</v>
      </c>
      <c r="DS45" s="14" t="s">
        <v>598</v>
      </c>
      <c r="DT45" s="14" t="s">
        <v>598</v>
      </c>
      <c r="DU45" s="14" t="s">
        <v>598</v>
      </c>
      <c r="DV45" s="14" t="s">
        <v>598</v>
      </c>
      <c r="DW45" s="14" t="s">
        <v>598</v>
      </c>
      <c r="DX45" s="14" t="s">
        <v>598</v>
      </c>
      <c r="DY45" s="14" t="s">
        <v>598</v>
      </c>
      <c r="DZ45" s="14" t="s">
        <v>598</v>
      </c>
      <c r="EA45" s="14" t="s">
        <v>598</v>
      </c>
      <c r="EB45" s="14" t="s">
        <v>598</v>
      </c>
      <c r="EC45" s="14" t="s">
        <v>598</v>
      </c>
      <c r="ED45" s="14" t="s">
        <v>598</v>
      </c>
      <c r="EE45" s="14" t="s">
        <v>598</v>
      </c>
      <c r="EF45" s="14" t="s">
        <v>598</v>
      </c>
      <c r="EG45" s="14" t="s">
        <v>598</v>
      </c>
      <c r="EH45" s="14" t="s">
        <v>598</v>
      </c>
      <c r="EI45" s="14" t="s">
        <v>598</v>
      </c>
      <c r="EJ45" s="14" t="s">
        <v>598</v>
      </c>
      <c r="EK45" s="14" t="s">
        <v>598</v>
      </c>
      <c r="EL45" s="14" t="s">
        <v>598</v>
      </c>
      <c r="EM45" s="14" t="s">
        <v>598</v>
      </c>
      <c r="EN45" s="14" t="s">
        <v>598</v>
      </c>
      <c r="EO45" s="14" t="s">
        <v>598</v>
      </c>
      <c r="EP45" s="14" t="s">
        <v>598</v>
      </c>
      <c r="EQ45" s="14" t="s">
        <v>598</v>
      </c>
      <c r="ER45" s="14" t="s">
        <v>598</v>
      </c>
      <c r="ES45" s="14" t="s">
        <v>598</v>
      </c>
      <c r="ET45" s="14">
        <v>711</v>
      </c>
      <c r="EZ45" s="14">
        <v>711</v>
      </c>
      <c r="FG45" s="14">
        <v>0</v>
      </c>
      <c r="FN45" s="14">
        <v>0</v>
      </c>
      <c r="FU45" s="14">
        <v>0</v>
      </c>
      <c r="GB45" s="14">
        <v>0</v>
      </c>
      <c r="GI45" s="14">
        <v>0</v>
      </c>
      <c r="GJ45" s="14">
        <v>100</v>
      </c>
      <c r="GP45" s="14">
        <v>100</v>
      </c>
      <c r="GX45" s="14">
        <v>0</v>
      </c>
      <c r="GY45" s="14">
        <v>811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811</v>
      </c>
      <c r="HL45" s="14">
        <v>0</v>
      </c>
      <c r="HM45" s="14">
        <v>811</v>
      </c>
      <c r="HS45" s="14">
        <v>811</v>
      </c>
      <c r="HZ45" s="14">
        <v>0</v>
      </c>
      <c r="IG45" s="14">
        <v>0</v>
      </c>
      <c r="IN45" s="14">
        <v>0</v>
      </c>
      <c r="IO45" s="14">
        <v>811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811</v>
      </c>
      <c r="IV45" s="14">
        <v>100</v>
      </c>
      <c r="JA45" s="14">
        <v>2</v>
      </c>
      <c r="JB45" s="14">
        <v>2</v>
      </c>
      <c r="JC45" s="14">
        <v>1</v>
      </c>
      <c r="JD45" s="14" t="s">
        <v>600</v>
      </c>
      <c r="JE45" s="14">
        <v>811</v>
      </c>
      <c r="JK45" s="14">
        <v>811</v>
      </c>
      <c r="JR45" s="14">
        <v>0</v>
      </c>
      <c r="JY45" s="14">
        <v>0</v>
      </c>
      <c r="KF45" s="14">
        <v>0</v>
      </c>
      <c r="KM45" s="14">
        <v>0</v>
      </c>
      <c r="KT45" s="14">
        <v>0</v>
      </c>
      <c r="LA45" s="14">
        <v>0</v>
      </c>
      <c r="LI45" s="14">
        <v>0</v>
      </c>
      <c r="LJ45" s="14">
        <v>811</v>
      </c>
      <c r="LK45" s="14">
        <v>0</v>
      </c>
      <c r="LL45" s="14">
        <v>0</v>
      </c>
      <c r="LM45" s="14">
        <v>0</v>
      </c>
      <c r="LN45" s="14">
        <v>0</v>
      </c>
      <c r="LO45" s="14">
        <v>0</v>
      </c>
      <c r="LP45" s="14">
        <v>811</v>
      </c>
      <c r="LQ45" s="14">
        <v>811</v>
      </c>
      <c r="LW45" s="14">
        <v>811</v>
      </c>
      <c r="MD45" s="14">
        <v>0</v>
      </c>
      <c r="MK45" s="14">
        <v>0</v>
      </c>
      <c r="MR45" s="14">
        <v>0</v>
      </c>
      <c r="MY45" s="14">
        <v>0</v>
      </c>
      <c r="MZ45" s="14">
        <v>811</v>
      </c>
      <c r="NA45" s="14">
        <v>0</v>
      </c>
      <c r="NB45" s="14">
        <v>0</v>
      </c>
      <c r="NC45" s="14">
        <v>0</v>
      </c>
      <c r="ND45" s="14">
        <v>0</v>
      </c>
      <c r="NE45" s="14">
        <v>0</v>
      </c>
      <c r="NF45" s="14">
        <v>811</v>
      </c>
      <c r="NG45" s="14" t="s">
        <v>601</v>
      </c>
      <c r="RJ45" s="14" t="s">
        <v>602</v>
      </c>
      <c r="VM45" s="14" t="s">
        <v>603</v>
      </c>
      <c r="ZP45" s="14" t="s">
        <v>604</v>
      </c>
      <c r="ADS45" s="14" t="s">
        <v>605</v>
      </c>
    </row>
    <row r="46" spans="1:799" x14ac:dyDescent="0.25">
      <c r="A46" s="14">
        <v>241</v>
      </c>
      <c r="B46" s="14" t="s">
        <v>590</v>
      </c>
      <c r="C46" s="16">
        <v>42780</v>
      </c>
      <c r="D46" s="14" t="s">
        <v>834</v>
      </c>
      <c r="E46" s="14" t="s">
        <v>835</v>
      </c>
      <c r="F46" s="14" t="str">
        <f>VLOOKUP(MID(H46,SEARCH("@",H46,1),LEN(H46)-SEARCH("@",H46,1)+1),[2]Sheet1!$D:$F,3,FALSE)</f>
        <v>M0230</v>
      </c>
      <c r="G46" s="14" t="s">
        <v>836</v>
      </c>
      <c r="H46" s="14" t="s">
        <v>837</v>
      </c>
      <c r="I46" s="14" t="s">
        <v>838</v>
      </c>
      <c r="J46" s="14" t="s">
        <v>738</v>
      </c>
      <c r="K46" s="14" t="s">
        <v>739</v>
      </c>
      <c r="M46" s="14">
        <v>1</v>
      </c>
      <c r="P46" s="14">
        <v>100</v>
      </c>
      <c r="Q46" s="14">
        <v>300</v>
      </c>
      <c r="V46" s="14">
        <v>400</v>
      </c>
      <c r="AC46" s="14">
        <v>0</v>
      </c>
      <c r="AJ46" s="14">
        <v>0</v>
      </c>
      <c r="AQ46" s="14">
        <v>0</v>
      </c>
      <c r="AX46" s="14">
        <v>0</v>
      </c>
      <c r="BE46" s="14">
        <v>0</v>
      </c>
      <c r="BF46" s="14">
        <v>100</v>
      </c>
      <c r="BG46" s="14">
        <v>300</v>
      </c>
      <c r="BH46" s="14">
        <v>0</v>
      </c>
      <c r="BI46" s="14">
        <v>0</v>
      </c>
      <c r="BJ46" s="14">
        <v>0</v>
      </c>
      <c r="BK46" s="14">
        <v>0</v>
      </c>
      <c r="BL46" s="14">
        <v>400</v>
      </c>
      <c r="BM46" s="14">
        <v>2</v>
      </c>
      <c r="BN46" s="14">
        <v>3</v>
      </c>
      <c r="BS46" s="14">
        <v>5</v>
      </c>
      <c r="BZ46" s="14">
        <v>0</v>
      </c>
      <c r="CG46" s="14">
        <v>0</v>
      </c>
      <c r="CN46" s="14">
        <v>0</v>
      </c>
      <c r="CU46" s="14">
        <v>0</v>
      </c>
      <c r="DB46" s="14">
        <v>0</v>
      </c>
      <c r="DC46" s="14">
        <v>2</v>
      </c>
      <c r="DD46" s="14">
        <v>3</v>
      </c>
      <c r="DE46" s="14">
        <v>0</v>
      </c>
      <c r="DF46" s="14">
        <v>0</v>
      </c>
      <c r="DG46" s="14">
        <v>0</v>
      </c>
      <c r="DH46" s="14">
        <v>0</v>
      </c>
      <c r="DI46" s="14">
        <v>5</v>
      </c>
      <c r="DJ46" s="14" t="s">
        <v>597</v>
      </c>
      <c r="DK46" s="14" t="s">
        <v>597</v>
      </c>
      <c r="DL46" s="14" t="s">
        <v>598</v>
      </c>
      <c r="DM46" s="14" t="s">
        <v>598</v>
      </c>
      <c r="DN46" s="14" t="s">
        <v>598</v>
      </c>
      <c r="DO46" s="14" t="s">
        <v>598</v>
      </c>
      <c r="DP46" s="14" t="s">
        <v>598</v>
      </c>
      <c r="DQ46" s="14" t="s">
        <v>598</v>
      </c>
      <c r="DR46" s="14" t="s">
        <v>598</v>
      </c>
      <c r="DS46" s="14" t="s">
        <v>598</v>
      </c>
      <c r="DT46" s="14" t="s">
        <v>598</v>
      </c>
      <c r="DU46" s="14" t="s">
        <v>598</v>
      </c>
      <c r="DV46" s="14" t="s">
        <v>598</v>
      </c>
      <c r="DW46" s="14" t="s">
        <v>598</v>
      </c>
      <c r="DX46" s="14" t="s">
        <v>598</v>
      </c>
      <c r="DY46" s="14" t="s">
        <v>598</v>
      </c>
      <c r="DZ46" s="14" t="s">
        <v>598</v>
      </c>
      <c r="EA46" s="14" t="s">
        <v>598</v>
      </c>
      <c r="EB46" s="14" t="s">
        <v>598</v>
      </c>
      <c r="EC46" s="14" t="s">
        <v>598</v>
      </c>
      <c r="ED46" s="14" t="s">
        <v>598</v>
      </c>
      <c r="EE46" s="14" t="s">
        <v>598</v>
      </c>
      <c r="EF46" s="14" t="s">
        <v>598</v>
      </c>
      <c r="EG46" s="14" t="s">
        <v>598</v>
      </c>
      <c r="EH46" s="14" t="s">
        <v>598</v>
      </c>
      <c r="EI46" s="14" t="s">
        <v>598</v>
      </c>
      <c r="EJ46" s="14" t="s">
        <v>598</v>
      </c>
      <c r="EK46" s="14" t="s">
        <v>598</v>
      </c>
      <c r="EL46" s="14" t="s">
        <v>598</v>
      </c>
      <c r="EM46" s="14" t="s">
        <v>598</v>
      </c>
      <c r="EN46" s="14" t="s">
        <v>598</v>
      </c>
      <c r="EO46" s="14" t="s">
        <v>598</v>
      </c>
      <c r="EP46" s="14" t="s">
        <v>598</v>
      </c>
      <c r="EQ46" s="14" t="s">
        <v>598</v>
      </c>
      <c r="ER46" s="14" t="s">
        <v>598</v>
      </c>
      <c r="ES46" s="14" t="s">
        <v>598</v>
      </c>
      <c r="EZ46" s="14">
        <v>0</v>
      </c>
      <c r="FG46" s="14">
        <v>0</v>
      </c>
      <c r="FN46" s="14">
        <v>0</v>
      </c>
      <c r="FU46" s="14">
        <v>0</v>
      </c>
      <c r="GB46" s="14">
        <v>0</v>
      </c>
      <c r="GI46" s="14">
        <v>0</v>
      </c>
      <c r="GP46" s="14">
        <v>0</v>
      </c>
      <c r="GQ46" s="14" t="s">
        <v>839</v>
      </c>
      <c r="GR46" s="14">
        <v>100</v>
      </c>
      <c r="GS46" s="14">
        <v>300</v>
      </c>
      <c r="GX46" s="14">
        <v>400</v>
      </c>
      <c r="GY46" s="14">
        <v>100</v>
      </c>
      <c r="GZ46" s="14">
        <v>300</v>
      </c>
      <c r="HA46" s="14">
        <v>0</v>
      </c>
      <c r="HB46" s="14">
        <v>0</v>
      </c>
      <c r="HC46" s="14">
        <v>0</v>
      </c>
      <c r="HD46" s="14">
        <v>0</v>
      </c>
      <c r="HE46" s="14">
        <v>400</v>
      </c>
      <c r="HF46" s="14">
        <v>100</v>
      </c>
      <c r="HG46" s="14">
        <v>300</v>
      </c>
      <c r="HL46" s="14">
        <v>400</v>
      </c>
      <c r="HS46" s="14">
        <v>0</v>
      </c>
      <c r="HZ46" s="14">
        <v>0</v>
      </c>
      <c r="IG46" s="14">
        <v>0</v>
      </c>
      <c r="IN46" s="14">
        <v>0</v>
      </c>
      <c r="IO46" s="14">
        <v>100</v>
      </c>
      <c r="IP46" s="14">
        <v>300</v>
      </c>
      <c r="IQ46" s="14">
        <v>0</v>
      </c>
      <c r="IR46" s="14">
        <v>0</v>
      </c>
      <c r="IS46" s="14">
        <v>0</v>
      </c>
      <c r="IT46" s="14">
        <v>0</v>
      </c>
      <c r="IU46" s="14">
        <v>400</v>
      </c>
      <c r="IV46" s="14">
        <v>10</v>
      </c>
      <c r="IX46" s="14">
        <v>90</v>
      </c>
      <c r="IZ46" s="14">
        <v>0</v>
      </c>
      <c r="JA46" s="14">
        <v>1</v>
      </c>
      <c r="JB46" s="14">
        <v>3</v>
      </c>
      <c r="JC46" s="14">
        <v>1</v>
      </c>
      <c r="JD46" s="14" t="s">
        <v>600</v>
      </c>
      <c r="JK46" s="14">
        <v>0</v>
      </c>
      <c r="JR46" s="14">
        <v>0</v>
      </c>
      <c r="JY46" s="14">
        <v>0</v>
      </c>
      <c r="KF46" s="14">
        <v>0</v>
      </c>
      <c r="KM46" s="14">
        <v>0</v>
      </c>
      <c r="KT46" s="14">
        <v>0</v>
      </c>
      <c r="LA46" s="14">
        <v>0</v>
      </c>
      <c r="LB46" s="14" t="s">
        <v>840</v>
      </c>
      <c r="LC46" s="14">
        <v>100</v>
      </c>
      <c r="LD46" s="14">
        <v>300</v>
      </c>
      <c r="LI46" s="14">
        <v>400</v>
      </c>
      <c r="LJ46" s="14">
        <v>100</v>
      </c>
      <c r="LK46" s="14">
        <v>300</v>
      </c>
      <c r="LL46" s="14">
        <v>0</v>
      </c>
      <c r="LM46" s="14">
        <v>0</v>
      </c>
      <c r="LN46" s="14">
        <v>0</v>
      </c>
      <c r="LO46" s="14">
        <v>0</v>
      </c>
      <c r="LP46" s="14">
        <v>400</v>
      </c>
      <c r="LW46" s="14">
        <v>0</v>
      </c>
      <c r="LX46" s="14">
        <v>100</v>
      </c>
      <c r="LY46" s="14">
        <v>300</v>
      </c>
      <c r="MD46" s="14">
        <v>400</v>
      </c>
      <c r="MK46" s="14">
        <v>0</v>
      </c>
      <c r="MR46" s="14">
        <v>0</v>
      </c>
      <c r="MY46" s="14">
        <v>0</v>
      </c>
      <c r="MZ46" s="14">
        <v>100</v>
      </c>
      <c r="NA46" s="14">
        <v>300</v>
      </c>
      <c r="NB46" s="14">
        <v>0</v>
      </c>
      <c r="NC46" s="14">
        <v>0</v>
      </c>
      <c r="ND46" s="14">
        <v>0</v>
      </c>
      <c r="NE46" s="14">
        <v>0</v>
      </c>
      <c r="NF46" s="14">
        <v>400</v>
      </c>
      <c r="NG46" s="14" t="s">
        <v>601</v>
      </c>
      <c r="RJ46" s="14" t="s">
        <v>602</v>
      </c>
      <c r="VM46" s="14" t="s">
        <v>603</v>
      </c>
      <c r="ZP46" s="14" t="s">
        <v>604</v>
      </c>
      <c r="ADS46" s="14" t="s">
        <v>605</v>
      </c>
    </row>
    <row r="47" spans="1:799" x14ac:dyDescent="0.25">
      <c r="A47" s="14">
        <v>87</v>
      </c>
      <c r="B47" s="14" t="s">
        <v>590</v>
      </c>
      <c r="C47" s="16">
        <v>42748.282638888886</v>
      </c>
      <c r="D47" s="14" t="s">
        <v>841</v>
      </c>
      <c r="E47" s="14" t="s">
        <v>842</v>
      </c>
      <c r="F47" s="14" t="str">
        <f>VLOOKUP(MID(H47,SEARCH("@",H47,1),LEN(H47)-SEARCH("@",H47,1)+1),[2]Sheet1!$D:$F,3,FALSE)</f>
        <v>M0258</v>
      </c>
      <c r="G47" s="14" t="s">
        <v>843</v>
      </c>
      <c r="H47" s="14" t="s">
        <v>844</v>
      </c>
      <c r="I47" s="14" t="s">
        <v>845</v>
      </c>
      <c r="J47" s="14" t="s">
        <v>777</v>
      </c>
      <c r="K47" s="14" t="s">
        <v>596</v>
      </c>
      <c r="M47" s="14">
        <v>2</v>
      </c>
      <c r="N47" s="14">
        <v>6</v>
      </c>
      <c r="O47" s="14" t="s">
        <v>846</v>
      </c>
      <c r="V47" s="14">
        <v>0</v>
      </c>
      <c r="AC47" s="14">
        <v>0</v>
      </c>
      <c r="AJ47" s="14">
        <v>0</v>
      </c>
      <c r="AQ47" s="14">
        <v>0</v>
      </c>
      <c r="AX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S47" s="14">
        <v>0</v>
      </c>
      <c r="BZ47" s="14">
        <v>0</v>
      </c>
      <c r="CG47" s="14">
        <v>0</v>
      </c>
      <c r="CN47" s="14">
        <v>0</v>
      </c>
      <c r="CU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 t="s">
        <v>598</v>
      </c>
      <c r="DK47" s="14" t="s">
        <v>598</v>
      </c>
      <c r="DL47" s="14" t="s">
        <v>598</v>
      </c>
      <c r="DM47" s="14" t="s">
        <v>598</v>
      </c>
      <c r="DN47" s="14" t="s">
        <v>598</v>
      </c>
      <c r="DO47" s="14" t="s">
        <v>598</v>
      </c>
      <c r="DP47" s="14" t="s">
        <v>598</v>
      </c>
      <c r="DQ47" s="14" t="s">
        <v>598</v>
      </c>
      <c r="DR47" s="14" t="s">
        <v>598</v>
      </c>
      <c r="DS47" s="14" t="s">
        <v>598</v>
      </c>
      <c r="DT47" s="14" t="s">
        <v>598</v>
      </c>
      <c r="DU47" s="14" t="s">
        <v>598</v>
      </c>
      <c r="DV47" s="14" t="s">
        <v>598</v>
      </c>
      <c r="DW47" s="14" t="s">
        <v>598</v>
      </c>
      <c r="DX47" s="14" t="s">
        <v>598</v>
      </c>
      <c r="DY47" s="14" t="s">
        <v>598</v>
      </c>
      <c r="DZ47" s="14" t="s">
        <v>598</v>
      </c>
      <c r="EA47" s="14" t="s">
        <v>598</v>
      </c>
      <c r="EB47" s="14" t="s">
        <v>598</v>
      </c>
      <c r="EC47" s="14" t="s">
        <v>598</v>
      </c>
      <c r="ED47" s="14" t="s">
        <v>598</v>
      </c>
      <c r="EE47" s="14" t="s">
        <v>598</v>
      </c>
      <c r="EF47" s="14" t="s">
        <v>598</v>
      </c>
      <c r="EG47" s="14" t="s">
        <v>598</v>
      </c>
      <c r="EH47" s="14" t="s">
        <v>598</v>
      </c>
      <c r="EI47" s="14" t="s">
        <v>598</v>
      </c>
      <c r="EJ47" s="14" t="s">
        <v>598</v>
      </c>
      <c r="EK47" s="14" t="s">
        <v>598</v>
      </c>
      <c r="EL47" s="14" t="s">
        <v>598</v>
      </c>
      <c r="EM47" s="14" t="s">
        <v>598</v>
      </c>
      <c r="EN47" s="14" t="s">
        <v>598</v>
      </c>
      <c r="EO47" s="14" t="s">
        <v>598</v>
      </c>
      <c r="EP47" s="14" t="s">
        <v>598</v>
      </c>
      <c r="EQ47" s="14" t="s">
        <v>598</v>
      </c>
      <c r="ER47" s="14" t="s">
        <v>598</v>
      </c>
      <c r="ES47" s="14" t="s">
        <v>598</v>
      </c>
      <c r="EZ47" s="14">
        <v>0</v>
      </c>
      <c r="FG47" s="14">
        <v>0</v>
      </c>
      <c r="FN47" s="14">
        <v>0</v>
      </c>
      <c r="FU47" s="14">
        <v>0</v>
      </c>
      <c r="GB47" s="14">
        <v>0</v>
      </c>
      <c r="GI47" s="14">
        <v>0</v>
      </c>
      <c r="GP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L47" s="14">
        <v>0</v>
      </c>
      <c r="HS47" s="14">
        <v>0</v>
      </c>
      <c r="HZ47" s="14">
        <v>0</v>
      </c>
      <c r="IG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JA47" s="14">
        <v>1</v>
      </c>
      <c r="JB47" s="14">
        <v>1</v>
      </c>
      <c r="JC47" s="14">
        <v>2</v>
      </c>
      <c r="JD47" s="14" t="s">
        <v>600</v>
      </c>
      <c r="NG47" s="14" t="s">
        <v>601</v>
      </c>
      <c r="RJ47" s="14" t="s">
        <v>602</v>
      </c>
      <c r="VM47" s="14" t="s">
        <v>603</v>
      </c>
      <c r="ZP47" s="14" t="s">
        <v>604</v>
      </c>
      <c r="ADS47" s="14" t="s">
        <v>605</v>
      </c>
    </row>
    <row r="48" spans="1:799" x14ac:dyDescent="0.25">
      <c r="A48" s="14">
        <v>97</v>
      </c>
      <c r="B48" s="14" t="s">
        <v>590</v>
      </c>
      <c r="C48" s="16">
        <v>42780</v>
      </c>
      <c r="D48" s="14" t="s">
        <v>847</v>
      </c>
      <c r="E48" s="14" t="s">
        <v>848</v>
      </c>
      <c r="F48" s="14" t="str">
        <f>VLOOKUP(MID(H48,SEARCH("@",H48,1),LEN(H48)-SEARCH("@",H48,1)+1),[2]Sheet1!$D:$F,3,FALSE)</f>
        <v>N0280</v>
      </c>
      <c r="G48" s="14" t="s">
        <v>849</v>
      </c>
      <c r="H48" s="14" t="s">
        <v>850</v>
      </c>
      <c r="I48" s="14">
        <v>6592469260</v>
      </c>
      <c r="J48" s="14" t="s">
        <v>624</v>
      </c>
      <c r="K48" s="14" t="s">
        <v>625</v>
      </c>
      <c r="M48" s="14">
        <v>1</v>
      </c>
      <c r="P48" s="14">
        <v>150</v>
      </c>
      <c r="Q48" s="14">
        <v>300</v>
      </c>
      <c r="V48" s="14">
        <v>450</v>
      </c>
      <c r="AC48" s="14">
        <v>0</v>
      </c>
      <c r="AJ48" s="14">
        <v>0</v>
      </c>
      <c r="AQ48" s="14">
        <v>0</v>
      </c>
      <c r="AX48" s="14">
        <v>0</v>
      </c>
      <c r="BE48" s="14">
        <v>0</v>
      </c>
      <c r="BF48" s="14">
        <v>150</v>
      </c>
      <c r="BG48" s="14">
        <v>300</v>
      </c>
      <c r="BH48" s="14">
        <v>0</v>
      </c>
      <c r="BI48" s="14">
        <v>0</v>
      </c>
      <c r="BJ48" s="14">
        <v>0</v>
      </c>
      <c r="BK48" s="14">
        <v>0</v>
      </c>
      <c r="BL48" s="14">
        <v>450</v>
      </c>
      <c r="BM48" s="14">
        <v>1</v>
      </c>
      <c r="BN48" s="14">
        <v>2</v>
      </c>
      <c r="BS48" s="14">
        <v>3</v>
      </c>
      <c r="BZ48" s="14">
        <v>0</v>
      </c>
      <c r="CG48" s="14">
        <v>0</v>
      </c>
      <c r="CN48" s="14">
        <v>0</v>
      </c>
      <c r="CU48" s="14">
        <v>0</v>
      </c>
      <c r="DB48" s="14">
        <v>0</v>
      </c>
      <c r="DC48" s="14">
        <v>1</v>
      </c>
      <c r="DD48" s="14">
        <v>2</v>
      </c>
      <c r="DE48" s="14">
        <v>0</v>
      </c>
      <c r="DF48" s="14">
        <v>0</v>
      </c>
      <c r="DG48" s="14">
        <v>0</v>
      </c>
      <c r="DH48" s="14">
        <v>0</v>
      </c>
      <c r="DI48" s="14">
        <v>3</v>
      </c>
      <c r="DJ48" s="14" t="s">
        <v>597</v>
      </c>
      <c r="DK48" s="14" t="s">
        <v>597</v>
      </c>
      <c r="DL48" s="14" t="s">
        <v>598</v>
      </c>
      <c r="DM48" s="14" t="s">
        <v>598</v>
      </c>
      <c r="DN48" s="14" t="s">
        <v>598</v>
      </c>
      <c r="DO48" s="14" t="s">
        <v>598</v>
      </c>
      <c r="DP48" s="14" t="s">
        <v>598</v>
      </c>
      <c r="DQ48" s="14" t="s">
        <v>598</v>
      </c>
      <c r="DR48" s="14" t="s">
        <v>598</v>
      </c>
      <c r="DS48" s="14" t="s">
        <v>598</v>
      </c>
      <c r="DT48" s="14" t="s">
        <v>598</v>
      </c>
      <c r="DU48" s="14" t="s">
        <v>598</v>
      </c>
      <c r="DV48" s="14" t="s">
        <v>598</v>
      </c>
      <c r="DW48" s="14" t="s">
        <v>598</v>
      </c>
      <c r="DX48" s="14" t="s">
        <v>598</v>
      </c>
      <c r="DY48" s="14" t="s">
        <v>598</v>
      </c>
      <c r="DZ48" s="14" t="s">
        <v>598</v>
      </c>
      <c r="EA48" s="14" t="s">
        <v>598</v>
      </c>
      <c r="EB48" s="14" t="s">
        <v>598</v>
      </c>
      <c r="EC48" s="14" t="s">
        <v>598</v>
      </c>
      <c r="ED48" s="14" t="s">
        <v>598</v>
      </c>
      <c r="EE48" s="14" t="s">
        <v>598</v>
      </c>
      <c r="EF48" s="14" t="s">
        <v>598</v>
      </c>
      <c r="EG48" s="14" t="s">
        <v>598</v>
      </c>
      <c r="EH48" s="14" t="s">
        <v>598</v>
      </c>
      <c r="EI48" s="14" t="s">
        <v>598</v>
      </c>
      <c r="EJ48" s="14" t="s">
        <v>598</v>
      </c>
      <c r="EK48" s="14" t="s">
        <v>598</v>
      </c>
      <c r="EL48" s="14" t="s">
        <v>598</v>
      </c>
      <c r="EM48" s="14" t="s">
        <v>598</v>
      </c>
      <c r="EN48" s="14" t="s">
        <v>598</v>
      </c>
      <c r="EO48" s="14" t="s">
        <v>598</v>
      </c>
      <c r="EP48" s="14" t="s">
        <v>598</v>
      </c>
      <c r="EQ48" s="14" t="s">
        <v>598</v>
      </c>
      <c r="ER48" s="14" t="s">
        <v>598</v>
      </c>
      <c r="ES48" s="14" t="s">
        <v>598</v>
      </c>
      <c r="ET48" s="14">
        <v>150</v>
      </c>
      <c r="EU48" s="14">
        <v>300</v>
      </c>
      <c r="EZ48" s="14">
        <v>450</v>
      </c>
      <c r="FG48" s="14">
        <v>0</v>
      </c>
      <c r="FN48" s="14">
        <v>0</v>
      </c>
      <c r="FU48" s="14">
        <v>0</v>
      </c>
      <c r="GB48" s="14">
        <v>0</v>
      </c>
      <c r="GI48" s="14">
        <v>0</v>
      </c>
      <c r="GP48" s="14">
        <v>0</v>
      </c>
      <c r="GX48" s="14">
        <v>0</v>
      </c>
      <c r="GY48" s="14">
        <v>150</v>
      </c>
      <c r="GZ48" s="14">
        <v>300</v>
      </c>
      <c r="HA48" s="14">
        <v>0</v>
      </c>
      <c r="HB48" s="14">
        <v>0</v>
      </c>
      <c r="HC48" s="14">
        <v>0</v>
      </c>
      <c r="HD48" s="14">
        <v>0</v>
      </c>
      <c r="HE48" s="14">
        <v>450</v>
      </c>
      <c r="HF48" s="14">
        <v>150</v>
      </c>
      <c r="HG48" s="14">
        <v>300</v>
      </c>
      <c r="HL48" s="14">
        <v>450</v>
      </c>
      <c r="HS48" s="14">
        <v>0</v>
      </c>
      <c r="HZ48" s="14">
        <v>0</v>
      </c>
      <c r="IG48" s="14">
        <v>0</v>
      </c>
      <c r="IN48" s="14">
        <v>0</v>
      </c>
      <c r="IO48" s="14">
        <v>150</v>
      </c>
      <c r="IP48" s="14">
        <v>300</v>
      </c>
      <c r="IQ48" s="14">
        <v>0</v>
      </c>
      <c r="IR48" s="14">
        <v>0</v>
      </c>
      <c r="IS48" s="14">
        <v>0</v>
      </c>
      <c r="IT48" s="14">
        <v>0</v>
      </c>
      <c r="IU48" s="14">
        <v>450</v>
      </c>
      <c r="IX48" s="14">
        <v>100</v>
      </c>
      <c r="JA48" s="14">
        <v>1</v>
      </c>
      <c r="JB48" s="14">
        <v>2</v>
      </c>
      <c r="JC48" s="14">
        <v>1</v>
      </c>
      <c r="JD48" s="14" t="s">
        <v>600</v>
      </c>
      <c r="JE48" s="14">
        <v>150</v>
      </c>
      <c r="JF48" s="14">
        <v>300</v>
      </c>
      <c r="JK48" s="14">
        <v>450</v>
      </c>
      <c r="JR48" s="14">
        <v>0</v>
      </c>
      <c r="JY48" s="14">
        <v>0</v>
      </c>
      <c r="KF48" s="14">
        <v>0</v>
      </c>
      <c r="KM48" s="14">
        <v>0</v>
      </c>
      <c r="KT48" s="14">
        <v>0</v>
      </c>
      <c r="LA48" s="14">
        <v>0</v>
      </c>
      <c r="LI48" s="14">
        <v>0</v>
      </c>
      <c r="LJ48" s="14">
        <v>150</v>
      </c>
      <c r="LK48" s="14">
        <v>300</v>
      </c>
      <c r="LL48" s="14">
        <v>0</v>
      </c>
      <c r="LM48" s="14">
        <v>0</v>
      </c>
      <c r="LN48" s="14">
        <v>0</v>
      </c>
      <c r="LO48" s="14">
        <v>0</v>
      </c>
      <c r="LP48" s="14">
        <v>450</v>
      </c>
      <c r="LQ48" s="14">
        <v>150</v>
      </c>
      <c r="LW48" s="14">
        <v>150</v>
      </c>
      <c r="LY48" s="14">
        <v>300</v>
      </c>
      <c r="MD48" s="14">
        <v>300</v>
      </c>
      <c r="MK48" s="14">
        <v>0</v>
      </c>
      <c r="MR48" s="14">
        <v>0</v>
      </c>
      <c r="MY48" s="14">
        <v>0</v>
      </c>
      <c r="MZ48" s="14">
        <v>150</v>
      </c>
      <c r="NA48" s="14">
        <v>300</v>
      </c>
      <c r="NB48" s="14">
        <v>0</v>
      </c>
      <c r="NC48" s="14">
        <v>0</v>
      </c>
      <c r="ND48" s="14">
        <v>0</v>
      </c>
      <c r="NE48" s="14">
        <v>0</v>
      </c>
      <c r="NF48" s="14">
        <v>450</v>
      </c>
      <c r="NG48" s="14" t="s">
        <v>601</v>
      </c>
      <c r="RJ48" s="14" t="s">
        <v>602</v>
      </c>
      <c r="VM48" s="14" t="s">
        <v>603</v>
      </c>
      <c r="ZP48" s="14" t="s">
        <v>604</v>
      </c>
      <c r="ADS48" s="14" t="s">
        <v>605</v>
      </c>
    </row>
    <row r="49" spans="1:799" x14ac:dyDescent="0.25">
      <c r="A49" s="14">
        <v>181</v>
      </c>
      <c r="B49" s="14" t="s">
        <v>590</v>
      </c>
      <c r="C49" s="16">
        <v>42774.34652777778</v>
      </c>
      <c r="D49" s="14" t="s">
        <v>851</v>
      </c>
      <c r="E49" s="14" t="s">
        <v>852</v>
      </c>
      <c r="F49" s="14" t="str">
        <f>VLOOKUP(MID(H49,SEARCH("@",H49,1),LEN(H49)-SEARCH("@",H49,1)+1),[2]Sheet1!$D:$F,3,FALSE)</f>
        <v>M0291</v>
      </c>
      <c r="G49" s="14" t="s">
        <v>853</v>
      </c>
      <c r="H49" s="14" t="s">
        <v>854</v>
      </c>
      <c r="I49" s="14">
        <v>82006982</v>
      </c>
      <c r="J49" s="14" t="s">
        <v>595</v>
      </c>
      <c r="K49" s="14" t="s">
        <v>679</v>
      </c>
      <c r="M49" s="14">
        <v>1</v>
      </c>
      <c r="V49" s="14">
        <v>0</v>
      </c>
      <c r="AC49" s="14">
        <v>0</v>
      </c>
      <c r="AJ49" s="14">
        <v>0</v>
      </c>
      <c r="AK49" s="14">
        <v>72.5</v>
      </c>
      <c r="AQ49" s="14">
        <v>72.5</v>
      </c>
      <c r="AX49" s="14">
        <v>0</v>
      </c>
      <c r="BE49" s="14">
        <v>0</v>
      </c>
      <c r="BF49" s="14">
        <v>72.5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72.5</v>
      </c>
      <c r="BS49" s="14">
        <v>0</v>
      </c>
      <c r="BZ49" s="14">
        <v>0</v>
      </c>
      <c r="CG49" s="14">
        <v>0</v>
      </c>
      <c r="CH49" s="14">
        <v>1</v>
      </c>
      <c r="CN49" s="14">
        <v>1</v>
      </c>
      <c r="CU49" s="14">
        <v>0</v>
      </c>
      <c r="DB49" s="14">
        <v>0</v>
      </c>
      <c r="DC49" s="14">
        <v>1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1</v>
      </c>
      <c r="DJ49" s="14" t="s">
        <v>598</v>
      </c>
      <c r="DK49" s="14" t="s">
        <v>598</v>
      </c>
      <c r="DL49" s="14" t="s">
        <v>598</v>
      </c>
      <c r="DM49" s="14" t="s">
        <v>598</v>
      </c>
      <c r="DN49" s="14" t="s">
        <v>598</v>
      </c>
      <c r="DO49" s="14" t="s">
        <v>598</v>
      </c>
      <c r="DP49" s="14" t="s">
        <v>598</v>
      </c>
      <c r="DQ49" s="14" t="s">
        <v>598</v>
      </c>
      <c r="DR49" s="14" t="s">
        <v>598</v>
      </c>
      <c r="DS49" s="14" t="s">
        <v>598</v>
      </c>
      <c r="DT49" s="14" t="s">
        <v>598</v>
      </c>
      <c r="DU49" s="14" t="s">
        <v>598</v>
      </c>
      <c r="DV49" s="14" t="s">
        <v>598</v>
      </c>
      <c r="DW49" s="14" t="s">
        <v>598</v>
      </c>
      <c r="DX49" s="14" t="s">
        <v>598</v>
      </c>
      <c r="DY49" s="14" t="s">
        <v>598</v>
      </c>
      <c r="DZ49" s="14" t="s">
        <v>598</v>
      </c>
      <c r="EA49" s="14" t="s">
        <v>598</v>
      </c>
      <c r="EB49" s="14" t="s">
        <v>597</v>
      </c>
      <c r="EC49" s="14" t="s">
        <v>598</v>
      </c>
      <c r="ED49" s="14" t="s">
        <v>598</v>
      </c>
      <c r="EE49" s="14" t="s">
        <v>598</v>
      </c>
      <c r="EF49" s="14" t="s">
        <v>598</v>
      </c>
      <c r="EG49" s="14" t="s">
        <v>598</v>
      </c>
      <c r="EH49" s="14" t="s">
        <v>598</v>
      </c>
      <c r="EI49" s="14" t="s">
        <v>598</v>
      </c>
      <c r="EJ49" s="14" t="s">
        <v>598</v>
      </c>
      <c r="EK49" s="14" t="s">
        <v>598</v>
      </c>
      <c r="EL49" s="14" t="s">
        <v>598</v>
      </c>
      <c r="EM49" s="14" t="s">
        <v>598</v>
      </c>
      <c r="EN49" s="14" t="s">
        <v>598</v>
      </c>
      <c r="EO49" s="14" t="s">
        <v>598</v>
      </c>
      <c r="EP49" s="14" t="s">
        <v>598</v>
      </c>
      <c r="EQ49" s="14" t="s">
        <v>598</v>
      </c>
      <c r="ER49" s="14" t="s">
        <v>598</v>
      </c>
      <c r="ES49" s="14" t="s">
        <v>598</v>
      </c>
      <c r="EZ49" s="14">
        <v>0</v>
      </c>
      <c r="FG49" s="14">
        <v>0</v>
      </c>
      <c r="FN49" s="14">
        <v>0</v>
      </c>
      <c r="FO49" s="14">
        <v>61.7</v>
      </c>
      <c r="FU49" s="14">
        <v>61.7</v>
      </c>
      <c r="FV49" s="14">
        <v>10.8</v>
      </c>
      <c r="GB49" s="14">
        <v>10.8</v>
      </c>
      <c r="GI49" s="14">
        <v>0</v>
      </c>
      <c r="GP49" s="14">
        <v>0</v>
      </c>
      <c r="GX49" s="14">
        <v>0</v>
      </c>
      <c r="GY49" s="14">
        <v>72.5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72.5</v>
      </c>
      <c r="HF49" s="14">
        <v>72.5</v>
      </c>
      <c r="HL49" s="14">
        <v>72.5</v>
      </c>
      <c r="HS49" s="14">
        <v>0</v>
      </c>
      <c r="HZ49" s="14">
        <v>0</v>
      </c>
      <c r="IG49" s="14">
        <v>0</v>
      </c>
      <c r="IN49" s="14">
        <v>0</v>
      </c>
      <c r="IO49" s="14">
        <v>72.5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72.5</v>
      </c>
      <c r="IX49" s="14">
        <v>100</v>
      </c>
      <c r="JA49" s="14">
        <v>1</v>
      </c>
      <c r="JB49" s="14">
        <v>1</v>
      </c>
      <c r="JC49" s="14">
        <v>1</v>
      </c>
      <c r="JD49" s="14" t="s">
        <v>600</v>
      </c>
      <c r="NG49" s="14" t="s">
        <v>601</v>
      </c>
      <c r="RJ49" s="14" t="s">
        <v>602</v>
      </c>
      <c r="VM49" s="14" t="s">
        <v>603</v>
      </c>
      <c r="VT49" s="14">
        <v>0</v>
      </c>
      <c r="WA49" s="14">
        <v>0</v>
      </c>
      <c r="WH49" s="14">
        <v>0</v>
      </c>
      <c r="WI49" s="14">
        <v>61.7</v>
      </c>
      <c r="WO49" s="14">
        <v>61.7</v>
      </c>
      <c r="WP49" s="14">
        <v>10.8</v>
      </c>
      <c r="WV49" s="14">
        <v>10.8</v>
      </c>
      <c r="XC49" s="14">
        <v>0</v>
      </c>
      <c r="XJ49" s="14">
        <v>0</v>
      </c>
      <c r="XR49" s="14">
        <v>0</v>
      </c>
      <c r="XS49" s="14">
        <v>72.5</v>
      </c>
      <c r="XT49" s="14">
        <v>0</v>
      </c>
      <c r="XU49" s="14">
        <v>0</v>
      </c>
      <c r="XV49" s="14">
        <v>0</v>
      </c>
      <c r="XW49" s="14">
        <v>0</v>
      </c>
      <c r="XX49" s="14">
        <v>0</v>
      </c>
      <c r="XY49" s="14">
        <v>72.5</v>
      </c>
      <c r="YF49" s="14">
        <v>0</v>
      </c>
      <c r="YG49" s="14">
        <v>72.5</v>
      </c>
      <c r="YM49" s="14">
        <v>72.5</v>
      </c>
      <c r="YT49" s="14">
        <v>0</v>
      </c>
      <c r="ZA49" s="14">
        <v>0</v>
      </c>
      <c r="ZH49" s="14">
        <v>0</v>
      </c>
      <c r="ZI49" s="14">
        <v>72.5</v>
      </c>
      <c r="ZJ49" s="14">
        <v>0</v>
      </c>
      <c r="ZK49" s="14">
        <v>0</v>
      </c>
      <c r="ZL49" s="14">
        <v>0</v>
      </c>
      <c r="ZM49" s="14">
        <v>0</v>
      </c>
      <c r="ZN49" s="14">
        <v>0</v>
      </c>
      <c r="ZO49" s="14">
        <v>72.5</v>
      </c>
      <c r="ZP49" s="14" t="s">
        <v>604</v>
      </c>
      <c r="ADS49" s="14" t="s">
        <v>605</v>
      </c>
    </row>
    <row r="50" spans="1:799" x14ac:dyDescent="0.25">
      <c r="A50" s="14">
        <v>218</v>
      </c>
      <c r="B50" s="14" t="s">
        <v>590</v>
      </c>
      <c r="C50" s="16">
        <v>42780</v>
      </c>
      <c r="D50" s="14" t="s">
        <v>855</v>
      </c>
      <c r="E50" s="14" t="s">
        <v>856</v>
      </c>
      <c r="F50" s="14" t="str">
        <f>VLOOKUP(MID(H50,SEARCH("@",H50,1),LEN(H50)-SEARCH("@",H50,1)+1),[2]Sheet1!$D:$F,3,FALSE)</f>
        <v>M0125</v>
      </c>
      <c r="G50" s="14" t="s">
        <v>673</v>
      </c>
      <c r="H50" s="14" t="s">
        <v>857</v>
      </c>
      <c r="I50" s="14">
        <v>25455828</v>
      </c>
      <c r="J50" s="14" t="s">
        <v>618</v>
      </c>
      <c r="K50" s="14" t="s">
        <v>596</v>
      </c>
      <c r="M50" s="14">
        <v>1</v>
      </c>
      <c r="Q50" s="14">
        <v>55</v>
      </c>
      <c r="V50" s="14">
        <v>55</v>
      </c>
      <c r="AC50" s="14">
        <v>0</v>
      </c>
      <c r="AJ50" s="14">
        <v>0</v>
      </c>
      <c r="AQ50" s="14">
        <v>0</v>
      </c>
      <c r="AX50" s="14">
        <v>0</v>
      </c>
      <c r="BE50" s="14">
        <v>0</v>
      </c>
      <c r="BF50" s="14">
        <v>0</v>
      </c>
      <c r="BG50" s="14">
        <v>55</v>
      </c>
      <c r="BH50" s="14">
        <v>0</v>
      </c>
      <c r="BI50" s="14">
        <v>0</v>
      </c>
      <c r="BJ50" s="14">
        <v>0</v>
      </c>
      <c r="BK50" s="14">
        <v>0</v>
      </c>
      <c r="BL50" s="14">
        <v>55</v>
      </c>
      <c r="BN50" s="14">
        <v>1</v>
      </c>
      <c r="BS50" s="14">
        <v>1</v>
      </c>
      <c r="BZ50" s="14">
        <v>0</v>
      </c>
      <c r="CG50" s="14">
        <v>0</v>
      </c>
      <c r="CN50" s="14">
        <v>0</v>
      </c>
      <c r="CU50" s="14">
        <v>0</v>
      </c>
      <c r="DB50" s="14">
        <v>0</v>
      </c>
      <c r="DC50" s="14">
        <v>0</v>
      </c>
      <c r="DD50" s="14">
        <v>1</v>
      </c>
      <c r="DE50" s="14">
        <v>0</v>
      </c>
      <c r="DF50" s="14">
        <v>0</v>
      </c>
      <c r="DG50" s="14">
        <v>0</v>
      </c>
      <c r="DH50" s="14">
        <v>0</v>
      </c>
      <c r="DI50" s="14">
        <v>1</v>
      </c>
      <c r="DJ50" s="14" t="s">
        <v>598</v>
      </c>
      <c r="DK50" s="14" t="s">
        <v>597</v>
      </c>
      <c r="DL50" s="14" t="s">
        <v>598</v>
      </c>
      <c r="DM50" s="14" t="s">
        <v>598</v>
      </c>
      <c r="DN50" s="14" t="s">
        <v>598</v>
      </c>
      <c r="DO50" s="14" t="s">
        <v>598</v>
      </c>
      <c r="DP50" s="14" t="s">
        <v>598</v>
      </c>
      <c r="DQ50" s="14" t="s">
        <v>598</v>
      </c>
      <c r="DR50" s="14" t="s">
        <v>598</v>
      </c>
      <c r="DS50" s="14" t="s">
        <v>598</v>
      </c>
      <c r="DT50" s="14" t="s">
        <v>598</v>
      </c>
      <c r="DU50" s="14" t="s">
        <v>598</v>
      </c>
      <c r="DV50" s="14" t="s">
        <v>598</v>
      </c>
      <c r="DW50" s="14" t="s">
        <v>598</v>
      </c>
      <c r="DX50" s="14" t="s">
        <v>598</v>
      </c>
      <c r="DY50" s="14" t="s">
        <v>598</v>
      </c>
      <c r="DZ50" s="14" t="s">
        <v>598</v>
      </c>
      <c r="EA50" s="14" t="s">
        <v>598</v>
      </c>
      <c r="EB50" s="14" t="s">
        <v>598</v>
      </c>
      <c r="EC50" s="14" t="s">
        <v>598</v>
      </c>
      <c r="ED50" s="14" t="s">
        <v>598</v>
      </c>
      <c r="EE50" s="14" t="s">
        <v>598</v>
      </c>
      <c r="EF50" s="14" t="s">
        <v>598</v>
      </c>
      <c r="EG50" s="14" t="s">
        <v>598</v>
      </c>
      <c r="EH50" s="14" t="s">
        <v>598</v>
      </c>
      <c r="EI50" s="14" t="s">
        <v>598</v>
      </c>
      <c r="EJ50" s="14" t="s">
        <v>598</v>
      </c>
      <c r="EK50" s="14" t="s">
        <v>598</v>
      </c>
      <c r="EL50" s="14" t="s">
        <v>598</v>
      </c>
      <c r="EM50" s="14" t="s">
        <v>598</v>
      </c>
      <c r="EN50" s="14" t="s">
        <v>598</v>
      </c>
      <c r="EO50" s="14" t="s">
        <v>598</v>
      </c>
      <c r="EP50" s="14" t="s">
        <v>598</v>
      </c>
      <c r="EQ50" s="14" t="s">
        <v>598</v>
      </c>
      <c r="ER50" s="14" t="s">
        <v>598</v>
      </c>
      <c r="ES50" s="14" t="s">
        <v>598</v>
      </c>
      <c r="EZ50" s="14">
        <v>0</v>
      </c>
      <c r="FG50" s="14">
        <v>0</v>
      </c>
      <c r="FN50" s="14">
        <v>0</v>
      </c>
      <c r="FU50" s="14">
        <v>0</v>
      </c>
      <c r="GB50" s="14">
        <v>0</v>
      </c>
      <c r="GD50" s="14">
        <v>50</v>
      </c>
      <c r="GI50" s="14">
        <v>50</v>
      </c>
      <c r="GP50" s="14">
        <v>0</v>
      </c>
      <c r="GQ50" s="14" t="s">
        <v>858</v>
      </c>
      <c r="GS50" s="14">
        <v>5</v>
      </c>
      <c r="GX50" s="14">
        <v>5</v>
      </c>
      <c r="GY50" s="14">
        <v>0</v>
      </c>
      <c r="GZ50" s="14">
        <v>55</v>
      </c>
      <c r="HA50" s="14">
        <v>0</v>
      </c>
      <c r="HB50" s="14">
        <v>0</v>
      </c>
      <c r="HC50" s="14">
        <v>0</v>
      </c>
      <c r="HD50" s="14">
        <v>0</v>
      </c>
      <c r="HE50" s="14">
        <v>55</v>
      </c>
      <c r="HG50" s="14">
        <v>55</v>
      </c>
      <c r="HL50" s="14">
        <v>55</v>
      </c>
      <c r="HS50" s="14">
        <v>0</v>
      </c>
      <c r="HZ50" s="14">
        <v>0</v>
      </c>
      <c r="IG50" s="14">
        <v>0</v>
      </c>
      <c r="IN50" s="14">
        <v>0</v>
      </c>
      <c r="IO50" s="14">
        <v>0</v>
      </c>
      <c r="IP50" s="14">
        <v>55</v>
      </c>
      <c r="IQ50" s="14">
        <v>0</v>
      </c>
      <c r="IR50" s="14">
        <v>0</v>
      </c>
      <c r="IS50" s="14">
        <v>0</v>
      </c>
      <c r="IT50" s="14">
        <v>0</v>
      </c>
      <c r="IU50" s="14">
        <v>55</v>
      </c>
      <c r="IV50" s="14">
        <v>0</v>
      </c>
      <c r="IX50" s="14">
        <v>100</v>
      </c>
      <c r="JA50" s="14">
        <v>1</v>
      </c>
      <c r="JB50" s="14">
        <v>3</v>
      </c>
      <c r="JC50" s="14">
        <v>1</v>
      </c>
      <c r="JD50" s="14" t="s">
        <v>600</v>
      </c>
      <c r="JK50" s="14">
        <v>0</v>
      </c>
      <c r="JR50" s="14">
        <v>0</v>
      </c>
      <c r="JY50" s="14">
        <v>0</v>
      </c>
      <c r="KF50" s="14">
        <v>0</v>
      </c>
      <c r="KM50" s="14">
        <v>0</v>
      </c>
      <c r="KO50" s="14">
        <v>50</v>
      </c>
      <c r="KT50" s="14">
        <v>50</v>
      </c>
      <c r="LA50" s="14">
        <v>0</v>
      </c>
      <c r="LB50" s="14" t="s">
        <v>858</v>
      </c>
      <c r="LD50" s="14">
        <v>5</v>
      </c>
      <c r="LI50" s="14">
        <v>5</v>
      </c>
      <c r="LJ50" s="14">
        <v>0</v>
      </c>
      <c r="LK50" s="14">
        <v>55</v>
      </c>
      <c r="LL50" s="14">
        <v>0</v>
      </c>
      <c r="LM50" s="14">
        <v>0</v>
      </c>
      <c r="LN50" s="14">
        <v>0</v>
      </c>
      <c r="LO50" s="14">
        <v>0</v>
      </c>
      <c r="LP50" s="14">
        <v>55</v>
      </c>
      <c r="LW50" s="14">
        <v>0</v>
      </c>
      <c r="LY50" s="14">
        <v>55</v>
      </c>
      <c r="MD50" s="14">
        <v>55</v>
      </c>
      <c r="MK50" s="14">
        <v>0</v>
      </c>
      <c r="MR50" s="14">
        <v>0</v>
      </c>
      <c r="MY50" s="14">
        <v>0</v>
      </c>
      <c r="MZ50" s="14">
        <v>0</v>
      </c>
      <c r="NA50" s="14">
        <v>55</v>
      </c>
      <c r="NB50" s="14">
        <v>0</v>
      </c>
      <c r="NC50" s="14">
        <v>0</v>
      </c>
      <c r="ND50" s="14">
        <v>0</v>
      </c>
      <c r="NE50" s="14">
        <v>0</v>
      </c>
      <c r="NF50" s="14">
        <v>55</v>
      </c>
      <c r="NG50" s="14" t="s">
        <v>601</v>
      </c>
      <c r="RJ50" s="14" t="s">
        <v>602</v>
      </c>
      <c r="VM50" s="14" t="s">
        <v>603</v>
      </c>
      <c r="ZP50" s="14" t="s">
        <v>604</v>
      </c>
      <c r="ADS50" s="14" t="s">
        <v>605</v>
      </c>
    </row>
    <row r="51" spans="1:799" x14ac:dyDescent="0.25">
      <c r="A51" s="14">
        <v>233</v>
      </c>
      <c r="B51" s="14" t="s">
        <v>859</v>
      </c>
      <c r="C51" s="16">
        <v>42780</v>
      </c>
      <c r="D51" s="14" t="s">
        <v>860</v>
      </c>
      <c r="E51" s="14" t="s">
        <v>861</v>
      </c>
      <c r="F51" s="14" t="str">
        <f>VLOOKUP(MID(H51,SEARCH("@",H51,1),LEN(H51)-SEARCH("@",H51,1)+1),[2]Sheet1!$D:$F,3,FALSE)</f>
        <v>M03132</v>
      </c>
      <c r="G51" s="14" t="s">
        <v>652</v>
      </c>
      <c r="H51" s="14" t="s">
        <v>862</v>
      </c>
      <c r="I51" s="14">
        <v>4043955444</v>
      </c>
      <c r="J51" s="14" t="s">
        <v>611</v>
      </c>
      <c r="K51" s="14" t="s">
        <v>596</v>
      </c>
      <c r="M51" s="14">
        <v>1</v>
      </c>
      <c r="V51" s="14">
        <v>0</v>
      </c>
      <c r="AC51" s="14">
        <v>0</v>
      </c>
      <c r="AD51" s="14">
        <v>2000</v>
      </c>
      <c r="AE51" s="14">
        <v>1000</v>
      </c>
      <c r="AI51" s="14">
        <v>1000</v>
      </c>
      <c r="AJ51" s="14">
        <v>4000</v>
      </c>
      <c r="AQ51" s="14">
        <v>0</v>
      </c>
      <c r="AX51" s="14">
        <v>0</v>
      </c>
      <c r="BE51" s="14">
        <v>0</v>
      </c>
      <c r="BF51" s="14">
        <v>2000</v>
      </c>
      <c r="BG51" s="14">
        <v>1000</v>
      </c>
      <c r="BH51" s="14">
        <v>0</v>
      </c>
      <c r="BI51" s="14">
        <v>0</v>
      </c>
      <c r="BJ51" s="14">
        <v>0</v>
      </c>
      <c r="BK51" s="14">
        <v>1000</v>
      </c>
      <c r="BL51" s="14">
        <v>4000</v>
      </c>
      <c r="BS51" s="14">
        <v>0</v>
      </c>
      <c r="BZ51" s="14">
        <v>0</v>
      </c>
      <c r="CA51" s="14">
        <v>3</v>
      </c>
      <c r="CB51" s="14">
        <v>5</v>
      </c>
      <c r="CF51" s="14">
        <v>1</v>
      </c>
      <c r="CG51" s="14">
        <v>9</v>
      </c>
      <c r="CN51" s="14">
        <v>0</v>
      </c>
      <c r="CU51" s="14">
        <v>0</v>
      </c>
      <c r="DB51" s="14">
        <v>0</v>
      </c>
      <c r="DC51" s="14">
        <v>3</v>
      </c>
      <c r="DD51" s="14">
        <v>5</v>
      </c>
      <c r="DE51" s="14">
        <v>0</v>
      </c>
      <c r="DF51" s="14">
        <v>0</v>
      </c>
      <c r="DG51" s="14">
        <v>0</v>
      </c>
      <c r="DH51" s="14">
        <v>1</v>
      </c>
      <c r="DI51" s="14">
        <v>9</v>
      </c>
      <c r="DJ51" s="14" t="s">
        <v>598</v>
      </c>
      <c r="DK51" s="14" t="s">
        <v>598</v>
      </c>
      <c r="DL51" s="14" t="s">
        <v>598</v>
      </c>
      <c r="DM51" s="14" t="s">
        <v>598</v>
      </c>
      <c r="DN51" s="14" t="s">
        <v>598</v>
      </c>
      <c r="DO51" s="14" t="s">
        <v>598</v>
      </c>
      <c r="DP51" s="14" t="s">
        <v>598</v>
      </c>
      <c r="DQ51" s="14" t="s">
        <v>598</v>
      </c>
      <c r="DR51" s="14" t="s">
        <v>598</v>
      </c>
      <c r="DS51" s="14" t="s">
        <v>598</v>
      </c>
      <c r="DT51" s="14" t="s">
        <v>598</v>
      </c>
      <c r="DU51" s="14" t="s">
        <v>598</v>
      </c>
      <c r="DV51" s="14" t="s">
        <v>597</v>
      </c>
      <c r="DW51" s="14" t="s">
        <v>597</v>
      </c>
      <c r="DX51" s="14" t="s">
        <v>598</v>
      </c>
      <c r="DY51" s="14" t="s">
        <v>598</v>
      </c>
      <c r="DZ51" s="14" t="s">
        <v>598</v>
      </c>
      <c r="EA51" s="14" t="s">
        <v>597</v>
      </c>
      <c r="EB51" s="14" t="s">
        <v>598</v>
      </c>
      <c r="EC51" s="14" t="s">
        <v>598</v>
      </c>
      <c r="ED51" s="14" t="s">
        <v>598</v>
      </c>
      <c r="EE51" s="14" t="s">
        <v>598</v>
      </c>
      <c r="EF51" s="14" t="s">
        <v>598</v>
      </c>
      <c r="EG51" s="14" t="s">
        <v>598</v>
      </c>
      <c r="EH51" s="14" t="s">
        <v>598</v>
      </c>
      <c r="EI51" s="14" t="s">
        <v>598</v>
      </c>
      <c r="EJ51" s="14" t="s">
        <v>598</v>
      </c>
      <c r="EK51" s="14" t="s">
        <v>598</v>
      </c>
      <c r="EL51" s="14" t="s">
        <v>598</v>
      </c>
      <c r="EM51" s="14" t="s">
        <v>598</v>
      </c>
      <c r="EN51" s="14" t="s">
        <v>598</v>
      </c>
      <c r="EO51" s="14" t="s">
        <v>598</v>
      </c>
      <c r="EP51" s="14" t="s">
        <v>598</v>
      </c>
      <c r="EQ51" s="14" t="s">
        <v>598</v>
      </c>
      <c r="ER51" s="14" t="s">
        <v>598</v>
      </c>
      <c r="ES51" s="14" t="s">
        <v>598</v>
      </c>
      <c r="ET51" s="14">
        <v>1000</v>
      </c>
      <c r="EU51" s="14">
        <v>1000</v>
      </c>
      <c r="EZ51" s="14">
        <v>2000</v>
      </c>
      <c r="FA51" s="14">
        <v>500</v>
      </c>
      <c r="FF51" s="14">
        <v>500</v>
      </c>
      <c r="FG51" s="14">
        <v>1000</v>
      </c>
      <c r="FH51" s="14">
        <v>500</v>
      </c>
      <c r="FN51" s="14">
        <v>500</v>
      </c>
      <c r="FU51" s="14">
        <v>0</v>
      </c>
      <c r="FV51" s="14">
        <v>100</v>
      </c>
      <c r="GB51" s="14">
        <v>100</v>
      </c>
      <c r="GI51" s="14">
        <v>0</v>
      </c>
      <c r="GJ51" s="14">
        <v>50</v>
      </c>
      <c r="GP51" s="14">
        <v>50</v>
      </c>
      <c r="GQ51" s="14" t="s">
        <v>863</v>
      </c>
      <c r="GS51" s="14">
        <v>350</v>
      </c>
      <c r="GX51" s="14">
        <v>350</v>
      </c>
      <c r="GY51" s="14">
        <v>2150</v>
      </c>
      <c r="GZ51" s="14">
        <v>1350</v>
      </c>
      <c r="HA51" s="14">
        <v>0</v>
      </c>
      <c r="HB51" s="14">
        <v>0</v>
      </c>
      <c r="HC51" s="14">
        <v>0</v>
      </c>
      <c r="HD51" s="14">
        <v>500</v>
      </c>
      <c r="HE51" s="14">
        <v>4000</v>
      </c>
      <c r="HF51" s="14">
        <v>250</v>
      </c>
      <c r="HG51" s="14">
        <v>250</v>
      </c>
      <c r="HL51" s="14">
        <v>500</v>
      </c>
      <c r="HM51" s="14">
        <v>250</v>
      </c>
      <c r="HN51" s="14">
        <v>250</v>
      </c>
      <c r="HS51" s="14">
        <v>500</v>
      </c>
      <c r="HT51" s="14">
        <v>1500</v>
      </c>
      <c r="HU51" s="14">
        <v>474.58150000000001</v>
      </c>
      <c r="HZ51" s="14">
        <v>3000</v>
      </c>
      <c r="IG51" s="14">
        <v>0</v>
      </c>
      <c r="IN51" s="14">
        <v>0</v>
      </c>
      <c r="IO51" s="14">
        <v>2000</v>
      </c>
      <c r="IP51" s="14">
        <v>2000</v>
      </c>
      <c r="IQ51" s="14">
        <v>0</v>
      </c>
      <c r="IR51" s="14">
        <v>0</v>
      </c>
      <c r="IS51" s="14">
        <v>0</v>
      </c>
      <c r="IT51" s="14">
        <v>0</v>
      </c>
      <c r="IU51" s="14">
        <v>4000</v>
      </c>
      <c r="IV51" s="14">
        <v>0</v>
      </c>
      <c r="IW51" s="14">
        <v>5</v>
      </c>
      <c r="IX51" s="14">
        <v>95</v>
      </c>
      <c r="JA51" s="14">
        <v>3</v>
      </c>
      <c r="JB51" s="14">
        <v>3</v>
      </c>
      <c r="JC51" s="14">
        <v>2</v>
      </c>
      <c r="JD51" s="14" t="s">
        <v>600</v>
      </c>
      <c r="NG51" s="14" t="s">
        <v>601</v>
      </c>
      <c r="RJ51" s="14" t="s">
        <v>602</v>
      </c>
      <c r="RK51" s="14">
        <v>1000</v>
      </c>
      <c r="RL51" s="14">
        <v>1000</v>
      </c>
      <c r="RQ51" s="14">
        <v>2000</v>
      </c>
      <c r="RR51" s="14">
        <v>500</v>
      </c>
      <c r="RW51" s="14">
        <v>500</v>
      </c>
      <c r="RX51" s="14">
        <v>1000</v>
      </c>
      <c r="RY51" s="14">
        <v>500</v>
      </c>
      <c r="SE51" s="14">
        <v>500</v>
      </c>
      <c r="SL51" s="14">
        <v>0</v>
      </c>
      <c r="SM51" s="14">
        <v>100</v>
      </c>
      <c r="SS51" s="14">
        <v>100</v>
      </c>
      <c r="SZ51" s="14">
        <v>0</v>
      </c>
      <c r="TA51" s="14">
        <v>50</v>
      </c>
      <c r="TG51" s="14">
        <v>50</v>
      </c>
      <c r="TH51" s="14" t="s">
        <v>864</v>
      </c>
      <c r="TJ51" s="14">
        <v>350</v>
      </c>
      <c r="TO51" s="14">
        <v>350</v>
      </c>
      <c r="TP51" s="14">
        <v>2150</v>
      </c>
      <c r="TQ51" s="14">
        <v>1350</v>
      </c>
      <c r="TR51" s="14">
        <v>0</v>
      </c>
      <c r="TS51" s="14">
        <v>0</v>
      </c>
      <c r="TT51" s="14">
        <v>0</v>
      </c>
      <c r="TU51" s="14">
        <v>500</v>
      </c>
      <c r="TV51" s="14">
        <v>4000</v>
      </c>
      <c r="TW51" s="14">
        <v>250</v>
      </c>
      <c r="TX51" s="14">
        <v>250</v>
      </c>
      <c r="UC51" s="14">
        <v>500</v>
      </c>
      <c r="UD51" s="14">
        <v>250</v>
      </c>
      <c r="UE51" s="14">
        <v>250</v>
      </c>
      <c r="UJ51" s="14">
        <v>500</v>
      </c>
      <c r="UK51" s="14">
        <v>1500</v>
      </c>
      <c r="UL51" s="14">
        <v>1500</v>
      </c>
      <c r="UQ51" s="14">
        <v>3000</v>
      </c>
      <c r="UX51" s="14">
        <v>0</v>
      </c>
      <c r="VE51" s="14">
        <v>0</v>
      </c>
      <c r="VF51" s="14">
        <v>2000</v>
      </c>
      <c r="VG51" s="14">
        <v>2000</v>
      </c>
      <c r="VH51" s="14">
        <v>0</v>
      </c>
      <c r="VI51" s="14">
        <v>0</v>
      </c>
      <c r="VJ51" s="14">
        <v>0</v>
      </c>
      <c r="VK51" s="14">
        <v>0</v>
      </c>
      <c r="VL51" s="14">
        <v>4000</v>
      </c>
      <c r="VM51" s="14" t="s">
        <v>603</v>
      </c>
      <c r="ZP51" s="14" t="s">
        <v>604</v>
      </c>
      <c r="ADS51" s="14" t="s">
        <v>605</v>
      </c>
    </row>
    <row r="52" spans="1:799" x14ac:dyDescent="0.25">
      <c r="A52" s="14">
        <v>81</v>
      </c>
      <c r="B52" s="14" t="s">
        <v>859</v>
      </c>
      <c r="C52" s="16">
        <v>42747.760416666664</v>
      </c>
      <c r="D52" s="14" t="s">
        <v>865</v>
      </c>
      <c r="E52" s="14" t="s">
        <v>866</v>
      </c>
      <c r="F52" s="14" t="str">
        <f>VLOOKUP(MID(H52,SEARCH("@",H52,1),LEN(H52)-SEARCH("@",H52,1)+1),[2]Sheet1!$D:$F,3,FALSE)</f>
        <v>NC031</v>
      </c>
      <c r="G52" s="14" t="s">
        <v>867</v>
      </c>
      <c r="H52" s="14" t="s">
        <v>868</v>
      </c>
      <c r="I52" s="14">
        <v>6175365542</v>
      </c>
      <c r="J52" s="14" t="s">
        <v>611</v>
      </c>
      <c r="K52" s="14" t="s">
        <v>596</v>
      </c>
      <c r="M52" s="14">
        <v>1</v>
      </c>
      <c r="V52" s="14">
        <v>0</v>
      </c>
      <c r="AC52" s="14">
        <v>0</v>
      </c>
      <c r="AD52" s="14">
        <v>141.33000000000001</v>
      </c>
      <c r="AJ52" s="14">
        <v>141.33000000000001</v>
      </c>
      <c r="AQ52" s="14">
        <v>0</v>
      </c>
      <c r="AX52" s="14">
        <v>0</v>
      </c>
      <c r="BE52" s="14">
        <v>0</v>
      </c>
      <c r="BF52" s="14">
        <v>141.33000000000001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141.33000000000001</v>
      </c>
      <c r="BS52" s="14">
        <v>0</v>
      </c>
      <c r="BZ52" s="14">
        <v>0</v>
      </c>
      <c r="CA52" s="14">
        <v>2</v>
      </c>
      <c r="CG52" s="14">
        <v>2</v>
      </c>
      <c r="CN52" s="14">
        <v>0</v>
      </c>
      <c r="CU52" s="14">
        <v>0</v>
      </c>
      <c r="DB52" s="14">
        <v>0</v>
      </c>
      <c r="DC52" s="14">
        <v>2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2</v>
      </c>
      <c r="DJ52" s="14" t="s">
        <v>598</v>
      </c>
      <c r="DK52" s="14" t="s">
        <v>598</v>
      </c>
      <c r="DL52" s="14" t="s">
        <v>598</v>
      </c>
      <c r="DM52" s="14" t="s">
        <v>598</v>
      </c>
      <c r="DN52" s="14" t="s">
        <v>598</v>
      </c>
      <c r="DO52" s="14" t="s">
        <v>598</v>
      </c>
      <c r="DP52" s="14" t="s">
        <v>598</v>
      </c>
      <c r="DQ52" s="14" t="s">
        <v>598</v>
      </c>
      <c r="DR52" s="14" t="s">
        <v>598</v>
      </c>
      <c r="DS52" s="14" t="s">
        <v>598</v>
      </c>
      <c r="DT52" s="14" t="s">
        <v>598</v>
      </c>
      <c r="DU52" s="14" t="s">
        <v>598</v>
      </c>
      <c r="DV52" s="14" t="s">
        <v>597</v>
      </c>
      <c r="DW52" s="14" t="s">
        <v>598</v>
      </c>
      <c r="DX52" s="14" t="s">
        <v>598</v>
      </c>
      <c r="DY52" s="14" t="s">
        <v>598</v>
      </c>
      <c r="DZ52" s="14" t="s">
        <v>598</v>
      </c>
      <c r="EA52" s="14" t="s">
        <v>598</v>
      </c>
      <c r="EB52" s="14" t="s">
        <v>598</v>
      </c>
      <c r="EC52" s="14" t="s">
        <v>598</v>
      </c>
      <c r="ED52" s="14" t="s">
        <v>598</v>
      </c>
      <c r="EE52" s="14" t="s">
        <v>598</v>
      </c>
      <c r="EF52" s="14" t="s">
        <v>598</v>
      </c>
      <c r="EG52" s="14" t="s">
        <v>598</v>
      </c>
      <c r="EH52" s="14" t="s">
        <v>598</v>
      </c>
      <c r="EI52" s="14" t="s">
        <v>598</v>
      </c>
      <c r="EJ52" s="14" t="s">
        <v>598</v>
      </c>
      <c r="EK52" s="14" t="s">
        <v>598</v>
      </c>
      <c r="EL52" s="14" t="s">
        <v>598</v>
      </c>
      <c r="EM52" s="14" t="s">
        <v>598</v>
      </c>
      <c r="EN52" s="14" t="s">
        <v>598</v>
      </c>
      <c r="EO52" s="14" t="s">
        <v>598</v>
      </c>
      <c r="EP52" s="14" t="s">
        <v>598</v>
      </c>
      <c r="EQ52" s="14" t="s">
        <v>598</v>
      </c>
      <c r="ER52" s="14" t="s">
        <v>598</v>
      </c>
      <c r="ES52" s="14" t="s">
        <v>598</v>
      </c>
      <c r="ET52" s="14">
        <v>50</v>
      </c>
      <c r="EZ52" s="14">
        <v>50</v>
      </c>
      <c r="FG52" s="14">
        <v>0</v>
      </c>
      <c r="FN52" s="14">
        <v>0</v>
      </c>
      <c r="FU52" s="14">
        <v>0</v>
      </c>
      <c r="FV52" s="14">
        <v>1</v>
      </c>
      <c r="GB52" s="14">
        <v>1</v>
      </c>
      <c r="GC52" s="14">
        <v>24</v>
      </c>
      <c r="GI52" s="14">
        <v>24</v>
      </c>
      <c r="GJ52" s="14">
        <v>16.329999999999998</v>
      </c>
      <c r="GP52" s="14">
        <v>16.329999999999998</v>
      </c>
      <c r="GQ52" s="14" t="s">
        <v>869</v>
      </c>
      <c r="GR52" s="14">
        <v>50</v>
      </c>
      <c r="GX52" s="14">
        <v>50</v>
      </c>
      <c r="GY52" s="14">
        <v>141.33000000000001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141.33000000000001</v>
      </c>
      <c r="HF52" s="14">
        <v>50</v>
      </c>
      <c r="HL52" s="14">
        <v>50</v>
      </c>
      <c r="HS52" s="14">
        <v>0</v>
      </c>
      <c r="HT52" s="14">
        <v>91.33</v>
      </c>
      <c r="HZ52" s="14">
        <v>91.33</v>
      </c>
      <c r="IG52" s="14">
        <v>0</v>
      </c>
      <c r="IN52" s="14">
        <v>0</v>
      </c>
      <c r="IO52" s="14">
        <v>141.33000000000001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141.33000000000001</v>
      </c>
      <c r="IX52" s="14">
        <v>100</v>
      </c>
      <c r="JA52" s="14">
        <v>1</v>
      </c>
      <c r="JB52" s="14">
        <v>1</v>
      </c>
      <c r="JC52" s="14">
        <v>1</v>
      </c>
      <c r="JD52" s="14" t="s">
        <v>600</v>
      </c>
      <c r="NG52" s="14" t="s">
        <v>601</v>
      </c>
      <c r="RJ52" s="14" t="s">
        <v>602</v>
      </c>
      <c r="RK52" s="14">
        <v>50</v>
      </c>
      <c r="RQ52" s="14">
        <v>50</v>
      </c>
      <c r="RX52" s="14">
        <v>0</v>
      </c>
      <c r="SE52" s="14">
        <v>0</v>
      </c>
      <c r="SL52" s="14">
        <v>0</v>
      </c>
      <c r="SM52" s="14">
        <v>1</v>
      </c>
      <c r="SS52" s="14">
        <v>1</v>
      </c>
      <c r="ST52" s="14">
        <v>24</v>
      </c>
      <c r="SZ52" s="14">
        <v>24</v>
      </c>
      <c r="TA52" s="14">
        <v>16.329999999999998</v>
      </c>
      <c r="TG52" s="14">
        <v>16.329999999999998</v>
      </c>
      <c r="TH52" s="14" t="s">
        <v>869</v>
      </c>
      <c r="TI52" s="14">
        <v>50</v>
      </c>
      <c r="TO52" s="14">
        <v>50</v>
      </c>
      <c r="TP52" s="14">
        <v>141.33000000000001</v>
      </c>
      <c r="TQ52" s="14">
        <v>0</v>
      </c>
      <c r="TR52" s="14">
        <v>0</v>
      </c>
      <c r="TS52" s="14">
        <v>0</v>
      </c>
      <c r="TT52" s="14">
        <v>0</v>
      </c>
      <c r="TU52" s="14">
        <v>0</v>
      </c>
      <c r="TV52" s="14">
        <v>141.33000000000001</v>
      </c>
      <c r="UC52" s="14">
        <v>0</v>
      </c>
      <c r="UD52" s="14">
        <v>50</v>
      </c>
      <c r="UJ52" s="14">
        <v>50</v>
      </c>
      <c r="UK52" s="14">
        <v>91.33</v>
      </c>
      <c r="UQ52" s="14">
        <v>91.33</v>
      </c>
      <c r="UX52" s="14">
        <v>0</v>
      </c>
      <c r="VE52" s="14">
        <v>0</v>
      </c>
      <c r="VF52" s="14">
        <v>141.33000000000001</v>
      </c>
      <c r="VG52" s="14">
        <v>0</v>
      </c>
      <c r="VH52" s="14">
        <v>0</v>
      </c>
      <c r="VI52" s="14">
        <v>0</v>
      </c>
      <c r="VJ52" s="14">
        <v>0</v>
      </c>
      <c r="VK52" s="14">
        <v>0</v>
      </c>
      <c r="VL52" s="14">
        <v>141.33000000000001</v>
      </c>
      <c r="VM52" s="14" t="s">
        <v>603</v>
      </c>
      <c r="ZP52" s="14" t="s">
        <v>604</v>
      </c>
      <c r="ADS52" s="14" t="s">
        <v>605</v>
      </c>
    </row>
    <row r="53" spans="1:799" x14ac:dyDescent="0.25">
      <c r="A53" s="14">
        <v>68</v>
      </c>
      <c r="B53" s="14" t="s">
        <v>859</v>
      </c>
      <c r="C53" s="16">
        <v>42746.9</v>
      </c>
      <c r="D53" s="14" t="s">
        <v>870</v>
      </c>
      <c r="E53" s="14" t="s">
        <v>871</v>
      </c>
      <c r="F53" s="14" t="str">
        <f>VLOOKUP(MID(H53,SEARCH("@",H53,1),LEN(H53)-SEARCH("@",H53,1)+1),[2]Sheet1!$D:$F,3,FALSE)</f>
        <v>NC029</v>
      </c>
      <c r="G53" s="14" t="s">
        <v>693</v>
      </c>
      <c r="H53" s="14" t="s">
        <v>872</v>
      </c>
      <c r="I53" s="14">
        <v>8184096565</v>
      </c>
      <c r="J53" s="14" t="s">
        <v>611</v>
      </c>
      <c r="K53" s="14" t="s">
        <v>596</v>
      </c>
      <c r="M53" s="14">
        <v>1</v>
      </c>
      <c r="V53" s="14">
        <v>0</v>
      </c>
      <c r="AC53" s="14">
        <v>0</v>
      </c>
      <c r="AD53" s="14">
        <v>600</v>
      </c>
      <c r="AJ53" s="14">
        <v>600</v>
      </c>
      <c r="AQ53" s="14">
        <v>0</v>
      </c>
      <c r="AX53" s="14">
        <v>0</v>
      </c>
      <c r="BE53" s="14">
        <v>0</v>
      </c>
      <c r="BF53" s="14">
        <v>600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600</v>
      </c>
      <c r="BS53" s="14">
        <v>0</v>
      </c>
      <c r="BZ53" s="14">
        <v>0</v>
      </c>
      <c r="CA53" s="14">
        <v>2</v>
      </c>
      <c r="CG53" s="14">
        <v>2</v>
      </c>
      <c r="CN53" s="14">
        <v>0</v>
      </c>
      <c r="CU53" s="14">
        <v>0</v>
      </c>
      <c r="DB53" s="14">
        <v>0</v>
      </c>
      <c r="DC53" s="14">
        <v>2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2</v>
      </c>
      <c r="DJ53" s="14" t="s">
        <v>598</v>
      </c>
      <c r="DK53" s="14" t="s">
        <v>598</v>
      </c>
      <c r="DL53" s="14" t="s">
        <v>598</v>
      </c>
      <c r="DM53" s="14" t="s">
        <v>598</v>
      </c>
      <c r="DN53" s="14" t="s">
        <v>598</v>
      </c>
      <c r="DO53" s="14" t="s">
        <v>598</v>
      </c>
      <c r="DP53" s="14" t="s">
        <v>598</v>
      </c>
      <c r="DQ53" s="14" t="s">
        <v>598</v>
      </c>
      <c r="DR53" s="14" t="s">
        <v>598</v>
      </c>
      <c r="DS53" s="14" t="s">
        <v>598</v>
      </c>
      <c r="DT53" s="14" t="s">
        <v>598</v>
      </c>
      <c r="DU53" s="14" t="s">
        <v>598</v>
      </c>
      <c r="DV53" s="14" t="s">
        <v>597</v>
      </c>
      <c r="DW53" s="14" t="s">
        <v>598</v>
      </c>
      <c r="DX53" s="14" t="s">
        <v>598</v>
      </c>
      <c r="DY53" s="14" t="s">
        <v>598</v>
      </c>
      <c r="DZ53" s="14" t="s">
        <v>598</v>
      </c>
      <c r="EA53" s="14" t="s">
        <v>598</v>
      </c>
      <c r="EB53" s="14" t="s">
        <v>598</v>
      </c>
      <c r="EC53" s="14" t="s">
        <v>598</v>
      </c>
      <c r="ED53" s="14" t="s">
        <v>598</v>
      </c>
      <c r="EE53" s="14" t="s">
        <v>598</v>
      </c>
      <c r="EF53" s="14" t="s">
        <v>598</v>
      </c>
      <c r="EG53" s="14" t="s">
        <v>598</v>
      </c>
      <c r="EH53" s="14" t="s">
        <v>598</v>
      </c>
      <c r="EI53" s="14" t="s">
        <v>598</v>
      </c>
      <c r="EJ53" s="14" t="s">
        <v>598</v>
      </c>
      <c r="EK53" s="14" t="s">
        <v>598</v>
      </c>
      <c r="EL53" s="14" t="s">
        <v>598</v>
      </c>
      <c r="EM53" s="14" t="s">
        <v>598</v>
      </c>
      <c r="EN53" s="14" t="s">
        <v>598</v>
      </c>
      <c r="EO53" s="14" t="s">
        <v>598</v>
      </c>
      <c r="EP53" s="14" t="s">
        <v>598</v>
      </c>
      <c r="EQ53" s="14" t="s">
        <v>598</v>
      </c>
      <c r="ER53" s="14" t="s">
        <v>598</v>
      </c>
      <c r="ES53" s="14" t="s">
        <v>598</v>
      </c>
      <c r="ET53" s="14">
        <v>600</v>
      </c>
      <c r="EZ53" s="14">
        <v>600</v>
      </c>
      <c r="FG53" s="14">
        <v>0</v>
      </c>
      <c r="FN53" s="14">
        <v>0</v>
      </c>
      <c r="FU53" s="14">
        <v>0</v>
      </c>
      <c r="GB53" s="14">
        <v>0</v>
      </c>
      <c r="GI53" s="14">
        <v>0</v>
      </c>
      <c r="GP53" s="14">
        <v>0</v>
      </c>
      <c r="GX53" s="14">
        <v>0</v>
      </c>
      <c r="GY53" s="14">
        <v>600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600</v>
      </c>
      <c r="HL53" s="14">
        <v>0</v>
      </c>
      <c r="HM53" s="14">
        <v>35</v>
      </c>
      <c r="HS53" s="14">
        <v>35</v>
      </c>
      <c r="HT53" s="14">
        <v>565</v>
      </c>
      <c r="HZ53" s="14">
        <v>565</v>
      </c>
      <c r="IG53" s="14">
        <v>0</v>
      </c>
      <c r="IN53" s="14">
        <v>0</v>
      </c>
      <c r="IO53" s="14">
        <v>600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600</v>
      </c>
      <c r="IV53" s="14">
        <v>0</v>
      </c>
      <c r="IW53" s="14">
        <v>20</v>
      </c>
      <c r="IX53" s="14">
        <v>80</v>
      </c>
      <c r="JA53" s="14">
        <v>2</v>
      </c>
      <c r="JB53" s="14">
        <v>2</v>
      </c>
      <c r="JC53" s="14">
        <v>1</v>
      </c>
      <c r="JD53" s="14" t="s">
        <v>600</v>
      </c>
      <c r="NG53" s="14" t="s">
        <v>601</v>
      </c>
      <c r="RJ53" s="14" t="s">
        <v>602</v>
      </c>
      <c r="RK53" s="14">
        <v>600</v>
      </c>
      <c r="RQ53" s="14">
        <v>600</v>
      </c>
      <c r="RX53" s="14">
        <v>0</v>
      </c>
      <c r="SE53" s="14">
        <v>0</v>
      </c>
      <c r="SL53" s="14">
        <v>0</v>
      </c>
      <c r="SS53" s="14">
        <v>0</v>
      </c>
      <c r="SZ53" s="14">
        <v>0</v>
      </c>
      <c r="TG53" s="14">
        <v>0</v>
      </c>
      <c r="TO53" s="14">
        <v>0</v>
      </c>
      <c r="TP53" s="14">
        <v>600</v>
      </c>
      <c r="TQ53" s="14">
        <v>0</v>
      </c>
      <c r="TR53" s="14">
        <v>0</v>
      </c>
      <c r="TS53" s="14">
        <v>0</v>
      </c>
      <c r="TT53" s="14">
        <v>0</v>
      </c>
      <c r="TU53" s="14">
        <v>0</v>
      </c>
      <c r="TV53" s="14">
        <v>600</v>
      </c>
      <c r="TW53" s="14">
        <v>35</v>
      </c>
      <c r="UC53" s="14">
        <v>35</v>
      </c>
      <c r="UJ53" s="14">
        <v>0</v>
      </c>
      <c r="UK53" s="14">
        <v>565</v>
      </c>
      <c r="UQ53" s="14">
        <v>565</v>
      </c>
      <c r="UX53" s="14">
        <v>0</v>
      </c>
      <c r="VE53" s="14">
        <v>0</v>
      </c>
      <c r="VF53" s="14">
        <v>600</v>
      </c>
      <c r="VG53" s="14">
        <v>0</v>
      </c>
      <c r="VH53" s="14">
        <v>0</v>
      </c>
      <c r="VI53" s="14">
        <v>0</v>
      </c>
      <c r="VJ53" s="14">
        <v>0</v>
      </c>
      <c r="VK53" s="14">
        <v>0</v>
      </c>
      <c r="VL53" s="14">
        <v>600</v>
      </c>
      <c r="VM53" s="14" t="s">
        <v>603</v>
      </c>
      <c r="ZP53" s="14" t="s">
        <v>604</v>
      </c>
      <c r="ADS53" s="14" t="s">
        <v>605</v>
      </c>
    </row>
    <row r="54" spans="1:799" x14ac:dyDescent="0.25">
      <c r="A54" s="14">
        <v>180</v>
      </c>
      <c r="B54" s="14" t="s">
        <v>859</v>
      </c>
      <c r="C54" s="16">
        <v>42780</v>
      </c>
      <c r="D54" s="14" t="s">
        <v>873</v>
      </c>
      <c r="E54" s="14" t="s">
        <v>874</v>
      </c>
      <c r="F54" s="14" t="str">
        <f>VLOOKUP(MID(H54,SEARCH("@",H54,1),LEN(H54)-SEARCH("@",H54,1)+1),[2]Sheet1!$D:$F,3,FALSE)</f>
        <v>NC007</v>
      </c>
      <c r="G54" s="14" t="s">
        <v>875</v>
      </c>
      <c r="H54" s="14" t="s">
        <v>876</v>
      </c>
      <c r="I54" s="14" t="s">
        <v>877</v>
      </c>
      <c r="J54" s="14" t="s">
        <v>611</v>
      </c>
      <c r="K54" s="14" t="s">
        <v>596</v>
      </c>
      <c r="M54" s="14">
        <v>1</v>
      </c>
      <c r="V54" s="14">
        <v>0</v>
      </c>
      <c r="AC54" s="14">
        <v>0</v>
      </c>
      <c r="AD54" s="14">
        <v>616.70000000000005</v>
      </c>
      <c r="AJ54" s="14">
        <v>616.70000000000005</v>
      </c>
      <c r="AQ54" s="14">
        <v>0</v>
      </c>
      <c r="AX54" s="14">
        <v>0</v>
      </c>
      <c r="BE54" s="14">
        <v>0</v>
      </c>
      <c r="BF54" s="14">
        <v>616.70000000000005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616.70000000000005</v>
      </c>
      <c r="BS54" s="14">
        <v>0</v>
      </c>
      <c r="BZ54" s="14">
        <v>0</v>
      </c>
      <c r="CA54" s="14">
        <v>2</v>
      </c>
      <c r="CG54" s="14">
        <v>2</v>
      </c>
      <c r="CN54" s="14">
        <v>0</v>
      </c>
      <c r="CU54" s="14">
        <v>0</v>
      </c>
      <c r="DB54" s="14">
        <v>0</v>
      </c>
      <c r="DC54" s="14">
        <v>2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2</v>
      </c>
      <c r="DJ54" s="14" t="s">
        <v>598</v>
      </c>
      <c r="DK54" s="14" t="s">
        <v>598</v>
      </c>
      <c r="DL54" s="14" t="s">
        <v>598</v>
      </c>
      <c r="DM54" s="14" t="s">
        <v>598</v>
      </c>
      <c r="DN54" s="14" t="s">
        <v>598</v>
      </c>
      <c r="DO54" s="14" t="s">
        <v>598</v>
      </c>
      <c r="DP54" s="14" t="s">
        <v>598</v>
      </c>
      <c r="DQ54" s="14" t="s">
        <v>598</v>
      </c>
      <c r="DR54" s="14" t="s">
        <v>598</v>
      </c>
      <c r="DS54" s="14" t="s">
        <v>598</v>
      </c>
      <c r="DT54" s="14" t="s">
        <v>598</v>
      </c>
      <c r="DU54" s="14" t="s">
        <v>598</v>
      </c>
      <c r="DV54" s="14" t="s">
        <v>597</v>
      </c>
      <c r="DW54" s="14" t="s">
        <v>598</v>
      </c>
      <c r="DX54" s="14" t="s">
        <v>598</v>
      </c>
      <c r="DY54" s="14" t="s">
        <v>598</v>
      </c>
      <c r="DZ54" s="14" t="s">
        <v>598</v>
      </c>
      <c r="EA54" s="14" t="s">
        <v>598</v>
      </c>
      <c r="EB54" s="14" t="s">
        <v>598</v>
      </c>
      <c r="EC54" s="14" t="s">
        <v>598</v>
      </c>
      <c r="ED54" s="14" t="s">
        <v>598</v>
      </c>
      <c r="EE54" s="14" t="s">
        <v>598</v>
      </c>
      <c r="EF54" s="14" t="s">
        <v>598</v>
      </c>
      <c r="EG54" s="14" t="s">
        <v>598</v>
      </c>
      <c r="EH54" s="14" t="s">
        <v>598</v>
      </c>
      <c r="EI54" s="14" t="s">
        <v>598</v>
      </c>
      <c r="EJ54" s="14" t="s">
        <v>598</v>
      </c>
      <c r="EK54" s="14" t="s">
        <v>598</v>
      </c>
      <c r="EL54" s="14" t="s">
        <v>598</v>
      </c>
      <c r="EM54" s="14" t="s">
        <v>598</v>
      </c>
      <c r="EN54" s="14" t="s">
        <v>598</v>
      </c>
      <c r="EO54" s="14" t="s">
        <v>598</v>
      </c>
      <c r="EP54" s="14" t="s">
        <v>598</v>
      </c>
      <c r="EQ54" s="14" t="s">
        <v>598</v>
      </c>
      <c r="ER54" s="14" t="s">
        <v>598</v>
      </c>
      <c r="ES54" s="14" t="s">
        <v>598</v>
      </c>
      <c r="ET54" s="14">
        <v>609.9</v>
      </c>
      <c r="EZ54" s="14">
        <v>609.9</v>
      </c>
      <c r="FG54" s="14">
        <v>0</v>
      </c>
      <c r="FN54" s="14">
        <v>0</v>
      </c>
      <c r="FU54" s="14">
        <v>0</v>
      </c>
      <c r="FV54" s="14">
        <v>6.8</v>
      </c>
      <c r="GB54" s="14">
        <v>6.8</v>
      </c>
      <c r="GI54" s="14">
        <v>0</v>
      </c>
      <c r="GP54" s="14">
        <v>0</v>
      </c>
      <c r="GX54" s="14">
        <v>0</v>
      </c>
      <c r="GY54" s="14">
        <v>616.70000000000005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616.70000000000005</v>
      </c>
      <c r="HL54" s="14">
        <v>0</v>
      </c>
      <c r="HS54" s="14">
        <v>0</v>
      </c>
      <c r="HT54" s="14">
        <v>616.70000000000005</v>
      </c>
      <c r="HZ54" s="14">
        <v>616.70000000000005</v>
      </c>
      <c r="IG54" s="14">
        <v>0</v>
      </c>
      <c r="IN54" s="14">
        <v>0</v>
      </c>
      <c r="IO54" s="14">
        <v>616.70000000000005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616.70000000000005</v>
      </c>
      <c r="IX54" s="14">
        <v>100</v>
      </c>
      <c r="JA54" s="14">
        <v>3</v>
      </c>
      <c r="JB54" s="14">
        <v>3</v>
      </c>
      <c r="JC54" s="14">
        <v>1</v>
      </c>
      <c r="JD54" s="14" t="s">
        <v>600</v>
      </c>
      <c r="NG54" s="14" t="s">
        <v>601</v>
      </c>
      <c r="RJ54" s="14" t="s">
        <v>602</v>
      </c>
      <c r="RK54" s="14">
        <v>609.9</v>
      </c>
      <c r="RQ54" s="14">
        <v>609.9</v>
      </c>
      <c r="RX54" s="14">
        <v>0</v>
      </c>
      <c r="SE54" s="14">
        <v>0</v>
      </c>
      <c r="SL54" s="14">
        <v>0</v>
      </c>
      <c r="SM54" s="14">
        <v>6.8</v>
      </c>
      <c r="SS54" s="14">
        <v>6.8</v>
      </c>
      <c r="SZ54" s="14">
        <v>0</v>
      </c>
      <c r="TG54" s="14">
        <v>0</v>
      </c>
      <c r="TO54" s="14">
        <v>0</v>
      </c>
      <c r="TP54" s="14">
        <v>616.70000000000005</v>
      </c>
      <c r="TQ54" s="14">
        <v>0</v>
      </c>
      <c r="TR54" s="14">
        <v>0</v>
      </c>
      <c r="TS54" s="14">
        <v>0</v>
      </c>
      <c r="TT54" s="14">
        <v>0</v>
      </c>
      <c r="TU54" s="14">
        <v>0</v>
      </c>
      <c r="TV54" s="14">
        <v>616.70000000000005</v>
      </c>
      <c r="UC54" s="14">
        <v>0</v>
      </c>
      <c r="UJ54" s="14">
        <v>0</v>
      </c>
      <c r="UK54" s="14">
        <v>616.70000000000005</v>
      </c>
      <c r="UQ54" s="14">
        <v>616.70000000000005</v>
      </c>
      <c r="UX54" s="14">
        <v>0</v>
      </c>
      <c r="VE54" s="14">
        <v>0</v>
      </c>
      <c r="VF54" s="14">
        <v>616.70000000000005</v>
      </c>
      <c r="VG54" s="14">
        <v>0</v>
      </c>
      <c r="VH54" s="14">
        <v>0</v>
      </c>
      <c r="VI54" s="14">
        <v>0</v>
      </c>
      <c r="VJ54" s="14">
        <v>0</v>
      </c>
      <c r="VK54" s="14">
        <v>0</v>
      </c>
      <c r="VL54" s="14">
        <v>616.70000000000005</v>
      </c>
      <c r="VM54" s="14" t="s">
        <v>603</v>
      </c>
      <c r="ZP54" s="14" t="s">
        <v>604</v>
      </c>
      <c r="ADS54" s="14" t="s">
        <v>605</v>
      </c>
    </row>
    <row r="55" spans="1:799" x14ac:dyDescent="0.25">
      <c r="A55" s="14">
        <v>165</v>
      </c>
      <c r="B55" s="14" t="s">
        <v>859</v>
      </c>
      <c r="C55" s="16">
        <v>42769.956250000003</v>
      </c>
      <c r="D55" s="14" t="s">
        <v>878</v>
      </c>
      <c r="E55" s="14" t="s">
        <v>879</v>
      </c>
      <c r="F55" s="14" t="str">
        <f>VLOOKUP(MID(H55,SEARCH("@",H55,1),LEN(H55)-SEARCH("@",H55,1)+1),[2]Sheet1!$D:$F,3,FALSE)</f>
        <v>NC020</v>
      </c>
      <c r="G55" s="14" t="s">
        <v>880</v>
      </c>
      <c r="H55" s="14" t="s">
        <v>881</v>
      </c>
      <c r="I55" s="14" t="s">
        <v>882</v>
      </c>
      <c r="J55" s="14" t="s">
        <v>611</v>
      </c>
      <c r="K55" s="14" t="s">
        <v>596</v>
      </c>
      <c r="M55" s="14">
        <v>1</v>
      </c>
      <c r="V55" s="14">
        <v>0</v>
      </c>
      <c r="AC55" s="14">
        <v>0</v>
      </c>
      <c r="AD55" s="14">
        <v>225</v>
      </c>
      <c r="AJ55" s="14">
        <v>225</v>
      </c>
      <c r="AQ55" s="14">
        <v>0</v>
      </c>
      <c r="AX55" s="14">
        <v>0</v>
      </c>
      <c r="BE55" s="14">
        <v>0</v>
      </c>
      <c r="BF55" s="14">
        <v>225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225</v>
      </c>
      <c r="BS55" s="14">
        <v>0</v>
      </c>
      <c r="BZ55" s="14">
        <v>0</v>
      </c>
      <c r="CA55" s="14">
        <v>1</v>
      </c>
      <c r="CG55" s="14">
        <v>1</v>
      </c>
      <c r="CN55" s="14">
        <v>0</v>
      </c>
      <c r="CU55" s="14">
        <v>0</v>
      </c>
      <c r="DB55" s="14">
        <v>0</v>
      </c>
      <c r="DC55" s="14">
        <v>1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1</v>
      </c>
      <c r="DJ55" s="14" t="s">
        <v>598</v>
      </c>
      <c r="DK55" s="14" t="s">
        <v>598</v>
      </c>
      <c r="DL55" s="14" t="s">
        <v>598</v>
      </c>
      <c r="DM55" s="14" t="s">
        <v>598</v>
      </c>
      <c r="DN55" s="14" t="s">
        <v>598</v>
      </c>
      <c r="DO55" s="14" t="s">
        <v>598</v>
      </c>
      <c r="DP55" s="14" t="s">
        <v>598</v>
      </c>
      <c r="DQ55" s="14" t="s">
        <v>598</v>
      </c>
      <c r="DR55" s="14" t="s">
        <v>598</v>
      </c>
      <c r="DS55" s="14" t="s">
        <v>598</v>
      </c>
      <c r="DT55" s="14" t="s">
        <v>598</v>
      </c>
      <c r="DU55" s="14" t="s">
        <v>598</v>
      </c>
      <c r="DV55" s="14" t="s">
        <v>597</v>
      </c>
      <c r="DW55" s="14" t="s">
        <v>598</v>
      </c>
      <c r="DX55" s="14" t="s">
        <v>598</v>
      </c>
      <c r="DY55" s="14" t="s">
        <v>598</v>
      </c>
      <c r="DZ55" s="14" t="s">
        <v>598</v>
      </c>
      <c r="EA55" s="14" t="s">
        <v>598</v>
      </c>
      <c r="EB55" s="14" t="s">
        <v>598</v>
      </c>
      <c r="EC55" s="14" t="s">
        <v>598</v>
      </c>
      <c r="ED55" s="14" t="s">
        <v>598</v>
      </c>
      <c r="EE55" s="14" t="s">
        <v>598</v>
      </c>
      <c r="EF55" s="14" t="s">
        <v>598</v>
      </c>
      <c r="EG55" s="14" t="s">
        <v>598</v>
      </c>
      <c r="EH55" s="14" t="s">
        <v>598</v>
      </c>
      <c r="EI55" s="14" t="s">
        <v>598</v>
      </c>
      <c r="EJ55" s="14" t="s">
        <v>598</v>
      </c>
      <c r="EK55" s="14" t="s">
        <v>598</v>
      </c>
      <c r="EL55" s="14" t="s">
        <v>598</v>
      </c>
      <c r="EM55" s="14" t="s">
        <v>598</v>
      </c>
      <c r="EN55" s="14" t="s">
        <v>598</v>
      </c>
      <c r="EO55" s="14" t="s">
        <v>598</v>
      </c>
      <c r="EP55" s="14" t="s">
        <v>598</v>
      </c>
      <c r="EQ55" s="14" t="s">
        <v>598</v>
      </c>
      <c r="ER55" s="14" t="s">
        <v>598</v>
      </c>
      <c r="ES55" s="14" t="s">
        <v>598</v>
      </c>
      <c r="ET55" s="14">
        <v>225</v>
      </c>
      <c r="EZ55" s="14">
        <v>225</v>
      </c>
      <c r="FG55" s="14">
        <v>0</v>
      </c>
      <c r="FN55" s="14">
        <v>0</v>
      </c>
      <c r="FU55" s="14">
        <v>0</v>
      </c>
      <c r="GB55" s="14">
        <v>0</v>
      </c>
      <c r="GI55" s="14">
        <v>0</v>
      </c>
      <c r="GP55" s="14">
        <v>0</v>
      </c>
      <c r="GX55" s="14">
        <v>0</v>
      </c>
      <c r="GY55" s="14">
        <v>225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225</v>
      </c>
      <c r="HL55" s="14">
        <v>0</v>
      </c>
      <c r="HS55" s="14">
        <v>0</v>
      </c>
      <c r="HT55" s="14">
        <v>225</v>
      </c>
      <c r="HZ55" s="14">
        <v>225</v>
      </c>
      <c r="IG55" s="14">
        <v>0</v>
      </c>
      <c r="IN55" s="14">
        <v>0</v>
      </c>
      <c r="IO55" s="14">
        <v>225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225</v>
      </c>
      <c r="IV55" s="14">
        <v>100</v>
      </c>
      <c r="JA55" s="14">
        <v>2</v>
      </c>
      <c r="JB55" s="14">
        <v>2</v>
      </c>
      <c r="JC55" s="14">
        <v>2</v>
      </c>
      <c r="JD55" s="14" t="s">
        <v>600</v>
      </c>
      <c r="NG55" s="14" t="s">
        <v>601</v>
      </c>
      <c r="RJ55" s="14" t="s">
        <v>602</v>
      </c>
      <c r="RK55" s="14">
        <v>225</v>
      </c>
      <c r="RQ55" s="14">
        <v>225</v>
      </c>
      <c r="RX55" s="14">
        <v>0</v>
      </c>
      <c r="SE55" s="14">
        <v>0</v>
      </c>
      <c r="SL55" s="14">
        <v>0</v>
      </c>
      <c r="SS55" s="14">
        <v>0</v>
      </c>
      <c r="SZ55" s="14">
        <v>0</v>
      </c>
      <c r="TG55" s="14">
        <v>0</v>
      </c>
      <c r="TO55" s="14">
        <v>0</v>
      </c>
      <c r="TP55" s="14">
        <v>225</v>
      </c>
      <c r="TQ55" s="14">
        <v>0</v>
      </c>
      <c r="TR55" s="14">
        <v>0</v>
      </c>
      <c r="TS55" s="14">
        <v>0</v>
      </c>
      <c r="TT55" s="14">
        <v>0</v>
      </c>
      <c r="TU55" s="14">
        <v>0</v>
      </c>
      <c r="TV55" s="14">
        <v>225</v>
      </c>
      <c r="UC55" s="14">
        <v>0</v>
      </c>
      <c r="UJ55" s="14">
        <v>0</v>
      </c>
      <c r="UK55" s="14">
        <v>225</v>
      </c>
      <c r="UQ55" s="14">
        <v>225</v>
      </c>
      <c r="UX55" s="14">
        <v>0</v>
      </c>
      <c r="VE55" s="14">
        <v>0</v>
      </c>
      <c r="VF55" s="14">
        <v>225</v>
      </c>
      <c r="VG55" s="14">
        <v>0</v>
      </c>
      <c r="VH55" s="14">
        <v>0</v>
      </c>
      <c r="VI55" s="14">
        <v>0</v>
      </c>
      <c r="VJ55" s="14">
        <v>0</v>
      </c>
      <c r="VK55" s="14">
        <v>0</v>
      </c>
      <c r="VL55" s="14">
        <v>225</v>
      </c>
      <c r="VM55" s="14" t="s">
        <v>603</v>
      </c>
      <c r="ZP55" s="14" t="s">
        <v>604</v>
      </c>
      <c r="ADS55" s="14" t="s">
        <v>605</v>
      </c>
    </row>
    <row r="56" spans="1:799" x14ac:dyDescent="0.25">
      <c r="A56" s="14">
        <v>65</v>
      </c>
      <c r="B56" s="14" t="s">
        <v>859</v>
      </c>
      <c r="C56" s="16">
        <v>42780</v>
      </c>
      <c r="D56" s="14" t="s">
        <v>883</v>
      </c>
      <c r="E56" s="14" t="s">
        <v>884</v>
      </c>
      <c r="F56" s="14" t="str">
        <f>VLOOKUP(MID(H56,SEARCH("@",H56,1),LEN(H56)-SEARCH("@",H56,1)+1),[2]Sheet1!$D:$F,3,FALSE)</f>
        <v>NC003</v>
      </c>
      <c r="G56" s="14" t="s">
        <v>885</v>
      </c>
      <c r="H56" s="14" t="s">
        <v>886</v>
      </c>
      <c r="I56" s="14" t="s">
        <v>887</v>
      </c>
      <c r="J56" s="14" t="s">
        <v>611</v>
      </c>
      <c r="K56" s="14" t="s">
        <v>596</v>
      </c>
      <c r="M56" s="14">
        <v>2</v>
      </c>
      <c r="N56" s="14">
        <v>6</v>
      </c>
      <c r="O56" s="14" t="s">
        <v>888</v>
      </c>
      <c r="V56" s="14">
        <v>0</v>
      </c>
      <c r="AC56" s="14">
        <v>0</v>
      </c>
      <c r="AJ56" s="14">
        <v>0</v>
      </c>
      <c r="AQ56" s="14">
        <v>0</v>
      </c>
      <c r="AX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S56" s="14">
        <v>0</v>
      </c>
      <c r="BZ56" s="14">
        <v>0</v>
      </c>
      <c r="CG56" s="14">
        <v>0</v>
      </c>
      <c r="CN56" s="14">
        <v>0</v>
      </c>
      <c r="CU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 t="s">
        <v>598</v>
      </c>
      <c r="DK56" s="14" t="s">
        <v>598</v>
      </c>
      <c r="DL56" s="14" t="s">
        <v>598</v>
      </c>
      <c r="DM56" s="14" t="s">
        <v>598</v>
      </c>
      <c r="DN56" s="14" t="s">
        <v>598</v>
      </c>
      <c r="DO56" s="14" t="s">
        <v>598</v>
      </c>
      <c r="DP56" s="14" t="s">
        <v>598</v>
      </c>
      <c r="DQ56" s="14" t="s">
        <v>598</v>
      </c>
      <c r="DR56" s="14" t="s">
        <v>598</v>
      </c>
      <c r="DS56" s="14" t="s">
        <v>598</v>
      </c>
      <c r="DT56" s="14" t="s">
        <v>598</v>
      </c>
      <c r="DU56" s="14" t="s">
        <v>598</v>
      </c>
      <c r="DV56" s="14" t="s">
        <v>598</v>
      </c>
      <c r="DW56" s="14" t="s">
        <v>598</v>
      </c>
      <c r="DX56" s="14" t="s">
        <v>598</v>
      </c>
      <c r="DY56" s="14" t="s">
        <v>598</v>
      </c>
      <c r="DZ56" s="14" t="s">
        <v>598</v>
      </c>
      <c r="EA56" s="14" t="s">
        <v>598</v>
      </c>
      <c r="EB56" s="14" t="s">
        <v>598</v>
      </c>
      <c r="EC56" s="14" t="s">
        <v>598</v>
      </c>
      <c r="ED56" s="14" t="s">
        <v>598</v>
      </c>
      <c r="EE56" s="14" t="s">
        <v>598</v>
      </c>
      <c r="EF56" s="14" t="s">
        <v>598</v>
      </c>
      <c r="EG56" s="14" t="s">
        <v>598</v>
      </c>
      <c r="EH56" s="14" t="s">
        <v>598</v>
      </c>
      <c r="EI56" s="14" t="s">
        <v>598</v>
      </c>
      <c r="EJ56" s="14" t="s">
        <v>598</v>
      </c>
      <c r="EK56" s="14" t="s">
        <v>598</v>
      </c>
      <c r="EL56" s="14" t="s">
        <v>598</v>
      </c>
      <c r="EM56" s="14" t="s">
        <v>598</v>
      </c>
      <c r="EN56" s="14" t="s">
        <v>598</v>
      </c>
      <c r="EO56" s="14" t="s">
        <v>598</v>
      </c>
      <c r="EP56" s="14" t="s">
        <v>598</v>
      </c>
      <c r="EQ56" s="14" t="s">
        <v>598</v>
      </c>
      <c r="ER56" s="14" t="s">
        <v>598</v>
      </c>
      <c r="ES56" s="14" t="s">
        <v>598</v>
      </c>
      <c r="EZ56" s="14">
        <v>0</v>
      </c>
      <c r="FG56" s="14">
        <v>0</v>
      </c>
      <c r="FN56" s="14">
        <v>0</v>
      </c>
      <c r="FU56" s="14">
        <v>0</v>
      </c>
      <c r="GB56" s="14">
        <v>0</v>
      </c>
      <c r="GI56" s="14">
        <v>0</v>
      </c>
      <c r="GP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L56" s="14">
        <v>0</v>
      </c>
      <c r="HS56" s="14">
        <v>0</v>
      </c>
      <c r="HZ56" s="14">
        <v>0</v>
      </c>
      <c r="IG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JA56" s="14">
        <v>1</v>
      </c>
      <c r="JB56" s="14">
        <v>3</v>
      </c>
      <c r="JC56" s="14">
        <v>1</v>
      </c>
      <c r="JD56" s="14" t="s">
        <v>600</v>
      </c>
      <c r="NG56" s="14" t="s">
        <v>601</v>
      </c>
      <c r="RJ56" s="14" t="s">
        <v>602</v>
      </c>
      <c r="VM56" s="14" t="s">
        <v>603</v>
      </c>
      <c r="ZP56" s="14" t="s">
        <v>604</v>
      </c>
      <c r="ADS56" s="14" t="s">
        <v>605</v>
      </c>
    </row>
    <row r="57" spans="1:799" x14ac:dyDescent="0.25">
      <c r="A57" s="14">
        <v>109</v>
      </c>
      <c r="B57" s="14" t="s">
        <v>889</v>
      </c>
      <c r="C57" s="16">
        <v>42755.96875</v>
      </c>
      <c r="D57" s="14" t="s">
        <v>890</v>
      </c>
      <c r="E57" s="14" t="s">
        <v>891</v>
      </c>
      <c r="F57" s="14" t="str">
        <f>VLOOKUP(MID(H57,SEARCH("@",H57,1),LEN(H57)-SEARCH("@",H57,1)+1),[2]Sheet1!$D:$F,3,FALSE)</f>
        <v>M2556</v>
      </c>
      <c r="G57" s="14" t="s">
        <v>892</v>
      </c>
      <c r="H57" s="14" t="s">
        <v>893</v>
      </c>
      <c r="I57" s="14">
        <v>4989122238961</v>
      </c>
      <c r="J57" s="14" t="s">
        <v>894</v>
      </c>
      <c r="K57" s="14" t="s">
        <v>732</v>
      </c>
      <c r="M57" s="14">
        <v>1</v>
      </c>
      <c r="V57" s="14">
        <v>0</v>
      </c>
      <c r="W57" s="14">
        <v>100</v>
      </c>
      <c r="AC57" s="14">
        <v>100</v>
      </c>
      <c r="AJ57" s="14">
        <v>0</v>
      </c>
      <c r="AQ57" s="14">
        <v>0</v>
      </c>
      <c r="AX57" s="14">
        <v>0</v>
      </c>
      <c r="BE57" s="14">
        <v>0</v>
      </c>
      <c r="BF57" s="14">
        <v>100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100</v>
      </c>
      <c r="BS57" s="14">
        <v>0</v>
      </c>
      <c r="BT57" s="14">
        <v>2</v>
      </c>
      <c r="BZ57" s="14">
        <v>2</v>
      </c>
      <c r="CG57" s="14">
        <v>0</v>
      </c>
      <c r="CN57" s="14">
        <v>0</v>
      </c>
      <c r="CU57" s="14">
        <v>0</v>
      </c>
      <c r="DB57" s="14">
        <v>0</v>
      </c>
      <c r="DC57" s="14">
        <v>2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2</v>
      </c>
      <c r="DJ57" s="14" t="s">
        <v>598</v>
      </c>
      <c r="DK57" s="14" t="s">
        <v>598</v>
      </c>
      <c r="DL57" s="14" t="s">
        <v>598</v>
      </c>
      <c r="DM57" s="14" t="s">
        <v>598</v>
      </c>
      <c r="DN57" s="14" t="s">
        <v>598</v>
      </c>
      <c r="DO57" s="14" t="s">
        <v>598</v>
      </c>
      <c r="DP57" s="14" t="s">
        <v>597</v>
      </c>
      <c r="DQ57" s="14" t="s">
        <v>598</v>
      </c>
      <c r="DR57" s="14" t="s">
        <v>598</v>
      </c>
      <c r="DS57" s="14" t="s">
        <v>598</v>
      </c>
      <c r="DT57" s="14" t="s">
        <v>598</v>
      </c>
      <c r="DU57" s="14" t="s">
        <v>598</v>
      </c>
      <c r="DV57" s="14" t="s">
        <v>598</v>
      </c>
      <c r="DW57" s="14" t="s">
        <v>598</v>
      </c>
      <c r="DX57" s="14" t="s">
        <v>598</v>
      </c>
      <c r="DY57" s="14" t="s">
        <v>598</v>
      </c>
      <c r="DZ57" s="14" t="s">
        <v>598</v>
      </c>
      <c r="EA57" s="14" t="s">
        <v>598</v>
      </c>
      <c r="EB57" s="14" t="s">
        <v>598</v>
      </c>
      <c r="EC57" s="14" t="s">
        <v>598</v>
      </c>
      <c r="ED57" s="14" t="s">
        <v>598</v>
      </c>
      <c r="EE57" s="14" t="s">
        <v>598</v>
      </c>
      <c r="EF57" s="14" t="s">
        <v>598</v>
      </c>
      <c r="EG57" s="14" t="s">
        <v>598</v>
      </c>
      <c r="EH57" s="14" t="s">
        <v>598</v>
      </c>
      <c r="EI57" s="14" t="s">
        <v>598</v>
      </c>
      <c r="EJ57" s="14" t="s">
        <v>598</v>
      </c>
      <c r="EK57" s="14" t="s">
        <v>598</v>
      </c>
      <c r="EL57" s="14" t="s">
        <v>598</v>
      </c>
      <c r="EM57" s="14" t="s">
        <v>598</v>
      </c>
      <c r="EN57" s="14" t="s">
        <v>598</v>
      </c>
      <c r="EO57" s="14" t="s">
        <v>598</v>
      </c>
      <c r="EP57" s="14" t="s">
        <v>598</v>
      </c>
      <c r="EQ57" s="14" t="s">
        <v>598</v>
      </c>
      <c r="ER57" s="14" t="s">
        <v>598</v>
      </c>
      <c r="ES57" s="14" t="s">
        <v>598</v>
      </c>
      <c r="EZ57" s="14">
        <v>0</v>
      </c>
      <c r="FA57" s="14">
        <v>40</v>
      </c>
      <c r="FG57" s="14">
        <v>40</v>
      </c>
      <c r="FN57" s="14">
        <v>0</v>
      </c>
      <c r="FU57" s="14">
        <v>0</v>
      </c>
      <c r="GB57" s="14">
        <v>0</v>
      </c>
      <c r="GC57" s="14">
        <v>20</v>
      </c>
      <c r="GI57" s="14">
        <v>20</v>
      </c>
      <c r="GJ57" s="14">
        <v>40</v>
      </c>
      <c r="GP57" s="14">
        <v>40</v>
      </c>
      <c r="GX57" s="14">
        <v>0</v>
      </c>
      <c r="GY57" s="14">
        <v>100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100</v>
      </c>
      <c r="HL57" s="14">
        <v>0</v>
      </c>
      <c r="HM57" s="14">
        <v>100</v>
      </c>
      <c r="HS57" s="14">
        <v>100</v>
      </c>
      <c r="HZ57" s="14">
        <v>0</v>
      </c>
      <c r="IG57" s="14">
        <v>0</v>
      </c>
      <c r="IN57" s="14">
        <v>0</v>
      </c>
      <c r="IO57" s="14">
        <v>100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100</v>
      </c>
      <c r="IY57" s="14" t="s">
        <v>895</v>
      </c>
      <c r="IZ57" s="14">
        <v>100</v>
      </c>
      <c r="JA57" s="14">
        <v>1</v>
      </c>
      <c r="JB57" s="14">
        <v>3</v>
      </c>
      <c r="JC57" s="14">
        <v>1</v>
      </c>
      <c r="JD57" s="14" t="s">
        <v>600</v>
      </c>
      <c r="NG57" s="14" t="s">
        <v>601</v>
      </c>
      <c r="NN57" s="14">
        <v>0</v>
      </c>
      <c r="NO57" s="14">
        <v>40</v>
      </c>
      <c r="NU57" s="14">
        <v>40</v>
      </c>
      <c r="OB57" s="14">
        <v>0</v>
      </c>
      <c r="OI57" s="14">
        <v>0</v>
      </c>
      <c r="OP57" s="14">
        <v>0</v>
      </c>
      <c r="OQ57" s="14">
        <v>20</v>
      </c>
      <c r="OW57" s="14">
        <v>20</v>
      </c>
      <c r="OX57" s="14">
        <v>40</v>
      </c>
      <c r="PD57" s="14">
        <v>40</v>
      </c>
      <c r="PL57" s="14">
        <v>0</v>
      </c>
      <c r="PM57" s="14">
        <v>100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100</v>
      </c>
      <c r="PT57" s="14">
        <v>100</v>
      </c>
      <c r="PZ57" s="14">
        <v>100</v>
      </c>
      <c r="QG57" s="14">
        <v>0</v>
      </c>
      <c r="QN57" s="14">
        <v>0</v>
      </c>
      <c r="QU57" s="14">
        <v>0</v>
      </c>
      <c r="RB57" s="14">
        <v>0</v>
      </c>
      <c r="RC57" s="14">
        <v>100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100</v>
      </c>
      <c r="RJ57" s="14" t="s">
        <v>602</v>
      </c>
      <c r="VM57" s="14" t="s">
        <v>603</v>
      </c>
      <c r="ZP57" s="14" t="s">
        <v>604</v>
      </c>
      <c r="ADS57" s="14" t="s">
        <v>605</v>
      </c>
    </row>
    <row r="58" spans="1:799" x14ac:dyDescent="0.25">
      <c r="A58" s="14">
        <v>169</v>
      </c>
      <c r="B58" s="14" t="s">
        <v>889</v>
      </c>
      <c r="C58" s="16">
        <v>42772.517361111109</v>
      </c>
      <c r="D58" s="14" t="s">
        <v>896</v>
      </c>
      <c r="E58" s="14" t="s">
        <v>897</v>
      </c>
      <c r="F58" s="14" t="str">
        <f>VLOOKUP(MID(H58,SEARCH("@",H58,1),LEN(H58)-SEARCH("@",H58,1)+1),[2]Sheet1!$D:$F,3,FALSE)</f>
        <v>M305</v>
      </c>
      <c r="G58" s="14" t="s">
        <v>775</v>
      </c>
      <c r="H58" s="14" t="s">
        <v>898</v>
      </c>
      <c r="I58" s="14" t="s">
        <v>899</v>
      </c>
      <c r="J58" s="14" t="s">
        <v>900</v>
      </c>
      <c r="K58" s="14" t="s">
        <v>732</v>
      </c>
      <c r="M58" s="14">
        <v>1</v>
      </c>
      <c r="V58" s="14">
        <v>0</v>
      </c>
      <c r="W58" s="14">
        <v>596</v>
      </c>
      <c r="AC58" s="14">
        <v>596</v>
      </c>
      <c r="AJ58" s="14">
        <v>0</v>
      </c>
      <c r="AQ58" s="14">
        <v>0</v>
      </c>
      <c r="AX58" s="14">
        <v>0</v>
      </c>
      <c r="BE58" s="14">
        <v>0</v>
      </c>
      <c r="BF58" s="14">
        <v>596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596</v>
      </c>
      <c r="BS58" s="14">
        <v>0</v>
      </c>
      <c r="BT58" s="14">
        <v>1</v>
      </c>
      <c r="BZ58" s="14">
        <v>1</v>
      </c>
      <c r="CG58" s="14">
        <v>0</v>
      </c>
      <c r="CN58" s="14">
        <v>0</v>
      </c>
      <c r="CU58" s="14">
        <v>0</v>
      </c>
      <c r="DB58" s="14">
        <v>0</v>
      </c>
      <c r="DC58" s="14">
        <v>1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1</v>
      </c>
      <c r="DJ58" s="14" t="s">
        <v>598</v>
      </c>
      <c r="DK58" s="14" t="s">
        <v>598</v>
      </c>
      <c r="DL58" s="14" t="s">
        <v>598</v>
      </c>
      <c r="DM58" s="14" t="s">
        <v>598</v>
      </c>
      <c r="DN58" s="14" t="s">
        <v>598</v>
      </c>
      <c r="DO58" s="14" t="s">
        <v>598</v>
      </c>
      <c r="DP58" s="14" t="s">
        <v>597</v>
      </c>
      <c r="DQ58" s="14" t="s">
        <v>598</v>
      </c>
      <c r="DR58" s="14" t="s">
        <v>598</v>
      </c>
      <c r="DS58" s="14" t="s">
        <v>598</v>
      </c>
      <c r="DT58" s="14" t="s">
        <v>598</v>
      </c>
      <c r="DU58" s="14" t="s">
        <v>598</v>
      </c>
      <c r="DV58" s="14" t="s">
        <v>598</v>
      </c>
      <c r="DW58" s="14" t="s">
        <v>598</v>
      </c>
      <c r="DX58" s="14" t="s">
        <v>598</v>
      </c>
      <c r="DY58" s="14" t="s">
        <v>598</v>
      </c>
      <c r="DZ58" s="14" t="s">
        <v>598</v>
      </c>
      <c r="EA58" s="14" t="s">
        <v>598</v>
      </c>
      <c r="EB58" s="14" t="s">
        <v>598</v>
      </c>
      <c r="EC58" s="14" t="s">
        <v>598</v>
      </c>
      <c r="ED58" s="14" t="s">
        <v>598</v>
      </c>
      <c r="EE58" s="14" t="s">
        <v>598</v>
      </c>
      <c r="EF58" s="14" t="s">
        <v>598</v>
      </c>
      <c r="EG58" s="14" t="s">
        <v>598</v>
      </c>
      <c r="EH58" s="14" t="s">
        <v>598</v>
      </c>
      <c r="EI58" s="14" t="s">
        <v>598</v>
      </c>
      <c r="EJ58" s="14" t="s">
        <v>598</v>
      </c>
      <c r="EK58" s="14" t="s">
        <v>598</v>
      </c>
      <c r="EL58" s="14" t="s">
        <v>598</v>
      </c>
      <c r="EM58" s="14" t="s">
        <v>598</v>
      </c>
      <c r="EN58" s="14" t="s">
        <v>598</v>
      </c>
      <c r="EO58" s="14" t="s">
        <v>598</v>
      </c>
      <c r="EP58" s="14" t="s">
        <v>598</v>
      </c>
      <c r="EQ58" s="14" t="s">
        <v>598</v>
      </c>
      <c r="ER58" s="14" t="s">
        <v>598</v>
      </c>
      <c r="ES58" s="14" t="s">
        <v>598</v>
      </c>
      <c r="ET58" s="14">
        <v>195.8</v>
      </c>
      <c r="EZ58" s="14">
        <v>195.8</v>
      </c>
      <c r="FA58" s="14">
        <v>185.46</v>
      </c>
      <c r="FG58" s="14">
        <v>185.46</v>
      </c>
      <c r="FN58" s="14">
        <v>0</v>
      </c>
      <c r="FU58" s="14">
        <v>0</v>
      </c>
      <c r="GB58" s="14">
        <v>0</v>
      </c>
      <c r="GC58" s="14">
        <v>68.174999999999997</v>
      </c>
      <c r="GI58" s="14">
        <v>68.180000000000007</v>
      </c>
      <c r="GJ58" s="14">
        <v>146.56</v>
      </c>
      <c r="GP58" s="14">
        <v>146.56</v>
      </c>
      <c r="GX58" s="14">
        <v>0</v>
      </c>
      <c r="GY58" s="14">
        <v>596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596</v>
      </c>
      <c r="HL58" s="14">
        <v>0</v>
      </c>
      <c r="HM58" s="14">
        <v>416.49</v>
      </c>
      <c r="HS58" s="14">
        <v>416.49</v>
      </c>
      <c r="HT58" s="14">
        <v>170.96</v>
      </c>
      <c r="HZ58" s="14">
        <v>170.96</v>
      </c>
      <c r="IA58" s="14">
        <v>8.5500000000000007</v>
      </c>
      <c r="IG58" s="14">
        <v>8.5500000000000007</v>
      </c>
      <c r="IN58" s="14">
        <v>0</v>
      </c>
      <c r="IO58" s="14">
        <v>596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596</v>
      </c>
      <c r="IV58" s="14">
        <v>22</v>
      </c>
      <c r="IW58" s="14">
        <v>4</v>
      </c>
      <c r="IX58" s="14">
        <v>74</v>
      </c>
      <c r="JA58" s="14">
        <v>1</v>
      </c>
      <c r="JB58" s="14">
        <v>3</v>
      </c>
      <c r="JC58" s="14">
        <v>2</v>
      </c>
      <c r="JD58" s="14" t="s">
        <v>600</v>
      </c>
      <c r="NG58" s="14" t="s">
        <v>601</v>
      </c>
      <c r="NH58" s="14">
        <v>195.8</v>
      </c>
      <c r="NN58" s="14">
        <v>195.8</v>
      </c>
      <c r="NO58" s="14">
        <v>185.46</v>
      </c>
      <c r="NU58" s="14">
        <v>185.46</v>
      </c>
      <c r="OB58" s="14">
        <v>0</v>
      </c>
      <c r="OI58" s="14">
        <v>0</v>
      </c>
      <c r="OP58" s="14">
        <v>0</v>
      </c>
      <c r="OQ58" s="14">
        <v>68.174999999999997</v>
      </c>
      <c r="OW58" s="14">
        <v>68.180000000000007</v>
      </c>
      <c r="OX58" s="14">
        <v>146.565</v>
      </c>
      <c r="PD58" s="14">
        <v>146.57</v>
      </c>
      <c r="PL58" s="14">
        <v>0</v>
      </c>
      <c r="PM58" s="14">
        <v>596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596</v>
      </c>
      <c r="PT58" s="14">
        <v>416.49</v>
      </c>
      <c r="PZ58" s="14">
        <v>416.49</v>
      </c>
      <c r="QG58" s="14">
        <v>0</v>
      </c>
      <c r="QH58" s="14">
        <v>170.96</v>
      </c>
      <c r="QN58" s="14">
        <v>170.96</v>
      </c>
      <c r="QO58" s="14">
        <v>8.5500000000000007</v>
      </c>
      <c r="QU58" s="14">
        <v>8.5500000000000007</v>
      </c>
      <c r="RB58" s="14">
        <v>0</v>
      </c>
      <c r="RC58" s="14">
        <v>596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596</v>
      </c>
      <c r="RJ58" s="14" t="s">
        <v>602</v>
      </c>
      <c r="VM58" s="14" t="s">
        <v>603</v>
      </c>
      <c r="ZP58" s="14" t="s">
        <v>604</v>
      </c>
      <c r="ADS58" s="14" t="s">
        <v>605</v>
      </c>
    </row>
    <row r="59" spans="1:799" x14ac:dyDescent="0.25">
      <c r="A59" s="14">
        <v>208</v>
      </c>
      <c r="B59" s="14" t="s">
        <v>889</v>
      </c>
      <c r="C59" s="16">
        <v>42780</v>
      </c>
      <c r="D59" s="14" t="s">
        <v>901</v>
      </c>
      <c r="E59" s="14" t="s">
        <v>902</v>
      </c>
      <c r="F59" s="14" t="str">
        <f>VLOOKUP(MID(H59,SEARCH("@",H59,1),LEN(H59)-SEARCH("@",H59,1)+1),[2]Sheet1!$D:$F,3,FALSE)</f>
        <v>M119</v>
      </c>
      <c r="G59" s="14" t="s">
        <v>903</v>
      </c>
      <c r="H59" s="14" t="s">
        <v>904</v>
      </c>
      <c r="I59" s="14">
        <v>496971473504</v>
      </c>
      <c r="J59" s="14" t="s">
        <v>894</v>
      </c>
      <c r="K59" s="14" t="s">
        <v>732</v>
      </c>
      <c r="M59" s="14">
        <v>1</v>
      </c>
      <c r="V59" s="14">
        <v>0</v>
      </c>
      <c r="X59" s="14">
        <v>867.6</v>
      </c>
      <c r="Y59" s="14">
        <v>16.5</v>
      </c>
      <c r="Z59" s="14">
        <v>195</v>
      </c>
      <c r="AA59" s="14">
        <v>168</v>
      </c>
      <c r="AB59" s="14">
        <v>148</v>
      </c>
      <c r="AC59" s="14">
        <v>1395.1</v>
      </c>
      <c r="AJ59" s="14">
        <v>0</v>
      </c>
      <c r="AQ59" s="14">
        <v>0</v>
      </c>
      <c r="AX59" s="14">
        <v>0</v>
      </c>
      <c r="BE59" s="14">
        <v>0</v>
      </c>
      <c r="BF59" s="14">
        <v>0</v>
      </c>
      <c r="BG59" s="14">
        <v>867.6</v>
      </c>
      <c r="BH59" s="14">
        <v>16.5</v>
      </c>
      <c r="BI59" s="14">
        <v>195</v>
      </c>
      <c r="BJ59" s="14">
        <v>168</v>
      </c>
      <c r="BK59" s="14">
        <v>148</v>
      </c>
      <c r="BL59" s="14">
        <v>1395.1</v>
      </c>
      <c r="BS59" s="14">
        <v>0</v>
      </c>
      <c r="BU59" s="14">
        <v>7</v>
      </c>
      <c r="BV59" s="14">
        <v>1</v>
      </c>
      <c r="BW59" s="14">
        <v>1</v>
      </c>
      <c r="BX59" s="14">
        <v>1</v>
      </c>
      <c r="BY59" s="14">
        <v>4</v>
      </c>
      <c r="BZ59" s="14">
        <v>14</v>
      </c>
      <c r="CG59" s="14">
        <v>0</v>
      </c>
      <c r="CN59" s="14">
        <v>0</v>
      </c>
      <c r="CU59" s="14">
        <v>0</v>
      </c>
      <c r="DB59" s="14">
        <v>0</v>
      </c>
      <c r="DC59" s="14">
        <v>0</v>
      </c>
      <c r="DD59" s="14">
        <v>7</v>
      </c>
      <c r="DE59" s="14">
        <v>1</v>
      </c>
      <c r="DF59" s="14">
        <v>1</v>
      </c>
      <c r="DG59" s="14">
        <v>1</v>
      </c>
      <c r="DH59" s="14">
        <v>4</v>
      </c>
      <c r="DI59" s="14">
        <v>14</v>
      </c>
      <c r="DJ59" s="14" t="s">
        <v>598</v>
      </c>
      <c r="DK59" s="14" t="s">
        <v>598</v>
      </c>
      <c r="DL59" s="14" t="s">
        <v>598</v>
      </c>
      <c r="DM59" s="14" t="s">
        <v>598</v>
      </c>
      <c r="DN59" s="14" t="s">
        <v>598</v>
      </c>
      <c r="DO59" s="14" t="s">
        <v>598</v>
      </c>
      <c r="DP59" s="14" t="s">
        <v>598</v>
      </c>
      <c r="DQ59" s="14" t="s">
        <v>597</v>
      </c>
      <c r="DR59" s="14" t="s">
        <v>597</v>
      </c>
      <c r="DS59" s="14" t="s">
        <v>597</v>
      </c>
      <c r="DT59" s="14" t="s">
        <v>597</v>
      </c>
      <c r="DU59" s="14" t="s">
        <v>597</v>
      </c>
      <c r="DV59" s="14" t="s">
        <v>598</v>
      </c>
      <c r="DW59" s="14" t="s">
        <v>598</v>
      </c>
      <c r="DX59" s="14" t="s">
        <v>598</v>
      </c>
      <c r="DY59" s="14" t="s">
        <v>598</v>
      </c>
      <c r="DZ59" s="14" t="s">
        <v>598</v>
      </c>
      <c r="EA59" s="14" t="s">
        <v>598</v>
      </c>
      <c r="EB59" s="14" t="s">
        <v>598</v>
      </c>
      <c r="EC59" s="14" t="s">
        <v>598</v>
      </c>
      <c r="ED59" s="14" t="s">
        <v>598</v>
      </c>
      <c r="EE59" s="14" t="s">
        <v>598</v>
      </c>
      <c r="EF59" s="14" t="s">
        <v>598</v>
      </c>
      <c r="EG59" s="14" t="s">
        <v>598</v>
      </c>
      <c r="EH59" s="14" t="s">
        <v>598</v>
      </c>
      <c r="EI59" s="14" t="s">
        <v>598</v>
      </c>
      <c r="EJ59" s="14" t="s">
        <v>598</v>
      </c>
      <c r="EK59" s="14" t="s">
        <v>598</v>
      </c>
      <c r="EL59" s="14" t="s">
        <v>598</v>
      </c>
      <c r="EM59" s="14" t="s">
        <v>598</v>
      </c>
      <c r="EN59" s="14" t="s">
        <v>598</v>
      </c>
      <c r="EO59" s="14" t="s">
        <v>598</v>
      </c>
      <c r="EP59" s="14" t="s">
        <v>598</v>
      </c>
      <c r="EQ59" s="14" t="s">
        <v>598</v>
      </c>
      <c r="ER59" s="14" t="s">
        <v>598</v>
      </c>
      <c r="ES59" s="14" t="s">
        <v>598</v>
      </c>
      <c r="EV59" s="14">
        <v>16.5</v>
      </c>
      <c r="EZ59" s="14">
        <v>16.5</v>
      </c>
      <c r="FG59" s="14">
        <v>0</v>
      </c>
      <c r="FN59" s="14">
        <v>0</v>
      </c>
      <c r="FU59" s="14">
        <v>0</v>
      </c>
      <c r="FZ59" s="14">
        <v>56</v>
      </c>
      <c r="GB59" s="14">
        <v>56</v>
      </c>
      <c r="GI59" s="14">
        <v>0</v>
      </c>
      <c r="GP59" s="14">
        <v>0</v>
      </c>
      <c r="GQ59" s="14" t="s">
        <v>905</v>
      </c>
      <c r="GS59" s="14">
        <v>867.6</v>
      </c>
      <c r="GU59" s="14">
        <v>195</v>
      </c>
      <c r="GV59" s="14">
        <v>112</v>
      </c>
      <c r="GW59" s="14">
        <v>148</v>
      </c>
      <c r="GX59" s="14">
        <v>1322.6</v>
      </c>
      <c r="GY59" s="14">
        <v>0</v>
      </c>
      <c r="GZ59" s="14">
        <v>867.6</v>
      </c>
      <c r="HA59" s="14">
        <v>16.5</v>
      </c>
      <c r="HB59" s="14">
        <v>195</v>
      </c>
      <c r="HC59" s="14">
        <v>168</v>
      </c>
      <c r="HD59" s="14">
        <v>148</v>
      </c>
      <c r="HE59" s="14">
        <v>1395.1</v>
      </c>
      <c r="HL59" s="14">
        <v>0</v>
      </c>
      <c r="HN59" s="14">
        <v>867.6</v>
      </c>
      <c r="HO59" s="14">
        <v>16.5</v>
      </c>
      <c r="HP59" s="14">
        <v>195</v>
      </c>
      <c r="HQ59" s="14">
        <v>168</v>
      </c>
      <c r="HR59" s="14">
        <v>148</v>
      </c>
      <c r="HS59" s="14">
        <v>1395.1</v>
      </c>
      <c r="HZ59" s="14">
        <v>0</v>
      </c>
      <c r="IG59" s="14">
        <v>0</v>
      </c>
      <c r="IN59" s="14">
        <v>0</v>
      </c>
      <c r="IO59" s="14">
        <v>0</v>
      </c>
      <c r="IP59" s="14">
        <v>867.6</v>
      </c>
      <c r="IQ59" s="14">
        <v>16.5</v>
      </c>
      <c r="IR59" s="14">
        <v>195</v>
      </c>
      <c r="IS59" s="14">
        <v>168</v>
      </c>
      <c r="IT59" s="14">
        <v>148</v>
      </c>
      <c r="IU59" s="14">
        <v>1395.1</v>
      </c>
      <c r="IX59" s="14">
        <v>100</v>
      </c>
      <c r="JA59" s="14">
        <v>1</v>
      </c>
      <c r="JB59" s="14">
        <v>1</v>
      </c>
      <c r="JC59" s="14">
        <v>1</v>
      </c>
      <c r="JD59" s="14" t="s">
        <v>600</v>
      </c>
      <c r="NG59" s="14" t="s">
        <v>601</v>
      </c>
      <c r="NJ59" s="14">
        <v>16.5</v>
      </c>
      <c r="NN59" s="14">
        <v>16.5</v>
      </c>
      <c r="NU59" s="14">
        <v>0</v>
      </c>
      <c r="OB59" s="14">
        <v>0</v>
      </c>
      <c r="OI59" s="14">
        <v>0</v>
      </c>
      <c r="ON59" s="14">
        <v>56</v>
      </c>
      <c r="OP59" s="14">
        <v>56</v>
      </c>
      <c r="OW59" s="14">
        <v>0</v>
      </c>
      <c r="PD59" s="14">
        <v>0</v>
      </c>
      <c r="PE59" s="14" t="s">
        <v>905</v>
      </c>
      <c r="PG59" s="14">
        <v>867.6</v>
      </c>
      <c r="PI59" s="14">
        <v>195</v>
      </c>
      <c r="PJ59" s="14">
        <v>112</v>
      </c>
      <c r="PK59" s="14">
        <v>148</v>
      </c>
      <c r="PL59" s="14">
        <v>1322.6</v>
      </c>
      <c r="PM59" s="14">
        <v>0</v>
      </c>
      <c r="PN59" s="14">
        <v>867.6</v>
      </c>
      <c r="PO59" s="14">
        <v>16.5</v>
      </c>
      <c r="PP59" s="14">
        <v>195</v>
      </c>
      <c r="PQ59" s="14">
        <v>168</v>
      </c>
      <c r="PR59" s="14">
        <v>148</v>
      </c>
      <c r="PS59" s="14">
        <v>1395.1</v>
      </c>
      <c r="PU59" s="14">
        <v>867.6</v>
      </c>
      <c r="PV59" s="14">
        <v>16.5</v>
      </c>
      <c r="PW59" s="14">
        <v>195</v>
      </c>
      <c r="PX59" s="14">
        <v>168</v>
      </c>
      <c r="PY59" s="14">
        <v>148</v>
      </c>
      <c r="PZ59" s="14">
        <v>1395.1</v>
      </c>
      <c r="QG59" s="14">
        <v>0</v>
      </c>
      <c r="QN59" s="14">
        <v>0</v>
      </c>
      <c r="QU59" s="14">
        <v>0</v>
      </c>
      <c r="RB59" s="14">
        <v>0</v>
      </c>
      <c r="RC59" s="14">
        <v>0</v>
      </c>
      <c r="RD59" s="14">
        <v>867.6</v>
      </c>
      <c r="RE59" s="14">
        <v>16.5</v>
      </c>
      <c r="RF59" s="14">
        <v>195</v>
      </c>
      <c r="RG59" s="14">
        <v>168</v>
      </c>
      <c r="RH59" s="14">
        <v>148</v>
      </c>
      <c r="RI59" s="14">
        <v>1395.1</v>
      </c>
      <c r="RJ59" s="14" t="s">
        <v>602</v>
      </c>
      <c r="VM59" s="14" t="s">
        <v>603</v>
      </c>
      <c r="ZP59" s="14" t="s">
        <v>604</v>
      </c>
      <c r="ADS59" s="14" t="s">
        <v>605</v>
      </c>
    </row>
    <row r="60" spans="1:799" x14ac:dyDescent="0.25">
      <c r="A60" s="14">
        <v>203</v>
      </c>
      <c r="B60" s="14" t="s">
        <v>889</v>
      </c>
      <c r="C60" s="16">
        <v>42779.351388888892</v>
      </c>
      <c r="D60" s="14" t="s">
        <v>906</v>
      </c>
      <c r="E60" s="14" t="s">
        <v>907</v>
      </c>
      <c r="F60" s="14" t="str">
        <f>VLOOKUP(MID(H60,SEARCH("@",H60,1),LEN(H60)-SEARCH("@",H60,1)+1),[2]Sheet1!$D:$F,3,FALSE)</f>
        <v>M369</v>
      </c>
      <c r="G60" s="14" t="s">
        <v>908</v>
      </c>
      <c r="H60" s="14" t="s">
        <v>909</v>
      </c>
      <c r="I60" s="14" t="s">
        <v>910</v>
      </c>
      <c r="J60" s="14" t="s">
        <v>894</v>
      </c>
      <c r="K60" s="14" t="s">
        <v>732</v>
      </c>
      <c r="M60" s="14">
        <v>1</v>
      </c>
      <c r="V60" s="14">
        <v>0</v>
      </c>
      <c r="W60" s="14">
        <v>40</v>
      </c>
      <c r="X60" s="14">
        <v>170</v>
      </c>
      <c r="AC60" s="14">
        <v>210</v>
      </c>
      <c r="AJ60" s="14">
        <v>0</v>
      </c>
      <c r="AQ60" s="14">
        <v>0</v>
      </c>
      <c r="AX60" s="14">
        <v>0</v>
      </c>
      <c r="BE60" s="14">
        <v>0</v>
      </c>
      <c r="BF60" s="14">
        <v>40</v>
      </c>
      <c r="BG60" s="14">
        <v>170</v>
      </c>
      <c r="BH60" s="14">
        <v>0</v>
      </c>
      <c r="BI60" s="14">
        <v>0</v>
      </c>
      <c r="BJ60" s="14">
        <v>0</v>
      </c>
      <c r="BK60" s="14">
        <v>0</v>
      </c>
      <c r="BL60" s="14">
        <v>210</v>
      </c>
      <c r="BS60" s="14">
        <v>0</v>
      </c>
      <c r="BT60" s="14">
        <v>1</v>
      </c>
      <c r="BU60" s="14">
        <v>2</v>
      </c>
      <c r="BZ60" s="14">
        <v>3</v>
      </c>
      <c r="CG60" s="14">
        <v>0</v>
      </c>
      <c r="CN60" s="14">
        <v>0</v>
      </c>
      <c r="CU60" s="14">
        <v>0</v>
      </c>
      <c r="DB60" s="14">
        <v>0</v>
      </c>
      <c r="DC60" s="14">
        <v>1</v>
      </c>
      <c r="DD60" s="14">
        <v>2</v>
      </c>
      <c r="DE60" s="14">
        <v>0</v>
      </c>
      <c r="DF60" s="14">
        <v>0</v>
      </c>
      <c r="DG60" s="14">
        <v>0</v>
      </c>
      <c r="DH60" s="14">
        <v>0</v>
      </c>
      <c r="DI60" s="14">
        <v>3</v>
      </c>
      <c r="DJ60" s="14" t="s">
        <v>598</v>
      </c>
      <c r="DK60" s="14" t="s">
        <v>598</v>
      </c>
      <c r="DL60" s="14" t="s">
        <v>598</v>
      </c>
      <c r="DM60" s="14" t="s">
        <v>598</v>
      </c>
      <c r="DN60" s="14" t="s">
        <v>598</v>
      </c>
      <c r="DO60" s="14" t="s">
        <v>598</v>
      </c>
      <c r="DP60" s="14" t="s">
        <v>597</v>
      </c>
      <c r="DQ60" s="14" t="s">
        <v>597</v>
      </c>
      <c r="DR60" s="14" t="s">
        <v>598</v>
      </c>
      <c r="DS60" s="14" t="s">
        <v>598</v>
      </c>
      <c r="DT60" s="14" t="s">
        <v>598</v>
      </c>
      <c r="DU60" s="14" t="s">
        <v>598</v>
      </c>
      <c r="DV60" s="14" t="s">
        <v>598</v>
      </c>
      <c r="DW60" s="14" t="s">
        <v>598</v>
      </c>
      <c r="DX60" s="14" t="s">
        <v>598</v>
      </c>
      <c r="DY60" s="14" t="s">
        <v>598</v>
      </c>
      <c r="DZ60" s="14" t="s">
        <v>598</v>
      </c>
      <c r="EA60" s="14" t="s">
        <v>598</v>
      </c>
      <c r="EB60" s="14" t="s">
        <v>598</v>
      </c>
      <c r="EC60" s="14" t="s">
        <v>598</v>
      </c>
      <c r="ED60" s="14" t="s">
        <v>598</v>
      </c>
      <c r="EE60" s="14" t="s">
        <v>598</v>
      </c>
      <c r="EF60" s="14" t="s">
        <v>598</v>
      </c>
      <c r="EG60" s="14" t="s">
        <v>598</v>
      </c>
      <c r="EH60" s="14" t="s">
        <v>598</v>
      </c>
      <c r="EI60" s="14" t="s">
        <v>598</v>
      </c>
      <c r="EJ60" s="14" t="s">
        <v>598</v>
      </c>
      <c r="EK60" s="14" t="s">
        <v>598</v>
      </c>
      <c r="EL60" s="14" t="s">
        <v>598</v>
      </c>
      <c r="EM60" s="14" t="s">
        <v>598</v>
      </c>
      <c r="EN60" s="14" t="s">
        <v>598</v>
      </c>
      <c r="EO60" s="14" t="s">
        <v>598</v>
      </c>
      <c r="EP60" s="14" t="s">
        <v>598</v>
      </c>
      <c r="EQ60" s="14" t="s">
        <v>598</v>
      </c>
      <c r="ER60" s="14" t="s">
        <v>598</v>
      </c>
      <c r="ES60" s="14" t="s">
        <v>598</v>
      </c>
      <c r="EU60" s="14">
        <v>150</v>
      </c>
      <c r="EZ60" s="14">
        <v>150</v>
      </c>
      <c r="FG60" s="14">
        <v>0</v>
      </c>
      <c r="FN60" s="14">
        <v>0</v>
      </c>
      <c r="FU60" s="14">
        <v>0</v>
      </c>
      <c r="FV60" s="14">
        <v>40</v>
      </c>
      <c r="FW60" s="14">
        <v>10</v>
      </c>
      <c r="GB60" s="14">
        <v>50</v>
      </c>
      <c r="GI60" s="14">
        <v>0</v>
      </c>
      <c r="GK60" s="14">
        <v>10</v>
      </c>
      <c r="GP60" s="14">
        <v>10</v>
      </c>
      <c r="GX60" s="14">
        <v>0</v>
      </c>
      <c r="GY60" s="14">
        <v>40</v>
      </c>
      <c r="GZ60" s="14">
        <v>170</v>
      </c>
      <c r="HA60" s="14">
        <v>0</v>
      </c>
      <c r="HB60" s="14">
        <v>0</v>
      </c>
      <c r="HC60" s="14">
        <v>0</v>
      </c>
      <c r="HD60" s="14">
        <v>0</v>
      </c>
      <c r="HE60" s="14">
        <v>210</v>
      </c>
      <c r="HL60" s="14">
        <v>0</v>
      </c>
      <c r="HM60" s="14">
        <v>40</v>
      </c>
      <c r="HN60" s="14">
        <v>170</v>
      </c>
      <c r="HS60" s="14">
        <v>210</v>
      </c>
      <c r="HZ60" s="14">
        <v>0</v>
      </c>
      <c r="IG60" s="14">
        <v>0</v>
      </c>
      <c r="IN60" s="14">
        <v>0</v>
      </c>
      <c r="IO60" s="14">
        <v>40</v>
      </c>
      <c r="IP60" s="14">
        <v>170</v>
      </c>
      <c r="IQ60" s="14">
        <v>0</v>
      </c>
      <c r="IR60" s="14">
        <v>0</v>
      </c>
      <c r="IS60" s="14">
        <v>0</v>
      </c>
      <c r="IT60" s="14">
        <v>0</v>
      </c>
      <c r="IU60" s="14">
        <v>210</v>
      </c>
      <c r="IV60" s="14">
        <v>0</v>
      </c>
      <c r="IW60" s="14">
        <v>80</v>
      </c>
      <c r="IX60" s="14">
        <v>20</v>
      </c>
      <c r="JA60" s="14">
        <v>3</v>
      </c>
      <c r="JB60" s="14">
        <v>3</v>
      </c>
      <c r="JC60" s="14">
        <v>1</v>
      </c>
      <c r="JD60" s="14" t="s">
        <v>600</v>
      </c>
      <c r="NG60" s="14" t="s">
        <v>601</v>
      </c>
      <c r="NI60" s="14">
        <v>150</v>
      </c>
      <c r="NN60" s="14">
        <v>150</v>
      </c>
      <c r="NU60" s="14">
        <v>0</v>
      </c>
      <c r="OB60" s="14">
        <v>0</v>
      </c>
      <c r="OI60" s="14">
        <v>0</v>
      </c>
      <c r="OJ60" s="14">
        <v>40</v>
      </c>
      <c r="OK60" s="14">
        <v>10</v>
      </c>
      <c r="OP60" s="14">
        <v>50</v>
      </c>
      <c r="OW60" s="14">
        <v>0</v>
      </c>
      <c r="OY60" s="14">
        <v>10</v>
      </c>
      <c r="PD60" s="14">
        <v>10</v>
      </c>
      <c r="PL60" s="14">
        <v>0</v>
      </c>
      <c r="PM60" s="14">
        <v>40</v>
      </c>
      <c r="PN60" s="14">
        <v>170</v>
      </c>
      <c r="PO60" s="14">
        <v>0</v>
      </c>
      <c r="PP60" s="14">
        <v>0</v>
      </c>
      <c r="PQ60" s="14">
        <v>0</v>
      </c>
      <c r="PR60" s="14">
        <v>0</v>
      </c>
      <c r="PS60" s="14">
        <v>210</v>
      </c>
      <c r="PT60" s="14">
        <v>40</v>
      </c>
      <c r="PU60" s="14">
        <v>170</v>
      </c>
      <c r="PZ60" s="14">
        <v>210</v>
      </c>
      <c r="QG60" s="14">
        <v>0</v>
      </c>
      <c r="QN60" s="14">
        <v>0</v>
      </c>
      <c r="QU60" s="14">
        <v>0</v>
      </c>
      <c r="RB60" s="14">
        <v>0</v>
      </c>
      <c r="RC60" s="14">
        <v>40</v>
      </c>
      <c r="RD60" s="14">
        <v>170</v>
      </c>
      <c r="RE60" s="14">
        <v>0</v>
      </c>
      <c r="RF60" s="14">
        <v>0</v>
      </c>
      <c r="RG60" s="14">
        <v>0</v>
      </c>
      <c r="RH60" s="14">
        <v>0</v>
      </c>
      <c r="RI60" s="14">
        <v>210</v>
      </c>
      <c r="RJ60" s="14" t="s">
        <v>602</v>
      </c>
      <c r="VM60" s="14" t="s">
        <v>603</v>
      </c>
      <c r="ZP60" s="14" t="s">
        <v>604</v>
      </c>
      <c r="ADS60" s="14" t="s">
        <v>605</v>
      </c>
    </row>
    <row r="61" spans="1:799" x14ac:dyDescent="0.25">
      <c r="A61" s="14">
        <v>202</v>
      </c>
      <c r="B61" s="14" t="s">
        <v>889</v>
      </c>
      <c r="C61" s="16">
        <v>42780</v>
      </c>
      <c r="D61" s="14" t="s">
        <v>911</v>
      </c>
      <c r="E61" s="14" t="s">
        <v>912</v>
      </c>
      <c r="F61" s="14" t="str">
        <f>VLOOKUP(MID(H61,SEARCH("@",H61,1),LEN(H61)-SEARCH("@",H61,1)+1),[2]Sheet1!$D:$F,3,FALSE)</f>
        <v>M364</v>
      </c>
      <c r="G61" s="14" t="s">
        <v>913</v>
      </c>
      <c r="H61" s="14" t="s">
        <v>914</v>
      </c>
      <c r="I61" s="14" t="s">
        <v>915</v>
      </c>
      <c r="J61" s="14" t="s">
        <v>894</v>
      </c>
      <c r="K61" s="14" t="s">
        <v>732</v>
      </c>
      <c r="M61" s="14">
        <v>1</v>
      </c>
      <c r="V61" s="14">
        <v>0</v>
      </c>
      <c r="W61" s="14">
        <v>320</v>
      </c>
      <c r="Z61" s="14">
        <v>132</v>
      </c>
      <c r="AC61" s="14">
        <v>452</v>
      </c>
      <c r="AJ61" s="14">
        <v>0</v>
      </c>
      <c r="AQ61" s="14">
        <v>0</v>
      </c>
      <c r="AX61" s="14">
        <v>0</v>
      </c>
      <c r="BE61" s="14">
        <v>0</v>
      </c>
      <c r="BF61" s="14">
        <v>320</v>
      </c>
      <c r="BG61" s="14">
        <v>0</v>
      </c>
      <c r="BH61" s="14">
        <v>0</v>
      </c>
      <c r="BI61" s="14">
        <v>132</v>
      </c>
      <c r="BJ61" s="14">
        <v>0</v>
      </c>
      <c r="BK61" s="14">
        <v>0</v>
      </c>
      <c r="BL61" s="14">
        <v>452</v>
      </c>
      <c r="BS61" s="14">
        <v>0</v>
      </c>
      <c r="BT61" s="14">
        <v>3</v>
      </c>
      <c r="BW61" s="14">
        <v>2</v>
      </c>
      <c r="BZ61" s="14">
        <v>5</v>
      </c>
      <c r="CG61" s="14">
        <v>0</v>
      </c>
      <c r="CN61" s="14">
        <v>0</v>
      </c>
      <c r="CU61" s="14">
        <v>0</v>
      </c>
      <c r="DB61" s="14">
        <v>0</v>
      </c>
      <c r="DC61" s="14">
        <v>3</v>
      </c>
      <c r="DD61" s="14">
        <v>0</v>
      </c>
      <c r="DE61" s="14">
        <v>0</v>
      </c>
      <c r="DF61" s="14">
        <v>2</v>
      </c>
      <c r="DG61" s="14">
        <v>0</v>
      </c>
      <c r="DH61" s="14">
        <v>0</v>
      </c>
      <c r="DI61" s="14">
        <v>5</v>
      </c>
      <c r="DJ61" s="14" t="s">
        <v>598</v>
      </c>
      <c r="DK61" s="14" t="s">
        <v>598</v>
      </c>
      <c r="DL61" s="14" t="s">
        <v>598</v>
      </c>
      <c r="DM61" s="14" t="s">
        <v>598</v>
      </c>
      <c r="DN61" s="14" t="s">
        <v>598</v>
      </c>
      <c r="DO61" s="14" t="s">
        <v>598</v>
      </c>
      <c r="DP61" s="14" t="s">
        <v>597</v>
      </c>
      <c r="DQ61" s="14" t="s">
        <v>598</v>
      </c>
      <c r="DR61" s="14" t="s">
        <v>598</v>
      </c>
      <c r="DS61" s="14" t="s">
        <v>597</v>
      </c>
      <c r="DT61" s="14" t="s">
        <v>598</v>
      </c>
      <c r="DU61" s="14" t="s">
        <v>598</v>
      </c>
      <c r="DV61" s="14" t="s">
        <v>598</v>
      </c>
      <c r="DW61" s="14" t="s">
        <v>598</v>
      </c>
      <c r="DX61" s="14" t="s">
        <v>598</v>
      </c>
      <c r="DY61" s="14" t="s">
        <v>598</v>
      </c>
      <c r="DZ61" s="14" t="s">
        <v>598</v>
      </c>
      <c r="EA61" s="14" t="s">
        <v>598</v>
      </c>
      <c r="EB61" s="14" t="s">
        <v>598</v>
      </c>
      <c r="EC61" s="14" t="s">
        <v>598</v>
      </c>
      <c r="ED61" s="14" t="s">
        <v>598</v>
      </c>
      <c r="EE61" s="14" t="s">
        <v>598</v>
      </c>
      <c r="EF61" s="14" t="s">
        <v>598</v>
      </c>
      <c r="EG61" s="14" t="s">
        <v>598</v>
      </c>
      <c r="EH61" s="14" t="s">
        <v>598</v>
      </c>
      <c r="EI61" s="14" t="s">
        <v>598</v>
      </c>
      <c r="EJ61" s="14" t="s">
        <v>598</v>
      </c>
      <c r="EK61" s="14" t="s">
        <v>598</v>
      </c>
      <c r="EL61" s="14" t="s">
        <v>598</v>
      </c>
      <c r="EM61" s="14" t="s">
        <v>598</v>
      </c>
      <c r="EN61" s="14" t="s">
        <v>598</v>
      </c>
      <c r="EO61" s="14" t="s">
        <v>598</v>
      </c>
      <c r="EP61" s="14" t="s">
        <v>598</v>
      </c>
      <c r="EQ61" s="14" t="s">
        <v>598</v>
      </c>
      <c r="ER61" s="14" t="s">
        <v>598</v>
      </c>
      <c r="ES61" s="14" t="s">
        <v>598</v>
      </c>
      <c r="ET61" s="14">
        <v>10</v>
      </c>
      <c r="EZ61" s="14">
        <v>10</v>
      </c>
      <c r="FA61" s="14">
        <v>300</v>
      </c>
      <c r="FD61" s="14">
        <v>132</v>
      </c>
      <c r="FG61" s="14">
        <v>432</v>
      </c>
      <c r="FN61" s="14">
        <v>0</v>
      </c>
      <c r="FU61" s="14">
        <v>0</v>
      </c>
      <c r="GB61" s="14">
        <v>0</v>
      </c>
      <c r="GC61" s="14">
        <v>10</v>
      </c>
      <c r="GI61" s="14">
        <v>10</v>
      </c>
      <c r="GP61" s="14">
        <v>0</v>
      </c>
      <c r="GX61" s="14">
        <v>0</v>
      </c>
      <c r="GY61" s="14">
        <v>320</v>
      </c>
      <c r="GZ61" s="14">
        <v>0</v>
      </c>
      <c r="HA61" s="14">
        <v>0</v>
      </c>
      <c r="HB61" s="14">
        <v>132</v>
      </c>
      <c r="HC61" s="14">
        <v>0</v>
      </c>
      <c r="HD61" s="14">
        <v>0</v>
      </c>
      <c r="HE61" s="14">
        <v>452</v>
      </c>
      <c r="HL61" s="14">
        <v>0</v>
      </c>
      <c r="HM61" s="14">
        <v>320</v>
      </c>
      <c r="HP61" s="14">
        <v>132</v>
      </c>
      <c r="HS61" s="14">
        <v>452</v>
      </c>
      <c r="HZ61" s="14">
        <v>0</v>
      </c>
      <c r="IG61" s="14">
        <v>0</v>
      </c>
      <c r="IN61" s="14">
        <v>0</v>
      </c>
      <c r="IO61" s="14">
        <v>320</v>
      </c>
      <c r="IP61" s="14">
        <v>0</v>
      </c>
      <c r="IQ61" s="14">
        <v>0</v>
      </c>
      <c r="IR61" s="14">
        <v>132</v>
      </c>
      <c r="IS61" s="14">
        <v>0</v>
      </c>
      <c r="IT61" s="14">
        <v>0</v>
      </c>
      <c r="IU61" s="14">
        <v>452</v>
      </c>
      <c r="IV61" s="14">
        <v>0</v>
      </c>
      <c r="IW61" s="14">
        <v>0</v>
      </c>
      <c r="IX61" s="14">
        <v>100</v>
      </c>
      <c r="IZ61" s="14">
        <v>0</v>
      </c>
      <c r="JA61" s="14">
        <v>1</v>
      </c>
      <c r="JB61" s="14">
        <v>3</v>
      </c>
      <c r="JC61" s="14">
        <v>1</v>
      </c>
      <c r="JD61" s="14" t="s">
        <v>600</v>
      </c>
      <c r="NG61" s="14" t="s">
        <v>601</v>
      </c>
      <c r="NH61" s="14">
        <v>10</v>
      </c>
      <c r="NN61" s="14">
        <v>10</v>
      </c>
      <c r="NO61" s="14">
        <v>300</v>
      </c>
      <c r="NR61" s="14">
        <v>132</v>
      </c>
      <c r="NU61" s="14">
        <v>432</v>
      </c>
      <c r="OB61" s="14">
        <v>0</v>
      </c>
      <c r="OI61" s="14">
        <v>0</v>
      </c>
      <c r="OP61" s="14">
        <v>0</v>
      </c>
      <c r="OQ61" s="14">
        <v>10</v>
      </c>
      <c r="OW61" s="14">
        <v>10</v>
      </c>
      <c r="PD61" s="14">
        <v>0</v>
      </c>
      <c r="PL61" s="14">
        <v>0</v>
      </c>
      <c r="PM61" s="14">
        <v>320</v>
      </c>
      <c r="PN61" s="14">
        <v>0</v>
      </c>
      <c r="PO61" s="14">
        <v>0</v>
      </c>
      <c r="PP61" s="14">
        <v>132</v>
      </c>
      <c r="PQ61" s="14">
        <v>0</v>
      </c>
      <c r="PR61" s="14">
        <v>0</v>
      </c>
      <c r="PS61" s="14">
        <v>452</v>
      </c>
      <c r="PT61" s="14">
        <v>320</v>
      </c>
      <c r="PW61" s="14">
        <v>132</v>
      </c>
      <c r="PZ61" s="14">
        <v>452</v>
      </c>
      <c r="QG61" s="14">
        <v>0</v>
      </c>
      <c r="QN61" s="14">
        <v>0</v>
      </c>
      <c r="QU61" s="14">
        <v>0</v>
      </c>
      <c r="RB61" s="14">
        <v>0</v>
      </c>
      <c r="RC61" s="14">
        <v>320</v>
      </c>
      <c r="RD61" s="14">
        <v>0</v>
      </c>
      <c r="RE61" s="14">
        <v>0</v>
      </c>
      <c r="RF61" s="14">
        <v>132</v>
      </c>
      <c r="RG61" s="14">
        <v>0</v>
      </c>
      <c r="RH61" s="14">
        <v>0</v>
      </c>
      <c r="RI61" s="14">
        <v>452</v>
      </c>
      <c r="RJ61" s="14" t="s">
        <v>602</v>
      </c>
      <c r="VM61" s="14" t="s">
        <v>603</v>
      </c>
      <c r="ZP61" s="14" t="s">
        <v>604</v>
      </c>
      <c r="ADS61" s="14" t="s">
        <v>605</v>
      </c>
    </row>
    <row r="62" spans="1:799" x14ac:dyDescent="0.25">
      <c r="A62" s="14">
        <v>147</v>
      </c>
      <c r="B62" s="14" t="s">
        <v>889</v>
      </c>
      <c r="C62" s="16">
        <v>42780</v>
      </c>
      <c r="D62" s="14" t="s">
        <v>916</v>
      </c>
      <c r="E62" s="14" t="s">
        <v>917</v>
      </c>
      <c r="F62" s="14" t="str">
        <f>VLOOKUP(MID(H62,SEARCH("@",H62,1),LEN(H62)-SEARCH("@",H62,1)+1),[2]Sheet1!$D:$F,3,FALSE)</f>
        <v>M093</v>
      </c>
      <c r="G62" s="14" t="s">
        <v>918</v>
      </c>
      <c r="H62" s="14" t="s">
        <v>919</v>
      </c>
      <c r="I62" s="14" t="s">
        <v>920</v>
      </c>
      <c r="J62" s="14" t="s">
        <v>731</v>
      </c>
      <c r="K62" s="14" t="s">
        <v>732</v>
      </c>
      <c r="M62" s="14">
        <v>1</v>
      </c>
      <c r="S62" s="14">
        <v>380</v>
      </c>
      <c r="V62" s="14">
        <v>380</v>
      </c>
      <c r="AC62" s="14">
        <v>0</v>
      </c>
      <c r="AJ62" s="14">
        <v>0</v>
      </c>
      <c r="AQ62" s="14">
        <v>0</v>
      </c>
      <c r="AX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380</v>
      </c>
      <c r="BJ62" s="14">
        <v>0</v>
      </c>
      <c r="BK62" s="14">
        <v>0</v>
      </c>
      <c r="BL62" s="14">
        <v>380</v>
      </c>
      <c r="BP62" s="14">
        <v>1</v>
      </c>
      <c r="BS62" s="14">
        <v>1</v>
      </c>
      <c r="BZ62" s="14">
        <v>0</v>
      </c>
      <c r="CG62" s="14">
        <v>0</v>
      </c>
      <c r="CN62" s="14">
        <v>0</v>
      </c>
      <c r="CU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1</v>
      </c>
      <c r="DG62" s="14">
        <v>0</v>
      </c>
      <c r="DH62" s="14">
        <v>0</v>
      </c>
      <c r="DI62" s="14">
        <v>1</v>
      </c>
      <c r="DJ62" s="14" t="s">
        <v>598</v>
      </c>
      <c r="DK62" s="14" t="s">
        <v>598</v>
      </c>
      <c r="DL62" s="14" t="s">
        <v>598</v>
      </c>
      <c r="DM62" s="14" t="s">
        <v>597</v>
      </c>
      <c r="DN62" s="14" t="s">
        <v>598</v>
      </c>
      <c r="DO62" s="14" t="s">
        <v>598</v>
      </c>
      <c r="DP62" s="14" t="s">
        <v>598</v>
      </c>
      <c r="DQ62" s="14" t="s">
        <v>598</v>
      </c>
      <c r="DR62" s="14" t="s">
        <v>598</v>
      </c>
      <c r="DS62" s="14" t="s">
        <v>598</v>
      </c>
      <c r="DT62" s="14" t="s">
        <v>598</v>
      </c>
      <c r="DU62" s="14" t="s">
        <v>598</v>
      </c>
      <c r="DV62" s="14" t="s">
        <v>598</v>
      </c>
      <c r="DW62" s="14" t="s">
        <v>598</v>
      </c>
      <c r="DX62" s="14" t="s">
        <v>598</v>
      </c>
      <c r="DY62" s="14" t="s">
        <v>598</v>
      </c>
      <c r="DZ62" s="14" t="s">
        <v>598</v>
      </c>
      <c r="EA62" s="14" t="s">
        <v>598</v>
      </c>
      <c r="EB62" s="14" t="s">
        <v>598</v>
      </c>
      <c r="EC62" s="14" t="s">
        <v>598</v>
      </c>
      <c r="ED62" s="14" t="s">
        <v>598</v>
      </c>
      <c r="EE62" s="14" t="s">
        <v>598</v>
      </c>
      <c r="EF62" s="14" t="s">
        <v>598</v>
      </c>
      <c r="EG62" s="14" t="s">
        <v>598</v>
      </c>
      <c r="EH62" s="14" t="s">
        <v>598</v>
      </c>
      <c r="EI62" s="14" t="s">
        <v>598</v>
      </c>
      <c r="EJ62" s="14" t="s">
        <v>598</v>
      </c>
      <c r="EK62" s="14" t="s">
        <v>598</v>
      </c>
      <c r="EL62" s="14" t="s">
        <v>598</v>
      </c>
      <c r="EM62" s="14" t="s">
        <v>598</v>
      </c>
      <c r="EN62" s="14" t="s">
        <v>598</v>
      </c>
      <c r="EO62" s="14" t="s">
        <v>598</v>
      </c>
      <c r="EP62" s="14" t="s">
        <v>598</v>
      </c>
      <c r="EQ62" s="14" t="s">
        <v>598</v>
      </c>
      <c r="ER62" s="14" t="s">
        <v>598</v>
      </c>
      <c r="ES62" s="14" t="s">
        <v>598</v>
      </c>
      <c r="EZ62" s="14">
        <v>0</v>
      </c>
      <c r="FG62" s="14">
        <v>0</v>
      </c>
      <c r="FK62" s="14">
        <v>378</v>
      </c>
      <c r="FN62" s="14">
        <v>378</v>
      </c>
      <c r="FU62" s="14">
        <v>0</v>
      </c>
      <c r="GB62" s="14">
        <v>0</v>
      </c>
      <c r="GI62" s="14">
        <v>0</v>
      </c>
      <c r="GP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378</v>
      </c>
      <c r="HC62" s="14">
        <v>0</v>
      </c>
      <c r="HD62" s="14">
        <v>0</v>
      </c>
      <c r="HE62" s="14">
        <v>378</v>
      </c>
      <c r="HI62" s="14">
        <v>380</v>
      </c>
      <c r="HL62" s="14">
        <v>380</v>
      </c>
      <c r="HS62" s="14">
        <v>0</v>
      </c>
      <c r="HZ62" s="14">
        <v>0</v>
      </c>
      <c r="IG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380</v>
      </c>
      <c r="IS62" s="14">
        <v>0</v>
      </c>
      <c r="IT62" s="14">
        <v>0</v>
      </c>
      <c r="IU62" s="14">
        <v>380</v>
      </c>
      <c r="IX62" s="14">
        <v>100</v>
      </c>
      <c r="JA62" s="14">
        <v>1</v>
      </c>
      <c r="JB62" s="14">
        <v>3</v>
      </c>
      <c r="JC62" s="14">
        <v>1</v>
      </c>
      <c r="JD62" s="14" t="s">
        <v>600</v>
      </c>
      <c r="JK62" s="14">
        <v>0</v>
      </c>
      <c r="JR62" s="14">
        <v>0</v>
      </c>
      <c r="JV62" s="14">
        <v>380</v>
      </c>
      <c r="JY62" s="14">
        <v>380</v>
      </c>
      <c r="KF62" s="14">
        <v>0</v>
      </c>
      <c r="KM62" s="14">
        <v>0</v>
      </c>
      <c r="KT62" s="14">
        <v>0</v>
      </c>
      <c r="LA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380</v>
      </c>
      <c r="LN62" s="14">
        <v>0</v>
      </c>
      <c r="LO62" s="14">
        <v>0</v>
      </c>
      <c r="LP62" s="14">
        <v>380</v>
      </c>
      <c r="LW62" s="14">
        <v>0</v>
      </c>
      <c r="MA62" s="14">
        <v>380</v>
      </c>
      <c r="MD62" s="14">
        <v>380</v>
      </c>
      <c r="MK62" s="14">
        <v>0</v>
      </c>
      <c r="MR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380</v>
      </c>
      <c r="ND62" s="14">
        <v>0</v>
      </c>
      <c r="NE62" s="14">
        <v>0</v>
      </c>
      <c r="NF62" s="14">
        <v>380</v>
      </c>
      <c r="NG62" s="14" t="s">
        <v>601</v>
      </c>
      <c r="RJ62" s="14" t="s">
        <v>602</v>
      </c>
      <c r="VM62" s="14" t="s">
        <v>603</v>
      </c>
      <c r="ZP62" s="14" t="s">
        <v>604</v>
      </c>
      <c r="ADS62" s="14" t="s">
        <v>605</v>
      </c>
    </row>
    <row r="63" spans="1:799" x14ac:dyDescent="0.25">
      <c r="A63" s="14">
        <v>154</v>
      </c>
      <c r="B63" s="14" t="s">
        <v>889</v>
      </c>
      <c r="C63" s="16">
        <v>42767.386111111111</v>
      </c>
      <c r="D63" s="14" t="s">
        <v>921</v>
      </c>
      <c r="E63" s="14" t="s">
        <v>922</v>
      </c>
      <c r="F63" s="14" t="str">
        <f>VLOOKUP(MID(H63,SEARCH("@",H63,1),LEN(H63)-SEARCH("@",H63,1)+1),[2]Sheet1!$D:$F,3,FALSE)</f>
        <v>M180</v>
      </c>
      <c r="G63" s="14" t="s">
        <v>807</v>
      </c>
      <c r="H63" s="14" t="s">
        <v>923</v>
      </c>
      <c r="I63" s="14">
        <v>36347035</v>
      </c>
      <c r="J63" s="14" t="s">
        <v>900</v>
      </c>
      <c r="K63" s="14" t="s">
        <v>732</v>
      </c>
      <c r="M63" s="14">
        <v>1</v>
      </c>
      <c r="P63" s="14">
        <v>36</v>
      </c>
      <c r="R63" s="14">
        <v>47</v>
      </c>
      <c r="S63" s="14">
        <v>32</v>
      </c>
      <c r="V63" s="14">
        <v>115</v>
      </c>
      <c r="W63" s="14">
        <v>95</v>
      </c>
      <c r="Z63" s="14">
        <v>100</v>
      </c>
      <c r="AC63" s="14">
        <v>195</v>
      </c>
      <c r="AD63" s="14">
        <v>53</v>
      </c>
      <c r="AF63" s="14">
        <v>37</v>
      </c>
      <c r="AG63" s="14">
        <v>105</v>
      </c>
      <c r="AJ63" s="14">
        <v>195</v>
      </c>
      <c r="AQ63" s="14">
        <v>0</v>
      </c>
      <c r="AX63" s="14">
        <v>0</v>
      </c>
      <c r="BE63" s="14">
        <v>0</v>
      </c>
      <c r="BF63" s="14">
        <v>184</v>
      </c>
      <c r="BG63" s="14">
        <v>0</v>
      </c>
      <c r="BH63" s="14">
        <v>84</v>
      </c>
      <c r="BI63" s="14">
        <v>237</v>
      </c>
      <c r="BJ63" s="14">
        <v>0</v>
      </c>
      <c r="BK63" s="14">
        <v>0</v>
      </c>
      <c r="BL63" s="14">
        <v>505</v>
      </c>
      <c r="BM63" s="14">
        <v>2</v>
      </c>
      <c r="BO63" s="14">
        <v>2</v>
      </c>
      <c r="BP63" s="14">
        <v>1</v>
      </c>
      <c r="BS63" s="14">
        <v>5</v>
      </c>
      <c r="BT63" s="14">
        <v>3</v>
      </c>
      <c r="BW63" s="14">
        <v>3</v>
      </c>
      <c r="BZ63" s="14">
        <v>6</v>
      </c>
      <c r="CA63" s="14">
        <v>2</v>
      </c>
      <c r="CC63" s="14">
        <v>1</v>
      </c>
      <c r="CD63" s="14">
        <v>3</v>
      </c>
      <c r="CG63" s="14">
        <v>6</v>
      </c>
      <c r="CN63" s="14">
        <v>0</v>
      </c>
      <c r="CU63" s="14">
        <v>0</v>
      </c>
      <c r="DB63" s="14">
        <v>0</v>
      </c>
      <c r="DC63" s="14">
        <v>7</v>
      </c>
      <c r="DD63" s="14">
        <v>0</v>
      </c>
      <c r="DE63" s="14">
        <v>3</v>
      </c>
      <c r="DF63" s="14">
        <v>7</v>
      </c>
      <c r="DG63" s="14">
        <v>0</v>
      </c>
      <c r="DH63" s="14">
        <v>0</v>
      </c>
      <c r="DI63" s="14">
        <v>17</v>
      </c>
      <c r="DJ63" s="14" t="s">
        <v>597</v>
      </c>
      <c r="DK63" s="14" t="s">
        <v>598</v>
      </c>
      <c r="DL63" s="14" t="s">
        <v>597</v>
      </c>
      <c r="DM63" s="14" t="s">
        <v>597</v>
      </c>
      <c r="DN63" s="14" t="s">
        <v>598</v>
      </c>
      <c r="DO63" s="14" t="s">
        <v>598</v>
      </c>
      <c r="DP63" s="14" t="s">
        <v>597</v>
      </c>
      <c r="DQ63" s="14" t="s">
        <v>598</v>
      </c>
      <c r="DR63" s="14" t="s">
        <v>598</v>
      </c>
      <c r="DS63" s="14" t="s">
        <v>597</v>
      </c>
      <c r="DT63" s="14" t="s">
        <v>598</v>
      </c>
      <c r="DU63" s="14" t="s">
        <v>598</v>
      </c>
      <c r="DV63" s="14" t="s">
        <v>597</v>
      </c>
      <c r="DW63" s="14" t="s">
        <v>598</v>
      </c>
      <c r="DX63" s="14" t="s">
        <v>597</v>
      </c>
      <c r="DY63" s="14" t="s">
        <v>597</v>
      </c>
      <c r="DZ63" s="14" t="s">
        <v>598</v>
      </c>
      <c r="EA63" s="14" t="s">
        <v>598</v>
      </c>
      <c r="EB63" s="14" t="s">
        <v>598</v>
      </c>
      <c r="EC63" s="14" t="s">
        <v>598</v>
      </c>
      <c r="ED63" s="14" t="s">
        <v>598</v>
      </c>
      <c r="EE63" s="14" t="s">
        <v>598</v>
      </c>
      <c r="EF63" s="14" t="s">
        <v>598</v>
      </c>
      <c r="EG63" s="14" t="s">
        <v>598</v>
      </c>
      <c r="EH63" s="14" t="s">
        <v>598</v>
      </c>
      <c r="EI63" s="14" t="s">
        <v>598</v>
      </c>
      <c r="EJ63" s="14" t="s">
        <v>598</v>
      </c>
      <c r="EK63" s="14" t="s">
        <v>598</v>
      </c>
      <c r="EL63" s="14" t="s">
        <v>598</v>
      </c>
      <c r="EM63" s="14" t="s">
        <v>598</v>
      </c>
      <c r="EN63" s="14" t="s">
        <v>598</v>
      </c>
      <c r="EO63" s="14" t="s">
        <v>598</v>
      </c>
      <c r="EP63" s="14" t="s">
        <v>598</v>
      </c>
      <c r="EQ63" s="14" t="s">
        <v>598</v>
      </c>
      <c r="ER63" s="14" t="s">
        <v>598</v>
      </c>
      <c r="ES63" s="14" t="s">
        <v>598</v>
      </c>
      <c r="ET63" s="14">
        <v>166</v>
      </c>
      <c r="EV63" s="14">
        <v>76</v>
      </c>
      <c r="EW63" s="14">
        <v>213</v>
      </c>
      <c r="EZ63" s="14">
        <v>455</v>
      </c>
      <c r="FG63" s="14">
        <v>0</v>
      </c>
      <c r="FN63" s="14">
        <v>0</v>
      </c>
      <c r="FU63" s="14">
        <v>0</v>
      </c>
      <c r="GB63" s="14">
        <v>0</v>
      </c>
      <c r="GC63" s="14">
        <v>10</v>
      </c>
      <c r="GE63" s="14">
        <v>4</v>
      </c>
      <c r="GF63" s="14">
        <v>11</v>
      </c>
      <c r="GI63" s="14">
        <v>25</v>
      </c>
      <c r="GJ63" s="14">
        <v>10</v>
      </c>
      <c r="GL63" s="14">
        <v>4</v>
      </c>
      <c r="GM63" s="14">
        <v>11</v>
      </c>
      <c r="GP63" s="14">
        <v>25</v>
      </c>
      <c r="GX63" s="14">
        <v>0</v>
      </c>
      <c r="GY63" s="14">
        <v>186</v>
      </c>
      <c r="GZ63" s="14">
        <v>0</v>
      </c>
      <c r="HA63" s="14">
        <v>84</v>
      </c>
      <c r="HB63" s="14">
        <v>235</v>
      </c>
      <c r="HC63" s="14">
        <v>0</v>
      </c>
      <c r="HD63" s="14">
        <v>0</v>
      </c>
      <c r="HE63" s="14">
        <v>505</v>
      </c>
      <c r="HL63" s="14">
        <v>0</v>
      </c>
      <c r="HM63" s="14">
        <v>184</v>
      </c>
      <c r="HO63" s="14">
        <v>84</v>
      </c>
      <c r="HP63" s="14">
        <v>237</v>
      </c>
      <c r="HS63" s="14">
        <v>505</v>
      </c>
      <c r="HZ63" s="14">
        <v>0</v>
      </c>
      <c r="IG63" s="14">
        <v>0</v>
      </c>
      <c r="IN63" s="14">
        <v>0</v>
      </c>
      <c r="IO63" s="14">
        <v>184</v>
      </c>
      <c r="IP63" s="14">
        <v>0</v>
      </c>
      <c r="IQ63" s="14">
        <v>84</v>
      </c>
      <c r="IR63" s="14">
        <v>237</v>
      </c>
      <c r="IS63" s="14">
        <v>0</v>
      </c>
      <c r="IT63" s="14">
        <v>0</v>
      </c>
      <c r="IU63" s="14">
        <v>505</v>
      </c>
      <c r="IV63" s="14">
        <v>0</v>
      </c>
      <c r="IW63" s="14">
        <v>0</v>
      </c>
      <c r="IX63" s="14">
        <v>100</v>
      </c>
      <c r="JA63" s="14">
        <v>1</v>
      </c>
      <c r="JB63" s="14">
        <v>3</v>
      </c>
      <c r="JC63" s="14">
        <v>1</v>
      </c>
      <c r="JD63" s="14" t="s">
        <v>600</v>
      </c>
      <c r="JE63" s="14">
        <v>38</v>
      </c>
      <c r="JG63" s="14">
        <v>17</v>
      </c>
      <c r="JH63" s="14">
        <v>49</v>
      </c>
      <c r="JK63" s="14">
        <v>104</v>
      </c>
      <c r="JR63" s="14">
        <v>0</v>
      </c>
      <c r="JY63" s="14">
        <v>0</v>
      </c>
      <c r="KF63" s="14">
        <v>0</v>
      </c>
      <c r="KM63" s="14">
        <v>0</v>
      </c>
      <c r="KN63" s="14">
        <v>2</v>
      </c>
      <c r="KP63" s="14">
        <v>1</v>
      </c>
      <c r="KQ63" s="14">
        <v>2.5</v>
      </c>
      <c r="KT63" s="14">
        <v>5.5</v>
      </c>
      <c r="KU63" s="14">
        <v>2</v>
      </c>
      <c r="KW63" s="14">
        <v>1</v>
      </c>
      <c r="KX63" s="14">
        <v>2.5</v>
      </c>
      <c r="LA63" s="14">
        <v>5.5</v>
      </c>
      <c r="LI63" s="14">
        <v>0</v>
      </c>
      <c r="LJ63" s="14">
        <v>42</v>
      </c>
      <c r="LK63" s="14">
        <v>0</v>
      </c>
      <c r="LL63" s="14">
        <v>19</v>
      </c>
      <c r="LM63" s="14">
        <v>54</v>
      </c>
      <c r="LN63" s="14">
        <v>0</v>
      </c>
      <c r="LO63" s="14">
        <v>0</v>
      </c>
      <c r="LP63" s="14">
        <v>115</v>
      </c>
      <c r="LQ63" s="14">
        <v>42</v>
      </c>
      <c r="LS63" s="14">
        <v>19</v>
      </c>
      <c r="LT63" s="14">
        <v>54</v>
      </c>
      <c r="LW63" s="14">
        <v>115</v>
      </c>
      <c r="MD63" s="14">
        <v>0</v>
      </c>
      <c r="MK63" s="14">
        <v>0</v>
      </c>
      <c r="MR63" s="14">
        <v>0</v>
      </c>
      <c r="MY63" s="14">
        <v>0</v>
      </c>
      <c r="MZ63" s="14">
        <v>42</v>
      </c>
      <c r="NA63" s="14">
        <v>0</v>
      </c>
      <c r="NB63" s="14">
        <v>19</v>
      </c>
      <c r="NC63" s="14">
        <v>54</v>
      </c>
      <c r="ND63" s="14">
        <v>0</v>
      </c>
      <c r="NE63" s="14">
        <v>0</v>
      </c>
      <c r="NF63" s="14">
        <v>115</v>
      </c>
      <c r="NG63" s="14" t="s">
        <v>601</v>
      </c>
      <c r="NH63" s="14">
        <v>64</v>
      </c>
      <c r="NJ63" s="14">
        <v>29</v>
      </c>
      <c r="NK63" s="14">
        <v>82</v>
      </c>
      <c r="NN63" s="14">
        <v>175</v>
      </c>
      <c r="NU63" s="14">
        <v>0</v>
      </c>
      <c r="OB63" s="14">
        <v>0</v>
      </c>
      <c r="OI63" s="14">
        <v>0</v>
      </c>
      <c r="OP63" s="14">
        <v>0</v>
      </c>
      <c r="OQ63" s="14">
        <v>3</v>
      </c>
      <c r="OS63" s="14">
        <v>2</v>
      </c>
      <c r="OT63" s="14">
        <v>5</v>
      </c>
      <c r="OW63" s="14">
        <v>10</v>
      </c>
      <c r="OX63" s="14">
        <v>3</v>
      </c>
      <c r="OZ63" s="14">
        <v>2</v>
      </c>
      <c r="PA63" s="14">
        <v>5</v>
      </c>
      <c r="PD63" s="14">
        <v>10</v>
      </c>
      <c r="PL63" s="14">
        <v>0</v>
      </c>
      <c r="PM63" s="14">
        <v>70</v>
      </c>
      <c r="PN63" s="14">
        <v>0</v>
      </c>
      <c r="PO63" s="14">
        <v>33</v>
      </c>
      <c r="PP63" s="14">
        <v>92</v>
      </c>
      <c r="PQ63" s="14">
        <v>0</v>
      </c>
      <c r="PR63" s="14">
        <v>0</v>
      </c>
      <c r="PS63" s="14">
        <v>195</v>
      </c>
      <c r="PT63" s="14">
        <v>71</v>
      </c>
      <c r="PV63" s="14">
        <v>32</v>
      </c>
      <c r="PW63" s="14">
        <v>92</v>
      </c>
      <c r="PZ63" s="14">
        <v>195</v>
      </c>
      <c r="QG63" s="14">
        <v>0</v>
      </c>
      <c r="QN63" s="14">
        <v>0</v>
      </c>
      <c r="QU63" s="14">
        <v>0</v>
      </c>
      <c r="RB63" s="14">
        <v>0</v>
      </c>
      <c r="RC63" s="14">
        <v>71</v>
      </c>
      <c r="RD63" s="14">
        <v>0</v>
      </c>
      <c r="RE63" s="14">
        <v>32</v>
      </c>
      <c r="RF63" s="14">
        <v>92</v>
      </c>
      <c r="RG63" s="14">
        <v>0</v>
      </c>
      <c r="RH63" s="14">
        <v>0</v>
      </c>
      <c r="RI63" s="14">
        <v>195</v>
      </c>
      <c r="RJ63" s="14" t="s">
        <v>602</v>
      </c>
      <c r="RK63" s="14">
        <v>64</v>
      </c>
      <c r="RM63" s="14">
        <v>29</v>
      </c>
      <c r="RN63" s="14">
        <v>82</v>
      </c>
      <c r="RQ63" s="14">
        <v>175</v>
      </c>
      <c r="RX63" s="14">
        <v>0</v>
      </c>
      <c r="SE63" s="14">
        <v>0</v>
      </c>
      <c r="SL63" s="14">
        <v>0</v>
      </c>
      <c r="SS63" s="14">
        <v>0</v>
      </c>
      <c r="ST63" s="14">
        <v>3</v>
      </c>
      <c r="SV63" s="14">
        <v>2</v>
      </c>
      <c r="SW63" s="14">
        <v>5</v>
      </c>
      <c r="SZ63" s="14">
        <v>10</v>
      </c>
      <c r="TA63" s="14">
        <v>3</v>
      </c>
      <c r="TC63" s="14">
        <v>2</v>
      </c>
      <c r="TD63" s="14">
        <v>5</v>
      </c>
      <c r="TG63" s="14">
        <v>10</v>
      </c>
      <c r="TO63" s="14">
        <v>0</v>
      </c>
      <c r="TP63" s="14">
        <v>70</v>
      </c>
      <c r="TQ63" s="14">
        <v>0</v>
      </c>
      <c r="TR63" s="14">
        <v>33</v>
      </c>
      <c r="TS63" s="14">
        <v>92</v>
      </c>
      <c r="TT63" s="14">
        <v>0</v>
      </c>
      <c r="TU63" s="14">
        <v>0</v>
      </c>
      <c r="TV63" s="14">
        <v>195</v>
      </c>
      <c r="TW63" s="14">
        <v>71</v>
      </c>
      <c r="TY63" s="14">
        <v>32</v>
      </c>
      <c r="TZ63" s="14">
        <v>92</v>
      </c>
      <c r="UC63" s="14">
        <v>195</v>
      </c>
      <c r="UJ63" s="14">
        <v>0</v>
      </c>
      <c r="UQ63" s="14">
        <v>0</v>
      </c>
      <c r="UX63" s="14">
        <v>0</v>
      </c>
      <c r="VE63" s="14">
        <v>0</v>
      </c>
      <c r="VF63" s="14">
        <v>71</v>
      </c>
      <c r="VG63" s="14">
        <v>0</v>
      </c>
      <c r="VH63" s="14">
        <v>32</v>
      </c>
      <c r="VI63" s="14">
        <v>92</v>
      </c>
      <c r="VJ63" s="14">
        <v>0</v>
      </c>
      <c r="VK63" s="14">
        <v>0</v>
      </c>
      <c r="VL63" s="14">
        <v>195</v>
      </c>
      <c r="VM63" s="14" t="s">
        <v>603</v>
      </c>
      <c r="ZP63" s="14" t="s">
        <v>604</v>
      </c>
      <c r="ADS63" s="14" t="s">
        <v>605</v>
      </c>
    </row>
    <row r="64" spans="1:799" x14ac:dyDescent="0.25">
      <c r="A64" s="14">
        <v>189</v>
      </c>
      <c r="B64" s="14" t="s">
        <v>889</v>
      </c>
      <c r="C64" s="16">
        <v>42780</v>
      </c>
      <c r="D64" s="14" t="s">
        <v>924</v>
      </c>
      <c r="E64" s="14" t="s">
        <v>925</v>
      </c>
      <c r="F64" s="14" t="str">
        <f>VLOOKUP(MID(H64,SEARCH("@",H64,1),LEN(H64)-SEARCH("@",H64,1)+1),[2]Sheet1!$D:$F,3,FALSE)</f>
        <v>M250</v>
      </c>
      <c r="G64" s="14" t="s">
        <v>926</v>
      </c>
      <c r="H64" s="14" t="s">
        <v>927</v>
      </c>
      <c r="I64" s="14">
        <v>442079614311</v>
      </c>
      <c r="J64" s="14" t="s">
        <v>731</v>
      </c>
      <c r="K64" s="14" t="s">
        <v>732</v>
      </c>
      <c r="M64" s="14">
        <v>1</v>
      </c>
      <c r="V64" s="14">
        <v>0</v>
      </c>
      <c r="W64" s="14">
        <v>120</v>
      </c>
      <c r="X64" s="14">
        <v>150</v>
      </c>
      <c r="AC64" s="14">
        <v>270</v>
      </c>
      <c r="AJ64" s="14">
        <v>0</v>
      </c>
      <c r="AQ64" s="14">
        <v>0</v>
      </c>
      <c r="AX64" s="14">
        <v>0</v>
      </c>
      <c r="BE64" s="14">
        <v>0</v>
      </c>
      <c r="BF64" s="14">
        <v>120</v>
      </c>
      <c r="BG64" s="14">
        <v>150</v>
      </c>
      <c r="BH64" s="14">
        <v>0</v>
      </c>
      <c r="BI64" s="14">
        <v>0</v>
      </c>
      <c r="BJ64" s="14">
        <v>0</v>
      </c>
      <c r="BK64" s="14">
        <v>0</v>
      </c>
      <c r="BL64" s="14">
        <v>270</v>
      </c>
      <c r="BS64" s="14">
        <v>0</v>
      </c>
      <c r="BT64" s="14">
        <v>2</v>
      </c>
      <c r="BU64" s="14">
        <v>1</v>
      </c>
      <c r="BZ64" s="14">
        <v>3</v>
      </c>
      <c r="CG64" s="14">
        <v>0</v>
      </c>
      <c r="CN64" s="14">
        <v>0</v>
      </c>
      <c r="CU64" s="14">
        <v>0</v>
      </c>
      <c r="DB64" s="14">
        <v>0</v>
      </c>
      <c r="DC64" s="14">
        <v>2</v>
      </c>
      <c r="DD64" s="14">
        <v>1</v>
      </c>
      <c r="DE64" s="14">
        <v>0</v>
      </c>
      <c r="DF64" s="14">
        <v>0</v>
      </c>
      <c r="DG64" s="14">
        <v>0</v>
      </c>
      <c r="DH64" s="14">
        <v>0</v>
      </c>
      <c r="DI64" s="14">
        <v>3</v>
      </c>
      <c r="DJ64" s="14" t="s">
        <v>598</v>
      </c>
      <c r="DK64" s="14" t="s">
        <v>598</v>
      </c>
      <c r="DL64" s="14" t="s">
        <v>598</v>
      </c>
      <c r="DM64" s="14" t="s">
        <v>598</v>
      </c>
      <c r="DN64" s="14" t="s">
        <v>598</v>
      </c>
      <c r="DO64" s="14" t="s">
        <v>598</v>
      </c>
      <c r="DP64" s="14" t="s">
        <v>597</v>
      </c>
      <c r="DQ64" s="14" t="s">
        <v>597</v>
      </c>
      <c r="DR64" s="14" t="s">
        <v>598</v>
      </c>
      <c r="DS64" s="14" t="s">
        <v>598</v>
      </c>
      <c r="DT64" s="14" t="s">
        <v>598</v>
      </c>
      <c r="DU64" s="14" t="s">
        <v>598</v>
      </c>
      <c r="DV64" s="14" t="s">
        <v>598</v>
      </c>
      <c r="DW64" s="14" t="s">
        <v>598</v>
      </c>
      <c r="DX64" s="14" t="s">
        <v>598</v>
      </c>
      <c r="DY64" s="14" t="s">
        <v>598</v>
      </c>
      <c r="DZ64" s="14" t="s">
        <v>598</v>
      </c>
      <c r="EA64" s="14" t="s">
        <v>598</v>
      </c>
      <c r="EB64" s="14" t="s">
        <v>598</v>
      </c>
      <c r="EC64" s="14" t="s">
        <v>598</v>
      </c>
      <c r="ED64" s="14" t="s">
        <v>598</v>
      </c>
      <c r="EE64" s="14" t="s">
        <v>598</v>
      </c>
      <c r="EF64" s="14" t="s">
        <v>598</v>
      </c>
      <c r="EG64" s="14" t="s">
        <v>598</v>
      </c>
      <c r="EH64" s="14" t="s">
        <v>598</v>
      </c>
      <c r="EI64" s="14" t="s">
        <v>598</v>
      </c>
      <c r="EJ64" s="14" t="s">
        <v>598</v>
      </c>
      <c r="EK64" s="14" t="s">
        <v>598</v>
      </c>
      <c r="EL64" s="14" t="s">
        <v>598</v>
      </c>
      <c r="EM64" s="14" t="s">
        <v>598</v>
      </c>
      <c r="EN64" s="14" t="s">
        <v>598</v>
      </c>
      <c r="EO64" s="14" t="s">
        <v>598</v>
      </c>
      <c r="EP64" s="14" t="s">
        <v>598</v>
      </c>
      <c r="EQ64" s="14" t="s">
        <v>598</v>
      </c>
      <c r="ER64" s="14" t="s">
        <v>598</v>
      </c>
      <c r="ES64" s="14" t="s">
        <v>598</v>
      </c>
      <c r="ET64" s="14">
        <v>60</v>
      </c>
      <c r="EZ64" s="14">
        <v>60</v>
      </c>
      <c r="FA64" s="14">
        <v>10</v>
      </c>
      <c r="FG64" s="14">
        <v>10</v>
      </c>
      <c r="FN64" s="14">
        <v>0</v>
      </c>
      <c r="FO64" s="14">
        <v>45</v>
      </c>
      <c r="FU64" s="14">
        <v>45</v>
      </c>
      <c r="GB64" s="14">
        <v>0</v>
      </c>
      <c r="GC64" s="14">
        <v>5</v>
      </c>
      <c r="GI64" s="14">
        <v>5</v>
      </c>
      <c r="GP64" s="14">
        <v>0</v>
      </c>
      <c r="GQ64" s="14" t="s">
        <v>928</v>
      </c>
      <c r="GS64" s="14">
        <v>150</v>
      </c>
      <c r="GX64" s="14">
        <v>150</v>
      </c>
      <c r="GY64" s="14">
        <v>120</v>
      </c>
      <c r="GZ64" s="14">
        <v>150</v>
      </c>
      <c r="HA64" s="14">
        <v>0</v>
      </c>
      <c r="HB64" s="14">
        <v>0</v>
      </c>
      <c r="HC64" s="14">
        <v>0</v>
      </c>
      <c r="HD64" s="14">
        <v>0</v>
      </c>
      <c r="HE64" s="14">
        <v>270</v>
      </c>
      <c r="HG64" s="14">
        <v>150</v>
      </c>
      <c r="HL64" s="14">
        <v>150</v>
      </c>
      <c r="HM64" s="14">
        <v>120</v>
      </c>
      <c r="HS64" s="14">
        <v>120</v>
      </c>
      <c r="HZ64" s="14">
        <v>0</v>
      </c>
      <c r="IG64" s="14">
        <v>0</v>
      </c>
      <c r="IN64" s="14">
        <v>0</v>
      </c>
      <c r="IO64" s="14">
        <v>120</v>
      </c>
      <c r="IP64" s="14">
        <v>150</v>
      </c>
      <c r="IQ64" s="14">
        <v>0</v>
      </c>
      <c r="IR64" s="14">
        <v>0</v>
      </c>
      <c r="IS64" s="14">
        <v>0</v>
      </c>
      <c r="IT64" s="14">
        <v>0</v>
      </c>
      <c r="IU64" s="14">
        <v>270</v>
      </c>
      <c r="IX64" s="14">
        <v>100</v>
      </c>
      <c r="JA64" s="14">
        <v>1</v>
      </c>
      <c r="JB64" s="14">
        <v>3</v>
      </c>
      <c r="JC64" s="14">
        <v>1</v>
      </c>
      <c r="JD64" s="14" t="s">
        <v>600</v>
      </c>
      <c r="NG64" s="14" t="s">
        <v>601</v>
      </c>
      <c r="NH64" s="14">
        <v>60</v>
      </c>
      <c r="NN64" s="14">
        <v>60</v>
      </c>
      <c r="NO64" s="14">
        <v>10</v>
      </c>
      <c r="NU64" s="14">
        <v>10</v>
      </c>
      <c r="OB64" s="14">
        <v>0</v>
      </c>
      <c r="OC64" s="14">
        <v>45</v>
      </c>
      <c r="OI64" s="14">
        <v>45</v>
      </c>
      <c r="OP64" s="14">
        <v>0</v>
      </c>
      <c r="OQ64" s="14">
        <v>5</v>
      </c>
      <c r="OW64" s="14">
        <v>5</v>
      </c>
      <c r="PD64" s="14">
        <v>0</v>
      </c>
      <c r="PE64" s="14" t="s">
        <v>928</v>
      </c>
      <c r="PG64" s="14">
        <v>150</v>
      </c>
      <c r="PL64" s="14">
        <v>150</v>
      </c>
      <c r="PM64" s="14">
        <v>120</v>
      </c>
      <c r="PN64" s="14">
        <v>150</v>
      </c>
      <c r="PO64" s="14">
        <v>0</v>
      </c>
      <c r="PP64" s="14">
        <v>0</v>
      </c>
      <c r="PQ64" s="14">
        <v>0</v>
      </c>
      <c r="PR64" s="14">
        <v>0</v>
      </c>
      <c r="PS64" s="14">
        <v>270</v>
      </c>
      <c r="PT64" s="14">
        <v>120</v>
      </c>
      <c r="PZ64" s="14">
        <v>120</v>
      </c>
      <c r="QB64" s="14">
        <v>150</v>
      </c>
      <c r="QG64" s="14">
        <v>150</v>
      </c>
      <c r="QN64" s="14">
        <v>0</v>
      </c>
      <c r="QU64" s="14">
        <v>0</v>
      </c>
      <c r="RB64" s="14">
        <v>0</v>
      </c>
      <c r="RC64" s="14">
        <v>120</v>
      </c>
      <c r="RD64" s="14">
        <v>150</v>
      </c>
      <c r="RE64" s="14">
        <v>0</v>
      </c>
      <c r="RF64" s="14">
        <v>0</v>
      </c>
      <c r="RG64" s="14">
        <v>0</v>
      </c>
      <c r="RH64" s="14">
        <v>0</v>
      </c>
      <c r="RI64" s="14">
        <v>270</v>
      </c>
      <c r="RJ64" s="14" t="s">
        <v>602</v>
      </c>
      <c r="VM64" s="14" t="s">
        <v>603</v>
      </c>
      <c r="ZP64" s="14" t="s">
        <v>604</v>
      </c>
      <c r="ADS64" s="14" t="s">
        <v>605</v>
      </c>
    </row>
    <row r="65" spans="1:799" x14ac:dyDescent="0.25">
      <c r="A65" s="14">
        <v>101</v>
      </c>
      <c r="B65" s="14" t="s">
        <v>889</v>
      </c>
      <c r="C65" s="16">
        <v>42780</v>
      </c>
      <c r="D65" s="14" t="s">
        <v>929</v>
      </c>
      <c r="E65" s="14" t="s">
        <v>930</v>
      </c>
      <c r="F65" s="14" t="str">
        <f>VLOOKUP(MID(H65,SEARCH("@",H65,1),LEN(H65)-SEARCH("@",H65,1)+1),[2]Sheet1!$D:$F,3,FALSE)</f>
        <v>M401</v>
      </c>
      <c r="G65" s="14" t="s">
        <v>931</v>
      </c>
      <c r="H65" s="14" t="s">
        <v>932</v>
      </c>
      <c r="I65" s="14">
        <v>33170375880</v>
      </c>
      <c r="J65" s="14" t="s">
        <v>611</v>
      </c>
      <c r="K65" s="14" t="s">
        <v>596</v>
      </c>
      <c r="M65" s="14">
        <v>1</v>
      </c>
      <c r="V65" s="14">
        <v>0</v>
      </c>
      <c r="AC65" s="14">
        <v>0</v>
      </c>
      <c r="AG65" s="14">
        <v>156</v>
      </c>
      <c r="AJ65" s="14">
        <v>156</v>
      </c>
      <c r="AQ65" s="14">
        <v>0</v>
      </c>
      <c r="AR65" s="14">
        <v>584</v>
      </c>
      <c r="AX65" s="14">
        <v>584</v>
      </c>
      <c r="BE65" s="14">
        <v>0</v>
      </c>
      <c r="BF65" s="14">
        <v>584</v>
      </c>
      <c r="BG65" s="14">
        <v>0</v>
      </c>
      <c r="BH65" s="14">
        <v>0</v>
      </c>
      <c r="BI65" s="14">
        <v>156</v>
      </c>
      <c r="BJ65" s="14">
        <v>0</v>
      </c>
      <c r="BK65" s="14">
        <v>0</v>
      </c>
      <c r="BL65" s="14">
        <v>740</v>
      </c>
      <c r="BS65" s="14">
        <v>0</v>
      </c>
      <c r="BZ65" s="14">
        <v>0</v>
      </c>
      <c r="CD65" s="14">
        <v>2</v>
      </c>
      <c r="CG65" s="14">
        <v>2</v>
      </c>
      <c r="CN65" s="14">
        <v>0</v>
      </c>
      <c r="CO65" s="14">
        <v>1</v>
      </c>
      <c r="CU65" s="14">
        <v>1</v>
      </c>
      <c r="DB65" s="14">
        <v>0</v>
      </c>
      <c r="DC65" s="14">
        <v>1</v>
      </c>
      <c r="DD65" s="14">
        <v>0</v>
      </c>
      <c r="DE65" s="14">
        <v>0</v>
      </c>
      <c r="DF65" s="14">
        <v>2</v>
      </c>
      <c r="DG65" s="14">
        <v>0</v>
      </c>
      <c r="DH65" s="14">
        <v>0</v>
      </c>
      <c r="DI65" s="14">
        <v>3</v>
      </c>
      <c r="DJ65" s="14" t="s">
        <v>598</v>
      </c>
      <c r="DK65" s="14" t="s">
        <v>598</v>
      </c>
      <c r="DL65" s="14" t="s">
        <v>598</v>
      </c>
      <c r="DM65" s="14" t="s">
        <v>598</v>
      </c>
      <c r="DN65" s="14" t="s">
        <v>598</v>
      </c>
      <c r="DO65" s="14" t="s">
        <v>598</v>
      </c>
      <c r="DP65" s="14" t="s">
        <v>598</v>
      </c>
      <c r="DQ65" s="14" t="s">
        <v>598</v>
      </c>
      <c r="DR65" s="14" t="s">
        <v>598</v>
      </c>
      <c r="DS65" s="14" t="s">
        <v>598</v>
      </c>
      <c r="DT65" s="14" t="s">
        <v>598</v>
      </c>
      <c r="DU65" s="14" t="s">
        <v>598</v>
      </c>
      <c r="DV65" s="14" t="s">
        <v>598</v>
      </c>
      <c r="DW65" s="14" t="s">
        <v>598</v>
      </c>
      <c r="DX65" s="14" t="s">
        <v>598</v>
      </c>
      <c r="DY65" s="14" t="s">
        <v>597</v>
      </c>
      <c r="DZ65" s="14" t="s">
        <v>598</v>
      </c>
      <c r="EA65" s="14" t="s">
        <v>598</v>
      </c>
      <c r="EB65" s="14" t="s">
        <v>598</v>
      </c>
      <c r="EC65" s="14" t="s">
        <v>598</v>
      </c>
      <c r="ED65" s="14" t="s">
        <v>598</v>
      </c>
      <c r="EE65" s="14" t="s">
        <v>598</v>
      </c>
      <c r="EF65" s="14" t="s">
        <v>598</v>
      </c>
      <c r="EG65" s="14" t="s">
        <v>598</v>
      </c>
      <c r="EH65" s="14" t="s">
        <v>597</v>
      </c>
      <c r="EI65" s="14" t="s">
        <v>598</v>
      </c>
      <c r="EJ65" s="14" t="s">
        <v>598</v>
      </c>
      <c r="EK65" s="14" t="s">
        <v>598</v>
      </c>
      <c r="EL65" s="14" t="s">
        <v>598</v>
      </c>
      <c r="EM65" s="14" t="s">
        <v>598</v>
      </c>
      <c r="EN65" s="14" t="s">
        <v>598</v>
      </c>
      <c r="EO65" s="14" t="s">
        <v>598</v>
      </c>
      <c r="EP65" s="14" t="s">
        <v>598</v>
      </c>
      <c r="EQ65" s="14" t="s">
        <v>598</v>
      </c>
      <c r="ER65" s="14" t="s">
        <v>598</v>
      </c>
      <c r="ES65" s="14" t="s">
        <v>598</v>
      </c>
      <c r="ET65" s="14">
        <v>576</v>
      </c>
      <c r="EW65" s="14">
        <v>25</v>
      </c>
      <c r="EZ65" s="14">
        <v>601</v>
      </c>
      <c r="FG65" s="14">
        <v>0</v>
      </c>
      <c r="FN65" s="14">
        <v>0</v>
      </c>
      <c r="FU65" s="14">
        <v>0</v>
      </c>
      <c r="FY65" s="14">
        <v>20</v>
      </c>
      <c r="GB65" s="14">
        <v>20</v>
      </c>
      <c r="GF65" s="14">
        <v>77</v>
      </c>
      <c r="GI65" s="14">
        <v>77</v>
      </c>
      <c r="GJ65" s="14">
        <v>0.3</v>
      </c>
      <c r="GM65" s="14">
        <v>31</v>
      </c>
      <c r="GP65" s="14">
        <v>31.3</v>
      </c>
      <c r="GQ65" s="14" t="s">
        <v>933</v>
      </c>
      <c r="GR65" s="14">
        <v>8</v>
      </c>
      <c r="GU65" s="14">
        <v>3</v>
      </c>
      <c r="GX65" s="14">
        <v>11</v>
      </c>
      <c r="GY65" s="14">
        <v>584.29999999999995</v>
      </c>
      <c r="GZ65" s="14">
        <v>0</v>
      </c>
      <c r="HA65" s="14">
        <v>0</v>
      </c>
      <c r="HB65" s="14">
        <v>156</v>
      </c>
      <c r="HC65" s="14">
        <v>0</v>
      </c>
      <c r="HD65" s="14">
        <v>0</v>
      </c>
      <c r="HE65" s="14">
        <v>740.3</v>
      </c>
      <c r="HL65" s="14">
        <v>0</v>
      </c>
      <c r="HM65" s="14">
        <v>500</v>
      </c>
      <c r="HP65" s="14">
        <v>45</v>
      </c>
      <c r="HS65" s="14">
        <v>545</v>
      </c>
      <c r="HT65" s="14">
        <v>84</v>
      </c>
      <c r="HW65" s="14">
        <v>111</v>
      </c>
      <c r="HZ65" s="14">
        <v>195</v>
      </c>
      <c r="IG65" s="14">
        <v>0</v>
      </c>
      <c r="IN65" s="14">
        <v>0</v>
      </c>
      <c r="IO65" s="14">
        <v>584</v>
      </c>
      <c r="IP65" s="14">
        <v>0</v>
      </c>
      <c r="IQ65" s="14">
        <v>0</v>
      </c>
      <c r="IR65" s="14">
        <v>156</v>
      </c>
      <c r="IS65" s="14">
        <v>0</v>
      </c>
      <c r="IT65" s="14">
        <v>0</v>
      </c>
      <c r="IU65" s="14">
        <v>740</v>
      </c>
      <c r="IX65" s="14">
        <v>100</v>
      </c>
      <c r="JA65" s="14">
        <v>1</v>
      </c>
      <c r="JB65" s="14">
        <v>1</v>
      </c>
      <c r="JC65" s="14">
        <v>1</v>
      </c>
      <c r="JD65" s="14" t="s">
        <v>600</v>
      </c>
      <c r="NG65" s="14" t="s">
        <v>601</v>
      </c>
      <c r="RJ65" s="14" t="s">
        <v>602</v>
      </c>
      <c r="VM65" s="14" t="s">
        <v>603</v>
      </c>
      <c r="ZP65" s="14" t="s">
        <v>604</v>
      </c>
      <c r="ADS65" s="14" t="s">
        <v>605</v>
      </c>
    </row>
    <row r="66" spans="1:799" x14ac:dyDescent="0.25">
      <c r="A66" s="14">
        <v>51</v>
      </c>
      <c r="B66" s="14" t="s">
        <v>889</v>
      </c>
      <c r="C66" s="16">
        <v>42766.359027777777</v>
      </c>
      <c r="D66" s="14" t="s">
        <v>934</v>
      </c>
      <c r="E66" s="14" t="s">
        <v>935</v>
      </c>
      <c r="F66" s="14" t="str">
        <f>VLOOKUP(MID(H66,SEARCH("@",H66,1),LEN(H66)-SEARCH("@",H66,1)+1),[2]Sheet1!$D:$F,3,FALSE)</f>
        <v>M636</v>
      </c>
      <c r="G66" s="14" t="s">
        <v>936</v>
      </c>
      <c r="H66" s="14" t="s">
        <v>937</v>
      </c>
      <c r="I66" s="14">
        <v>352621346143</v>
      </c>
      <c r="J66" s="14" t="s">
        <v>938</v>
      </c>
      <c r="K66" s="14" t="s">
        <v>732</v>
      </c>
      <c r="M66" s="14">
        <v>2</v>
      </c>
      <c r="N66" s="14">
        <v>6</v>
      </c>
      <c r="O66" s="14" t="s">
        <v>939</v>
      </c>
      <c r="V66" s="14">
        <v>0</v>
      </c>
      <c r="AC66" s="14">
        <v>0</v>
      </c>
      <c r="AJ66" s="14">
        <v>0</v>
      </c>
      <c r="AQ66" s="14">
        <v>0</v>
      </c>
      <c r="AX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S66" s="14">
        <v>0</v>
      </c>
      <c r="BZ66" s="14">
        <v>0</v>
      </c>
      <c r="CG66" s="14">
        <v>0</v>
      </c>
      <c r="CN66" s="14">
        <v>0</v>
      </c>
      <c r="CU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 t="s">
        <v>598</v>
      </c>
      <c r="DK66" s="14" t="s">
        <v>598</v>
      </c>
      <c r="DL66" s="14" t="s">
        <v>598</v>
      </c>
      <c r="DM66" s="14" t="s">
        <v>598</v>
      </c>
      <c r="DN66" s="14" t="s">
        <v>598</v>
      </c>
      <c r="DO66" s="14" t="s">
        <v>598</v>
      </c>
      <c r="DP66" s="14" t="s">
        <v>598</v>
      </c>
      <c r="DQ66" s="14" t="s">
        <v>598</v>
      </c>
      <c r="DR66" s="14" t="s">
        <v>598</v>
      </c>
      <c r="DS66" s="14" t="s">
        <v>598</v>
      </c>
      <c r="DT66" s="14" t="s">
        <v>598</v>
      </c>
      <c r="DU66" s="14" t="s">
        <v>598</v>
      </c>
      <c r="DV66" s="14" t="s">
        <v>598</v>
      </c>
      <c r="DW66" s="14" t="s">
        <v>598</v>
      </c>
      <c r="DX66" s="14" t="s">
        <v>598</v>
      </c>
      <c r="DY66" s="14" t="s">
        <v>598</v>
      </c>
      <c r="DZ66" s="14" t="s">
        <v>598</v>
      </c>
      <c r="EA66" s="14" t="s">
        <v>598</v>
      </c>
      <c r="EB66" s="14" t="s">
        <v>598</v>
      </c>
      <c r="EC66" s="14" t="s">
        <v>598</v>
      </c>
      <c r="ED66" s="14" t="s">
        <v>598</v>
      </c>
      <c r="EE66" s="14" t="s">
        <v>598</v>
      </c>
      <c r="EF66" s="14" t="s">
        <v>598</v>
      </c>
      <c r="EG66" s="14" t="s">
        <v>598</v>
      </c>
      <c r="EH66" s="14" t="s">
        <v>598</v>
      </c>
      <c r="EI66" s="14" t="s">
        <v>598</v>
      </c>
      <c r="EJ66" s="14" t="s">
        <v>598</v>
      </c>
      <c r="EK66" s="14" t="s">
        <v>598</v>
      </c>
      <c r="EL66" s="14" t="s">
        <v>598</v>
      </c>
      <c r="EM66" s="14" t="s">
        <v>598</v>
      </c>
      <c r="EN66" s="14" t="s">
        <v>598</v>
      </c>
      <c r="EO66" s="14" t="s">
        <v>598</v>
      </c>
      <c r="EP66" s="14" t="s">
        <v>598</v>
      </c>
      <c r="EQ66" s="14" t="s">
        <v>598</v>
      </c>
      <c r="ER66" s="14" t="s">
        <v>598</v>
      </c>
      <c r="ES66" s="14" t="s">
        <v>598</v>
      </c>
      <c r="EZ66" s="14">
        <v>0</v>
      </c>
      <c r="FG66" s="14">
        <v>0</v>
      </c>
      <c r="FN66" s="14">
        <v>0</v>
      </c>
      <c r="FU66" s="14">
        <v>0</v>
      </c>
      <c r="GB66" s="14">
        <v>0</v>
      </c>
      <c r="GI66" s="14">
        <v>0</v>
      </c>
      <c r="GP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L66" s="14">
        <v>0</v>
      </c>
      <c r="HS66" s="14">
        <v>0</v>
      </c>
      <c r="HZ66" s="14">
        <v>0</v>
      </c>
      <c r="IG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JA66" s="14">
        <v>1</v>
      </c>
      <c r="JB66" s="14">
        <v>1</v>
      </c>
      <c r="JC66" s="14">
        <v>2</v>
      </c>
      <c r="JD66" s="14" t="s">
        <v>600</v>
      </c>
      <c r="NG66" s="14" t="s">
        <v>601</v>
      </c>
      <c r="RJ66" s="14" t="s">
        <v>602</v>
      </c>
      <c r="VM66" s="14" t="s">
        <v>603</v>
      </c>
      <c r="ZP66" s="14" t="s">
        <v>604</v>
      </c>
      <c r="ADS66" s="14" t="s">
        <v>605</v>
      </c>
    </row>
    <row r="67" spans="1:799" x14ac:dyDescent="0.25">
      <c r="A67" s="14">
        <v>209</v>
      </c>
      <c r="B67" s="14" t="s">
        <v>889</v>
      </c>
      <c r="C67" s="16">
        <v>42779.479166666664</v>
      </c>
      <c r="D67" s="14" t="s">
        <v>940</v>
      </c>
      <c r="E67" s="14" t="s">
        <v>941</v>
      </c>
      <c r="F67" s="14" t="str">
        <f>VLOOKUP(MID(H67,SEARCH("@",H67,1),LEN(H67)-SEARCH("@",H67,1)+1),[2]Sheet1!$D:$F,3,FALSE)</f>
        <v>M490</v>
      </c>
      <c r="G67" s="14" t="s">
        <v>942</v>
      </c>
      <c r="H67" s="14" t="s">
        <v>943</v>
      </c>
      <c r="I67" s="14" t="s">
        <v>944</v>
      </c>
      <c r="J67" s="14" t="s">
        <v>731</v>
      </c>
      <c r="K67" s="14" t="s">
        <v>945</v>
      </c>
      <c r="M67" s="14">
        <v>1</v>
      </c>
      <c r="V67" s="14">
        <v>0</v>
      </c>
      <c r="X67" s="14">
        <v>100</v>
      </c>
      <c r="Z67" s="14">
        <v>50</v>
      </c>
      <c r="AC67" s="14">
        <v>150</v>
      </c>
      <c r="AJ67" s="14">
        <v>0</v>
      </c>
      <c r="AQ67" s="14">
        <v>0</v>
      </c>
      <c r="AX67" s="14">
        <v>0</v>
      </c>
      <c r="BE67" s="14">
        <v>0</v>
      </c>
      <c r="BF67" s="14">
        <v>0</v>
      </c>
      <c r="BG67" s="14">
        <v>100</v>
      </c>
      <c r="BH67" s="14">
        <v>0</v>
      </c>
      <c r="BI67" s="14">
        <v>50</v>
      </c>
      <c r="BJ67" s="14">
        <v>0</v>
      </c>
      <c r="BK67" s="14">
        <v>0</v>
      </c>
      <c r="BL67" s="14">
        <v>150</v>
      </c>
      <c r="BS67" s="14">
        <v>0</v>
      </c>
      <c r="BU67" s="14">
        <v>1</v>
      </c>
      <c r="BW67" s="14">
        <v>1</v>
      </c>
      <c r="BZ67" s="14">
        <v>2</v>
      </c>
      <c r="CG67" s="14">
        <v>0</v>
      </c>
      <c r="CN67" s="14">
        <v>0</v>
      </c>
      <c r="CU67" s="14">
        <v>0</v>
      </c>
      <c r="DB67" s="14">
        <v>0</v>
      </c>
      <c r="DC67" s="14">
        <v>0</v>
      </c>
      <c r="DD67" s="14">
        <v>1</v>
      </c>
      <c r="DE67" s="14">
        <v>0</v>
      </c>
      <c r="DF67" s="14">
        <v>1</v>
      </c>
      <c r="DG67" s="14">
        <v>0</v>
      </c>
      <c r="DH67" s="14">
        <v>0</v>
      </c>
      <c r="DI67" s="14">
        <v>2</v>
      </c>
      <c r="DJ67" s="14" t="s">
        <v>598</v>
      </c>
      <c r="DK67" s="14" t="s">
        <v>598</v>
      </c>
      <c r="DL67" s="14" t="s">
        <v>598</v>
      </c>
      <c r="DM67" s="14" t="s">
        <v>598</v>
      </c>
      <c r="DN67" s="14" t="s">
        <v>598</v>
      </c>
      <c r="DO67" s="14" t="s">
        <v>598</v>
      </c>
      <c r="DP67" s="14" t="s">
        <v>598</v>
      </c>
      <c r="DQ67" s="14" t="s">
        <v>597</v>
      </c>
      <c r="DR67" s="14" t="s">
        <v>598</v>
      </c>
      <c r="DS67" s="14" t="s">
        <v>597</v>
      </c>
      <c r="DT67" s="14" t="s">
        <v>598</v>
      </c>
      <c r="DU67" s="14" t="s">
        <v>598</v>
      </c>
      <c r="DV67" s="14" t="s">
        <v>598</v>
      </c>
      <c r="DW67" s="14" t="s">
        <v>598</v>
      </c>
      <c r="DX67" s="14" t="s">
        <v>598</v>
      </c>
      <c r="DY67" s="14" t="s">
        <v>598</v>
      </c>
      <c r="DZ67" s="14" t="s">
        <v>598</v>
      </c>
      <c r="EA67" s="14" t="s">
        <v>598</v>
      </c>
      <c r="EB67" s="14" t="s">
        <v>598</v>
      </c>
      <c r="EC67" s="14" t="s">
        <v>598</v>
      </c>
      <c r="ED67" s="14" t="s">
        <v>598</v>
      </c>
      <c r="EE67" s="14" t="s">
        <v>598</v>
      </c>
      <c r="EF67" s="14" t="s">
        <v>598</v>
      </c>
      <c r="EG67" s="14" t="s">
        <v>598</v>
      </c>
      <c r="EH67" s="14" t="s">
        <v>598</v>
      </c>
      <c r="EI67" s="14" t="s">
        <v>598</v>
      </c>
      <c r="EJ67" s="14" t="s">
        <v>598</v>
      </c>
      <c r="EK67" s="14" t="s">
        <v>598</v>
      </c>
      <c r="EL67" s="14" t="s">
        <v>598</v>
      </c>
      <c r="EM67" s="14" t="s">
        <v>598</v>
      </c>
      <c r="EN67" s="14" t="s">
        <v>598</v>
      </c>
      <c r="EO67" s="14" t="s">
        <v>598</v>
      </c>
      <c r="EP67" s="14" t="s">
        <v>598</v>
      </c>
      <c r="EQ67" s="14" t="s">
        <v>598</v>
      </c>
      <c r="ER67" s="14" t="s">
        <v>598</v>
      </c>
      <c r="ES67" s="14" t="s">
        <v>598</v>
      </c>
      <c r="EW67" s="14">
        <v>8</v>
      </c>
      <c r="EZ67" s="14">
        <v>8</v>
      </c>
      <c r="FG67" s="14">
        <v>0</v>
      </c>
      <c r="FN67" s="14">
        <v>0</v>
      </c>
      <c r="FP67" s="14">
        <v>100</v>
      </c>
      <c r="FU67" s="14">
        <v>100</v>
      </c>
      <c r="GB67" s="14">
        <v>0</v>
      </c>
      <c r="GI67" s="14">
        <v>0</v>
      </c>
      <c r="GP67" s="14">
        <v>0</v>
      </c>
      <c r="GQ67" s="14" t="s">
        <v>928</v>
      </c>
      <c r="GU67" s="14">
        <v>42</v>
      </c>
      <c r="GX67" s="14">
        <v>42</v>
      </c>
      <c r="GY67" s="14">
        <v>0</v>
      </c>
      <c r="GZ67" s="14">
        <v>100</v>
      </c>
      <c r="HA67" s="14">
        <v>0</v>
      </c>
      <c r="HB67" s="14">
        <v>50</v>
      </c>
      <c r="HC67" s="14">
        <v>0</v>
      </c>
      <c r="HD67" s="14">
        <v>0</v>
      </c>
      <c r="HE67" s="14">
        <v>150</v>
      </c>
      <c r="HG67" s="14">
        <v>100</v>
      </c>
      <c r="HL67" s="14">
        <v>100</v>
      </c>
      <c r="HP67" s="14">
        <v>42</v>
      </c>
      <c r="HS67" s="14">
        <v>42</v>
      </c>
      <c r="HW67" s="14">
        <v>8</v>
      </c>
      <c r="HZ67" s="14">
        <v>8</v>
      </c>
      <c r="IG67" s="14">
        <v>0</v>
      </c>
      <c r="IN67" s="14">
        <v>0</v>
      </c>
      <c r="IO67" s="14">
        <v>0</v>
      </c>
      <c r="IP67" s="14">
        <v>100</v>
      </c>
      <c r="IQ67" s="14">
        <v>0</v>
      </c>
      <c r="IR67" s="14">
        <v>50</v>
      </c>
      <c r="IS67" s="14">
        <v>0</v>
      </c>
      <c r="IT67" s="14">
        <v>0</v>
      </c>
      <c r="IU67" s="14">
        <v>150</v>
      </c>
      <c r="IV67" s="14">
        <v>67</v>
      </c>
      <c r="IX67" s="14">
        <v>33</v>
      </c>
      <c r="JA67" s="14">
        <v>1</v>
      </c>
      <c r="JB67" s="14">
        <v>3</v>
      </c>
      <c r="JC67" s="14">
        <v>2</v>
      </c>
      <c r="JD67" s="14" t="s">
        <v>600</v>
      </c>
      <c r="NG67" s="14" t="s">
        <v>601</v>
      </c>
      <c r="NK67" s="14">
        <v>8</v>
      </c>
      <c r="NN67" s="14">
        <v>8</v>
      </c>
      <c r="NU67" s="14">
        <v>0</v>
      </c>
      <c r="OB67" s="14">
        <v>0</v>
      </c>
      <c r="OD67" s="14">
        <v>100</v>
      </c>
      <c r="OI67" s="14">
        <v>100</v>
      </c>
      <c r="OP67" s="14">
        <v>0</v>
      </c>
      <c r="OW67" s="14">
        <v>0</v>
      </c>
      <c r="PD67" s="14">
        <v>0</v>
      </c>
      <c r="PE67" s="14" t="s">
        <v>928</v>
      </c>
      <c r="PI67" s="14">
        <v>42</v>
      </c>
      <c r="PL67" s="14">
        <v>42</v>
      </c>
      <c r="PM67" s="14">
        <v>0</v>
      </c>
      <c r="PN67" s="14">
        <v>100</v>
      </c>
      <c r="PO67" s="14">
        <v>0</v>
      </c>
      <c r="PP67" s="14">
        <v>50</v>
      </c>
      <c r="PQ67" s="14">
        <v>0</v>
      </c>
      <c r="PR67" s="14">
        <v>0</v>
      </c>
      <c r="PS67" s="14">
        <v>150</v>
      </c>
      <c r="PW67" s="14">
        <v>42</v>
      </c>
      <c r="PZ67" s="14">
        <v>42</v>
      </c>
      <c r="QB67" s="14">
        <v>100</v>
      </c>
      <c r="QG67" s="14">
        <v>100</v>
      </c>
      <c r="QK67" s="14">
        <v>8</v>
      </c>
      <c r="QN67" s="14">
        <v>8</v>
      </c>
      <c r="QU67" s="14">
        <v>0</v>
      </c>
      <c r="RB67" s="14">
        <v>0</v>
      </c>
      <c r="RC67" s="14">
        <v>0</v>
      </c>
      <c r="RD67" s="14">
        <v>100</v>
      </c>
      <c r="RE67" s="14">
        <v>0</v>
      </c>
      <c r="RF67" s="14">
        <v>50</v>
      </c>
      <c r="RG67" s="14">
        <v>0</v>
      </c>
      <c r="RH67" s="14">
        <v>0</v>
      </c>
      <c r="RI67" s="14">
        <v>150</v>
      </c>
      <c r="RJ67" s="14" t="s">
        <v>602</v>
      </c>
      <c r="VM67" s="14" t="s">
        <v>603</v>
      </c>
      <c r="ZP67" s="14" t="s">
        <v>604</v>
      </c>
      <c r="ADS67" s="14" t="s">
        <v>605</v>
      </c>
    </row>
    <row r="68" spans="1:799" x14ac:dyDescent="0.25">
      <c r="A68" s="14">
        <v>159</v>
      </c>
      <c r="B68" s="14" t="s">
        <v>889</v>
      </c>
      <c r="C68" s="16">
        <v>42768.642361111109</v>
      </c>
      <c r="D68" s="14" t="s">
        <v>946</v>
      </c>
      <c r="E68" s="14" t="s">
        <v>947</v>
      </c>
      <c r="F68" s="14" t="str">
        <f>VLOOKUP(MID(H68,SEARCH("@",H68,1),LEN(H68)-SEARCH("@",H68,1)+1),[2]Sheet1!$D:$F,3,FALSE)</f>
        <v>M086</v>
      </c>
      <c r="G68" s="14" t="s">
        <v>948</v>
      </c>
      <c r="H68" s="14" t="s">
        <v>949</v>
      </c>
      <c r="I68" s="14">
        <v>46704546546</v>
      </c>
      <c r="J68" s="14" t="s">
        <v>950</v>
      </c>
      <c r="K68" s="14" t="s">
        <v>951</v>
      </c>
      <c r="M68" s="14">
        <v>1</v>
      </c>
      <c r="V68" s="14">
        <v>0</v>
      </c>
      <c r="W68" s="14">
        <v>2675.8</v>
      </c>
      <c r="AC68" s="14">
        <v>2675.8</v>
      </c>
      <c r="AJ68" s="14">
        <v>0</v>
      </c>
      <c r="AQ68" s="14">
        <v>0</v>
      </c>
      <c r="AX68" s="14">
        <v>0</v>
      </c>
      <c r="BE68" s="14">
        <v>0</v>
      </c>
      <c r="BF68" s="14">
        <v>2675.8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2675.8</v>
      </c>
      <c r="BS68" s="14">
        <v>0</v>
      </c>
      <c r="BT68" s="14">
        <v>1</v>
      </c>
      <c r="BZ68" s="14">
        <v>1</v>
      </c>
      <c r="CG68" s="14">
        <v>0</v>
      </c>
      <c r="CN68" s="14">
        <v>0</v>
      </c>
      <c r="CU68" s="14">
        <v>0</v>
      </c>
      <c r="DB68" s="14">
        <v>0</v>
      </c>
      <c r="DC68" s="14">
        <v>1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1</v>
      </c>
      <c r="DJ68" s="14" t="s">
        <v>598</v>
      </c>
      <c r="DK68" s="14" t="s">
        <v>598</v>
      </c>
      <c r="DL68" s="14" t="s">
        <v>598</v>
      </c>
      <c r="DM68" s="14" t="s">
        <v>598</v>
      </c>
      <c r="DN68" s="14" t="s">
        <v>598</v>
      </c>
      <c r="DO68" s="14" t="s">
        <v>598</v>
      </c>
      <c r="DP68" s="14" t="s">
        <v>597</v>
      </c>
      <c r="DQ68" s="14" t="s">
        <v>598</v>
      </c>
      <c r="DR68" s="14" t="s">
        <v>598</v>
      </c>
      <c r="DS68" s="14" t="s">
        <v>598</v>
      </c>
      <c r="DT68" s="14" t="s">
        <v>598</v>
      </c>
      <c r="DU68" s="14" t="s">
        <v>598</v>
      </c>
      <c r="DV68" s="14" t="s">
        <v>598</v>
      </c>
      <c r="DW68" s="14" t="s">
        <v>598</v>
      </c>
      <c r="DX68" s="14" t="s">
        <v>598</v>
      </c>
      <c r="DY68" s="14" t="s">
        <v>598</v>
      </c>
      <c r="DZ68" s="14" t="s">
        <v>598</v>
      </c>
      <c r="EA68" s="14" t="s">
        <v>598</v>
      </c>
      <c r="EB68" s="14" t="s">
        <v>598</v>
      </c>
      <c r="EC68" s="14" t="s">
        <v>598</v>
      </c>
      <c r="ED68" s="14" t="s">
        <v>598</v>
      </c>
      <c r="EE68" s="14" t="s">
        <v>598</v>
      </c>
      <c r="EF68" s="14" t="s">
        <v>598</v>
      </c>
      <c r="EG68" s="14" t="s">
        <v>598</v>
      </c>
      <c r="EH68" s="14" t="s">
        <v>598</v>
      </c>
      <c r="EI68" s="14" t="s">
        <v>598</v>
      </c>
      <c r="EJ68" s="14" t="s">
        <v>598</v>
      </c>
      <c r="EK68" s="14" t="s">
        <v>598</v>
      </c>
      <c r="EL68" s="14" t="s">
        <v>598</v>
      </c>
      <c r="EM68" s="14" t="s">
        <v>598</v>
      </c>
      <c r="EN68" s="14" t="s">
        <v>598</v>
      </c>
      <c r="EO68" s="14" t="s">
        <v>598</v>
      </c>
      <c r="EP68" s="14" t="s">
        <v>598</v>
      </c>
      <c r="EQ68" s="14" t="s">
        <v>598</v>
      </c>
      <c r="ER68" s="14" t="s">
        <v>598</v>
      </c>
      <c r="ES68" s="14" t="s">
        <v>598</v>
      </c>
      <c r="EZ68" s="14">
        <v>0</v>
      </c>
      <c r="FA68" s="14">
        <v>1363.2</v>
      </c>
      <c r="FG68" s="14">
        <v>1363.2</v>
      </c>
      <c r="FH68" s="14">
        <v>1150</v>
      </c>
      <c r="FN68" s="14">
        <v>1150</v>
      </c>
      <c r="FU68" s="14">
        <v>0</v>
      </c>
      <c r="FV68" s="14">
        <v>100</v>
      </c>
      <c r="GB68" s="14">
        <v>100</v>
      </c>
      <c r="GI68" s="14">
        <v>0</v>
      </c>
      <c r="GP68" s="14">
        <v>0</v>
      </c>
      <c r="GQ68" s="14" t="s">
        <v>952</v>
      </c>
      <c r="GR68" s="14">
        <v>62.6</v>
      </c>
      <c r="GX68" s="14">
        <v>62.6</v>
      </c>
      <c r="GY68" s="14">
        <v>2675.8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2675.8</v>
      </c>
      <c r="HF68" s="14">
        <v>1150</v>
      </c>
      <c r="HL68" s="14">
        <v>1150</v>
      </c>
      <c r="HM68" s="14">
        <v>1525.8</v>
      </c>
      <c r="HS68" s="14">
        <v>1525.8</v>
      </c>
      <c r="HZ68" s="14">
        <v>0</v>
      </c>
      <c r="IG68" s="14">
        <v>0</v>
      </c>
      <c r="IN68" s="14">
        <v>0</v>
      </c>
      <c r="IO68" s="14">
        <v>2675.8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2675.8</v>
      </c>
      <c r="IV68" s="14">
        <v>18</v>
      </c>
      <c r="IX68" s="14">
        <v>82</v>
      </c>
      <c r="JA68" s="14">
        <v>3</v>
      </c>
      <c r="JB68" s="14">
        <v>3</v>
      </c>
      <c r="JC68" s="14">
        <v>2</v>
      </c>
      <c r="JD68" s="14" t="s">
        <v>600</v>
      </c>
      <c r="NG68" s="14" t="s">
        <v>601</v>
      </c>
      <c r="NN68" s="14">
        <v>0</v>
      </c>
      <c r="NO68" s="14">
        <v>1363.2</v>
      </c>
      <c r="NU68" s="14">
        <v>1363.2</v>
      </c>
      <c r="NV68" s="14">
        <v>1150</v>
      </c>
      <c r="OB68" s="14">
        <v>1150</v>
      </c>
      <c r="OI68" s="14">
        <v>0</v>
      </c>
      <c r="OJ68" s="14">
        <v>100</v>
      </c>
      <c r="OP68" s="14">
        <v>100</v>
      </c>
      <c r="OW68" s="14">
        <v>0</v>
      </c>
      <c r="PD68" s="14">
        <v>0</v>
      </c>
      <c r="PE68" s="14" t="s">
        <v>952</v>
      </c>
      <c r="PF68" s="14">
        <v>62.6</v>
      </c>
      <c r="PL68" s="14">
        <v>62.6</v>
      </c>
      <c r="PM68" s="14">
        <v>2675.8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2675.8</v>
      </c>
      <c r="PT68" s="14">
        <v>1525.8</v>
      </c>
      <c r="PZ68" s="14">
        <v>1525.8</v>
      </c>
      <c r="QA68" s="14">
        <v>1150</v>
      </c>
      <c r="QG68" s="14">
        <v>1150</v>
      </c>
      <c r="QN68" s="14">
        <v>0</v>
      </c>
      <c r="QU68" s="14">
        <v>0</v>
      </c>
      <c r="RB68" s="14">
        <v>0</v>
      </c>
      <c r="RC68" s="14">
        <v>2675.8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2675.8</v>
      </c>
      <c r="RJ68" s="14" t="s">
        <v>602</v>
      </c>
      <c r="VM68" s="14" t="s">
        <v>603</v>
      </c>
      <c r="ZP68" s="14" t="s">
        <v>604</v>
      </c>
      <c r="ADS68" s="14" t="s">
        <v>605</v>
      </c>
    </row>
    <row r="69" spans="1:799" x14ac:dyDescent="0.25">
      <c r="A69" s="14">
        <v>50</v>
      </c>
      <c r="B69" s="14" t="s">
        <v>889</v>
      </c>
      <c r="C69" s="16">
        <v>42766.356249999997</v>
      </c>
      <c r="D69" s="14" t="s">
        <v>953</v>
      </c>
      <c r="E69" s="14" t="s">
        <v>954</v>
      </c>
      <c r="F69" s="14" t="str">
        <f>VLOOKUP(MID(H69,SEARCH("@",H69,1),LEN(H69)-SEARCH("@",H69,1)+1),[2]Sheet1!$D:$F,3,FALSE)</f>
        <v>M087</v>
      </c>
      <c r="G69" s="14" t="s">
        <v>955</v>
      </c>
      <c r="H69" s="14" t="s">
        <v>956</v>
      </c>
      <c r="I69" s="14" t="s">
        <v>957</v>
      </c>
      <c r="J69" s="14" t="s">
        <v>894</v>
      </c>
      <c r="K69" s="14" t="s">
        <v>732</v>
      </c>
      <c r="M69" s="14">
        <v>2</v>
      </c>
      <c r="N69" s="14">
        <v>6</v>
      </c>
      <c r="O69" s="14" t="s">
        <v>958</v>
      </c>
      <c r="V69" s="14">
        <v>0</v>
      </c>
      <c r="AC69" s="14">
        <v>0</v>
      </c>
      <c r="AJ69" s="14">
        <v>0</v>
      </c>
      <c r="AQ69" s="14">
        <v>0</v>
      </c>
      <c r="AX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S69" s="14">
        <v>0</v>
      </c>
      <c r="BZ69" s="14">
        <v>0</v>
      </c>
      <c r="CG69" s="14">
        <v>0</v>
      </c>
      <c r="CN69" s="14">
        <v>0</v>
      </c>
      <c r="CU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 t="s">
        <v>598</v>
      </c>
      <c r="DK69" s="14" t="s">
        <v>598</v>
      </c>
      <c r="DL69" s="14" t="s">
        <v>598</v>
      </c>
      <c r="DM69" s="14" t="s">
        <v>598</v>
      </c>
      <c r="DN69" s="14" t="s">
        <v>598</v>
      </c>
      <c r="DO69" s="14" t="s">
        <v>598</v>
      </c>
      <c r="DP69" s="14" t="s">
        <v>598</v>
      </c>
      <c r="DQ69" s="14" t="s">
        <v>598</v>
      </c>
      <c r="DR69" s="14" t="s">
        <v>598</v>
      </c>
      <c r="DS69" s="14" t="s">
        <v>598</v>
      </c>
      <c r="DT69" s="14" t="s">
        <v>598</v>
      </c>
      <c r="DU69" s="14" t="s">
        <v>598</v>
      </c>
      <c r="DV69" s="14" t="s">
        <v>598</v>
      </c>
      <c r="DW69" s="14" t="s">
        <v>598</v>
      </c>
      <c r="DX69" s="14" t="s">
        <v>598</v>
      </c>
      <c r="DY69" s="14" t="s">
        <v>598</v>
      </c>
      <c r="DZ69" s="14" t="s">
        <v>598</v>
      </c>
      <c r="EA69" s="14" t="s">
        <v>598</v>
      </c>
      <c r="EB69" s="14" t="s">
        <v>598</v>
      </c>
      <c r="EC69" s="14" t="s">
        <v>598</v>
      </c>
      <c r="ED69" s="14" t="s">
        <v>598</v>
      </c>
      <c r="EE69" s="14" t="s">
        <v>598</v>
      </c>
      <c r="EF69" s="14" t="s">
        <v>598</v>
      </c>
      <c r="EG69" s="14" t="s">
        <v>598</v>
      </c>
      <c r="EH69" s="14" t="s">
        <v>598</v>
      </c>
      <c r="EI69" s="14" t="s">
        <v>598</v>
      </c>
      <c r="EJ69" s="14" t="s">
        <v>598</v>
      </c>
      <c r="EK69" s="14" t="s">
        <v>598</v>
      </c>
      <c r="EL69" s="14" t="s">
        <v>598</v>
      </c>
      <c r="EM69" s="14" t="s">
        <v>598</v>
      </c>
      <c r="EN69" s="14" t="s">
        <v>598</v>
      </c>
      <c r="EO69" s="14" t="s">
        <v>598</v>
      </c>
      <c r="EP69" s="14" t="s">
        <v>598</v>
      </c>
      <c r="EQ69" s="14" t="s">
        <v>598</v>
      </c>
      <c r="ER69" s="14" t="s">
        <v>598</v>
      </c>
      <c r="ES69" s="14" t="s">
        <v>598</v>
      </c>
      <c r="EZ69" s="14">
        <v>0</v>
      </c>
      <c r="FG69" s="14">
        <v>0</v>
      </c>
      <c r="FN69" s="14">
        <v>0</v>
      </c>
      <c r="FU69" s="14">
        <v>0</v>
      </c>
      <c r="GB69" s="14">
        <v>0</v>
      </c>
      <c r="GI69" s="14">
        <v>0</v>
      </c>
      <c r="GP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L69" s="14">
        <v>0</v>
      </c>
      <c r="HS69" s="14">
        <v>0</v>
      </c>
      <c r="HZ69" s="14">
        <v>0</v>
      </c>
      <c r="IG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JA69" s="14">
        <v>1</v>
      </c>
      <c r="JB69" s="14">
        <v>3</v>
      </c>
      <c r="JC69" s="14">
        <v>1</v>
      </c>
      <c r="JD69" s="14" t="s">
        <v>600</v>
      </c>
      <c r="NG69" s="14" t="s">
        <v>601</v>
      </c>
      <c r="RJ69" s="14" t="s">
        <v>602</v>
      </c>
      <c r="VM69" s="14" t="s">
        <v>603</v>
      </c>
      <c r="ZP69" s="14" t="s">
        <v>604</v>
      </c>
      <c r="ADS69" s="14" t="s">
        <v>605</v>
      </c>
    </row>
    <row r="70" spans="1:799" x14ac:dyDescent="0.25">
      <c r="A70" s="14">
        <v>105</v>
      </c>
      <c r="B70" s="14" t="s">
        <v>889</v>
      </c>
      <c r="C70" s="16">
        <v>42754.410416666666</v>
      </c>
      <c r="D70" s="14" t="s">
        <v>959</v>
      </c>
      <c r="E70" s="14" t="s">
        <v>960</v>
      </c>
      <c r="F70" s="14" t="str">
        <f>VLOOKUP(MID(H70,SEARCH("@",H70,1),LEN(H70)-SEARCH("@",H70,1)+1),[2]Sheet1!$D:$F,3,FALSE)</f>
        <v>M657</v>
      </c>
      <c r="G70" s="14" t="s">
        <v>652</v>
      </c>
      <c r="H70" s="14" t="s">
        <v>961</v>
      </c>
      <c r="I70" s="14">
        <v>26785929</v>
      </c>
      <c r="J70" s="14" t="s">
        <v>894</v>
      </c>
      <c r="K70" s="14" t="s">
        <v>732</v>
      </c>
      <c r="M70" s="14">
        <v>2</v>
      </c>
      <c r="N70" s="14">
        <v>6</v>
      </c>
      <c r="O70" s="14" t="s">
        <v>962</v>
      </c>
      <c r="V70" s="14">
        <v>0</v>
      </c>
      <c r="AC70" s="14">
        <v>0</v>
      </c>
      <c r="AJ70" s="14">
        <v>0</v>
      </c>
      <c r="AQ70" s="14">
        <v>0</v>
      </c>
      <c r="AX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S70" s="14">
        <v>0</v>
      </c>
      <c r="BZ70" s="14">
        <v>0</v>
      </c>
      <c r="CG70" s="14">
        <v>0</v>
      </c>
      <c r="CN70" s="14">
        <v>0</v>
      </c>
      <c r="CU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 t="s">
        <v>598</v>
      </c>
      <c r="DK70" s="14" t="s">
        <v>598</v>
      </c>
      <c r="DL70" s="14" t="s">
        <v>598</v>
      </c>
      <c r="DM70" s="14" t="s">
        <v>598</v>
      </c>
      <c r="DN70" s="14" t="s">
        <v>598</v>
      </c>
      <c r="DO70" s="14" t="s">
        <v>598</v>
      </c>
      <c r="DP70" s="14" t="s">
        <v>598</v>
      </c>
      <c r="DQ70" s="14" t="s">
        <v>598</v>
      </c>
      <c r="DR70" s="14" t="s">
        <v>598</v>
      </c>
      <c r="DS70" s="14" t="s">
        <v>598</v>
      </c>
      <c r="DT70" s="14" t="s">
        <v>598</v>
      </c>
      <c r="DU70" s="14" t="s">
        <v>598</v>
      </c>
      <c r="DV70" s="14" t="s">
        <v>598</v>
      </c>
      <c r="DW70" s="14" t="s">
        <v>598</v>
      </c>
      <c r="DX70" s="14" t="s">
        <v>598</v>
      </c>
      <c r="DY70" s="14" t="s">
        <v>598</v>
      </c>
      <c r="DZ70" s="14" t="s">
        <v>598</v>
      </c>
      <c r="EA70" s="14" t="s">
        <v>598</v>
      </c>
      <c r="EB70" s="14" t="s">
        <v>598</v>
      </c>
      <c r="EC70" s="14" t="s">
        <v>598</v>
      </c>
      <c r="ED70" s="14" t="s">
        <v>598</v>
      </c>
      <c r="EE70" s="14" t="s">
        <v>598</v>
      </c>
      <c r="EF70" s="14" t="s">
        <v>598</v>
      </c>
      <c r="EG70" s="14" t="s">
        <v>598</v>
      </c>
      <c r="EH70" s="14" t="s">
        <v>598</v>
      </c>
      <c r="EI70" s="14" t="s">
        <v>598</v>
      </c>
      <c r="EJ70" s="14" t="s">
        <v>598</v>
      </c>
      <c r="EK70" s="14" t="s">
        <v>598</v>
      </c>
      <c r="EL70" s="14" t="s">
        <v>598</v>
      </c>
      <c r="EM70" s="14" t="s">
        <v>598</v>
      </c>
      <c r="EN70" s="14" t="s">
        <v>598</v>
      </c>
      <c r="EO70" s="14" t="s">
        <v>598</v>
      </c>
      <c r="EP70" s="14" t="s">
        <v>598</v>
      </c>
      <c r="EQ70" s="14" t="s">
        <v>598</v>
      </c>
      <c r="ER70" s="14" t="s">
        <v>598</v>
      </c>
      <c r="ES70" s="14" t="s">
        <v>598</v>
      </c>
      <c r="EZ70" s="14">
        <v>0</v>
      </c>
      <c r="FG70" s="14">
        <v>0</v>
      </c>
      <c r="FN70" s="14">
        <v>0</v>
      </c>
      <c r="FU70" s="14">
        <v>0</v>
      </c>
      <c r="GB70" s="14">
        <v>0</v>
      </c>
      <c r="GI70" s="14">
        <v>0</v>
      </c>
      <c r="GP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L70" s="14">
        <v>0</v>
      </c>
      <c r="HS70" s="14">
        <v>0</v>
      </c>
      <c r="HZ70" s="14">
        <v>0</v>
      </c>
      <c r="IG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JA70" s="14">
        <v>1</v>
      </c>
      <c r="JB70" s="14">
        <v>2</v>
      </c>
      <c r="JC70" s="14">
        <v>1</v>
      </c>
      <c r="JD70" s="14" t="s">
        <v>600</v>
      </c>
      <c r="NG70" s="14" t="s">
        <v>601</v>
      </c>
      <c r="RJ70" s="14" t="s">
        <v>602</v>
      </c>
      <c r="VM70" s="14" t="s">
        <v>603</v>
      </c>
      <c r="ZP70" s="14" t="s">
        <v>604</v>
      </c>
      <c r="ADS70" s="14" t="s">
        <v>605</v>
      </c>
    </row>
    <row r="71" spans="1:799" x14ac:dyDescent="0.25">
      <c r="A71" s="14">
        <v>40</v>
      </c>
      <c r="B71" s="14" t="s">
        <v>889</v>
      </c>
      <c r="C71" s="16">
        <v>42780</v>
      </c>
      <c r="D71" s="14" t="s">
        <v>963</v>
      </c>
      <c r="E71" s="14" t="s">
        <v>964</v>
      </c>
      <c r="F71" s="14" t="str">
        <f>VLOOKUP(MID(H71,SEARCH("@",H71,1),LEN(H71)-SEARCH("@",H71,1)+1),[2]Sheet1!$D:$F,3,FALSE)</f>
        <v>M004</v>
      </c>
      <c r="G71" s="14" t="s">
        <v>965</v>
      </c>
      <c r="H71" s="14" t="s">
        <v>966</v>
      </c>
      <c r="I71" s="14" t="s">
        <v>967</v>
      </c>
      <c r="J71" s="14" t="s">
        <v>611</v>
      </c>
      <c r="K71" s="14" t="s">
        <v>732</v>
      </c>
      <c r="M71" s="14">
        <v>1</v>
      </c>
      <c r="P71" s="14">
        <v>233.02</v>
      </c>
      <c r="S71" s="14">
        <v>47.52</v>
      </c>
      <c r="V71" s="14">
        <v>280.54000000000002</v>
      </c>
      <c r="W71" s="14">
        <v>845.7</v>
      </c>
      <c r="X71" s="14">
        <v>534</v>
      </c>
      <c r="Z71" s="14">
        <v>443.6</v>
      </c>
      <c r="AB71" s="14">
        <v>393</v>
      </c>
      <c r="AC71" s="14">
        <v>2216.3000000000002</v>
      </c>
      <c r="AD71" s="14">
        <v>1203.1300000000001</v>
      </c>
      <c r="AE71" s="14">
        <v>459.01</v>
      </c>
      <c r="AG71" s="14">
        <v>95.03</v>
      </c>
      <c r="AI71" s="14">
        <v>71.75</v>
      </c>
      <c r="AJ71" s="14">
        <v>1828.92</v>
      </c>
      <c r="AQ71" s="14">
        <v>0</v>
      </c>
      <c r="AX71" s="14">
        <v>0</v>
      </c>
      <c r="BE71" s="14">
        <v>0</v>
      </c>
      <c r="BF71" s="14">
        <v>2281.85</v>
      </c>
      <c r="BG71" s="14">
        <v>993.01</v>
      </c>
      <c r="BH71" s="14">
        <v>0</v>
      </c>
      <c r="BI71" s="14">
        <v>586.15</v>
      </c>
      <c r="BJ71" s="14">
        <v>0</v>
      </c>
      <c r="BK71" s="14">
        <v>464.75</v>
      </c>
      <c r="BL71" s="14">
        <v>4325.76</v>
      </c>
      <c r="BM71" s="14">
        <v>1</v>
      </c>
      <c r="BP71" s="14">
        <v>1</v>
      </c>
      <c r="BS71" s="14">
        <v>2</v>
      </c>
      <c r="BT71" s="14">
        <v>7</v>
      </c>
      <c r="BU71" s="14">
        <v>3</v>
      </c>
      <c r="BW71" s="14">
        <v>3</v>
      </c>
      <c r="BY71" s="14">
        <v>1</v>
      </c>
      <c r="BZ71" s="14">
        <v>14</v>
      </c>
      <c r="CA71" s="14">
        <v>4</v>
      </c>
      <c r="CB71" s="14">
        <v>5</v>
      </c>
      <c r="CD71" s="14">
        <v>1</v>
      </c>
      <c r="CF71" s="14">
        <v>1</v>
      </c>
      <c r="CG71" s="14">
        <v>11</v>
      </c>
      <c r="CN71" s="14">
        <v>0</v>
      </c>
      <c r="CU71" s="14">
        <v>0</v>
      </c>
      <c r="DB71" s="14">
        <v>0</v>
      </c>
      <c r="DC71" s="14">
        <v>12</v>
      </c>
      <c r="DD71" s="14">
        <v>8</v>
      </c>
      <c r="DE71" s="14">
        <v>0</v>
      </c>
      <c r="DF71" s="14">
        <v>5</v>
      </c>
      <c r="DG71" s="14">
        <v>0</v>
      </c>
      <c r="DH71" s="14">
        <v>2</v>
      </c>
      <c r="DI71" s="14">
        <v>27</v>
      </c>
      <c r="DJ71" s="14" t="s">
        <v>597</v>
      </c>
      <c r="DK71" s="14" t="s">
        <v>598</v>
      </c>
      <c r="DL71" s="14" t="s">
        <v>598</v>
      </c>
      <c r="DM71" s="14" t="s">
        <v>597</v>
      </c>
      <c r="DN71" s="14" t="s">
        <v>598</v>
      </c>
      <c r="DO71" s="14" t="s">
        <v>598</v>
      </c>
      <c r="DP71" s="14" t="s">
        <v>597</v>
      </c>
      <c r="DQ71" s="14" t="s">
        <v>597</v>
      </c>
      <c r="DR71" s="14" t="s">
        <v>598</v>
      </c>
      <c r="DS71" s="14" t="s">
        <v>597</v>
      </c>
      <c r="DT71" s="14" t="s">
        <v>598</v>
      </c>
      <c r="DU71" s="14" t="s">
        <v>597</v>
      </c>
      <c r="DV71" s="14" t="s">
        <v>597</v>
      </c>
      <c r="DW71" s="14" t="s">
        <v>597</v>
      </c>
      <c r="DX71" s="14" t="s">
        <v>598</v>
      </c>
      <c r="DY71" s="14" t="s">
        <v>597</v>
      </c>
      <c r="DZ71" s="14" t="s">
        <v>598</v>
      </c>
      <c r="EA71" s="14" t="s">
        <v>597</v>
      </c>
      <c r="EB71" s="14" t="s">
        <v>598</v>
      </c>
      <c r="EC71" s="14" t="s">
        <v>598</v>
      </c>
      <c r="ED71" s="14" t="s">
        <v>598</v>
      </c>
      <c r="EE71" s="14" t="s">
        <v>598</v>
      </c>
      <c r="EF71" s="14" t="s">
        <v>598</v>
      </c>
      <c r="EG71" s="14" t="s">
        <v>598</v>
      </c>
      <c r="EH71" s="14" t="s">
        <v>598</v>
      </c>
      <c r="EI71" s="14" t="s">
        <v>598</v>
      </c>
      <c r="EJ71" s="14" t="s">
        <v>598</v>
      </c>
      <c r="EK71" s="14" t="s">
        <v>598</v>
      </c>
      <c r="EL71" s="14" t="s">
        <v>598</v>
      </c>
      <c r="EM71" s="14" t="s">
        <v>598</v>
      </c>
      <c r="EN71" s="14" t="s">
        <v>598</v>
      </c>
      <c r="EO71" s="14" t="s">
        <v>598</v>
      </c>
      <c r="EP71" s="14" t="s">
        <v>598</v>
      </c>
      <c r="EQ71" s="14" t="s">
        <v>598</v>
      </c>
      <c r="ER71" s="14" t="s">
        <v>598</v>
      </c>
      <c r="ES71" s="14" t="s">
        <v>598</v>
      </c>
      <c r="ET71" s="14">
        <v>1079.6099999999999</v>
      </c>
      <c r="EU71" s="14">
        <v>661.51</v>
      </c>
      <c r="EW71" s="14">
        <v>277.55</v>
      </c>
      <c r="EY71" s="14">
        <v>0</v>
      </c>
      <c r="EZ71" s="14">
        <v>2018.67</v>
      </c>
      <c r="FA71" s="14">
        <v>222.46</v>
      </c>
      <c r="FB71" s="14">
        <v>331.5</v>
      </c>
      <c r="FD71" s="14">
        <v>135</v>
      </c>
      <c r="FF71" s="14">
        <v>393</v>
      </c>
      <c r="FG71" s="14">
        <v>1081.96</v>
      </c>
      <c r="FH71" s="14">
        <v>89.9</v>
      </c>
      <c r="FN71" s="14">
        <v>89.9</v>
      </c>
      <c r="FO71" s="14">
        <v>57.02</v>
      </c>
      <c r="FU71" s="14">
        <v>57.02</v>
      </c>
      <c r="FV71" s="14">
        <v>121.6</v>
      </c>
      <c r="GA71" s="14">
        <v>71.75</v>
      </c>
      <c r="GB71" s="14">
        <v>193.35</v>
      </c>
      <c r="GC71" s="14">
        <v>1</v>
      </c>
      <c r="GI71" s="14">
        <v>1</v>
      </c>
      <c r="GJ71" s="14">
        <v>171.15</v>
      </c>
      <c r="GP71" s="14">
        <v>171.15</v>
      </c>
      <c r="GQ71" s="14" t="s">
        <v>968</v>
      </c>
      <c r="GR71" s="14">
        <v>539.11</v>
      </c>
      <c r="GU71" s="14">
        <v>173.6</v>
      </c>
      <c r="GX71" s="14">
        <v>712.71</v>
      </c>
      <c r="GY71" s="14">
        <v>2281.85</v>
      </c>
      <c r="GZ71" s="14">
        <v>993.01</v>
      </c>
      <c r="HA71" s="14">
        <v>0</v>
      </c>
      <c r="HB71" s="14">
        <v>586.15</v>
      </c>
      <c r="HC71" s="14">
        <v>0</v>
      </c>
      <c r="HD71" s="14">
        <v>464.75</v>
      </c>
      <c r="HE71" s="14">
        <v>4325.76</v>
      </c>
      <c r="HF71" s="14">
        <v>301.45</v>
      </c>
      <c r="HG71" s="14">
        <v>108.4</v>
      </c>
      <c r="HI71" s="14">
        <v>173.6</v>
      </c>
      <c r="HL71" s="14">
        <v>583.45000000000005</v>
      </c>
      <c r="HM71" s="14">
        <v>883.09</v>
      </c>
      <c r="HN71" s="14">
        <v>425.6</v>
      </c>
      <c r="HP71" s="14">
        <v>270</v>
      </c>
      <c r="HR71" s="14">
        <v>393</v>
      </c>
      <c r="HS71" s="14">
        <v>1971.69</v>
      </c>
      <c r="HT71" s="14">
        <v>1097.32</v>
      </c>
      <c r="HU71" s="14">
        <v>459</v>
      </c>
      <c r="HW71" s="14">
        <v>142.55000000000001</v>
      </c>
      <c r="HY71" s="14">
        <v>71.75</v>
      </c>
      <c r="HZ71" s="14">
        <v>1770.62</v>
      </c>
      <c r="IG71" s="14">
        <v>0</v>
      </c>
      <c r="IN71" s="14">
        <v>0</v>
      </c>
      <c r="IO71" s="14">
        <v>2281.86</v>
      </c>
      <c r="IP71" s="14">
        <v>993</v>
      </c>
      <c r="IQ71" s="14">
        <v>0</v>
      </c>
      <c r="IR71" s="14">
        <v>586.15</v>
      </c>
      <c r="IS71" s="14">
        <v>0</v>
      </c>
      <c r="IT71" s="14">
        <v>464.75</v>
      </c>
      <c r="IU71" s="14">
        <v>4325.76</v>
      </c>
      <c r="IV71" s="14">
        <v>6</v>
      </c>
      <c r="IX71" s="14">
        <v>94</v>
      </c>
      <c r="JA71" s="14">
        <v>3</v>
      </c>
      <c r="JB71" s="14">
        <v>3</v>
      </c>
      <c r="JC71" s="14">
        <v>1</v>
      </c>
      <c r="JD71" s="14" t="s">
        <v>600</v>
      </c>
      <c r="JE71" s="14">
        <v>118.79</v>
      </c>
      <c r="JH71" s="14">
        <v>47.52</v>
      </c>
      <c r="JK71" s="14">
        <v>166.31</v>
      </c>
      <c r="JL71" s="14">
        <v>23.76</v>
      </c>
      <c r="JR71" s="14">
        <v>23.76</v>
      </c>
      <c r="JY71" s="14">
        <v>0</v>
      </c>
      <c r="KF71" s="14">
        <v>0</v>
      </c>
      <c r="KM71" s="14">
        <v>0</v>
      </c>
      <c r="KT71" s="14">
        <v>0</v>
      </c>
      <c r="LA71" s="14">
        <v>0</v>
      </c>
      <c r="LB71" s="14" t="s">
        <v>969</v>
      </c>
      <c r="LC71" s="14">
        <v>90.47</v>
      </c>
      <c r="LI71" s="14">
        <v>90.47</v>
      </c>
      <c r="LJ71" s="14">
        <v>233.02</v>
      </c>
      <c r="LK71" s="14">
        <v>0</v>
      </c>
      <c r="LL71" s="14">
        <v>0</v>
      </c>
      <c r="LM71" s="14">
        <v>47.52</v>
      </c>
      <c r="LN71" s="14">
        <v>0</v>
      </c>
      <c r="LO71" s="14">
        <v>0</v>
      </c>
      <c r="LP71" s="14">
        <v>280.54000000000002</v>
      </c>
      <c r="LQ71" s="14">
        <v>137.99</v>
      </c>
      <c r="LW71" s="14">
        <v>137.99</v>
      </c>
      <c r="MD71" s="14">
        <v>0</v>
      </c>
      <c r="ME71" s="14">
        <v>95.03</v>
      </c>
      <c r="MH71" s="14">
        <v>47.52</v>
      </c>
      <c r="MK71" s="14">
        <v>142.55000000000001</v>
      </c>
      <c r="MR71" s="14">
        <v>0</v>
      </c>
      <c r="MY71" s="14">
        <v>0</v>
      </c>
      <c r="MZ71" s="14">
        <v>233.02</v>
      </c>
      <c r="NA71" s="14">
        <v>0</v>
      </c>
      <c r="NB71" s="14">
        <v>0</v>
      </c>
      <c r="NC71" s="14">
        <v>47.52</v>
      </c>
      <c r="ND71" s="14">
        <v>0</v>
      </c>
      <c r="NE71" s="14">
        <v>0</v>
      </c>
      <c r="NF71" s="14">
        <v>280.54000000000002</v>
      </c>
      <c r="NG71" s="14" t="s">
        <v>601</v>
      </c>
      <c r="NH71" s="14">
        <v>419.5</v>
      </c>
      <c r="NI71" s="14">
        <v>202.5</v>
      </c>
      <c r="NK71" s="14">
        <v>135</v>
      </c>
      <c r="NN71" s="14">
        <v>757</v>
      </c>
      <c r="NO71" s="14">
        <v>187.3</v>
      </c>
      <c r="NP71" s="14">
        <v>331.5</v>
      </c>
      <c r="NR71" s="14">
        <v>135</v>
      </c>
      <c r="NT71" s="14">
        <v>393</v>
      </c>
      <c r="NU71" s="14">
        <v>1046.8</v>
      </c>
      <c r="NV71" s="14">
        <v>89.9</v>
      </c>
      <c r="OB71" s="14">
        <v>89.9</v>
      </c>
      <c r="OI71" s="14">
        <v>0</v>
      </c>
      <c r="OJ71" s="14">
        <v>1.1000000000000001</v>
      </c>
      <c r="OP71" s="14">
        <v>1.1000000000000001</v>
      </c>
      <c r="OQ71" s="14">
        <v>1</v>
      </c>
      <c r="OW71" s="14">
        <v>1</v>
      </c>
      <c r="OX71" s="14">
        <v>21</v>
      </c>
      <c r="PA71" s="14">
        <v>173.6</v>
      </c>
      <c r="PD71" s="14">
        <v>194.6</v>
      </c>
      <c r="PE71" s="14" t="s">
        <v>969</v>
      </c>
      <c r="PF71" s="14">
        <v>125.9</v>
      </c>
      <c r="PL71" s="14">
        <v>125.9</v>
      </c>
      <c r="PM71" s="14">
        <v>845.7</v>
      </c>
      <c r="PN71" s="14">
        <v>534</v>
      </c>
      <c r="PO71" s="14">
        <v>0</v>
      </c>
      <c r="PP71" s="14">
        <v>443.6</v>
      </c>
      <c r="PQ71" s="14">
        <v>0</v>
      </c>
      <c r="PR71" s="14">
        <v>393</v>
      </c>
      <c r="PS71" s="14">
        <v>2216.3000000000002</v>
      </c>
      <c r="PT71" s="14">
        <v>745.1</v>
      </c>
      <c r="PU71" s="14">
        <v>425.6</v>
      </c>
      <c r="PW71" s="14">
        <v>270</v>
      </c>
      <c r="PY71" s="14">
        <v>393</v>
      </c>
      <c r="PZ71" s="14">
        <v>1833.7</v>
      </c>
      <c r="QA71" s="14">
        <v>93.8</v>
      </c>
      <c r="QB71" s="14">
        <v>108.4</v>
      </c>
      <c r="QD71" s="14">
        <v>173.6</v>
      </c>
      <c r="QG71" s="14">
        <v>375.8</v>
      </c>
      <c r="QH71" s="14">
        <v>6.8</v>
      </c>
      <c r="QN71" s="14">
        <v>6.8</v>
      </c>
      <c r="QU71" s="14">
        <v>0</v>
      </c>
      <c r="RB71" s="14">
        <v>0</v>
      </c>
      <c r="RC71" s="14">
        <v>845.7</v>
      </c>
      <c r="RD71" s="14">
        <v>534</v>
      </c>
      <c r="RE71" s="14">
        <v>0</v>
      </c>
      <c r="RF71" s="14">
        <v>443.6</v>
      </c>
      <c r="RG71" s="14">
        <v>0</v>
      </c>
      <c r="RH71" s="14">
        <v>393</v>
      </c>
      <c r="RI71" s="14">
        <v>2216.3000000000002</v>
      </c>
      <c r="RJ71" s="14" t="s">
        <v>602</v>
      </c>
      <c r="RK71" s="14">
        <v>541.30999999999995</v>
      </c>
      <c r="RL71" s="14">
        <v>459.01</v>
      </c>
      <c r="RN71" s="14">
        <v>95.03</v>
      </c>
      <c r="RQ71" s="14">
        <v>1095.3499999999999</v>
      </c>
      <c r="RR71" s="14">
        <v>11.4</v>
      </c>
      <c r="RX71" s="14">
        <v>11.4</v>
      </c>
      <c r="SE71" s="14">
        <v>0</v>
      </c>
      <c r="SF71" s="14">
        <v>57.02</v>
      </c>
      <c r="SL71" s="14">
        <v>57.02</v>
      </c>
      <c r="SM71" s="14">
        <v>120.51</v>
      </c>
      <c r="SR71" s="14">
        <v>71.75</v>
      </c>
      <c r="SS71" s="14">
        <v>192.26</v>
      </c>
      <c r="SZ71" s="14">
        <v>0</v>
      </c>
      <c r="TA71" s="14">
        <v>150.06</v>
      </c>
      <c r="TG71" s="14">
        <v>150.06</v>
      </c>
      <c r="TH71" s="14" t="s">
        <v>969</v>
      </c>
      <c r="TI71" s="14">
        <v>322.83</v>
      </c>
      <c r="TO71" s="14">
        <v>322.83</v>
      </c>
      <c r="TP71" s="14">
        <v>1203.1300000000001</v>
      </c>
      <c r="TQ71" s="14">
        <v>459.01</v>
      </c>
      <c r="TR71" s="14">
        <v>0</v>
      </c>
      <c r="TS71" s="14">
        <v>95.03</v>
      </c>
      <c r="TT71" s="14">
        <v>0</v>
      </c>
      <c r="TU71" s="14">
        <v>71.75</v>
      </c>
      <c r="TV71" s="14">
        <v>1828.92</v>
      </c>
      <c r="UC71" s="14">
        <v>0</v>
      </c>
      <c r="UD71" s="14">
        <v>207.65</v>
      </c>
      <c r="UJ71" s="14">
        <v>207.65</v>
      </c>
      <c r="UK71" s="14">
        <v>995.48</v>
      </c>
      <c r="UL71" s="14">
        <v>459.01</v>
      </c>
      <c r="UN71" s="14">
        <v>95.03</v>
      </c>
      <c r="UP71" s="14">
        <v>71.75</v>
      </c>
      <c r="UQ71" s="14">
        <v>1621.27</v>
      </c>
      <c r="UX71" s="14">
        <v>0</v>
      </c>
      <c r="VE71" s="14">
        <v>0</v>
      </c>
      <c r="VF71" s="14">
        <v>1203.1300000000001</v>
      </c>
      <c r="VG71" s="14">
        <v>459.01</v>
      </c>
      <c r="VH71" s="14">
        <v>0</v>
      </c>
      <c r="VI71" s="14">
        <v>95.03</v>
      </c>
      <c r="VJ71" s="14">
        <v>0</v>
      </c>
      <c r="VK71" s="14">
        <v>71.75</v>
      </c>
      <c r="VL71" s="14">
        <v>1828.92</v>
      </c>
      <c r="VM71" s="14" t="s">
        <v>603</v>
      </c>
      <c r="ZP71" s="14" t="s">
        <v>604</v>
      </c>
      <c r="ADS71" s="14" t="s">
        <v>605</v>
      </c>
    </row>
    <row r="72" spans="1:799" x14ac:dyDescent="0.25">
      <c r="A72" s="14">
        <v>219</v>
      </c>
      <c r="B72" s="14" t="s">
        <v>889</v>
      </c>
      <c r="C72" s="16">
        <v>42780</v>
      </c>
      <c r="D72" s="14" t="s">
        <v>970</v>
      </c>
      <c r="E72" s="14" t="s">
        <v>971</v>
      </c>
      <c r="F72" s="14" t="str">
        <f>VLOOKUP(MID(H72,SEARCH("@",H72,1),LEN(H72)-SEARCH("@",H72,1)+1),[2]Sheet1!$D:$F,3,FALSE)</f>
        <v>M319</v>
      </c>
      <c r="G72" s="14" t="s">
        <v>972</v>
      </c>
      <c r="H72" s="14" t="s">
        <v>973</v>
      </c>
      <c r="I72" s="14" t="s">
        <v>974</v>
      </c>
      <c r="J72" s="14" t="s">
        <v>950</v>
      </c>
      <c r="K72" s="14" t="s">
        <v>732</v>
      </c>
      <c r="M72" s="14">
        <v>1</v>
      </c>
      <c r="P72" s="14">
        <v>45</v>
      </c>
      <c r="V72" s="14">
        <v>45</v>
      </c>
      <c r="X72" s="14">
        <v>100</v>
      </c>
      <c r="Z72" s="14">
        <v>170</v>
      </c>
      <c r="AB72" s="14">
        <v>287</v>
      </c>
      <c r="AC72" s="14">
        <v>557</v>
      </c>
      <c r="AJ72" s="14">
        <v>0</v>
      </c>
      <c r="AQ72" s="14">
        <v>0</v>
      </c>
      <c r="AX72" s="14">
        <v>0</v>
      </c>
      <c r="BE72" s="14">
        <v>0</v>
      </c>
      <c r="BF72" s="14">
        <v>45</v>
      </c>
      <c r="BG72" s="14">
        <v>100</v>
      </c>
      <c r="BH72" s="14">
        <v>0</v>
      </c>
      <c r="BI72" s="14">
        <v>170</v>
      </c>
      <c r="BJ72" s="14">
        <v>0</v>
      </c>
      <c r="BK72" s="14">
        <v>287</v>
      </c>
      <c r="BL72" s="14">
        <v>602</v>
      </c>
      <c r="BM72" s="14">
        <v>1</v>
      </c>
      <c r="BS72" s="14">
        <v>1</v>
      </c>
      <c r="BU72" s="14">
        <v>1</v>
      </c>
      <c r="BW72" s="14">
        <v>1</v>
      </c>
      <c r="BY72" s="14">
        <v>1</v>
      </c>
      <c r="BZ72" s="14">
        <v>3</v>
      </c>
      <c r="CG72" s="14">
        <v>0</v>
      </c>
      <c r="CN72" s="14">
        <v>0</v>
      </c>
      <c r="CU72" s="14">
        <v>0</v>
      </c>
      <c r="DB72" s="14">
        <v>0</v>
      </c>
      <c r="DC72" s="14">
        <v>1</v>
      </c>
      <c r="DD72" s="14">
        <v>1</v>
      </c>
      <c r="DE72" s="14">
        <v>0</v>
      </c>
      <c r="DF72" s="14">
        <v>1</v>
      </c>
      <c r="DG72" s="14">
        <v>0</v>
      </c>
      <c r="DH72" s="14">
        <v>1</v>
      </c>
      <c r="DI72" s="14">
        <v>4</v>
      </c>
      <c r="DJ72" s="14" t="s">
        <v>597</v>
      </c>
      <c r="DK72" s="14" t="s">
        <v>598</v>
      </c>
      <c r="DL72" s="14" t="s">
        <v>598</v>
      </c>
      <c r="DM72" s="14" t="s">
        <v>598</v>
      </c>
      <c r="DN72" s="14" t="s">
        <v>598</v>
      </c>
      <c r="DO72" s="14" t="s">
        <v>598</v>
      </c>
      <c r="DP72" s="14" t="s">
        <v>598</v>
      </c>
      <c r="DQ72" s="14" t="s">
        <v>597</v>
      </c>
      <c r="DR72" s="14" t="s">
        <v>598</v>
      </c>
      <c r="DS72" s="14" t="s">
        <v>597</v>
      </c>
      <c r="DT72" s="14" t="s">
        <v>598</v>
      </c>
      <c r="DU72" s="14" t="s">
        <v>597</v>
      </c>
      <c r="DV72" s="14" t="s">
        <v>598</v>
      </c>
      <c r="DW72" s="14" t="s">
        <v>598</v>
      </c>
      <c r="DX72" s="14" t="s">
        <v>598</v>
      </c>
      <c r="DY72" s="14" t="s">
        <v>598</v>
      </c>
      <c r="DZ72" s="14" t="s">
        <v>598</v>
      </c>
      <c r="EA72" s="14" t="s">
        <v>598</v>
      </c>
      <c r="EB72" s="14" t="s">
        <v>598</v>
      </c>
      <c r="EC72" s="14" t="s">
        <v>598</v>
      </c>
      <c r="ED72" s="14" t="s">
        <v>598</v>
      </c>
      <c r="EE72" s="14" t="s">
        <v>598</v>
      </c>
      <c r="EF72" s="14" t="s">
        <v>598</v>
      </c>
      <c r="EG72" s="14" t="s">
        <v>598</v>
      </c>
      <c r="EH72" s="14" t="s">
        <v>598</v>
      </c>
      <c r="EI72" s="14" t="s">
        <v>598</v>
      </c>
      <c r="EJ72" s="14" t="s">
        <v>598</v>
      </c>
      <c r="EK72" s="14" t="s">
        <v>598</v>
      </c>
      <c r="EL72" s="14" t="s">
        <v>598</v>
      </c>
      <c r="EM72" s="14" t="s">
        <v>598</v>
      </c>
      <c r="EN72" s="14" t="s">
        <v>598</v>
      </c>
      <c r="EO72" s="14" t="s">
        <v>598</v>
      </c>
      <c r="EP72" s="14" t="s">
        <v>598</v>
      </c>
      <c r="EQ72" s="14" t="s">
        <v>598</v>
      </c>
      <c r="ER72" s="14" t="s">
        <v>598</v>
      </c>
      <c r="ES72" s="14" t="s">
        <v>598</v>
      </c>
      <c r="ET72" s="14">
        <v>30</v>
      </c>
      <c r="EU72" s="14">
        <v>100</v>
      </c>
      <c r="EY72" s="14">
        <v>74</v>
      </c>
      <c r="EZ72" s="14">
        <v>204</v>
      </c>
      <c r="FF72" s="14">
        <v>213</v>
      </c>
      <c r="FG72" s="14">
        <v>213</v>
      </c>
      <c r="FN72" s="14">
        <v>0</v>
      </c>
      <c r="FU72" s="14">
        <v>0</v>
      </c>
      <c r="GB72" s="14">
        <v>0</v>
      </c>
      <c r="GF72" s="14">
        <v>170</v>
      </c>
      <c r="GI72" s="14">
        <v>170</v>
      </c>
      <c r="GJ72" s="14">
        <v>15</v>
      </c>
      <c r="GP72" s="14">
        <v>15</v>
      </c>
      <c r="GX72" s="14">
        <v>0</v>
      </c>
      <c r="GY72" s="14">
        <v>45</v>
      </c>
      <c r="GZ72" s="14">
        <v>100</v>
      </c>
      <c r="HA72" s="14">
        <v>0</v>
      </c>
      <c r="HB72" s="14">
        <v>170</v>
      </c>
      <c r="HC72" s="14">
        <v>0</v>
      </c>
      <c r="HD72" s="14">
        <v>287</v>
      </c>
      <c r="HE72" s="14">
        <v>602</v>
      </c>
      <c r="HL72" s="14">
        <v>0</v>
      </c>
      <c r="HM72" s="14">
        <v>45</v>
      </c>
      <c r="HN72" s="14">
        <v>100</v>
      </c>
      <c r="HP72" s="14">
        <v>170</v>
      </c>
      <c r="HR72" s="14">
        <v>287</v>
      </c>
      <c r="HS72" s="14">
        <v>602</v>
      </c>
      <c r="HZ72" s="14">
        <v>0</v>
      </c>
      <c r="IG72" s="14">
        <v>0</v>
      </c>
      <c r="IN72" s="14">
        <v>0</v>
      </c>
      <c r="IO72" s="14">
        <v>45</v>
      </c>
      <c r="IP72" s="14">
        <v>100</v>
      </c>
      <c r="IQ72" s="14">
        <v>0</v>
      </c>
      <c r="IR72" s="14">
        <v>170</v>
      </c>
      <c r="IS72" s="14">
        <v>0</v>
      </c>
      <c r="IT72" s="14">
        <v>287</v>
      </c>
      <c r="IU72" s="14">
        <v>602</v>
      </c>
      <c r="IX72" s="14">
        <v>100</v>
      </c>
      <c r="JA72" s="14">
        <v>1</v>
      </c>
      <c r="JB72" s="14">
        <v>1</v>
      </c>
      <c r="JC72" s="14">
        <v>1</v>
      </c>
      <c r="JD72" s="14" t="s">
        <v>600</v>
      </c>
      <c r="JE72" s="14">
        <v>30</v>
      </c>
      <c r="JK72" s="14">
        <v>30</v>
      </c>
      <c r="JR72" s="14">
        <v>0</v>
      </c>
      <c r="JY72" s="14">
        <v>0</v>
      </c>
      <c r="KF72" s="14">
        <v>0</v>
      </c>
      <c r="KM72" s="14">
        <v>0</v>
      </c>
      <c r="KT72" s="14">
        <v>0</v>
      </c>
      <c r="KU72" s="14">
        <v>15</v>
      </c>
      <c r="LA72" s="14">
        <v>15</v>
      </c>
      <c r="LI72" s="14">
        <v>0</v>
      </c>
      <c r="LJ72" s="14">
        <v>45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45</v>
      </c>
      <c r="LQ72" s="14">
        <v>45</v>
      </c>
      <c r="LW72" s="14">
        <v>45</v>
      </c>
      <c r="MD72" s="14">
        <v>0</v>
      </c>
      <c r="MK72" s="14">
        <v>0</v>
      </c>
      <c r="MR72" s="14">
        <v>0</v>
      </c>
      <c r="MY72" s="14">
        <v>0</v>
      </c>
      <c r="MZ72" s="14">
        <v>45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45</v>
      </c>
      <c r="NG72" s="14" t="s">
        <v>601</v>
      </c>
      <c r="NI72" s="14">
        <v>100</v>
      </c>
      <c r="NM72" s="14">
        <v>83</v>
      </c>
      <c r="NN72" s="14">
        <v>183</v>
      </c>
      <c r="NT72" s="14">
        <v>204</v>
      </c>
      <c r="NU72" s="14">
        <v>204</v>
      </c>
      <c r="OB72" s="14">
        <v>0</v>
      </c>
      <c r="OI72" s="14">
        <v>0</v>
      </c>
      <c r="OP72" s="14">
        <v>0</v>
      </c>
      <c r="OT72" s="14">
        <v>170</v>
      </c>
      <c r="OW72" s="14">
        <v>170</v>
      </c>
      <c r="PD72" s="14">
        <v>0</v>
      </c>
      <c r="PL72" s="14">
        <v>0</v>
      </c>
      <c r="PM72" s="14">
        <v>0</v>
      </c>
      <c r="PN72" s="14">
        <v>100</v>
      </c>
      <c r="PO72" s="14">
        <v>0</v>
      </c>
      <c r="PP72" s="14">
        <v>170</v>
      </c>
      <c r="PQ72" s="14">
        <v>0</v>
      </c>
      <c r="PR72" s="14">
        <v>287</v>
      </c>
      <c r="PS72" s="14">
        <v>557</v>
      </c>
      <c r="PU72" s="14">
        <v>100</v>
      </c>
      <c r="PW72" s="14">
        <v>170</v>
      </c>
      <c r="PY72" s="14">
        <v>287</v>
      </c>
      <c r="PZ72" s="14">
        <v>557</v>
      </c>
      <c r="QG72" s="14">
        <v>0</v>
      </c>
      <c r="QN72" s="14">
        <v>0</v>
      </c>
      <c r="QU72" s="14">
        <v>0</v>
      </c>
      <c r="RB72" s="14">
        <v>0</v>
      </c>
      <c r="RC72" s="14">
        <v>0</v>
      </c>
      <c r="RD72" s="14">
        <v>100</v>
      </c>
      <c r="RE72" s="14">
        <v>0</v>
      </c>
      <c r="RF72" s="14">
        <v>170</v>
      </c>
      <c r="RG72" s="14">
        <v>0</v>
      </c>
      <c r="RH72" s="14">
        <v>287</v>
      </c>
      <c r="RI72" s="14">
        <v>557</v>
      </c>
      <c r="RJ72" s="14" t="s">
        <v>602</v>
      </c>
      <c r="VM72" s="14" t="s">
        <v>603</v>
      </c>
      <c r="ZP72" s="14" t="s">
        <v>604</v>
      </c>
      <c r="ADS72" s="14" t="s">
        <v>605</v>
      </c>
    </row>
    <row r="73" spans="1:799" x14ac:dyDescent="0.25">
      <c r="A73" s="14">
        <v>57</v>
      </c>
      <c r="B73" s="14" t="s">
        <v>889</v>
      </c>
      <c r="C73" s="16">
        <v>42780</v>
      </c>
      <c r="D73" s="14" t="s">
        <v>975</v>
      </c>
      <c r="E73" s="14" t="s">
        <v>976</v>
      </c>
      <c r="F73" s="14" t="str">
        <f>VLOOKUP(MID(H73,SEARCH("@",H73,1),LEN(H73)-SEARCH("@",H73,1)+1),[2]Sheet1!$D:$F,3,FALSE)</f>
        <v>M660</v>
      </c>
      <c r="G73" s="14" t="s">
        <v>977</v>
      </c>
      <c r="H73" s="14" t="s">
        <v>978</v>
      </c>
      <c r="I73" s="14">
        <v>622227735</v>
      </c>
      <c r="J73" s="14" t="s">
        <v>979</v>
      </c>
      <c r="K73" s="14" t="s">
        <v>732</v>
      </c>
      <c r="M73" s="14">
        <v>1</v>
      </c>
      <c r="V73" s="14">
        <v>0</v>
      </c>
      <c r="AC73" s="14">
        <v>0</v>
      </c>
      <c r="AJ73" s="14">
        <v>0</v>
      </c>
      <c r="AK73" s="14">
        <v>557</v>
      </c>
      <c r="AM73" s="14">
        <v>279</v>
      </c>
      <c r="AQ73" s="14">
        <v>836</v>
      </c>
      <c r="AX73" s="14">
        <v>0</v>
      </c>
      <c r="BE73" s="14">
        <v>0</v>
      </c>
      <c r="BF73" s="14">
        <v>557</v>
      </c>
      <c r="BG73" s="14">
        <v>0</v>
      </c>
      <c r="BH73" s="14">
        <v>279</v>
      </c>
      <c r="BI73" s="14">
        <v>0</v>
      </c>
      <c r="BJ73" s="14">
        <v>0</v>
      </c>
      <c r="BK73" s="14">
        <v>0</v>
      </c>
      <c r="BL73" s="14">
        <v>836</v>
      </c>
      <c r="BS73" s="14">
        <v>0</v>
      </c>
      <c r="BZ73" s="14">
        <v>0</v>
      </c>
      <c r="CG73" s="14">
        <v>0</v>
      </c>
      <c r="CH73" s="14">
        <v>3</v>
      </c>
      <c r="CJ73" s="14">
        <v>1</v>
      </c>
      <c r="CN73" s="14">
        <v>4</v>
      </c>
      <c r="CU73" s="14">
        <v>0</v>
      </c>
      <c r="DB73" s="14">
        <v>0</v>
      </c>
      <c r="DC73" s="14">
        <v>3</v>
      </c>
      <c r="DD73" s="14">
        <v>0</v>
      </c>
      <c r="DE73" s="14">
        <v>1</v>
      </c>
      <c r="DF73" s="14">
        <v>0</v>
      </c>
      <c r="DG73" s="14">
        <v>0</v>
      </c>
      <c r="DH73" s="14">
        <v>0</v>
      </c>
      <c r="DI73" s="14">
        <v>4</v>
      </c>
      <c r="DJ73" s="14" t="s">
        <v>598</v>
      </c>
      <c r="DK73" s="14" t="s">
        <v>598</v>
      </c>
      <c r="DL73" s="14" t="s">
        <v>598</v>
      </c>
      <c r="DM73" s="14" t="s">
        <v>598</v>
      </c>
      <c r="DN73" s="14" t="s">
        <v>598</v>
      </c>
      <c r="DO73" s="14" t="s">
        <v>598</v>
      </c>
      <c r="DP73" s="14" t="s">
        <v>598</v>
      </c>
      <c r="DQ73" s="14" t="s">
        <v>598</v>
      </c>
      <c r="DR73" s="14" t="s">
        <v>598</v>
      </c>
      <c r="DS73" s="14" t="s">
        <v>598</v>
      </c>
      <c r="DT73" s="14" t="s">
        <v>598</v>
      </c>
      <c r="DU73" s="14" t="s">
        <v>598</v>
      </c>
      <c r="DV73" s="14" t="s">
        <v>598</v>
      </c>
      <c r="DW73" s="14" t="s">
        <v>598</v>
      </c>
      <c r="DX73" s="14" t="s">
        <v>598</v>
      </c>
      <c r="DY73" s="14" t="s">
        <v>598</v>
      </c>
      <c r="DZ73" s="14" t="s">
        <v>598</v>
      </c>
      <c r="EA73" s="14" t="s">
        <v>598</v>
      </c>
      <c r="EB73" s="14" t="s">
        <v>597</v>
      </c>
      <c r="EC73" s="14" t="s">
        <v>598</v>
      </c>
      <c r="ED73" s="14" t="s">
        <v>597</v>
      </c>
      <c r="EE73" s="14" t="s">
        <v>598</v>
      </c>
      <c r="EF73" s="14" t="s">
        <v>598</v>
      </c>
      <c r="EG73" s="14" t="s">
        <v>598</v>
      </c>
      <c r="EH73" s="14" t="s">
        <v>598</v>
      </c>
      <c r="EI73" s="14" t="s">
        <v>598</v>
      </c>
      <c r="EJ73" s="14" t="s">
        <v>598</v>
      </c>
      <c r="EK73" s="14" t="s">
        <v>598</v>
      </c>
      <c r="EL73" s="14" t="s">
        <v>598</v>
      </c>
      <c r="EM73" s="14" t="s">
        <v>598</v>
      </c>
      <c r="EN73" s="14" t="s">
        <v>598</v>
      </c>
      <c r="EO73" s="14" t="s">
        <v>598</v>
      </c>
      <c r="EP73" s="14" t="s">
        <v>598</v>
      </c>
      <c r="EQ73" s="14" t="s">
        <v>598</v>
      </c>
      <c r="ER73" s="14" t="s">
        <v>598</v>
      </c>
      <c r="ES73" s="14" t="s">
        <v>598</v>
      </c>
      <c r="ET73" s="14">
        <v>557</v>
      </c>
      <c r="EV73" s="14">
        <v>279</v>
      </c>
      <c r="EZ73" s="14">
        <v>836</v>
      </c>
      <c r="FG73" s="14">
        <v>0</v>
      </c>
      <c r="FN73" s="14">
        <v>0</v>
      </c>
      <c r="FU73" s="14">
        <v>0</v>
      </c>
      <c r="GB73" s="14">
        <v>0</v>
      </c>
      <c r="GI73" s="14">
        <v>0</v>
      </c>
      <c r="GP73" s="14">
        <v>0</v>
      </c>
      <c r="GX73" s="14">
        <v>0</v>
      </c>
      <c r="GY73" s="14">
        <v>557</v>
      </c>
      <c r="GZ73" s="14">
        <v>0</v>
      </c>
      <c r="HA73" s="14">
        <v>279</v>
      </c>
      <c r="HB73" s="14">
        <v>0</v>
      </c>
      <c r="HC73" s="14">
        <v>0</v>
      </c>
      <c r="HD73" s="14">
        <v>0</v>
      </c>
      <c r="HE73" s="14">
        <v>836</v>
      </c>
      <c r="HL73" s="14">
        <v>0</v>
      </c>
      <c r="HM73" s="14">
        <v>557</v>
      </c>
      <c r="HO73" s="14">
        <v>279</v>
      </c>
      <c r="HS73" s="14">
        <v>836</v>
      </c>
      <c r="HZ73" s="14">
        <v>0</v>
      </c>
      <c r="IG73" s="14">
        <v>0</v>
      </c>
      <c r="IN73" s="14">
        <v>0</v>
      </c>
      <c r="IO73" s="14">
        <v>557</v>
      </c>
      <c r="IP73" s="14">
        <v>0</v>
      </c>
      <c r="IQ73" s="14">
        <v>279</v>
      </c>
      <c r="IR73" s="14">
        <v>0</v>
      </c>
      <c r="IS73" s="14">
        <v>0</v>
      </c>
      <c r="IT73" s="14">
        <v>0</v>
      </c>
      <c r="IU73" s="14">
        <v>836</v>
      </c>
      <c r="IX73" s="14">
        <v>100</v>
      </c>
      <c r="JA73" s="14">
        <v>1</v>
      </c>
      <c r="JB73" s="14">
        <v>3</v>
      </c>
      <c r="JC73" s="14">
        <v>1</v>
      </c>
      <c r="JD73" s="14" t="s">
        <v>600</v>
      </c>
      <c r="NG73" s="14" t="s">
        <v>601</v>
      </c>
      <c r="RJ73" s="14" t="s">
        <v>602</v>
      </c>
      <c r="VM73" s="14" t="s">
        <v>603</v>
      </c>
      <c r="VN73" s="14">
        <v>557</v>
      </c>
      <c r="VP73" s="14">
        <v>279</v>
      </c>
      <c r="VT73" s="14">
        <v>836</v>
      </c>
      <c r="WA73" s="14">
        <v>0</v>
      </c>
      <c r="WH73" s="14">
        <v>0</v>
      </c>
      <c r="WO73" s="14">
        <v>0</v>
      </c>
      <c r="WV73" s="14">
        <v>0</v>
      </c>
      <c r="XC73" s="14">
        <v>0</v>
      </c>
      <c r="XJ73" s="14">
        <v>0</v>
      </c>
      <c r="XR73" s="14">
        <v>0</v>
      </c>
      <c r="XS73" s="14">
        <v>557</v>
      </c>
      <c r="XT73" s="14">
        <v>0</v>
      </c>
      <c r="XU73" s="14">
        <v>279</v>
      </c>
      <c r="XV73" s="14">
        <v>0</v>
      </c>
      <c r="XW73" s="14">
        <v>0</v>
      </c>
      <c r="XX73" s="14">
        <v>0</v>
      </c>
      <c r="XY73" s="14">
        <v>836</v>
      </c>
      <c r="XZ73" s="14">
        <v>557</v>
      </c>
      <c r="YB73" s="14">
        <v>279</v>
      </c>
      <c r="YF73" s="14">
        <v>836</v>
      </c>
      <c r="YM73" s="14">
        <v>0</v>
      </c>
      <c r="YT73" s="14">
        <v>0</v>
      </c>
      <c r="ZA73" s="14">
        <v>0</v>
      </c>
      <c r="ZH73" s="14">
        <v>0</v>
      </c>
      <c r="ZI73" s="14">
        <v>557</v>
      </c>
      <c r="ZJ73" s="14">
        <v>0</v>
      </c>
      <c r="ZK73" s="14">
        <v>279</v>
      </c>
      <c r="ZL73" s="14">
        <v>0</v>
      </c>
      <c r="ZM73" s="14">
        <v>0</v>
      </c>
      <c r="ZN73" s="14">
        <v>0</v>
      </c>
      <c r="ZO73" s="14">
        <v>836</v>
      </c>
      <c r="ZP73" s="14" t="s">
        <v>604</v>
      </c>
      <c r="ADS73" s="14" t="s">
        <v>605</v>
      </c>
    </row>
    <row r="74" spans="1:799" x14ac:dyDescent="0.25">
      <c r="A74" s="14">
        <v>64</v>
      </c>
      <c r="B74" s="14" t="s">
        <v>889</v>
      </c>
      <c r="C74" s="16">
        <v>42780</v>
      </c>
      <c r="D74" s="14" t="s">
        <v>980</v>
      </c>
      <c r="E74" s="14" t="s">
        <v>981</v>
      </c>
      <c r="F74" s="14" t="str">
        <f>VLOOKUP(MID(H74,SEARCH("@",H74,1),LEN(H74)-SEARCH("@",H74,1)+1),[2]Sheet1!$D:$F,3,FALSE)</f>
        <v>M024</v>
      </c>
      <c r="G74" s="14" t="s">
        <v>982</v>
      </c>
      <c r="H74" s="14" t="s">
        <v>983</v>
      </c>
      <c r="I74" s="14" t="s">
        <v>984</v>
      </c>
      <c r="J74" s="14" t="s">
        <v>611</v>
      </c>
      <c r="K74" s="14" t="s">
        <v>596</v>
      </c>
      <c r="M74" s="14">
        <v>1</v>
      </c>
      <c r="S74" s="14">
        <v>750</v>
      </c>
      <c r="V74" s="14">
        <v>750</v>
      </c>
      <c r="W74" s="14">
        <v>433.66</v>
      </c>
      <c r="AC74" s="14">
        <v>433.66</v>
      </c>
      <c r="AD74" s="14">
        <v>317</v>
      </c>
      <c r="AJ74" s="14">
        <v>317</v>
      </c>
      <c r="AQ74" s="14">
        <v>0</v>
      </c>
      <c r="AX74" s="14">
        <v>0</v>
      </c>
      <c r="BE74" s="14">
        <v>0</v>
      </c>
      <c r="BF74" s="14">
        <v>750.66</v>
      </c>
      <c r="BG74" s="14">
        <v>0</v>
      </c>
      <c r="BH74" s="14">
        <v>0</v>
      </c>
      <c r="BI74" s="14">
        <v>750</v>
      </c>
      <c r="BJ74" s="14">
        <v>0</v>
      </c>
      <c r="BK74" s="14">
        <v>0</v>
      </c>
      <c r="BL74" s="14">
        <v>1500.66</v>
      </c>
      <c r="BP74" s="14">
        <v>1</v>
      </c>
      <c r="BS74" s="14">
        <v>1</v>
      </c>
      <c r="BT74" s="14">
        <v>1</v>
      </c>
      <c r="BZ74" s="14">
        <v>1</v>
      </c>
      <c r="CA74" s="14">
        <v>1</v>
      </c>
      <c r="CG74" s="14">
        <v>1</v>
      </c>
      <c r="CN74" s="14">
        <v>0</v>
      </c>
      <c r="CU74" s="14">
        <v>0</v>
      </c>
      <c r="DB74" s="14">
        <v>0</v>
      </c>
      <c r="DC74" s="14">
        <v>2</v>
      </c>
      <c r="DD74" s="14">
        <v>0</v>
      </c>
      <c r="DE74" s="14">
        <v>0</v>
      </c>
      <c r="DF74" s="14">
        <v>1</v>
      </c>
      <c r="DG74" s="14">
        <v>0</v>
      </c>
      <c r="DH74" s="14">
        <v>0</v>
      </c>
      <c r="DI74" s="14">
        <v>3</v>
      </c>
      <c r="DJ74" s="14" t="s">
        <v>598</v>
      </c>
      <c r="DK74" s="14" t="s">
        <v>598</v>
      </c>
      <c r="DL74" s="14" t="s">
        <v>598</v>
      </c>
      <c r="DM74" s="14" t="s">
        <v>597</v>
      </c>
      <c r="DN74" s="14" t="s">
        <v>598</v>
      </c>
      <c r="DO74" s="14" t="s">
        <v>598</v>
      </c>
      <c r="DP74" s="14" t="s">
        <v>597</v>
      </c>
      <c r="DQ74" s="14" t="s">
        <v>598</v>
      </c>
      <c r="DR74" s="14" t="s">
        <v>598</v>
      </c>
      <c r="DS74" s="14" t="s">
        <v>598</v>
      </c>
      <c r="DT74" s="14" t="s">
        <v>598</v>
      </c>
      <c r="DU74" s="14" t="s">
        <v>598</v>
      </c>
      <c r="DV74" s="14" t="s">
        <v>597</v>
      </c>
      <c r="DW74" s="14" t="s">
        <v>598</v>
      </c>
      <c r="DX74" s="14" t="s">
        <v>598</v>
      </c>
      <c r="DY74" s="14" t="s">
        <v>598</v>
      </c>
      <c r="DZ74" s="14" t="s">
        <v>598</v>
      </c>
      <c r="EA74" s="14" t="s">
        <v>598</v>
      </c>
      <c r="EB74" s="14" t="s">
        <v>598</v>
      </c>
      <c r="EC74" s="14" t="s">
        <v>598</v>
      </c>
      <c r="ED74" s="14" t="s">
        <v>598</v>
      </c>
      <c r="EE74" s="14" t="s">
        <v>598</v>
      </c>
      <c r="EF74" s="14" t="s">
        <v>598</v>
      </c>
      <c r="EG74" s="14" t="s">
        <v>598</v>
      </c>
      <c r="EH74" s="14" t="s">
        <v>598</v>
      </c>
      <c r="EI74" s="14" t="s">
        <v>598</v>
      </c>
      <c r="EJ74" s="14" t="s">
        <v>598</v>
      </c>
      <c r="EK74" s="14" t="s">
        <v>598</v>
      </c>
      <c r="EL74" s="14" t="s">
        <v>598</v>
      </c>
      <c r="EM74" s="14" t="s">
        <v>598</v>
      </c>
      <c r="EN74" s="14" t="s">
        <v>598</v>
      </c>
      <c r="EO74" s="14" t="s">
        <v>598</v>
      </c>
      <c r="EP74" s="14" t="s">
        <v>598</v>
      </c>
      <c r="EQ74" s="14" t="s">
        <v>598</v>
      </c>
      <c r="ER74" s="14" t="s">
        <v>598</v>
      </c>
      <c r="ES74" s="14" t="s">
        <v>598</v>
      </c>
      <c r="ET74" s="14">
        <v>306.69</v>
      </c>
      <c r="EZ74" s="14">
        <v>306.69</v>
      </c>
      <c r="FA74" s="14">
        <v>183.41</v>
      </c>
      <c r="FG74" s="14">
        <v>183.41</v>
      </c>
      <c r="FK74" s="14">
        <v>750</v>
      </c>
      <c r="FN74" s="14">
        <v>750</v>
      </c>
      <c r="FU74" s="14">
        <v>0</v>
      </c>
      <c r="GB74" s="14">
        <v>0</v>
      </c>
      <c r="GC74" s="14">
        <v>247.56</v>
      </c>
      <c r="GI74" s="14">
        <v>247.56</v>
      </c>
      <c r="GP74" s="14">
        <v>0</v>
      </c>
      <c r="GQ74" s="14" t="s">
        <v>985</v>
      </c>
      <c r="GR74" s="14">
        <v>13</v>
      </c>
      <c r="GX74" s="14">
        <v>13</v>
      </c>
      <c r="GY74" s="14">
        <v>750.66</v>
      </c>
      <c r="GZ74" s="14">
        <v>0</v>
      </c>
      <c r="HA74" s="14">
        <v>0</v>
      </c>
      <c r="HB74" s="14">
        <v>750</v>
      </c>
      <c r="HC74" s="14">
        <v>0</v>
      </c>
      <c r="HD74" s="14">
        <v>0</v>
      </c>
      <c r="HE74" s="14">
        <v>1500.66</v>
      </c>
      <c r="HF74" s="14">
        <v>46.38</v>
      </c>
      <c r="HI74" s="14">
        <v>750</v>
      </c>
      <c r="HL74" s="14">
        <v>796.38</v>
      </c>
      <c r="HM74" s="14">
        <v>541.28</v>
      </c>
      <c r="HS74" s="14">
        <v>541.28</v>
      </c>
      <c r="HT74" s="14">
        <v>163</v>
      </c>
      <c r="HZ74" s="14">
        <v>163</v>
      </c>
      <c r="IG74" s="14">
        <v>0</v>
      </c>
      <c r="IN74" s="14">
        <v>0</v>
      </c>
      <c r="IO74" s="14">
        <v>750.66</v>
      </c>
      <c r="IP74" s="14">
        <v>0</v>
      </c>
      <c r="IQ74" s="14">
        <v>0</v>
      </c>
      <c r="IR74" s="14">
        <v>750</v>
      </c>
      <c r="IS74" s="14">
        <v>0</v>
      </c>
      <c r="IT74" s="14">
        <v>0</v>
      </c>
      <c r="IU74" s="14">
        <v>1500.66</v>
      </c>
      <c r="IX74" s="14">
        <v>100</v>
      </c>
      <c r="JA74" s="14">
        <v>1</v>
      </c>
      <c r="JB74" s="14">
        <v>3</v>
      </c>
      <c r="JC74" s="14">
        <v>2</v>
      </c>
      <c r="JD74" s="14" t="s">
        <v>600</v>
      </c>
      <c r="JK74" s="14">
        <v>0</v>
      </c>
      <c r="JR74" s="14">
        <v>0</v>
      </c>
      <c r="JV74" s="14">
        <v>750</v>
      </c>
      <c r="JY74" s="14">
        <v>750</v>
      </c>
      <c r="KF74" s="14">
        <v>0</v>
      </c>
      <c r="KM74" s="14">
        <v>0</v>
      </c>
      <c r="KT74" s="14">
        <v>0</v>
      </c>
      <c r="LA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750</v>
      </c>
      <c r="LN74" s="14">
        <v>0</v>
      </c>
      <c r="LO74" s="14">
        <v>0</v>
      </c>
      <c r="LP74" s="14">
        <v>750</v>
      </c>
      <c r="LW74" s="14">
        <v>0</v>
      </c>
      <c r="MD74" s="14">
        <v>0</v>
      </c>
      <c r="MK74" s="14">
        <v>0</v>
      </c>
      <c r="MR74" s="14">
        <v>0</v>
      </c>
      <c r="MV74" s="14">
        <v>750</v>
      </c>
      <c r="MY74" s="14">
        <v>750</v>
      </c>
      <c r="MZ74" s="14">
        <v>0</v>
      </c>
      <c r="NA74" s="14">
        <v>0</v>
      </c>
      <c r="NB74" s="14">
        <v>0</v>
      </c>
      <c r="NC74" s="14">
        <v>750</v>
      </c>
      <c r="ND74" s="14">
        <v>0</v>
      </c>
      <c r="NE74" s="14">
        <v>0</v>
      </c>
      <c r="NF74" s="14">
        <v>750</v>
      </c>
      <c r="NG74" s="14" t="s">
        <v>601</v>
      </c>
      <c r="NH74" s="14">
        <v>77.69</v>
      </c>
      <c r="NN74" s="14">
        <v>77.69</v>
      </c>
      <c r="NO74" s="14">
        <v>183.41</v>
      </c>
      <c r="NU74" s="14">
        <v>183.41</v>
      </c>
      <c r="OB74" s="14">
        <v>0</v>
      </c>
      <c r="OI74" s="14">
        <v>0</v>
      </c>
      <c r="OP74" s="14">
        <v>0</v>
      </c>
      <c r="OQ74" s="14">
        <v>172.56</v>
      </c>
      <c r="OW74" s="14">
        <v>172.56</v>
      </c>
      <c r="PD74" s="14">
        <v>0</v>
      </c>
      <c r="PL74" s="14">
        <v>0</v>
      </c>
      <c r="PM74" s="14">
        <v>433.66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433.66</v>
      </c>
      <c r="PT74" s="14">
        <v>387.28</v>
      </c>
      <c r="PZ74" s="14">
        <v>387.28</v>
      </c>
      <c r="QA74" s="14">
        <v>46.38</v>
      </c>
      <c r="QG74" s="14">
        <v>46.38</v>
      </c>
      <c r="QN74" s="14">
        <v>0</v>
      </c>
      <c r="QU74" s="14">
        <v>0</v>
      </c>
      <c r="RB74" s="14">
        <v>0</v>
      </c>
      <c r="RC74" s="14">
        <v>433.66</v>
      </c>
      <c r="RD74" s="14">
        <v>0</v>
      </c>
      <c r="RE74" s="14">
        <v>0</v>
      </c>
      <c r="RF74" s="14">
        <v>0</v>
      </c>
      <c r="RG74" s="14">
        <v>0</v>
      </c>
      <c r="RH74" s="14">
        <v>0</v>
      </c>
      <c r="RI74" s="14">
        <v>433.66</v>
      </c>
      <c r="RJ74" s="14" t="s">
        <v>602</v>
      </c>
      <c r="RK74" s="14">
        <v>229</v>
      </c>
      <c r="RQ74" s="14">
        <v>229</v>
      </c>
      <c r="RX74" s="14">
        <v>0</v>
      </c>
      <c r="SE74" s="14">
        <v>0</v>
      </c>
      <c r="SL74" s="14">
        <v>0</v>
      </c>
      <c r="SS74" s="14">
        <v>0</v>
      </c>
      <c r="ST74" s="14">
        <v>75</v>
      </c>
      <c r="SZ74" s="14">
        <v>75</v>
      </c>
      <c r="TG74" s="14">
        <v>0</v>
      </c>
      <c r="TH74" s="14" t="s">
        <v>985</v>
      </c>
      <c r="TI74" s="14">
        <v>13</v>
      </c>
      <c r="TO74" s="14">
        <v>13</v>
      </c>
      <c r="TP74" s="14">
        <v>317</v>
      </c>
      <c r="TQ74" s="14">
        <v>0</v>
      </c>
      <c r="TR74" s="14">
        <v>0</v>
      </c>
      <c r="TS74" s="14">
        <v>0</v>
      </c>
      <c r="TT74" s="14">
        <v>0</v>
      </c>
      <c r="TU74" s="14">
        <v>0</v>
      </c>
      <c r="TV74" s="14">
        <v>317</v>
      </c>
      <c r="TW74" s="14">
        <v>154</v>
      </c>
      <c r="UC74" s="14">
        <v>154</v>
      </c>
      <c r="UJ74" s="14">
        <v>0</v>
      </c>
      <c r="UK74" s="14">
        <v>163</v>
      </c>
      <c r="UQ74" s="14">
        <v>163</v>
      </c>
      <c r="UX74" s="14">
        <v>0</v>
      </c>
      <c r="VE74" s="14">
        <v>0</v>
      </c>
      <c r="VF74" s="14">
        <v>317</v>
      </c>
      <c r="VG74" s="14">
        <v>0</v>
      </c>
      <c r="VH74" s="14">
        <v>0</v>
      </c>
      <c r="VI74" s="14">
        <v>0</v>
      </c>
      <c r="VJ74" s="14">
        <v>0</v>
      </c>
      <c r="VK74" s="14">
        <v>0</v>
      </c>
      <c r="VL74" s="14">
        <v>317</v>
      </c>
      <c r="VM74" s="14" t="s">
        <v>603</v>
      </c>
      <c r="ZP74" s="14" t="s">
        <v>604</v>
      </c>
      <c r="ADS74" s="14" t="s">
        <v>605</v>
      </c>
    </row>
    <row r="75" spans="1:799" x14ac:dyDescent="0.25">
      <c r="A75" s="14">
        <v>60</v>
      </c>
      <c r="B75" s="14" t="s">
        <v>889</v>
      </c>
      <c r="C75" s="16">
        <v>42773.713888888888</v>
      </c>
      <c r="D75" s="14" t="s">
        <v>986</v>
      </c>
      <c r="E75" s="14" t="s">
        <v>987</v>
      </c>
      <c r="F75" s="14" t="str">
        <f>VLOOKUP(MID(H75,SEARCH("@",H75,1),LEN(H75)-SEARCH("@",H75,1)+1),[2]Sheet1!$D:$F,3,FALSE)</f>
        <v>M674</v>
      </c>
      <c r="G75" s="14" t="s">
        <v>807</v>
      </c>
      <c r="H75" s="14" t="s">
        <v>988</v>
      </c>
      <c r="I75" s="14">
        <v>7738161512</v>
      </c>
      <c r="J75" s="14" t="s">
        <v>731</v>
      </c>
      <c r="K75" s="14" t="s">
        <v>945</v>
      </c>
      <c r="M75" s="14">
        <v>1</v>
      </c>
      <c r="V75" s="14">
        <v>0</v>
      </c>
      <c r="AB75" s="14">
        <v>304</v>
      </c>
      <c r="AC75" s="14">
        <v>304</v>
      </c>
      <c r="AJ75" s="14">
        <v>0</v>
      </c>
      <c r="AQ75" s="14">
        <v>0</v>
      </c>
      <c r="AX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304</v>
      </c>
      <c r="BL75" s="14">
        <v>304</v>
      </c>
      <c r="BS75" s="14">
        <v>0</v>
      </c>
      <c r="BY75" s="14">
        <v>1</v>
      </c>
      <c r="BZ75" s="14">
        <v>1</v>
      </c>
      <c r="CG75" s="14">
        <v>0</v>
      </c>
      <c r="CN75" s="14">
        <v>0</v>
      </c>
      <c r="CU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1</v>
      </c>
      <c r="DI75" s="14">
        <v>1</v>
      </c>
      <c r="DJ75" s="14" t="s">
        <v>598</v>
      </c>
      <c r="DK75" s="14" t="s">
        <v>598</v>
      </c>
      <c r="DL75" s="14" t="s">
        <v>598</v>
      </c>
      <c r="DM75" s="14" t="s">
        <v>598</v>
      </c>
      <c r="DN75" s="14" t="s">
        <v>598</v>
      </c>
      <c r="DO75" s="14" t="s">
        <v>598</v>
      </c>
      <c r="DP75" s="14" t="s">
        <v>598</v>
      </c>
      <c r="DQ75" s="14" t="s">
        <v>598</v>
      </c>
      <c r="DR75" s="14" t="s">
        <v>598</v>
      </c>
      <c r="DS75" s="14" t="s">
        <v>598</v>
      </c>
      <c r="DT75" s="14" t="s">
        <v>598</v>
      </c>
      <c r="DU75" s="14" t="s">
        <v>597</v>
      </c>
      <c r="DV75" s="14" t="s">
        <v>598</v>
      </c>
      <c r="DW75" s="14" t="s">
        <v>598</v>
      </c>
      <c r="DX75" s="14" t="s">
        <v>598</v>
      </c>
      <c r="DY75" s="14" t="s">
        <v>598</v>
      </c>
      <c r="DZ75" s="14" t="s">
        <v>598</v>
      </c>
      <c r="EA75" s="14" t="s">
        <v>598</v>
      </c>
      <c r="EB75" s="14" t="s">
        <v>598</v>
      </c>
      <c r="EC75" s="14" t="s">
        <v>598</v>
      </c>
      <c r="ED75" s="14" t="s">
        <v>598</v>
      </c>
      <c r="EE75" s="14" t="s">
        <v>598</v>
      </c>
      <c r="EF75" s="14" t="s">
        <v>598</v>
      </c>
      <c r="EG75" s="14" t="s">
        <v>598</v>
      </c>
      <c r="EH75" s="14" t="s">
        <v>598</v>
      </c>
      <c r="EI75" s="14" t="s">
        <v>598</v>
      </c>
      <c r="EJ75" s="14" t="s">
        <v>598</v>
      </c>
      <c r="EK75" s="14" t="s">
        <v>598</v>
      </c>
      <c r="EL75" s="14" t="s">
        <v>598</v>
      </c>
      <c r="EM75" s="14" t="s">
        <v>598</v>
      </c>
      <c r="EN75" s="14" t="s">
        <v>598</v>
      </c>
      <c r="EO75" s="14" t="s">
        <v>598</v>
      </c>
      <c r="EP75" s="14" t="s">
        <v>598</v>
      </c>
      <c r="EQ75" s="14" t="s">
        <v>598</v>
      </c>
      <c r="ER75" s="14" t="s">
        <v>598</v>
      </c>
      <c r="ES75" s="14" t="s">
        <v>598</v>
      </c>
      <c r="EY75" s="14">
        <v>225</v>
      </c>
      <c r="EZ75" s="14">
        <v>225</v>
      </c>
      <c r="FF75" s="14">
        <v>15</v>
      </c>
      <c r="FG75" s="14">
        <v>15</v>
      </c>
      <c r="FN75" s="14">
        <v>0</v>
      </c>
      <c r="FU75" s="14">
        <v>0</v>
      </c>
      <c r="GB75" s="14">
        <v>0</v>
      </c>
      <c r="GH75" s="14">
        <v>9</v>
      </c>
      <c r="GI75" s="14">
        <v>9</v>
      </c>
      <c r="GP75" s="14">
        <v>0</v>
      </c>
      <c r="GQ75" s="14" t="s">
        <v>989</v>
      </c>
      <c r="GW75" s="14">
        <v>55</v>
      </c>
      <c r="GX75" s="14">
        <v>55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304</v>
      </c>
      <c r="HE75" s="14">
        <v>304</v>
      </c>
      <c r="HK75" s="14">
        <v>50</v>
      </c>
      <c r="HL75" s="14">
        <v>50</v>
      </c>
      <c r="HR75" s="14">
        <v>254</v>
      </c>
      <c r="HS75" s="14">
        <v>254</v>
      </c>
      <c r="HZ75" s="14">
        <v>0</v>
      </c>
      <c r="IG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0</v>
      </c>
      <c r="IT75" s="14">
        <v>304</v>
      </c>
      <c r="IU75" s="14">
        <v>304</v>
      </c>
      <c r="IX75" s="14">
        <v>100</v>
      </c>
      <c r="JA75" s="14">
        <v>1</v>
      </c>
      <c r="JB75" s="14">
        <v>3</v>
      </c>
      <c r="JC75" s="14">
        <v>1</v>
      </c>
      <c r="JD75" s="14" t="s">
        <v>600</v>
      </c>
      <c r="JJ75" s="14">
        <v>225</v>
      </c>
      <c r="JK75" s="14">
        <v>225</v>
      </c>
      <c r="JQ75" s="14">
        <v>15</v>
      </c>
      <c r="JR75" s="14">
        <v>15</v>
      </c>
      <c r="JY75" s="14">
        <v>0</v>
      </c>
      <c r="KF75" s="14">
        <v>0</v>
      </c>
      <c r="KM75" s="14">
        <v>0</v>
      </c>
      <c r="KS75" s="14">
        <v>9</v>
      </c>
      <c r="KT75" s="14">
        <v>9</v>
      </c>
      <c r="LA75" s="14">
        <v>0</v>
      </c>
      <c r="LB75" s="14" t="s">
        <v>990</v>
      </c>
      <c r="LH75" s="14">
        <v>55</v>
      </c>
      <c r="LI75" s="14">
        <v>55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O75" s="14">
        <v>304</v>
      </c>
      <c r="LP75" s="14">
        <v>304</v>
      </c>
      <c r="LV75" s="14">
        <v>254</v>
      </c>
      <c r="LW75" s="14">
        <v>254</v>
      </c>
      <c r="MC75" s="14">
        <v>50</v>
      </c>
      <c r="MD75" s="14">
        <v>50</v>
      </c>
      <c r="MK75" s="14">
        <v>0</v>
      </c>
      <c r="MR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0</v>
      </c>
      <c r="NE75" s="14">
        <v>304</v>
      </c>
      <c r="NF75" s="14">
        <v>304</v>
      </c>
      <c r="NG75" s="14" t="s">
        <v>601</v>
      </c>
      <c r="NM75" s="14">
        <v>225</v>
      </c>
      <c r="NN75" s="14">
        <v>225</v>
      </c>
      <c r="NT75" s="14">
        <v>15</v>
      </c>
      <c r="NU75" s="14">
        <v>15</v>
      </c>
      <c r="OB75" s="14">
        <v>0</v>
      </c>
      <c r="OI75" s="14">
        <v>0</v>
      </c>
      <c r="OP75" s="14">
        <v>0</v>
      </c>
      <c r="OV75" s="14">
        <v>9</v>
      </c>
      <c r="OW75" s="14">
        <v>9</v>
      </c>
      <c r="PD75" s="14">
        <v>0</v>
      </c>
      <c r="PK75" s="14">
        <v>55</v>
      </c>
      <c r="PL75" s="14">
        <v>55</v>
      </c>
      <c r="PM75" s="14">
        <v>0</v>
      </c>
      <c r="PN75" s="14">
        <v>0</v>
      </c>
      <c r="PO75" s="14">
        <v>0</v>
      </c>
      <c r="PP75" s="14">
        <v>0</v>
      </c>
      <c r="PQ75" s="14">
        <v>0</v>
      </c>
      <c r="PR75" s="14">
        <v>304</v>
      </c>
      <c r="PS75" s="14">
        <v>304</v>
      </c>
      <c r="PY75" s="14">
        <v>254</v>
      </c>
      <c r="PZ75" s="14">
        <v>254</v>
      </c>
      <c r="QF75" s="14">
        <v>50</v>
      </c>
      <c r="QG75" s="14">
        <v>50</v>
      </c>
      <c r="QN75" s="14">
        <v>0</v>
      </c>
      <c r="QU75" s="14">
        <v>0</v>
      </c>
      <c r="RB75" s="14">
        <v>0</v>
      </c>
      <c r="RC75" s="14">
        <v>0</v>
      </c>
      <c r="RD75" s="14">
        <v>0</v>
      </c>
      <c r="RE75" s="14">
        <v>0</v>
      </c>
      <c r="RF75" s="14">
        <v>0</v>
      </c>
      <c r="RG75" s="14">
        <v>0</v>
      </c>
      <c r="RH75" s="14">
        <v>304</v>
      </c>
      <c r="RI75" s="14">
        <v>304</v>
      </c>
      <c r="RJ75" s="14" t="s">
        <v>602</v>
      </c>
      <c r="VM75" s="14" t="s">
        <v>603</v>
      </c>
      <c r="ZP75" s="14" t="s">
        <v>604</v>
      </c>
      <c r="ADS75" s="14" t="s">
        <v>605</v>
      </c>
    </row>
    <row r="76" spans="1:799" x14ac:dyDescent="0.25">
      <c r="A76" s="14">
        <v>80</v>
      </c>
      <c r="B76" s="14" t="s">
        <v>889</v>
      </c>
      <c r="C76" s="16">
        <v>42779.597916666666</v>
      </c>
      <c r="D76" s="14" t="s">
        <v>991</v>
      </c>
      <c r="E76" s="14" t="s">
        <v>992</v>
      </c>
      <c r="F76" s="14" t="str">
        <f>VLOOKUP(MID(H76,SEARCH("@",H76,1),LEN(H76)-SEARCH("@",H76,1)+1),[2]Sheet1!$D:$F,3,FALSE)</f>
        <v>M346</v>
      </c>
      <c r="G76" s="14" t="s">
        <v>775</v>
      </c>
      <c r="H76" s="14" t="s">
        <v>993</v>
      </c>
      <c r="I76" s="14" t="s">
        <v>994</v>
      </c>
      <c r="J76" s="14" t="s">
        <v>894</v>
      </c>
      <c r="K76" s="14" t="s">
        <v>732</v>
      </c>
      <c r="M76" s="14">
        <v>1</v>
      </c>
      <c r="V76" s="14">
        <v>0</v>
      </c>
      <c r="W76" s="14">
        <v>150.5</v>
      </c>
      <c r="X76" s="14">
        <v>229</v>
      </c>
      <c r="Z76" s="14">
        <v>201.3</v>
      </c>
      <c r="AC76" s="14">
        <v>580.79999999999995</v>
      </c>
      <c r="AJ76" s="14">
        <v>0</v>
      </c>
      <c r="AQ76" s="14">
        <v>0</v>
      </c>
      <c r="AX76" s="14">
        <v>0</v>
      </c>
      <c r="BE76" s="14">
        <v>0</v>
      </c>
      <c r="BF76" s="14">
        <v>150.5</v>
      </c>
      <c r="BG76" s="14">
        <v>229</v>
      </c>
      <c r="BH76" s="14">
        <v>0</v>
      </c>
      <c r="BI76" s="14">
        <v>201.3</v>
      </c>
      <c r="BJ76" s="14">
        <v>0</v>
      </c>
      <c r="BK76" s="14">
        <v>0</v>
      </c>
      <c r="BL76" s="14">
        <v>580.79999999999995</v>
      </c>
      <c r="BS76" s="14">
        <v>0</v>
      </c>
      <c r="BT76" s="14">
        <v>1</v>
      </c>
      <c r="BU76" s="14">
        <v>4</v>
      </c>
      <c r="BW76" s="14">
        <v>3</v>
      </c>
      <c r="BZ76" s="14">
        <v>8</v>
      </c>
      <c r="CG76" s="14">
        <v>0</v>
      </c>
      <c r="CN76" s="14">
        <v>0</v>
      </c>
      <c r="CU76" s="14">
        <v>0</v>
      </c>
      <c r="DB76" s="14">
        <v>0</v>
      </c>
      <c r="DC76" s="14">
        <v>1</v>
      </c>
      <c r="DD76" s="14">
        <v>4</v>
      </c>
      <c r="DE76" s="14">
        <v>0</v>
      </c>
      <c r="DF76" s="14">
        <v>3</v>
      </c>
      <c r="DG76" s="14">
        <v>0</v>
      </c>
      <c r="DH76" s="14">
        <v>0</v>
      </c>
      <c r="DI76" s="14">
        <v>8</v>
      </c>
      <c r="DJ76" s="14" t="s">
        <v>598</v>
      </c>
      <c r="DK76" s="14" t="s">
        <v>598</v>
      </c>
      <c r="DL76" s="14" t="s">
        <v>598</v>
      </c>
      <c r="DM76" s="14" t="s">
        <v>598</v>
      </c>
      <c r="DN76" s="14" t="s">
        <v>598</v>
      </c>
      <c r="DO76" s="14" t="s">
        <v>598</v>
      </c>
      <c r="DP76" s="14" t="s">
        <v>597</v>
      </c>
      <c r="DQ76" s="14" t="s">
        <v>597</v>
      </c>
      <c r="DR76" s="14" t="s">
        <v>598</v>
      </c>
      <c r="DS76" s="14" t="s">
        <v>597</v>
      </c>
      <c r="DT76" s="14" t="s">
        <v>598</v>
      </c>
      <c r="DU76" s="14" t="s">
        <v>598</v>
      </c>
      <c r="DV76" s="14" t="s">
        <v>598</v>
      </c>
      <c r="DW76" s="14" t="s">
        <v>598</v>
      </c>
      <c r="DX76" s="14" t="s">
        <v>598</v>
      </c>
      <c r="DY76" s="14" t="s">
        <v>598</v>
      </c>
      <c r="DZ76" s="14" t="s">
        <v>598</v>
      </c>
      <c r="EA76" s="14" t="s">
        <v>598</v>
      </c>
      <c r="EB76" s="14" t="s">
        <v>598</v>
      </c>
      <c r="EC76" s="14" t="s">
        <v>598</v>
      </c>
      <c r="ED76" s="14" t="s">
        <v>598</v>
      </c>
      <c r="EE76" s="14" t="s">
        <v>598</v>
      </c>
      <c r="EF76" s="14" t="s">
        <v>598</v>
      </c>
      <c r="EG76" s="14" t="s">
        <v>598</v>
      </c>
      <c r="EH76" s="14" t="s">
        <v>598</v>
      </c>
      <c r="EI76" s="14" t="s">
        <v>598</v>
      </c>
      <c r="EJ76" s="14" t="s">
        <v>598</v>
      </c>
      <c r="EK76" s="14" t="s">
        <v>598</v>
      </c>
      <c r="EL76" s="14" t="s">
        <v>598</v>
      </c>
      <c r="EM76" s="14" t="s">
        <v>598</v>
      </c>
      <c r="EN76" s="14" t="s">
        <v>598</v>
      </c>
      <c r="EO76" s="14" t="s">
        <v>598</v>
      </c>
      <c r="EP76" s="14" t="s">
        <v>598</v>
      </c>
      <c r="EQ76" s="14" t="s">
        <v>598</v>
      </c>
      <c r="ER76" s="14" t="s">
        <v>598</v>
      </c>
      <c r="ES76" s="14" t="s">
        <v>598</v>
      </c>
      <c r="ET76" s="14">
        <v>35</v>
      </c>
      <c r="EU76" s="14">
        <v>90</v>
      </c>
      <c r="EW76" s="14">
        <v>182.05</v>
      </c>
      <c r="EZ76" s="14">
        <v>307.05</v>
      </c>
      <c r="FA76" s="14">
        <v>26.5</v>
      </c>
      <c r="FB76" s="14">
        <v>139</v>
      </c>
      <c r="FD76" s="14">
        <v>19.25</v>
      </c>
      <c r="FG76" s="14">
        <v>184.75</v>
      </c>
      <c r="FN76" s="14">
        <v>0</v>
      </c>
      <c r="FU76" s="14">
        <v>0</v>
      </c>
      <c r="GB76" s="14">
        <v>0</v>
      </c>
      <c r="GC76" s="14">
        <v>46</v>
      </c>
      <c r="GI76" s="14">
        <v>46</v>
      </c>
      <c r="GP76" s="14">
        <v>0</v>
      </c>
      <c r="GQ76" s="14" t="s">
        <v>995</v>
      </c>
      <c r="GR76" s="14">
        <v>43</v>
      </c>
      <c r="GX76" s="14">
        <v>43</v>
      </c>
      <c r="GY76" s="14">
        <v>150.5</v>
      </c>
      <c r="GZ76" s="14">
        <v>229</v>
      </c>
      <c r="HA76" s="14">
        <v>0</v>
      </c>
      <c r="HB76" s="14">
        <v>201.3</v>
      </c>
      <c r="HC76" s="14">
        <v>0</v>
      </c>
      <c r="HD76" s="14">
        <v>0</v>
      </c>
      <c r="HE76" s="14">
        <v>580.79999999999995</v>
      </c>
      <c r="HL76" s="14">
        <v>0</v>
      </c>
      <c r="HM76" s="14">
        <v>150.5</v>
      </c>
      <c r="HN76" s="14">
        <v>229</v>
      </c>
      <c r="HP76" s="14">
        <v>201.3</v>
      </c>
      <c r="HS76" s="14">
        <v>580.79999999999995</v>
      </c>
      <c r="HZ76" s="14">
        <v>0</v>
      </c>
      <c r="IG76" s="14">
        <v>0</v>
      </c>
      <c r="IN76" s="14">
        <v>0</v>
      </c>
      <c r="IO76" s="14">
        <v>150.5</v>
      </c>
      <c r="IP76" s="14">
        <v>229</v>
      </c>
      <c r="IQ76" s="14">
        <v>0</v>
      </c>
      <c r="IR76" s="14">
        <v>201.3</v>
      </c>
      <c r="IS76" s="14">
        <v>0</v>
      </c>
      <c r="IT76" s="14">
        <v>0</v>
      </c>
      <c r="IU76" s="14">
        <v>580.79999999999995</v>
      </c>
      <c r="IX76" s="14">
        <v>100</v>
      </c>
      <c r="JA76" s="14">
        <v>1</v>
      </c>
      <c r="JB76" s="14">
        <v>3</v>
      </c>
      <c r="JC76" s="14">
        <v>1</v>
      </c>
      <c r="JD76" s="14" t="s">
        <v>600</v>
      </c>
      <c r="NG76" s="14" t="s">
        <v>601</v>
      </c>
      <c r="NH76" s="14">
        <v>35</v>
      </c>
      <c r="NI76" s="14">
        <v>90</v>
      </c>
      <c r="NK76" s="14">
        <v>182.05</v>
      </c>
      <c r="NN76" s="14">
        <v>307.05</v>
      </c>
      <c r="NO76" s="14">
        <v>26.5</v>
      </c>
      <c r="NP76" s="14">
        <v>139</v>
      </c>
      <c r="NR76" s="14">
        <v>19.25</v>
      </c>
      <c r="NU76" s="14">
        <v>184.75</v>
      </c>
      <c r="OB76" s="14">
        <v>0</v>
      </c>
      <c r="OI76" s="14">
        <v>0</v>
      </c>
      <c r="OP76" s="14">
        <v>0</v>
      </c>
      <c r="OQ76" s="14">
        <v>46</v>
      </c>
      <c r="OW76" s="14">
        <v>46</v>
      </c>
      <c r="PD76" s="14">
        <v>0</v>
      </c>
      <c r="PE76" s="14" t="s">
        <v>995</v>
      </c>
      <c r="PF76" s="14">
        <v>43</v>
      </c>
      <c r="PL76" s="14">
        <v>43</v>
      </c>
      <c r="PM76" s="14">
        <v>150.5</v>
      </c>
      <c r="PN76" s="14">
        <v>229</v>
      </c>
      <c r="PO76" s="14">
        <v>0</v>
      </c>
      <c r="PP76" s="14">
        <v>201.3</v>
      </c>
      <c r="PQ76" s="14">
        <v>0</v>
      </c>
      <c r="PR76" s="14">
        <v>0</v>
      </c>
      <c r="PS76" s="14">
        <v>580.79999999999995</v>
      </c>
      <c r="PT76" s="14">
        <v>150.5</v>
      </c>
      <c r="PU76" s="14">
        <v>229</v>
      </c>
      <c r="PW76" s="14">
        <v>201.3</v>
      </c>
      <c r="PZ76" s="14">
        <v>580.79999999999995</v>
      </c>
      <c r="QG76" s="14">
        <v>0</v>
      </c>
      <c r="QN76" s="14">
        <v>0</v>
      </c>
      <c r="QU76" s="14">
        <v>0</v>
      </c>
      <c r="RB76" s="14">
        <v>0</v>
      </c>
      <c r="RC76" s="14">
        <v>150.5</v>
      </c>
      <c r="RD76" s="14">
        <v>229</v>
      </c>
      <c r="RE76" s="14">
        <v>0</v>
      </c>
      <c r="RF76" s="14">
        <v>201.3</v>
      </c>
      <c r="RG76" s="14">
        <v>0</v>
      </c>
      <c r="RH76" s="14">
        <v>0</v>
      </c>
      <c r="RI76" s="14">
        <v>580.79999999999995</v>
      </c>
      <c r="RJ76" s="14" t="s">
        <v>602</v>
      </c>
      <c r="VM76" s="14" t="s">
        <v>603</v>
      </c>
      <c r="ZP76" s="14" t="s">
        <v>604</v>
      </c>
      <c r="ADS76" s="14" t="s">
        <v>605</v>
      </c>
    </row>
    <row r="77" spans="1:799" x14ac:dyDescent="0.25">
      <c r="A77" s="14">
        <v>79</v>
      </c>
      <c r="B77" s="14" t="s">
        <v>889</v>
      </c>
      <c r="C77" s="16">
        <v>42780</v>
      </c>
      <c r="D77" s="14" t="s">
        <v>996</v>
      </c>
      <c r="E77" s="14" t="s">
        <v>997</v>
      </c>
      <c r="F77" s="14" t="str">
        <f>VLOOKUP(MID(H77,SEARCH("@",H77,1),LEN(H77)-SEARCH("@",H77,1)+1),[2]Sheet1!$D:$F,3,FALSE)</f>
        <v>M710</v>
      </c>
      <c r="G77" s="14" t="s">
        <v>998</v>
      </c>
      <c r="H77" s="14" t="s">
        <v>999</v>
      </c>
      <c r="I77" s="14">
        <v>31610990835</v>
      </c>
      <c r="J77" s="14" t="s">
        <v>979</v>
      </c>
      <c r="K77" s="14" t="s">
        <v>732</v>
      </c>
      <c r="M77" s="14">
        <v>1</v>
      </c>
      <c r="S77" s="14">
        <v>10</v>
      </c>
      <c r="V77" s="14">
        <v>10</v>
      </c>
      <c r="W77" s="14">
        <v>206.4</v>
      </c>
      <c r="X77" s="14">
        <v>464</v>
      </c>
      <c r="Z77" s="14">
        <v>16</v>
      </c>
      <c r="AB77" s="14">
        <v>571.5</v>
      </c>
      <c r="AC77" s="14">
        <v>1257.9000000000001</v>
      </c>
      <c r="AG77" s="14">
        <v>16</v>
      </c>
      <c r="AJ77" s="14">
        <v>16</v>
      </c>
      <c r="AQ77" s="14">
        <v>0</v>
      </c>
      <c r="AX77" s="14">
        <v>0</v>
      </c>
      <c r="BE77" s="14">
        <v>0</v>
      </c>
      <c r="BF77" s="14">
        <v>206.4</v>
      </c>
      <c r="BG77" s="14">
        <v>464</v>
      </c>
      <c r="BH77" s="14">
        <v>0</v>
      </c>
      <c r="BI77" s="14">
        <v>42</v>
      </c>
      <c r="BJ77" s="14">
        <v>0</v>
      </c>
      <c r="BK77" s="14">
        <v>571.5</v>
      </c>
      <c r="BL77" s="14">
        <v>1283.9000000000001</v>
      </c>
      <c r="BP77" s="14">
        <v>1</v>
      </c>
      <c r="BS77" s="14">
        <v>1</v>
      </c>
      <c r="BT77" s="14">
        <v>3</v>
      </c>
      <c r="BU77" s="14">
        <v>3</v>
      </c>
      <c r="BW77" s="14">
        <v>1</v>
      </c>
      <c r="BY77" s="14">
        <v>1</v>
      </c>
      <c r="BZ77" s="14">
        <v>8</v>
      </c>
      <c r="CD77" s="14">
        <v>1</v>
      </c>
      <c r="CG77" s="14">
        <v>1</v>
      </c>
      <c r="CN77" s="14">
        <v>0</v>
      </c>
      <c r="CU77" s="14">
        <v>0</v>
      </c>
      <c r="DB77" s="14">
        <v>0</v>
      </c>
      <c r="DC77" s="14">
        <v>3</v>
      </c>
      <c r="DD77" s="14">
        <v>3</v>
      </c>
      <c r="DE77" s="14">
        <v>0</v>
      </c>
      <c r="DF77" s="14">
        <v>3</v>
      </c>
      <c r="DG77" s="14">
        <v>0</v>
      </c>
      <c r="DH77" s="14">
        <v>1</v>
      </c>
      <c r="DI77" s="14">
        <v>10</v>
      </c>
      <c r="DJ77" s="14" t="s">
        <v>598</v>
      </c>
      <c r="DK77" s="14" t="s">
        <v>598</v>
      </c>
      <c r="DL77" s="14" t="s">
        <v>598</v>
      </c>
      <c r="DM77" s="14" t="s">
        <v>597</v>
      </c>
      <c r="DN77" s="14" t="s">
        <v>598</v>
      </c>
      <c r="DO77" s="14" t="s">
        <v>598</v>
      </c>
      <c r="DP77" s="14" t="s">
        <v>597</v>
      </c>
      <c r="DQ77" s="14" t="s">
        <v>597</v>
      </c>
      <c r="DR77" s="14" t="s">
        <v>598</v>
      </c>
      <c r="DS77" s="14" t="s">
        <v>597</v>
      </c>
      <c r="DT77" s="14" t="s">
        <v>598</v>
      </c>
      <c r="DU77" s="14" t="s">
        <v>597</v>
      </c>
      <c r="DV77" s="14" t="s">
        <v>598</v>
      </c>
      <c r="DW77" s="14" t="s">
        <v>598</v>
      </c>
      <c r="DX77" s="14" t="s">
        <v>598</v>
      </c>
      <c r="DY77" s="14" t="s">
        <v>597</v>
      </c>
      <c r="DZ77" s="14" t="s">
        <v>598</v>
      </c>
      <c r="EA77" s="14" t="s">
        <v>598</v>
      </c>
      <c r="EB77" s="14" t="s">
        <v>598</v>
      </c>
      <c r="EC77" s="14" t="s">
        <v>598</v>
      </c>
      <c r="ED77" s="14" t="s">
        <v>598</v>
      </c>
      <c r="EE77" s="14" t="s">
        <v>598</v>
      </c>
      <c r="EF77" s="14" t="s">
        <v>598</v>
      </c>
      <c r="EG77" s="14" t="s">
        <v>598</v>
      </c>
      <c r="EH77" s="14" t="s">
        <v>598</v>
      </c>
      <c r="EI77" s="14" t="s">
        <v>598</v>
      </c>
      <c r="EJ77" s="14" t="s">
        <v>598</v>
      </c>
      <c r="EK77" s="14" t="s">
        <v>598</v>
      </c>
      <c r="EL77" s="14" t="s">
        <v>598</v>
      </c>
      <c r="EM77" s="14" t="s">
        <v>598</v>
      </c>
      <c r="EN77" s="14" t="s">
        <v>598</v>
      </c>
      <c r="EO77" s="14" t="s">
        <v>598</v>
      </c>
      <c r="EP77" s="14" t="s">
        <v>598</v>
      </c>
      <c r="EQ77" s="14" t="s">
        <v>598</v>
      </c>
      <c r="ER77" s="14" t="s">
        <v>598</v>
      </c>
      <c r="ES77" s="14" t="s">
        <v>598</v>
      </c>
      <c r="ET77" s="14">
        <v>131.4</v>
      </c>
      <c r="EU77" s="14">
        <v>464</v>
      </c>
      <c r="EW77" s="14">
        <v>42</v>
      </c>
      <c r="EY77" s="14">
        <v>521.5</v>
      </c>
      <c r="EZ77" s="14">
        <v>1158.9000000000001</v>
      </c>
      <c r="FA77" s="14">
        <v>75</v>
      </c>
      <c r="FF77" s="14">
        <v>50</v>
      </c>
      <c r="FG77" s="14">
        <v>125</v>
      </c>
      <c r="FN77" s="14">
        <v>0</v>
      </c>
      <c r="FU77" s="14">
        <v>0</v>
      </c>
      <c r="GB77" s="14">
        <v>0</v>
      </c>
      <c r="GI77" s="14">
        <v>0</v>
      </c>
      <c r="GP77" s="14">
        <v>0</v>
      </c>
      <c r="GX77" s="14">
        <v>0</v>
      </c>
      <c r="GY77" s="14">
        <v>206.4</v>
      </c>
      <c r="GZ77" s="14">
        <v>464</v>
      </c>
      <c r="HA77" s="14">
        <v>0</v>
      </c>
      <c r="HB77" s="14">
        <v>42</v>
      </c>
      <c r="HC77" s="14">
        <v>0</v>
      </c>
      <c r="HD77" s="14">
        <v>571.5</v>
      </c>
      <c r="HE77" s="14">
        <v>1283.9000000000001</v>
      </c>
      <c r="HL77" s="14">
        <v>0</v>
      </c>
      <c r="HM77" s="14">
        <v>206.4</v>
      </c>
      <c r="HN77" s="14">
        <v>464</v>
      </c>
      <c r="HP77" s="14">
        <v>42</v>
      </c>
      <c r="HR77" s="14">
        <v>571.5</v>
      </c>
      <c r="HS77" s="14">
        <v>1283.9000000000001</v>
      </c>
      <c r="HZ77" s="14">
        <v>0</v>
      </c>
      <c r="IG77" s="14">
        <v>0</v>
      </c>
      <c r="IN77" s="14">
        <v>0</v>
      </c>
      <c r="IO77" s="14">
        <v>206.4</v>
      </c>
      <c r="IP77" s="14">
        <v>464</v>
      </c>
      <c r="IQ77" s="14">
        <v>0</v>
      </c>
      <c r="IR77" s="14">
        <v>42</v>
      </c>
      <c r="IS77" s="14">
        <v>0</v>
      </c>
      <c r="IT77" s="14">
        <v>571.5</v>
      </c>
      <c r="IU77" s="14">
        <v>1283.9000000000001</v>
      </c>
      <c r="IX77" s="14">
        <v>100</v>
      </c>
      <c r="JA77" s="14">
        <v>3</v>
      </c>
      <c r="JB77" s="14">
        <v>3</v>
      </c>
      <c r="JC77" s="14">
        <v>1</v>
      </c>
      <c r="JD77" s="14" t="s">
        <v>600</v>
      </c>
      <c r="JH77" s="14">
        <v>10</v>
      </c>
      <c r="JK77" s="14">
        <v>10</v>
      </c>
      <c r="JR77" s="14">
        <v>0</v>
      </c>
      <c r="JY77" s="14">
        <v>0</v>
      </c>
      <c r="KF77" s="14">
        <v>0</v>
      </c>
      <c r="KM77" s="14">
        <v>0</v>
      </c>
      <c r="KT77" s="14">
        <v>0</v>
      </c>
      <c r="LA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10</v>
      </c>
      <c r="LN77" s="14">
        <v>0</v>
      </c>
      <c r="LO77" s="14">
        <v>0</v>
      </c>
      <c r="LP77" s="14">
        <v>10</v>
      </c>
      <c r="LT77" s="14">
        <v>10</v>
      </c>
      <c r="LW77" s="14">
        <v>10</v>
      </c>
      <c r="MD77" s="14">
        <v>0</v>
      </c>
      <c r="MK77" s="14">
        <v>0</v>
      </c>
      <c r="MR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10</v>
      </c>
      <c r="ND77" s="14">
        <v>0</v>
      </c>
      <c r="NE77" s="14">
        <v>0</v>
      </c>
      <c r="NF77" s="14">
        <v>10</v>
      </c>
      <c r="NG77" s="14" t="s">
        <v>601</v>
      </c>
      <c r="NH77" s="14">
        <v>131.4</v>
      </c>
      <c r="NI77" s="14">
        <v>464</v>
      </c>
      <c r="NK77" s="14">
        <v>16</v>
      </c>
      <c r="NM77" s="14">
        <v>521.5</v>
      </c>
      <c r="NN77" s="14">
        <v>1132.9000000000001</v>
      </c>
      <c r="NO77" s="14">
        <v>75</v>
      </c>
      <c r="NT77" s="14">
        <v>50</v>
      </c>
      <c r="NU77" s="14">
        <v>125</v>
      </c>
      <c r="OB77" s="14">
        <v>0</v>
      </c>
      <c r="OI77" s="14">
        <v>0</v>
      </c>
      <c r="OP77" s="14">
        <v>0</v>
      </c>
      <c r="OW77" s="14">
        <v>0</v>
      </c>
      <c r="PD77" s="14">
        <v>0</v>
      </c>
      <c r="PL77" s="14">
        <v>0</v>
      </c>
      <c r="PM77" s="14">
        <v>206.4</v>
      </c>
      <c r="PN77" s="14">
        <v>464</v>
      </c>
      <c r="PO77" s="14">
        <v>0</v>
      </c>
      <c r="PP77" s="14">
        <v>16</v>
      </c>
      <c r="PQ77" s="14">
        <v>0</v>
      </c>
      <c r="PR77" s="14">
        <v>571.5</v>
      </c>
      <c r="PS77" s="14">
        <v>1257.9000000000001</v>
      </c>
      <c r="PT77" s="14">
        <v>206.4</v>
      </c>
      <c r="PU77" s="14">
        <v>464</v>
      </c>
      <c r="PW77" s="14">
        <v>16</v>
      </c>
      <c r="PY77" s="14">
        <v>571.5</v>
      </c>
      <c r="PZ77" s="14">
        <v>1257.9000000000001</v>
      </c>
      <c r="QG77" s="14">
        <v>0</v>
      </c>
      <c r="QN77" s="14">
        <v>0</v>
      </c>
      <c r="QU77" s="14">
        <v>0</v>
      </c>
      <c r="RB77" s="14">
        <v>0</v>
      </c>
      <c r="RC77" s="14">
        <v>206.4</v>
      </c>
      <c r="RD77" s="14">
        <v>464</v>
      </c>
      <c r="RE77" s="14">
        <v>0</v>
      </c>
      <c r="RF77" s="14">
        <v>16</v>
      </c>
      <c r="RG77" s="14">
        <v>0</v>
      </c>
      <c r="RH77" s="14">
        <v>571.5</v>
      </c>
      <c r="RI77" s="14">
        <v>1257.9000000000001</v>
      </c>
      <c r="RJ77" s="14" t="s">
        <v>602</v>
      </c>
      <c r="RN77" s="14">
        <v>16</v>
      </c>
      <c r="RQ77" s="14">
        <v>16</v>
      </c>
      <c r="RX77" s="14">
        <v>0</v>
      </c>
      <c r="SE77" s="14">
        <v>0</v>
      </c>
      <c r="SL77" s="14">
        <v>0</v>
      </c>
      <c r="SS77" s="14">
        <v>0</v>
      </c>
      <c r="SZ77" s="14">
        <v>0</v>
      </c>
      <c r="TG77" s="14">
        <v>0</v>
      </c>
      <c r="TO77" s="14">
        <v>0</v>
      </c>
      <c r="TP77" s="14">
        <v>0</v>
      </c>
      <c r="TQ77" s="14">
        <v>0</v>
      </c>
      <c r="TR77" s="14">
        <v>0</v>
      </c>
      <c r="TS77" s="14">
        <v>16</v>
      </c>
      <c r="TT77" s="14">
        <v>0</v>
      </c>
      <c r="TU77" s="14">
        <v>0</v>
      </c>
      <c r="TV77" s="14">
        <v>16</v>
      </c>
      <c r="TZ77" s="14">
        <v>16</v>
      </c>
      <c r="UC77" s="14">
        <v>16</v>
      </c>
      <c r="UJ77" s="14">
        <v>0</v>
      </c>
      <c r="UQ77" s="14">
        <v>0</v>
      </c>
      <c r="UX77" s="14">
        <v>0</v>
      </c>
      <c r="VE77" s="14">
        <v>0</v>
      </c>
      <c r="VF77" s="14">
        <v>0</v>
      </c>
      <c r="VG77" s="14">
        <v>0</v>
      </c>
      <c r="VH77" s="14">
        <v>0</v>
      </c>
      <c r="VI77" s="14">
        <v>16</v>
      </c>
      <c r="VJ77" s="14">
        <v>0</v>
      </c>
      <c r="VK77" s="14">
        <v>0</v>
      </c>
      <c r="VL77" s="14">
        <v>16</v>
      </c>
      <c r="VM77" s="14" t="s">
        <v>603</v>
      </c>
      <c r="ZP77" s="14" t="s">
        <v>604</v>
      </c>
      <c r="ADS77" s="14" t="s">
        <v>605</v>
      </c>
    </row>
    <row r="78" spans="1:799" x14ac:dyDescent="0.25">
      <c r="A78" s="14">
        <v>37</v>
      </c>
      <c r="B78" s="14" t="s">
        <v>889</v>
      </c>
      <c r="C78" s="16">
        <v>42780</v>
      </c>
      <c r="D78" s="14" t="s">
        <v>1000</v>
      </c>
      <c r="E78" s="14" t="s">
        <v>1001</v>
      </c>
      <c r="F78" s="14" t="str">
        <f>VLOOKUP(MID(H78,SEARCH("@",H78,1),LEN(H78)-SEARCH("@",H78,1)+1),[2]Sheet1!$D:$F,3,FALSE)</f>
        <v>M052</v>
      </c>
      <c r="G78" s="14" t="s">
        <v>1002</v>
      </c>
      <c r="H78" s="14" t="s">
        <v>1003</v>
      </c>
      <c r="I78" s="14">
        <v>2073126345</v>
      </c>
      <c r="J78" s="14" t="s">
        <v>731</v>
      </c>
      <c r="K78" s="14" t="s">
        <v>945</v>
      </c>
      <c r="M78" s="14">
        <v>1</v>
      </c>
      <c r="V78" s="14">
        <v>0</v>
      </c>
      <c r="Z78" s="14">
        <v>30.7</v>
      </c>
      <c r="AC78" s="14">
        <v>30.7</v>
      </c>
      <c r="AJ78" s="14">
        <v>0</v>
      </c>
      <c r="AQ78" s="14">
        <v>0</v>
      </c>
      <c r="AX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30.7</v>
      </c>
      <c r="BJ78" s="14">
        <v>0</v>
      </c>
      <c r="BK78" s="14">
        <v>0</v>
      </c>
      <c r="BL78" s="14">
        <v>30.7</v>
      </c>
      <c r="BS78" s="14">
        <v>0</v>
      </c>
      <c r="BW78" s="14">
        <v>1</v>
      </c>
      <c r="BZ78" s="14">
        <v>1</v>
      </c>
      <c r="CG78" s="14">
        <v>0</v>
      </c>
      <c r="CN78" s="14">
        <v>0</v>
      </c>
      <c r="CU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1</v>
      </c>
      <c r="DG78" s="14">
        <v>0</v>
      </c>
      <c r="DH78" s="14">
        <v>0</v>
      </c>
      <c r="DI78" s="14">
        <v>1</v>
      </c>
      <c r="DJ78" s="14" t="s">
        <v>598</v>
      </c>
      <c r="DK78" s="14" t="s">
        <v>598</v>
      </c>
      <c r="DL78" s="14" t="s">
        <v>598</v>
      </c>
      <c r="DM78" s="14" t="s">
        <v>598</v>
      </c>
      <c r="DN78" s="14" t="s">
        <v>598</v>
      </c>
      <c r="DO78" s="14" t="s">
        <v>598</v>
      </c>
      <c r="DP78" s="14" t="s">
        <v>598</v>
      </c>
      <c r="DQ78" s="14" t="s">
        <v>598</v>
      </c>
      <c r="DR78" s="14" t="s">
        <v>598</v>
      </c>
      <c r="DS78" s="14" t="s">
        <v>597</v>
      </c>
      <c r="DT78" s="14" t="s">
        <v>598</v>
      </c>
      <c r="DU78" s="14" t="s">
        <v>598</v>
      </c>
      <c r="DV78" s="14" t="s">
        <v>598</v>
      </c>
      <c r="DW78" s="14" t="s">
        <v>598</v>
      </c>
      <c r="DX78" s="14" t="s">
        <v>598</v>
      </c>
      <c r="DY78" s="14" t="s">
        <v>598</v>
      </c>
      <c r="DZ78" s="14" t="s">
        <v>598</v>
      </c>
      <c r="EA78" s="14" t="s">
        <v>598</v>
      </c>
      <c r="EB78" s="14" t="s">
        <v>598</v>
      </c>
      <c r="EC78" s="14" t="s">
        <v>598</v>
      </c>
      <c r="ED78" s="14" t="s">
        <v>598</v>
      </c>
      <c r="EE78" s="14" t="s">
        <v>598</v>
      </c>
      <c r="EF78" s="14" t="s">
        <v>598</v>
      </c>
      <c r="EG78" s="14" t="s">
        <v>598</v>
      </c>
      <c r="EH78" s="14" t="s">
        <v>598</v>
      </c>
      <c r="EI78" s="14" t="s">
        <v>598</v>
      </c>
      <c r="EJ78" s="14" t="s">
        <v>598</v>
      </c>
      <c r="EK78" s="14" t="s">
        <v>598</v>
      </c>
      <c r="EL78" s="14" t="s">
        <v>598</v>
      </c>
      <c r="EM78" s="14" t="s">
        <v>598</v>
      </c>
      <c r="EN78" s="14" t="s">
        <v>598</v>
      </c>
      <c r="EO78" s="14" t="s">
        <v>598</v>
      </c>
      <c r="EP78" s="14" t="s">
        <v>598</v>
      </c>
      <c r="EQ78" s="14" t="s">
        <v>598</v>
      </c>
      <c r="ER78" s="14" t="s">
        <v>598</v>
      </c>
      <c r="ES78" s="14" t="s">
        <v>598</v>
      </c>
      <c r="EZ78" s="14">
        <v>0</v>
      </c>
      <c r="FG78" s="14">
        <v>0</v>
      </c>
      <c r="FN78" s="14">
        <v>0</v>
      </c>
      <c r="FU78" s="14">
        <v>0</v>
      </c>
      <c r="GB78" s="14">
        <v>0</v>
      </c>
      <c r="GI78" s="14">
        <v>0</v>
      </c>
      <c r="GP78" s="14">
        <v>0</v>
      </c>
      <c r="GQ78" s="14" t="s">
        <v>1004</v>
      </c>
      <c r="GU78" s="14">
        <v>30.7</v>
      </c>
      <c r="GX78" s="14">
        <v>30.7</v>
      </c>
      <c r="GY78" s="14">
        <v>0</v>
      </c>
      <c r="GZ78" s="14">
        <v>0</v>
      </c>
      <c r="HA78" s="14">
        <v>0</v>
      </c>
      <c r="HB78" s="14">
        <v>30.7</v>
      </c>
      <c r="HC78" s="14">
        <v>0</v>
      </c>
      <c r="HD78" s="14">
        <v>0</v>
      </c>
      <c r="HE78" s="14">
        <v>30.7</v>
      </c>
      <c r="HI78" s="14">
        <v>30.7</v>
      </c>
      <c r="HL78" s="14">
        <v>30.7</v>
      </c>
      <c r="HS78" s="14">
        <v>0</v>
      </c>
      <c r="HZ78" s="14">
        <v>0</v>
      </c>
      <c r="IG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30.7</v>
      </c>
      <c r="IS78" s="14">
        <v>0</v>
      </c>
      <c r="IT78" s="14">
        <v>0</v>
      </c>
      <c r="IU78" s="14">
        <v>30.7</v>
      </c>
      <c r="IV78" s="14">
        <v>0</v>
      </c>
      <c r="IX78" s="14">
        <v>100</v>
      </c>
      <c r="JA78" s="14">
        <v>1</v>
      </c>
      <c r="JB78" s="14">
        <v>3</v>
      </c>
      <c r="JC78" s="14">
        <v>1</v>
      </c>
      <c r="JD78" s="14" t="s">
        <v>600</v>
      </c>
      <c r="NG78" s="14" t="s">
        <v>601</v>
      </c>
      <c r="NN78" s="14">
        <v>0</v>
      </c>
      <c r="NU78" s="14">
        <v>0</v>
      </c>
      <c r="OB78" s="14">
        <v>0</v>
      </c>
      <c r="OI78" s="14">
        <v>0</v>
      </c>
      <c r="OP78" s="14">
        <v>0</v>
      </c>
      <c r="OW78" s="14">
        <v>0</v>
      </c>
      <c r="PD78" s="14">
        <v>0</v>
      </c>
      <c r="PE78" s="14" t="s">
        <v>1005</v>
      </c>
      <c r="PI78" s="14">
        <v>30.7</v>
      </c>
      <c r="PL78" s="14">
        <v>30.7</v>
      </c>
      <c r="PM78" s="14">
        <v>0</v>
      </c>
      <c r="PN78" s="14">
        <v>0</v>
      </c>
      <c r="PO78" s="14">
        <v>0</v>
      </c>
      <c r="PP78" s="14">
        <v>30.7</v>
      </c>
      <c r="PQ78" s="14">
        <v>0</v>
      </c>
      <c r="PR78" s="14">
        <v>0</v>
      </c>
      <c r="PS78" s="14">
        <v>30.7</v>
      </c>
      <c r="PZ78" s="14">
        <v>0</v>
      </c>
      <c r="QD78" s="14">
        <v>30.7</v>
      </c>
      <c r="QG78" s="14">
        <v>30.7</v>
      </c>
      <c r="QN78" s="14">
        <v>0</v>
      </c>
      <c r="QU78" s="14">
        <v>0</v>
      </c>
      <c r="RB78" s="14">
        <v>0</v>
      </c>
      <c r="RC78" s="14">
        <v>0</v>
      </c>
      <c r="RD78" s="14">
        <v>0</v>
      </c>
      <c r="RE78" s="14">
        <v>0</v>
      </c>
      <c r="RF78" s="14">
        <v>30.7</v>
      </c>
      <c r="RG78" s="14">
        <v>0</v>
      </c>
      <c r="RH78" s="14">
        <v>0</v>
      </c>
      <c r="RI78" s="14">
        <v>30.7</v>
      </c>
      <c r="RJ78" s="14" t="s">
        <v>602</v>
      </c>
      <c r="VM78" s="14" t="s">
        <v>603</v>
      </c>
      <c r="ZP78" s="14" t="s">
        <v>604</v>
      </c>
      <c r="ADS78" s="14" t="s">
        <v>605</v>
      </c>
    </row>
    <row r="79" spans="1:799" x14ac:dyDescent="0.25">
      <c r="A79" s="14">
        <v>156</v>
      </c>
      <c r="B79" s="14" t="s">
        <v>889</v>
      </c>
      <c r="C79" s="16">
        <v>42767.561111111114</v>
      </c>
      <c r="D79" s="14" t="s">
        <v>1006</v>
      </c>
      <c r="E79" s="14" t="s">
        <v>1007</v>
      </c>
      <c r="F79" s="14" t="str">
        <f>VLOOKUP(MID(H79,SEARCH("@",H79,1),LEN(H79)-SEARCH("@",H79,1)+1),[2]Sheet1!$D:$F,3,FALSE)</f>
        <v>M04070</v>
      </c>
      <c r="G79" s="14" t="s">
        <v>825</v>
      </c>
      <c r="H79" s="14" t="s">
        <v>1008</v>
      </c>
      <c r="I79" s="14">
        <v>2078615103</v>
      </c>
      <c r="J79" s="14" t="s">
        <v>731</v>
      </c>
      <c r="K79" s="14" t="s">
        <v>945</v>
      </c>
      <c r="M79" s="14">
        <v>1</v>
      </c>
      <c r="V79" s="14">
        <v>0</v>
      </c>
      <c r="W79" s="14">
        <v>0.3</v>
      </c>
      <c r="X79" s="14">
        <v>0.3</v>
      </c>
      <c r="AC79" s="14">
        <v>0.6</v>
      </c>
      <c r="AJ79" s="14">
        <v>0</v>
      </c>
      <c r="AQ79" s="14">
        <v>0</v>
      </c>
      <c r="AX79" s="14">
        <v>0</v>
      </c>
      <c r="BE79" s="14">
        <v>0</v>
      </c>
      <c r="BF79" s="14">
        <v>0.3</v>
      </c>
      <c r="BG79" s="14">
        <v>0.3</v>
      </c>
      <c r="BH79" s="14">
        <v>0</v>
      </c>
      <c r="BI79" s="14">
        <v>0</v>
      </c>
      <c r="BJ79" s="14">
        <v>0</v>
      </c>
      <c r="BK79" s="14">
        <v>0</v>
      </c>
      <c r="BL79" s="14">
        <v>0.6</v>
      </c>
      <c r="BS79" s="14">
        <v>0</v>
      </c>
      <c r="BT79" s="14">
        <v>1</v>
      </c>
      <c r="BU79" s="14">
        <v>1</v>
      </c>
      <c r="BZ79" s="14">
        <v>2</v>
      </c>
      <c r="CG79" s="14">
        <v>0</v>
      </c>
      <c r="CN79" s="14">
        <v>0</v>
      </c>
      <c r="CU79" s="14">
        <v>0</v>
      </c>
      <c r="DB79" s="14">
        <v>0</v>
      </c>
      <c r="DC79" s="14">
        <v>1</v>
      </c>
      <c r="DD79" s="14">
        <v>1</v>
      </c>
      <c r="DE79" s="14">
        <v>0</v>
      </c>
      <c r="DF79" s="14">
        <v>0</v>
      </c>
      <c r="DG79" s="14">
        <v>0</v>
      </c>
      <c r="DH79" s="14">
        <v>0</v>
      </c>
      <c r="DI79" s="14">
        <v>2</v>
      </c>
      <c r="DJ79" s="14" t="s">
        <v>598</v>
      </c>
      <c r="DK79" s="14" t="s">
        <v>598</v>
      </c>
      <c r="DL79" s="14" t="s">
        <v>598</v>
      </c>
      <c r="DM79" s="14" t="s">
        <v>598</v>
      </c>
      <c r="DN79" s="14" t="s">
        <v>598</v>
      </c>
      <c r="DO79" s="14" t="s">
        <v>598</v>
      </c>
      <c r="DP79" s="14" t="s">
        <v>597</v>
      </c>
      <c r="DQ79" s="14" t="s">
        <v>597</v>
      </c>
      <c r="DR79" s="14" t="s">
        <v>598</v>
      </c>
      <c r="DS79" s="14" t="s">
        <v>598</v>
      </c>
      <c r="DT79" s="14" t="s">
        <v>598</v>
      </c>
      <c r="DU79" s="14" t="s">
        <v>598</v>
      </c>
      <c r="DV79" s="14" t="s">
        <v>598</v>
      </c>
      <c r="DW79" s="14" t="s">
        <v>598</v>
      </c>
      <c r="DX79" s="14" t="s">
        <v>598</v>
      </c>
      <c r="DY79" s="14" t="s">
        <v>598</v>
      </c>
      <c r="DZ79" s="14" t="s">
        <v>598</v>
      </c>
      <c r="EA79" s="14" t="s">
        <v>598</v>
      </c>
      <c r="EB79" s="14" t="s">
        <v>598</v>
      </c>
      <c r="EC79" s="14" t="s">
        <v>598</v>
      </c>
      <c r="ED79" s="14" t="s">
        <v>598</v>
      </c>
      <c r="EE79" s="14" t="s">
        <v>598</v>
      </c>
      <c r="EF79" s="14" t="s">
        <v>598</v>
      </c>
      <c r="EG79" s="14" t="s">
        <v>598</v>
      </c>
      <c r="EH79" s="14" t="s">
        <v>598</v>
      </c>
      <c r="EI79" s="14" t="s">
        <v>598</v>
      </c>
      <c r="EJ79" s="14" t="s">
        <v>598</v>
      </c>
      <c r="EK79" s="14" t="s">
        <v>598</v>
      </c>
      <c r="EL79" s="14" t="s">
        <v>598</v>
      </c>
      <c r="EM79" s="14" t="s">
        <v>598</v>
      </c>
      <c r="EN79" s="14" t="s">
        <v>598</v>
      </c>
      <c r="EO79" s="14" t="s">
        <v>598</v>
      </c>
      <c r="EP79" s="14" t="s">
        <v>598</v>
      </c>
      <c r="EQ79" s="14" t="s">
        <v>598</v>
      </c>
      <c r="ER79" s="14" t="s">
        <v>598</v>
      </c>
      <c r="ES79" s="14" t="s">
        <v>598</v>
      </c>
      <c r="ET79" s="14">
        <v>0.3</v>
      </c>
      <c r="EU79" s="14">
        <v>0.3</v>
      </c>
      <c r="EZ79" s="14">
        <v>0.6</v>
      </c>
      <c r="FG79" s="14">
        <v>0</v>
      </c>
      <c r="FN79" s="14">
        <v>0</v>
      </c>
      <c r="FU79" s="14">
        <v>0</v>
      </c>
      <c r="GB79" s="14">
        <v>0</v>
      </c>
      <c r="GI79" s="14">
        <v>0</v>
      </c>
      <c r="GP79" s="14">
        <v>0</v>
      </c>
      <c r="GX79" s="14">
        <v>0</v>
      </c>
      <c r="GY79" s="14">
        <v>0.3</v>
      </c>
      <c r="GZ79" s="14">
        <v>0.3</v>
      </c>
      <c r="HA79" s="14">
        <v>0</v>
      </c>
      <c r="HB79" s="14">
        <v>0</v>
      </c>
      <c r="HC79" s="14">
        <v>0</v>
      </c>
      <c r="HD79" s="14">
        <v>0</v>
      </c>
      <c r="HE79" s="14">
        <v>0.6</v>
      </c>
      <c r="HL79" s="14">
        <v>0</v>
      </c>
      <c r="HM79" s="14">
        <v>0.3</v>
      </c>
      <c r="HN79" s="14">
        <v>0.3</v>
      </c>
      <c r="HS79" s="14">
        <v>0.6</v>
      </c>
      <c r="HZ79" s="14">
        <v>0</v>
      </c>
      <c r="IG79" s="14">
        <v>0</v>
      </c>
      <c r="IN79" s="14">
        <v>0</v>
      </c>
      <c r="IO79" s="14">
        <v>0.3</v>
      </c>
      <c r="IP79" s="14">
        <v>0.3</v>
      </c>
      <c r="IQ79" s="14">
        <v>0</v>
      </c>
      <c r="IR79" s="14">
        <v>0</v>
      </c>
      <c r="IS79" s="14">
        <v>0</v>
      </c>
      <c r="IT79" s="14">
        <v>0</v>
      </c>
      <c r="IU79" s="14">
        <v>0.6</v>
      </c>
      <c r="IV79" s="14">
        <v>0</v>
      </c>
      <c r="IX79" s="14">
        <v>100</v>
      </c>
      <c r="JA79" s="14">
        <v>1</v>
      </c>
      <c r="JB79" s="14">
        <v>3</v>
      </c>
      <c r="JC79" s="14">
        <v>1</v>
      </c>
      <c r="JD79" s="14" t="s">
        <v>600</v>
      </c>
      <c r="NG79" s="14" t="s">
        <v>601</v>
      </c>
      <c r="NH79" s="14">
        <v>0.3</v>
      </c>
      <c r="NI79" s="14">
        <v>0.3</v>
      </c>
      <c r="NN79" s="14">
        <v>0.6</v>
      </c>
      <c r="NU79" s="14">
        <v>0</v>
      </c>
      <c r="OB79" s="14">
        <v>0</v>
      </c>
      <c r="OI79" s="14">
        <v>0</v>
      </c>
      <c r="OP79" s="14">
        <v>0</v>
      </c>
      <c r="OW79" s="14">
        <v>0</v>
      </c>
      <c r="PD79" s="14">
        <v>0</v>
      </c>
      <c r="PL79" s="14">
        <v>0</v>
      </c>
      <c r="PM79" s="14">
        <v>0.3</v>
      </c>
      <c r="PN79" s="14">
        <v>0.3</v>
      </c>
      <c r="PO79" s="14">
        <v>0</v>
      </c>
      <c r="PP79" s="14">
        <v>0</v>
      </c>
      <c r="PQ79" s="14">
        <v>0</v>
      </c>
      <c r="PR79" s="14">
        <v>0</v>
      </c>
      <c r="PS79" s="14">
        <v>0.6</v>
      </c>
      <c r="PT79" s="14">
        <v>0.3</v>
      </c>
      <c r="PU79" s="14">
        <v>0.3</v>
      </c>
      <c r="PZ79" s="14">
        <v>0.6</v>
      </c>
      <c r="QG79" s="14">
        <v>0</v>
      </c>
      <c r="QN79" s="14">
        <v>0</v>
      </c>
      <c r="QU79" s="14">
        <v>0</v>
      </c>
      <c r="RB79" s="14">
        <v>0</v>
      </c>
      <c r="RC79" s="14">
        <v>0.3</v>
      </c>
      <c r="RD79" s="14">
        <v>0.3</v>
      </c>
      <c r="RE79" s="14">
        <v>0</v>
      </c>
      <c r="RF79" s="14">
        <v>0</v>
      </c>
      <c r="RG79" s="14">
        <v>0</v>
      </c>
      <c r="RH79" s="14">
        <v>0</v>
      </c>
      <c r="RI79" s="14">
        <v>0.6</v>
      </c>
      <c r="RJ79" s="14" t="s">
        <v>602</v>
      </c>
      <c r="VM79" s="14" t="s">
        <v>603</v>
      </c>
      <c r="ZP79" s="14" t="s">
        <v>604</v>
      </c>
      <c r="ADS79" s="14" t="s">
        <v>605</v>
      </c>
    </row>
    <row r="80" spans="1:799" x14ac:dyDescent="0.25">
      <c r="A80" s="14">
        <v>143</v>
      </c>
      <c r="B80" s="14" t="s">
        <v>889</v>
      </c>
      <c r="C80" s="16">
        <v>42766.406944444447</v>
      </c>
      <c r="D80" s="14" t="s">
        <v>1009</v>
      </c>
      <c r="E80" s="14" t="s">
        <v>1010</v>
      </c>
      <c r="F80" s="14" t="str">
        <f>VLOOKUP(MID(H80,SEARCH("@",H80,1),LEN(H80)-SEARCH("@",H80,1)+1),[2]Sheet1!$D:$F,3,FALSE)</f>
        <v>M226</v>
      </c>
      <c r="G80" s="14" t="s">
        <v>1011</v>
      </c>
      <c r="H80" s="14" t="s">
        <v>1012</v>
      </c>
      <c r="I80" s="14" t="s">
        <v>1013</v>
      </c>
      <c r="J80" s="14" t="s">
        <v>1014</v>
      </c>
      <c r="K80" s="14" t="s">
        <v>732</v>
      </c>
      <c r="M80" s="14">
        <v>2</v>
      </c>
      <c r="N80" s="14">
        <v>6</v>
      </c>
      <c r="O80" s="14" t="s">
        <v>1015</v>
      </c>
      <c r="V80" s="14">
        <v>0</v>
      </c>
      <c r="AC80" s="14">
        <v>0</v>
      </c>
      <c r="AJ80" s="14">
        <v>0</v>
      </c>
      <c r="AQ80" s="14">
        <v>0</v>
      </c>
      <c r="AX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S80" s="14">
        <v>0</v>
      </c>
      <c r="BZ80" s="14">
        <v>0</v>
      </c>
      <c r="CG80" s="14">
        <v>0</v>
      </c>
      <c r="CN80" s="14">
        <v>0</v>
      </c>
      <c r="CU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 t="s">
        <v>598</v>
      </c>
      <c r="DK80" s="14" t="s">
        <v>598</v>
      </c>
      <c r="DL80" s="14" t="s">
        <v>598</v>
      </c>
      <c r="DM80" s="14" t="s">
        <v>598</v>
      </c>
      <c r="DN80" s="14" t="s">
        <v>598</v>
      </c>
      <c r="DO80" s="14" t="s">
        <v>598</v>
      </c>
      <c r="DP80" s="14" t="s">
        <v>598</v>
      </c>
      <c r="DQ80" s="14" t="s">
        <v>598</v>
      </c>
      <c r="DR80" s="14" t="s">
        <v>598</v>
      </c>
      <c r="DS80" s="14" t="s">
        <v>598</v>
      </c>
      <c r="DT80" s="14" t="s">
        <v>598</v>
      </c>
      <c r="DU80" s="14" t="s">
        <v>598</v>
      </c>
      <c r="DV80" s="14" t="s">
        <v>598</v>
      </c>
      <c r="DW80" s="14" t="s">
        <v>598</v>
      </c>
      <c r="DX80" s="14" t="s">
        <v>598</v>
      </c>
      <c r="DY80" s="14" t="s">
        <v>598</v>
      </c>
      <c r="DZ80" s="14" t="s">
        <v>598</v>
      </c>
      <c r="EA80" s="14" t="s">
        <v>598</v>
      </c>
      <c r="EB80" s="14" t="s">
        <v>598</v>
      </c>
      <c r="EC80" s="14" t="s">
        <v>598</v>
      </c>
      <c r="ED80" s="14" t="s">
        <v>598</v>
      </c>
      <c r="EE80" s="14" t="s">
        <v>598</v>
      </c>
      <c r="EF80" s="14" t="s">
        <v>598</v>
      </c>
      <c r="EG80" s="14" t="s">
        <v>598</v>
      </c>
      <c r="EH80" s="14" t="s">
        <v>598</v>
      </c>
      <c r="EI80" s="14" t="s">
        <v>598</v>
      </c>
      <c r="EJ80" s="14" t="s">
        <v>598</v>
      </c>
      <c r="EK80" s="14" t="s">
        <v>598</v>
      </c>
      <c r="EL80" s="14" t="s">
        <v>598</v>
      </c>
      <c r="EM80" s="14" t="s">
        <v>598</v>
      </c>
      <c r="EN80" s="14" t="s">
        <v>598</v>
      </c>
      <c r="EO80" s="14" t="s">
        <v>598</v>
      </c>
      <c r="EP80" s="14" t="s">
        <v>598</v>
      </c>
      <c r="EQ80" s="14" t="s">
        <v>598</v>
      </c>
      <c r="ER80" s="14" t="s">
        <v>598</v>
      </c>
      <c r="ES80" s="14" t="s">
        <v>598</v>
      </c>
      <c r="EZ80" s="14">
        <v>0</v>
      </c>
      <c r="FG80" s="14">
        <v>0</v>
      </c>
      <c r="FN80" s="14">
        <v>0</v>
      </c>
      <c r="FU80" s="14">
        <v>0</v>
      </c>
      <c r="GB80" s="14">
        <v>0</v>
      </c>
      <c r="GI80" s="14">
        <v>0</v>
      </c>
      <c r="GP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L80" s="14">
        <v>0</v>
      </c>
      <c r="HS80" s="14">
        <v>0</v>
      </c>
      <c r="HZ80" s="14">
        <v>0</v>
      </c>
      <c r="IG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JA80" s="14">
        <v>1</v>
      </c>
      <c r="JB80" s="14">
        <v>1</v>
      </c>
      <c r="JC80" s="14">
        <v>1</v>
      </c>
      <c r="JD80" s="14" t="s">
        <v>600</v>
      </c>
      <c r="NG80" s="14" t="s">
        <v>601</v>
      </c>
      <c r="RJ80" s="14" t="s">
        <v>602</v>
      </c>
      <c r="VM80" s="14" t="s">
        <v>603</v>
      </c>
      <c r="ZP80" s="14" t="s">
        <v>604</v>
      </c>
      <c r="ADS80" s="14" t="s">
        <v>605</v>
      </c>
    </row>
    <row r="81" spans="1:799" x14ac:dyDescent="0.25">
      <c r="A81" s="14">
        <v>141</v>
      </c>
      <c r="B81" s="14" t="s">
        <v>889</v>
      </c>
      <c r="C81" s="16">
        <v>42766.361111111109</v>
      </c>
      <c r="D81" s="14" t="s">
        <v>1016</v>
      </c>
      <c r="E81" s="14" t="s">
        <v>1017</v>
      </c>
      <c r="F81" s="14" t="str">
        <f>VLOOKUP(MID(H81,SEARCH("@",H81,1),LEN(H81)-SEARCH("@",H81,1)+1),[2]Sheet1!$D:$F,3,FALSE)</f>
        <v>M661</v>
      </c>
      <c r="G81" s="14" t="s">
        <v>1018</v>
      </c>
      <c r="H81" s="14" t="s">
        <v>1019</v>
      </c>
      <c r="I81" s="14">
        <v>352621889676</v>
      </c>
      <c r="J81" s="14" t="s">
        <v>618</v>
      </c>
      <c r="K81" s="14" t="s">
        <v>732</v>
      </c>
      <c r="M81" s="14">
        <v>2</v>
      </c>
      <c r="N81" s="14">
        <v>6</v>
      </c>
      <c r="O81" s="14" t="s">
        <v>1020</v>
      </c>
      <c r="V81" s="14">
        <v>0</v>
      </c>
      <c r="AC81" s="14">
        <v>0</v>
      </c>
      <c r="AJ81" s="14">
        <v>0</v>
      </c>
      <c r="AQ81" s="14">
        <v>0</v>
      </c>
      <c r="AX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S81" s="14">
        <v>0</v>
      </c>
      <c r="BZ81" s="14">
        <v>0</v>
      </c>
      <c r="CG81" s="14">
        <v>0</v>
      </c>
      <c r="CN81" s="14">
        <v>0</v>
      </c>
      <c r="CU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 t="s">
        <v>598</v>
      </c>
      <c r="DK81" s="14" t="s">
        <v>598</v>
      </c>
      <c r="DL81" s="14" t="s">
        <v>598</v>
      </c>
      <c r="DM81" s="14" t="s">
        <v>598</v>
      </c>
      <c r="DN81" s="14" t="s">
        <v>598</v>
      </c>
      <c r="DO81" s="14" t="s">
        <v>598</v>
      </c>
      <c r="DP81" s="14" t="s">
        <v>598</v>
      </c>
      <c r="DQ81" s="14" t="s">
        <v>598</v>
      </c>
      <c r="DR81" s="14" t="s">
        <v>598</v>
      </c>
      <c r="DS81" s="14" t="s">
        <v>598</v>
      </c>
      <c r="DT81" s="14" t="s">
        <v>598</v>
      </c>
      <c r="DU81" s="14" t="s">
        <v>598</v>
      </c>
      <c r="DV81" s="14" t="s">
        <v>598</v>
      </c>
      <c r="DW81" s="14" t="s">
        <v>598</v>
      </c>
      <c r="DX81" s="14" t="s">
        <v>598</v>
      </c>
      <c r="DY81" s="14" t="s">
        <v>598</v>
      </c>
      <c r="DZ81" s="14" t="s">
        <v>598</v>
      </c>
      <c r="EA81" s="14" t="s">
        <v>598</v>
      </c>
      <c r="EB81" s="14" t="s">
        <v>598</v>
      </c>
      <c r="EC81" s="14" t="s">
        <v>598</v>
      </c>
      <c r="ED81" s="14" t="s">
        <v>598</v>
      </c>
      <c r="EE81" s="14" t="s">
        <v>598</v>
      </c>
      <c r="EF81" s="14" t="s">
        <v>598</v>
      </c>
      <c r="EG81" s="14" t="s">
        <v>598</v>
      </c>
      <c r="EH81" s="14" t="s">
        <v>598</v>
      </c>
      <c r="EI81" s="14" t="s">
        <v>598</v>
      </c>
      <c r="EJ81" s="14" t="s">
        <v>598</v>
      </c>
      <c r="EK81" s="14" t="s">
        <v>598</v>
      </c>
      <c r="EL81" s="14" t="s">
        <v>598</v>
      </c>
      <c r="EM81" s="14" t="s">
        <v>598</v>
      </c>
      <c r="EN81" s="14" t="s">
        <v>598</v>
      </c>
      <c r="EO81" s="14" t="s">
        <v>598</v>
      </c>
      <c r="EP81" s="14" t="s">
        <v>598</v>
      </c>
      <c r="EQ81" s="14" t="s">
        <v>598</v>
      </c>
      <c r="ER81" s="14" t="s">
        <v>598</v>
      </c>
      <c r="ES81" s="14" t="s">
        <v>598</v>
      </c>
      <c r="EZ81" s="14">
        <v>0</v>
      </c>
      <c r="FG81" s="14">
        <v>0</v>
      </c>
      <c r="FN81" s="14">
        <v>0</v>
      </c>
      <c r="FU81" s="14">
        <v>0</v>
      </c>
      <c r="GB81" s="14">
        <v>0</v>
      </c>
      <c r="GI81" s="14">
        <v>0</v>
      </c>
      <c r="GP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L81" s="14">
        <v>0</v>
      </c>
      <c r="HS81" s="14">
        <v>0</v>
      </c>
      <c r="HZ81" s="14">
        <v>0</v>
      </c>
      <c r="IG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JA81" s="14">
        <v>1</v>
      </c>
      <c r="JB81" s="14">
        <v>2</v>
      </c>
      <c r="JC81" s="14">
        <v>1</v>
      </c>
      <c r="JD81" s="14" t="s">
        <v>600</v>
      </c>
      <c r="NG81" s="14" t="s">
        <v>601</v>
      </c>
      <c r="RJ81" s="14" t="s">
        <v>602</v>
      </c>
      <c r="VM81" s="14" t="s">
        <v>603</v>
      </c>
      <c r="ZP81" s="14" t="s">
        <v>604</v>
      </c>
      <c r="ADS81" s="14" t="s">
        <v>605</v>
      </c>
    </row>
    <row r="82" spans="1:799" x14ac:dyDescent="0.25">
      <c r="A82" s="14">
        <v>107</v>
      </c>
      <c r="B82" s="14" t="s">
        <v>889</v>
      </c>
      <c r="C82" s="16">
        <v>42754.489583333336</v>
      </c>
      <c r="D82" s="14" t="s">
        <v>1021</v>
      </c>
      <c r="E82" s="14" t="s">
        <v>1022</v>
      </c>
      <c r="F82" s="14" t="str">
        <f>VLOOKUP(MID(H82,SEARCH("@",H82,1),LEN(H82)-SEARCH("@",H82,1)+1),[2]Sheet1!$D:$F,3,FALSE)</f>
        <v>M2508</v>
      </c>
      <c r="G82" s="14" t="s">
        <v>673</v>
      </c>
      <c r="H82" s="14" t="s">
        <v>1023</v>
      </c>
      <c r="I82" s="14">
        <v>31433257100</v>
      </c>
      <c r="J82" s="14" t="s">
        <v>979</v>
      </c>
      <c r="K82" s="14" t="s">
        <v>732</v>
      </c>
      <c r="M82" s="14">
        <v>1</v>
      </c>
      <c r="V82" s="14">
        <v>0</v>
      </c>
      <c r="W82" s="14">
        <v>80</v>
      </c>
      <c r="AC82" s="14">
        <v>80</v>
      </c>
      <c r="AJ82" s="14">
        <v>0</v>
      </c>
      <c r="AQ82" s="14">
        <v>0</v>
      </c>
      <c r="AX82" s="14">
        <v>0</v>
      </c>
      <c r="BE82" s="14">
        <v>0</v>
      </c>
      <c r="BF82" s="14">
        <v>80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80</v>
      </c>
      <c r="BS82" s="14">
        <v>0</v>
      </c>
      <c r="BT82" s="14">
        <v>1</v>
      </c>
      <c r="BZ82" s="14">
        <v>1</v>
      </c>
      <c r="CG82" s="14">
        <v>0</v>
      </c>
      <c r="CN82" s="14">
        <v>0</v>
      </c>
      <c r="CU82" s="14">
        <v>0</v>
      </c>
      <c r="DB82" s="14">
        <v>0</v>
      </c>
      <c r="DC82" s="14">
        <v>1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1</v>
      </c>
      <c r="DJ82" s="14" t="s">
        <v>598</v>
      </c>
      <c r="DK82" s="14" t="s">
        <v>598</v>
      </c>
      <c r="DL82" s="14" t="s">
        <v>598</v>
      </c>
      <c r="DM82" s="14" t="s">
        <v>598</v>
      </c>
      <c r="DN82" s="14" t="s">
        <v>598</v>
      </c>
      <c r="DO82" s="14" t="s">
        <v>598</v>
      </c>
      <c r="DP82" s="14" t="s">
        <v>597</v>
      </c>
      <c r="DQ82" s="14" t="s">
        <v>598</v>
      </c>
      <c r="DR82" s="14" t="s">
        <v>598</v>
      </c>
      <c r="DS82" s="14" t="s">
        <v>598</v>
      </c>
      <c r="DT82" s="14" t="s">
        <v>598</v>
      </c>
      <c r="DU82" s="14" t="s">
        <v>598</v>
      </c>
      <c r="DV82" s="14" t="s">
        <v>598</v>
      </c>
      <c r="DW82" s="14" t="s">
        <v>598</v>
      </c>
      <c r="DX82" s="14" t="s">
        <v>598</v>
      </c>
      <c r="DY82" s="14" t="s">
        <v>598</v>
      </c>
      <c r="DZ82" s="14" t="s">
        <v>598</v>
      </c>
      <c r="EA82" s="14" t="s">
        <v>598</v>
      </c>
      <c r="EB82" s="14" t="s">
        <v>598</v>
      </c>
      <c r="EC82" s="14" t="s">
        <v>598</v>
      </c>
      <c r="ED82" s="14" t="s">
        <v>598</v>
      </c>
      <c r="EE82" s="14" t="s">
        <v>598</v>
      </c>
      <c r="EF82" s="14" t="s">
        <v>598</v>
      </c>
      <c r="EG82" s="14" t="s">
        <v>598</v>
      </c>
      <c r="EH82" s="14" t="s">
        <v>598</v>
      </c>
      <c r="EI82" s="14" t="s">
        <v>598</v>
      </c>
      <c r="EJ82" s="14" t="s">
        <v>598</v>
      </c>
      <c r="EK82" s="14" t="s">
        <v>598</v>
      </c>
      <c r="EL82" s="14" t="s">
        <v>598</v>
      </c>
      <c r="EM82" s="14" t="s">
        <v>598</v>
      </c>
      <c r="EN82" s="14" t="s">
        <v>598</v>
      </c>
      <c r="EO82" s="14" t="s">
        <v>598</v>
      </c>
      <c r="EP82" s="14" t="s">
        <v>598</v>
      </c>
      <c r="EQ82" s="14" t="s">
        <v>598</v>
      </c>
      <c r="ER82" s="14" t="s">
        <v>598</v>
      </c>
      <c r="ES82" s="14" t="s">
        <v>598</v>
      </c>
      <c r="ET82" s="14">
        <v>80</v>
      </c>
      <c r="EZ82" s="14">
        <v>80</v>
      </c>
      <c r="FG82" s="14">
        <v>0</v>
      </c>
      <c r="FN82" s="14">
        <v>0</v>
      </c>
      <c r="FU82" s="14">
        <v>0</v>
      </c>
      <c r="GB82" s="14">
        <v>0</v>
      </c>
      <c r="GI82" s="14">
        <v>0</v>
      </c>
      <c r="GP82" s="14">
        <v>0</v>
      </c>
      <c r="GX82" s="14">
        <v>0</v>
      </c>
      <c r="GY82" s="14">
        <v>80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80</v>
      </c>
      <c r="HL82" s="14">
        <v>0</v>
      </c>
      <c r="HM82" s="14">
        <v>80</v>
      </c>
      <c r="HS82" s="14">
        <v>80</v>
      </c>
      <c r="HZ82" s="14">
        <v>0</v>
      </c>
      <c r="IG82" s="14">
        <v>0</v>
      </c>
      <c r="IN82" s="14">
        <v>0</v>
      </c>
      <c r="IO82" s="14">
        <v>80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80</v>
      </c>
      <c r="IX82" s="14">
        <v>100</v>
      </c>
      <c r="JA82" s="14">
        <v>1</v>
      </c>
      <c r="JB82" s="14">
        <v>1</v>
      </c>
      <c r="JC82" s="14">
        <v>2</v>
      </c>
      <c r="JD82" s="14" t="s">
        <v>600</v>
      </c>
      <c r="NG82" s="14" t="s">
        <v>601</v>
      </c>
      <c r="NH82" s="14">
        <v>80</v>
      </c>
      <c r="NN82" s="14">
        <v>80</v>
      </c>
      <c r="NU82" s="14">
        <v>0</v>
      </c>
      <c r="OB82" s="14">
        <v>0</v>
      </c>
      <c r="OI82" s="14">
        <v>0</v>
      </c>
      <c r="OP82" s="14">
        <v>0</v>
      </c>
      <c r="OW82" s="14">
        <v>0</v>
      </c>
      <c r="PD82" s="14">
        <v>0</v>
      </c>
      <c r="PL82" s="14">
        <v>0</v>
      </c>
      <c r="PM82" s="14">
        <v>80</v>
      </c>
      <c r="PN82" s="14">
        <v>0</v>
      </c>
      <c r="PO82" s="14">
        <v>0</v>
      </c>
      <c r="PP82" s="14">
        <v>0</v>
      </c>
      <c r="PQ82" s="14">
        <v>0</v>
      </c>
      <c r="PR82" s="14">
        <v>0</v>
      </c>
      <c r="PS82" s="14">
        <v>80</v>
      </c>
      <c r="PT82" s="14">
        <v>80</v>
      </c>
      <c r="PZ82" s="14">
        <v>80</v>
      </c>
      <c r="QG82" s="14">
        <v>0</v>
      </c>
      <c r="QN82" s="14">
        <v>0</v>
      </c>
      <c r="QU82" s="14">
        <v>0</v>
      </c>
      <c r="RB82" s="14">
        <v>0</v>
      </c>
      <c r="RC82" s="14">
        <v>80</v>
      </c>
      <c r="RD82" s="14">
        <v>0</v>
      </c>
      <c r="RE82" s="14">
        <v>0</v>
      </c>
      <c r="RF82" s="14">
        <v>0</v>
      </c>
      <c r="RG82" s="14">
        <v>0</v>
      </c>
      <c r="RH82" s="14">
        <v>0</v>
      </c>
      <c r="RI82" s="14">
        <v>80</v>
      </c>
      <c r="RJ82" s="14" t="s">
        <v>602</v>
      </c>
      <c r="VM82" s="14" t="s">
        <v>603</v>
      </c>
      <c r="ZP82" s="14" t="s">
        <v>604</v>
      </c>
      <c r="ADS82" s="14" t="s">
        <v>605</v>
      </c>
    </row>
    <row r="83" spans="1:799" x14ac:dyDescent="0.25">
      <c r="A83" s="14">
        <v>153</v>
      </c>
      <c r="B83" s="14" t="s">
        <v>889</v>
      </c>
      <c r="C83" s="16">
        <v>42766.690972222219</v>
      </c>
      <c r="D83" s="14" t="s">
        <v>1024</v>
      </c>
      <c r="E83" s="14" t="s">
        <v>1025</v>
      </c>
      <c r="F83" s="14" t="str">
        <f>VLOOKUP(MID(H83,SEARCH("@",H83,1),LEN(H83)-SEARCH("@",H83,1)+1),[2]Sheet1!$D:$F,3,FALSE)</f>
        <v>M751</v>
      </c>
      <c r="G83" s="14" t="s">
        <v>693</v>
      </c>
      <c r="H83" s="14" t="s">
        <v>1026</v>
      </c>
      <c r="I83" s="14">
        <v>3522484711</v>
      </c>
      <c r="J83" s="14" t="s">
        <v>938</v>
      </c>
      <c r="K83" s="14" t="s">
        <v>732</v>
      </c>
      <c r="M83" s="14">
        <v>1</v>
      </c>
      <c r="V83" s="14">
        <v>0</v>
      </c>
      <c r="W83" s="14">
        <v>100</v>
      </c>
      <c r="AC83" s="14">
        <v>100</v>
      </c>
      <c r="AJ83" s="14">
        <v>0</v>
      </c>
      <c r="AQ83" s="14">
        <v>0</v>
      </c>
      <c r="AX83" s="14">
        <v>0</v>
      </c>
      <c r="BE83" s="14">
        <v>0</v>
      </c>
      <c r="BF83" s="14">
        <v>100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100</v>
      </c>
      <c r="BS83" s="14">
        <v>0</v>
      </c>
      <c r="BT83" s="14">
        <v>1</v>
      </c>
      <c r="BZ83" s="14">
        <v>1</v>
      </c>
      <c r="CG83" s="14">
        <v>0</v>
      </c>
      <c r="CN83" s="14">
        <v>0</v>
      </c>
      <c r="CU83" s="14">
        <v>0</v>
      </c>
      <c r="DB83" s="14">
        <v>0</v>
      </c>
      <c r="DC83" s="14">
        <v>1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1</v>
      </c>
      <c r="DJ83" s="14" t="s">
        <v>598</v>
      </c>
      <c r="DK83" s="14" t="s">
        <v>598</v>
      </c>
      <c r="DL83" s="14" t="s">
        <v>598</v>
      </c>
      <c r="DM83" s="14" t="s">
        <v>598</v>
      </c>
      <c r="DN83" s="14" t="s">
        <v>598</v>
      </c>
      <c r="DO83" s="14" t="s">
        <v>598</v>
      </c>
      <c r="DP83" s="14" t="s">
        <v>597</v>
      </c>
      <c r="DQ83" s="14" t="s">
        <v>598</v>
      </c>
      <c r="DR83" s="14" t="s">
        <v>598</v>
      </c>
      <c r="DS83" s="14" t="s">
        <v>598</v>
      </c>
      <c r="DT83" s="14" t="s">
        <v>598</v>
      </c>
      <c r="DU83" s="14" t="s">
        <v>598</v>
      </c>
      <c r="DV83" s="14" t="s">
        <v>598</v>
      </c>
      <c r="DW83" s="14" t="s">
        <v>598</v>
      </c>
      <c r="DX83" s="14" t="s">
        <v>598</v>
      </c>
      <c r="DY83" s="14" t="s">
        <v>598</v>
      </c>
      <c r="DZ83" s="14" t="s">
        <v>598</v>
      </c>
      <c r="EA83" s="14" t="s">
        <v>598</v>
      </c>
      <c r="EB83" s="14" t="s">
        <v>598</v>
      </c>
      <c r="EC83" s="14" t="s">
        <v>598</v>
      </c>
      <c r="ED83" s="14" t="s">
        <v>598</v>
      </c>
      <c r="EE83" s="14" t="s">
        <v>598</v>
      </c>
      <c r="EF83" s="14" t="s">
        <v>598</v>
      </c>
      <c r="EG83" s="14" t="s">
        <v>598</v>
      </c>
      <c r="EH83" s="14" t="s">
        <v>598</v>
      </c>
      <c r="EI83" s="14" t="s">
        <v>598</v>
      </c>
      <c r="EJ83" s="14" t="s">
        <v>598</v>
      </c>
      <c r="EK83" s="14" t="s">
        <v>598</v>
      </c>
      <c r="EL83" s="14" t="s">
        <v>598</v>
      </c>
      <c r="EM83" s="14" t="s">
        <v>598</v>
      </c>
      <c r="EN83" s="14" t="s">
        <v>598</v>
      </c>
      <c r="EO83" s="14" t="s">
        <v>598</v>
      </c>
      <c r="EP83" s="14" t="s">
        <v>598</v>
      </c>
      <c r="EQ83" s="14" t="s">
        <v>598</v>
      </c>
      <c r="ER83" s="14" t="s">
        <v>598</v>
      </c>
      <c r="ES83" s="14" t="s">
        <v>598</v>
      </c>
      <c r="ET83" s="14">
        <v>100</v>
      </c>
      <c r="EZ83" s="14">
        <v>100</v>
      </c>
      <c r="FG83" s="14">
        <v>0</v>
      </c>
      <c r="FN83" s="14">
        <v>0</v>
      </c>
      <c r="FU83" s="14">
        <v>0</v>
      </c>
      <c r="GB83" s="14">
        <v>0</v>
      </c>
      <c r="GI83" s="14">
        <v>0</v>
      </c>
      <c r="GP83" s="14">
        <v>0</v>
      </c>
      <c r="GX83" s="14">
        <v>0</v>
      </c>
      <c r="GY83" s="14">
        <v>100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100</v>
      </c>
      <c r="HL83" s="14">
        <v>0</v>
      </c>
      <c r="HM83" s="14">
        <v>100</v>
      </c>
      <c r="HS83" s="14">
        <v>100</v>
      </c>
      <c r="HZ83" s="14">
        <v>0</v>
      </c>
      <c r="IG83" s="14">
        <v>0</v>
      </c>
      <c r="IN83" s="14">
        <v>0</v>
      </c>
      <c r="IO83" s="14">
        <v>100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100</v>
      </c>
      <c r="IV83" s="14">
        <v>60</v>
      </c>
      <c r="IW83" s="14">
        <v>30</v>
      </c>
      <c r="IX83" s="14">
        <v>10</v>
      </c>
      <c r="JA83" s="14">
        <v>3</v>
      </c>
      <c r="JB83" s="14">
        <v>3</v>
      </c>
      <c r="JC83" s="14">
        <v>2</v>
      </c>
      <c r="JD83" s="14" t="s">
        <v>600</v>
      </c>
      <c r="NG83" s="14" t="s">
        <v>601</v>
      </c>
      <c r="NH83" s="14">
        <v>100</v>
      </c>
      <c r="NN83" s="14">
        <v>100</v>
      </c>
      <c r="NU83" s="14">
        <v>0</v>
      </c>
      <c r="OB83" s="14">
        <v>0</v>
      </c>
      <c r="OI83" s="14">
        <v>0</v>
      </c>
      <c r="OP83" s="14">
        <v>0</v>
      </c>
      <c r="OW83" s="14">
        <v>0</v>
      </c>
      <c r="PD83" s="14">
        <v>0</v>
      </c>
      <c r="PL83" s="14">
        <v>0</v>
      </c>
      <c r="PM83" s="14">
        <v>100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100</v>
      </c>
      <c r="PT83" s="14">
        <v>100</v>
      </c>
      <c r="PZ83" s="14">
        <v>100</v>
      </c>
      <c r="QG83" s="14">
        <v>0</v>
      </c>
      <c r="QN83" s="14">
        <v>0</v>
      </c>
      <c r="QU83" s="14">
        <v>0</v>
      </c>
      <c r="RB83" s="14">
        <v>0</v>
      </c>
      <c r="RC83" s="14">
        <v>100</v>
      </c>
      <c r="RD83" s="14">
        <v>0</v>
      </c>
      <c r="RE83" s="14">
        <v>0</v>
      </c>
      <c r="RF83" s="14">
        <v>0</v>
      </c>
      <c r="RG83" s="14">
        <v>0</v>
      </c>
      <c r="RH83" s="14">
        <v>0</v>
      </c>
      <c r="RI83" s="14">
        <v>100</v>
      </c>
      <c r="RJ83" s="14" t="s">
        <v>602</v>
      </c>
      <c r="VM83" s="14" t="s">
        <v>603</v>
      </c>
      <c r="ZP83" s="14" t="s">
        <v>604</v>
      </c>
      <c r="ADS83" s="14" t="s">
        <v>605</v>
      </c>
    </row>
    <row r="84" spans="1:799" x14ac:dyDescent="0.25">
      <c r="A84" s="14">
        <v>49</v>
      </c>
      <c r="B84" s="14" t="s">
        <v>889</v>
      </c>
      <c r="C84" s="16">
        <v>42761.388888888891</v>
      </c>
      <c r="D84" s="14" t="s">
        <v>1027</v>
      </c>
      <c r="E84" s="14" t="s">
        <v>1028</v>
      </c>
      <c r="F84" s="14" t="str">
        <f>VLOOKUP(MID(H84,SEARCH("@",H84,1),LEN(H84)-SEARCH("@",H84,1)+1),[2]Sheet1!$D:$F,3,FALSE)</f>
        <v>M655</v>
      </c>
      <c r="G84" s="14" t="s">
        <v>1029</v>
      </c>
      <c r="H84" s="14" t="s">
        <v>1030</v>
      </c>
      <c r="I84" s="14">
        <v>2073991000</v>
      </c>
      <c r="J84" s="14" t="s">
        <v>731</v>
      </c>
      <c r="K84" s="14" t="s">
        <v>945</v>
      </c>
      <c r="M84" s="14">
        <v>1</v>
      </c>
      <c r="V84" s="14">
        <v>0</v>
      </c>
      <c r="W84" s="14">
        <v>200</v>
      </c>
      <c r="AC84" s="14">
        <v>200</v>
      </c>
      <c r="AJ84" s="14">
        <v>0</v>
      </c>
      <c r="AQ84" s="14">
        <v>0</v>
      </c>
      <c r="AX84" s="14">
        <v>0</v>
      </c>
      <c r="BE84" s="14">
        <v>0</v>
      </c>
      <c r="BF84" s="14">
        <v>200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200</v>
      </c>
      <c r="BS84" s="14">
        <v>0</v>
      </c>
      <c r="BT84" s="14">
        <v>1</v>
      </c>
      <c r="BZ84" s="14">
        <v>1</v>
      </c>
      <c r="CG84" s="14">
        <v>0</v>
      </c>
      <c r="CN84" s="14">
        <v>0</v>
      </c>
      <c r="CU84" s="14">
        <v>0</v>
      </c>
      <c r="DB84" s="14">
        <v>0</v>
      </c>
      <c r="DC84" s="14">
        <v>1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1</v>
      </c>
      <c r="DJ84" s="14" t="s">
        <v>598</v>
      </c>
      <c r="DK84" s="14" t="s">
        <v>598</v>
      </c>
      <c r="DL84" s="14" t="s">
        <v>598</v>
      </c>
      <c r="DM84" s="14" t="s">
        <v>598</v>
      </c>
      <c r="DN84" s="14" t="s">
        <v>598</v>
      </c>
      <c r="DO84" s="14" t="s">
        <v>598</v>
      </c>
      <c r="DP84" s="14" t="s">
        <v>597</v>
      </c>
      <c r="DQ84" s="14" t="s">
        <v>598</v>
      </c>
      <c r="DR84" s="14" t="s">
        <v>598</v>
      </c>
      <c r="DS84" s="14" t="s">
        <v>598</v>
      </c>
      <c r="DT84" s="14" t="s">
        <v>598</v>
      </c>
      <c r="DU84" s="14" t="s">
        <v>598</v>
      </c>
      <c r="DV84" s="14" t="s">
        <v>598</v>
      </c>
      <c r="DW84" s="14" t="s">
        <v>598</v>
      </c>
      <c r="DX84" s="14" t="s">
        <v>598</v>
      </c>
      <c r="DY84" s="14" t="s">
        <v>598</v>
      </c>
      <c r="DZ84" s="14" t="s">
        <v>598</v>
      </c>
      <c r="EA84" s="14" t="s">
        <v>598</v>
      </c>
      <c r="EB84" s="14" t="s">
        <v>598</v>
      </c>
      <c r="EC84" s="14" t="s">
        <v>598</v>
      </c>
      <c r="ED84" s="14" t="s">
        <v>598</v>
      </c>
      <c r="EE84" s="14" t="s">
        <v>598</v>
      </c>
      <c r="EF84" s="14" t="s">
        <v>598</v>
      </c>
      <c r="EG84" s="14" t="s">
        <v>598</v>
      </c>
      <c r="EH84" s="14" t="s">
        <v>598</v>
      </c>
      <c r="EI84" s="14" t="s">
        <v>598</v>
      </c>
      <c r="EJ84" s="14" t="s">
        <v>598</v>
      </c>
      <c r="EK84" s="14" t="s">
        <v>598</v>
      </c>
      <c r="EL84" s="14" t="s">
        <v>598</v>
      </c>
      <c r="EM84" s="14" t="s">
        <v>598</v>
      </c>
      <c r="EN84" s="14" t="s">
        <v>598</v>
      </c>
      <c r="EO84" s="14" t="s">
        <v>598</v>
      </c>
      <c r="EP84" s="14" t="s">
        <v>598</v>
      </c>
      <c r="EQ84" s="14" t="s">
        <v>598</v>
      </c>
      <c r="ER84" s="14" t="s">
        <v>598</v>
      </c>
      <c r="ES84" s="14" t="s">
        <v>598</v>
      </c>
      <c r="ET84" s="14">
        <v>135</v>
      </c>
      <c r="EZ84" s="14">
        <v>135</v>
      </c>
      <c r="FG84" s="14">
        <v>0</v>
      </c>
      <c r="FN84" s="14">
        <v>0</v>
      </c>
      <c r="FU84" s="14">
        <v>0</v>
      </c>
      <c r="FV84" s="14">
        <v>65</v>
      </c>
      <c r="GB84" s="14">
        <v>65</v>
      </c>
      <c r="GI84" s="14">
        <v>0</v>
      </c>
      <c r="GP84" s="14">
        <v>0</v>
      </c>
      <c r="GX84" s="14">
        <v>0</v>
      </c>
      <c r="GY84" s="14">
        <v>200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200</v>
      </c>
      <c r="HL84" s="14">
        <v>0</v>
      </c>
      <c r="HM84" s="14">
        <v>135</v>
      </c>
      <c r="HS84" s="14">
        <v>135</v>
      </c>
      <c r="HT84" s="14">
        <v>65</v>
      </c>
      <c r="HZ84" s="14">
        <v>65</v>
      </c>
      <c r="IG84" s="14">
        <v>0</v>
      </c>
      <c r="IN84" s="14">
        <v>0</v>
      </c>
      <c r="IO84" s="14">
        <v>200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200</v>
      </c>
      <c r="IX84" s="14">
        <v>100</v>
      </c>
      <c r="JA84" s="14">
        <v>1</v>
      </c>
      <c r="JB84" s="14">
        <v>1</v>
      </c>
      <c r="JC84" s="14">
        <v>1</v>
      </c>
      <c r="JD84" s="14" t="s">
        <v>600</v>
      </c>
      <c r="NG84" s="14" t="s">
        <v>601</v>
      </c>
      <c r="NH84" s="14">
        <v>135</v>
      </c>
      <c r="NN84" s="14">
        <v>135</v>
      </c>
      <c r="NU84" s="14">
        <v>0</v>
      </c>
      <c r="OB84" s="14">
        <v>0</v>
      </c>
      <c r="OI84" s="14">
        <v>0</v>
      </c>
      <c r="OJ84" s="14">
        <v>65</v>
      </c>
      <c r="OP84" s="14">
        <v>65</v>
      </c>
      <c r="OW84" s="14">
        <v>0</v>
      </c>
      <c r="PD84" s="14">
        <v>0</v>
      </c>
      <c r="PL84" s="14">
        <v>0</v>
      </c>
      <c r="PM84" s="14">
        <v>200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200</v>
      </c>
      <c r="PT84" s="14">
        <v>135</v>
      </c>
      <c r="PZ84" s="14">
        <v>135</v>
      </c>
      <c r="QG84" s="14">
        <v>0</v>
      </c>
      <c r="QH84" s="14">
        <v>65</v>
      </c>
      <c r="QN84" s="14">
        <v>65</v>
      </c>
      <c r="QU84" s="14">
        <v>0</v>
      </c>
      <c r="RB84" s="14">
        <v>0</v>
      </c>
      <c r="RC84" s="14">
        <v>200</v>
      </c>
      <c r="RD84" s="14">
        <v>0</v>
      </c>
      <c r="RE84" s="14">
        <v>0</v>
      </c>
      <c r="RF84" s="14">
        <v>0</v>
      </c>
      <c r="RG84" s="14">
        <v>0</v>
      </c>
      <c r="RH84" s="14">
        <v>0</v>
      </c>
      <c r="RI84" s="14">
        <v>200</v>
      </c>
      <c r="RJ84" s="14" t="s">
        <v>602</v>
      </c>
      <c r="VM84" s="14" t="s">
        <v>603</v>
      </c>
      <c r="ZP84" s="14" t="s">
        <v>604</v>
      </c>
      <c r="ADS84" s="14" t="s">
        <v>605</v>
      </c>
    </row>
    <row r="85" spans="1:799" x14ac:dyDescent="0.25">
      <c r="A85" s="14">
        <v>148</v>
      </c>
      <c r="B85" s="14" t="s">
        <v>889</v>
      </c>
      <c r="C85" s="16">
        <v>42766.470833333333</v>
      </c>
      <c r="D85" s="14" t="s">
        <v>1031</v>
      </c>
      <c r="E85" s="14" t="s">
        <v>1032</v>
      </c>
      <c r="F85" s="14" t="str">
        <f>VLOOKUP(MID(H85,SEARCH("@",H85,1),LEN(H85)-SEARCH("@",H85,1)+1),[2]Sheet1!$D:$F,3,FALSE)</f>
        <v>M692</v>
      </c>
      <c r="G85" s="14" t="s">
        <v>693</v>
      </c>
      <c r="H85" s="14" t="s">
        <v>1033</v>
      </c>
      <c r="I85" s="14">
        <v>2035515448</v>
      </c>
      <c r="J85" s="14" t="s">
        <v>1034</v>
      </c>
      <c r="K85" s="14" t="s">
        <v>732</v>
      </c>
      <c r="M85" s="14">
        <v>2</v>
      </c>
      <c r="N85" s="14">
        <v>6</v>
      </c>
      <c r="O85" s="14" t="s">
        <v>1035</v>
      </c>
      <c r="V85" s="14">
        <v>0</v>
      </c>
      <c r="AC85" s="14">
        <v>0</v>
      </c>
      <c r="AJ85" s="14">
        <v>0</v>
      </c>
      <c r="AQ85" s="14">
        <v>0</v>
      </c>
      <c r="AX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S85" s="14">
        <v>0</v>
      </c>
      <c r="BZ85" s="14">
        <v>0</v>
      </c>
      <c r="CG85" s="14">
        <v>0</v>
      </c>
      <c r="CN85" s="14">
        <v>0</v>
      </c>
      <c r="CU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 t="s">
        <v>598</v>
      </c>
      <c r="DK85" s="14" t="s">
        <v>598</v>
      </c>
      <c r="DL85" s="14" t="s">
        <v>598</v>
      </c>
      <c r="DM85" s="14" t="s">
        <v>598</v>
      </c>
      <c r="DN85" s="14" t="s">
        <v>598</v>
      </c>
      <c r="DO85" s="14" t="s">
        <v>598</v>
      </c>
      <c r="DP85" s="14" t="s">
        <v>598</v>
      </c>
      <c r="DQ85" s="14" t="s">
        <v>598</v>
      </c>
      <c r="DR85" s="14" t="s">
        <v>598</v>
      </c>
      <c r="DS85" s="14" t="s">
        <v>598</v>
      </c>
      <c r="DT85" s="14" t="s">
        <v>598</v>
      </c>
      <c r="DU85" s="14" t="s">
        <v>598</v>
      </c>
      <c r="DV85" s="14" t="s">
        <v>598</v>
      </c>
      <c r="DW85" s="14" t="s">
        <v>598</v>
      </c>
      <c r="DX85" s="14" t="s">
        <v>598</v>
      </c>
      <c r="DY85" s="14" t="s">
        <v>598</v>
      </c>
      <c r="DZ85" s="14" t="s">
        <v>598</v>
      </c>
      <c r="EA85" s="14" t="s">
        <v>598</v>
      </c>
      <c r="EB85" s="14" t="s">
        <v>598</v>
      </c>
      <c r="EC85" s="14" t="s">
        <v>598</v>
      </c>
      <c r="ED85" s="14" t="s">
        <v>598</v>
      </c>
      <c r="EE85" s="14" t="s">
        <v>598</v>
      </c>
      <c r="EF85" s="14" t="s">
        <v>598</v>
      </c>
      <c r="EG85" s="14" t="s">
        <v>598</v>
      </c>
      <c r="EH85" s="14" t="s">
        <v>598</v>
      </c>
      <c r="EI85" s="14" t="s">
        <v>598</v>
      </c>
      <c r="EJ85" s="14" t="s">
        <v>598</v>
      </c>
      <c r="EK85" s="14" t="s">
        <v>598</v>
      </c>
      <c r="EL85" s="14" t="s">
        <v>598</v>
      </c>
      <c r="EM85" s="14" t="s">
        <v>598</v>
      </c>
      <c r="EN85" s="14" t="s">
        <v>598</v>
      </c>
      <c r="EO85" s="14" t="s">
        <v>598</v>
      </c>
      <c r="EP85" s="14" t="s">
        <v>598</v>
      </c>
      <c r="EQ85" s="14" t="s">
        <v>598</v>
      </c>
      <c r="ER85" s="14" t="s">
        <v>598</v>
      </c>
      <c r="ES85" s="14" t="s">
        <v>598</v>
      </c>
      <c r="EZ85" s="14">
        <v>0</v>
      </c>
      <c r="FG85" s="14">
        <v>0</v>
      </c>
      <c r="FN85" s="14">
        <v>0</v>
      </c>
      <c r="FU85" s="14">
        <v>0</v>
      </c>
      <c r="GB85" s="14">
        <v>0</v>
      </c>
      <c r="GI85" s="14">
        <v>0</v>
      </c>
      <c r="GP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L85" s="14">
        <v>0</v>
      </c>
      <c r="HS85" s="14">
        <v>0</v>
      </c>
      <c r="HZ85" s="14">
        <v>0</v>
      </c>
      <c r="IG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JA85" s="14">
        <v>3</v>
      </c>
      <c r="JB85" s="14">
        <v>1</v>
      </c>
      <c r="JC85" s="14">
        <v>2</v>
      </c>
      <c r="JD85" s="14" t="s">
        <v>600</v>
      </c>
      <c r="NG85" s="14" t="s">
        <v>601</v>
      </c>
      <c r="RJ85" s="14" t="s">
        <v>602</v>
      </c>
      <c r="VM85" s="14" t="s">
        <v>603</v>
      </c>
      <c r="ZP85" s="14" t="s">
        <v>604</v>
      </c>
      <c r="ADS85" s="14" t="s">
        <v>605</v>
      </c>
    </row>
    <row r="86" spans="1:799" x14ac:dyDescent="0.25">
      <c r="A86" s="14">
        <v>204</v>
      </c>
      <c r="B86" s="14" t="s">
        <v>889</v>
      </c>
      <c r="C86" s="16">
        <v>42779.347916666666</v>
      </c>
      <c r="D86" s="14" t="s">
        <v>1036</v>
      </c>
      <c r="E86" s="14" t="s">
        <v>1037</v>
      </c>
      <c r="F86" s="14" t="str">
        <f>VLOOKUP(MID(H86,SEARCH("@",H86,1),LEN(H86)-SEARCH("@",H86,1)+1),[2]Sheet1!$D:$F,3,FALSE)</f>
        <v>M680</v>
      </c>
      <c r="G86" s="14" t="s">
        <v>652</v>
      </c>
      <c r="H86" s="14" t="s">
        <v>1038</v>
      </c>
      <c r="I86" s="14">
        <v>4989599890861</v>
      </c>
      <c r="J86" s="14" t="s">
        <v>894</v>
      </c>
      <c r="K86" s="14" t="s">
        <v>732</v>
      </c>
      <c r="M86" s="14">
        <v>1</v>
      </c>
      <c r="V86" s="14">
        <v>0</v>
      </c>
      <c r="W86" s="14">
        <v>158</v>
      </c>
      <c r="AC86" s="14">
        <v>158</v>
      </c>
      <c r="AJ86" s="14">
        <v>0</v>
      </c>
      <c r="AQ86" s="14">
        <v>0</v>
      </c>
      <c r="AX86" s="14">
        <v>0</v>
      </c>
      <c r="BE86" s="14">
        <v>0</v>
      </c>
      <c r="BF86" s="14">
        <v>158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158</v>
      </c>
      <c r="BS86" s="14">
        <v>0</v>
      </c>
      <c r="BT86" s="14">
        <v>2</v>
      </c>
      <c r="BZ86" s="14">
        <v>2</v>
      </c>
      <c r="CG86" s="14">
        <v>0</v>
      </c>
      <c r="CN86" s="14">
        <v>0</v>
      </c>
      <c r="CU86" s="14">
        <v>0</v>
      </c>
      <c r="DB86" s="14">
        <v>0</v>
      </c>
      <c r="DC86" s="14">
        <v>2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2</v>
      </c>
      <c r="DJ86" s="14" t="s">
        <v>598</v>
      </c>
      <c r="DK86" s="14" t="s">
        <v>598</v>
      </c>
      <c r="DL86" s="14" t="s">
        <v>598</v>
      </c>
      <c r="DM86" s="14" t="s">
        <v>598</v>
      </c>
      <c r="DN86" s="14" t="s">
        <v>598</v>
      </c>
      <c r="DO86" s="14" t="s">
        <v>598</v>
      </c>
      <c r="DP86" s="14" t="s">
        <v>597</v>
      </c>
      <c r="DQ86" s="14" t="s">
        <v>598</v>
      </c>
      <c r="DR86" s="14" t="s">
        <v>598</v>
      </c>
      <c r="DS86" s="14" t="s">
        <v>598</v>
      </c>
      <c r="DT86" s="14" t="s">
        <v>598</v>
      </c>
      <c r="DU86" s="14" t="s">
        <v>598</v>
      </c>
      <c r="DV86" s="14" t="s">
        <v>598</v>
      </c>
      <c r="DW86" s="14" t="s">
        <v>598</v>
      </c>
      <c r="DX86" s="14" t="s">
        <v>598</v>
      </c>
      <c r="DY86" s="14" t="s">
        <v>598</v>
      </c>
      <c r="DZ86" s="14" t="s">
        <v>598</v>
      </c>
      <c r="EA86" s="14" t="s">
        <v>598</v>
      </c>
      <c r="EB86" s="14" t="s">
        <v>598</v>
      </c>
      <c r="EC86" s="14" t="s">
        <v>598</v>
      </c>
      <c r="ED86" s="14" t="s">
        <v>598</v>
      </c>
      <c r="EE86" s="14" t="s">
        <v>598</v>
      </c>
      <c r="EF86" s="14" t="s">
        <v>598</v>
      </c>
      <c r="EG86" s="14" t="s">
        <v>598</v>
      </c>
      <c r="EH86" s="14" t="s">
        <v>598</v>
      </c>
      <c r="EI86" s="14" t="s">
        <v>598</v>
      </c>
      <c r="EJ86" s="14" t="s">
        <v>598</v>
      </c>
      <c r="EK86" s="14" t="s">
        <v>598</v>
      </c>
      <c r="EL86" s="14" t="s">
        <v>598</v>
      </c>
      <c r="EM86" s="14" t="s">
        <v>598</v>
      </c>
      <c r="EN86" s="14" t="s">
        <v>598</v>
      </c>
      <c r="EO86" s="14" t="s">
        <v>598</v>
      </c>
      <c r="EP86" s="14" t="s">
        <v>598</v>
      </c>
      <c r="EQ86" s="14" t="s">
        <v>598</v>
      </c>
      <c r="ER86" s="14" t="s">
        <v>598</v>
      </c>
      <c r="ES86" s="14" t="s">
        <v>598</v>
      </c>
      <c r="ET86" s="14">
        <v>95</v>
      </c>
      <c r="EZ86" s="14">
        <v>95</v>
      </c>
      <c r="FA86" s="14">
        <v>45</v>
      </c>
      <c r="FG86" s="14">
        <v>45</v>
      </c>
      <c r="FN86" s="14">
        <v>0</v>
      </c>
      <c r="FU86" s="14">
        <v>0</v>
      </c>
      <c r="GB86" s="14">
        <v>0</v>
      </c>
      <c r="GI86" s="14">
        <v>0</v>
      </c>
      <c r="GJ86" s="14">
        <v>8</v>
      </c>
      <c r="GP86" s="14">
        <v>8</v>
      </c>
      <c r="GQ86" s="14" t="s">
        <v>1039</v>
      </c>
      <c r="GR86" s="14">
        <v>10</v>
      </c>
      <c r="GX86" s="14">
        <v>10</v>
      </c>
      <c r="GY86" s="14">
        <v>158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158</v>
      </c>
      <c r="HL86" s="14">
        <v>0</v>
      </c>
      <c r="HM86" s="14">
        <v>158</v>
      </c>
      <c r="HS86" s="14">
        <v>158</v>
      </c>
      <c r="HZ86" s="14">
        <v>0</v>
      </c>
      <c r="IG86" s="14">
        <v>0</v>
      </c>
      <c r="IN86" s="14">
        <v>0</v>
      </c>
      <c r="IO86" s="14">
        <v>158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158</v>
      </c>
      <c r="IV86" s="14">
        <v>41</v>
      </c>
      <c r="IX86" s="14">
        <v>59</v>
      </c>
      <c r="JA86" s="14">
        <v>1</v>
      </c>
      <c r="JB86" s="14">
        <v>3</v>
      </c>
      <c r="JC86" s="14">
        <v>1</v>
      </c>
      <c r="JD86" s="14" t="s">
        <v>600</v>
      </c>
      <c r="NG86" s="14" t="s">
        <v>601</v>
      </c>
      <c r="NH86" s="14">
        <v>95</v>
      </c>
      <c r="NN86" s="14">
        <v>95</v>
      </c>
      <c r="NO86" s="14">
        <v>45</v>
      </c>
      <c r="NU86" s="14">
        <v>45</v>
      </c>
      <c r="OB86" s="14">
        <v>0</v>
      </c>
      <c r="OI86" s="14">
        <v>0</v>
      </c>
      <c r="OP86" s="14">
        <v>0</v>
      </c>
      <c r="OW86" s="14">
        <v>0</v>
      </c>
      <c r="OX86" s="14">
        <v>8</v>
      </c>
      <c r="PD86" s="14">
        <v>8</v>
      </c>
      <c r="PE86" s="14" t="s">
        <v>1039</v>
      </c>
      <c r="PF86" s="14">
        <v>10</v>
      </c>
      <c r="PL86" s="14">
        <v>10</v>
      </c>
      <c r="PM86" s="14">
        <v>158</v>
      </c>
      <c r="PN86" s="14">
        <v>0</v>
      </c>
      <c r="PO86" s="14">
        <v>0</v>
      </c>
      <c r="PP86" s="14">
        <v>0</v>
      </c>
      <c r="PQ86" s="14">
        <v>0</v>
      </c>
      <c r="PR86" s="14">
        <v>0</v>
      </c>
      <c r="PS86" s="14">
        <v>158</v>
      </c>
      <c r="PT86" s="14">
        <v>158</v>
      </c>
      <c r="PZ86" s="14">
        <v>158</v>
      </c>
      <c r="QG86" s="14">
        <v>0</v>
      </c>
      <c r="QN86" s="14">
        <v>0</v>
      </c>
      <c r="QU86" s="14">
        <v>0</v>
      </c>
      <c r="RB86" s="14">
        <v>0</v>
      </c>
      <c r="RC86" s="14">
        <v>158</v>
      </c>
      <c r="RD86" s="14">
        <v>0</v>
      </c>
      <c r="RE86" s="14">
        <v>0</v>
      </c>
      <c r="RF86" s="14">
        <v>0</v>
      </c>
      <c r="RG86" s="14">
        <v>0</v>
      </c>
      <c r="RH86" s="14">
        <v>0</v>
      </c>
      <c r="RI86" s="14">
        <v>158</v>
      </c>
      <c r="RJ86" s="14" t="s">
        <v>602</v>
      </c>
      <c r="VM86" s="14" t="s">
        <v>603</v>
      </c>
      <c r="ZP86" s="14" t="s">
        <v>604</v>
      </c>
      <c r="ADS86" s="14" t="s">
        <v>605</v>
      </c>
    </row>
    <row r="87" spans="1:799" x14ac:dyDescent="0.25">
      <c r="A87" s="14">
        <v>93</v>
      </c>
      <c r="B87" s="14" t="s">
        <v>889</v>
      </c>
      <c r="C87" s="16">
        <v>42748.531944444447</v>
      </c>
      <c r="D87" s="14" t="s">
        <v>1040</v>
      </c>
      <c r="E87" s="14" t="s">
        <v>1041</v>
      </c>
      <c r="F87" s="14" t="str">
        <f>VLOOKUP(MID(H87,SEARCH("@",H87,1),LEN(H87)-SEARCH("@",H87,1)+1),[2]Sheet1!$D:$F,3,FALSE)</f>
        <v>M04230</v>
      </c>
      <c r="G87" s="14" t="s">
        <v>1042</v>
      </c>
      <c r="H87" s="14" t="s">
        <v>1043</v>
      </c>
      <c r="I87" s="14">
        <v>41443320080</v>
      </c>
      <c r="J87" s="14" t="s">
        <v>1044</v>
      </c>
      <c r="K87" s="14" t="s">
        <v>732</v>
      </c>
      <c r="M87" s="14">
        <v>1</v>
      </c>
      <c r="V87" s="14">
        <v>0</v>
      </c>
      <c r="W87" s="14">
        <v>86</v>
      </c>
      <c r="Z87" s="14">
        <v>63</v>
      </c>
      <c r="AC87" s="14">
        <v>149</v>
      </c>
      <c r="AJ87" s="14">
        <v>0</v>
      </c>
      <c r="AO87" s="14">
        <v>340</v>
      </c>
      <c r="AQ87" s="14">
        <v>340</v>
      </c>
      <c r="AX87" s="14">
        <v>0</v>
      </c>
      <c r="BE87" s="14">
        <v>0</v>
      </c>
      <c r="BF87" s="14">
        <v>86</v>
      </c>
      <c r="BG87" s="14">
        <v>0</v>
      </c>
      <c r="BH87" s="14">
        <v>0</v>
      </c>
      <c r="BI87" s="14">
        <v>63</v>
      </c>
      <c r="BJ87" s="14">
        <v>340</v>
      </c>
      <c r="BK87" s="14">
        <v>0</v>
      </c>
      <c r="BL87" s="14">
        <v>489</v>
      </c>
      <c r="BS87" s="14">
        <v>0</v>
      </c>
      <c r="BT87" s="14">
        <v>2</v>
      </c>
      <c r="BW87" s="14">
        <v>3</v>
      </c>
      <c r="BZ87" s="14">
        <v>5</v>
      </c>
      <c r="CG87" s="14">
        <v>0</v>
      </c>
      <c r="CL87" s="14">
        <v>1</v>
      </c>
      <c r="CN87" s="14">
        <v>1</v>
      </c>
      <c r="CU87" s="14">
        <v>0</v>
      </c>
      <c r="DB87" s="14">
        <v>0</v>
      </c>
      <c r="DC87" s="14">
        <v>2</v>
      </c>
      <c r="DD87" s="14">
        <v>0</v>
      </c>
      <c r="DE87" s="14">
        <v>0</v>
      </c>
      <c r="DF87" s="14">
        <v>3</v>
      </c>
      <c r="DG87" s="14">
        <v>1</v>
      </c>
      <c r="DH87" s="14">
        <v>0</v>
      </c>
      <c r="DI87" s="14">
        <v>6</v>
      </c>
      <c r="DJ87" s="14" t="s">
        <v>598</v>
      </c>
      <c r="DK87" s="14" t="s">
        <v>598</v>
      </c>
      <c r="DL87" s="14" t="s">
        <v>598</v>
      </c>
      <c r="DM87" s="14" t="s">
        <v>598</v>
      </c>
      <c r="DN87" s="14" t="s">
        <v>598</v>
      </c>
      <c r="DO87" s="14" t="s">
        <v>598</v>
      </c>
      <c r="DP87" s="14" t="s">
        <v>597</v>
      </c>
      <c r="DQ87" s="14" t="s">
        <v>598</v>
      </c>
      <c r="DR87" s="14" t="s">
        <v>598</v>
      </c>
      <c r="DS87" s="14" t="s">
        <v>597</v>
      </c>
      <c r="DT87" s="14" t="s">
        <v>598</v>
      </c>
      <c r="DU87" s="14" t="s">
        <v>598</v>
      </c>
      <c r="DV87" s="14" t="s">
        <v>598</v>
      </c>
      <c r="DW87" s="14" t="s">
        <v>598</v>
      </c>
      <c r="DX87" s="14" t="s">
        <v>598</v>
      </c>
      <c r="DY87" s="14" t="s">
        <v>598</v>
      </c>
      <c r="DZ87" s="14" t="s">
        <v>598</v>
      </c>
      <c r="EA87" s="14" t="s">
        <v>598</v>
      </c>
      <c r="EB87" s="14" t="s">
        <v>598</v>
      </c>
      <c r="EC87" s="14" t="s">
        <v>598</v>
      </c>
      <c r="ED87" s="14" t="s">
        <v>598</v>
      </c>
      <c r="EE87" s="14" t="s">
        <v>598</v>
      </c>
      <c r="EF87" s="14" t="s">
        <v>597</v>
      </c>
      <c r="EG87" s="14" t="s">
        <v>598</v>
      </c>
      <c r="EH87" s="14" t="s">
        <v>598</v>
      </c>
      <c r="EI87" s="14" t="s">
        <v>598</v>
      </c>
      <c r="EJ87" s="14" t="s">
        <v>598</v>
      </c>
      <c r="EK87" s="14" t="s">
        <v>598</v>
      </c>
      <c r="EL87" s="14" t="s">
        <v>598</v>
      </c>
      <c r="EM87" s="14" t="s">
        <v>598</v>
      </c>
      <c r="EN87" s="14" t="s">
        <v>598</v>
      </c>
      <c r="EO87" s="14" t="s">
        <v>598</v>
      </c>
      <c r="EP87" s="14" t="s">
        <v>598</v>
      </c>
      <c r="EQ87" s="14" t="s">
        <v>598</v>
      </c>
      <c r="ER87" s="14" t="s">
        <v>598</v>
      </c>
      <c r="ES87" s="14" t="s">
        <v>598</v>
      </c>
      <c r="ET87" s="14">
        <v>50</v>
      </c>
      <c r="EZ87" s="14">
        <v>50</v>
      </c>
      <c r="FE87" s="14">
        <v>340</v>
      </c>
      <c r="FG87" s="14">
        <v>340</v>
      </c>
      <c r="FN87" s="14">
        <v>0</v>
      </c>
      <c r="FU87" s="14">
        <v>0</v>
      </c>
      <c r="GB87" s="14">
        <v>0</v>
      </c>
      <c r="GI87" s="14">
        <v>0</v>
      </c>
      <c r="GJ87" s="14">
        <v>36</v>
      </c>
      <c r="GM87" s="14">
        <v>63</v>
      </c>
      <c r="GP87" s="14">
        <v>99</v>
      </c>
      <c r="GX87" s="14">
        <v>0</v>
      </c>
      <c r="GY87" s="14">
        <v>86</v>
      </c>
      <c r="GZ87" s="14">
        <v>0</v>
      </c>
      <c r="HA87" s="14">
        <v>0</v>
      </c>
      <c r="HB87" s="14">
        <v>63</v>
      </c>
      <c r="HC87" s="14">
        <v>340</v>
      </c>
      <c r="HD87" s="14">
        <v>0</v>
      </c>
      <c r="HE87" s="14">
        <v>489</v>
      </c>
      <c r="HL87" s="14">
        <v>0</v>
      </c>
      <c r="HM87" s="14">
        <v>50</v>
      </c>
      <c r="HQ87" s="14">
        <v>340</v>
      </c>
      <c r="HS87" s="14">
        <v>390</v>
      </c>
      <c r="HZ87" s="14">
        <v>0</v>
      </c>
      <c r="IG87" s="14">
        <v>0</v>
      </c>
      <c r="IN87" s="14">
        <v>0</v>
      </c>
      <c r="IO87" s="14">
        <v>50</v>
      </c>
      <c r="IP87" s="14">
        <v>0</v>
      </c>
      <c r="IQ87" s="14">
        <v>0</v>
      </c>
      <c r="IR87" s="14">
        <v>0</v>
      </c>
      <c r="IS87" s="14">
        <v>340</v>
      </c>
      <c r="IT87" s="14">
        <v>0</v>
      </c>
      <c r="IU87" s="14">
        <v>390</v>
      </c>
      <c r="JA87" s="14">
        <v>1</v>
      </c>
      <c r="JB87" s="14">
        <v>3</v>
      </c>
      <c r="JC87" s="14">
        <v>1</v>
      </c>
      <c r="JD87" s="14" t="s">
        <v>600</v>
      </c>
      <c r="NG87" s="14" t="s">
        <v>601</v>
      </c>
      <c r="RJ87" s="14" t="s">
        <v>602</v>
      </c>
      <c r="VM87" s="14" t="s">
        <v>603</v>
      </c>
      <c r="ZP87" s="14" t="s">
        <v>604</v>
      </c>
      <c r="ADS87" s="14" t="s">
        <v>605</v>
      </c>
    </row>
    <row r="88" spans="1:799" x14ac:dyDescent="0.25">
      <c r="A88" s="14">
        <v>62</v>
      </c>
      <c r="B88" s="14" t="s">
        <v>889</v>
      </c>
      <c r="C88" s="16">
        <v>42760.459027777775</v>
      </c>
      <c r="D88" s="14" t="s">
        <v>1045</v>
      </c>
      <c r="E88" s="14" t="s">
        <v>1046</v>
      </c>
      <c r="F88" s="14" t="str">
        <f>VLOOKUP(MID(H88,SEARCH("@",H88,1),LEN(H88)-SEARCH("@",H88,1)+1),[2]Sheet1!$D:$F,3,FALSE)</f>
        <v>M278</v>
      </c>
      <c r="G88" s="14" t="s">
        <v>636</v>
      </c>
      <c r="H88" s="14" t="s">
        <v>1047</v>
      </c>
      <c r="I88" s="14" t="s">
        <v>1048</v>
      </c>
      <c r="J88" s="14" t="s">
        <v>979</v>
      </c>
      <c r="K88" s="14" t="s">
        <v>732</v>
      </c>
      <c r="M88" s="14">
        <v>1</v>
      </c>
      <c r="V88" s="14">
        <v>0</v>
      </c>
      <c r="W88" s="14">
        <v>250</v>
      </c>
      <c r="AC88" s="14">
        <v>250</v>
      </c>
      <c r="AJ88" s="14">
        <v>0</v>
      </c>
      <c r="AQ88" s="14">
        <v>0</v>
      </c>
      <c r="AX88" s="14">
        <v>0</v>
      </c>
      <c r="BE88" s="14">
        <v>0</v>
      </c>
      <c r="BF88" s="14">
        <v>250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250</v>
      </c>
      <c r="BS88" s="14">
        <v>0</v>
      </c>
      <c r="BT88" s="14">
        <v>2</v>
      </c>
      <c r="BZ88" s="14">
        <v>2</v>
      </c>
      <c r="CG88" s="14">
        <v>0</v>
      </c>
      <c r="CN88" s="14">
        <v>0</v>
      </c>
      <c r="CU88" s="14">
        <v>0</v>
      </c>
      <c r="DB88" s="14">
        <v>0</v>
      </c>
      <c r="DC88" s="14">
        <v>2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2</v>
      </c>
      <c r="DJ88" s="14" t="s">
        <v>598</v>
      </c>
      <c r="DK88" s="14" t="s">
        <v>598</v>
      </c>
      <c r="DL88" s="14" t="s">
        <v>598</v>
      </c>
      <c r="DM88" s="14" t="s">
        <v>598</v>
      </c>
      <c r="DN88" s="14" t="s">
        <v>598</v>
      </c>
      <c r="DO88" s="14" t="s">
        <v>598</v>
      </c>
      <c r="DP88" s="14" t="s">
        <v>597</v>
      </c>
      <c r="DQ88" s="14" t="s">
        <v>598</v>
      </c>
      <c r="DR88" s="14" t="s">
        <v>598</v>
      </c>
      <c r="DS88" s="14" t="s">
        <v>598</v>
      </c>
      <c r="DT88" s="14" t="s">
        <v>598</v>
      </c>
      <c r="DU88" s="14" t="s">
        <v>598</v>
      </c>
      <c r="DV88" s="14" t="s">
        <v>598</v>
      </c>
      <c r="DW88" s="14" t="s">
        <v>598</v>
      </c>
      <c r="DX88" s="14" t="s">
        <v>598</v>
      </c>
      <c r="DY88" s="14" t="s">
        <v>598</v>
      </c>
      <c r="DZ88" s="14" t="s">
        <v>598</v>
      </c>
      <c r="EA88" s="14" t="s">
        <v>598</v>
      </c>
      <c r="EB88" s="14" t="s">
        <v>598</v>
      </c>
      <c r="EC88" s="14" t="s">
        <v>598</v>
      </c>
      <c r="ED88" s="14" t="s">
        <v>598</v>
      </c>
      <c r="EE88" s="14" t="s">
        <v>598</v>
      </c>
      <c r="EF88" s="14" t="s">
        <v>598</v>
      </c>
      <c r="EG88" s="14" t="s">
        <v>598</v>
      </c>
      <c r="EH88" s="14" t="s">
        <v>598</v>
      </c>
      <c r="EI88" s="14" t="s">
        <v>598</v>
      </c>
      <c r="EJ88" s="14" t="s">
        <v>598</v>
      </c>
      <c r="EK88" s="14" t="s">
        <v>598</v>
      </c>
      <c r="EL88" s="14" t="s">
        <v>598</v>
      </c>
      <c r="EM88" s="14" t="s">
        <v>598</v>
      </c>
      <c r="EN88" s="14" t="s">
        <v>598</v>
      </c>
      <c r="EO88" s="14" t="s">
        <v>598</v>
      </c>
      <c r="EP88" s="14" t="s">
        <v>598</v>
      </c>
      <c r="EQ88" s="14" t="s">
        <v>598</v>
      </c>
      <c r="ER88" s="14" t="s">
        <v>598</v>
      </c>
      <c r="ES88" s="14" t="s">
        <v>598</v>
      </c>
      <c r="ET88" s="14">
        <v>40</v>
      </c>
      <c r="EZ88" s="14">
        <v>40</v>
      </c>
      <c r="FA88" s="14">
        <v>185</v>
      </c>
      <c r="FG88" s="14">
        <v>185</v>
      </c>
      <c r="FN88" s="14">
        <v>0</v>
      </c>
      <c r="FU88" s="14">
        <v>0</v>
      </c>
      <c r="GB88" s="14">
        <v>0</v>
      </c>
      <c r="GI88" s="14">
        <v>0</v>
      </c>
      <c r="GP88" s="14">
        <v>0</v>
      </c>
      <c r="GQ88" s="14" t="s">
        <v>1049</v>
      </c>
      <c r="GR88" s="14">
        <v>25</v>
      </c>
      <c r="GX88" s="14">
        <v>25</v>
      </c>
      <c r="GY88" s="14">
        <v>250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250</v>
      </c>
      <c r="HL88" s="14">
        <v>0</v>
      </c>
      <c r="HM88" s="14">
        <v>250</v>
      </c>
      <c r="HS88" s="14">
        <v>250</v>
      </c>
      <c r="HZ88" s="14">
        <v>0</v>
      </c>
      <c r="IG88" s="14">
        <v>0</v>
      </c>
      <c r="IN88" s="14">
        <v>0</v>
      </c>
      <c r="IO88" s="14">
        <v>250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250</v>
      </c>
      <c r="IX88" s="14">
        <v>100</v>
      </c>
      <c r="JA88" s="14">
        <v>3</v>
      </c>
      <c r="JB88" s="14">
        <v>3</v>
      </c>
      <c r="JC88" s="14">
        <v>1</v>
      </c>
      <c r="JD88" s="14" t="s">
        <v>600</v>
      </c>
      <c r="NG88" s="14" t="s">
        <v>601</v>
      </c>
      <c r="NH88" s="14">
        <v>40</v>
      </c>
      <c r="NN88" s="14">
        <v>40</v>
      </c>
      <c r="NO88" s="14">
        <v>185</v>
      </c>
      <c r="NU88" s="14">
        <v>185</v>
      </c>
      <c r="OB88" s="14">
        <v>0</v>
      </c>
      <c r="OI88" s="14">
        <v>0</v>
      </c>
      <c r="OP88" s="14">
        <v>0</v>
      </c>
      <c r="OW88" s="14">
        <v>0</v>
      </c>
      <c r="PD88" s="14">
        <v>0</v>
      </c>
      <c r="PE88" s="14" t="s">
        <v>1049</v>
      </c>
      <c r="PF88" s="14">
        <v>25</v>
      </c>
      <c r="PL88" s="14">
        <v>25</v>
      </c>
      <c r="PM88" s="14">
        <v>250</v>
      </c>
      <c r="PN88" s="14">
        <v>0</v>
      </c>
      <c r="PO88" s="14">
        <v>0</v>
      </c>
      <c r="PP88" s="14">
        <v>0</v>
      </c>
      <c r="PQ88" s="14">
        <v>0</v>
      </c>
      <c r="PR88" s="14">
        <v>0</v>
      </c>
      <c r="PS88" s="14">
        <v>250</v>
      </c>
      <c r="PT88" s="14">
        <v>250</v>
      </c>
      <c r="PZ88" s="14">
        <v>250</v>
      </c>
      <c r="QG88" s="14">
        <v>0</v>
      </c>
      <c r="QN88" s="14">
        <v>0</v>
      </c>
      <c r="QU88" s="14">
        <v>0</v>
      </c>
      <c r="RB88" s="14">
        <v>0</v>
      </c>
      <c r="RC88" s="14">
        <v>250</v>
      </c>
      <c r="RD88" s="14">
        <v>0</v>
      </c>
      <c r="RE88" s="14">
        <v>0</v>
      </c>
      <c r="RF88" s="14">
        <v>0</v>
      </c>
      <c r="RG88" s="14">
        <v>0</v>
      </c>
      <c r="RH88" s="14">
        <v>0</v>
      </c>
      <c r="RI88" s="14">
        <v>250</v>
      </c>
      <c r="RJ88" s="14" t="s">
        <v>602</v>
      </c>
      <c r="VM88" s="14" t="s">
        <v>603</v>
      </c>
      <c r="ZP88" s="14" t="s">
        <v>604</v>
      </c>
      <c r="ADS88" s="14" t="s">
        <v>605</v>
      </c>
    </row>
    <row r="89" spans="1:799" x14ac:dyDescent="0.25">
      <c r="A89" s="14">
        <v>188</v>
      </c>
      <c r="B89" s="14" t="s">
        <v>889</v>
      </c>
      <c r="C89" s="16">
        <v>42774.457638888889</v>
      </c>
      <c r="D89" s="14" t="s">
        <v>1050</v>
      </c>
      <c r="E89" s="14" t="s">
        <v>1051</v>
      </c>
      <c r="F89" s="14" t="str">
        <f>VLOOKUP(MID(H89,SEARCH("@",H89,1),LEN(H89)-SEARCH("@",H89,1)+1),[2]Sheet1!$D:$F,3,FALSE)</f>
        <v>M736</v>
      </c>
      <c r="G89" s="14" t="s">
        <v>1052</v>
      </c>
      <c r="H89" s="14" t="s">
        <v>1053</v>
      </c>
      <c r="I89" s="14" t="s">
        <v>1054</v>
      </c>
      <c r="J89" s="14" t="s">
        <v>950</v>
      </c>
      <c r="K89" s="14" t="s">
        <v>732</v>
      </c>
      <c r="M89" s="14">
        <v>1</v>
      </c>
      <c r="V89" s="14">
        <v>0</v>
      </c>
      <c r="W89" s="14">
        <v>90</v>
      </c>
      <c r="AC89" s="14">
        <v>90</v>
      </c>
      <c r="AJ89" s="14">
        <v>0</v>
      </c>
      <c r="AQ89" s="14">
        <v>0</v>
      </c>
      <c r="AX89" s="14">
        <v>0</v>
      </c>
      <c r="BE89" s="14">
        <v>0</v>
      </c>
      <c r="BF89" s="14">
        <v>90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90</v>
      </c>
      <c r="BS89" s="14">
        <v>0</v>
      </c>
      <c r="BT89" s="14">
        <v>1</v>
      </c>
      <c r="BZ89" s="14">
        <v>1</v>
      </c>
      <c r="CG89" s="14">
        <v>0</v>
      </c>
      <c r="CN89" s="14">
        <v>0</v>
      </c>
      <c r="CU89" s="14">
        <v>0</v>
      </c>
      <c r="DB89" s="14">
        <v>0</v>
      </c>
      <c r="DC89" s="14">
        <v>1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1</v>
      </c>
      <c r="DJ89" s="14" t="s">
        <v>598</v>
      </c>
      <c r="DK89" s="14" t="s">
        <v>598</v>
      </c>
      <c r="DL89" s="14" t="s">
        <v>598</v>
      </c>
      <c r="DM89" s="14" t="s">
        <v>598</v>
      </c>
      <c r="DN89" s="14" t="s">
        <v>598</v>
      </c>
      <c r="DO89" s="14" t="s">
        <v>598</v>
      </c>
      <c r="DP89" s="14" t="s">
        <v>597</v>
      </c>
      <c r="DQ89" s="14" t="s">
        <v>598</v>
      </c>
      <c r="DR89" s="14" t="s">
        <v>598</v>
      </c>
      <c r="DS89" s="14" t="s">
        <v>598</v>
      </c>
      <c r="DT89" s="14" t="s">
        <v>598</v>
      </c>
      <c r="DU89" s="14" t="s">
        <v>598</v>
      </c>
      <c r="DV89" s="14" t="s">
        <v>598</v>
      </c>
      <c r="DW89" s="14" t="s">
        <v>598</v>
      </c>
      <c r="DX89" s="14" t="s">
        <v>598</v>
      </c>
      <c r="DY89" s="14" t="s">
        <v>598</v>
      </c>
      <c r="DZ89" s="14" t="s">
        <v>598</v>
      </c>
      <c r="EA89" s="14" t="s">
        <v>598</v>
      </c>
      <c r="EB89" s="14" t="s">
        <v>598</v>
      </c>
      <c r="EC89" s="14" t="s">
        <v>598</v>
      </c>
      <c r="ED89" s="14" t="s">
        <v>598</v>
      </c>
      <c r="EE89" s="14" t="s">
        <v>598</v>
      </c>
      <c r="EF89" s="14" t="s">
        <v>598</v>
      </c>
      <c r="EG89" s="14" t="s">
        <v>598</v>
      </c>
      <c r="EH89" s="14" t="s">
        <v>598</v>
      </c>
      <c r="EI89" s="14" t="s">
        <v>598</v>
      </c>
      <c r="EJ89" s="14" t="s">
        <v>598</v>
      </c>
      <c r="EK89" s="14" t="s">
        <v>598</v>
      </c>
      <c r="EL89" s="14" t="s">
        <v>598</v>
      </c>
      <c r="EM89" s="14" t="s">
        <v>598</v>
      </c>
      <c r="EN89" s="14" t="s">
        <v>598</v>
      </c>
      <c r="EO89" s="14" t="s">
        <v>598</v>
      </c>
      <c r="EP89" s="14" t="s">
        <v>598</v>
      </c>
      <c r="EQ89" s="14" t="s">
        <v>598</v>
      </c>
      <c r="ER89" s="14" t="s">
        <v>598</v>
      </c>
      <c r="ES89" s="14" t="s">
        <v>598</v>
      </c>
      <c r="ET89" s="14">
        <v>60</v>
      </c>
      <c r="EZ89" s="14">
        <v>60</v>
      </c>
      <c r="FG89" s="14">
        <v>0</v>
      </c>
      <c r="FN89" s="14">
        <v>0</v>
      </c>
      <c r="FU89" s="14">
        <v>0</v>
      </c>
      <c r="FV89" s="14">
        <v>10</v>
      </c>
      <c r="GB89" s="14">
        <v>10</v>
      </c>
      <c r="GI89" s="14">
        <v>0</v>
      </c>
      <c r="GJ89" s="14">
        <v>20</v>
      </c>
      <c r="GP89" s="14">
        <v>20</v>
      </c>
      <c r="GX89" s="14">
        <v>0</v>
      </c>
      <c r="GY89" s="14">
        <v>90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90</v>
      </c>
      <c r="HL89" s="14">
        <v>0</v>
      </c>
      <c r="HM89" s="14">
        <v>90</v>
      </c>
      <c r="HS89" s="14">
        <v>90</v>
      </c>
      <c r="HZ89" s="14">
        <v>0</v>
      </c>
      <c r="IG89" s="14">
        <v>0</v>
      </c>
      <c r="IN89" s="14">
        <v>0</v>
      </c>
      <c r="IO89" s="14">
        <v>90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90</v>
      </c>
      <c r="IX89" s="14">
        <v>100</v>
      </c>
      <c r="JA89" s="14">
        <v>3</v>
      </c>
      <c r="JB89" s="14">
        <v>3</v>
      </c>
      <c r="JC89" s="14">
        <v>1</v>
      </c>
      <c r="JD89" s="14" t="s">
        <v>600</v>
      </c>
      <c r="NG89" s="14" t="s">
        <v>601</v>
      </c>
      <c r="NH89" s="14">
        <v>60</v>
      </c>
      <c r="NN89" s="14">
        <v>60</v>
      </c>
      <c r="NU89" s="14">
        <v>0</v>
      </c>
      <c r="OB89" s="14">
        <v>0</v>
      </c>
      <c r="OI89" s="14">
        <v>0</v>
      </c>
      <c r="OP89" s="14">
        <v>0</v>
      </c>
      <c r="OQ89" s="14">
        <v>10</v>
      </c>
      <c r="OW89" s="14">
        <v>10</v>
      </c>
      <c r="OX89" s="14">
        <v>20</v>
      </c>
      <c r="PD89" s="14">
        <v>20</v>
      </c>
      <c r="PL89" s="14">
        <v>0</v>
      </c>
      <c r="PM89" s="14">
        <v>90</v>
      </c>
      <c r="PN89" s="14">
        <v>0</v>
      </c>
      <c r="PO89" s="14">
        <v>0</v>
      </c>
      <c r="PP89" s="14">
        <v>0</v>
      </c>
      <c r="PQ89" s="14">
        <v>0</v>
      </c>
      <c r="PR89" s="14">
        <v>0</v>
      </c>
      <c r="PS89" s="14">
        <v>90</v>
      </c>
      <c r="PT89" s="14">
        <v>90</v>
      </c>
      <c r="PZ89" s="14">
        <v>90</v>
      </c>
      <c r="QG89" s="14">
        <v>0</v>
      </c>
      <c r="QN89" s="14">
        <v>0</v>
      </c>
      <c r="QU89" s="14">
        <v>0</v>
      </c>
      <c r="RB89" s="14">
        <v>0</v>
      </c>
      <c r="RC89" s="14">
        <v>90</v>
      </c>
      <c r="RD89" s="14">
        <v>0</v>
      </c>
      <c r="RE89" s="14">
        <v>0</v>
      </c>
      <c r="RF89" s="14">
        <v>0</v>
      </c>
      <c r="RG89" s="14">
        <v>0</v>
      </c>
      <c r="RH89" s="14">
        <v>0</v>
      </c>
      <c r="RI89" s="14">
        <v>90</v>
      </c>
      <c r="RJ89" s="14" t="s">
        <v>602</v>
      </c>
      <c r="VM89" s="14" t="s">
        <v>603</v>
      </c>
      <c r="ZP89" s="14" t="s">
        <v>604</v>
      </c>
      <c r="ADS89" s="14" t="s">
        <v>605</v>
      </c>
    </row>
    <row r="90" spans="1:799" x14ac:dyDescent="0.25">
      <c r="A90" s="14">
        <v>234</v>
      </c>
      <c r="B90" s="14" t="s">
        <v>889</v>
      </c>
      <c r="C90" s="16">
        <v>42780</v>
      </c>
      <c r="D90" s="14" t="s">
        <v>1055</v>
      </c>
      <c r="E90" s="14" t="s">
        <v>1056</v>
      </c>
      <c r="F90" s="14" t="str">
        <f>VLOOKUP(MID(H90,SEARCH("@",H90,1),LEN(H90)-SEARCH("@",H90,1)+1),[2]Sheet1!$D:$F,3,FALSE)</f>
        <v>M617</v>
      </c>
      <c r="G90" s="14" t="s">
        <v>908</v>
      </c>
      <c r="H90" s="14" t="s">
        <v>1057</v>
      </c>
      <c r="I90" s="14">
        <v>4915201528118</v>
      </c>
      <c r="J90" s="14" t="s">
        <v>894</v>
      </c>
      <c r="K90" s="14" t="s">
        <v>732</v>
      </c>
      <c r="M90" s="14">
        <v>1</v>
      </c>
      <c r="V90" s="14">
        <v>0</v>
      </c>
      <c r="W90" s="14">
        <v>135</v>
      </c>
      <c r="AC90" s="14">
        <v>135</v>
      </c>
      <c r="AJ90" s="14">
        <v>0</v>
      </c>
      <c r="AQ90" s="14">
        <v>0</v>
      </c>
      <c r="AX90" s="14">
        <v>0</v>
      </c>
      <c r="BE90" s="14">
        <v>0</v>
      </c>
      <c r="BF90" s="14">
        <v>135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135</v>
      </c>
      <c r="BS90" s="14">
        <v>0</v>
      </c>
      <c r="BT90" s="14">
        <v>1</v>
      </c>
      <c r="BZ90" s="14">
        <v>1</v>
      </c>
      <c r="CG90" s="14">
        <v>0</v>
      </c>
      <c r="CN90" s="14">
        <v>0</v>
      </c>
      <c r="CU90" s="14">
        <v>0</v>
      </c>
      <c r="DB90" s="14">
        <v>0</v>
      </c>
      <c r="DC90" s="14">
        <v>1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1</v>
      </c>
      <c r="DJ90" s="14" t="s">
        <v>598</v>
      </c>
      <c r="DK90" s="14" t="s">
        <v>598</v>
      </c>
      <c r="DL90" s="14" t="s">
        <v>598</v>
      </c>
      <c r="DM90" s="14" t="s">
        <v>598</v>
      </c>
      <c r="DN90" s="14" t="s">
        <v>598</v>
      </c>
      <c r="DO90" s="14" t="s">
        <v>598</v>
      </c>
      <c r="DP90" s="14" t="s">
        <v>597</v>
      </c>
      <c r="DQ90" s="14" t="s">
        <v>598</v>
      </c>
      <c r="DR90" s="14" t="s">
        <v>598</v>
      </c>
      <c r="DS90" s="14" t="s">
        <v>598</v>
      </c>
      <c r="DT90" s="14" t="s">
        <v>598</v>
      </c>
      <c r="DU90" s="14" t="s">
        <v>598</v>
      </c>
      <c r="DV90" s="14" t="s">
        <v>598</v>
      </c>
      <c r="DW90" s="14" t="s">
        <v>598</v>
      </c>
      <c r="DX90" s="14" t="s">
        <v>598</v>
      </c>
      <c r="DY90" s="14" t="s">
        <v>598</v>
      </c>
      <c r="DZ90" s="14" t="s">
        <v>598</v>
      </c>
      <c r="EA90" s="14" t="s">
        <v>598</v>
      </c>
      <c r="EB90" s="14" t="s">
        <v>598</v>
      </c>
      <c r="EC90" s="14" t="s">
        <v>598</v>
      </c>
      <c r="ED90" s="14" t="s">
        <v>598</v>
      </c>
      <c r="EE90" s="14" t="s">
        <v>598</v>
      </c>
      <c r="EF90" s="14" t="s">
        <v>598</v>
      </c>
      <c r="EG90" s="14" t="s">
        <v>598</v>
      </c>
      <c r="EH90" s="14" t="s">
        <v>598</v>
      </c>
      <c r="EI90" s="14" t="s">
        <v>598</v>
      </c>
      <c r="EJ90" s="14" t="s">
        <v>598</v>
      </c>
      <c r="EK90" s="14" t="s">
        <v>598</v>
      </c>
      <c r="EL90" s="14" t="s">
        <v>598</v>
      </c>
      <c r="EM90" s="14" t="s">
        <v>598</v>
      </c>
      <c r="EN90" s="14" t="s">
        <v>598</v>
      </c>
      <c r="EO90" s="14" t="s">
        <v>598</v>
      </c>
      <c r="EP90" s="14" t="s">
        <v>598</v>
      </c>
      <c r="EQ90" s="14" t="s">
        <v>598</v>
      </c>
      <c r="ER90" s="14" t="s">
        <v>598</v>
      </c>
      <c r="ES90" s="14" t="s">
        <v>598</v>
      </c>
      <c r="ET90" s="14">
        <v>120</v>
      </c>
      <c r="EZ90" s="14">
        <v>120</v>
      </c>
      <c r="FG90" s="14">
        <v>0</v>
      </c>
      <c r="FN90" s="14">
        <v>0</v>
      </c>
      <c r="FU90" s="14">
        <v>0</v>
      </c>
      <c r="FV90" s="14">
        <v>15</v>
      </c>
      <c r="GB90" s="14">
        <v>15</v>
      </c>
      <c r="GI90" s="14">
        <v>0</v>
      </c>
      <c r="GP90" s="14">
        <v>0</v>
      </c>
      <c r="GX90" s="14">
        <v>0</v>
      </c>
      <c r="GY90" s="14">
        <v>135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135</v>
      </c>
      <c r="HL90" s="14">
        <v>0</v>
      </c>
      <c r="HM90" s="14">
        <v>135</v>
      </c>
      <c r="HS90" s="14">
        <v>135</v>
      </c>
      <c r="HZ90" s="14">
        <v>0</v>
      </c>
      <c r="IG90" s="14">
        <v>0</v>
      </c>
      <c r="IN90" s="14">
        <v>0</v>
      </c>
      <c r="IO90" s="14">
        <v>135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135</v>
      </c>
      <c r="IX90" s="14">
        <v>100</v>
      </c>
      <c r="JA90" s="14">
        <v>1</v>
      </c>
      <c r="JB90" s="14">
        <v>3</v>
      </c>
      <c r="JC90" s="14">
        <v>1</v>
      </c>
      <c r="JD90" s="14" t="s">
        <v>600</v>
      </c>
      <c r="NG90" s="14" t="s">
        <v>601</v>
      </c>
      <c r="NH90" s="14">
        <v>120</v>
      </c>
      <c r="NN90" s="14">
        <v>120</v>
      </c>
      <c r="NU90" s="14">
        <v>0</v>
      </c>
      <c r="OB90" s="14">
        <v>0</v>
      </c>
      <c r="OI90" s="14">
        <v>0</v>
      </c>
      <c r="OJ90" s="14">
        <v>15</v>
      </c>
      <c r="OP90" s="14">
        <v>15</v>
      </c>
      <c r="OW90" s="14">
        <v>0</v>
      </c>
      <c r="PD90" s="14">
        <v>0</v>
      </c>
      <c r="PL90" s="14">
        <v>0</v>
      </c>
      <c r="PM90" s="14">
        <v>135</v>
      </c>
      <c r="PN90" s="14">
        <v>0</v>
      </c>
      <c r="PO90" s="14">
        <v>0</v>
      </c>
      <c r="PP90" s="14">
        <v>0</v>
      </c>
      <c r="PQ90" s="14">
        <v>0</v>
      </c>
      <c r="PR90" s="14">
        <v>0</v>
      </c>
      <c r="PS90" s="14">
        <v>135</v>
      </c>
      <c r="PT90" s="14">
        <v>135</v>
      </c>
      <c r="PZ90" s="14">
        <v>135</v>
      </c>
      <c r="QG90" s="14">
        <v>0</v>
      </c>
      <c r="QN90" s="14">
        <v>0</v>
      </c>
      <c r="QU90" s="14">
        <v>0</v>
      </c>
      <c r="RB90" s="14">
        <v>0</v>
      </c>
      <c r="RC90" s="14">
        <v>135</v>
      </c>
      <c r="RD90" s="14">
        <v>0</v>
      </c>
      <c r="RE90" s="14">
        <v>0</v>
      </c>
      <c r="RF90" s="14">
        <v>0</v>
      </c>
      <c r="RG90" s="14">
        <v>0</v>
      </c>
      <c r="RH90" s="14">
        <v>0</v>
      </c>
      <c r="RI90" s="14">
        <v>135</v>
      </c>
      <c r="RJ90" s="14" t="s">
        <v>602</v>
      </c>
      <c r="VM90" s="14" t="s">
        <v>603</v>
      </c>
      <c r="ZP90" s="14" t="s">
        <v>604</v>
      </c>
      <c r="ADS90" s="14" t="s">
        <v>605</v>
      </c>
    </row>
    <row r="91" spans="1:799" x14ac:dyDescent="0.25">
      <c r="A91" s="14">
        <v>205</v>
      </c>
      <c r="B91" s="14" t="s">
        <v>889</v>
      </c>
      <c r="C91" s="16">
        <v>42780</v>
      </c>
      <c r="D91" s="14" t="s">
        <v>1058</v>
      </c>
      <c r="E91" s="14" t="s">
        <v>1059</v>
      </c>
      <c r="F91" s="14" t="str">
        <f>VLOOKUP(MID(H91,SEARCH("@",H91,1),LEN(H91)-SEARCH("@",H91,1)+1),[2]Sheet1!$D:$F,3,FALSE)</f>
        <v>M213</v>
      </c>
      <c r="G91" s="14" t="s">
        <v>1060</v>
      </c>
      <c r="H91" s="14" t="s">
        <v>1061</v>
      </c>
      <c r="I91" s="14">
        <v>2070163564</v>
      </c>
      <c r="J91" s="14" t="s">
        <v>731</v>
      </c>
      <c r="K91" s="14" t="s">
        <v>732</v>
      </c>
      <c r="M91" s="14">
        <v>1</v>
      </c>
      <c r="V91" s="14">
        <v>0</v>
      </c>
      <c r="W91" s="14">
        <v>419</v>
      </c>
      <c r="AC91" s="14">
        <v>419</v>
      </c>
      <c r="AJ91" s="14">
        <v>0</v>
      </c>
      <c r="AQ91" s="14">
        <v>0</v>
      </c>
      <c r="AX91" s="14">
        <v>0</v>
      </c>
      <c r="BE91" s="14">
        <v>0</v>
      </c>
      <c r="BF91" s="14">
        <v>419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419</v>
      </c>
      <c r="BS91" s="14">
        <v>0</v>
      </c>
      <c r="BT91" s="14">
        <v>3</v>
      </c>
      <c r="BZ91" s="14">
        <v>3</v>
      </c>
      <c r="CG91" s="14">
        <v>0</v>
      </c>
      <c r="CN91" s="14">
        <v>0</v>
      </c>
      <c r="CU91" s="14">
        <v>0</v>
      </c>
      <c r="DB91" s="14">
        <v>0</v>
      </c>
      <c r="DC91" s="14">
        <v>3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3</v>
      </c>
      <c r="DJ91" s="14" t="s">
        <v>598</v>
      </c>
      <c r="DK91" s="14" t="s">
        <v>598</v>
      </c>
      <c r="DL91" s="14" t="s">
        <v>598</v>
      </c>
      <c r="DM91" s="14" t="s">
        <v>598</v>
      </c>
      <c r="DN91" s="14" t="s">
        <v>598</v>
      </c>
      <c r="DO91" s="14" t="s">
        <v>598</v>
      </c>
      <c r="DP91" s="14" t="s">
        <v>597</v>
      </c>
      <c r="DQ91" s="14" t="s">
        <v>598</v>
      </c>
      <c r="DR91" s="14" t="s">
        <v>598</v>
      </c>
      <c r="DS91" s="14" t="s">
        <v>598</v>
      </c>
      <c r="DT91" s="14" t="s">
        <v>598</v>
      </c>
      <c r="DU91" s="14" t="s">
        <v>598</v>
      </c>
      <c r="DV91" s="14" t="s">
        <v>598</v>
      </c>
      <c r="DW91" s="14" t="s">
        <v>598</v>
      </c>
      <c r="DX91" s="14" t="s">
        <v>598</v>
      </c>
      <c r="DY91" s="14" t="s">
        <v>598</v>
      </c>
      <c r="DZ91" s="14" t="s">
        <v>598</v>
      </c>
      <c r="EA91" s="14" t="s">
        <v>598</v>
      </c>
      <c r="EB91" s="14" t="s">
        <v>598</v>
      </c>
      <c r="EC91" s="14" t="s">
        <v>598</v>
      </c>
      <c r="ED91" s="14" t="s">
        <v>598</v>
      </c>
      <c r="EE91" s="14" t="s">
        <v>598</v>
      </c>
      <c r="EF91" s="14" t="s">
        <v>598</v>
      </c>
      <c r="EG91" s="14" t="s">
        <v>598</v>
      </c>
      <c r="EH91" s="14" t="s">
        <v>598</v>
      </c>
      <c r="EI91" s="14" t="s">
        <v>598</v>
      </c>
      <c r="EJ91" s="14" t="s">
        <v>598</v>
      </c>
      <c r="EK91" s="14" t="s">
        <v>598</v>
      </c>
      <c r="EL91" s="14" t="s">
        <v>598</v>
      </c>
      <c r="EM91" s="14" t="s">
        <v>598</v>
      </c>
      <c r="EN91" s="14" t="s">
        <v>598</v>
      </c>
      <c r="EO91" s="14" t="s">
        <v>598</v>
      </c>
      <c r="EP91" s="14" t="s">
        <v>598</v>
      </c>
      <c r="EQ91" s="14" t="s">
        <v>598</v>
      </c>
      <c r="ER91" s="14" t="s">
        <v>598</v>
      </c>
      <c r="ES91" s="14" t="s">
        <v>598</v>
      </c>
      <c r="ET91" s="14">
        <v>419</v>
      </c>
      <c r="EZ91" s="14">
        <v>419</v>
      </c>
      <c r="FG91" s="14">
        <v>0</v>
      </c>
      <c r="FN91" s="14">
        <v>0</v>
      </c>
      <c r="FU91" s="14">
        <v>0</v>
      </c>
      <c r="GB91" s="14">
        <v>0</v>
      </c>
      <c r="GI91" s="14">
        <v>0</v>
      </c>
      <c r="GP91" s="14">
        <v>0</v>
      </c>
      <c r="GX91" s="14">
        <v>0</v>
      </c>
      <c r="GY91" s="14">
        <v>419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419</v>
      </c>
      <c r="HL91" s="14">
        <v>0</v>
      </c>
      <c r="HM91" s="14">
        <v>419</v>
      </c>
      <c r="HS91" s="14">
        <v>419</v>
      </c>
      <c r="HZ91" s="14">
        <v>0</v>
      </c>
      <c r="IG91" s="14">
        <v>0</v>
      </c>
      <c r="IN91" s="14">
        <v>0</v>
      </c>
      <c r="IO91" s="14">
        <v>419</v>
      </c>
      <c r="IP91" s="14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419</v>
      </c>
      <c r="IX91" s="14">
        <v>100</v>
      </c>
      <c r="JA91" s="14">
        <v>1</v>
      </c>
      <c r="JB91" s="14">
        <v>3</v>
      </c>
      <c r="JC91" s="14">
        <v>1</v>
      </c>
      <c r="JD91" s="14" t="s">
        <v>600</v>
      </c>
      <c r="NG91" s="14" t="s">
        <v>601</v>
      </c>
      <c r="NH91" s="14">
        <v>419</v>
      </c>
      <c r="NN91" s="14">
        <v>419</v>
      </c>
      <c r="NU91" s="14">
        <v>0</v>
      </c>
      <c r="OB91" s="14">
        <v>0</v>
      </c>
      <c r="OI91" s="14">
        <v>0</v>
      </c>
      <c r="OP91" s="14">
        <v>0</v>
      </c>
      <c r="OW91" s="14">
        <v>0</v>
      </c>
      <c r="PD91" s="14">
        <v>0</v>
      </c>
      <c r="PL91" s="14">
        <v>0</v>
      </c>
      <c r="PM91" s="14">
        <v>419</v>
      </c>
      <c r="PN91" s="14">
        <v>0</v>
      </c>
      <c r="PO91" s="14">
        <v>0</v>
      </c>
      <c r="PP91" s="14">
        <v>0</v>
      </c>
      <c r="PQ91" s="14">
        <v>0</v>
      </c>
      <c r="PR91" s="14">
        <v>0</v>
      </c>
      <c r="PS91" s="14">
        <v>419</v>
      </c>
      <c r="PT91" s="14">
        <v>419</v>
      </c>
      <c r="PZ91" s="14">
        <v>419</v>
      </c>
      <c r="QG91" s="14">
        <v>0</v>
      </c>
      <c r="QN91" s="14">
        <v>0</v>
      </c>
      <c r="QU91" s="14">
        <v>0</v>
      </c>
      <c r="RB91" s="14">
        <v>0</v>
      </c>
      <c r="RC91" s="14">
        <v>419</v>
      </c>
      <c r="RD91" s="14">
        <v>0</v>
      </c>
      <c r="RE91" s="14">
        <v>0</v>
      </c>
      <c r="RF91" s="14">
        <v>0</v>
      </c>
      <c r="RG91" s="14">
        <v>0</v>
      </c>
      <c r="RH91" s="14">
        <v>0</v>
      </c>
      <c r="RI91" s="14">
        <v>419</v>
      </c>
      <c r="RJ91" s="14" t="s">
        <v>602</v>
      </c>
      <c r="VM91" s="14" t="s">
        <v>603</v>
      </c>
      <c r="ZP91" s="14" t="s">
        <v>604</v>
      </c>
      <c r="ADS91" s="14" t="s">
        <v>605</v>
      </c>
    </row>
    <row r="92" spans="1:799" x14ac:dyDescent="0.25">
      <c r="A92" s="14">
        <v>112</v>
      </c>
      <c r="B92" s="14" t="s">
        <v>889</v>
      </c>
      <c r="C92" s="16">
        <v>42779.491666666669</v>
      </c>
      <c r="D92" s="14" t="s">
        <v>1062</v>
      </c>
      <c r="E92" s="14" t="s">
        <v>1063</v>
      </c>
      <c r="F92" s="14" t="str">
        <f>VLOOKUP(MID(H92,SEARCH("@",H92,1),LEN(H92)-SEARCH("@",H92,1)+1),[2]Sheet1!$D:$F,3,FALSE)</f>
        <v>M020</v>
      </c>
      <c r="G92" s="14" t="s">
        <v>708</v>
      </c>
      <c r="H92" s="14" t="s">
        <v>1064</v>
      </c>
      <c r="I92" s="14" t="s">
        <v>1065</v>
      </c>
      <c r="J92" s="14" t="s">
        <v>611</v>
      </c>
      <c r="K92" s="14" t="s">
        <v>596</v>
      </c>
      <c r="M92" s="14">
        <v>1</v>
      </c>
      <c r="P92" s="14">
        <v>220</v>
      </c>
      <c r="Q92" s="14">
        <v>208</v>
      </c>
      <c r="S92" s="14">
        <v>26</v>
      </c>
      <c r="V92" s="14">
        <v>454</v>
      </c>
      <c r="W92" s="14">
        <v>348</v>
      </c>
      <c r="X92" s="14">
        <v>1006</v>
      </c>
      <c r="AB92" s="14">
        <v>195</v>
      </c>
      <c r="AC92" s="14">
        <v>1549</v>
      </c>
      <c r="AD92" s="14">
        <v>1297</v>
      </c>
      <c r="AE92" s="14">
        <v>300</v>
      </c>
      <c r="AJ92" s="14">
        <v>1597</v>
      </c>
      <c r="AL92" s="14">
        <v>427</v>
      </c>
      <c r="AM92" s="14">
        <v>271</v>
      </c>
      <c r="AQ92" s="14">
        <v>698</v>
      </c>
      <c r="AX92" s="14">
        <v>0</v>
      </c>
      <c r="BE92" s="14">
        <v>0</v>
      </c>
      <c r="BF92" s="14">
        <v>1865</v>
      </c>
      <c r="BG92" s="14">
        <v>1941</v>
      </c>
      <c r="BH92" s="14">
        <v>271</v>
      </c>
      <c r="BI92" s="14">
        <v>26</v>
      </c>
      <c r="BJ92" s="14">
        <v>0</v>
      </c>
      <c r="BK92" s="14">
        <v>195</v>
      </c>
      <c r="BL92" s="14">
        <v>4298</v>
      </c>
      <c r="BM92" s="14">
        <v>1</v>
      </c>
      <c r="BN92" s="14">
        <v>2</v>
      </c>
      <c r="BP92" s="14">
        <v>1</v>
      </c>
      <c r="BS92" s="14">
        <v>4</v>
      </c>
      <c r="BT92" s="14">
        <v>2</v>
      </c>
      <c r="BU92" s="14">
        <v>5</v>
      </c>
      <c r="BY92" s="14">
        <v>2</v>
      </c>
      <c r="BZ92" s="14">
        <v>9</v>
      </c>
      <c r="CA92" s="14">
        <v>3</v>
      </c>
      <c r="CB92" s="14">
        <v>1</v>
      </c>
      <c r="CG92" s="14">
        <v>4</v>
      </c>
      <c r="CI92" s="14">
        <v>1</v>
      </c>
      <c r="CJ92" s="14">
        <v>1</v>
      </c>
      <c r="CN92" s="14">
        <v>2</v>
      </c>
      <c r="CU92" s="14">
        <v>0</v>
      </c>
      <c r="DB92" s="14">
        <v>0</v>
      </c>
      <c r="DC92" s="14">
        <v>6</v>
      </c>
      <c r="DD92" s="14">
        <v>9</v>
      </c>
      <c r="DE92" s="14">
        <v>1</v>
      </c>
      <c r="DF92" s="14">
        <v>1</v>
      </c>
      <c r="DG92" s="14">
        <v>0</v>
      </c>
      <c r="DH92" s="14">
        <v>2</v>
      </c>
      <c r="DI92" s="14">
        <v>19</v>
      </c>
      <c r="DJ92" s="14" t="s">
        <v>597</v>
      </c>
      <c r="DK92" s="14" t="s">
        <v>597</v>
      </c>
      <c r="DL92" s="14" t="s">
        <v>598</v>
      </c>
      <c r="DM92" s="14" t="s">
        <v>597</v>
      </c>
      <c r="DN92" s="14" t="s">
        <v>598</v>
      </c>
      <c r="DO92" s="14" t="s">
        <v>598</v>
      </c>
      <c r="DP92" s="14" t="s">
        <v>597</v>
      </c>
      <c r="DQ92" s="14" t="s">
        <v>597</v>
      </c>
      <c r="DR92" s="14" t="s">
        <v>598</v>
      </c>
      <c r="DS92" s="14" t="s">
        <v>598</v>
      </c>
      <c r="DT92" s="14" t="s">
        <v>598</v>
      </c>
      <c r="DU92" s="14" t="s">
        <v>597</v>
      </c>
      <c r="DV92" s="14" t="s">
        <v>597</v>
      </c>
      <c r="DW92" s="14" t="s">
        <v>597</v>
      </c>
      <c r="DX92" s="14" t="s">
        <v>598</v>
      </c>
      <c r="DY92" s="14" t="s">
        <v>598</v>
      </c>
      <c r="DZ92" s="14" t="s">
        <v>598</v>
      </c>
      <c r="EA92" s="14" t="s">
        <v>598</v>
      </c>
      <c r="EB92" s="14" t="s">
        <v>598</v>
      </c>
      <c r="EC92" s="14" t="s">
        <v>597</v>
      </c>
      <c r="ED92" s="14" t="s">
        <v>597</v>
      </c>
      <c r="EE92" s="14" t="s">
        <v>598</v>
      </c>
      <c r="EF92" s="14" t="s">
        <v>598</v>
      </c>
      <c r="EG92" s="14" t="s">
        <v>598</v>
      </c>
      <c r="EH92" s="14" t="s">
        <v>598</v>
      </c>
      <c r="EI92" s="14" t="s">
        <v>598</v>
      </c>
      <c r="EJ92" s="14" t="s">
        <v>598</v>
      </c>
      <c r="EK92" s="14" t="s">
        <v>598</v>
      </c>
      <c r="EL92" s="14" t="s">
        <v>598</v>
      </c>
      <c r="EM92" s="14" t="s">
        <v>598</v>
      </c>
      <c r="EN92" s="14" t="s">
        <v>598</v>
      </c>
      <c r="EO92" s="14" t="s">
        <v>598</v>
      </c>
      <c r="EP92" s="14" t="s">
        <v>598</v>
      </c>
      <c r="EQ92" s="14" t="s">
        <v>598</v>
      </c>
      <c r="ER92" s="14" t="s">
        <v>598</v>
      </c>
      <c r="ES92" s="14" t="s">
        <v>598</v>
      </c>
      <c r="ET92" s="14">
        <v>785</v>
      </c>
      <c r="EU92" s="14">
        <v>1299</v>
      </c>
      <c r="EY92" s="14">
        <v>168</v>
      </c>
      <c r="EZ92" s="14">
        <v>2252</v>
      </c>
      <c r="FA92" s="14">
        <v>87</v>
      </c>
      <c r="FC92" s="14">
        <v>271</v>
      </c>
      <c r="FG92" s="14">
        <v>358</v>
      </c>
      <c r="FH92" s="14">
        <v>40</v>
      </c>
      <c r="FI92" s="14">
        <v>458</v>
      </c>
      <c r="FN92" s="14">
        <v>498</v>
      </c>
      <c r="FU92" s="14">
        <v>0</v>
      </c>
      <c r="FV92" s="14">
        <v>134</v>
      </c>
      <c r="FW92" s="14">
        <v>177</v>
      </c>
      <c r="GB92" s="14">
        <v>311</v>
      </c>
      <c r="GC92" s="14">
        <v>120</v>
      </c>
      <c r="GI92" s="14">
        <v>120</v>
      </c>
      <c r="GJ92" s="14">
        <v>648</v>
      </c>
      <c r="GK92" s="14">
        <v>6</v>
      </c>
      <c r="GP92" s="14">
        <v>654</v>
      </c>
      <c r="GQ92" s="14" t="s">
        <v>1066</v>
      </c>
      <c r="GR92" s="14">
        <v>51</v>
      </c>
      <c r="GS92" s="14">
        <v>2</v>
      </c>
      <c r="GU92" s="14">
        <v>26</v>
      </c>
      <c r="GW92" s="14">
        <v>26</v>
      </c>
      <c r="GX92" s="14">
        <v>105</v>
      </c>
      <c r="GY92" s="14">
        <v>1865</v>
      </c>
      <c r="GZ92" s="14">
        <v>1942</v>
      </c>
      <c r="HA92" s="14">
        <v>271</v>
      </c>
      <c r="HB92" s="14">
        <v>26</v>
      </c>
      <c r="HC92" s="14">
        <v>0</v>
      </c>
      <c r="HD92" s="14">
        <v>194</v>
      </c>
      <c r="HE92" s="14">
        <v>4298</v>
      </c>
      <c r="HF92" s="14">
        <v>120</v>
      </c>
      <c r="HG92" s="14">
        <v>586</v>
      </c>
      <c r="HI92" s="14">
        <v>26</v>
      </c>
      <c r="HK92" s="14">
        <v>96</v>
      </c>
      <c r="HL92" s="14">
        <v>828</v>
      </c>
      <c r="HM92" s="14">
        <v>389</v>
      </c>
      <c r="HN92" s="14">
        <v>1156</v>
      </c>
      <c r="HO92" s="14">
        <v>271</v>
      </c>
      <c r="HR92" s="14">
        <v>98</v>
      </c>
      <c r="HS92" s="14">
        <v>1914</v>
      </c>
      <c r="HT92" s="14">
        <v>1356</v>
      </c>
      <c r="HU92" s="14">
        <v>200</v>
      </c>
      <c r="HZ92" s="14">
        <v>1556</v>
      </c>
      <c r="IG92" s="14">
        <v>0</v>
      </c>
      <c r="IN92" s="14">
        <v>0</v>
      </c>
      <c r="IO92" s="14">
        <v>1865</v>
      </c>
      <c r="IP92" s="14">
        <v>1942</v>
      </c>
      <c r="IQ92" s="14">
        <v>271</v>
      </c>
      <c r="IR92" s="14">
        <v>26</v>
      </c>
      <c r="IS92" s="14">
        <v>0</v>
      </c>
      <c r="IT92" s="14">
        <v>194</v>
      </c>
      <c r="IU92" s="14">
        <v>4298</v>
      </c>
      <c r="IV92" s="14">
        <v>15</v>
      </c>
      <c r="IX92" s="14">
        <v>85</v>
      </c>
      <c r="JA92" s="14">
        <v>3</v>
      </c>
      <c r="JB92" s="14">
        <v>3</v>
      </c>
      <c r="JC92" s="14">
        <v>1</v>
      </c>
      <c r="JD92" s="14" t="s">
        <v>600</v>
      </c>
      <c r="JE92" s="14">
        <v>150</v>
      </c>
      <c r="JF92" s="14">
        <v>200</v>
      </c>
      <c r="JK92" s="14">
        <v>350</v>
      </c>
      <c r="JR92" s="14">
        <v>0</v>
      </c>
      <c r="JS92" s="14">
        <v>40</v>
      </c>
      <c r="JY92" s="14">
        <v>40</v>
      </c>
      <c r="KF92" s="14">
        <v>0</v>
      </c>
      <c r="KM92" s="14">
        <v>0</v>
      </c>
      <c r="KT92" s="14">
        <v>0</v>
      </c>
      <c r="KV92" s="14">
        <v>6</v>
      </c>
      <c r="LA92" s="14">
        <v>6</v>
      </c>
      <c r="LB92" s="14" t="s">
        <v>680</v>
      </c>
      <c r="LC92" s="14">
        <v>30</v>
      </c>
      <c r="LD92" s="14">
        <v>2</v>
      </c>
      <c r="LF92" s="14">
        <v>26</v>
      </c>
      <c r="LI92" s="14">
        <v>58</v>
      </c>
      <c r="LJ92" s="14">
        <v>220</v>
      </c>
      <c r="LK92" s="14">
        <v>208</v>
      </c>
      <c r="LL92" s="14">
        <v>0</v>
      </c>
      <c r="LM92" s="14">
        <v>26</v>
      </c>
      <c r="LN92" s="14">
        <v>0</v>
      </c>
      <c r="LO92" s="14">
        <v>0</v>
      </c>
      <c r="LP92" s="14">
        <v>454</v>
      </c>
      <c r="LQ92" s="14">
        <v>65</v>
      </c>
      <c r="LW92" s="14">
        <v>65</v>
      </c>
      <c r="LY92" s="14">
        <v>8</v>
      </c>
      <c r="MA92" s="14">
        <v>26</v>
      </c>
      <c r="MD92" s="14">
        <v>34</v>
      </c>
      <c r="ME92" s="14">
        <v>155</v>
      </c>
      <c r="MF92" s="14">
        <v>200</v>
      </c>
      <c r="MK92" s="14">
        <v>355</v>
      </c>
      <c r="MR92" s="14">
        <v>0</v>
      </c>
      <c r="MY92" s="14">
        <v>0</v>
      </c>
      <c r="MZ92" s="14">
        <v>220</v>
      </c>
      <c r="NA92" s="14">
        <v>208</v>
      </c>
      <c r="NB92" s="14">
        <v>0</v>
      </c>
      <c r="NC92" s="14">
        <v>26</v>
      </c>
      <c r="ND92" s="14">
        <v>0</v>
      </c>
      <c r="NE92" s="14">
        <v>0</v>
      </c>
      <c r="NF92" s="14">
        <v>454</v>
      </c>
      <c r="NG92" s="14" t="s">
        <v>601</v>
      </c>
      <c r="NH92" s="14">
        <v>270</v>
      </c>
      <c r="NI92" s="14">
        <v>371</v>
      </c>
      <c r="NM92" s="14">
        <v>168</v>
      </c>
      <c r="NN92" s="14">
        <v>809</v>
      </c>
      <c r="NO92" s="14">
        <v>37</v>
      </c>
      <c r="NU92" s="14">
        <v>37</v>
      </c>
      <c r="NW92" s="14">
        <v>458</v>
      </c>
      <c r="OB92" s="14">
        <v>458</v>
      </c>
      <c r="OI92" s="14">
        <v>0</v>
      </c>
      <c r="OJ92" s="14">
        <v>28</v>
      </c>
      <c r="OK92" s="14">
        <v>177</v>
      </c>
      <c r="OP92" s="14">
        <v>205</v>
      </c>
      <c r="OQ92" s="14">
        <v>14</v>
      </c>
      <c r="OW92" s="14">
        <v>14</v>
      </c>
      <c r="PD92" s="14">
        <v>0</v>
      </c>
      <c r="PE92" s="14" t="s">
        <v>680</v>
      </c>
      <c r="PK92" s="14">
        <v>26</v>
      </c>
      <c r="PL92" s="14">
        <v>26</v>
      </c>
      <c r="PM92" s="14">
        <v>349</v>
      </c>
      <c r="PN92" s="14">
        <v>1006</v>
      </c>
      <c r="PO92" s="14">
        <v>0</v>
      </c>
      <c r="PP92" s="14">
        <v>0</v>
      </c>
      <c r="PQ92" s="14">
        <v>0</v>
      </c>
      <c r="PR92" s="14">
        <v>194</v>
      </c>
      <c r="PS92" s="14">
        <v>1549</v>
      </c>
      <c r="PT92" s="14">
        <v>305</v>
      </c>
      <c r="PU92" s="14">
        <v>728</v>
      </c>
      <c r="PY92" s="14">
        <v>98</v>
      </c>
      <c r="PZ92" s="14">
        <v>1131</v>
      </c>
      <c r="QA92" s="14">
        <v>44</v>
      </c>
      <c r="QB92" s="14">
        <v>278</v>
      </c>
      <c r="QF92" s="14">
        <v>96</v>
      </c>
      <c r="QG92" s="14">
        <v>418</v>
      </c>
      <c r="QN92" s="14">
        <v>0</v>
      </c>
      <c r="QU92" s="14">
        <v>0</v>
      </c>
      <c r="RB92" s="14">
        <v>0</v>
      </c>
      <c r="RC92" s="14">
        <v>349</v>
      </c>
      <c r="RD92" s="14">
        <v>1006</v>
      </c>
      <c r="RE92" s="14">
        <v>0</v>
      </c>
      <c r="RF92" s="14">
        <v>0</v>
      </c>
      <c r="RG92" s="14">
        <v>0</v>
      </c>
      <c r="RH92" s="14">
        <v>194</v>
      </c>
      <c r="RI92" s="14">
        <v>1549</v>
      </c>
      <c r="RJ92" s="14" t="s">
        <v>602</v>
      </c>
      <c r="RK92" s="14">
        <v>366</v>
      </c>
      <c r="RL92" s="14">
        <v>300</v>
      </c>
      <c r="RQ92" s="14">
        <v>666</v>
      </c>
      <c r="RR92" s="14">
        <v>50</v>
      </c>
      <c r="RX92" s="14">
        <v>50</v>
      </c>
      <c r="SE92" s="14">
        <v>0</v>
      </c>
      <c r="SL92" s="14">
        <v>0</v>
      </c>
      <c r="SM92" s="14">
        <v>106</v>
      </c>
      <c r="SS92" s="14">
        <v>106</v>
      </c>
      <c r="ST92" s="14">
        <v>106</v>
      </c>
      <c r="SZ92" s="14">
        <v>106</v>
      </c>
      <c r="TA92" s="14">
        <v>648</v>
      </c>
      <c r="TG92" s="14">
        <v>648</v>
      </c>
      <c r="TH92" s="14" t="s">
        <v>680</v>
      </c>
      <c r="TI92" s="14">
        <v>21</v>
      </c>
      <c r="TO92" s="14">
        <v>21</v>
      </c>
      <c r="TP92" s="14">
        <v>1297</v>
      </c>
      <c r="TQ92" s="14">
        <v>300</v>
      </c>
      <c r="TR92" s="14">
        <v>0</v>
      </c>
      <c r="TS92" s="14">
        <v>0</v>
      </c>
      <c r="TT92" s="14">
        <v>0</v>
      </c>
      <c r="TU92" s="14">
        <v>0</v>
      </c>
      <c r="TV92" s="14">
        <v>1597</v>
      </c>
      <c r="TW92" s="14">
        <v>20</v>
      </c>
      <c r="UC92" s="14">
        <v>20</v>
      </c>
      <c r="UD92" s="14">
        <v>76</v>
      </c>
      <c r="UE92" s="14">
        <v>300</v>
      </c>
      <c r="UJ92" s="14">
        <v>376</v>
      </c>
      <c r="UK92" s="14">
        <v>1201</v>
      </c>
      <c r="UQ92" s="14">
        <v>1201</v>
      </c>
      <c r="UX92" s="14">
        <v>0</v>
      </c>
      <c r="VE92" s="14">
        <v>0</v>
      </c>
      <c r="VF92" s="14">
        <v>1297</v>
      </c>
      <c r="VG92" s="14">
        <v>300</v>
      </c>
      <c r="VH92" s="14">
        <v>0</v>
      </c>
      <c r="VI92" s="14">
        <v>0</v>
      </c>
      <c r="VJ92" s="14">
        <v>0</v>
      </c>
      <c r="VK92" s="14">
        <v>0</v>
      </c>
      <c r="VL92" s="14">
        <v>1597</v>
      </c>
      <c r="VM92" s="14" t="s">
        <v>603</v>
      </c>
      <c r="VO92" s="14">
        <v>427</v>
      </c>
      <c r="VT92" s="14">
        <v>427</v>
      </c>
      <c r="VW92" s="14">
        <v>271</v>
      </c>
      <c r="WA92" s="14">
        <v>271</v>
      </c>
      <c r="WH92" s="14">
        <v>0</v>
      </c>
      <c r="WO92" s="14">
        <v>0</v>
      </c>
      <c r="WV92" s="14">
        <v>0</v>
      </c>
      <c r="XC92" s="14">
        <v>0</v>
      </c>
      <c r="XJ92" s="14">
        <v>0</v>
      </c>
      <c r="XR92" s="14">
        <v>0</v>
      </c>
      <c r="XS92" s="14">
        <v>0</v>
      </c>
      <c r="XT92" s="14">
        <v>427</v>
      </c>
      <c r="XU92" s="14">
        <v>271</v>
      </c>
      <c r="XV92" s="14">
        <v>0</v>
      </c>
      <c r="XW92" s="14">
        <v>0</v>
      </c>
      <c r="XX92" s="14">
        <v>0</v>
      </c>
      <c r="XY92" s="14">
        <v>698</v>
      </c>
      <c r="YA92" s="14">
        <v>427</v>
      </c>
      <c r="YB92" s="14">
        <v>271</v>
      </c>
      <c r="YF92" s="14">
        <v>698</v>
      </c>
      <c r="YM92" s="14">
        <v>0</v>
      </c>
      <c r="YT92" s="14">
        <v>0</v>
      </c>
      <c r="ZA92" s="14">
        <v>0</v>
      </c>
      <c r="ZH92" s="14">
        <v>0</v>
      </c>
      <c r="ZI92" s="14">
        <v>0</v>
      </c>
      <c r="ZJ92" s="14">
        <v>427</v>
      </c>
      <c r="ZK92" s="14">
        <v>271</v>
      </c>
      <c r="ZL92" s="14">
        <v>0</v>
      </c>
      <c r="ZM92" s="14">
        <v>0</v>
      </c>
      <c r="ZN92" s="14">
        <v>0</v>
      </c>
      <c r="ZO92" s="14">
        <v>698</v>
      </c>
      <c r="ZP92" s="14" t="s">
        <v>604</v>
      </c>
      <c r="ADS92" s="14" t="s">
        <v>605</v>
      </c>
    </row>
    <row r="93" spans="1:799" x14ac:dyDescent="0.25">
      <c r="A93" s="14">
        <v>149</v>
      </c>
      <c r="B93" s="14" t="s">
        <v>889</v>
      </c>
      <c r="C93" s="16">
        <v>42780</v>
      </c>
      <c r="D93" s="14" t="s">
        <v>1067</v>
      </c>
      <c r="E93" s="14" t="s">
        <v>1068</v>
      </c>
      <c r="F93" s="14" t="str">
        <f>VLOOKUP(MID(H93,SEARCH("@",H93,1),LEN(H93)-SEARCH("@",H93,1)+1),[2]Sheet1!$D:$F,3,FALSE)</f>
        <v>M090</v>
      </c>
      <c r="G93" s="14" t="s">
        <v>1069</v>
      </c>
      <c r="H93" s="14" t="s">
        <v>1070</v>
      </c>
      <c r="I93" s="14" t="s">
        <v>1071</v>
      </c>
      <c r="J93" s="14" t="s">
        <v>731</v>
      </c>
      <c r="K93" s="14" t="s">
        <v>945</v>
      </c>
      <c r="M93" s="14">
        <v>1</v>
      </c>
      <c r="V93" s="14">
        <v>0</v>
      </c>
      <c r="W93" s="14">
        <v>835.62</v>
      </c>
      <c r="Z93" s="14">
        <v>203.25</v>
      </c>
      <c r="AC93" s="14">
        <v>1038.8699999999999</v>
      </c>
      <c r="AG93" s="14">
        <v>42.86</v>
      </c>
      <c r="AJ93" s="14">
        <v>42.86</v>
      </c>
      <c r="AQ93" s="14">
        <v>0</v>
      </c>
      <c r="AX93" s="14">
        <v>0</v>
      </c>
      <c r="BE93" s="14">
        <v>0</v>
      </c>
      <c r="BF93" s="14">
        <v>835.62</v>
      </c>
      <c r="BG93" s="14">
        <v>0</v>
      </c>
      <c r="BH93" s="14">
        <v>0</v>
      </c>
      <c r="BI93" s="14">
        <v>246.11</v>
      </c>
      <c r="BJ93" s="14">
        <v>0</v>
      </c>
      <c r="BK93" s="14">
        <v>0</v>
      </c>
      <c r="BL93" s="14">
        <v>1081.73</v>
      </c>
      <c r="BS93" s="14">
        <v>0</v>
      </c>
      <c r="BT93" s="14">
        <v>4</v>
      </c>
      <c r="BW93" s="14">
        <v>1</v>
      </c>
      <c r="BZ93" s="14">
        <v>5</v>
      </c>
      <c r="CD93" s="14">
        <v>1</v>
      </c>
      <c r="CG93" s="14">
        <v>1</v>
      </c>
      <c r="CN93" s="14">
        <v>0</v>
      </c>
      <c r="CU93" s="14">
        <v>0</v>
      </c>
      <c r="DB93" s="14">
        <v>0</v>
      </c>
      <c r="DC93" s="14">
        <v>4</v>
      </c>
      <c r="DD93" s="14">
        <v>0</v>
      </c>
      <c r="DE93" s="14">
        <v>0</v>
      </c>
      <c r="DF93" s="14">
        <v>2</v>
      </c>
      <c r="DG93" s="14">
        <v>0</v>
      </c>
      <c r="DH93" s="14">
        <v>0</v>
      </c>
      <c r="DI93" s="14">
        <v>6</v>
      </c>
      <c r="DJ93" s="14" t="s">
        <v>598</v>
      </c>
      <c r="DK93" s="14" t="s">
        <v>598</v>
      </c>
      <c r="DL93" s="14" t="s">
        <v>598</v>
      </c>
      <c r="DM93" s="14" t="s">
        <v>598</v>
      </c>
      <c r="DN93" s="14" t="s">
        <v>598</v>
      </c>
      <c r="DO93" s="14" t="s">
        <v>598</v>
      </c>
      <c r="DP93" s="14" t="s">
        <v>597</v>
      </c>
      <c r="DQ93" s="14" t="s">
        <v>598</v>
      </c>
      <c r="DR93" s="14" t="s">
        <v>598</v>
      </c>
      <c r="DS93" s="14" t="s">
        <v>597</v>
      </c>
      <c r="DT93" s="14" t="s">
        <v>598</v>
      </c>
      <c r="DU93" s="14" t="s">
        <v>598</v>
      </c>
      <c r="DV93" s="14" t="s">
        <v>598</v>
      </c>
      <c r="DW93" s="14" t="s">
        <v>598</v>
      </c>
      <c r="DX93" s="14" t="s">
        <v>598</v>
      </c>
      <c r="DY93" s="14" t="s">
        <v>597</v>
      </c>
      <c r="DZ93" s="14" t="s">
        <v>598</v>
      </c>
      <c r="EA93" s="14" t="s">
        <v>598</v>
      </c>
      <c r="EB93" s="14" t="s">
        <v>598</v>
      </c>
      <c r="EC93" s="14" t="s">
        <v>598</v>
      </c>
      <c r="ED93" s="14" t="s">
        <v>598</v>
      </c>
      <c r="EE93" s="14" t="s">
        <v>598</v>
      </c>
      <c r="EF93" s="14" t="s">
        <v>598</v>
      </c>
      <c r="EG93" s="14" t="s">
        <v>598</v>
      </c>
      <c r="EH93" s="14" t="s">
        <v>598</v>
      </c>
      <c r="EI93" s="14" t="s">
        <v>598</v>
      </c>
      <c r="EJ93" s="14" t="s">
        <v>598</v>
      </c>
      <c r="EK93" s="14" t="s">
        <v>598</v>
      </c>
      <c r="EL93" s="14" t="s">
        <v>598</v>
      </c>
      <c r="EM93" s="14" t="s">
        <v>598</v>
      </c>
      <c r="EN93" s="14" t="s">
        <v>598</v>
      </c>
      <c r="EO93" s="14" t="s">
        <v>598</v>
      </c>
      <c r="EP93" s="14" t="s">
        <v>598</v>
      </c>
      <c r="EQ93" s="14" t="s">
        <v>598</v>
      </c>
      <c r="ER93" s="14" t="s">
        <v>598</v>
      </c>
      <c r="ES93" s="14" t="s">
        <v>598</v>
      </c>
      <c r="ET93" s="14">
        <v>766.18</v>
      </c>
      <c r="EW93" s="14">
        <v>42.86</v>
      </c>
      <c r="EZ93" s="14">
        <v>809.04</v>
      </c>
      <c r="FA93" s="14">
        <v>25.5</v>
      </c>
      <c r="FD93" s="14">
        <v>203.25</v>
      </c>
      <c r="FG93" s="14">
        <v>228.75</v>
      </c>
      <c r="FN93" s="14">
        <v>0</v>
      </c>
      <c r="FU93" s="14">
        <v>0</v>
      </c>
      <c r="GB93" s="14">
        <v>0</v>
      </c>
      <c r="GI93" s="14">
        <v>0</v>
      </c>
      <c r="GP93" s="14">
        <v>0</v>
      </c>
      <c r="GQ93" s="14" t="s">
        <v>1072</v>
      </c>
      <c r="GR93" s="14">
        <v>43.94</v>
      </c>
      <c r="GX93" s="14">
        <v>43.94</v>
      </c>
      <c r="GY93" s="14">
        <v>835.62</v>
      </c>
      <c r="GZ93" s="14">
        <v>0</v>
      </c>
      <c r="HA93" s="14">
        <v>0</v>
      </c>
      <c r="HB93" s="14">
        <v>246.11</v>
      </c>
      <c r="HC93" s="14">
        <v>0</v>
      </c>
      <c r="HD93" s="14">
        <v>0</v>
      </c>
      <c r="HE93" s="14">
        <v>1081.73</v>
      </c>
      <c r="HF93" s="14">
        <v>34.43</v>
      </c>
      <c r="HL93" s="14">
        <v>34.43</v>
      </c>
      <c r="HM93" s="14">
        <v>801.2</v>
      </c>
      <c r="HP93" s="14">
        <v>203.25</v>
      </c>
      <c r="HS93" s="14">
        <v>1004.45</v>
      </c>
      <c r="HW93" s="14">
        <v>42.85</v>
      </c>
      <c r="HZ93" s="14">
        <v>42.85</v>
      </c>
      <c r="IG93" s="14">
        <v>0</v>
      </c>
      <c r="IN93" s="14">
        <v>0</v>
      </c>
      <c r="IO93" s="14">
        <v>835.63</v>
      </c>
      <c r="IP93" s="14">
        <v>0</v>
      </c>
      <c r="IQ93" s="14">
        <v>0</v>
      </c>
      <c r="IR93" s="14">
        <v>246.1</v>
      </c>
      <c r="IS93" s="14">
        <v>0</v>
      </c>
      <c r="IT93" s="14">
        <v>0</v>
      </c>
      <c r="IU93" s="14">
        <v>1081.73</v>
      </c>
      <c r="JA93" s="14">
        <v>1</v>
      </c>
      <c r="JB93" s="14">
        <v>3</v>
      </c>
      <c r="JC93" s="14">
        <v>1</v>
      </c>
      <c r="JD93" s="14" t="s">
        <v>600</v>
      </c>
      <c r="NG93" s="14" t="s">
        <v>601</v>
      </c>
      <c r="NH93" s="14">
        <v>766.18</v>
      </c>
      <c r="NN93" s="14">
        <v>766.18</v>
      </c>
      <c r="NO93" s="14">
        <v>25.5</v>
      </c>
      <c r="NR93" s="14">
        <v>203.25</v>
      </c>
      <c r="NU93" s="14">
        <v>228.75</v>
      </c>
      <c r="OB93" s="14">
        <v>0</v>
      </c>
      <c r="OI93" s="14">
        <v>0</v>
      </c>
      <c r="OP93" s="14">
        <v>0</v>
      </c>
      <c r="OW93" s="14">
        <v>0</v>
      </c>
      <c r="PD93" s="14">
        <v>0</v>
      </c>
      <c r="PE93" s="14" t="s">
        <v>1073</v>
      </c>
      <c r="PF93" s="14">
        <v>43.94</v>
      </c>
      <c r="PL93" s="14">
        <v>43.94</v>
      </c>
      <c r="PM93" s="14">
        <v>835.62</v>
      </c>
      <c r="PN93" s="14">
        <v>0</v>
      </c>
      <c r="PO93" s="14">
        <v>0</v>
      </c>
      <c r="PP93" s="14">
        <v>203.25</v>
      </c>
      <c r="PQ93" s="14">
        <v>0</v>
      </c>
      <c r="PR93" s="14">
        <v>0</v>
      </c>
      <c r="PS93" s="14">
        <v>1038.8699999999999</v>
      </c>
      <c r="PT93" s="14">
        <v>801.2</v>
      </c>
      <c r="PW93" s="14">
        <v>203.25</v>
      </c>
      <c r="PZ93" s="14">
        <v>1004.45</v>
      </c>
      <c r="QA93" s="14">
        <v>34.43</v>
      </c>
      <c r="QG93" s="14">
        <v>34.43</v>
      </c>
      <c r="QN93" s="14">
        <v>0</v>
      </c>
      <c r="QU93" s="14">
        <v>0</v>
      </c>
      <c r="RB93" s="14">
        <v>0</v>
      </c>
      <c r="RC93" s="14">
        <v>835.63</v>
      </c>
      <c r="RD93" s="14">
        <v>0</v>
      </c>
      <c r="RE93" s="14">
        <v>0</v>
      </c>
      <c r="RF93" s="14">
        <v>203.25</v>
      </c>
      <c r="RG93" s="14">
        <v>0</v>
      </c>
      <c r="RH93" s="14">
        <v>0</v>
      </c>
      <c r="RI93" s="14">
        <v>1038.8800000000001</v>
      </c>
      <c r="RJ93" s="14" t="s">
        <v>602</v>
      </c>
      <c r="RN93" s="14">
        <v>42.86</v>
      </c>
      <c r="RQ93" s="14">
        <v>42.86</v>
      </c>
      <c r="RX93" s="14">
        <v>0</v>
      </c>
      <c r="SE93" s="14">
        <v>0</v>
      </c>
      <c r="SL93" s="14">
        <v>0</v>
      </c>
      <c r="SS93" s="14">
        <v>0</v>
      </c>
      <c r="SZ93" s="14">
        <v>0</v>
      </c>
      <c r="TG93" s="14">
        <v>0</v>
      </c>
      <c r="TO93" s="14">
        <v>0</v>
      </c>
      <c r="TP93" s="14">
        <v>0</v>
      </c>
      <c r="TQ93" s="14">
        <v>0</v>
      </c>
      <c r="TR93" s="14">
        <v>0</v>
      </c>
      <c r="TS93" s="14">
        <v>42.86</v>
      </c>
      <c r="TT93" s="14">
        <v>0</v>
      </c>
      <c r="TU93" s="14">
        <v>0</v>
      </c>
      <c r="TV93" s="14">
        <v>42.86</v>
      </c>
      <c r="UC93" s="14">
        <v>0</v>
      </c>
      <c r="UJ93" s="14">
        <v>0</v>
      </c>
      <c r="UN93" s="14">
        <v>42.86</v>
      </c>
      <c r="UQ93" s="14">
        <v>42.86</v>
      </c>
      <c r="UX93" s="14">
        <v>0</v>
      </c>
      <c r="VE93" s="14">
        <v>0</v>
      </c>
      <c r="VF93" s="14">
        <v>0</v>
      </c>
      <c r="VG93" s="14">
        <v>0</v>
      </c>
      <c r="VH93" s="14">
        <v>0</v>
      </c>
      <c r="VI93" s="14">
        <v>42.86</v>
      </c>
      <c r="VJ93" s="14">
        <v>0</v>
      </c>
      <c r="VK93" s="14">
        <v>0</v>
      </c>
      <c r="VL93" s="14">
        <v>42.86</v>
      </c>
      <c r="VM93" s="14" t="s">
        <v>603</v>
      </c>
      <c r="ZP93" s="14" t="s">
        <v>604</v>
      </c>
      <c r="ADS93" s="14" t="s">
        <v>605</v>
      </c>
    </row>
    <row r="94" spans="1:799" x14ac:dyDescent="0.25">
      <c r="A94" s="14">
        <v>190</v>
      </c>
      <c r="B94" s="14" t="s">
        <v>889</v>
      </c>
      <c r="C94" s="16">
        <v>42774.622916666667</v>
      </c>
      <c r="D94" s="14" t="s">
        <v>1074</v>
      </c>
      <c r="E94" s="14" t="s">
        <v>1075</v>
      </c>
      <c r="F94" s="14" t="str">
        <f>VLOOKUP(MID(H94,SEARCH("@",H94,1),LEN(H94)-SEARCH("@",H94,1)+1),[2]Sheet1!$D:$F,3,FALSE)</f>
        <v>M128</v>
      </c>
      <c r="G94" s="14" t="s">
        <v>1076</v>
      </c>
      <c r="H94" s="14" t="s">
        <v>1077</v>
      </c>
      <c r="I94" s="14">
        <v>33155359830</v>
      </c>
      <c r="J94" s="14" t="s">
        <v>1078</v>
      </c>
      <c r="K94" s="14" t="s">
        <v>732</v>
      </c>
      <c r="M94" s="14">
        <v>1</v>
      </c>
      <c r="V94" s="14">
        <v>0</v>
      </c>
      <c r="X94" s="14">
        <v>170</v>
      </c>
      <c r="Z94" s="14">
        <v>160</v>
      </c>
      <c r="AC94" s="14">
        <v>330</v>
      </c>
      <c r="AJ94" s="14">
        <v>0</v>
      </c>
      <c r="AQ94" s="14">
        <v>0</v>
      </c>
      <c r="AX94" s="14">
        <v>0</v>
      </c>
      <c r="BE94" s="14">
        <v>0</v>
      </c>
      <c r="BF94" s="14">
        <v>0</v>
      </c>
      <c r="BG94" s="14">
        <v>170</v>
      </c>
      <c r="BH94" s="14">
        <v>0</v>
      </c>
      <c r="BI94" s="14">
        <v>160</v>
      </c>
      <c r="BJ94" s="14">
        <v>0</v>
      </c>
      <c r="BK94" s="14">
        <v>0</v>
      </c>
      <c r="BL94" s="14">
        <v>330</v>
      </c>
      <c r="BS94" s="14">
        <v>0</v>
      </c>
      <c r="BU94" s="14">
        <v>1</v>
      </c>
      <c r="BW94" s="14">
        <v>5</v>
      </c>
      <c r="BZ94" s="14">
        <v>6</v>
      </c>
      <c r="CG94" s="14">
        <v>0</v>
      </c>
      <c r="CN94" s="14">
        <v>0</v>
      </c>
      <c r="CU94" s="14">
        <v>0</v>
      </c>
      <c r="DB94" s="14">
        <v>0</v>
      </c>
      <c r="DC94" s="14">
        <v>0</v>
      </c>
      <c r="DD94" s="14">
        <v>1</v>
      </c>
      <c r="DE94" s="14">
        <v>0</v>
      </c>
      <c r="DF94" s="14">
        <v>5</v>
      </c>
      <c r="DG94" s="14">
        <v>0</v>
      </c>
      <c r="DH94" s="14">
        <v>0</v>
      </c>
      <c r="DI94" s="14">
        <v>6</v>
      </c>
      <c r="DJ94" s="14" t="s">
        <v>598</v>
      </c>
      <c r="DK94" s="14" t="s">
        <v>598</v>
      </c>
      <c r="DL94" s="14" t="s">
        <v>598</v>
      </c>
      <c r="DM94" s="14" t="s">
        <v>598</v>
      </c>
      <c r="DN94" s="14" t="s">
        <v>598</v>
      </c>
      <c r="DO94" s="14" t="s">
        <v>598</v>
      </c>
      <c r="DP94" s="14" t="s">
        <v>598</v>
      </c>
      <c r="DQ94" s="14" t="s">
        <v>597</v>
      </c>
      <c r="DR94" s="14" t="s">
        <v>598</v>
      </c>
      <c r="DS94" s="14" t="s">
        <v>597</v>
      </c>
      <c r="DT94" s="14" t="s">
        <v>598</v>
      </c>
      <c r="DU94" s="14" t="s">
        <v>598</v>
      </c>
      <c r="DV94" s="14" t="s">
        <v>598</v>
      </c>
      <c r="DW94" s="14" t="s">
        <v>598</v>
      </c>
      <c r="DX94" s="14" t="s">
        <v>598</v>
      </c>
      <c r="DY94" s="14" t="s">
        <v>598</v>
      </c>
      <c r="DZ94" s="14" t="s">
        <v>598</v>
      </c>
      <c r="EA94" s="14" t="s">
        <v>598</v>
      </c>
      <c r="EB94" s="14" t="s">
        <v>598</v>
      </c>
      <c r="EC94" s="14" t="s">
        <v>598</v>
      </c>
      <c r="ED94" s="14" t="s">
        <v>598</v>
      </c>
      <c r="EE94" s="14" t="s">
        <v>598</v>
      </c>
      <c r="EF94" s="14" t="s">
        <v>598</v>
      </c>
      <c r="EG94" s="14" t="s">
        <v>598</v>
      </c>
      <c r="EH94" s="14" t="s">
        <v>598</v>
      </c>
      <c r="EI94" s="14" t="s">
        <v>598</v>
      </c>
      <c r="EJ94" s="14" t="s">
        <v>598</v>
      </c>
      <c r="EK94" s="14" t="s">
        <v>598</v>
      </c>
      <c r="EL94" s="14" t="s">
        <v>598</v>
      </c>
      <c r="EM94" s="14" t="s">
        <v>598</v>
      </c>
      <c r="EN94" s="14" t="s">
        <v>598</v>
      </c>
      <c r="EO94" s="14" t="s">
        <v>598</v>
      </c>
      <c r="EP94" s="14" t="s">
        <v>598</v>
      </c>
      <c r="EQ94" s="14" t="s">
        <v>598</v>
      </c>
      <c r="ER94" s="14" t="s">
        <v>598</v>
      </c>
      <c r="ES94" s="14" t="s">
        <v>598</v>
      </c>
      <c r="EZ94" s="14">
        <v>0</v>
      </c>
      <c r="FB94" s="14">
        <v>30</v>
      </c>
      <c r="FG94" s="14">
        <v>30</v>
      </c>
      <c r="FN94" s="14">
        <v>0</v>
      </c>
      <c r="FU94" s="14">
        <v>0</v>
      </c>
      <c r="GB94" s="14">
        <v>0</v>
      </c>
      <c r="GD94" s="14">
        <v>140</v>
      </c>
      <c r="GI94" s="14">
        <v>140</v>
      </c>
      <c r="GP94" s="14">
        <v>0</v>
      </c>
      <c r="GQ94" s="14" t="s">
        <v>1079</v>
      </c>
      <c r="GU94" s="14">
        <v>160</v>
      </c>
      <c r="GX94" s="14">
        <v>160</v>
      </c>
      <c r="GY94" s="14">
        <v>0</v>
      </c>
      <c r="GZ94" s="14">
        <v>170</v>
      </c>
      <c r="HA94" s="14">
        <v>0</v>
      </c>
      <c r="HB94" s="14">
        <v>160</v>
      </c>
      <c r="HC94" s="14">
        <v>0</v>
      </c>
      <c r="HD94" s="14">
        <v>0</v>
      </c>
      <c r="HE94" s="14">
        <v>330</v>
      </c>
      <c r="HL94" s="14">
        <v>0</v>
      </c>
      <c r="HN94" s="14">
        <v>170</v>
      </c>
      <c r="HP94" s="14">
        <v>120</v>
      </c>
      <c r="HS94" s="14">
        <v>290</v>
      </c>
      <c r="HW94" s="14">
        <v>40</v>
      </c>
      <c r="HZ94" s="14">
        <v>40</v>
      </c>
      <c r="IG94" s="14">
        <v>0</v>
      </c>
      <c r="IN94" s="14">
        <v>0</v>
      </c>
      <c r="IO94" s="14">
        <v>0</v>
      </c>
      <c r="IP94" s="14">
        <v>170</v>
      </c>
      <c r="IQ94" s="14">
        <v>0</v>
      </c>
      <c r="IR94" s="14">
        <v>160</v>
      </c>
      <c r="IS94" s="14">
        <v>0</v>
      </c>
      <c r="IT94" s="14">
        <v>0</v>
      </c>
      <c r="IU94" s="14">
        <v>330</v>
      </c>
      <c r="IW94" s="14">
        <v>65</v>
      </c>
      <c r="IX94" s="14">
        <v>35</v>
      </c>
      <c r="JA94" s="14">
        <v>3</v>
      </c>
      <c r="JB94" s="14">
        <v>3</v>
      </c>
      <c r="JC94" s="14">
        <v>1</v>
      </c>
      <c r="JD94" s="14" t="s">
        <v>600</v>
      </c>
      <c r="NG94" s="14" t="s">
        <v>601</v>
      </c>
      <c r="NN94" s="14">
        <v>0</v>
      </c>
      <c r="NP94" s="14">
        <v>30</v>
      </c>
      <c r="NU94" s="14">
        <v>30</v>
      </c>
      <c r="OB94" s="14">
        <v>0</v>
      </c>
      <c r="OI94" s="14">
        <v>0</v>
      </c>
      <c r="OP94" s="14">
        <v>0</v>
      </c>
      <c r="OR94" s="14">
        <v>140</v>
      </c>
      <c r="OW94" s="14">
        <v>140</v>
      </c>
      <c r="PD94" s="14">
        <v>0</v>
      </c>
      <c r="PE94" s="14" t="s">
        <v>1079</v>
      </c>
      <c r="PI94" s="14">
        <v>160</v>
      </c>
      <c r="PL94" s="14">
        <v>160</v>
      </c>
      <c r="PM94" s="14">
        <v>0</v>
      </c>
      <c r="PN94" s="14">
        <v>170</v>
      </c>
      <c r="PO94" s="14">
        <v>0</v>
      </c>
      <c r="PP94" s="14">
        <v>160</v>
      </c>
      <c r="PQ94" s="14">
        <v>0</v>
      </c>
      <c r="PR94" s="14">
        <v>0</v>
      </c>
      <c r="PS94" s="14">
        <v>330</v>
      </c>
      <c r="PU94" s="14">
        <v>170</v>
      </c>
      <c r="PW94" s="14">
        <v>120</v>
      </c>
      <c r="PZ94" s="14">
        <v>290</v>
      </c>
      <c r="QG94" s="14">
        <v>0</v>
      </c>
      <c r="QK94" s="14">
        <v>40</v>
      </c>
      <c r="QN94" s="14">
        <v>40</v>
      </c>
      <c r="QU94" s="14">
        <v>0</v>
      </c>
      <c r="RB94" s="14">
        <v>0</v>
      </c>
      <c r="RC94" s="14">
        <v>0</v>
      </c>
      <c r="RD94" s="14">
        <v>170</v>
      </c>
      <c r="RE94" s="14">
        <v>0</v>
      </c>
      <c r="RF94" s="14">
        <v>160</v>
      </c>
      <c r="RG94" s="14">
        <v>0</v>
      </c>
      <c r="RH94" s="14">
        <v>0</v>
      </c>
      <c r="RI94" s="14">
        <v>330</v>
      </c>
      <c r="RJ94" s="14" t="s">
        <v>602</v>
      </c>
      <c r="VM94" s="14" t="s">
        <v>603</v>
      </c>
      <c r="ZP94" s="14" t="s">
        <v>604</v>
      </c>
      <c r="ADS94" s="14" t="s">
        <v>605</v>
      </c>
    </row>
    <row r="95" spans="1:799" x14ac:dyDescent="0.25">
      <c r="A95" s="14">
        <v>214</v>
      </c>
      <c r="B95" s="14" t="s">
        <v>889</v>
      </c>
      <c r="C95" s="16">
        <v>42780</v>
      </c>
      <c r="D95" s="14" t="s">
        <v>1080</v>
      </c>
      <c r="E95" s="14" t="s">
        <v>1081</v>
      </c>
      <c r="F95" s="14" t="str">
        <f>VLOOKUP(MID(H95,SEARCH("@",H95,1),LEN(H95)-SEARCH("@",H95,1)+1),[2]Sheet1!$D:$F,3,FALSE)</f>
        <v>M201</v>
      </c>
      <c r="G95" s="14" t="s">
        <v>1082</v>
      </c>
      <c r="H95" s="14" t="s">
        <v>1083</v>
      </c>
      <c r="I95" s="14" t="s">
        <v>1084</v>
      </c>
      <c r="J95" s="14" t="s">
        <v>611</v>
      </c>
      <c r="K95" s="14" t="s">
        <v>596</v>
      </c>
      <c r="M95" s="14">
        <v>1</v>
      </c>
      <c r="V95" s="14">
        <v>0</v>
      </c>
      <c r="X95" s="14">
        <v>605</v>
      </c>
      <c r="AC95" s="14">
        <v>605</v>
      </c>
      <c r="AJ95" s="14">
        <v>0</v>
      </c>
      <c r="AK95" s="14">
        <v>800.27</v>
      </c>
      <c r="AM95" s="14">
        <v>30</v>
      </c>
      <c r="AQ95" s="14">
        <v>830.27</v>
      </c>
      <c r="AX95" s="14">
        <v>0</v>
      </c>
      <c r="BE95" s="14">
        <v>0</v>
      </c>
      <c r="BF95" s="14">
        <v>800.27</v>
      </c>
      <c r="BG95" s="14">
        <v>605</v>
      </c>
      <c r="BH95" s="14">
        <v>30</v>
      </c>
      <c r="BI95" s="14">
        <v>0</v>
      </c>
      <c r="BJ95" s="14">
        <v>0</v>
      </c>
      <c r="BK95" s="14">
        <v>0</v>
      </c>
      <c r="BL95" s="14">
        <v>1435.27</v>
      </c>
      <c r="BS95" s="14">
        <v>0</v>
      </c>
      <c r="BU95" s="14">
        <v>1</v>
      </c>
      <c r="BZ95" s="14">
        <v>1</v>
      </c>
      <c r="CG95" s="14">
        <v>0</v>
      </c>
      <c r="CH95" s="14">
        <v>1</v>
      </c>
      <c r="CJ95" s="14">
        <v>1</v>
      </c>
      <c r="CN95" s="14">
        <v>2</v>
      </c>
      <c r="CU95" s="14">
        <v>0</v>
      </c>
      <c r="DB95" s="14">
        <v>0</v>
      </c>
      <c r="DC95" s="14">
        <v>1</v>
      </c>
      <c r="DD95" s="14">
        <v>1</v>
      </c>
      <c r="DE95" s="14">
        <v>1</v>
      </c>
      <c r="DF95" s="14">
        <v>0</v>
      </c>
      <c r="DG95" s="14">
        <v>0</v>
      </c>
      <c r="DH95" s="14">
        <v>0</v>
      </c>
      <c r="DI95" s="14">
        <v>3</v>
      </c>
      <c r="DJ95" s="14" t="s">
        <v>598</v>
      </c>
      <c r="DK95" s="14" t="s">
        <v>598</v>
      </c>
      <c r="DL95" s="14" t="s">
        <v>598</v>
      </c>
      <c r="DM95" s="14" t="s">
        <v>598</v>
      </c>
      <c r="DN95" s="14" t="s">
        <v>598</v>
      </c>
      <c r="DO95" s="14" t="s">
        <v>598</v>
      </c>
      <c r="DP95" s="14" t="s">
        <v>598</v>
      </c>
      <c r="DQ95" s="14" t="s">
        <v>597</v>
      </c>
      <c r="DR95" s="14" t="s">
        <v>598</v>
      </c>
      <c r="DS95" s="14" t="s">
        <v>598</v>
      </c>
      <c r="DT95" s="14" t="s">
        <v>598</v>
      </c>
      <c r="DU95" s="14" t="s">
        <v>598</v>
      </c>
      <c r="DV95" s="14" t="s">
        <v>598</v>
      </c>
      <c r="DW95" s="14" t="s">
        <v>598</v>
      </c>
      <c r="DX95" s="14" t="s">
        <v>598</v>
      </c>
      <c r="DY95" s="14" t="s">
        <v>598</v>
      </c>
      <c r="DZ95" s="14" t="s">
        <v>598</v>
      </c>
      <c r="EA95" s="14" t="s">
        <v>598</v>
      </c>
      <c r="EB95" s="14" t="s">
        <v>597</v>
      </c>
      <c r="EC95" s="14" t="s">
        <v>598</v>
      </c>
      <c r="ED95" s="14" t="s">
        <v>597</v>
      </c>
      <c r="EE95" s="14" t="s">
        <v>598</v>
      </c>
      <c r="EF95" s="14" t="s">
        <v>598</v>
      </c>
      <c r="EG95" s="14" t="s">
        <v>598</v>
      </c>
      <c r="EH95" s="14" t="s">
        <v>598</v>
      </c>
      <c r="EI95" s="14" t="s">
        <v>598</v>
      </c>
      <c r="EJ95" s="14" t="s">
        <v>598</v>
      </c>
      <c r="EK95" s="14" t="s">
        <v>598</v>
      </c>
      <c r="EL95" s="14" t="s">
        <v>598</v>
      </c>
      <c r="EM95" s="14" t="s">
        <v>598</v>
      </c>
      <c r="EN95" s="14" t="s">
        <v>598</v>
      </c>
      <c r="EO95" s="14" t="s">
        <v>598</v>
      </c>
      <c r="EP95" s="14" t="s">
        <v>598</v>
      </c>
      <c r="EQ95" s="14" t="s">
        <v>598</v>
      </c>
      <c r="ER95" s="14" t="s">
        <v>598</v>
      </c>
      <c r="ES95" s="14" t="s">
        <v>598</v>
      </c>
      <c r="ET95" s="14">
        <v>439.97</v>
      </c>
      <c r="EZ95" s="14">
        <v>439.97</v>
      </c>
      <c r="FA95" s="14">
        <v>12</v>
      </c>
      <c r="FG95" s="14">
        <v>12</v>
      </c>
      <c r="FH95" s="14">
        <v>280</v>
      </c>
      <c r="FI95" s="14">
        <v>605</v>
      </c>
      <c r="FN95" s="14">
        <v>885</v>
      </c>
      <c r="FU95" s="14">
        <v>0</v>
      </c>
      <c r="FV95" s="14">
        <v>23</v>
      </c>
      <c r="GB95" s="14">
        <v>23</v>
      </c>
      <c r="GI95" s="14">
        <v>0</v>
      </c>
      <c r="GJ95" s="14">
        <v>45.3</v>
      </c>
      <c r="GL95" s="14">
        <v>30</v>
      </c>
      <c r="GP95" s="14">
        <v>75.3</v>
      </c>
      <c r="GX95" s="14">
        <v>0</v>
      </c>
      <c r="GY95" s="14">
        <v>800.27</v>
      </c>
      <c r="GZ95" s="14">
        <v>605</v>
      </c>
      <c r="HA95" s="14">
        <v>30</v>
      </c>
      <c r="HB95" s="14">
        <v>0</v>
      </c>
      <c r="HC95" s="14">
        <v>0</v>
      </c>
      <c r="HD95" s="14">
        <v>0</v>
      </c>
      <c r="HE95" s="14">
        <v>1435.27</v>
      </c>
      <c r="HF95" s="14">
        <v>332</v>
      </c>
      <c r="HG95" s="14">
        <v>605</v>
      </c>
      <c r="HH95" s="14">
        <v>30</v>
      </c>
      <c r="HL95" s="14">
        <v>967</v>
      </c>
      <c r="HM95" s="14">
        <v>242.97</v>
      </c>
      <c r="HS95" s="14">
        <v>242.97</v>
      </c>
      <c r="HT95" s="14">
        <v>225.3</v>
      </c>
      <c r="HZ95" s="14">
        <v>225.3</v>
      </c>
      <c r="IG95" s="14">
        <v>0</v>
      </c>
      <c r="IN95" s="14">
        <v>0</v>
      </c>
      <c r="IO95" s="14">
        <v>800.27</v>
      </c>
      <c r="IP95" s="14">
        <v>605</v>
      </c>
      <c r="IQ95" s="14">
        <v>30</v>
      </c>
      <c r="IR95" s="14">
        <v>0</v>
      </c>
      <c r="IS95" s="14">
        <v>0</v>
      </c>
      <c r="IT95" s="14">
        <v>0</v>
      </c>
      <c r="IU95" s="14">
        <v>1435.27</v>
      </c>
      <c r="IV95" s="14">
        <v>8.2899999999999991</v>
      </c>
      <c r="IX95" s="14">
        <v>91.71</v>
      </c>
      <c r="JA95" s="14">
        <v>3</v>
      </c>
      <c r="JB95" s="14">
        <v>1</v>
      </c>
      <c r="JC95" s="14">
        <v>1</v>
      </c>
      <c r="JD95" s="14" t="s">
        <v>600</v>
      </c>
      <c r="NG95" s="14" t="s">
        <v>601</v>
      </c>
      <c r="NN95" s="14">
        <v>0</v>
      </c>
      <c r="NU95" s="14">
        <v>0</v>
      </c>
      <c r="NW95" s="14">
        <v>605</v>
      </c>
      <c r="OB95" s="14">
        <v>605</v>
      </c>
      <c r="OI95" s="14">
        <v>0</v>
      </c>
      <c r="OP95" s="14">
        <v>0</v>
      </c>
      <c r="OW95" s="14">
        <v>0</v>
      </c>
      <c r="PD95" s="14">
        <v>0</v>
      </c>
      <c r="PL95" s="14">
        <v>0</v>
      </c>
      <c r="PM95" s="14">
        <v>0</v>
      </c>
      <c r="PN95" s="14">
        <v>605</v>
      </c>
      <c r="PO95" s="14">
        <v>0</v>
      </c>
      <c r="PP95" s="14">
        <v>0</v>
      </c>
      <c r="PQ95" s="14">
        <v>0</v>
      </c>
      <c r="PR95" s="14">
        <v>0</v>
      </c>
      <c r="PS95" s="14">
        <v>605</v>
      </c>
      <c r="PZ95" s="14">
        <v>0</v>
      </c>
      <c r="QB95" s="14">
        <v>605</v>
      </c>
      <c r="QG95" s="14">
        <v>605</v>
      </c>
      <c r="QN95" s="14">
        <v>0</v>
      </c>
      <c r="QU95" s="14">
        <v>0</v>
      </c>
      <c r="RB95" s="14">
        <v>0</v>
      </c>
      <c r="RC95" s="14">
        <v>0</v>
      </c>
      <c r="RD95" s="14">
        <v>605</v>
      </c>
      <c r="RE95" s="14">
        <v>0</v>
      </c>
      <c r="RF95" s="14">
        <v>0</v>
      </c>
      <c r="RG95" s="14">
        <v>0</v>
      </c>
      <c r="RH95" s="14">
        <v>0</v>
      </c>
      <c r="RI95" s="14">
        <v>605</v>
      </c>
      <c r="RJ95" s="14" t="s">
        <v>602</v>
      </c>
      <c r="VM95" s="14" t="s">
        <v>603</v>
      </c>
      <c r="VN95" s="14">
        <v>439.97</v>
      </c>
      <c r="VT95" s="14">
        <v>439.97</v>
      </c>
      <c r="VU95" s="14">
        <v>12</v>
      </c>
      <c r="WA95" s="14">
        <v>12</v>
      </c>
      <c r="WB95" s="14">
        <v>280</v>
      </c>
      <c r="WH95" s="14">
        <v>280</v>
      </c>
      <c r="WO95" s="14">
        <v>0</v>
      </c>
      <c r="WP95" s="14">
        <v>23</v>
      </c>
      <c r="WV95" s="14">
        <v>23</v>
      </c>
      <c r="XC95" s="14">
        <v>0</v>
      </c>
      <c r="XD95" s="14">
        <v>45.3</v>
      </c>
      <c r="XF95" s="14">
        <v>30</v>
      </c>
      <c r="XJ95" s="14">
        <v>75.3</v>
      </c>
      <c r="XR95" s="14">
        <v>0</v>
      </c>
      <c r="XS95" s="14">
        <v>800.27</v>
      </c>
      <c r="XT95" s="14">
        <v>0</v>
      </c>
      <c r="XU95" s="14">
        <v>30</v>
      </c>
      <c r="XV95" s="14">
        <v>0</v>
      </c>
      <c r="XW95" s="14">
        <v>0</v>
      </c>
      <c r="XX95" s="14">
        <v>0</v>
      </c>
      <c r="XY95" s="14">
        <v>830.27</v>
      </c>
      <c r="XZ95" s="14">
        <v>242.97</v>
      </c>
      <c r="YF95" s="14">
        <v>242.97</v>
      </c>
      <c r="YG95" s="14">
        <v>332</v>
      </c>
      <c r="YI95" s="14">
        <v>30</v>
      </c>
      <c r="YM95" s="14">
        <v>362</v>
      </c>
      <c r="YN95" s="14">
        <v>225.3</v>
      </c>
      <c r="YT95" s="14">
        <v>225.3</v>
      </c>
      <c r="ZA95" s="14">
        <v>0</v>
      </c>
      <c r="ZH95" s="14">
        <v>0</v>
      </c>
      <c r="ZI95" s="14">
        <v>800.27</v>
      </c>
      <c r="ZJ95" s="14">
        <v>0</v>
      </c>
      <c r="ZK95" s="14">
        <v>30</v>
      </c>
      <c r="ZL95" s="14">
        <v>0</v>
      </c>
      <c r="ZM95" s="14">
        <v>0</v>
      </c>
      <c r="ZN95" s="14">
        <v>0</v>
      </c>
      <c r="ZO95" s="14">
        <v>830.27</v>
      </c>
      <c r="ZP95" s="14" t="s">
        <v>604</v>
      </c>
      <c r="ADS95" s="14" t="s">
        <v>605</v>
      </c>
    </row>
    <row r="96" spans="1:799" x14ac:dyDescent="0.25">
      <c r="A96" s="14">
        <v>44</v>
      </c>
      <c r="B96" s="14" t="s">
        <v>889</v>
      </c>
      <c r="C96" s="16">
        <v>42745.554166666669</v>
      </c>
      <c r="D96" s="14" t="s">
        <v>1085</v>
      </c>
      <c r="E96" s="14" t="s">
        <v>1086</v>
      </c>
      <c r="F96" s="14" t="str">
        <f>VLOOKUP(MID(H96,SEARCH("@",H96,1),LEN(H96)-SEARCH("@",H96,1)+1),[2]Sheet1!$D:$F,3,FALSE)</f>
        <v>M2590</v>
      </c>
      <c r="G96" s="14" t="s">
        <v>1087</v>
      </c>
      <c r="H96" s="14" t="s">
        <v>1088</v>
      </c>
      <c r="I96" s="14">
        <v>49692740331220</v>
      </c>
      <c r="J96" s="14" t="s">
        <v>894</v>
      </c>
      <c r="K96" s="14" t="s">
        <v>732</v>
      </c>
      <c r="M96" s="14">
        <v>1</v>
      </c>
      <c r="V96" s="14">
        <v>0</v>
      </c>
      <c r="Z96" s="14">
        <v>170</v>
      </c>
      <c r="AB96" s="14">
        <v>73</v>
      </c>
      <c r="AC96" s="14">
        <v>243</v>
      </c>
      <c r="AJ96" s="14">
        <v>0</v>
      </c>
      <c r="AQ96" s="14">
        <v>0</v>
      </c>
      <c r="AX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170</v>
      </c>
      <c r="BJ96" s="14">
        <v>0</v>
      </c>
      <c r="BK96" s="14">
        <v>73</v>
      </c>
      <c r="BL96" s="14">
        <v>243</v>
      </c>
      <c r="BS96" s="14">
        <v>0</v>
      </c>
      <c r="BW96" s="14">
        <v>3</v>
      </c>
      <c r="BY96" s="14">
        <v>2</v>
      </c>
      <c r="BZ96" s="14">
        <v>5</v>
      </c>
      <c r="CG96" s="14">
        <v>0</v>
      </c>
      <c r="CN96" s="14">
        <v>0</v>
      </c>
      <c r="CU96" s="14">
        <v>0</v>
      </c>
      <c r="DB96" s="14">
        <v>0</v>
      </c>
      <c r="DC96" s="14">
        <v>0</v>
      </c>
      <c r="DD96" s="14">
        <v>0</v>
      </c>
      <c r="DE96" s="14">
        <v>0</v>
      </c>
      <c r="DF96" s="14">
        <v>3</v>
      </c>
      <c r="DG96" s="14">
        <v>0</v>
      </c>
      <c r="DH96" s="14">
        <v>2</v>
      </c>
      <c r="DI96" s="14">
        <v>5</v>
      </c>
      <c r="DJ96" s="14" t="s">
        <v>598</v>
      </c>
      <c r="DK96" s="14" t="s">
        <v>598</v>
      </c>
      <c r="DL96" s="14" t="s">
        <v>598</v>
      </c>
      <c r="DM96" s="14" t="s">
        <v>598</v>
      </c>
      <c r="DN96" s="14" t="s">
        <v>598</v>
      </c>
      <c r="DO96" s="14" t="s">
        <v>598</v>
      </c>
      <c r="DP96" s="14" t="s">
        <v>598</v>
      </c>
      <c r="DQ96" s="14" t="s">
        <v>598</v>
      </c>
      <c r="DR96" s="14" t="s">
        <v>598</v>
      </c>
      <c r="DS96" s="14" t="s">
        <v>597</v>
      </c>
      <c r="DT96" s="14" t="s">
        <v>598</v>
      </c>
      <c r="DU96" s="14" t="s">
        <v>597</v>
      </c>
      <c r="DV96" s="14" t="s">
        <v>598</v>
      </c>
      <c r="DW96" s="14" t="s">
        <v>598</v>
      </c>
      <c r="DX96" s="14" t="s">
        <v>598</v>
      </c>
      <c r="DY96" s="14" t="s">
        <v>598</v>
      </c>
      <c r="DZ96" s="14" t="s">
        <v>598</v>
      </c>
      <c r="EA96" s="14" t="s">
        <v>598</v>
      </c>
      <c r="EB96" s="14" t="s">
        <v>598</v>
      </c>
      <c r="EC96" s="14" t="s">
        <v>598</v>
      </c>
      <c r="ED96" s="14" t="s">
        <v>598</v>
      </c>
      <c r="EE96" s="14" t="s">
        <v>598</v>
      </c>
      <c r="EF96" s="14" t="s">
        <v>598</v>
      </c>
      <c r="EG96" s="14" t="s">
        <v>598</v>
      </c>
      <c r="EH96" s="14" t="s">
        <v>598</v>
      </c>
      <c r="EI96" s="14" t="s">
        <v>598</v>
      </c>
      <c r="EJ96" s="14" t="s">
        <v>598</v>
      </c>
      <c r="EK96" s="14" t="s">
        <v>598</v>
      </c>
      <c r="EL96" s="14" t="s">
        <v>598</v>
      </c>
      <c r="EM96" s="14" t="s">
        <v>598</v>
      </c>
      <c r="EN96" s="14" t="s">
        <v>598</v>
      </c>
      <c r="EO96" s="14" t="s">
        <v>598</v>
      </c>
      <c r="EP96" s="14" t="s">
        <v>598</v>
      </c>
      <c r="EQ96" s="14" t="s">
        <v>598</v>
      </c>
      <c r="ER96" s="14" t="s">
        <v>598</v>
      </c>
      <c r="ES96" s="14" t="s">
        <v>598</v>
      </c>
      <c r="EW96" s="14">
        <v>133</v>
      </c>
      <c r="EY96" s="14">
        <v>73</v>
      </c>
      <c r="EZ96" s="14">
        <v>206</v>
      </c>
      <c r="FD96" s="14">
        <v>37</v>
      </c>
      <c r="FG96" s="14">
        <v>37</v>
      </c>
      <c r="FN96" s="14">
        <v>0</v>
      </c>
      <c r="FU96" s="14">
        <v>0</v>
      </c>
      <c r="GB96" s="14">
        <v>0</v>
      </c>
      <c r="GI96" s="14">
        <v>0</v>
      </c>
      <c r="GP96" s="14">
        <v>0</v>
      </c>
      <c r="GX96" s="14">
        <v>0</v>
      </c>
      <c r="GY96" s="14">
        <v>0</v>
      </c>
      <c r="GZ96" s="14">
        <v>0</v>
      </c>
      <c r="HA96" s="14">
        <v>0</v>
      </c>
      <c r="HB96" s="14">
        <v>170</v>
      </c>
      <c r="HC96" s="14">
        <v>0</v>
      </c>
      <c r="HD96" s="14">
        <v>73</v>
      </c>
      <c r="HE96" s="14">
        <v>243</v>
      </c>
      <c r="HL96" s="14">
        <v>0</v>
      </c>
      <c r="HP96" s="14">
        <v>170</v>
      </c>
      <c r="HR96" s="14">
        <v>73</v>
      </c>
      <c r="HS96" s="14">
        <v>243</v>
      </c>
      <c r="HZ96" s="14">
        <v>0</v>
      </c>
      <c r="IG96" s="14">
        <v>0</v>
      </c>
      <c r="IN96" s="14">
        <v>0</v>
      </c>
      <c r="IO96" s="14">
        <v>0</v>
      </c>
      <c r="IP96" s="14">
        <v>0</v>
      </c>
      <c r="IQ96" s="14">
        <v>0</v>
      </c>
      <c r="IR96" s="14">
        <v>170</v>
      </c>
      <c r="IS96" s="14">
        <v>0</v>
      </c>
      <c r="IT96" s="14">
        <v>73</v>
      </c>
      <c r="IU96" s="14">
        <v>243</v>
      </c>
      <c r="IV96" s="14">
        <v>50</v>
      </c>
      <c r="IX96" s="14">
        <v>50</v>
      </c>
      <c r="JA96" s="14">
        <v>1</v>
      </c>
      <c r="JB96" s="14">
        <v>1</v>
      </c>
      <c r="JC96" s="14">
        <v>1</v>
      </c>
      <c r="JD96" s="14" t="s">
        <v>600</v>
      </c>
      <c r="NG96" s="14" t="s">
        <v>601</v>
      </c>
      <c r="NK96" s="14">
        <v>136</v>
      </c>
      <c r="NM96" s="14">
        <v>73</v>
      </c>
      <c r="NN96" s="14">
        <v>209</v>
      </c>
      <c r="NR96" s="14">
        <v>34</v>
      </c>
      <c r="NU96" s="14">
        <v>34</v>
      </c>
      <c r="OB96" s="14">
        <v>0</v>
      </c>
      <c r="OI96" s="14">
        <v>0</v>
      </c>
      <c r="OP96" s="14">
        <v>0</v>
      </c>
      <c r="OW96" s="14">
        <v>0</v>
      </c>
      <c r="PD96" s="14">
        <v>0</v>
      </c>
      <c r="PL96" s="14">
        <v>0</v>
      </c>
      <c r="PM96" s="14">
        <v>0</v>
      </c>
      <c r="PN96" s="14">
        <v>0</v>
      </c>
      <c r="PO96" s="14">
        <v>0</v>
      </c>
      <c r="PP96" s="14">
        <v>170</v>
      </c>
      <c r="PQ96" s="14">
        <v>0</v>
      </c>
      <c r="PR96" s="14">
        <v>73</v>
      </c>
      <c r="PS96" s="14">
        <v>243</v>
      </c>
      <c r="PW96" s="14">
        <v>170</v>
      </c>
      <c r="PY96" s="14">
        <v>73</v>
      </c>
      <c r="PZ96" s="14">
        <v>243</v>
      </c>
      <c r="QG96" s="14">
        <v>0</v>
      </c>
      <c r="QN96" s="14">
        <v>0</v>
      </c>
      <c r="QU96" s="14">
        <v>0</v>
      </c>
      <c r="RB96" s="14">
        <v>0</v>
      </c>
      <c r="RC96" s="14">
        <v>0</v>
      </c>
      <c r="RD96" s="14">
        <v>0</v>
      </c>
      <c r="RE96" s="14">
        <v>0</v>
      </c>
      <c r="RF96" s="14">
        <v>170</v>
      </c>
      <c r="RG96" s="14">
        <v>0</v>
      </c>
      <c r="RH96" s="14">
        <v>73</v>
      </c>
      <c r="RI96" s="14">
        <v>243</v>
      </c>
      <c r="RJ96" s="14" t="s">
        <v>602</v>
      </c>
      <c r="VM96" s="14" t="s">
        <v>603</v>
      </c>
      <c r="ZP96" s="14" t="s">
        <v>604</v>
      </c>
      <c r="ADS96" s="14" t="s">
        <v>605</v>
      </c>
    </row>
    <row r="97" spans="1:799" x14ac:dyDescent="0.25">
      <c r="A97" s="14">
        <v>43</v>
      </c>
      <c r="B97" s="14" t="s">
        <v>889</v>
      </c>
      <c r="C97" s="16">
        <v>42780</v>
      </c>
      <c r="D97" s="14" t="s">
        <v>1089</v>
      </c>
      <c r="E97" s="14" t="s">
        <v>1090</v>
      </c>
      <c r="F97" s="14" t="str">
        <f>VLOOKUP(MID(H97,SEARCH("@",H97,1),LEN(H97)-SEARCH("@",H97,1)+1),[2]Sheet1!$D:$F,3,FALSE)</f>
        <v>M675</v>
      </c>
      <c r="G97" s="14" t="s">
        <v>807</v>
      </c>
      <c r="H97" s="14" t="s">
        <v>1091</v>
      </c>
      <c r="I97" s="14">
        <v>2036800041</v>
      </c>
      <c r="J97" s="14" t="s">
        <v>731</v>
      </c>
      <c r="K97" s="14" t="s">
        <v>732</v>
      </c>
      <c r="M97" s="14">
        <v>1</v>
      </c>
      <c r="T97" s="14">
        <v>172</v>
      </c>
      <c r="V97" s="14">
        <v>172</v>
      </c>
      <c r="AC97" s="14">
        <v>0</v>
      </c>
      <c r="AJ97" s="14">
        <v>0</v>
      </c>
      <c r="AM97" s="14">
        <v>88</v>
      </c>
      <c r="AO97" s="14">
        <v>38</v>
      </c>
      <c r="AQ97" s="14">
        <v>126</v>
      </c>
      <c r="AX97" s="14">
        <v>0</v>
      </c>
      <c r="BE97" s="14">
        <v>0</v>
      </c>
      <c r="BF97" s="14">
        <v>0</v>
      </c>
      <c r="BG97" s="14">
        <v>0</v>
      </c>
      <c r="BH97" s="14">
        <v>88</v>
      </c>
      <c r="BI97" s="14">
        <v>0</v>
      </c>
      <c r="BJ97" s="14">
        <v>210</v>
      </c>
      <c r="BK97" s="14">
        <v>0</v>
      </c>
      <c r="BL97" s="14">
        <v>298</v>
      </c>
      <c r="BQ97" s="14">
        <v>2</v>
      </c>
      <c r="BS97" s="14">
        <v>2</v>
      </c>
      <c r="BZ97" s="14">
        <v>0</v>
      </c>
      <c r="CG97" s="14">
        <v>0</v>
      </c>
      <c r="CJ97" s="14">
        <v>1</v>
      </c>
      <c r="CL97" s="14">
        <v>2</v>
      </c>
      <c r="CN97" s="14">
        <v>3</v>
      </c>
      <c r="CU97" s="14">
        <v>0</v>
      </c>
      <c r="DB97" s="14">
        <v>0</v>
      </c>
      <c r="DC97" s="14">
        <v>0</v>
      </c>
      <c r="DD97" s="14">
        <v>0</v>
      </c>
      <c r="DE97" s="14">
        <v>1</v>
      </c>
      <c r="DF97" s="14">
        <v>0</v>
      </c>
      <c r="DG97" s="14">
        <v>4</v>
      </c>
      <c r="DH97" s="14">
        <v>0</v>
      </c>
      <c r="DI97" s="14">
        <v>5</v>
      </c>
      <c r="DJ97" s="14" t="s">
        <v>598</v>
      </c>
      <c r="DK97" s="14" t="s">
        <v>598</v>
      </c>
      <c r="DL97" s="14" t="s">
        <v>598</v>
      </c>
      <c r="DM97" s="14" t="s">
        <v>598</v>
      </c>
      <c r="DN97" s="14" t="s">
        <v>597</v>
      </c>
      <c r="DO97" s="14" t="s">
        <v>598</v>
      </c>
      <c r="DP97" s="14" t="s">
        <v>598</v>
      </c>
      <c r="DQ97" s="14" t="s">
        <v>598</v>
      </c>
      <c r="DR97" s="14" t="s">
        <v>598</v>
      </c>
      <c r="DS97" s="14" t="s">
        <v>598</v>
      </c>
      <c r="DT97" s="14" t="s">
        <v>598</v>
      </c>
      <c r="DU97" s="14" t="s">
        <v>598</v>
      </c>
      <c r="DV97" s="14" t="s">
        <v>598</v>
      </c>
      <c r="DW97" s="14" t="s">
        <v>598</v>
      </c>
      <c r="DX97" s="14" t="s">
        <v>598</v>
      </c>
      <c r="DY97" s="14" t="s">
        <v>598</v>
      </c>
      <c r="DZ97" s="14" t="s">
        <v>598</v>
      </c>
      <c r="EA97" s="14" t="s">
        <v>598</v>
      </c>
      <c r="EB97" s="14" t="s">
        <v>598</v>
      </c>
      <c r="EC97" s="14" t="s">
        <v>598</v>
      </c>
      <c r="ED97" s="14" t="s">
        <v>597</v>
      </c>
      <c r="EE97" s="14" t="s">
        <v>598</v>
      </c>
      <c r="EF97" s="14" t="s">
        <v>597</v>
      </c>
      <c r="EG97" s="14" t="s">
        <v>598</v>
      </c>
      <c r="EH97" s="14" t="s">
        <v>598</v>
      </c>
      <c r="EI97" s="14" t="s">
        <v>598</v>
      </c>
      <c r="EJ97" s="14" t="s">
        <v>598</v>
      </c>
      <c r="EK97" s="14" t="s">
        <v>598</v>
      </c>
      <c r="EL97" s="14" t="s">
        <v>598</v>
      </c>
      <c r="EM97" s="14" t="s">
        <v>598</v>
      </c>
      <c r="EN97" s="14" t="s">
        <v>598</v>
      </c>
      <c r="EO97" s="14" t="s">
        <v>598</v>
      </c>
      <c r="EP97" s="14" t="s">
        <v>598</v>
      </c>
      <c r="EQ97" s="14" t="s">
        <v>598</v>
      </c>
      <c r="ER97" s="14" t="s">
        <v>598</v>
      </c>
      <c r="ES97" s="14" t="s">
        <v>598</v>
      </c>
      <c r="EX97" s="14">
        <v>210</v>
      </c>
      <c r="EZ97" s="14">
        <v>210</v>
      </c>
      <c r="FG97" s="14">
        <v>0</v>
      </c>
      <c r="FN97" s="14">
        <v>0</v>
      </c>
      <c r="FQ97" s="14">
        <v>88</v>
      </c>
      <c r="FU97" s="14">
        <v>88</v>
      </c>
      <c r="GB97" s="14">
        <v>0</v>
      </c>
      <c r="GI97" s="14">
        <v>0</v>
      </c>
      <c r="GP97" s="14">
        <v>0</v>
      </c>
      <c r="GX97" s="14">
        <v>0</v>
      </c>
      <c r="GY97" s="14">
        <v>0</v>
      </c>
      <c r="GZ97" s="14">
        <v>0</v>
      </c>
      <c r="HA97" s="14">
        <v>88</v>
      </c>
      <c r="HB97" s="14">
        <v>0</v>
      </c>
      <c r="HC97" s="14">
        <v>210</v>
      </c>
      <c r="HD97" s="14">
        <v>0</v>
      </c>
      <c r="HE97" s="14">
        <v>298</v>
      </c>
      <c r="HJ97" s="14">
        <v>67</v>
      </c>
      <c r="HL97" s="14">
        <v>67</v>
      </c>
      <c r="HO97" s="14">
        <v>88</v>
      </c>
      <c r="HQ97" s="14">
        <v>143</v>
      </c>
      <c r="HS97" s="14">
        <v>231</v>
      </c>
      <c r="HZ97" s="14">
        <v>0</v>
      </c>
      <c r="IG97" s="14">
        <v>0</v>
      </c>
      <c r="IN97" s="14">
        <v>0</v>
      </c>
      <c r="IO97" s="14">
        <v>0</v>
      </c>
      <c r="IP97" s="14">
        <v>0</v>
      </c>
      <c r="IQ97" s="14">
        <v>88</v>
      </c>
      <c r="IR97" s="14">
        <v>0</v>
      </c>
      <c r="IS97" s="14">
        <v>210</v>
      </c>
      <c r="IT97" s="14">
        <v>0</v>
      </c>
      <c r="IU97" s="14">
        <v>298</v>
      </c>
      <c r="IX97" s="14">
        <v>70</v>
      </c>
      <c r="IY97" s="14" t="s">
        <v>1092</v>
      </c>
      <c r="IZ97" s="14">
        <v>30</v>
      </c>
      <c r="JA97" s="14">
        <v>1</v>
      </c>
      <c r="JB97" s="14">
        <v>3</v>
      </c>
      <c r="JC97" s="14">
        <v>1</v>
      </c>
      <c r="JD97" s="14" t="s">
        <v>600</v>
      </c>
      <c r="JI97" s="14">
        <v>172</v>
      </c>
      <c r="JK97" s="14">
        <v>172</v>
      </c>
      <c r="JR97" s="14">
        <v>0</v>
      </c>
      <c r="JY97" s="14">
        <v>0</v>
      </c>
      <c r="KF97" s="14">
        <v>0</v>
      </c>
      <c r="KM97" s="14">
        <v>0</v>
      </c>
      <c r="KT97" s="14">
        <v>0</v>
      </c>
      <c r="LA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0</v>
      </c>
      <c r="LN97" s="14">
        <v>172</v>
      </c>
      <c r="LO97" s="14">
        <v>0</v>
      </c>
      <c r="LP97" s="14">
        <v>172</v>
      </c>
      <c r="LU97" s="14">
        <v>143</v>
      </c>
      <c r="LW97" s="14">
        <v>143</v>
      </c>
      <c r="MB97" s="14">
        <v>29</v>
      </c>
      <c r="MD97" s="14">
        <v>29</v>
      </c>
      <c r="MK97" s="14">
        <v>0</v>
      </c>
      <c r="MR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0</v>
      </c>
      <c r="ND97" s="14">
        <v>172</v>
      </c>
      <c r="NE97" s="14">
        <v>0</v>
      </c>
      <c r="NF97" s="14">
        <v>172</v>
      </c>
      <c r="NG97" s="14" t="s">
        <v>601</v>
      </c>
      <c r="RJ97" s="14" t="s">
        <v>602</v>
      </c>
      <c r="VM97" s="14" t="s">
        <v>603</v>
      </c>
      <c r="VR97" s="14">
        <v>38</v>
      </c>
      <c r="VT97" s="14">
        <v>38</v>
      </c>
      <c r="WA97" s="14">
        <v>0</v>
      </c>
      <c r="WH97" s="14">
        <v>0</v>
      </c>
      <c r="WK97" s="14">
        <v>88</v>
      </c>
      <c r="WO97" s="14">
        <v>88</v>
      </c>
      <c r="WV97" s="14">
        <v>0</v>
      </c>
      <c r="XC97" s="14">
        <v>0</v>
      </c>
      <c r="XJ97" s="14">
        <v>0</v>
      </c>
      <c r="XR97" s="14">
        <v>0</v>
      </c>
      <c r="XS97" s="14">
        <v>0</v>
      </c>
      <c r="XT97" s="14">
        <v>0</v>
      </c>
      <c r="XU97" s="14">
        <v>88</v>
      </c>
      <c r="XV97" s="14">
        <v>0</v>
      </c>
      <c r="XW97" s="14">
        <v>38</v>
      </c>
      <c r="XX97" s="14">
        <v>0</v>
      </c>
      <c r="XY97" s="14">
        <v>126</v>
      </c>
      <c r="YB97" s="14">
        <v>88</v>
      </c>
      <c r="YF97" s="14">
        <v>88</v>
      </c>
      <c r="YK97" s="14">
        <v>38</v>
      </c>
      <c r="YM97" s="14">
        <v>38</v>
      </c>
      <c r="YT97" s="14">
        <v>0</v>
      </c>
      <c r="ZA97" s="14">
        <v>0</v>
      </c>
      <c r="ZH97" s="14">
        <v>0</v>
      </c>
      <c r="ZI97" s="14">
        <v>0</v>
      </c>
      <c r="ZJ97" s="14">
        <v>0</v>
      </c>
      <c r="ZK97" s="14">
        <v>88</v>
      </c>
      <c r="ZL97" s="14">
        <v>0</v>
      </c>
      <c r="ZM97" s="14">
        <v>38</v>
      </c>
      <c r="ZN97" s="14">
        <v>0</v>
      </c>
      <c r="ZO97" s="14">
        <v>126</v>
      </c>
      <c r="ZP97" s="14" t="s">
        <v>604</v>
      </c>
      <c r="ADS97" s="14" t="s">
        <v>605</v>
      </c>
    </row>
    <row r="98" spans="1:799" x14ac:dyDescent="0.25">
      <c r="A98" s="14">
        <v>90</v>
      </c>
      <c r="B98" s="14" t="s">
        <v>889</v>
      </c>
      <c r="C98" s="16">
        <v>42748.421527777777</v>
      </c>
      <c r="D98" s="14" t="s">
        <v>1093</v>
      </c>
      <c r="E98" s="14" t="s">
        <v>1094</v>
      </c>
      <c r="F98" s="14" t="str">
        <f>VLOOKUP(MID(H98,SEARCH("@",H98,1),LEN(H98)-SEARCH("@",H98,1)+1),[2]Sheet1!$D:$F,3,FALSE)</f>
        <v>M160</v>
      </c>
      <c r="G98" s="14" t="s">
        <v>948</v>
      </c>
      <c r="H98" s="14" t="s">
        <v>1095</v>
      </c>
      <c r="I98" s="14">
        <v>4520606020</v>
      </c>
      <c r="J98" s="14" t="s">
        <v>900</v>
      </c>
      <c r="K98" s="14" t="s">
        <v>732</v>
      </c>
      <c r="M98" s="14">
        <v>1</v>
      </c>
      <c r="V98" s="14">
        <v>0</v>
      </c>
      <c r="W98" s="14">
        <v>15</v>
      </c>
      <c r="AC98" s="14">
        <v>15</v>
      </c>
      <c r="AJ98" s="14">
        <v>0</v>
      </c>
      <c r="AQ98" s="14">
        <v>0</v>
      </c>
      <c r="AX98" s="14">
        <v>0</v>
      </c>
      <c r="BE98" s="14">
        <v>0</v>
      </c>
      <c r="BF98" s="14">
        <v>15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15</v>
      </c>
      <c r="BS98" s="14">
        <v>0</v>
      </c>
      <c r="BT98" s="14">
        <v>1</v>
      </c>
      <c r="BZ98" s="14">
        <v>1</v>
      </c>
      <c r="CG98" s="14">
        <v>0</v>
      </c>
      <c r="CN98" s="14">
        <v>0</v>
      </c>
      <c r="CU98" s="14">
        <v>0</v>
      </c>
      <c r="DB98" s="14">
        <v>0</v>
      </c>
      <c r="DC98" s="14">
        <v>1</v>
      </c>
      <c r="DD98" s="14">
        <v>0</v>
      </c>
      <c r="DE98" s="14">
        <v>0</v>
      </c>
      <c r="DF98" s="14">
        <v>0</v>
      </c>
      <c r="DG98" s="14">
        <v>0</v>
      </c>
      <c r="DH98" s="14">
        <v>0</v>
      </c>
      <c r="DI98" s="14">
        <v>1</v>
      </c>
      <c r="DJ98" s="14" t="s">
        <v>598</v>
      </c>
      <c r="DK98" s="14" t="s">
        <v>598</v>
      </c>
      <c r="DL98" s="14" t="s">
        <v>598</v>
      </c>
      <c r="DM98" s="14" t="s">
        <v>598</v>
      </c>
      <c r="DN98" s="14" t="s">
        <v>598</v>
      </c>
      <c r="DO98" s="14" t="s">
        <v>598</v>
      </c>
      <c r="DP98" s="14" t="s">
        <v>597</v>
      </c>
      <c r="DQ98" s="14" t="s">
        <v>598</v>
      </c>
      <c r="DR98" s="14" t="s">
        <v>598</v>
      </c>
      <c r="DS98" s="14" t="s">
        <v>598</v>
      </c>
      <c r="DT98" s="14" t="s">
        <v>598</v>
      </c>
      <c r="DU98" s="14" t="s">
        <v>598</v>
      </c>
      <c r="DV98" s="14" t="s">
        <v>598</v>
      </c>
      <c r="DW98" s="14" t="s">
        <v>598</v>
      </c>
      <c r="DX98" s="14" t="s">
        <v>598</v>
      </c>
      <c r="DY98" s="14" t="s">
        <v>598</v>
      </c>
      <c r="DZ98" s="14" t="s">
        <v>598</v>
      </c>
      <c r="EA98" s="14" t="s">
        <v>598</v>
      </c>
      <c r="EB98" s="14" t="s">
        <v>598</v>
      </c>
      <c r="EC98" s="14" t="s">
        <v>598</v>
      </c>
      <c r="ED98" s="14" t="s">
        <v>598</v>
      </c>
      <c r="EE98" s="14" t="s">
        <v>598</v>
      </c>
      <c r="EF98" s="14" t="s">
        <v>598</v>
      </c>
      <c r="EG98" s="14" t="s">
        <v>598</v>
      </c>
      <c r="EH98" s="14" t="s">
        <v>598</v>
      </c>
      <c r="EI98" s="14" t="s">
        <v>598</v>
      </c>
      <c r="EJ98" s="14" t="s">
        <v>598</v>
      </c>
      <c r="EK98" s="14" t="s">
        <v>598</v>
      </c>
      <c r="EL98" s="14" t="s">
        <v>598</v>
      </c>
      <c r="EM98" s="14" t="s">
        <v>598</v>
      </c>
      <c r="EN98" s="14" t="s">
        <v>598</v>
      </c>
      <c r="EO98" s="14" t="s">
        <v>598</v>
      </c>
      <c r="EP98" s="14" t="s">
        <v>598</v>
      </c>
      <c r="EQ98" s="14" t="s">
        <v>598</v>
      </c>
      <c r="ER98" s="14" t="s">
        <v>598</v>
      </c>
      <c r="ES98" s="14" t="s">
        <v>598</v>
      </c>
      <c r="ET98" s="14">
        <v>15</v>
      </c>
      <c r="EZ98" s="14">
        <v>15</v>
      </c>
      <c r="FG98" s="14">
        <v>0</v>
      </c>
      <c r="FN98" s="14">
        <v>0</v>
      </c>
      <c r="FU98" s="14">
        <v>0</v>
      </c>
      <c r="GB98" s="14">
        <v>0</v>
      </c>
      <c r="GI98" s="14">
        <v>0</v>
      </c>
      <c r="GP98" s="14">
        <v>0</v>
      </c>
      <c r="GX98" s="14">
        <v>0</v>
      </c>
      <c r="GY98" s="14">
        <v>15</v>
      </c>
      <c r="GZ98" s="14">
        <v>0</v>
      </c>
      <c r="HA98" s="14">
        <v>0</v>
      </c>
      <c r="HB98" s="14">
        <v>0</v>
      </c>
      <c r="HC98" s="14">
        <v>0</v>
      </c>
      <c r="HD98" s="14">
        <v>0</v>
      </c>
      <c r="HE98" s="14">
        <v>15</v>
      </c>
      <c r="HL98" s="14">
        <v>0</v>
      </c>
      <c r="HM98" s="14">
        <v>15</v>
      </c>
      <c r="HS98" s="14">
        <v>15</v>
      </c>
      <c r="HZ98" s="14">
        <v>0</v>
      </c>
      <c r="IG98" s="14">
        <v>0</v>
      </c>
      <c r="IN98" s="14">
        <v>0</v>
      </c>
      <c r="IO98" s="14">
        <v>15</v>
      </c>
      <c r="IP98" s="14">
        <v>0</v>
      </c>
      <c r="IQ98" s="14">
        <v>0</v>
      </c>
      <c r="IR98" s="14">
        <v>0</v>
      </c>
      <c r="IS98" s="14">
        <v>0</v>
      </c>
      <c r="IT98" s="14">
        <v>0</v>
      </c>
      <c r="IU98" s="14">
        <v>15</v>
      </c>
      <c r="IX98" s="14">
        <v>100</v>
      </c>
      <c r="JA98" s="14">
        <v>1</v>
      </c>
      <c r="JB98" s="14">
        <v>2</v>
      </c>
      <c r="JC98" s="14">
        <v>1</v>
      </c>
      <c r="JD98" s="14" t="s">
        <v>600</v>
      </c>
      <c r="NG98" s="14" t="s">
        <v>601</v>
      </c>
      <c r="NH98" s="14">
        <v>15</v>
      </c>
      <c r="NN98" s="14">
        <v>15</v>
      </c>
      <c r="NU98" s="14">
        <v>0</v>
      </c>
      <c r="OB98" s="14">
        <v>0</v>
      </c>
      <c r="OI98" s="14">
        <v>0</v>
      </c>
      <c r="OP98" s="14">
        <v>0</v>
      </c>
      <c r="OW98" s="14">
        <v>0</v>
      </c>
      <c r="PD98" s="14">
        <v>0</v>
      </c>
      <c r="PL98" s="14">
        <v>0</v>
      </c>
      <c r="PM98" s="14">
        <v>15</v>
      </c>
      <c r="PN98" s="14">
        <v>0</v>
      </c>
      <c r="PO98" s="14">
        <v>0</v>
      </c>
      <c r="PP98" s="14">
        <v>0</v>
      </c>
      <c r="PQ98" s="14">
        <v>0</v>
      </c>
      <c r="PR98" s="14">
        <v>0</v>
      </c>
      <c r="PS98" s="14">
        <v>15</v>
      </c>
      <c r="PT98" s="14">
        <v>15</v>
      </c>
      <c r="PZ98" s="14">
        <v>15</v>
      </c>
      <c r="QG98" s="14">
        <v>0</v>
      </c>
      <c r="QN98" s="14">
        <v>0</v>
      </c>
      <c r="QU98" s="14">
        <v>0</v>
      </c>
      <c r="RB98" s="14">
        <v>0</v>
      </c>
      <c r="RC98" s="14">
        <v>15</v>
      </c>
      <c r="RD98" s="14">
        <v>0</v>
      </c>
      <c r="RE98" s="14">
        <v>0</v>
      </c>
      <c r="RF98" s="14">
        <v>0</v>
      </c>
      <c r="RG98" s="14">
        <v>0</v>
      </c>
      <c r="RH98" s="14">
        <v>0</v>
      </c>
      <c r="RI98" s="14">
        <v>15</v>
      </c>
      <c r="RJ98" s="14" t="s">
        <v>602</v>
      </c>
      <c r="VM98" s="14" t="s">
        <v>603</v>
      </c>
      <c r="ZP98" s="14" t="s">
        <v>604</v>
      </c>
      <c r="ADS98" s="14" t="s">
        <v>605</v>
      </c>
    </row>
    <row r="99" spans="1:799" x14ac:dyDescent="0.25">
      <c r="A99" s="14">
        <v>146</v>
      </c>
      <c r="B99" s="14" t="s">
        <v>889</v>
      </c>
      <c r="C99" s="16">
        <v>42766.466666666667</v>
      </c>
      <c r="D99" s="14" t="s">
        <v>1096</v>
      </c>
      <c r="E99" s="14" t="s">
        <v>1097</v>
      </c>
      <c r="F99" s="14" t="str">
        <f>VLOOKUP(MID(H99,SEARCH("@",H99,1),LEN(H99)-SEARCH("@",H99,1)+1),[2]Sheet1!$D:$F,3,FALSE)</f>
        <v>M720</v>
      </c>
      <c r="G99" s="14" t="s">
        <v>1011</v>
      </c>
      <c r="H99" s="14" t="s">
        <v>1098</v>
      </c>
      <c r="I99" s="14">
        <v>31202351703</v>
      </c>
      <c r="J99" s="14" t="s">
        <v>611</v>
      </c>
      <c r="K99" s="14" t="s">
        <v>596</v>
      </c>
      <c r="M99" s="14">
        <v>1</v>
      </c>
      <c r="V99" s="14">
        <v>0</v>
      </c>
      <c r="AC99" s="14">
        <v>0</v>
      </c>
      <c r="AD99" s="14">
        <v>1100</v>
      </c>
      <c r="AE99" s="14">
        <v>400</v>
      </c>
      <c r="AF99" s="14">
        <v>0</v>
      </c>
      <c r="AG99" s="14">
        <v>0</v>
      </c>
      <c r="AH99" s="14">
        <v>0</v>
      </c>
      <c r="AI99" s="14">
        <v>800</v>
      </c>
      <c r="AJ99" s="14">
        <v>2300</v>
      </c>
      <c r="AQ99" s="14">
        <v>0</v>
      </c>
      <c r="AX99" s="14">
        <v>0</v>
      </c>
      <c r="BE99" s="14">
        <v>0</v>
      </c>
      <c r="BF99" s="14">
        <v>1100</v>
      </c>
      <c r="BG99" s="14">
        <v>400</v>
      </c>
      <c r="BH99" s="14">
        <v>0</v>
      </c>
      <c r="BI99" s="14">
        <v>0</v>
      </c>
      <c r="BJ99" s="14">
        <v>0</v>
      </c>
      <c r="BK99" s="14">
        <v>800</v>
      </c>
      <c r="BL99" s="14">
        <v>2300</v>
      </c>
      <c r="BS99" s="14">
        <v>0</v>
      </c>
      <c r="BZ99" s="14">
        <v>0</v>
      </c>
      <c r="CA99" s="14">
        <v>2</v>
      </c>
      <c r="CB99" s="14">
        <v>2</v>
      </c>
      <c r="CF99" s="14">
        <v>2</v>
      </c>
      <c r="CG99" s="14">
        <v>6</v>
      </c>
      <c r="CN99" s="14">
        <v>0</v>
      </c>
      <c r="CU99" s="14">
        <v>0</v>
      </c>
      <c r="DB99" s="14">
        <v>0</v>
      </c>
      <c r="DC99" s="14">
        <v>2</v>
      </c>
      <c r="DD99" s="14">
        <v>2</v>
      </c>
      <c r="DE99" s="14">
        <v>0</v>
      </c>
      <c r="DF99" s="14">
        <v>0</v>
      </c>
      <c r="DG99" s="14">
        <v>0</v>
      </c>
      <c r="DH99" s="14">
        <v>2</v>
      </c>
      <c r="DI99" s="14">
        <v>6</v>
      </c>
      <c r="DJ99" s="14" t="s">
        <v>598</v>
      </c>
      <c r="DK99" s="14" t="s">
        <v>598</v>
      </c>
      <c r="DL99" s="14" t="s">
        <v>598</v>
      </c>
      <c r="DM99" s="14" t="s">
        <v>598</v>
      </c>
      <c r="DN99" s="14" t="s">
        <v>598</v>
      </c>
      <c r="DO99" s="14" t="s">
        <v>598</v>
      </c>
      <c r="DP99" s="14" t="s">
        <v>598</v>
      </c>
      <c r="DQ99" s="14" t="s">
        <v>598</v>
      </c>
      <c r="DR99" s="14" t="s">
        <v>598</v>
      </c>
      <c r="DS99" s="14" t="s">
        <v>598</v>
      </c>
      <c r="DT99" s="14" t="s">
        <v>598</v>
      </c>
      <c r="DU99" s="14" t="s">
        <v>598</v>
      </c>
      <c r="DV99" s="14" t="s">
        <v>597</v>
      </c>
      <c r="DW99" s="14" t="s">
        <v>597</v>
      </c>
      <c r="DX99" s="14" t="s">
        <v>598</v>
      </c>
      <c r="DY99" s="14" t="s">
        <v>598</v>
      </c>
      <c r="DZ99" s="14" t="s">
        <v>598</v>
      </c>
      <c r="EA99" s="14" t="s">
        <v>597</v>
      </c>
      <c r="EB99" s="14" t="s">
        <v>598</v>
      </c>
      <c r="EC99" s="14" t="s">
        <v>598</v>
      </c>
      <c r="ED99" s="14" t="s">
        <v>598</v>
      </c>
      <c r="EE99" s="14" t="s">
        <v>598</v>
      </c>
      <c r="EF99" s="14" t="s">
        <v>598</v>
      </c>
      <c r="EG99" s="14" t="s">
        <v>598</v>
      </c>
      <c r="EH99" s="14" t="s">
        <v>598</v>
      </c>
      <c r="EI99" s="14" t="s">
        <v>598</v>
      </c>
      <c r="EJ99" s="14" t="s">
        <v>598</v>
      </c>
      <c r="EK99" s="14" t="s">
        <v>598</v>
      </c>
      <c r="EL99" s="14" t="s">
        <v>598</v>
      </c>
      <c r="EM99" s="14" t="s">
        <v>598</v>
      </c>
      <c r="EN99" s="14" t="s">
        <v>598</v>
      </c>
      <c r="EO99" s="14" t="s">
        <v>598</v>
      </c>
      <c r="EP99" s="14" t="s">
        <v>598</v>
      </c>
      <c r="EQ99" s="14" t="s">
        <v>598</v>
      </c>
      <c r="ER99" s="14" t="s">
        <v>598</v>
      </c>
      <c r="ES99" s="14" t="s">
        <v>598</v>
      </c>
      <c r="EZ99" s="14">
        <v>0</v>
      </c>
      <c r="FG99" s="14">
        <v>0</v>
      </c>
      <c r="FN99" s="14">
        <v>0</v>
      </c>
      <c r="FU99" s="14">
        <v>0</v>
      </c>
      <c r="GB99" s="14">
        <v>0</v>
      </c>
      <c r="GI99" s="14">
        <v>0</v>
      </c>
      <c r="GP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14">
        <v>0</v>
      </c>
      <c r="HE99" s="14">
        <v>0</v>
      </c>
      <c r="HF99" s="14">
        <v>300</v>
      </c>
      <c r="HL99" s="14">
        <v>300</v>
      </c>
      <c r="HM99" s="14">
        <v>50</v>
      </c>
      <c r="HN99" s="14">
        <v>300</v>
      </c>
      <c r="HS99" s="14">
        <v>350</v>
      </c>
      <c r="HT99" s="14">
        <v>850</v>
      </c>
      <c r="HY99" s="14">
        <v>800</v>
      </c>
      <c r="HZ99" s="14">
        <v>1650</v>
      </c>
      <c r="IG99" s="14">
        <v>0</v>
      </c>
      <c r="IN99" s="14">
        <v>0</v>
      </c>
      <c r="IO99" s="14">
        <v>1200</v>
      </c>
      <c r="IP99" s="14">
        <v>300</v>
      </c>
      <c r="IQ99" s="14">
        <v>0</v>
      </c>
      <c r="IR99" s="14">
        <v>0</v>
      </c>
      <c r="IS99" s="14">
        <v>0</v>
      </c>
      <c r="IT99" s="14">
        <v>800</v>
      </c>
      <c r="IU99" s="14">
        <v>2300</v>
      </c>
      <c r="IV99" s="14">
        <v>2</v>
      </c>
      <c r="IX99" s="14">
        <v>98</v>
      </c>
      <c r="JA99" s="14">
        <v>3</v>
      </c>
      <c r="JB99" s="14">
        <v>2</v>
      </c>
      <c r="JC99" s="14">
        <v>2</v>
      </c>
      <c r="JD99" s="14" t="s">
        <v>600</v>
      </c>
      <c r="NG99" s="14" t="s">
        <v>601</v>
      </c>
      <c r="RJ99" s="14" t="s">
        <v>602</v>
      </c>
      <c r="VM99" s="14" t="s">
        <v>603</v>
      </c>
      <c r="ZP99" s="14" t="s">
        <v>604</v>
      </c>
      <c r="ADS99" s="14" t="s">
        <v>605</v>
      </c>
    </row>
    <row r="100" spans="1:799" x14ac:dyDescent="0.25">
      <c r="A100" s="14">
        <v>54</v>
      </c>
      <c r="B100" s="14" t="s">
        <v>889</v>
      </c>
      <c r="C100" s="16">
        <v>42780</v>
      </c>
      <c r="D100" s="14" t="s">
        <v>1099</v>
      </c>
      <c r="E100" s="14" t="s">
        <v>1099</v>
      </c>
      <c r="F100" s="14" t="str">
        <f>VLOOKUP(MID(H100,SEARCH("@",H100,1),LEN(H100)-SEARCH("@",H100,1)+1),[2]Sheet1!$D:$F,3,FALSE)</f>
        <v>M085</v>
      </c>
      <c r="G100" s="14" t="s">
        <v>1100</v>
      </c>
      <c r="H100" s="14" t="s">
        <v>1101</v>
      </c>
      <c r="I100" s="14" t="s">
        <v>1102</v>
      </c>
      <c r="J100" s="14" t="s">
        <v>894</v>
      </c>
      <c r="K100" s="14" t="s">
        <v>732</v>
      </c>
      <c r="M100" s="14">
        <v>1</v>
      </c>
      <c r="V100" s="14">
        <v>0</v>
      </c>
      <c r="AC100" s="14">
        <v>0</v>
      </c>
      <c r="AJ100" s="14">
        <v>0</v>
      </c>
      <c r="AK100" s="14">
        <v>4033</v>
      </c>
      <c r="AL100" s="14">
        <v>714</v>
      </c>
      <c r="AQ100" s="14">
        <v>4747</v>
      </c>
      <c r="AX100" s="14">
        <v>0</v>
      </c>
      <c r="BE100" s="14">
        <v>0</v>
      </c>
      <c r="BF100" s="14">
        <v>4033</v>
      </c>
      <c r="BG100" s="14">
        <v>714</v>
      </c>
      <c r="BH100" s="14">
        <v>0</v>
      </c>
      <c r="BI100" s="14">
        <v>0</v>
      </c>
      <c r="BJ100" s="14">
        <v>0</v>
      </c>
      <c r="BK100" s="14">
        <v>0</v>
      </c>
      <c r="BL100" s="14">
        <v>4747</v>
      </c>
      <c r="BS100" s="14">
        <v>0</v>
      </c>
      <c r="BZ100" s="14">
        <v>0</v>
      </c>
      <c r="CG100" s="14">
        <v>0</v>
      </c>
      <c r="CH100" s="14">
        <v>12</v>
      </c>
      <c r="CI100" s="14">
        <v>4</v>
      </c>
      <c r="CN100" s="14">
        <v>16</v>
      </c>
      <c r="CU100" s="14">
        <v>0</v>
      </c>
      <c r="DB100" s="14">
        <v>0</v>
      </c>
      <c r="DC100" s="14">
        <v>12</v>
      </c>
      <c r="DD100" s="14">
        <v>4</v>
      </c>
      <c r="DE100" s="14">
        <v>0</v>
      </c>
      <c r="DF100" s="14">
        <v>0</v>
      </c>
      <c r="DG100" s="14">
        <v>0</v>
      </c>
      <c r="DH100" s="14">
        <v>0</v>
      </c>
      <c r="DI100" s="14">
        <v>16</v>
      </c>
      <c r="DJ100" s="14" t="s">
        <v>598</v>
      </c>
      <c r="DK100" s="14" t="s">
        <v>598</v>
      </c>
      <c r="DL100" s="14" t="s">
        <v>598</v>
      </c>
      <c r="DM100" s="14" t="s">
        <v>598</v>
      </c>
      <c r="DN100" s="14" t="s">
        <v>598</v>
      </c>
      <c r="DO100" s="14" t="s">
        <v>598</v>
      </c>
      <c r="DP100" s="14" t="s">
        <v>598</v>
      </c>
      <c r="DQ100" s="14" t="s">
        <v>598</v>
      </c>
      <c r="DR100" s="14" t="s">
        <v>598</v>
      </c>
      <c r="DS100" s="14" t="s">
        <v>598</v>
      </c>
      <c r="DT100" s="14" t="s">
        <v>598</v>
      </c>
      <c r="DU100" s="14" t="s">
        <v>598</v>
      </c>
      <c r="DV100" s="14" t="s">
        <v>598</v>
      </c>
      <c r="DW100" s="14" t="s">
        <v>598</v>
      </c>
      <c r="DX100" s="14" t="s">
        <v>598</v>
      </c>
      <c r="DY100" s="14" t="s">
        <v>598</v>
      </c>
      <c r="DZ100" s="14" t="s">
        <v>598</v>
      </c>
      <c r="EA100" s="14" t="s">
        <v>598</v>
      </c>
      <c r="EB100" s="14" t="s">
        <v>597</v>
      </c>
      <c r="EC100" s="14" t="s">
        <v>597</v>
      </c>
      <c r="ED100" s="14" t="s">
        <v>598</v>
      </c>
      <c r="EE100" s="14" t="s">
        <v>598</v>
      </c>
      <c r="EF100" s="14" t="s">
        <v>598</v>
      </c>
      <c r="EG100" s="14" t="s">
        <v>598</v>
      </c>
      <c r="EH100" s="14" t="s">
        <v>598</v>
      </c>
      <c r="EI100" s="14" t="s">
        <v>598</v>
      </c>
      <c r="EJ100" s="14" t="s">
        <v>598</v>
      </c>
      <c r="EK100" s="14" t="s">
        <v>598</v>
      </c>
      <c r="EL100" s="14" t="s">
        <v>598</v>
      </c>
      <c r="EM100" s="14" t="s">
        <v>598</v>
      </c>
      <c r="EN100" s="14" t="s">
        <v>598</v>
      </c>
      <c r="EO100" s="14" t="s">
        <v>598</v>
      </c>
      <c r="EP100" s="14" t="s">
        <v>598</v>
      </c>
      <c r="EQ100" s="14" t="s">
        <v>598</v>
      </c>
      <c r="ER100" s="14" t="s">
        <v>598</v>
      </c>
      <c r="ES100" s="14" t="s">
        <v>598</v>
      </c>
      <c r="ET100" s="14">
        <v>1488</v>
      </c>
      <c r="EU100" s="14">
        <v>215</v>
      </c>
      <c r="EZ100" s="14">
        <v>1703</v>
      </c>
      <c r="FA100" s="14">
        <v>110</v>
      </c>
      <c r="FG100" s="14">
        <v>110</v>
      </c>
      <c r="FN100" s="14">
        <v>0</v>
      </c>
      <c r="FO100" s="14">
        <v>451</v>
      </c>
      <c r="FP100" s="14">
        <v>194</v>
      </c>
      <c r="FU100" s="14">
        <v>645</v>
      </c>
      <c r="FV100" s="14">
        <v>158</v>
      </c>
      <c r="GB100" s="14">
        <v>158</v>
      </c>
      <c r="GI100" s="14">
        <v>0</v>
      </c>
      <c r="GP100" s="14">
        <v>0</v>
      </c>
      <c r="GQ100" s="14" t="s">
        <v>1103</v>
      </c>
      <c r="GR100" s="14">
        <v>1826</v>
      </c>
      <c r="GS100" s="14">
        <v>305</v>
      </c>
      <c r="GX100" s="14">
        <v>2131</v>
      </c>
      <c r="GY100" s="14">
        <v>4033</v>
      </c>
      <c r="GZ100" s="14">
        <v>714</v>
      </c>
      <c r="HA100" s="14">
        <v>0</v>
      </c>
      <c r="HB100" s="14">
        <v>0</v>
      </c>
      <c r="HC100" s="14">
        <v>0</v>
      </c>
      <c r="HD100" s="14">
        <v>0</v>
      </c>
      <c r="HE100" s="14">
        <v>4747</v>
      </c>
      <c r="HL100" s="14">
        <v>0</v>
      </c>
      <c r="HM100" s="14">
        <v>3223</v>
      </c>
      <c r="HN100" s="14">
        <v>305</v>
      </c>
      <c r="HS100" s="14">
        <v>3528</v>
      </c>
      <c r="HT100" s="14">
        <v>810</v>
      </c>
      <c r="HU100" s="14">
        <v>409</v>
      </c>
      <c r="HZ100" s="14">
        <v>1219</v>
      </c>
      <c r="IG100" s="14">
        <v>0</v>
      </c>
      <c r="IN100" s="14">
        <v>0</v>
      </c>
      <c r="IO100" s="14">
        <v>4033</v>
      </c>
      <c r="IP100" s="14">
        <v>714</v>
      </c>
      <c r="IQ100" s="14">
        <v>0</v>
      </c>
      <c r="IR100" s="14">
        <v>0</v>
      </c>
      <c r="IS100" s="14">
        <v>0</v>
      </c>
      <c r="IT100" s="14">
        <v>0</v>
      </c>
      <c r="IU100" s="14">
        <v>4747</v>
      </c>
      <c r="IY100" s="14" t="s">
        <v>1104</v>
      </c>
      <c r="IZ100" s="14">
        <v>100</v>
      </c>
      <c r="JA100" s="14">
        <v>1</v>
      </c>
      <c r="JB100" s="14">
        <v>3</v>
      </c>
      <c r="JC100" s="14">
        <v>1</v>
      </c>
      <c r="JD100" s="14" t="s">
        <v>600</v>
      </c>
      <c r="NG100" s="14" t="s">
        <v>601</v>
      </c>
      <c r="RJ100" s="14" t="s">
        <v>602</v>
      </c>
      <c r="VM100" s="14" t="s">
        <v>603</v>
      </c>
      <c r="VN100" s="14">
        <v>1488</v>
      </c>
      <c r="VO100" s="14">
        <v>215</v>
      </c>
      <c r="VT100" s="14">
        <v>1703</v>
      </c>
      <c r="VU100" s="14">
        <v>110</v>
      </c>
      <c r="WA100" s="14">
        <v>110</v>
      </c>
      <c r="WH100" s="14">
        <v>0</v>
      </c>
      <c r="WI100" s="14">
        <v>451</v>
      </c>
      <c r="WJ100" s="14">
        <v>194</v>
      </c>
      <c r="WO100" s="14">
        <v>645</v>
      </c>
      <c r="WP100" s="14">
        <v>158</v>
      </c>
      <c r="WV100" s="14">
        <v>158</v>
      </c>
      <c r="XC100" s="14">
        <v>0</v>
      </c>
      <c r="XJ100" s="14">
        <v>0</v>
      </c>
      <c r="XK100" s="14" t="s">
        <v>1103</v>
      </c>
      <c r="XL100" s="14">
        <v>1826</v>
      </c>
      <c r="XM100" s="14">
        <v>305</v>
      </c>
      <c r="XR100" s="14">
        <v>2131</v>
      </c>
      <c r="XS100" s="14">
        <v>4033</v>
      </c>
      <c r="XT100" s="14">
        <v>714</v>
      </c>
      <c r="XU100" s="14">
        <v>0</v>
      </c>
      <c r="XV100" s="14">
        <v>0</v>
      </c>
      <c r="XW100" s="14">
        <v>0</v>
      </c>
      <c r="XX100" s="14">
        <v>0</v>
      </c>
      <c r="XY100" s="14">
        <v>4747</v>
      </c>
      <c r="XZ100" s="14">
        <v>3223</v>
      </c>
      <c r="YA100" s="14">
        <v>305</v>
      </c>
      <c r="YF100" s="14">
        <v>3528</v>
      </c>
      <c r="YM100" s="14">
        <v>0</v>
      </c>
      <c r="YN100" s="14">
        <v>810</v>
      </c>
      <c r="YO100" s="14">
        <v>409</v>
      </c>
      <c r="YT100" s="14">
        <v>1219</v>
      </c>
      <c r="ZA100" s="14">
        <v>0</v>
      </c>
      <c r="ZH100" s="14">
        <v>0</v>
      </c>
      <c r="ZI100" s="14">
        <v>4033</v>
      </c>
      <c r="ZJ100" s="14">
        <v>714</v>
      </c>
      <c r="ZK100" s="14">
        <v>0</v>
      </c>
      <c r="ZL100" s="14">
        <v>0</v>
      </c>
      <c r="ZM100" s="14">
        <v>0</v>
      </c>
      <c r="ZN100" s="14">
        <v>0</v>
      </c>
      <c r="ZO100" s="14">
        <v>4747</v>
      </c>
      <c r="ZP100" s="14" t="s">
        <v>604</v>
      </c>
      <c r="ADS100" s="14" t="s">
        <v>605</v>
      </c>
    </row>
    <row r="101" spans="1:799" x14ac:dyDescent="0.25">
      <c r="A101" s="14">
        <v>227</v>
      </c>
      <c r="B101" s="14" t="s">
        <v>889</v>
      </c>
      <c r="C101" s="16">
        <v>42780</v>
      </c>
      <c r="D101" s="14" t="s">
        <v>1105</v>
      </c>
      <c r="E101" s="14" t="s">
        <v>1106</v>
      </c>
      <c r="F101" s="14" t="str">
        <f>VLOOKUP(MID(H101,SEARCH("@",H101,1),LEN(H101)-SEARCH("@",H101,1)+1),[2]Sheet1!$D:$F,3,FALSE)</f>
        <v>M05105</v>
      </c>
      <c r="G101" s="14" t="s">
        <v>1107</v>
      </c>
      <c r="H101" s="14" t="s">
        <v>1108</v>
      </c>
      <c r="I101" s="14">
        <v>2034227766</v>
      </c>
      <c r="J101" s="14" t="s">
        <v>611</v>
      </c>
      <c r="K101" s="14" t="s">
        <v>596</v>
      </c>
      <c r="M101" s="14">
        <v>1</v>
      </c>
      <c r="V101" s="14">
        <v>0</v>
      </c>
      <c r="AC101" s="14">
        <v>0</v>
      </c>
      <c r="AG101" s="14">
        <v>2323.1</v>
      </c>
      <c r="AJ101" s="14">
        <v>2323.1</v>
      </c>
      <c r="AQ101" s="14">
        <v>0</v>
      </c>
      <c r="AX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2323.1</v>
      </c>
      <c r="BJ101" s="14">
        <v>0</v>
      </c>
      <c r="BK101" s="14">
        <v>0</v>
      </c>
      <c r="BL101" s="14">
        <v>2323.1</v>
      </c>
      <c r="BS101" s="14">
        <v>0</v>
      </c>
      <c r="BZ101" s="14">
        <v>0</v>
      </c>
      <c r="CD101" s="14">
        <v>2</v>
      </c>
      <c r="CG101" s="14">
        <v>2</v>
      </c>
      <c r="CN101" s="14">
        <v>0</v>
      </c>
      <c r="CU101" s="14">
        <v>0</v>
      </c>
      <c r="DB101" s="14">
        <v>0</v>
      </c>
      <c r="DC101" s="14">
        <v>0</v>
      </c>
      <c r="DD101" s="14">
        <v>0</v>
      </c>
      <c r="DE101" s="14">
        <v>0</v>
      </c>
      <c r="DF101" s="14">
        <v>2</v>
      </c>
      <c r="DG101" s="14">
        <v>0</v>
      </c>
      <c r="DH101" s="14">
        <v>0</v>
      </c>
      <c r="DI101" s="14">
        <v>2</v>
      </c>
      <c r="DJ101" s="14" t="s">
        <v>598</v>
      </c>
      <c r="DK101" s="14" t="s">
        <v>598</v>
      </c>
      <c r="DL101" s="14" t="s">
        <v>598</v>
      </c>
      <c r="DM101" s="14" t="s">
        <v>598</v>
      </c>
      <c r="DN101" s="14" t="s">
        <v>598</v>
      </c>
      <c r="DO101" s="14" t="s">
        <v>598</v>
      </c>
      <c r="DP101" s="14" t="s">
        <v>598</v>
      </c>
      <c r="DQ101" s="14" t="s">
        <v>598</v>
      </c>
      <c r="DR101" s="14" t="s">
        <v>598</v>
      </c>
      <c r="DS101" s="14" t="s">
        <v>598</v>
      </c>
      <c r="DT101" s="14" t="s">
        <v>598</v>
      </c>
      <c r="DU101" s="14" t="s">
        <v>598</v>
      </c>
      <c r="DV101" s="14" t="s">
        <v>598</v>
      </c>
      <c r="DW101" s="14" t="s">
        <v>598</v>
      </c>
      <c r="DX101" s="14" t="s">
        <v>598</v>
      </c>
      <c r="DY101" s="14" t="s">
        <v>597</v>
      </c>
      <c r="DZ101" s="14" t="s">
        <v>598</v>
      </c>
      <c r="EA101" s="14" t="s">
        <v>598</v>
      </c>
      <c r="EB101" s="14" t="s">
        <v>598</v>
      </c>
      <c r="EC101" s="14" t="s">
        <v>598</v>
      </c>
      <c r="ED101" s="14" t="s">
        <v>598</v>
      </c>
      <c r="EE101" s="14" t="s">
        <v>598</v>
      </c>
      <c r="EF101" s="14" t="s">
        <v>598</v>
      </c>
      <c r="EG101" s="14" t="s">
        <v>598</v>
      </c>
      <c r="EH101" s="14" t="s">
        <v>598</v>
      </c>
      <c r="EI101" s="14" t="s">
        <v>598</v>
      </c>
      <c r="EJ101" s="14" t="s">
        <v>598</v>
      </c>
      <c r="EK101" s="14" t="s">
        <v>598</v>
      </c>
      <c r="EL101" s="14" t="s">
        <v>598</v>
      </c>
      <c r="EM101" s="14" t="s">
        <v>598</v>
      </c>
      <c r="EN101" s="14" t="s">
        <v>598</v>
      </c>
      <c r="EO101" s="14" t="s">
        <v>598</v>
      </c>
      <c r="EP101" s="14" t="s">
        <v>598</v>
      </c>
      <c r="EQ101" s="14" t="s">
        <v>598</v>
      </c>
      <c r="ER101" s="14" t="s">
        <v>598</v>
      </c>
      <c r="ES101" s="14" t="s">
        <v>598</v>
      </c>
      <c r="EW101" s="14">
        <v>300</v>
      </c>
      <c r="EZ101" s="14">
        <v>300</v>
      </c>
      <c r="FD101" s="14">
        <v>940</v>
      </c>
      <c r="FG101" s="14">
        <v>940</v>
      </c>
      <c r="FK101" s="14">
        <v>919</v>
      </c>
      <c r="FN101" s="14">
        <v>919</v>
      </c>
      <c r="FU101" s="14">
        <v>0</v>
      </c>
      <c r="FY101" s="14">
        <v>14.5</v>
      </c>
      <c r="GB101" s="14">
        <v>14.5</v>
      </c>
      <c r="GF101" s="14">
        <v>5</v>
      </c>
      <c r="GI101" s="14">
        <v>5</v>
      </c>
      <c r="GM101" s="14">
        <v>121.5</v>
      </c>
      <c r="GP101" s="14">
        <v>121.5</v>
      </c>
      <c r="GQ101" s="14" t="s">
        <v>1109</v>
      </c>
      <c r="GU101" s="14">
        <v>23.1</v>
      </c>
      <c r="GX101" s="14">
        <v>23.1</v>
      </c>
      <c r="GY101" s="14">
        <v>0</v>
      </c>
      <c r="GZ101" s="14">
        <v>0</v>
      </c>
      <c r="HA101" s="14">
        <v>0</v>
      </c>
      <c r="HB101" s="14">
        <v>2323.1</v>
      </c>
      <c r="HC101" s="14">
        <v>0</v>
      </c>
      <c r="HD101" s="14">
        <v>0</v>
      </c>
      <c r="HE101" s="14">
        <v>2323.1</v>
      </c>
      <c r="HI101" s="14">
        <v>2164</v>
      </c>
      <c r="HL101" s="14">
        <v>2164</v>
      </c>
      <c r="HS101" s="14">
        <v>0</v>
      </c>
      <c r="HW101" s="14">
        <v>150.6</v>
      </c>
      <c r="HZ101" s="14">
        <v>150.6</v>
      </c>
      <c r="ID101" s="14">
        <v>8.5</v>
      </c>
      <c r="IG101" s="14">
        <v>8.5</v>
      </c>
      <c r="IN101" s="14">
        <v>0</v>
      </c>
      <c r="IO101" s="14">
        <v>0</v>
      </c>
      <c r="IP101" s="14">
        <v>0</v>
      </c>
      <c r="IQ101" s="14">
        <v>0</v>
      </c>
      <c r="IR101" s="14">
        <v>2323.1</v>
      </c>
      <c r="IS101" s="14">
        <v>0</v>
      </c>
      <c r="IT101" s="14">
        <v>0</v>
      </c>
      <c r="IU101" s="14">
        <v>2323.1</v>
      </c>
      <c r="IX101" s="14">
        <v>100</v>
      </c>
      <c r="JA101" s="14">
        <v>2</v>
      </c>
      <c r="JB101" s="14">
        <v>2</v>
      </c>
      <c r="JC101" s="14">
        <v>1</v>
      </c>
      <c r="JD101" s="14" t="s">
        <v>600</v>
      </c>
      <c r="NG101" s="14" t="s">
        <v>601</v>
      </c>
      <c r="RJ101" s="14" t="s">
        <v>602</v>
      </c>
      <c r="RN101" s="14">
        <v>300</v>
      </c>
      <c r="RQ101" s="14">
        <v>300</v>
      </c>
      <c r="RU101" s="14">
        <v>940</v>
      </c>
      <c r="RX101" s="14">
        <v>940</v>
      </c>
      <c r="SB101" s="14">
        <v>919</v>
      </c>
      <c r="SE101" s="14">
        <v>919</v>
      </c>
      <c r="SL101" s="14">
        <v>0</v>
      </c>
      <c r="SP101" s="14">
        <v>14.5</v>
      </c>
      <c r="SS101" s="14">
        <v>14.5</v>
      </c>
      <c r="SW101" s="14">
        <v>5</v>
      </c>
      <c r="SZ101" s="14">
        <v>5</v>
      </c>
      <c r="TD101" s="14">
        <v>121.5</v>
      </c>
      <c r="TG101" s="14">
        <v>121.5</v>
      </c>
      <c r="TL101" s="14">
        <v>23.1</v>
      </c>
      <c r="TO101" s="14">
        <v>23.1</v>
      </c>
      <c r="TP101" s="14">
        <v>0</v>
      </c>
      <c r="TQ101" s="14">
        <v>0</v>
      </c>
      <c r="TR101" s="14">
        <v>0</v>
      </c>
      <c r="TS101" s="14">
        <v>2323.1</v>
      </c>
      <c r="TT101" s="14">
        <v>0</v>
      </c>
      <c r="TU101" s="14">
        <v>0</v>
      </c>
      <c r="TV101" s="14">
        <v>2323.1</v>
      </c>
      <c r="UC101" s="14">
        <v>0</v>
      </c>
      <c r="UG101" s="14">
        <v>2164</v>
      </c>
      <c r="UJ101" s="14">
        <v>2164</v>
      </c>
      <c r="UN101" s="14">
        <v>150.6</v>
      </c>
      <c r="UQ101" s="14">
        <v>150.6</v>
      </c>
      <c r="UU101" s="14">
        <v>8.5</v>
      </c>
      <c r="UX101" s="14">
        <v>8.5</v>
      </c>
      <c r="VE101" s="14">
        <v>0</v>
      </c>
      <c r="VF101" s="14">
        <v>0</v>
      </c>
      <c r="VG101" s="14">
        <v>0</v>
      </c>
      <c r="VH101" s="14">
        <v>0</v>
      </c>
      <c r="VI101" s="14">
        <v>2323.1</v>
      </c>
      <c r="VJ101" s="14">
        <v>0</v>
      </c>
      <c r="VK101" s="14">
        <v>0</v>
      </c>
      <c r="VL101" s="14">
        <v>2323.1</v>
      </c>
      <c r="VM101" s="14" t="s">
        <v>603</v>
      </c>
      <c r="ZP101" s="14" t="s">
        <v>604</v>
      </c>
      <c r="ADS101" s="14" t="s">
        <v>605</v>
      </c>
    </row>
    <row r="102" spans="1:799" x14ac:dyDescent="0.25">
      <c r="A102" s="14">
        <v>48</v>
      </c>
      <c r="B102" s="14" t="s">
        <v>889</v>
      </c>
      <c r="C102" s="16">
        <v>42780</v>
      </c>
      <c r="D102" s="14" t="s">
        <v>1110</v>
      </c>
      <c r="E102" s="14" t="s">
        <v>1111</v>
      </c>
      <c r="F102" s="14" t="str">
        <f>VLOOKUP(MID(H102,SEARCH("@",H102,1),LEN(H102)-SEARCH("@",H102,1)+1),[2]Sheet1!$D:$F,3,FALSE)</f>
        <v>M106</v>
      </c>
      <c r="G102" s="14" t="s">
        <v>1112</v>
      </c>
      <c r="H102" s="14" t="s">
        <v>1113</v>
      </c>
      <c r="I102" s="14" t="s">
        <v>1114</v>
      </c>
      <c r="J102" s="14" t="s">
        <v>611</v>
      </c>
      <c r="K102" s="14" t="s">
        <v>596</v>
      </c>
      <c r="M102" s="14">
        <v>1</v>
      </c>
      <c r="V102" s="14">
        <v>0</v>
      </c>
      <c r="AC102" s="14">
        <v>0</v>
      </c>
      <c r="AJ102" s="14">
        <v>0</v>
      </c>
      <c r="AK102" s="14">
        <v>20</v>
      </c>
      <c r="AM102" s="14">
        <v>50</v>
      </c>
      <c r="AQ102" s="14">
        <v>70</v>
      </c>
      <c r="AX102" s="14">
        <v>0</v>
      </c>
      <c r="BE102" s="14">
        <v>0</v>
      </c>
      <c r="BF102" s="14">
        <v>20</v>
      </c>
      <c r="BG102" s="14">
        <v>0</v>
      </c>
      <c r="BH102" s="14">
        <v>50</v>
      </c>
      <c r="BI102" s="14">
        <v>0</v>
      </c>
      <c r="BJ102" s="14">
        <v>0</v>
      </c>
      <c r="BK102" s="14">
        <v>0</v>
      </c>
      <c r="BL102" s="14">
        <v>70</v>
      </c>
      <c r="BS102" s="14">
        <v>0</v>
      </c>
      <c r="BZ102" s="14">
        <v>0</v>
      </c>
      <c r="CG102" s="14">
        <v>0</v>
      </c>
      <c r="CH102" s="14">
        <v>1</v>
      </c>
      <c r="CJ102" s="14">
        <v>1</v>
      </c>
      <c r="CN102" s="14">
        <v>2</v>
      </c>
      <c r="CU102" s="14">
        <v>0</v>
      </c>
      <c r="DB102" s="14">
        <v>0</v>
      </c>
      <c r="DC102" s="14">
        <v>1</v>
      </c>
      <c r="DD102" s="14">
        <v>0</v>
      </c>
      <c r="DE102" s="14">
        <v>1</v>
      </c>
      <c r="DF102" s="14">
        <v>0</v>
      </c>
      <c r="DG102" s="14">
        <v>0</v>
      </c>
      <c r="DH102" s="14">
        <v>0</v>
      </c>
      <c r="DI102" s="14">
        <v>2</v>
      </c>
      <c r="DJ102" s="14" t="s">
        <v>598</v>
      </c>
      <c r="DK102" s="14" t="s">
        <v>598</v>
      </c>
      <c r="DL102" s="14" t="s">
        <v>598</v>
      </c>
      <c r="DM102" s="14" t="s">
        <v>598</v>
      </c>
      <c r="DN102" s="14" t="s">
        <v>598</v>
      </c>
      <c r="DO102" s="14" t="s">
        <v>598</v>
      </c>
      <c r="DP102" s="14" t="s">
        <v>598</v>
      </c>
      <c r="DQ102" s="14" t="s">
        <v>598</v>
      </c>
      <c r="DR102" s="14" t="s">
        <v>598</v>
      </c>
      <c r="DS102" s="14" t="s">
        <v>598</v>
      </c>
      <c r="DT102" s="14" t="s">
        <v>598</v>
      </c>
      <c r="DU102" s="14" t="s">
        <v>598</v>
      </c>
      <c r="DV102" s="14" t="s">
        <v>598</v>
      </c>
      <c r="DW102" s="14" t="s">
        <v>598</v>
      </c>
      <c r="DX102" s="14" t="s">
        <v>598</v>
      </c>
      <c r="DY102" s="14" t="s">
        <v>598</v>
      </c>
      <c r="DZ102" s="14" t="s">
        <v>598</v>
      </c>
      <c r="EA102" s="14" t="s">
        <v>598</v>
      </c>
      <c r="EB102" s="14" t="s">
        <v>597</v>
      </c>
      <c r="EC102" s="14" t="s">
        <v>598</v>
      </c>
      <c r="ED102" s="14" t="s">
        <v>597</v>
      </c>
      <c r="EE102" s="14" t="s">
        <v>598</v>
      </c>
      <c r="EF102" s="14" t="s">
        <v>598</v>
      </c>
      <c r="EG102" s="14" t="s">
        <v>598</v>
      </c>
      <c r="EH102" s="14" t="s">
        <v>598</v>
      </c>
      <c r="EI102" s="14" t="s">
        <v>598</v>
      </c>
      <c r="EJ102" s="14" t="s">
        <v>598</v>
      </c>
      <c r="EK102" s="14" t="s">
        <v>598</v>
      </c>
      <c r="EL102" s="14" t="s">
        <v>598</v>
      </c>
      <c r="EM102" s="14" t="s">
        <v>598</v>
      </c>
      <c r="EN102" s="14" t="s">
        <v>598</v>
      </c>
      <c r="EO102" s="14" t="s">
        <v>598</v>
      </c>
      <c r="EP102" s="14" t="s">
        <v>598</v>
      </c>
      <c r="EQ102" s="14" t="s">
        <v>598</v>
      </c>
      <c r="ER102" s="14" t="s">
        <v>598</v>
      </c>
      <c r="ES102" s="14" t="s">
        <v>598</v>
      </c>
      <c r="ET102" s="14">
        <v>20</v>
      </c>
      <c r="EZ102" s="14">
        <v>20</v>
      </c>
      <c r="FC102" s="14">
        <v>50</v>
      </c>
      <c r="FG102" s="14">
        <v>50</v>
      </c>
      <c r="FN102" s="14">
        <v>0</v>
      </c>
      <c r="FU102" s="14">
        <v>0</v>
      </c>
      <c r="GB102" s="14">
        <v>0</v>
      </c>
      <c r="GI102" s="14">
        <v>0</v>
      </c>
      <c r="GP102" s="14">
        <v>0</v>
      </c>
      <c r="GX102" s="14">
        <v>0</v>
      </c>
      <c r="GY102" s="14">
        <v>20</v>
      </c>
      <c r="GZ102" s="14">
        <v>0</v>
      </c>
      <c r="HA102" s="14">
        <v>50</v>
      </c>
      <c r="HB102" s="14">
        <v>0</v>
      </c>
      <c r="HC102" s="14">
        <v>0</v>
      </c>
      <c r="HD102" s="14">
        <v>0</v>
      </c>
      <c r="HE102" s="14">
        <v>70</v>
      </c>
      <c r="HL102" s="14">
        <v>0</v>
      </c>
      <c r="HS102" s="14">
        <v>0</v>
      </c>
      <c r="HT102" s="14">
        <v>20</v>
      </c>
      <c r="HV102" s="14">
        <v>50</v>
      </c>
      <c r="HZ102" s="14">
        <v>70</v>
      </c>
      <c r="IG102" s="14">
        <v>0</v>
      </c>
      <c r="IN102" s="14">
        <v>0</v>
      </c>
      <c r="IO102" s="14">
        <v>20</v>
      </c>
      <c r="IP102" s="14">
        <v>0</v>
      </c>
      <c r="IQ102" s="14">
        <v>50</v>
      </c>
      <c r="IR102" s="14">
        <v>0</v>
      </c>
      <c r="IS102" s="14">
        <v>0</v>
      </c>
      <c r="IT102" s="14">
        <v>0</v>
      </c>
      <c r="IU102" s="14">
        <v>70</v>
      </c>
      <c r="IX102" s="14">
        <v>100</v>
      </c>
      <c r="JA102" s="14">
        <v>1</v>
      </c>
      <c r="JB102" s="14">
        <v>3</v>
      </c>
      <c r="JC102" s="14">
        <v>1</v>
      </c>
      <c r="JD102" s="14" t="s">
        <v>600</v>
      </c>
      <c r="NG102" s="14" t="s">
        <v>601</v>
      </c>
      <c r="RJ102" s="14" t="s">
        <v>602</v>
      </c>
      <c r="VM102" s="14" t="s">
        <v>603</v>
      </c>
      <c r="VN102" s="14">
        <v>20</v>
      </c>
      <c r="VT102" s="14">
        <v>20</v>
      </c>
      <c r="VW102" s="14">
        <v>50</v>
      </c>
      <c r="WA102" s="14">
        <v>50</v>
      </c>
      <c r="WH102" s="14">
        <v>0</v>
      </c>
      <c r="WO102" s="14">
        <v>0</v>
      </c>
      <c r="WV102" s="14">
        <v>0</v>
      </c>
      <c r="XC102" s="14">
        <v>0</v>
      </c>
      <c r="XJ102" s="14">
        <v>0</v>
      </c>
      <c r="XR102" s="14">
        <v>0</v>
      </c>
      <c r="XS102" s="14">
        <v>20</v>
      </c>
      <c r="XT102" s="14">
        <v>0</v>
      </c>
      <c r="XU102" s="14">
        <v>50</v>
      </c>
      <c r="XV102" s="14">
        <v>0</v>
      </c>
      <c r="XW102" s="14">
        <v>0</v>
      </c>
      <c r="XX102" s="14">
        <v>0</v>
      </c>
      <c r="XY102" s="14">
        <v>70</v>
      </c>
      <c r="YB102" s="14">
        <v>50</v>
      </c>
      <c r="YF102" s="14">
        <v>50</v>
      </c>
      <c r="YM102" s="14">
        <v>0</v>
      </c>
      <c r="YN102" s="14">
        <v>20</v>
      </c>
      <c r="YT102" s="14">
        <v>20</v>
      </c>
      <c r="ZA102" s="14">
        <v>0</v>
      </c>
      <c r="ZH102" s="14">
        <v>0</v>
      </c>
      <c r="ZI102" s="14">
        <v>20</v>
      </c>
      <c r="ZJ102" s="14">
        <v>0</v>
      </c>
      <c r="ZK102" s="14">
        <v>50</v>
      </c>
      <c r="ZL102" s="14">
        <v>0</v>
      </c>
      <c r="ZM102" s="14">
        <v>0</v>
      </c>
      <c r="ZN102" s="14">
        <v>0</v>
      </c>
      <c r="ZO102" s="14">
        <v>70</v>
      </c>
      <c r="ZP102" s="14" t="s">
        <v>604</v>
      </c>
      <c r="ADS102" s="14" t="s">
        <v>605</v>
      </c>
    </row>
    <row r="103" spans="1:799" x14ac:dyDescent="0.25">
      <c r="A103" s="14">
        <v>230</v>
      </c>
      <c r="B103" s="14" t="s">
        <v>889</v>
      </c>
      <c r="C103" s="16">
        <v>42780</v>
      </c>
      <c r="D103" s="14" t="s">
        <v>1115</v>
      </c>
      <c r="E103" s="14" t="s">
        <v>1116</v>
      </c>
      <c r="F103" s="14" t="str">
        <f>VLOOKUP(MID(H103,SEARCH("@",H103,1),LEN(H103)-SEARCH("@",H103,1)+1),[2]Sheet1!$D:$F,3,FALSE)</f>
        <v>M486</v>
      </c>
      <c r="G103" s="14" t="s">
        <v>1117</v>
      </c>
      <c r="H103" s="14" t="s">
        <v>1118</v>
      </c>
      <c r="I103" s="14">
        <v>442034638867</v>
      </c>
      <c r="J103" s="14" t="s">
        <v>731</v>
      </c>
      <c r="K103" s="14" t="s">
        <v>732</v>
      </c>
      <c r="M103" s="14">
        <v>2</v>
      </c>
      <c r="N103" s="14">
        <v>6</v>
      </c>
      <c r="O103" s="14" t="s">
        <v>1119</v>
      </c>
      <c r="V103" s="14">
        <v>0</v>
      </c>
      <c r="AC103" s="14">
        <v>0</v>
      </c>
      <c r="AJ103" s="14">
        <v>0</v>
      </c>
      <c r="AQ103" s="14">
        <v>0</v>
      </c>
      <c r="AX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S103" s="14">
        <v>0</v>
      </c>
      <c r="BZ103" s="14">
        <v>0</v>
      </c>
      <c r="CG103" s="14">
        <v>0</v>
      </c>
      <c r="CN103" s="14">
        <v>0</v>
      </c>
      <c r="CU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>
        <v>0</v>
      </c>
      <c r="DJ103" s="14" t="s">
        <v>598</v>
      </c>
      <c r="DK103" s="14" t="s">
        <v>598</v>
      </c>
      <c r="DL103" s="14" t="s">
        <v>598</v>
      </c>
      <c r="DM103" s="14" t="s">
        <v>598</v>
      </c>
      <c r="DN103" s="14" t="s">
        <v>598</v>
      </c>
      <c r="DO103" s="14" t="s">
        <v>598</v>
      </c>
      <c r="DP103" s="14" t="s">
        <v>598</v>
      </c>
      <c r="DQ103" s="14" t="s">
        <v>598</v>
      </c>
      <c r="DR103" s="14" t="s">
        <v>598</v>
      </c>
      <c r="DS103" s="14" t="s">
        <v>598</v>
      </c>
      <c r="DT103" s="14" t="s">
        <v>598</v>
      </c>
      <c r="DU103" s="14" t="s">
        <v>598</v>
      </c>
      <c r="DV103" s="14" t="s">
        <v>598</v>
      </c>
      <c r="DW103" s="14" t="s">
        <v>598</v>
      </c>
      <c r="DX103" s="14" t="s">
        <v>598</v>
      </c>
      <c r="DY103" s="14" t="s">
        <v>598</v>
      </c>
      <c r="DZ103" s="14" t="s">
        <v>598</v>
      </c>
      <c r="EA103" s="14" t="s">
        <v>598</v>
      </c>
      <c r="EB103" s="14" t="s">
        <v>598</v>
      </c>
      <c r="EC103" s="14" t="s">
        <v>598</v>
      </c>
      <c r="ED103" s="14" t="s">
        <v>598</v>
      </c>
      <c r="EE103" s="14" t="s">
        <v>598</v>
      </c>
      <c r="EF103" s="14" t="s">
        <v>598</v>
      </c>
      <c r="EG103" s="14" t="s">
        <v>598</v>
      </c>
      <c r="EH103" s="14" t="s">
        <v>598</v>
      </c>
      <c r="EI103" s="14" t="s">
        <v>598</v>
      </c>
      <c r="EJ103" s="14" t="s">
        <v>598</v>
      </c>
      <c r="EK103" s="14" t="s">
        <v>598</v>
      </c>
      <c r="EL103" s="14" t="s">
        <v>598</v>
      </c>
      <c r="EM103" s="14" t="s">
        <v>598</v>
      </c>
      <c r="EN103" s="14" t="s">
        <v>598</v>
      </c>
      <c r="EO103" s="14" t="s">
        <v>598</v>
      </c>
      <c r="EP103" s="14" t="s">
        <v>598</v>
      </c>
      <c r="EQ103" s="14" t="s">
        <v>598</v>
      </c>
      <c r="ER103" s="14" t="s">
        <v>598</v>
      </c>
      <c r="ES103" s="14" t="s">
        <v>598</v>
      </c>
      <c r="EZ103" s="14">
        <v>0</v>
      </c>
      <c r="FG103" s="14">
        <v>0</v>
      </c>
      <c r="FN103" s="14">
        <v>0</v>
      </c>
      <c r="FU103" s="14">
        <v>0</v>
      </c>
      <c r="GB103" s="14">
        <v>0</v>
      </c>
      <c r="GI103" s="14">
        <v>0</v>
      </c>
      <c r="GP103" s="14">
        <v>0</v>
      </c>
      <c r="GX103" s="14">
        <v>0</v>
      </c>
      <c r="GY103" s="14">
        <v>0</v>
      </c>
      <c r="GZ103" s="14">
        <v>0</v>
      </c>
      <c r="HA103" s="14">
        <v>0</v>
      </c>
      <c r="HB103" s="14">
        <v>0</v>
      </c>
      <c r="HC103" s="14">
        <v>0</v>
      </c>
      <c r="HD103" s="14">
        <v>0</v>
      </c>
      <c r="HE103" s="14">
        <v>0</v>
      </c>
      <c r="HL103" s="14">
        <v>0</v>
      </c>
      <c r="HS103" s="14">
        <v>0</v>
      </c>
      <c r="HZ103" s="14">
        <v>0</v>
      </c>
      <c r="IG103" s="14">
        <v>0</v>
      </c>
      <c r="IN103" s="14">
        <v>0</v>
      </c>
      <c r="IO103" s="14">
        <v>0</v>
      </c>
      <c r="IP103" s="14">
        <v>0</v>
      </c>
      <c r="IQ103" s="14">
        <v>0</v>
      </c>
      <c r="IR103" s="14">
        <v>0</v>
      </c>
      <c r="IS103" s="14">
        <v>0</v>
      </c>
      <c r="IT103" s="14">
        <v>0</v>
      </c>
      <c r="IU103" s="14">
        <v>0</v>
      </c>
      <c r="JA103" s="14">
        <v>1</v>
      </c>
      <c r="JB103" s="14">
        <v>3</v>
      </c>
      <c r="JC103" s="14">
        <v>1</v>
      </c>
      <c r="JD103" s="14" t="s">
        <v>600</v>
      </c>
      <c r="NG103" s="14" t="s">
        <v>601</v>
      </c>
      <c r="RJ103" s="14" t="s">
        <v>602</v>
      </c>
      <c r="VM103" s="14" t="s">
        <v>603</v>
      </c>
      <c r="ZP103" s="14" t="s">
        <v>604</v>
      </c>
      <c r="ADS103" s="14" t="s">
        <v>605</v>
      </c>
    </row>
    <row r="104" spans="1:799" x14ac:dyDescent="0.25">
      <c r="A104" s="14">
        <v>38</v>
      </c>
      <c r="B104" s="14" t="s">
        <v>889</v>
      </c>
      <c r="C104" s="16">
        <v>42760.523611111108</v>
      </c>
      <c r="D104" s="14" t="s">
        <v>1120</v>
      </c>
      <c r="E104" s="14" t="s">
        <v>1121</v>
      </c>
      <c r="F104" s="14" t="str">
        <f>VLOOKUP(MID(H104,SEARCH("@",H104,1),LEN(H104)-SEARCH("@",H104,1)+1),[2]Sheet1!$D:$F,3,FALSE)</f>
        <v>M111</v>
      </c>
      <c r="G104" s="14" t="s">
        <v>708</v>
      </c>
      <c r="H104" s="14" t="s">
        <v>1122</v>
      </c>
      <c r="I104" s="14">
        <v>7908986870</v>
      </c>
      <c r="J104" s="14" t="s">
        <v>731</v>
      </c>
      <c r="K104" s="14" t="s">
        <v>732</v>
      </c>
      <c r="M104" s="14">
        <v>1</v>
      </c>
      <c r="V104" s="14">
        <v>0</v>
      </c>
      <c r="W104" s="14">
        <v>362.5</v>
      </c>
      <c r="AB104" s="14">
        <v>25.8</v>
      </c>
      <c r="AC104" s="14">
        <v>388.3</v>
      </c>
      <c r="AJ104" s="14">
        <v>0</v>
      </c>
      <c r="AQ104" s="14">
        <v>0</v>
      </c>
      <c r="AX104" s="14">
        <v>0</v>
      </c>
      <c r="BE104" s="14">
        <v>0</v>
      </c>
      <c r="BF104" s="14">
        <v>362.5</v>
      </c>
      <c r="BG104" s="14">
        <v>0</v>
      </c>
      <c r="BH104" s="14">
        <v>0</v>
      </c>
      <c r="BI104" s="14">
        <v>0</v>
      </c>
      <c r="BJ104" s="14">
        <v>0</v>
      </c>
      <c r="BK104" s="14">
        <v>25.8</v>
      </c>
      <c r="BL104" s="14">
        <v>388.3</v>
      </c>
      <c r="BS104" s="14">
        <v>0</v>
      </c>
      <c r="BT104" s="14">
        <v>1</v>
      </c>
      <c r="BY104" s="14">
        <v>1</v>
      </c>
      <c r="BZ104" s="14">
        <v>2</v>
      </c>
      <c r="CG104" s="14">
        <v>0</v>
      </c>
      <c r="CN104" s="14">
        <v>0</v>
      </c>
      <c r="CU104" s="14">
        <v>0</v>
      </c>
      <c r="DB104" s="14">
        <v>0</v>
      </c>
      <c r="DC104" s="14">
        <v>1</v>
      </c>
      <c r="DD104" s="14">
        <v>0</v>
      </c>
      <c r="DE104" s="14">
        <v>0</v>
      </c>
      <c r="DF104" s="14">
        <v>0</v>
      </c>
      <c r="DG104" s="14">
        <v>0</v>
      </c>
      <c r="DH104" s="14">
        <v>1</v>
      </c>
      <c r="DI104" s="14">
        <v>2</v>
      </c>
      <c r="DJ104" s="14" t="s">
        <v>598</v>
      </c>
      <c r="DK104" s="14" t="s">
        <v>598</v>
      </c>
      <c r="DL104" s="14" t="s">
        <v>598</v>
      </c>
      <c r="DM104" s="14" t="s">
        <v>598</v>
      </c>
      <c r="DN104" s="14" t="s">
        <v>598</v>
      </c>
      <c r="DO104" s="14" t="s">
        <v>598</v>
      </c>
      <c r="DP104" s="14" t="s">
        <v>597</v>
      </c>
      <c r="DQ104" s="14" t="s">
        <v>598</v>
      </c>
      <c r="DR104" s="14" t="s">
        <v>598</v>
      </c>
      <c r="DS104" s="14" t="s">
        <v>598</v>
      </c>
      <c r="DT104" s="14" t="s">
        <v>598</v>
      </c>
      <c r="DU104" s="14" t="s">
        <v>597</v>
      </c>
      <c r="DV104" s="14" t="s">
        <v>598</v>
      </c>
      <c r="DW104" s="14" t="s">
        <v>598</v>
      </c>
      <c r="DX104" s="14" t="s">
        <v>598</v>
      </c>
      <c r="DY104" s="14" t="s">
        <v>598</v>
      </c>
      <c r="DZ104" s="14" t="s">
        <v>598</v>
      </c>
      <c r="EA104" s="14" t="s">
        <v>598</v>
      </c>
      <c r="EB104" s="14" t="s">
        <v>598</v>
      </c>
      <c r="EC104" s="14" t="s">
        <v>598</v>
      </c>
      <c r="ED104" s="14" t="s">
        <v>598</v>
      </c>
      <c r="EE104" s="14" t="s">
        <v>598</v>
      </c>
      <c r="EF104" s="14" t="s">
        <v>598</v>
      </c>
      <c r="EG104" s="14" t="s">
        <v>598</v>
      </c>
      <c r="EH104" s="14" t="s">
        <v>598</v>
      </c>
      <c r="EI104" s="14" t="s">
        <v>598</v>
      </c>
      <c r="EJ104" s="14" t="s">
        <v>598</v>
      </c>
      <c r="EK104" s="14" t="s">
        <v>598</v>
      </c>
      <c r="EL104" s="14" t="s">
        <v>598</v>
      </c>
      <c r="EM104" s="14" t="s">
        <v>598</v>
      </c>
      <c r="EN104" s="14" t="s">
        <v>598</v>
      </c>
      <c r="EO104" s="14" t="s">
        <v>598</v>
      </c>
      <c r="EP104" s="14" t="s">
        <v>598</v>
      </c>
      <c r="EQ104" s="14" t="s">
        <v>598</v>
      </c>
      <c r="ER104" s="14" t="s">
        <v>598</v>
      </c>
      <c r="ES104" s="14" t="s">
        <v>598</v>
      </c>
      <c r="ET104" s="14">
        <v>307.7</v>
      </c>
      <c r="EY104" s="14">
        <v>25.8</v>
      </c>
      <c r="EZ104" s="14">
        <v>333.5</v>
      </c>
      <c r="FG104" s="14">
        <v>0</v>
      </c>
      <c r="FN104" s="14">
        <v>0</v>
      </c>
      <c r="FU104" s="14">
        <v>0</v>
      </c>
      <c r="GB104" s="14">
        <v>0</v>
      </c>
      <c r="GI104" s="14">
        <v>0</v>
      </c>
      <c r="GP104" s="14">
        <v>0</v>
      </c>
      <c r="GQ104" s="14" t="s">
        <v>1123</v>
      </c>
      <c r="GR104" s="14">
        <v>54.8</v>
      </c>
      <c r="GX104" s="14">
        <v>54.8</v>
      </c>
      <c r="GY104" s="14">
        <v>362.5</v>
      </c>
      <c r="GZ104" s="14">
        <v>0</v>
      </c>
      <c r="HA104" s="14">
        <v>0</v>
      </c>
      <c r="HB104" s="14">
        <v>0</v>
      </c>
      <c r="HC104" s="14">
        <v>0</v>
      </c>
      <c r="HD104" s="14">
        <v>25.8</v>
      </c>
      <c r="HE104" s="14">
        <v>388.3</v>
      </c>
      <c r="HF104" s="14">
        <v>50</v>
      </c>
      <c r="HL104" s="14">
        <v>50</v>
      </c>
      <c r="HM104" s="14">
        <v>169.8</v>
      </c>
      <c r="HS104" s="14">
        <v>169.8</v>
      </c>
      <c r="HT104" s="14">
        <v>142.69999999999999</v>
      </c>
      <c r="HY104" s="14">
        <v>25.8</v>
      </c>
      <c r="HZ104" s="14">
        <v>168.5</v>
      </c>
      <c r="IG104" s="14">
        <v>0</v>
      </c>
      <c r="IN104" s="14">
        <v>0</v>
      </c>
      <c r="IO104" s="14">
        <v>362.5</v>
      </c>
      <c r="IP104" s="14">
        <v>0</v>
      </c>
      <c r="IQ104" s="14">
        <v>0</v>
      </c>
      <c r="IR104" s="14">
        <v>0</v>
      </c>
      <c r="IS104" s="14">
        <v>0</v>
      </c>
      <c r="IT104" s="14">
        <v>25.8</v>
      </c>
      <c r="IU104" s="14">
        <v>388.3</v>
      </c>
      <c r="IV104" s="14">
        <v>5</v>
      </c>
      <c r="IX104" s="14">
        <v>95</v>
      </c>
      <c r="JA104" s="14">
        <v>1</v>
      </c>
      <c r="JB104" s="14">
        <v>1</v>
      </c>
      <c r="JC104" s="14">
        <v>2</v>
      </c>
      <c r="JD104" s="14" t="s">
        <v>600</v>
      </c>
      <c r="NG104" s="14" t="s">
        <v>601</v>
      </c>
      <c r="NH104" s="14">
        <v>307.7</v>
      </c>
      <c r="NM104" s="14">
        <v>25.8</v>
      </c>
      <c r="NN104" s="14">
        <v>333.5</v>
      </c>
      <c r="NU104" s="14">
        <v>0</v>
      </c>
      <c r="OB104" s="14">
        <v>0</v>
      </c>
      <c r="OI104" s="14">
        <v>0</v>
      </c>
      <c r="OP104" s="14">
        <v>0</v>
      </c>
      <c r="OW104" s="14">
        <v>0</v>
      </c>
      <c r="PD104" s="14">
        <v>0</v>
      </c>
      <c r="PE104" s="14" t="s">
        <v>1124</v>
      </c>
      <c r="PF104" s="14">
        <v>54.8</v>
      </c>
      <c r="PL104" s="14">
        <v>54.8</v>
      </c>
      <c r="PM104" s="14">
        <v>362.5</v>
      </c>
      <c r="PN104" s="14">
        <v>0</v>
      </c>
      <c r="PO104" s="14">
        <v>0</v>
      </c>
      <c r="PP104" s="14">
        <v>0</v>
      </c>
      <c r="PQ104" s="14">
        <v>0</v>
      </c>
      <c r="PR104" s="14">
        <v>25.8</v>
      </c>
      <c r="PS104" s="14">
        <v>388.3</v>
      </c>
      <c r="PT104" s="14">
        <v>169.8</v>
      </c>
      <c r="PZ104" s="14">
        <v>169.8</v>
      </c>
      <c r="QA104" s="14">
        <v>50</v>
      </c>
      <c r="QG104" s="14">
        <v>50</v>
      </c>
      <c r="QH104" s="14">
        <v>142.69999999999999</v>
      </c>
      <c r="QM104" s="14">
        <v>25.8</v>
      </c>
      <c r="QN104" s="14">
        <v>168.5</v>
      </c>
      <c r="QU104" s="14">
        <v>0</v>
      </c>
      <c r="RB104" s="14">
        <v>0</v>
      </c>
      <c r="RC104" s="14">
        <v>362.5</v>
      </c>
      <c r="RD104" s="14">
        <v>0</v>
      </c>
      <c r="RE104" s="14">
        <v>0</v>
      </c>
      <c r="RF104" s="14">
        <v>0</v>
      </c>
      <c r="RG104" s="14">
        <v>0</v>
      </c>
      <c r="RH104" s="14">
        <v>25.8</v>
      </c>
      <c r="RI104" s="14">
        <v>388.3</v>
      </c>
      <c r="RJ104" s="14" t="s">
        <v>602</v>
      </c>
      <c r="VM104" s="14" t="s">
        <v>603</v>
      </c>
      <c r="ZP104" s="14" t="s">
        <v>604</v>
      </c>
      <c r="ADS104" s="14" t="s">
        <v>605</v>
      </c>
    </row>
    <row r="105" spans="1:799" x14ac:dyDescent="0.25">
      <c r="A105" s="14">
        <v>142</v>
      </c>
      <c r="B105" s="14" t="s">
        <v>889</v>
      </c>
      <c r="C105" s="16">
        <v>42780</v>
      </c>
      <c r="D105" s="14" t="s">
        <v>1125</v>
      </c>
      <c r="E105" s="14" t="s">
        <v>1126</v>
      </c>
      <c r="F105" s="14" t="str">
        <f>VLOOKUP(MID(H105,SEARCH("@",H105,1),LEN(H105)-SEARCH("@",H105,1)+1),[2]Sheet1!$D:$F,3,FALSE)</f>
        <v>M373</v>
      </c>
      <c r="G105" s="14" t="s">
        <v>608</v>
      </c>
      <c r="H105" s="14" t="s">
        <v>1127</v>
      </c>
      <c r="I105" s="14">
        <v>2124685668</v>
      </c>
      <c r="J105" s="14" t="s">
        <v>611</v>
      </c>
      <c r="K105" s="14" t="s">
        <v>596</v>
      </c>
      <c r="M105" s="14">
        <v>2</v>
      </c>
      <c r="N105" s="14">
        <v>6</v>
      </c>
      <c r="O105" s="14" t="s">
        <v>1128</v>
      </c>
      <c r="V105" s="14">
        <v>0</v>
      </c>
      <c r="AC105" s="14">
        <v>0</v>
      </c>
      <c r="AJ105" s="14">
        <v>0</v>
      </c>
      <c r="AQ105" s="14">
        <v>0</v>
      </c>
      <c r="AX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S105" s="14">
        <v>0</v>
      </c>
      <c r="BZ105" s="14">
        <v>0</v>
      </c>
      <c r="CG105" s="14">
        <v>0</v>
      </c>
      <c r="CN105" s="14">
        <v>0</v>
      </c>
      <c r="CU105" s="14">
        <v>0</v>
      </c>
      <c r="DB105" s="14">
        <v>0</v>
      </c>
      <c r="DC105" s="14">
        <v>0</v>
      </c>
      <c r="DD105" s="14">
        <v>0</v>
      </c>
      <c r="DE105" s="14">
        <v>0</v>
      </c>
      <c r="DF105" s="14">
        <v>0</v>
      </c>
      <c r="DG105" s="14">
        <v>0</v>
      </c>
      <c r="DH105" s="14">
        <v>0</v>
      </c>
      <c r="DI105" s="14">
        <v>0</v>
      </c>
      <c r="DJ105" s="14" t="s">
        <v>598</v>
      </c>
      <c r="DK105" s="14" t="s">
        <v>598</v>
      </c>
      <c r="DL105" s="14" t="s">
        <v>598</v>
      </c>
      <c r="DM105" s="14" t="s">
        <v>598</v>
      </c>
      <c r="DN105" s="14" t="s">
        <v>598</v>
      </c>
      <c r="DO105" s="14" t="s">
        <v>598</v>
      </c>
      <c r="DP105" s="14" t="s">
        <v>598</v>
      </c>
      <c r="DQ105" s="14" t="s">
        <v>598</v>
      </c>
      <c r="DR105" s="14" t="s">
        <v>598</v>
      </c>
      <c r="DS105" s="14" t="s">
        <v>598</v>
      </c>
      <c r="DT105" s="14" t="s">
        <v>598</v>
      </c>
      <c r="DU105" s="14" t="s">
        <v>598</v>
      </c>
      <c r="DV105" s="14" t="s">
        <v>598</v>
      </c>
      <c r="DW105" s="14" t="s">
        <v>598</v>
      </c>
      <c r="DX105" s="14" t="s">
        <v>598</v>
      </c>
      <c r="DY105" s="14" t="s">
        <v>598</v>
      </c>
      <c r="DZ105" s="14" t="s">
        <v>598</v>
      </c>
      <c r="EA105" s="14" t="s">
        <v>598</v>
      </c>
      <c r="EB105" s="14" t="s">
        <v>598</v>
      </c>
      <c r="EC105" s="14" t="s">
        <v>598</v>
      </c>
      <c r="ED105" s="14" t="s">
        <v>598</v>
      </c>
      <c r="EE105" s="14" t="s">
        <v>598</v>
      </c>
      <c r="EF105" s="14" t="s">
        <v>598</v>
      </c>
      <c r="EG105" s="14" t="s">
        <v>598</v>
      </c>
      <c r="EH105" s="14" t="s">
        <v>598</v>
      </c>
      <c r="EI105" s="14" t="s">
        <v>598</v>
      </c>
      <c r="EJ105" s="14" t="s">
        <v>598</v>
      </c>
      <c r="EK105" s="14" t="s">
        <v>598</v>
      </c>
      <c r="EL105" s="14" t="s">
        <v>598</v>
      </c>
      <c r="EM105" s="14" t="s">
        <v>598</v>
      </c>
      <c r="EN105" s="14" t="s">
        <v>598</v>
      </c>
      <c r="EO105" s="14" t="s">
        <v>598</v>
      </c>
      <c r="EP105" s="14" t="s">
        <v>598</v>
      </c>
      <c r="EQ105" s="14" t="s">
        <v>598</v>
      </c>
      <c r="ER105" s="14" t="s">
        <v>598</v>
      </c>
      <c r="ES105" s="14" t="s">
        <v>598</v>
      </c>
      <c r="EZ105" s="14">
        <v>0</v>
      </c>
      <c r="FG105" s="14">
        <v>0</v>
      </c>
      <c r="FN105" s="14">
        <v>0</v>
      </c>
      <c r="FU105" s="14">
        <v>0</v>
      </c>
      <c r="GB105" s="14">
        <v>0</v>
      </c>
      <c r="GI105" s="14">
        <v>0</v>
      </c>
      <c r="GP105" s="14">
        <v>0</v>
      </c>
      <c r="GX105" s="14">
        <v>0</v>
      </c>
      <c r="GY105" s="14">
        <v>0</v>
      </c>
      <c r="GZ105" s="14">
        <v>0</v>
      </c>
      <c r="HA105" s="14">
        <v>0</v>
      </c>
      <c r="HB105" s="14">
        <v>0</v>
      </c>
      <c r="HC105" s="14">
        <v>0</v>
      </c>
      <c r="HD105" s="14">
        <v>0</v>
      </c>
      <c r="HE105" s="14">
        <v>0</v>
      </c>
      <c r="HL105" s="14">
        <v>0</v>
      </c>
      <c r="HS105" s="14">
        <v>0</v>
      </c>
      <c r="HZ105" s="14">
        <v>0</v>
      </c>
      <c r="IG105" s="14">
        <v>0</v>
      </c>
      <c r="IN105" s="14">
        <v>0</v>
      </c>
      <c r="IO105" s="14">
        <v>0</v>
      </c>
      <c r="IP105" s="14">
        <v>0</v>
      </c>
      <c r="IQ105" s="14">
        <v>0</v>
      </c>
      <c r="IR105" s="14">
        <v>0</v>
      </c>
      <c r="IS105" s="14">
        <v>0</v>
      </c>
      <c r="IT105" s="14">
        <v>0</v>
      </c>
      <c r="IU105" s="14">
        <v>0</v>
      </c>
      <c r="JA105" s="14">
        <v>1</v>
      </c>
      <c r="JB105" s="14">
        <v>3</v>
      </c>
      <c r="JC105" s="14">
        <v>2</v>
      </c>
      <c r="JD105" s="14" t="s">
        <v>600</v>
      </c>
      <c r="NG105" s="14" t="s">
        <v>601</v>
      </c>
      <c r="RJ105" s="14" t="s">
        <v>602</v>
      </c>
      <c r="VM105" s="14" t="s">
        <v>603</v>
      </c>
      <c r="ZP105" s="14" t="s">
        <v>604</v>
      </c>
      <c r="ADS105" s="14" t="s">
        <v>605</v>
      </c>
    </row>
    <row r="106" spans="1:799" x14ac:dyDescent="0.25">
      <c r="A106" s="14">
        <v>211</v>
      </c>
      <c r="B106" s="14" t="s">
        <v>889</v>
      </c>
      <c r="C106" s="16">
        <v>42780</v>
      </c>
      <c r="D106" s="14" t="s">
        <v>1129</v>
      </c>
      <c r="E106" s="14" t="s">
        <v>1130</v>
      </c>
      <c r="F106" s="14" t="str">
        <f>VLOOKUP(MID(H106,SEARCH("@",H106,1),LEN(H106)-SEARCH("@",H106,1)+1),[2]Sheet1!$D:$F,3,FALSE)</f>
        <v>M672</v>
      </c>
      <c r="G106" s="14" t="s">
        <v>1131</v>
      </c>
      <c r="H106" s="14" t="s">
        <v>1132</v>
      </c>
      <c r="I106" s="14" t="s">
        <v>1133</v>
      </c>
      <c r="J106" s="14" t="s">
        <v>1044</v>
      </c>
      <c r="K106" s="14" t="s">
        <v>732</v>
      </c>
      <c r="M106" s="14">
        <v>2</v>
      </c>
      <c r="N106" s="14">
        <v>6</v>
      </c>
      <c r="O106" s="14" t="s">
        <v>1134</v>
      </c>
      <c r="V106" s="14">
        <v>0</v>
      </c>
      <c r="AC106" s="14">
        <v>0</v>
      </c>
      <c r="AJ106" s="14">
        <v>0</v>
      </c>
      <c r="AQ106" s="14">
        <v>0</v>
      </c>
      <c r="AX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0</v>
      </c>
      <c r="BS106" s="14">
        <v>0</v>
      </c>
      <c r="BZ106" s="14">
        <v>0</v>
      </c>
      <c r="CG106" s="14">
        <v>0</v>
      </c>
      <c r="CN106" s="14">
        <v>0</v>
      </c>
      <c r="CU106" s="14">
        <v>0</v>
      </c>
      <c r="DB106" s="14">
        <v>0</v>
      </c>
      <c r="DC106" s="14">
        <v>0</v>
      </c>
      <c r="DD106" s="14">
        <v>0</v>
      </c>
      <c r="DE106" s="14">
        <v>0</v>
      </c>
      <c r="DF106" s="14">
        <v>0</v>
      </c>
      <c r="DG106" s="14">
        <v>0</v>
      </c>
      <c r="DH106" s="14">
        <v>0</v>
      </c>
      <c r="DI106" s="14">
        <v>0</v>
      </c>
      <c r="DJ106" s="14" t="s">
        <v>598</v>
      </c>
      <c r="DK106" s="14" t="s">
        <v>598</v>
      </c>
      <c r="DL106" s="14" t="s">
        <v>598</v>
      </c>
      <c r="DM106" s="14" t="s">
        <v>598</v>
      </c>
      <c r="DN106" s="14" t="s">
        <v>598</v>
      </c>
      <c r="DO106" s="14" t="s">
        <v>598</v>
      </c>
      <c r="DP106" s="14" t="s">
        <v>598</v>
      </c>
      <c r="DQ106" s="14" t="s">
        <v>598</v>
      </c>
      <c r="DR106" s="14" t="s">
        <v>598</v>
      </c>
      <c r="DS106" s="14" t="s">
        <v>598</v>
      </c>
      <c r="DT106" s="14" t="s">
        <v>598</v>
      </c>
      <c r="DU106" s="14" t="s">
        <v>598</v>
      </c>
      <c r="DV106" s="14" t="s">
        <v>598</v>
      </c>
      <c r="DW106" s="14" t="s">
        <v>598</v>
      </c>
      <c r="DX106" s="14" t="s">
        <v>598</v>
      </c>
      <c r="DY106" s="14" t="s">
        <v>598</v>
      </c>
      <c r="DZ106" s="14" t="s">
        <v>598</v>
      </c>
      <c r="EA106" s="14" t="s">
        <v>598</v>
      </c>
      <c r="EB106" s="14" t="s">
        <v>598</v>
      </c>
      <c r="EC106" s="14" t="s">
        <v>598</v>
      </c>
      <c r="ED106" s="14" t="s">
        <v>598</v>
      </c>
      <c r="EE106" s="14" t="s">
        <v>598</v>
      </c>
      <c r="EF106" s="14" t="s">
        <v>598</v>
      </c>
      <c r="EG106" s="14" t="s">
        <v>598</v>
      </c>
      <c r="EH106" s="14" t="s">
        <v>598</v>
      </c>
      <c r="EI106" s="14" t="s">
        <v>598</v>
      </c>
      <c r="EJ106" s="14" t="s">
        <v>598</v>
      </c>
      <c r="EK106" s="14" t="s">
        <v>598</v>
      </c>
      <c r="EL106" s="14" t="s">
        <v>598</v>
      </c>
      <c r="EM106" s="14" t="s">
        <v>598</v>
      </c>
      <c r="EN106" s="14" t="s">
        <v>598</v>
      </c>
      <c r="EO106" s="14" t="s">
        <v>598</v>
      </c>
      <c r="EP106" s="14" t="s">
        <v>598</v>
      </c>
      <c r="EQ106" s="14" t="s">
        <v>598</v>
      </c>
      <c r="ER106" s="14" t="s">
        <v>598</v>
      </c>
      <c r="ES106" s="14" t="s">
        <v>598</v>
      </c>
      <c r="EZ106" s="14">
        <v>0</v>
      </c>
      <c r="FG106" s="14">
        <v>0</v>
      </c>
      <c r="FN106" s="14">
        <v>0</v>
      </c>
      <c r="FU106" s="14">
        <v>0</v>
      </c>
      <c r="GB106" s="14">
        <v>0</v>
      </c>
      <c r="GI106" s="14">
        <v>0</v>
      </c>
      <c r="GP106" s="14">
        <v>0</v>
      </c>
      <c r="GX106" s="14">
        <v>0</v>
      </c>
      <c r="GY106" s="14">
        <v>0</v>
      </c>
      <c r="GZ106" s="14">
        <v>0</v>
      </c>
      <c r="HA106" s="14">
        <v>0</v>
      </c>
      <c r="HB106" s="14">
        <v>0</v>
      </c>
      <c r="HC106" s="14">
        <v>0</v>
      </c>
      <c r="HD106" s="14">
        <v>0</v>
      </c>
      <c r="HE106" s="14">
        <v>0</v>
      </c>
      <c r="HL106" s="14">
        <v>0</v>
      </c>
      <c r="HS106" s="14">
        <v>0</v>
      </c>
      <c r="HZ106" s="14">
        <v>0</v>
      </c>
      <c r="IG106" s="14">
        <v>0</v>
      </c>
      <c r="IN106" s="14">
        <v>0</v>
      </c>
      <c r="IO106" s="14">
        <v>0</v>
      </c>
      <c r="IP106" s="14">
        <v>0</v>
      </c>
      <c r="IQ106" s="14">
        <v>0</v>
      </c>
      <c r="IR106" s="14">
        <v>0</v>
      </c>
      <c r="IS106" s="14">
        <v>0</v>
      </c>
      <c r="IT106" s="14">
        <v>0</v>
      </c>
      <c r="IU106" s="14">
        <v>0</v>
      </c>
      <c r="JA106" s="14">
        <v>1</v>
      </c>
      <c r="JB106" s="14">
        <v>3</v>
      </c>
      <c r="JC106" s="14">
        <v>1</v>
      </c>
      <c r="JD106" s="14" t="s">
        <v>600</v>
      </c>
      <c r="NG106" s="14" t="s">
        <v>601</v>
      </c>
      <c r="RJ106" s="14" t="s">
        <v>602</v>
      </c>
      <c r="VM106" s="14" t="s">
        <v>603</v>
      </c>
      <c r="ZP106" s="14" t="s">
        <v>604</v>
      </c>
      <c r="ADS106" s="14" t="s">
        <v>605</v>
      </c>
    </row>
    <row r="107" spans="1:799" x14ac:dyDescent="0.25">
      <c r="A107" s="14">
        <v>66</v>
      </c>
      <c r="B107" s="14" t="s">
        <v>889</v>
      </c>
      <c r="C107" s="16">
        <v>42780</v>
      </c>
      <c r="D107" s="14" t="s">
        <v>1135</v>
      </c>
      <c r="E107" s="14" t="s">
        <v>1136</v>
      </c>
      <c r="F107" s="14" t="str">
        <f>VLOOKUP(MID(H107,SEARCH("@",H107,1),LEN(H107)-SEARCH("@",H107,1)+1),[2]Sheet1!$D:$F,3,FALSE)</f>
        <v>M038</v>
      </c>
      <c r="G107" s="14" t="s">
        <v>1137</v>
      </c>
      <c r="H107" s="14" t="s">
        <v>1138</v>
      </c>
      <c r="I107" s="14">
        <v>12129165510</v>
      </c>
      <c r="J107" s="14" t="s">
        <v>731</v>
      </c>
      <c r="K107" s="14" t="s">
        <v>596</v>
      </c>
      <c r="M107" s="14">
        <v>1</v>
      </c>
      <c r="S107" s="14">
        <v>44.17</v>
      </c>
      <c r="V107" s="14">
        <v>44.17</v>
      </c>
      <c r="W107" s="14">
        <v>893.93</v>
      </c>
      <c r="X107" s="14">
        <v>1519.31</v>
      </c>
      <c r="Z107" s="14">
        <v>343.76</v>
      </c>
      <c r="AB107" s="14">
        <v>135.27000000000001</v>
      </c>
      <c r="AC107" s="14">
        <v>2892.27</v>
      </c>
      <c r="AD107" s="14">
        <v>1199.5</v>
      </c>
      <c r="AG107" s="14">
        <v>201.65</v>
      </c>
      <c r="AJ107" s="14">
        <v>1401.15</v>
      </c>
      <c r="AQ107" s="14">
        <v>0</v>
      </c>
      <c r="AX107" s="14">
        <v>0</v>
      </c>
      <c r="BE107" s="14">
        <v>0</v>
      </c>
      <c r="BF107" s="14">
        <v>2093.4299999999998</v>
      </c>
      <c r="BG107" s="14">
        <v>1519.31</v>
      </c>
      <c r="BH107" s="14">
        <v>0</v>
      </c>
      <c r="BI107" s="14">
        <v>589.58000000000004</v>
      </c>
      <c r="BJ107" s="14">
        <v>0</v>
      </c>
      <c r="BK107" s="14">
        <v>135.27000000000001</v>
      </c>
      <c r="BL107" s="14">
        <v>4337.59</v>
      </c>
      <c r="BP107" s="14">
        <v>1</v>
      </c>
      <c r="BS107" s="14">
        <v>1</v>
      </c>
      <c r="BT107" s="14">
        <v>6</v>
      </c>
      <c r="BU107" s="14">
        <v>4</v>
      </c>
      <c r="BW107" s="14">
        <v>2</v>
      </c>
      <c r="BY107" s="14">
        <v>1</v>
      </c>
      <c r="BZ107" s="14">
        <v>13</v>
      </c>
      <c r="CA107" s="14">
        <v>4</v>
      </c>
      <c r="CD107" s="14">
        <v>7</v>
      </c>
      <c r="CG107" s="14">
        <v>11</v>
      </c>
      <c r="CN107" s="14">
        <v>0</v>
      </c>
      <c r="CU107" s="14">
        <v>0</v>
      </c>
      <c r="DB107" s="14">
        <v>0</v>
      </c>
      <c r="DC107" s="14">
        <v>10</v>
      </c>
      <c r="DD107" s="14">
        <v>4</v>
      </c>
      <c r="DE107" s="14">
        <v>0</v>
      </c>
      <c r="DF107" s="14">
        <v>10</v>
      </c>
      <c r="DG107" s="14">
        <v>0</v>
      </c>
      <c r="DH107" s="14">
        <v>1</v>
      </c>
      <c r="DI107" s="14">
        <v>25</v>
      </c>
      <c r="DJ107" s="14" t="s">
        <v>598</v>
      </c>
      <c r="DK107" s="14" t="s">
        <v>598</v>
      </c>
      <c r="DL107" s="14" t="s">
        <v>598</v>
      </c>
      <c r="DM107" s="14" t="s">
        <v>597</v>
      </c>
      <c r="DN107" s="14" t="s">
        <v>598</v>
      </c>
      <c r="DO107" s="14" t="s">
        <v>598</v>
      </c>
      <c r="DP107" s="14" t="s">
        <v>597</v>
      </c>
      <c r="DQ107" s="14" t="s">
        <v>597</v>
      </c>
      <c r="DR107" s="14" t="s">
        <v>598</v>
      </c>
      <c r="DS107" s="14" t="s">
        <v>597</v>
      </c>
      <c r="DT107" s="14" t="s">
        <v>598</v>
      </c>
      <c r="DU107" s="14" t="s">
        <v>597</v>
      </c>
      <c r="DV107" s="14" t="s">
        <v>597</v>
      </c>
      <c r="DW107" s="14" t="s">
        <v>598</v>
      </c>
      <c r="DX107" s="14" t="s">
        <v>598</v>
      </c>
      <c r="DY107" s="14" t="s">
        <v>597</v>
      </c>
      <c r="DZ107" s="14" t="s">
        <v>598</v>
      </c>
      <c r="EA107" s="14" t="s">
        <v>598</v>
      </c>
      <c r="EB107" s="14" t="s">
        <v>598</v>
      </c>
      <c r="EC107" s="14" t="s">
        <v>598</v>
      </c>
      <c r="ED107" s="14" t="s">
        <v>598</v>
      </c>
      <c r="EE107" s="14" t="s">
        <v>598</v>
      </c>
      <c r="EF107" s="14" t="s">
        <v>598</v>
      </c>
      <c r="EG107" s="14" t="s">
        <v>598</v>
      </c>
      <c r="EH107" s="14" t="s">
        <v>598</v>
      </c>
      <c r="EI107" s="14" t="s">
        <v>598</v>
      </c>
      <c r="EJ107" s="14" t="s">
        <v>598</v>
      </c>
      <c r="EK107" s="14" t="s">
        <v>598</v>
      </c>
      <c r="EL107" s="14" t="s">
        <v>598</v>
      </c>
      <c r="EM107" s="14" t="s">
        <v>598</v>
      </c>
      <c r="EN107" s="14" t="s">
        <v>598</v>
      </c>
      <c r="EO107" s="14" t="s">
        <v>598</v>
      </c>
      <c r="EP107" s="14" t="s">
        <v>598</v>
      </c>
      <c r="EQ107" s="14" t="s">
        <v>598</v>
      </c>
      <c r="ER107" s="14" t="s">
        <v>598</v>
      </c>
      <c r="ES107" s="14" t="s">
        <v>598</v>
      </c>
      <c r="ET107" s="14">
        <v>1624.31</v>
      </c>
      <c r="EU107" s="14">
        <v>1519.31</v>
      </c>
      <c r="EW107" s="14">
        <v>65.2</v>
      </c>
      <c r="EY107" s="14">
        <v>28.54</v>
      </c>
      <c r="EZ107" s="14">
        <v>3237.36</v>
      </c>
      <c r="FA107" s="14">
        <v>164.62</v>
      </c>
      <c r="FD107" s="14">
        <v>18.62</v>
      </c>
      <c r="FF107" s="14">
        <v>73.61</v>
      </c>
      <c r="FG107" s="14">
        <v>256.85000000000002</v>
      </c>
      <c r="FK107" s="14">
        <v>12.16</v>
      </c>
      <c r="FN107" s="14">
        <v>12.16</v>
      </c>
      <c r="FO107" s="14">
        <v>300</v>
      </c>
      <c r="FR107" s="14">
        <v>125.9</v>
      </c>
      <c r="FU107" s="14">
        <v>425.9</v>
      </c>
      <c r="GB107" s="14">
        <v>0</v>
      </c>
      <c r="GH107" s="14">
        <v>33.119999999999997</v>
      </c>
      <c r="GI107" s="14">
        <v>33.119999999999997</v>
      </c>
      <c r="GJ107" s="14">
        <v>4.5</v>
      </c>
      <c r="GP107" s="14">
        <v>4.5</v>
      </c>
      <c r="GQ107" s="14" t="s">
        <v>1139</v>
      </c>
      <c r="GU107" s="14">
        <v>367.7</v>
      </c>
      <c r="GX107" s="14">
        <v>367.7</v>
      </c>
      <c r="GY107" s="14">
        <v>2093.4299999999998</v>
      </c>
      <c r="GZ107" s="14">
        <v>1519.31</v>
      </c>
      <c r="HA107" s="14">
        <v>0</v>
      </c>
      <c r="HB107" s="14">
        <v>589.58000000000004</v>
      </c>
      <c r="HC107" s="14">
        <v>0</v>
      </c>
      <c r="HD107" s="14">
        <v>135.27000000000001</v>
      </c>
      <c r="HE107" s="14">
        <v>4337.59</v>
      </c>
      <c r="HF107" s="14">
        <v>300</v>
      </c>
      <c r="HG107" s="14">
        <v>638.92999999999995</v>
      </c>
      <c r="HI107" s="14">
        <v>113.7</v>
      </c>
      <c r="HK107" s="14">
        <v>73.61</v>
      </c>
      <c r="HL107" s="14">
        <v>1126.24</v>
      </c>
      <c r="HM107" s="14">
        <v>1243.93</v>
      </c>
      <c r="HN107" s="14">
        <v>880.38</v>
      </c>
      <c r="HP107" s="14">
        <v>417.47</v>
      </c>
      <c r="HR107" s="14">
        <v>61.66</v>
      </c>
      <c r="HS107" s="14">
        <v>2603.44</v>
      </c>
      <c r="HT107" s="14">
        <v>549.5</v>
      </c>
      <c r="HW107" s="14">
        <v>58.41</v>
      </c>
      <c r="HZ107" s="14">
        <v>607.91</v>
      </c>
      <c r="IG107" s="14">
        <v>0</v>
      </c>
      <c r="IN107" s="14">
        <v>0</v>
      </c>
      <c r="IO107" s="14">
        <v>2093.4299999999998</v>
      </c>
      <c r="IP107" s="14">
        <v>1519.31</v>
      </c>
      <c r="IQ107" s="14">
        <v>0</v>
      </c>
      <c r="IR107" s="14">
        <v>589.58000000000004</v>
      </c>
      <c r="IS107" s="14">
        <v>0</v>
      </c>
      <c r="IT107" s="14">
        <v>135.27000000000001</v>
      </c>
      <c r="IU107" s="14">
        <v>4337.59</v>
      </c>
      <c r="IX107" s="14">
        <v>100</v>
      </c>
      <c r="JA107" s="14">
        <v>1</v>
      </c>
      <c r="JB107" s="14">
        <v>2</v>
      </c>
      <c r="JC107" s="14">
        <v>1</v>
      </c>
      <c r="JD107" s="14" t="s">
        <v>600</v>
      </c>
      <c r="NG107" s="14" t="s">
        <v>601</v>
      </c>
      <c r="RJ107" s="14" t="s">
        <v>602</v>
      </c>
      <c r="VM107" s="14" t="s">
        <v>603</v>
      </c>
      <c r="ZP107" s="14" t="s">
        <v>604</v>
      </c>
      <c r="ADS107" s="14" t="s">
        <v>605</v>
      </c>
    </row>
    <row r="108" spans="1:799" x14ac:dyDescent="0.25">
      <c r="A108" s="14">
        <v>207</v>
      </c>
      <c r="B108" s="14" t="s">
        <v>889</v>
      </c>
      <c r="C108" s="16">
        <v>42779.604166666664</v>
      </c>
      <c r="D108" s="14" t="s">
        <v>1140</v>
      </c>
      <c r="E108" s="14" t="s">
        <v>1141</v>
      </c>
      <c r="F108" s="14" t="str">
        <f>VLOOKUP(MID(H108,SEARCH("@",H108,1),LEN(H108)-SEARCH("@",H108,1)+1),[2]Sheet1!$D:$F,3,FALSE)</f>
        <v>M600</v>
      </c>
      <c r="G108" s="14" t="s">
        <v>955</v>
      </c>
      <c r="H108" s="14" t="s">
        <v>1142</v>
      </c>
      <c r="I108" s="14" t="s">
        <v>1143</v>
      </c>
      <c r="J108" s="14" t="s">
        <v>894</v>
      </c>
      <c r="K108" s="14" t="s">
        <v>732</v>
      </c>
      <c r="M108" s="14">
        <v>1</v>
      </c>
      <c r="V108" s="14">
        <v>0</v>
      </c>
      <c r="W108" s="14">
        <v>270</v>
      </c>
      <c r="Y108" s="14">
        <v>50</v>
      </c>
      <c r="AC108" s="14">
        <v>320</v>
      </c>
      <c r="AJ108" s="14">
        <v>0</v>
      </c>
      <c r="AQ108" s="14">
        <v>0</v>
      </c>
      <c r="AX108" s="14">
        <v>0</v>
      </c>
      <c r="BE108" s="14">
        <v>0</v>
      </c>
      <c r="BF108" s="14">
        <v>270</v>
      </c>
      <c r="BG108" s="14">
        <v>0</v>
      </c>
      <c r="BH108" s="14">
        <v>50</v>
      </c>
      <c r="BI108" s="14">
        <v>0</v>
      </c>
      <c r="BJ108" s="14">
        <v>0</v>
      </c>
      <c r="BK108" s="14">
        <v>0</v>
      </c>
      <c r="BL108" s="14">
        <v>320</v>
      </c>
      <c r="BS108" s="14">
        <v>0</v>
      </c>
      <c r="BT108" s="14">
        <v>2</v>
      </c>
      <c r="BV108" s="14">
        <v>1</v>
      </c>
      <c r="BZ108" s="14">
        <v>3</v>
      </c>
      <c r="CG108" s="14">
        <v>0</v>
      </c>
      <c r="CN108" s="14">
        <v>0</v>
      </c>
      <c r="CU108" s="14">
        <v>0</v>
      </c>
      <c r="DB108" s="14">
        <v>0</v>
      </c>
      <c r="DC108" s="14">
        <v>2</v>
      </c>
      <c r="DD108" s="14">
        <v>0</v>
      </c>
      <c r="DE108" s="14">
        <v>1</v>
      </c>
      <c r="DF108" s="14">
        <v>0</v>
      </c>
      <c r="DG108" s="14">
        <v>0</v>
      </c>
      <c r="DH108" s="14">
        <v>0</v>
      </c>
      <c r="DI108" s="14">
        <v>3</v>
      </c>
      <c r="DJ108" s="14" t="s">
        <v>598</v>
      </c>
      <c r="DK108" s="14" t="s">
        <v>598</v>
      </c>
      <c r="DL108" s="14" t="s">
        <v>598</v>
      </c>
      <c r="DM108" s="14" t="s">
        <v>598</v>
      </c>
      <c r="DN108" s="14" t="s">
        <v>598</v>
      </c>
      <c r="DO108" s="14" t="s">
        <v>598</v>
      </c>
      <c r="DP108" s="14" t="s">
        <v>597</v>
      </c>
      <c r="DQ108" s="14" t="s">
        <v>598</v>
      </c>
      <c r="DR108" s="14" t="s">
        <v>597</v>
      </c>
      <c r="DS108" s="14" t="s">
        <v>598</v>
      </c>
      <c r="DT108" s="14" t="s">
        <v>598</v>
      </c>
      <c r="DU108" s="14" t="s">
        <v>598</v>
      </c>
      <c r="DV108" s="14" t="s">
        <v>598</v>
      </c>
      <c r="DW108" s="14" t="s">
        <v>598</v>
      </c>
      <c r="DX108" s="14" t="s">
        <v>598</v>
      </c>
      <c r="DY108" s="14" t="s">
        <v>598</v>
      </c>
      <c r="DZ108" s="14" t="s">
        <v>598</v>
      </c>
      <c r="EA108" s="14" t="s">
        <v>598</v>
      </c>
      <c r="EB108" s="14" t="s">
        <v>598</v>
      </c>
      <c r="EC108" s="14" t="s">
        <v>598</v>
      </c>
      <c r="ED108" s="14" t="s">
        <v>598</v>
      </c>
      <c r="EE108" s="14" t="s">
        <v>598</v>
      </c>
      <c r="EF108" s="14" t="s">
        <v>598</v>
      </c>
      <c r="EG108" s="14" t="s">
        <v>598</v>
      </c>
      <c r="EH108" s="14" t="s">
        <v>598</v>
      </c>
      <c r="EI108" s="14" t="s">
        <v>598</v>
      </c>
      <c r="EJ108" s="14" t="s">
        <v>598</v>
      </c>
      <c r="EK108" s="14" t="s">
        <v>598</v>
      </c>
      <c r="EL108" s="14" t="s">
        <v>598</v>
      </c>
      <c r="EM108" s="14" t="s">
        <v>598</v>
      </c>
      <c r="EN108" s="14" t="s">
        <v>598</v>
      </c>
      <c r="EO108" s="14" t="s">
        <v>598</v>
      </c>
      <c r="EP108" s="14" t="s">
        <v>598</v>
      </c>
      <c r="EQ108" s="14" t="s">
        <v>598</v>
      </c>
      <c r="ER108" s="14" t="s">
        <v>598</v>
      </c>
      <c r="ES108" s="14" t="s">
        <v>598</v>
      </c>
      <c r="ET108" s="14">
        <v>270</v>
      </c>
      <c r="EV108" s="14">
        <v>50</v>
      </c>
      <c r="EZ108" s="14">
        <v>320</v>
      </c>
      <c r="FG108" s="14">
        <v>0</v>
      </c>
      <c r="FN108" s="14">
        <v>0</v>
      </c>
      <c r="FU108" s="14">
        <v>0</v>
      </c>
      <c r="GB108" s="14">
        <v>0</v>
      </c>
      <c r="GI108" s="14">
        <v>0</v>
      </c>
      <c r="GP108" s="14">
        <v>0</v>
      </c>
      <c r="GX108" s="14">
        <v>0</v>
      </c>
      <c r="GY108" s="14">
        <v>270</v>
      </c>
      <c r="GZ108" s="14">
        <v>0</v>
      </c>
      <c r="HA108" s="14">
        <v>50</v>
      </c>
      <c r="HB108" s="14">
        <v>0</v>
      </c>
      <c r="HC108" s="14">
        <v>0</v>
      </c>
      <c r="HD108" s="14">
        <v>0</v>
      </c>
      <c r="HE108" s="14">
        <v>320</v>
      </c>
      <c r="HL108" s="14">
        <v>0</v>
      </c>
      <c r="HM108" s="14">
        <v>270</v>
      </c>
      <c r="HO108" s="14">
        <v>50</v>
      </c>
      <c r="HS108" s="14">
        <v>320</v>
      </c>
      <c r="HZ108" s="14">
        <v>0</v>
      </c>
      <c r="IG108" s="14">
        <v>0</v>
      </c>
      <c r="IN108" s="14">
        <v>0</v>
      </c>
      <c r="IO108" s="14">
        <v>270</v>
      </c>
      <c r="IP108" s="14">
        <v>0</v>
      </c>
      <c r="IQ108" s="14">
        <v>50</v>
      </c>
      <c r="IR108" s="14">
        <v>0</v>
      </c>
      <c r="IS108" s="14">
        <v>0</v>
      </c>
      <c r="IT108" s="14">
        <v>0</v>
      </c>
      <c r="IU108" s="14">
        <v>320</v>
      </c>
      <c r="IX108" s="14">
        <v>100</v>
      </c>
      <c r="JA108" s="14">
        <v>3</v>
      </c>
      <c r="JB108" s="14">
        <v>3</v>
      </c>
      <c r="JC108" s="14">
        <v>1</v>
      </c>
      <c r="JD108" s="14" t="s">
        <v>600</v>
      </c>
      <c r="NG108" s="14" t="s">
        <v>601</v>
      </c>
      <c r="NH108" s="14">
        <v>270</v>
      </c>
      <c r="NJ108" s="14">
        <v>50</v>
      </c>
      <c r="NN108" s="14">
        <v>320</v>
      </c>
      <c r="NU108" s="14">
        <v>0</v>
      </c>
      <c r="OB108" s="14">
        <v>0</v>
      </c>
      <c r="OI108" s="14">
        <v>0</v>
      </c>
      <c r="OP108" s="14">
        <v>0</v>
      </c>
      <c r="OW108" s="14">
        <v>0</v>
      </c>
      <c r="PD108" s="14">
        <v>0</v>
      </c>
      <c r="PL108" s="14">
        <v>0</v>
      </c>
      <c r="PM108" s="14">
        <v>270</v>
      </c>
      <c r="PN108" s="14">
        <v>0</v>
      </c>
      <c r="PO108" s="14">
        <v>50</v>
      </c>
      <c r="PP108" s="14">
        <v>0</v>
      </c>
      <c r="PQ108" s="14">
        <v>0</v>
      </c>
      <c r="PR108" s="14">
        <v>0</v>
      </c>
      <c r="PS108" s="14">
        <v>320</v>
      </c>
      <c r="PT108" s="14">
        <v>270</v>
      </c>
      <c r="PV108" s="14">
        <v>50</v>
      </c>
      <c r="PZ108" s="14">
        <v>320</v>
      </c>
      <c r="QG108" s="14">
        <v>0</v>
      </c>
      <c r="QN108" s="14">
        <v>0</v>
      </c>
      <c r="QU108" s="14">
        <v>0</v>
      </c>
      <c r="RB108" s="14">
        <v>0</v>
      </c>
      <c r="RC108" s="14">
        <v>270</v>
      </c>
      <c r="RD108" s="14">
        <v>0</v>
      </c>
      <c r="RE108" s="14">
        <v>50</v>
      </c>
      <c r="RF108" s="14">
        <v>0</v>
      </c>
      <c r="RG108" s="14">
        <v>0</v>
      </c>
      <c r="RH108" s="14">
        <v>0</v>
      </c>
      <c r="RI108" s="14">
        <v>320</v>
      </c>
      <c r="RJ108" s="14" t="s">
        <v>602</v>
      </c>
      <c r="VM108" s="14" t="s">
        <v>603</v>
      </c>
      <c r="ZP108" s="14" t="s">
        <v>604</v>
      </c>
      <c r="ADS108" s="14" t="s">
        <v>605</v>
      </c>
    </row>
    <row r="109" spans="1:799" x14ac:dyDescent="0.25">
      <c r="A109" s="14">
        <v>196</v>
      </c>
      <c r="B109" s="14" t="s">
        <v>889</v>
      </c>
      <c r="C109" s="16">
        <v>42775.447916666664</v>
      </c>
      <c r="D109" s="14" t="s">
        <v>1144</v>
      </c>
      <c r="E109" s="14" t="s">
        <v>1145</v>
      </c>
      <c r="F109" s="14" t="str">
        <f>VLOOKUP(MID(H109,SEARCH("@",H109,1),LEN(H109)-SEARCH("@",H109,1)+1),[2]Sheet1!$D:$F,3,FALSE)</f>
        <v>M768</v>
      </c>
      <c r="G109" s="14" t="s">
        <v>673</v>
      </c>
      <c r="H109" s="14" t="s">
        <v>1146</v>
      </c>
      <c r="I109" s="14">
        <v>2074947636</v>
      </c>
      <c r="J109" s="14" t="s">
        <v>731</v>
      </c>
      <c r="K109" s="14" t="s">
        <v>945</v>
      </c>
      <c r="M109" s="14">
        <v>2</v>
      </c>
      <c r="N109" s="14">
        <v>6</v>
      </c>
      <c r="O109" s="14" t="s">
        <v>1147</v>
      </c>
      <c r="V109" s="14">
        <v>0</v>
      </c>
      <c r="AC109" s="14">
        <v>0</v>
      </c>
      <c r="AJ109" s="14">
        <v>0</v>
      </c>
      <c r="AQ109" s="14">
        <v>0</v>
      </c>
      <c r="AX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S109" s="14">
        <v>0</v>
      </c>
      <c r="BZ109" s="14">
        <v>0</v>
      </c>
      <c r="CG109" s="14">
        <v>0</v>
      </c>
      <c r="CN109" s="14">
        <v>0</v>
      </c>
      <c r="CU109" s="14">
        <v>0</v>
      </c>
      <c r="DB109" s="14">
        <v>0</v>
      </c>
      <c r="DC109" s="14">
        <v>0</v>
      </c>
      <c r="DD109" s="14">
        <v>0</v>
      </c>
      <c r="DE109" s="14">
        <v>0</v>
      </c>
      <c r="DF109" s="14">
        <v>0</v>
      </c>
      <c r="DG109" s="14">
        <v>0</v>
      </c>
      <c r="DH109" s="14">
        <v>0</v>
      </c>
      <c r="DI109" s="14">
        <v>0</v>
      </c>
      <c r="DJ109" s="14" t="s">
        <v>598</v>
      </c>
      <c r="DK109" s="14" t="s">
        <v>598</v>
      </c>
      <c r="DL109" s="14" t="s">
        <v>598</v>
      </c>
      <c r="DM109" s="14" t="s">
        <v>598</v>
      </c>
      <c r="DN109" s="14" t="s">
        <v>598</v>
      </c>
      <c r="DO109" s="14" t="s">
        <v>598</v>
      </c>
      <c r="DP109" s="14" t="s">
        <v>598</v>
      </c>
      <c r="DQ109" s="14" t="s">
        <v>598</v>
      </c>
      <c r="DR109" s="14" t="s">
        <v>598</v>
      </c>
      <c r="DS109" s="14" t="s">
        <v>598</v>
      </c>
      <c r="DT109" s="14" t="s">
        <v>598</v>
      </c>
      <c r="DU109" s="14" t="s">
        <v>598</v>
      </c>
      <c r="DV109" s="14" t="s">
        <v>598</v>
      </c>
      <c r="DW109" s="14" t="s">
        <v>598</v>
      </c>
      <c r="DX109" s="14" t="s">
        <v>598</v>
      </c>
      <c r="DY109" s="14" t="s">
        <v>598</v>
      </c>
      <c r="DZ109" s="14" t="s">
        <v>598</v>
      </c>
      <c r="EA109" s="14" t="s">
        <v>598</v>
      </c>
      <c r="EB109" s="14" t="s">
        <v>598</v>
      </c>
      <c r="EC109" s="14" t="s">
        <v>598</v>
      </c>
      <c r="ED109" s="14" t="s">
        <v>598</v>
      </c>
      <c r="EE109" s="14" t="s">
        <v>598</v>
      </c>
      <c r="EF109" s="14" t="s">
        <v>598</v>
      </c>
      <c r="EG109" s="14" t="s">
        <v>598</v>
      </c>
      <c r="EH109" s="14" t="s">
        <v>598</v>
      </c>
      <c r="EI109" s="14" t="s">
        <v>598</v>
      </c>
      <c r="EJ109" s="14" t="s">
        <v>598</v>
      </c>
      <c r="EK109" s="14" t="s">
        <v>598</v>
      </c>
      <c r="EL109" s="14" t="s">
        <v>598</v>
      </c>
      <c r="EM109" s="14" t="s">
        <v>598</v>
      </c>
      <c r="EN109" s="14" t="s">
        <v>598</v>
      </c>
      <c r="EO109" s="14" t="s">
        <v>598</v>
      </c>
      <c r="EP109" s="14" t="s">
        <v>598</v>
      </c>
      <c r="EQ109" s="14" t="s">
        <v>598</v>
      </c>
      <c r="ER109" s="14" t="s">
        <v>598</v>
      </c>
      <c r="ES109" s="14" t="s">
        <v>598</v>
      </c>
      <c r="EZ109" s="14">
        <v>0</v>
      </c>
      <c r="FG109" s="14">
        <v>0</v>
      </c>
      <c r="FN109" s="14">
        <v>0</v>
      </c>
      <c r="FU109" s="14">
        <v>0</v>
      </c>
      <c r="GB109" s="14">
        <v>0</v>
      </c>
      <c r="GI109" s="14">
        <v>0</v>
      </c>
      <c r="GP109" s="14">
        <v>0</v>
      </c>
      <c r="GX109" s="14">
        <v>0</v>
      </c>
      <c r="GY109" s="14">
        <v>0</v>
      </c>
      <c r="GZ109" s="14">
        <v>0</v>
      </c>
      <c r="HA109" s="14">
        <v>0</v>
      </c>
      <c r="HB109" s="14">
        <v>0</v>
      </c>
      <c r="HC109" s="14">
        <v>0</v>
      </c>
      <c r="HD109" s="14">
        <v>0</v>
      </c>
      <c r="HE109" s="14">
        <v>0</v>
      </c>
      <c r="HL109" s="14">
        <v>0</v>
      </c>
      <c r="HS109" s="14">
        <v>0</v>
      </c>
      <c r="HZ109" s="14">
        <v>0</v>
      </c>
      <c r="IG109" s="14">
        <v>0</v>
      </c>
      <c r="IN109" s="14">
        <v>0</v>
      </c>
      <c r="IO109" s="14">
        <v>0</v>
      </c>
      <c r="IP109" s="14">
        <v>0</v>
      </c>
      <c r="IQ109" s="14">
        <v>0</v>
      </c>
      <c r="IR109" s="14">
        <v>0</v>
      </c>
      <c r="IS109" s="14">
        <v>0</v>
      </c>
      <c r="IT109" s="14">
        <v>0</v>
      </c>
      <c r="IU109" s="14">
        <v>0</v>
      </c>
      <c r="JA109" s="14">
        <v>1</v>
      </c>
      <c r="JB109" s="14">
        <v>2</v>
      </c>
      <c r="JC109" s="14">
        <v>1</v>
      </c>
      <c r="JD109" s="14" t="s">
        <v>600</v>
      </c>
      <c r="NG109" s="14" t="s">
        <v>601</v>
      </c>
      <c r="RJ109" s="14" t="s">
        <v>602</v>
      </c>
      <c r="VM109" s="14" t="s">
        <v>603</v>
      </c>
      <c r="ZP109" s="14" t="s">
        <v>604</v>
      </c>
      <c r="ADS109" s="14" t="s">
        <v>605</v>
      </c>
    </row>
    <row r="110" spans="1:799" x14ac:dyDescent="0.25">
      <c r="A110" s="14">
        <v>151</v>
      </c>
      <c r="B110" s="14" t="s">
        <v>889</v>
      </c>
      <c r="C110" s="16">
        <v>42766.643055555556</v>
      </c>
      <c r="D110" s="14" t="s">
        <v>1148</v>
      </c>
      <c r="E110" s="14" t="s">
        <v>1149</v>
      </c>
      <c r="F110" s="14" t="str">
        <f>VLOOKUP(MID(H110,SEARCH("@",H110,1),LEN(H110)-SEARCH("@",H110,1)+1),[2]Sheet1!$D:$F,3,FALSE)</f>
        <v>M676</v>
      </c>
      <c r="G110" s="14" t="s">
        <v>1150</v>
      </c>
      <c r="H110" s="14" t="s">
        <v>1151</v>
      </c>
      <c r="I110" s="14">
        <v>23213505</v>
      </c>
      <c r="J110" s="14" t="s">
        <v>1152</v>
      </c>
      <c r="K110" s="14" t="s">
        <v>1153</v>
      </c>
      <c r="M110" s="14">
        <v>2</v>
      </c>
      <c r="N110" s="14">
        <v>6</v>
      </c>
      <c r="O110" s="14" t="s">
        <v>1154</v>
      </c>
      <c r="V110" s="14">
        <v>0</v>
      </c>
      <c r="AC110" s="14">
        <v>0</v>
      </c>
      <c r="AJ110" s="14">
        <v>0</v>
      </c>
      <c r="AQ110" s="14">
        <v>0</v>
      </c>
      <c r="AX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S110" s="14">
        <v>0</v>
      </c>
      <c r="BZ110" s="14">
        <v>0</v>
      </c>
      <c r="CG110" s="14">
        <v>0</v>
      </c>
      <c r="CN110" s="14">
        <v>0</v>
      </c>
      <c r="CU110" s="14">
        <v>0</v>
      </c>
      <c r="DB110" s="14">
        <v>0</v>
      </c>
      <c r="DC110" s="14">
        <v>0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>
        <v>0</v>
      </c>
      <c r="DJ110" s="14" t="s">
        <v>598</v>
      </c>
      <c r="DK110" s="14" t="s">
        <v>598</v>
      </c>
      <c r="DL110" s="14" t="s">
        <v>598</v>
      </c>
      <c r="DM110" s="14" t="s">
        <v>598</v>
      </c>
      <c r="DN110" s="14" t="s">
        <v>598</v>
      </c>
      <c r="DO110" s="14" t="s">
        <v>598</v>
      </c>
      <c r="DP110" s="14" t="s">
        <v>598</v>
      </c>
      <c r="DQ110" s="14" t="s">
        <v>598</v>
      </c>
      <c r="DR110" s="14" t="s">
        <v>598</v>
      </c>
      <c r="DS110" s="14" t="s">
        <v>598</v>
      </c>
      <c r="DT110" s="14" t="s">
        <v>598</v>
      </c>
      <c r="DU110" s="14" t="s">
        <v>598</v>
      </c>
      <c r="DV110" s="14" t="s">
        <v>598</v>
      </c>
      <c r="DW110" s="14" t="s">
        <v>598</v>
      </c>
      <c r="DX110" s="14" t="s">
        <v>598</v>
      </c>
      <c r="DY110" s="14" t="s">
        <v>598</v>
      </c>
      <c r="DZ110" s="14" t="s">
        <v>598</v>
      </c>
      <c r="EA110" s="14" t="s">
        <v>598</v>
      </c>
      <c r="EB110" s="14" t="s">
        <v>598</v>
      </c>
      <c r="EC110" s="14" t="s">
        <v>598</v>
      </c>
      <c r="ED110" s="14" t="s">
        <v>598</v>
      </c>
      <c r="EE110" s="14" t="s">
        <v>598</v>
      </c>
      <c r="EF110" s="14" t="s">
        <v>598</v>
      </c>
      <c r="EG110" s="14" t="s">
        <v>598</v>
      </c>
      <c r="EH110" s="14" t="s">
        <v>598</v>
      </c>
      <c r="EI110" s="14" t="s">
        <v>598</v>
      </c>
      <c r="EJ110" s="14" t="s">
        <v>598</v>
      </c>
      <c r="EK110" s="14" t="s">
        <v>598</v>
      </c>
      <c r="EL110" s="14" t="s">
        <v>598</v>
      </c>
      <c r="EM110" s="14" t="s">
        <v>598</v>
      </c>
      <c r="EN110" s="14" t="s">
        <v>598</v>
      </c>
      <c r="EO110" s="14" t="s">
        <v>598</v>
      </c>
      <c r="EP110" s="14" t="s">
        <v>598</v>
      </c>
      <c r="EQ110" s="14" t="s">
        <v>598</v>
      </c>
      <c r="ER110" s="14" t="s">
        <v>598</v>
      </c>
      <c r="ES110" s="14" t="s">
        <v>598</v>
      </c>
      <c r="EZ110" s="14">
        <v>0</v>
      </c>
      <c r="FG110" s="14">
        <v>0</v>
      </c>
      <c r="FN110" s="14">
        <v>0</v>
      </c>
      <c r="FU110" s="14">
        <v>0</v>
      </c>
      <c r="GB110" s="14">
        <v>0</v>
      </c>
      <c r="GI110" s="14">
        <v>0</v>
      </c>
      <c r="GP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E110" s="14">
        <v>0</v>
      </c>
      <c r="HL110" s="14">
        <v>0</v>
      </c>
      <c r="HS110" s="14">
        <v>0</v>
      </c>
      <c r="HZ110" s="14">
        <v>0</v>
      </c>
      <c r="IG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0</v>
      </c>
      <c r="IS110" s="14">
        <v>0</v>
      </c>
      <c r="IT110" s="14">
        <v>0</v>
      </c>
      <c r="IU110" s="14">
        <v>0</v>
      </c>
      <c r="JA110" s="14">
        <v>3</v>
      </c>
      <c r="JB110" s="14">
        <v>3</v>
      </c>
      <c r="JC110" s="14">
        <v>2</v>
      </c>
      <c r="JD110" s="14" t="s">
        <v>600</v>
      </c>
      <c r="NG110" s="14" t="s">
        <v>601</v>
      </c>
      <c r="RJ110" s="14" t="s">
        <v>602</v>
      </c>
      <c r="VM110" s="14" t="s">
        <v>603</v>
      </c>
      <c r="ZP110" s="14" t="s">
        <v>604</v>
      </c>
      <c r="ADS110" s="14" t="s">
        <v>605</v>
      </c>
    </row>
    <row r="111" spans="1:799" x14ac:dyDescent="0.25">
      <c r="A111" s="14">
        <v>125</v>
      </c>
      <c r="B111" s="14" t="s">
        <v>889</v>
      </c>
      <c r="C111" s="16">
        <v>42780</v>
      </c>
      <c r="D111" s="14" t="s">
        <v>1155</v>
      </c>
      <c r="E111" s="14" t="s">
        <v>1156</v>
      </c>
      <c r="F111" s="14" t="str">
        <f>VLOOKUP(MID(H111,SEARCH("@",H111,1),LEN(H111)-SEARCH("@",H111,1)+1),[2]Sheet1!$D:$F,3,FALSE)</f>
        <v>M218</v>
      </c>
      <c r="G111" s="14" t="s">
        <v>1157</v>
      </c>
      <c r="H111" s="14" t="s">
        <v>1158</v>
      </c>
      <c r="I111" s="14">
        <v>4940349194982</v>
      </c>
      <c r="J111" s="14" t="s">
        <v>894</v>
      </c>
      <c r="K111" s="14" t="s">
        <v>732</v>
      </c>
      <c r="M111" s="14">
        <v>1</v>
      </c>
      <c r="V111" s="14">
        <v>0</v>
      </c>
      <c r="W111" s="14">
        <v>887.4</v>
      </c>
      <c r="X111" s="14">
        <v>63.5</v>
      </c>
      <c r="AC111" s="14">
        <v>950.9</v>
      </c>
      <c r="AJ111" s="14">
        <v>0</v>
      </c>
      <c r="AQ111" s="14">
        <v>0</v>
      </c>
      <c r="AX111" s="14">
        <v>0</v>
      </c>
      <c r="BE111" s="14">
        <v>0</v>
      </c>
      <c r="BF111" s="14">
        <v>887.4</v>
      </c>
      <c r="BG111" s="14">
        <v>63.5</v>
      </c>
      <c r="BH111" s="14">
        <v>0</v>
      </c>
      <c r="BI111" s="14">
        <v>0</v>
      </c>
      <c r="BJ111" s="14">
        <v>0</v>
      </c>
      <c r="BK111" s="14">
        <v>0</v>
      </c>
      <c r="BL111" s="14">
        <v>950.9</v>
      </c>
      <c r="BS111" s="14">
        <v>0</v>
      </c>
      <c r="BT111" s="14">
        <v>4</v>
      </c>
      <c r="BU111" s="14">
        <v>2</v>
      </c>
      <c r="BZ111" s="14">
        <v>6</v>
      </c>
      <c r="CG111" s="14">
        <v>0</v>
      </c>
      <c r="CN111" s="14">
        <v>0</v>
      </c>
      <c r="CU111" s="14">
        <v>0</v>
      </c>
      <c r="DB111" s="14">
        <v>0</v>
      </c>
      <c r="DC111" s="14">
        <v>4</v>
      </c>
      <c r="DD111" s="14">
        <v>2</v>
      </c>
      <c r="DE111" s="14">
        <v>0</v>
      </c>
      <c r="DF111" s="14">
        <v>0</v>
      </c>
      <c r="DG111" s="14">
        <v>0</v>
      </c>
      <c r="DH111" s="14">
        <v>0</v>
      </c>
      <c r="DI111" s="14">
        <v>6</v>
      </c>
      <c r="DJ111" s="14" t="s">
        <v>598</v>
      </c>
      <c r="DK111" s="14" t="s">
        <v>598</v>
      </c>
      <c r="DL111" s="14" t="s">
        <v>598</v>
      </c>
      <c r="DM111" s="14" t="s">
        <v>598</v>
      </c>
      <c r="DN111" s="14" t="s">
        <v>598</v>
      </c>
      <c r="DO111" s="14" t="s">
        <v>598</v>
      </c>
      <c r="DP111" s="14" t="s">
        <v>597</v>
      </c>
      <c r="DQ111" s="14" t="s">
        <v>597</v>
      </c>
      <c r="DR111" s="14" t="s">
        <v>598</v>
      </c>
      <c r="DS111" s="14" t="s">
        <v>598</v>
      </c>
      <c r="DT111" s="14" t="s">
        <v>598</v>
      </c>
      <c r="DU111" s="14" t="s">
        <v>598</v>
      </c>
      <c r="DV111" s="14" t="s">
        <v>598</v>
      </c>
      <c r="DW111" s="14" t="s">
        <v>598</v>
      </c>
      <c r="DX111" s="14" t="s">
        <v>598</v>
      </c>
      <c r="DY111" s="14" t="s">
        <v>598</v>
      </c>
      <c r="DZ111" s="14" t="s">
        <v>598</v>
      </c>
      <c r="EA111" s="14" t="s">
        <v>598</v>
      </c>
      <c r="EB111" s="14" t="s">
        <v>598</v>
      </c>
      <c r="EC111" s="14" t="s">
        <v>598</v>
      </c>
      <c r="ED111" s="14" t="s">
        <v>598</v>
      </c>
      <c r="EE111" s="14" t="s">
        <v>598</v>
      </c>
      <c r="EF111" s="14" t="s">
        <v>598</v>
      </c>
      <c r="EG111" s="14" t="s">
        <v>598</v>
      </c>
      <c r="EH111" s="14" t="s">
        <v>598</v>
      </c>
      <c r="EI111" s="14" t="s">
        <v>598</v>
      </c>
      <c r="EJ111" s="14" t="s">
        <v>598</v>
      </c>
      <c r="EK111" s="14" t="s">
        <v>598</v>
      </c>
      <c r="EL111" s="14" t="s">
        <v>598</v>
      </c>
      <c r="EM111" s="14" t="s">
        <v>598</v>
      </c>
      <c r="EN111" s="14" t="s">
        <v>598</v>
      </c>
      <c r="EO111" s="14" t="s">
        <v>598</v>
      </c>
      <c r="EP111" s="14" t="s">
        <v>598</v>
      </c>
      <c r="EQ111" s="14" t="s">
        <v>598</v>
      </c>
      <c r="ER111" s="14" t="s">
        <v>598</v>
      </c>
      <c r="ES111" s="14" t="s">
        <v>598</v>
      </c>
      <c r="ET111" s="14">
        <v>67.3</v>
      </c>
      <c r="EU111" s="14">
        <v>1.2</v>
      </c>
      <c r="EZ111" s="14">
        <v>68.5</v>
      </c>
      <c r="FA111" s="14">
        <v>33.200000000000003</v>
      </c>
      <c r="FG111" s="14">
        <v>33.200000000000003</v>
      </c>
      <c r="FN111" s="14">
        <v>0</v>
      </c>
      <c r="FU111" s="14">
        <v>0</v>
      </c>
      <c r="FV111" s="14">
        <v>124</v>
      </c>
      <c r="FW111" s="14">
        <v>3</v>
      </c>
      <c r="GB111" s="14">
        <v>127</v>
      </c>
      <c r="GI111" s="14">
        <v>0</v>
      </c>
      <c r="GP111" s="14">
        <v>0</v>
      </c>
      <c r="GQ111" s="14" t="s">
        <v>1159</v>
      </c>
      <c r="GR111" s="14">
        <v>662.9</v>
      </c>
      <c r="GS111" s="14">
        <v>59.3</v>
      </c>
      <c r="GX111" s="14">
        <v>722.2</v>
      </c>
      <c r="GY111" s="14">
        <v>887.4</v>
      </c>
      <c r="GZ111" s="14">
        <v>63.5</v>
      </c>
      <c r="HA111" s="14">
        <v>0</v>
      </c>
      <c r="HB111" s="14">
        <v>0</v>
      </c>
      <c r="HC111" s="14">
        <v>0</v>
      </c>
      <c r="HD111" s="14">
        <v>0</v>
      </c>
      <c r="HE111" s="14">
        <v>950.9</v>
      </c>
      <c r="HL111" s="14">
        <v>0</v>
      </c>
      <c r="HM111" s="14">
        <v>887.4</v>
      </c>
      <c r="HN111" s="14">
        <v>63.5</v>
      </c>
      <c r="HS111" s="14">
        <v>950.9</v>
      </c>
      <c r="HZ111" s="14">
        <v>0</v>
      </c>
      <c r="IG111" s="14">
        <v>0</v>
      </c>
      <c r="IN111" s="14">
        <v>0</v>
      </c>
      <c r="IO111" s="14">
        <v>887.4</v>
      </c>
      <c r="IP111" s="14">
        <v>63.5</v>
      </c>
      <c r="IQ111" s="14">
        <v>0</v>
      </c>
      <c r="IR111" s="14">
        <v>0</v>
      </c>
      <c r="IS111" s="14">
        <v>0</v>
      </c>
      <c r="IT111" s="14">
        <v>0</v>
      </c>
      <c r="IU111" s="14">
        <v>950.9</v>
      </c>
      <c r="IX111" s="14">
        <v>100</v>
      </c>
      <c r="JA111" s="14">
        <v>1</v>
      </c>
      <c r="JC111" s="14">
        <v>1</v>
      </c>
      <c r="JD111" s="14" t="s">
        <v>600</v>
      </c>
      <c r="NG111" s="14" t="s">
        <v>601</v>
      </c>
      <c r="NH111" s="14">
        <v>67.3</v>
      </c>
      <c r="NI111" s="14">
        <v>1.2</v>
      </c>
      <c r="NN111" s="14">
        <v>68.5</v>
      </c>
      <c r="NO111" s="14">
        <v>33.200000000000003</v>
      </c>
      <c r="NU111" s="14">
        <v>33.200000000000003</v>
      </c>
      <c r="OB111" s="14">
        <v>0</v>
      </c>
      <c r="OI111" s="14">
        <v>0</v>
      </c>
      <c r="OJ111" s="14">
        <v>124</v>
      </c>
      <c r="OK111" s="14">
        <v>3</v>
      </c>
      <c r="OP111" s="14">
        <v>127</v>
      </c>
      <c r="OW111" s="14">
        <v>0</v>
      </c>
      <c r="PD111" s="14">
        <v>0</v>
      </c>
      <c r="PE111" s="14" t="s">
        <v>1159</v>
      </c>
      <c r="PF111" s="14">
        <v>662.9</v>
      </c>
      <c r="PG111" s="14">
        <v>59.3</v>
      </c>
      <c r="PL111" s="14">
        <v>722.2</v>
      </c>
      <c r="PM111" s="14">
        <v>887.4</v>
      </c>
      <c r="PN111" s="14">
        <v>63.5</v>
      </c>
      <c r="PO111" s="14">
        <v>0</v>
      </c>
      <c r="PP111" s="14">
        <v>0</v>
      </c>
      <c r="PQ111" s="14">
        <v>0</v>
      </c>
      <c r="PR111" s="14">
        <v>0</v>
      </c>
      <c r="PS111" s="14">
        <v>950.9</v>
      </c>
      <c r="PT111" s="14">
        <v>887.4</v>
      </c>
      <c r="PU111" s="14">
        <v>63.5</v>
      </c>
      <c r="PZ111" s="14">
        <v>950.9</v>
      </c>
      <c r="QG111" s="14">
        <v>0</v>
      </c>
      <c r="QN111" s="14">
        <v>0</v>
      </c>
      <c r="QU111" s="14">
        <v>0</v>
      </c>
      <c r="RB111" s="14">
        <v>0</v>
      </c>
      <c r="RC111" s="14">
        <v>887.4</v>
      </c>
      <c r="RD111" s="14">
        <v>63.5</v>
      </c>
      <c r="RE111" s="14">
        <v>0</v>
      </c>
      <c r="RF111" s="14">
        <v>0</v>
      </c>
      <c r="RG111" s="14">
        <v>0</v>
      </c>
      <c r="RH111" s="14">
        <v>0</v>
      </c>
      <c r="RI111" s="14">
        <v>950.9</v>
      </c>
      <c r="RJ111" s="14" t="s">
        <v>602</v>
      </c>
      <c r="VM111" s="14" t="s">
        <v>603</v>
      </c>
      <c r="ZP111" s="14" t="s">
        <v>604</v>
      </c>
      <c r="ADS111" s="14" t="s">
        <v>605</v>
      </c>
    </row>
    <row r="112" spans="1:799" x14ac:dyDescent="0.25">
      <c r="A112" s="14">
        <v>113</v>
      </c>
      <c r="B112" s="14" t="s">
        <v>889</v>
      </c>
      <c r="C112" s="16">
        <v>42761.595138888886</v>
      </c>
      <c r="D112" s="14" t="s">
        <v>1160</v>
      </c>
      <c r="E112" s="14" t="s">
        <v>1161</v>
      </c>
      <c r="F112" s="14" t="str">
        <f>VLOOKUP(MID(H112,SEARCH("@",H112,1),LEN(H112)-SEARCH("@",H112,1)+1),[2]Sheet1!$D:$F,3,FALSE)</f>
        <v>M647</v>
      </c>
      <c r="G112" s="14" t="s">
        <v>673</v>
      </c>
      <c r="H112" s="14" t="s">
        <v>1162</v>
      </c>
      <c r="I112" s="14">
        <v>31548226100</v>
      </c>
      <c r="J112" s="14" t="s">
        <v>979</v>
      </c>
      <c r="K112" s="14" t="s">
        <v>732</v>
      </c>
      <c r="M112" s="14">
        <v>2</v>
      </c>
      <c r="N112" s="14">
        <v>6</v>
      </c>
      <c r="O112" s="14" t="s">
        <v>1163</v>
      </c>
      <c r="V112" s="14">
        <v>0</v>
      </c>
      <c r="AC112" s="14">
        <v>0</v>
      </c>
      <c r="AJ112" s="14">
        <v>0</v>
      </c>
      <c r="AQ112" s="14">
        <v>0</v>
      </c>
      <c r="AX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S112" s="14">
        <v>0</v>
      </c>
      <c r="BZ112" s="14">
        <v>0</v>
      </c>
      <c r="CG112" s="14">
        <v>0</v>
      </c>
      <c r="CN112" s="14">
        <v>0</v>
      </c>
      <c r="CU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 t="s">
        <v>598</v>
      </c>
      <c r="DK112" s="14" t="s">
        <v>598</v>
      </c>
      <c r="DL112" s="14" t="s">
        <v>598</v>
      </c>
      <c r="DM112" s="14" t="s">
        <v>598</v>
      </c>
      <c r="DN112" s="14" t="s">
        <v>598</v>
      </c>
      <c r="DO112" s="14" t="s">
        <v>598</v>
      </c>
      <c r="DP112" s="14" t="s">
        <v>598</v>
      </c>
      <c r="DQ112" s="14" t="s">
        <v>598</v>
      </c>
      <c r="DR112" s="14" t="s">
        <v>598</v>
      </c>
      <c r="DS112" s="14" t="s">
        <v>598</v>
      </c>
      <c r="DT112" s="14" t="s">
        <v>598</v>
      </c>
      <c r="DU112" s="14" t="s">
        <v>598</v>
      </c>
      <c r="DV112" s="14" t="s">
        <v>598</v>
      </c>
      <c r="DW112" s="14" t="s">
        <v>598</v>
      </c>
      <c r="DX112" s="14" t="s">
        <v>598</v>
      </c>
      <c r="DY112" s="14" t="s">
        <v>598</v>
      </c>
      <c r="DZ112" s="14" t="s">
        <v>598</v>
      </c>
      <c r="EA112" s="14" t="s">
        <v>598</v>
      </c>
      <c r="EB112" s="14" t="s">
        <v>598</v>
      </c>
      <c r="EC112" s="14" t="s">
        <v>598</v>
      </c>
      <c r="ED112" s="14" t="s">
        <v>598</v>
      </c>
      <c r="EE112" s="14" t="s">
        <v>598</v>
      </c>
      <c r="EF112" s="14" t="s">
        <v>598</v>
      </c>
      <c r="EG112" s="14" t="s">
        <v>598</v>
      </c>
      <c r="EH112" s="14" t="s">
        <v>598</v>
      </c>
      <c r="EI112" s="14" t="s">
        <v>598</v>
      </c>
      <c r="EJ112" s="14" t="s">
        <v>598</v>
      </c>
      <c r="EK112" s="14" t="s">
        <v>598</v>
      </c>
      <c r="EL112" s="14" t="s">
        <v>598</v>
      </c>
      <c r="EM112" s="14" t="s">
        <v>598</v>
      </c>
      <c r="EN112" s="14" t="s">
        <v>598</v>
      </c>
      <c r="EO112" s="14" t="s">
        <v>598</v>
      </c>
      <c r="EP112" s="14" t="s">
        <v>598</v>
      </c>
      <c r="EQ112" s="14" t="s">
        <v>598</v>
      </c>
      <c r="ER112" s="14" t="s">
        <v>598</v>
      </c>
      <c r="ES112" s="14" t="s">
        <v>598</v>
      </c>
      <c r="EZ112" s="14">
        <v>0</v>
      </c>
      <c r="FG112" s="14">
        <v>0</v>
      </c>
      <c r="FN112" s="14">
        <v>0</v>
      </c>
      <c r="FU112" s="14">
        <v>0</v>
      </c>
      <c r="GB112" s="14">
        <v>0</v>
      </c>
      <c r="GI112" s="14">
        <v>0</v>
      </c>
      <c r="GP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E112" s="14">
        <v>0</v>
      </c>
      <c r="HL112" s="14">
        <v>0</v>
      </c>
      <c r="HS112" s="14">
        <v>0</v>
      </c>
      <c r="HZ112" s="14">
        <v>0</v>
      </c>
      <c r="IG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0</v>
      </c>
      <c r="IS112" s="14">
        <v>0</v>
      </c>
      <c r="IT112" s="14">
        <v>0</v>
      </c>
      <c r="IU112" s="14">
        <v>0</v>
      </c>
      <c r="JA112" s="14">
        <v>3</v>
      </c>
      <c r="JB112" s="14">
        <v>2</v>
      </c>
      <c r="JC112" s="14">
        <v>2</v>
      </c>
      <c r="JD112" s="14" t="s">
        <v>600</v>
      </c>
      <c r="NG112" s="14" t="s">
        <v>601</v>
      </c>
      <c r="RJ112" s="14" t="s">
        <v>602</v>
      </c>
      <c r="VM112" s="14" t="s">
        <v>603</v>
      </c>
      <c r="ZP112" s="14" t="s">
        <v>604</v>
      </c>
      <c r="ADS112" s="14" t="s">
        <v>605</v>
      </c>
    </row>
    <row r="113" spans="1:799" x14ac:dyDescent="0.25">
      <c r="A113" s="14">
        <v>195</v>
      </c>
      <c r="B113" s="14" t="s">
        <v>889</v>
      </c>
      <c r="C113" s="16">
        <v>42775.420138888891</v>
      </c>
      <c r="D113" s="14" t="s">
        <v>1164</v>
      </c>
      <c r="E113" s="14" t="s">
        <v>1165</v>
      </c>
      <c r="F113" s="14" t="str">
        <f>VLOOKUP(MID(H113,SEARCH("@",H113,1),LEN(H113)-SEARCH("@",H113,1)+1),[2]Sheet1!$D:$F,3,FALSE)</f>
        <v>M2875</v>
      </c>
      <c r="G113" s="14" t="s">
        <v>1166</v>
      </c>
      <c r="H113" s="14" t="s">
        <v>1167</v>
      </c>
      <c r="I113" s="14">
        <v>41793577720</v>
      </c>
      <c r="J113" s="14" t="s">
        <v>894</v>
      </c>
      <c r="K113" s="14" t="s">
        <v>732</v>
      </c>
      <c r="M113" s="14">
        <v>1</v>
      </c>
      <c r="R113" s="14">
        <v>40</v>
      </c>
      <c r="T113" s="14">
        <v>20</v>
      </c>
      <c r="V113" s="14">
        <v>60</v>
      </c>
      <c r="Y113" s="14">
        <v>40</v>
      </c>
      <c r="AA113" s="14">
        <v>20</v>
      </c>
      <c r="AC113" s="14">
        <v>60</v>
      </c>
      <c r="AF113" s="14">
        <v>20</v>
      </c>
      <c r="AH113" s="14">
        <v>10</v>
      </c>
      <c r="AJ113" s="14">
        <v>30</v>
      </c>
      <c r="AQ113" s="14">
        <v>0</v>
      </c>
      <c r="AX113" s="14">
        <v>0</v>
      </c>
      <c r="BE113" s="14">
        <v>0</v>
      </c>
      <c r="BF113" s="14">
        <v>0</v>
      </c>
      <c r="BG113" s="14">
        <v>0</v>
      </c>
      <c r="BH113" s="14">
        <v>100</v>
      </c>
      <c r="BI113" s="14">
        <v>0</v>
      </c>
      <c r="BJ113" s="14">
        <v>50</v>
      </c>
      <c r="BK113" s="14">
        <v>0</v>
      </c>
      <c r="BL113" s="14">
        <v>150</v>
      </c>
      <c r="BO113" s="14">
        <v>1</v>
      </c>
      <c r="BQ113" s="14">
        <v>2</v>
      </c>
      <c r="BS113" s="14">
        <v>3</v>
      </c>
      <c r="BV113" s="14">
        <v>1</v>
      </c>
      <c r="BX113" s="14">
        <v>2</v>
      </c>
      <c r="BZ113" s="14">
        <v>3</v>
      </c>
      <c r="CC113" s="14">
        <v>1</v>
      </c>
      <c r="CE113" s="14">
        <v>2</v>
      </c>
      <c r="CG113" s="14">
        <v>3</v>
      </c>
      <c r="CN113" s="14">
        <v>0</v>
      </c>
      <c r="CU113" s="14">
        <v>0</v>
      </c>
      <c r="DB113" s="14">
        <v>0</v>
      </c>
      <c r="DC113" s="14">
        <v>0</v>
      </c>
      <c r="DD113" s="14">
        <v>0</v>
      </c>
      <c r="DE113" s="14">
        <v>3</v>
      </c>
      <c r="DF113" s="14">
        <v>0</v>
      </c>
      <c r="DG113" s="14">
        <v>6</v>
      </c>
      <c r="DH113" s="14">
        <v>0</v>
      </c>
      <c r="DI113" s="14">
        <v>9</v>
      </c>
      <c r="DJ113" s="14" t="s">
        <v>598</v>
      </c>
      <c r="DK113" s="14" t="s">
        <v>598</v>
      </c>
      <c r="DL113" s="14" t="s">
        <v>597</v>
      </c>
      <c r="DM113" s="14" t="s">
        <v>598</v>
      </c>
      <c r="DN113" s="14" t="s">
        <v>597</v>
      </c>
      <c r="DO113" s="14" t="s">
        <v>598</v>
      </c>
      <c r="DP113" s="14" t="s">
        <v>598</v>
      </c>
      <c r="DQ113" s="14" t="s">
        <v>598</v>
      </c>
      <c r="DR113" s="14" t="s">
        <v>597</v>
      </c>
      <c r="DS113" s="14" t="s">
        <v>598</v>
      </c>
      <c r="DT113" s="14" t="s">
        <v>597</v>
      </c>
      <c r="DU113" s="14" t="s">
        <v>598</v>
      </c>
      <c r="DV113" s="14" t="s">
        <v>598</v>
      </c>
      <c r="DW113" s="14" t="s">
        <v>598</v>
      </c>
      <c r="DX113" s="14" t="s">
        <v>597</v>
      </c>
      <c r="DY113" s="14" t="s">
        <v>598</v>
      </c>
      <c r="DZ113" s="14" t="s">
        <v>597</v>
      </c>
      <c r="EA113" s="14" t="s">
        <v>598</v>
      </c>
      <c r="EB113" s="14" t="s">
        <v>598</v>
      </c>
      <c r="EC113" s="14" t="s">
        <v>598</v>
      </c>
      <c r="ED113" s="14" t="s">
        <v>598</v>
      </c>
      <c r="EE113" s="14" t="s">
        <v>598</v>
      </c>
      <c r="EF113" s="14" t="s">
        <v>598</v>
      </c>
      <c r="EG113" s="14" t="s">
        <v>598</v>
      </c>
      <c r="EH113" s="14" t="s">
        <v>598</v>
      </c>
      <c r="EI113" s="14" t="s">
        <v>598</v>
      </c>
      <c r="EJ113" s="14" t="s">
        <v>598</v>
      </c>
      <c r="EK113" s="14" t="s">
        <v>598</v>
      </c>
      <c r="EL113" s="14" t="s">
        <v>598</v>
      </c>
      <c r="EM113" s="14" t="s">
        <v>598</v>
      </c>
      <c r="EN113" s="14" t="s">
        <v>598</v>
      </c>
      <c r="EO113" s="14" t="s">
        <v>598</v>
      </c>
      <c r="EP113" s="14" t="s">
        <v>598</v>
      </c>
      <c r="EQ113" s="14" t="s">
        <v>598</v>
      </c>
      <c r="ER113" s="14" t="s">
        <v>598</v>
      </c>
      <c r="ES113" s="14" t="s">
        <v>598</v>
      </c>
      <c r="EZ113" s="14">
        <v>0</v>
      </c>
      <c r="FC113" s="14">
        <v>100</v>
      </c>
      <c r="FG113" s="14">
        <v>100</v>
      </c>
      <c r="FN113" s="14">
        <v>0</v>
      </c>
      <c r="FU113" s="14">
        <v>0</v>
      </c>
      <c r="GB113" s="14">
        <v>0</v>
      </c>
      <c r="GI113" s="14">
        <v>0</v>
      </c>
      <c r="GP113" s="14">
        <v>0</v>
      </c>
      <c r="GQ113" s="14" t="s">
        <v>1168</v>
      </c>
      <c r="GV113" s="14">
        <v>50</v>
      </c>
      <c r="GX113" s="14">
        <v>50</v>
      </c>
      <c r="GY113" s="14">
        <v>0</v>
      </c>
      <c r="GZ113" s="14">
        <v>0</v>
      </c>
      <c r="HA113" s="14">
        <v>100</v>
      </c>
      <c r="HB113" s="14">
        <v>0</v>
      </c>
      <c r="HC113" s="14">
        <v>50</v>
      </c>
      <c r="HD113" s="14">
        <v>0</v>
      </c>
      <c r="HE113" s="14">
        <v>150</v>
      </c>
      <c r="HL113" s="14">
        <v>0</v>
      </c>
      <c r="HO113" s="14">
        <v>100</v>
      </c>
      <c r="HQ113" s="14">
        <v>50</v>
      </c>
      <c r="HS113" s="14">
        <v>150</v>
      </c>
      <c r="HZ113" s="14">
        <v>0</v>
      </c>
      <c r="IG113" s="14">
        <v>0</v>
      </c>
      <c r="IN113" s="14">
        <v>0</v>
      </c>
      <c r="IO113" s="14">
        <v>0</v>
      </c>
      <c r="IP113" s="14">
        <v>0</v>
      </c>
      <c r="IQ113" s="14">
        <v>100</v>
      </c>
      <c r="IR113" s="14">
        <v>0</v>
      </c>
      <c r="IS113" s="14">
        <v>50</v>
      </c>
      <c r="IT113" s="14">
        <v>0</v>
      </c>
      <c r="IU113" s="14">
        <v>150</v>
      </c>
      <c r="IV113" s="14">
        <v>25</v>
      </c>
      <c r="IX113" s="14">
        <v>75</v>
      </c>
      <c r="JA113" s="14">
        <v>1</v>
      </c>
      <c r="JB113" s="14">
        <v>3</v>
      </c>
      <c r="JC113" s="14">
        <v>2</v>
      </c>
      <c r="JD113" s="14" t="s">
        <v>600</v>
      </c>
      <c r="NG113" s="14" t="s">
        <v>601</v>
      </c>
      <c r="RJ113" s="14" t="s">
        <v>602</v>
      </c>
      <c r="VM113" s="14" t="s">
        <v>603</v>
      </c>
      <c r="ZP113" s="14" t="s">
        <v>604</v>
      </c>
      <c r="ADS113" s="14" t="s">
        <v>605</v>
      </c>
    </row>
    <row r="114" spans="1:799" x14ac:dyDescent="0.25">
      <c r="A114" s="14">
        <v>175</v>
      </c>
      <c r="B114" s="14" t="s">
        <v>889</v>
      </c>
      <c r="C114" s="16">
        <v>42776.027083333334</v>
      </c>
      <c r="D114" s="14" t="s">
        <v>1169</v>
      </c>
      <c r="E114" s="14" t="s">
        <v>1170</v>
      </c>
      <c r="F114" s="14" t="str">
        <f>VLOOKUP(MID(H114,SEARCH("@",H114,1),LEN(H114)-SEARCH("@",H114,1)+1),[2]Sheet1!$D:$F,3,FALSE)</f>
        <v>M073</v>
      </c>
      <c r="G114" s="14" t="s">
        <v>1171</v>
      </c>
      <c r="H114" s="14" t="s">
        <v>1172</v>
      </c>
      <c r="I114" s="14" t="s">
        <v>1173</v>
      </c>
      <c r="J114" s="14" t="s">
        <v>611</v>
      </c>
      <c r="K114" s="14" t="s">
        <v>596</v>
      </c>
      <c r="M114" s="14">
        <v>1</v>
      </c>
      <c r="S114" s="14">
        <v>45</v>
      </c>
      <c r="V114" s="14">
        <v>45</v>
      </c>
      <c r="W114" s="14">
        <v>120</v>
      </c>
      <c r="X114" s="14">
        <v>424</v>
      </c>
      <c r="Z114" s="14">
        <v>858</v>
      </c>
      <c r="AC114" s="14">
        <v>1402</v>
      </c>
      <c r="AE114" s="14">
        <v>300</v>
      </c>
      <c r="AG114" s="14">
        <v>925</v>
      </c>
      <c r="AJ114" s="14">
        <v>1225</v>
      </c>
      <c r="AQ114" s="14">
        <v>0</v>
      </c>
      <c r="AS114" s="14">
        <v>6</v>
      </c>
      <c r="AX114" s="14">
        <v>6</v>
      </c>
      <c r="BE114" s="14">
        <v>0</v>
      </c>
      <c r="BF114" s="14">
        <v>120</v>
      </c>
      <c r="BG114" s="14">
        <v>730</v>
      </c>
      <c r="BH114" s="14">
        <v>0</v>
      </c>
      <c r="BI114" s="14">
        <v>1828</v>
      </c>
      <c r="BJ114" s="14">
        <v>0</v>
      </c>
      <c r="BK114" s="14">
        <v>0</v>
      </c>
      <c r="BL114" s="14">
        <v>2678</v>
      </c>
      <c r="BP114" s="14">
        <v>1</v>
      </c>
      <c r="BS114" s="14">
        <v>1</v>
      </c>
      <c r="BT114" s="14">
        <v>1</v>
      </c>
      <c r="BU114" s="14">
        <v>1</v>
      </c>
      <c r="BW114" s="14">
        <v>6</v>
      </c>
      <c r="BZ114" s="14">
        <v>8</v>
      </c>
      <c r="CB114" s="14">
        <v>2</v>
      </c>
      <c r="CD114" s="14">
        <v>17</v>
      </c>
      <c r="CG114" s="14">
        <v>19</v>
      </c>
      <c r="CN114" s="14">
        <v>0</v>
      </c>
      <c r="CP114" s="14">
        <v>1</v>
      </c>
      <c r="CU114" s="14">
        <v>1</v>
      </c>
      <c r="DB114" s="14">
        <v>0</v>
      </c>
      <c r="DC114" s="14">
        <v>1</v>
      </c>
      <c r="DD114" s="14">
        <v>4</v>
      </c>
      <c r="DE114" s="14">
        <v>0</v>
      </c>
      <c r="DF114" s="14">
        <v>24</v>
      </c>
      <c r="DG114" s="14">
        <v>0</v>
      </c>
      <c r="DH114" s="14">
        <v>0</v>
      </c>
      <c r="DI114" s="14">
        <v>29</v>
      </c>
      <c r="DJ114" s="14" t="s">
        <v>598</v>
      </c>
      <c r="DK114" s="14" t="s">
        <v>598</v>
      </c>
      <c r="DL114" s="14" t="s">
        <v>598</v>
      </c>
      <c r="DM114" s="14" t="s">
        <v>597</v>
      </c>
      <c r="DN114" s="14" t="s">
        <v>598</v>
      </c>
      <c r="DO114" s="14" t="s">
        <v>598</v>
      </c>
      <c r="DP114" s="14" t="s">
        <v>597</v>
      </c>
      <c r="DQ114" s="14" t="s">
        <v>597</v>
      </c>
      <c r="DR114" s="14" t="s">
        <v>598</v>
      </c>
      <c r="DS114" s="14" t="s">
        <v>597</v>
      </c>
      <c r="DT114" s="14" t="s">
        <v>598</v>
      </c>
      <c r="DU114" s="14" t="s">
        <v>598</v>
      </c>
      <c r="DV114" s="14" t="s">
        <v>598</v>
      </c>
      <c r="DW114" s="14" t="s">
        <v>597</v>
      </c>
      <c r="DX114" s="14" t="s">
        <v>598</v>
      </c>
      <c r="DY114" s="14" t="s">
        <v>597</v>
      </c>
      <c r="DZ114" s="14" t="s">
        <v>598</v>
      </c>
      <c r="EA114" s="14" t="s">
        <v>598</v>
      </c>
      <c r="EB114" s="14" t="s">
        <v>598</v>
      </c>
      <c r="EC114" s="14" t="s">
        <v>598</v>
      </c>
      <c r="ED114" s="14" t="s">
        <v>598</v>
      </c>
      <c r="EE114" s="14" t="s">
        <v>598</v>
      </c>
      <c r="EF114" s="14" t="s">
        <v>598</v>
      </c>
      <c r="EG114" s="14" t="s">
        <v>598</v>
      </c>
      <c r="EH114" s="14" t="s">
        <v>598</v>
      </c>
      <c r="EI114" s="14" t="s">
        <v>597</v>
      </c>
      <c r="EJ114" s="14" t="s">
        <v>598</v>
      </c>
      <c r="EK114" s="14" t="s">
        <v>598</v>
      </c>
      <c r="EL114" s="14" t="s">
        <v>598</v>
      </c>
      <c r="EM114" s="14" t="s">
        <v>598</v>
      </c>
      <c r="EN114" s="14" t="s">
        <v>598</v>
      </c>
      <c r="EO114" s="14" t="s">
        <v>598</v>
      </c>
      <c r="EP114" s="14" t="s">
        <v>598</v>
      </c>
      <c r="EQ114" s="14" t="s">
        <v>598</v>
      </c>
      <c r="ER114" s="14" t="s">
        <v>598</v>
      </c>
      <c r="ES114" s="14" t="s">
        <v>598</v>
      </c>
      <c r="ET114" s="14">
        <v>24</v>
      </c>
      <c r="EU114" s="14">
        <v>306</v>
      </c>
      <c r="EW114" s="14">
        <v>909</v>
      </c>
      <c r="EZ114" s="14">
        <v>1239</v>
      </c>
      <c r="FB114" s="14">
        <v>424</v>
      </c>
      <c r="FD114" s="14">
        <v>63</v>
      </c>
      <c r="FG114" s="14">
        <v>487</v>
      </c>
      <c r="FH114" s="14">
        <v>38</v>
      </c>
      <c r="FK114" s="14">
        <v>263</v>
      </c>
      <c r="FN114" s="14">
        <v>301</v>
      </c>
      <c r="FU114" s="14">
        <v>0</v>
      </c>
      <c r="GB114" s="14">
        <v>0</v>
      </c>
      <c r="GC114" s="14">
        <v>45</v>
      </c>
      <c r="GF114" s="14">
        <v>156</v>
      </c>
      <c r="GI114" s="14">
        <v>201</v>
      </c>
      <c r="GM114" s="14">
        <v>63</v>
      </c>
      <c r="GP114" s="14">
        <v>63</v>
      </c>
      <c r="GR114" s="14">
        <v>13</v>
      </c>
      <c r="GU114" s="14">
        <v>374</v>
      </c>
      <c r="GX114" s="14">
        <v>387</v>
      </c>
      <c r="GY114" s="14">
        <v>120</v>
      </c>
      <c r="GZ114" s="14">
        <v>730</v>
      </c>
      <c r="HA114" s="14">
        <v>0</v>
      </c>
      <c r="HB114" s="14">
        <v>1828</v>
      </c>
      <c r="HC114" s="14">
        <v>0</v>
      </c>
      <c r="HD114" s="14">
        <v>0</v>
      </c>
      <c r="HE114" s="14">
        <v>2678</v>
      </c>
      <c r="HI114" s="14">
        <v>183</v>
      </c>
      <c r="HL114" s="14">
        <v>183</v>
      </c>
      <c r="HM114" s="14">
        <v>120</v>
      </c>
      <c r="HN114" s="14">
        <v>424</v>
      </c>
      <c r="HP114" s="14">
        <v>826</v>
      </c>
      <c r="HS114" s="14">
        <v>1370</v>
      </c>
      <c r="HU114" s="14">
        <v>306</v>
      </c>
      <c r="HW114" s="14">
        <v>696</v>
      </c>
      <c r="HZ114" s="14">
        <v>1002</v>
      </c>
      <c r="ID114" s="14">
        <v>11</v>
      </c>
      <c r="IG114" s="14">
        <v>11</v>
      </c>
      <c r="IK114" s="14">
        <v>112</v>
      </c>
      <c r="IN114" s="14">
        <v>112</v>
      </c>
      <c r="IO114" s="14">
        <v>120</v>
      </c>
      <c r="IP114" s="14">
        <v>730</v>
      </c>
      <c r="IQ114" s="14">
        <v>0</v>
      </c>
      <c r="IR114" s="14">
        <v>1828</v>
      </c>
      <c r="IS114" s="14">
        <v>0</v>
      </c>
      <c r="IT114" s="14">
        <v>0</v>
      </c>
      <c r="IU114" s="14">
        <v>2678</v>
      </c>
      <c r="IX114" s="14">
        <v>100</v>
      </c>
      <c r="JA114" s="14">
        <v>1</v>
      </c>
      <c r="JB114" s="14">
        <v>2</v>
      </c>
      <c r="JC114" s="14">
        <v>1</v>
      </c>
      <c r="JD114" s="14" t="s">
        <v>600</v>
      </c>
      <c r="JK114" s="14">
        <v>0</v>
      </c>
      <c r="JR114" s="14">
        <v>0</v>
      </c>
      <c r="JY114" s="14">
        <v>0</v>
      </c>
      <c r="KF114" s="14">
        <v>0</v>
      </c>
      <c r="KM114" s="14">
        <v>0</v>
      </c>
      <c r="KT114" s="14">
        <v>0</v>
      </c>
      <c r="LA114" s="14">
        <v>0</v>
      </c>
      <c r="LB114" s="14" t="s">
        <v>1174</v>
      </c>
      <c r="LF114" s="14">
        <v>45</v>
      </c>
      <c r="LI114" s="14">
        <v>45</v>
      </c>
      <c r="LJ114" s="14">
        <v>0</v>
      </c>
      <c r="LK114" s="14">
        <v>0</v>
      </c>
      <c r="LL114" s="14">
        <v>0</v>
      </c>
      <c r="LM114" s="14">
        <v>45</v>
      </c>
      <c r="LN114" s="14">
        <v>0</v>
      </c>
      <c r="LO114" s="14">
        <v>0</v>
      </c>
      <c r="LP114" s="14">
        <v>45</v>
      </c>
      <c r="LW114" s="14">
        <v>0</v>
      </c>
      <c r="MD114" s="14">
        <v>0</v>
      </c>
      <c r="MH114" s="14">
        <v>45</v>
      </c>
      <c r="MK114" s="14">
        <v>45</v>
      </c>
      <c r="MR114" s="14">
        <v>0</v>
      </c>
      <c r="MY114" s="14">
        <v>0</v>
      </c>
      <c r="MZ114" s="14">
        <v>0</v>
      </c>
      <c r="NA114" s="14">
        <v>0</v>
      </c>
      <c r="NB114" s="14">
        <v>0</v>
      </c>
      <c r="NC114" s="14">
        <v>45</v>
      </c>
      <c r="ND114" s="14">
        <v>0</v>
      </c>
      <c r="NE114" s="14">
        <v>0</v>
      </c>
      <c r="NF114" s="14">
        <v>45</v>
      </c>
      <c r="NG114" s="14" t="s">
        <v>601</v>
      </c>
      <c r="NH114" s="14">
        <v>24</v>
      </c>
      <c r="NK114" s="14">
        <v>826</v>
      </c>
      <c r="NN114" s="14">
        <v>850</v>
      </c>
      <c r="NP114" s="14">
        <v>424</v>
      </c>
      <c r="NU114" s="14">
        <v>424</v>
      </c>
      <c r="NV114" s="14">
        <v>38</v>
      </c>
      <c r="OB114" s="14">
        <v>38</v>
      </c>
      <c r="OI114" s="14">
        <v>0</v>
      </c>
      <c r="OP114" s="14">
        <v>0</v>
      </c>
      <c r="OQ114" s="14">
        <v>45</v>
      </c>
      <c r="OW114" s="14">
        <v>45</v>
      </c>
      <c r="PA114" s="14">
        <v>32</v>
      </c>
      <c r="PD114" s="14">
        <v>32</v>
      </c>
      <c r="PE114" s="14" t="s">
        <v>928</v>
      </c>
      <c r="PF114" s="14">
        <v>13</v>
      </c>
      <c r="PL114" s="14">
        <v>13</v>
      </c>
      <c r="PM114" s="14">
        <v>120</v>
      </c>
      <c r="PN114" s="14">
        <v>424</v>
      </c>
      <c r="PO114" s="14">
        <v>0</v>
      </c>
      <c r="PP114" s="14">
        <v>858</v>
      </c>
      <c r="PQ114" s="14">
        <v>0</v>
      </c>
      <c r="PR114" s="14">
        <v>0</v>
      </c>
      <c r="PS114" s="14">
        <v>1402</v>
      </c>
      <c r="PT114" s="14">
        <v>120</v>
      </c>
      <c r="PU114" s="14">
        <v>424</v>
      </c>
      <c r="PW114" s="14">
        <v>826</v>
      </c>
      <c r="PZ114" s="14">
        <v>1370</v>
      </c>
      <c r="QD114" s="14">
        <v>32</v>
      </c>
      <c r="QG114" s="14">
        <v>32</v>
      </c>
      <c r="QN114" s="14">
        <v>0</v>
      </c>
      <c r="QU114" s="14">
        <v>0</v>
      </c>
      <c r="RB114" s="14">
        <v>0</v>
      </c>
      <c r="RC114" s="14">
        <v>120</v>
      </c>
      <c r="RD114" s="14">
        <v>424</v>
      </c>
      <c r="RE114" s="14">
        <v>0</v>
      </c>
      <c r="RF114" s="14">
        <v>858</v>
      </c>
      <c r="RG114" s="14">
        <v>0</v>
      </c>
      <c r="RH114" s="14">
        <v>0</v>
      </c>
      <c r="RI114" s="14">
        <v>1402</v>
      </c>
      <c r="RJ114" s="14" t="s">
        <v>602</v>
      </c>
      <c r="RL114" s="14">
        <v>300</v>
      </c>
      <c r="RN114" s="14">
        <v>84</v>
      </c>
      <c r="RQ114" s="14">
        <v>384</v>
      </c>
      <c r="RU114" s="14">
        <v>63</v>
      </c>
      <c r="RX114" s="14">
        <v>63</v>
      </c>
      <c r="SB114" s="14">
        <v>263</v>
      </c>
      <c r="SE114" s="14">
        <v>263</v>
      </c>
      <c r="SL114" s="14">
        <v>0</v>
      </c>
      <c r="SS114" s="14">
        <v>0</v>
      </c>
      <c r="SW114" s="14">
        <v>156</v>
      </c>
      <c r="SZ114" s="14">
        <v>156</v>
      </c>
      <c r="TD114" s="14">
        <v>30</v>
      </c>
      <c r="TG114" s="14">
        <v>30</v>
      </c>
      <c r="TH114" s="14" t="s">
        <v>1175</v>
      </c>
      <c r="TL114" s="14">
        <v>329</v>
      </c>
      <c r="TO114" s="14">
        <v>329</v>
      </c>
      <c r="TP114" s="14">
        <v>0</v>
      </c>
      <c r="TQ114" s="14">
        <v>300</v>
      </c>
      <c r="TR114" s="14">
        <v>0</v>
      </c>
      <c r="TS114" s="14">
        <v>925</v>
      </c>
      <c r="TT114" s="14">
        <v>0</v>
      </c>
      <c r="TU114" s="14">
        <v>0</v>
      </c>
      <c r="TV114" s="14">
        <v>1225</v>
      </c>
      <c r="UC114" s="14">
        <v>0</v>
      </c>
      <c r="UG114" s="14">
        <v>151</v>
      </c>
      <c r="UJ114" s="14">
        <v>151</v>
      </c>
      <c r="UL114" s="14">
        <v>300</v>
      </c>
      <c r="UN114" s="14">
        <v>651</v>
      </c>
      <c r="UQ114" s="14">
        <v>951</v>
      </c>
      <c r="UU114" s="14">
        <v>11</v>
      </c>
      <c r="UX114" s="14">
        <v>11</v>
      </c>
      <c r="VB114" s="14">
        <v>112</v>
      </c>
      <c r="VE114" s="14">
        <v>112</v>
      </c>
      <c r="VF114" s="14">
        <v>0</v>
      </c>
      <c r="VG114" s="14">
        <v>300</v>
      </c>
      <c r="VH114" s="14">
        <v>0</v>
      </c>
      <c r="VI114" s="14">
        <v>925</v>
      </c>
      <c r="VJ114" s="14">
        <v>0</v>
      </c>
      <c r="VK114" s="14">
        <v>0</v>
      </c>
      <c r="VL114" s="14">
        <v>1225</v>
      </c>
      <c r="VM114" s="14" t="s">
        <v>603</v>
      </c>
      <c r="ZP114" s="14" t="s">
        <v>604</v>
      </c>
      <c r="ZR114" s="14">
        <v>6</v>
      </c>
      <c r="ZW114" s="14">
        <v>6</v>
      </c>
      <c r="AAD114" s="14">
        <v>0</v>
      </c>
      <c r="AAK114" s="14">
        <v>0</v>
      </c>
      <c r="AAR114" s="14">
        <v>0</v>
      </c>
      <c r="AAY114" s="14">
        <v>0</v>
      </c>
      <c r="ABF114" s="14">
        <v>0</v>
      </c>
      <c r="ABM114" s="14">
        <v>0</v>
      </c>
      <c r="ABU114" s="14">
        <v>0</v>
      </c>
      <c r="ABV114" s="14">
        <v>0</v>
      </c>
      <c r="ABW114" s="14">
        <v>6</v>
      </c>
      <c r="ABX114" s="14">
        <v>0</v>
      </c>
      <c r="ABY114" s="14">
        <v>0</v>
      </c>
      <c r="ABZ114" s="14">
        <v>0</v>
      </c>
      <c r="ACA114" s="14">
        <v>0</v>
      </c>
      <c r="ACB114" s="14">
        <v>6</v>
      </c>
      <c r="ACI114" s="14">
        <v>0</v>
      </c>
      <c r="ACP114" s="14">
        <v>0</v>
      </c>
      <c r="ACR114" s="14">
        <v>6</v>
      </c>
      <c r="ACW114" s="14">
        <v>6</v>
      </c>
      <c r="ADD114" s="14">
        <v>0</v>
      </c>
      <c r="ADK114" s="14">
        <v>0</v>
      </c>
      <c r="ADL114" s="14">
        <v>0</v>
      </c>
      <c r="ADM114" s="14">
        <v>6</v>
      </c>
      <c r="ADN114" s="14">
        <v>0</v>
      </c>
      <c r="ADO114" s="14">
        <v>0</v>
      </c>
      <c r="ADP114" s="14">
        <v>0</v>
      </c>
      <c r="ADQ114" s="14">
        <v>0</v>
      </c>
      <c r="ADR114" s="14">
        <v>6</v>
      </c>
      <c r="ADS114" s="14" t="s">
        <v>605</v>
      </c>
    </row>
    <row r="115" spans="1:799" x14ac:dyDescent="0.25">
      <c r="A115" s="14">
        <v>198</v>
      </c>
      <c r="B115" s="14" t="s">
        <v>889</v>
      </c>
      <c r="C115" s="16">
        <v>42776.505555555559</v>
      </c>
      <c r="D115" s="14" t="s">
        <v>1176</v>
      </c>
      <c r="E115" s="14" t="s">
        <v>1177</v>
      </c>
      <c r="F115" s="14" t="str">
        <f>VLOOKUP(MID(H115,SEARCH("@",H115,1),LEN(H115)-SEARCH("@",H115,1)+1),[2]Sheet1!$D:$F,3,FALSE)</f>
        <v>M174</v>
      </c>
      <c r="G115" s="14" t="s">
        <v>1178</v>
      </c>
      <c r="H115" s="14" t="s">
        <v>1179</v>
      </c>
      <c r="I115" s="14">
        <v>37061272020</v>
      </c>
      <c r="J115" s="14" t="s">
        <v>900</v>
      </c>
      <c r="K115" s="14" t="s">
        <v>732</v>
      </c>
      <c r="M115" s="14">
        <v>1</v>
      </c>
      <c r="V115" s="14">
        <v>0</v>
      </c>
      <c r="W115" s="14">
        <v>163</v>
      </c>
      <c r="AC115" s="14">
        <v>163</v>
      </c>
      <c r="AJ115" s="14">
        <v>0</v>
      </c>
      <c r="AQ115" s="14">
        <v>0</v>
      </c>
      <c r="AX115" s="14">
        <v>0</v>
      </c>
      <c r="BE115" s="14">
        <v>0</v>
      </c>
      <c r="BF115" s="14">
        <v>163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163</v>
      </c>
      <c r="BS115" s="14">
        <v>0</v>
      </c>
      <c r="BT115" s="14">
        <v>1</v>
      </c>
      <c r="BZ115" s="14">
        <v>1</v>
      </c>
      <c r="CG115" s="14">
        <v>0</v>
      </c>
      <c r="CN115" s="14">
        <v>0</v>
      </c>
      <c r="CU115" s="14">
        <v>0</v>
      </c>
      <c r="DB115" s="14">
        <v>0</v>
      </c>
      <c r="DC115" s="14">
        <v>1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1</v>
      </c>
      <c r="DJ115" s="14" t="s">
        <v>598</v>
      </c>
      <c r="DK115" s="14" t="s">
        <v>598</v>
      </c>
      <c r="DL115" s="14" t="s">
        <v>598</v>
      </c>
      <c r="DM115" s="14" t="s">
        <v>598</v>
      </c>
      <c r="DN115" s="14" t="s">
        <v>598</v>
      </c>
      <c r="DO115" s="14" t="s">
        <v>598</v>
      </c>
      <c r="DP115" s="14" t="s">
        <v>597</v>
      </c>
      <c r="DQ115" s="14" t="s">
        <v>598</v>
      </c>
      <c r="DR115" s="14" t="s">
        <v>598</v>
      </c>
      <c r="DS115" s="14" t="s">
        <v>598</v>
      </c>
      <c r="DT115" s="14" t="s">
        <v>598</v>
      </c>
      <c r="DU115" s="14" t="s">
        <v>598</v>
      </c>
      <c r="DV115" s="14" t="s">
        <v>598</v>
      </c>
      <c r="DW115" s="14" t="s">
        <v>598</v>
      </c>
      <c r="DX115" s="14" t="s">
        <v>598</v>
      </c>
      <c r="DY115" s="14" t="s">
        <v>598</v>
      </c>
      <c r="DZ115" s="14" t="s">
        <v>598</v>
      </c>
      <c r="EA115" s="14" t="s">
        <v>598</v>
      </c>
      <c r="EB115" s="14" t="s">
        <v>598</v>
      </c>
      <c r="EC115" s="14" t="s">
        <v>598</v>
      </c>
      <c r="ED115" s="14" t="s">
        <v>598</v>
      </c>
      <c r="EE115" s="14" t="s">
        <v>598</v>
      </c>
      <c r="EF115" s="14" t="s">
        <v>598</v>
      </c>
      <c r="EG115" s="14" t="s">
        <v>598</v>
      </c>
      <c r="EH115" s="14" t="s">
        <v>598</v>
      </c>
      <c r="EI115" s="14" t="s">
        <v>598</v>
      </c>
      <c r="EJ115" s="14" t="s">
        <v>598</v>
      </c>
      <c r="EK115" s="14" t="s">
        <v>598</v>
      </c>
      <c r="EL115" s="14" t="s">
        <v>598</v>
      </c>
      <c r="EM115" s="14" t="s">
        <v>598</v>
      </c>
      <c r="EN115" s="14" t="s">
        <v>598</v>
      </c>
      <c r="EO115" s="14" t="s">
        <v>598</v>
      </c>
      <c r="EP115" s="14" t="s">
        <v>598</v>
      </c>
      <c r="EQ115" s="14" t="s">
        <v>598</v>
      </c>
      <c r="ER115" s="14" t="s">
        <v>598</v>
      </c>
      <c r="ES115" s="14" t="s">
        <v>598</v>
      </c>
      <c r="ET115" s="14">
        <v>131</v>
      </c>
      <c r="EZ115" s="14">
        <v>131</v>
      </c>
      <c r="FG115" s="14">
        <v>0</v>
      </c>
      <c r="FN115" s="14">
        <v>0</v>
      </c>
      <c r="FU115" s="14">
        <v>0</v>
      </c>
      <c r="FV115" s="14">
        <v>12</v>
      </c>
      <c r="GB115" s="14">
        <v>12</v>
      </c>
      <c r="GC115" s="14">
        <v>19</v>
      </c>
      <c r="GI115" s="14">
        <v>19</v>
      </c>
      <c r="GP115" s="14">
        <v>0</v>
      </c>
      <c r="GR115" s="14">
        <v>1</v>
      </c>
      <c r="GX115" s="14">
        <v>1</v>
      </c>
      <c r="GY115" s="14">
        <v>163</v>
      </c>
      <c r="GZ115" s="14">
        <v>0</v>
      </c>
      <c r="HA115" s="14">
        <v>0</v>
      </c>
      <c r="HB115" s="14">
        <v>0</v>
      </c>
      <c r="HC115" s="14">
        <v>0</v>
      </c>
      <c r="HD115" s="14">
        <v>0</v>
      </c>
      <c r="HE115" s="14">
        <v>163</v>
      </c>
      <c r="HL115" s="14">
        <v>0</v>
      </c>
      <c r="HM115" s="14">
        <v>163</v>
      </c>
      <c r="HS115" s="14">
        <v>163</v>
      </c>
      <c r="HZ115" s="14">
        <v>0</v>
      </c>
      <c r="IG115" s="14">
        <v>0</v>
      </c>
      <c r="IN115" s="14">
        <v>0</v>
      </c>
      <c r="IO115" s="14">
        <v>163</v>
      </c>
      <c r="IP115" s="14">
        <v>0</v>
      </c>
      <c r="IQ115" s="14">
        <v>0</v>
      </c>
      <c r="IR115" s="14">
        <v>0</v>
      </c>
      <c r="IS115" s="14">
        <v>0</v>
      </c>
      <c r="IT115" s="14">
        <v>0</v>
      </c>
      <c r="IU115" s="14">
        <v>163</v>
      </c>
      <c r="IV115" s="14">
        <v>100</v>
      </c>
      <c r="JA115" s="14">
        <v>2</v>
      </c>
      <c r="JB115" s="14">
        <v>3</v>
      </c>
      <c r="JC115" s="14">
        <v>1</v>
      </c>
      <c r="JD115" s="14" t="s">
        <v>600</v>
      </c>
      <c r="NG115" s="14" t="s">
        <v>601</v>
      </c>
      <c r="NH115" s="14">
        <v>131</v>
      </c>
      <c r="NN115" s="14">
        <v>131</v>
      </c>
      <c r="NU115" s="14">
        <v>0</v>
      </c>
      <c r="OB115" s="14">
        <v>0</v>
      </c>
      <c r="OI115" s="14">
        <v>0</v>
      </c>
      <c r="OJ115" s="14">
        <v>12</v>
      </c>
      <c r="OP115" s="14">
        <v>12</v>
      </c>
      <c r="OQ115" s="14">
        <v>19</v>
      </c>
      <c r="OW115" s="14">
        <v>19</v>
      </c>
      <c r="PD115" s="14">
        <v>0</v>
      </c>
      <c r="PF115" s="14">
        <v>1</v>
      </c>
      <c r="PL115" s="14">
        <v>1</v>
      </c>
      <c r="PM115" s="14">
        <v>163</v>
      </c>
      <c r="PN115" s="14">
        <v>0</v>
      </c>
      <c r="PO115" s="14">
        <v>0</v>
      </c>
      <c r="PP115" s="14">
        <v>0</v>
      </c>
      <c r="PQ115" s="14">
        <v>0</v>
      </c>
      <c r="PR115" s="14">
        <v>0</v>
      </c>
      <c r="PS115" s="14">
        <v>163</v>
      </c>
      <c r="PT115" s="14">
        <v>163</v>
      </c>
      <c r="PZ115" s="14">
        <v>163</v>
      </c>
      <c r="QG115" s="14">
        <v>0</v>
      </c>
      <c r="QN115" s="14">
        <v>0</v>
      </c>
      <c r="QU115" s="14">
        <v>0</v>
      </c>
      <c r="RB115" s="14">
        <v>0</v>
      </c>
      <c r="RC115" s="14">
        <v>163</v>
      </c>
      <c r="RD115" s="14">
        <v>0</v>
      </c>
      <c r="RE115" s="14">
        <v>0</v>
      </c>
      <c r="RF115" s="14">
        <v>0</v>
      </c>
      <c r="RG115" s="14">
        <v>0</v>
      </c>
      <c r="RH115" s="14">
        <v>0</v>
      </c>
      <c r="RI115" s="14">
        <v>163</v>
      </c>
      <c r="RJ115" s="14" t="s">
        <v>602</v>
      </c>
      <c r="VM115" s="14" t="s">
        <v>603</v>
      </c>
      <c r="ZP115" s="14" t="s">
        <v>604</v>
      </c>
      <c r="ADS115" s="14" t="s">
        <v>605</v>
      </c>
    </row>
    <row r="116" spans="1:799" x14ac:dyDescent="0.25">
      <c r="A116" s="14">
        <v>119</v>
      </c>
      <c r="B116" s="14" t="s">
        <v>889</v>
      </c>
      <c r="C116" s="16">
        <v>42766.592361111114</v>
      </c>
      <c r="D116" s="14" t="s">
        <v>1180</v>
      </c>
      <c r="E116" s="14" t="s">
        <v>1181</v>
      </c>
      <c r="F116" s="14" t="str">
        <f>VLOOKUP(MID(H116,SEARCH("@",H116,1),LEN(H116)-SEARCH("@",H116,1)+1),[2]Sheet1!$D:$F,3,FALSE)</f>
        <v>M678</v>
      </c>
      <c r="G116" s="14" t="s">
        <v>1182</v>
      </c>
      <c r="H116" s="14" t="s">
        <v>1183</v>
      </c>
      <c r="I116" s="14">
        <v>3522615002501</v>
      </c>
      <c r="J116" s="14" t="s">
        <v>938</v>
      </c>
      <c r="K116" s="14" t="s">
        <v>732</v>
      </c>
      <c r="M116" s="14">
        <v>1</v>
      </c>
      <c r="P116" s="14">
        <v>300</v>
      </c>
      <c r="V116" s="14">
        <v>300</v>
      </c>
      <c r="W116" s="14">
        <v>60</v>
      </c>
      <c r="AC116" s="14">
        <v>60</v>
      </c>
      <c r="AD116" s="14">
        <v>150</v>
      </c>
      <c r="AJ116" s="14">
        <v>150</v>
      </c>
      <c r="AQ116" s="14">
        <v>0</v>
      </c>
      <c r="AX116" s="14">
        <v>0</v>
      </c>
      <c r="BE116" s="14">
        <v>0</v>
      </c>
      <c r="BF116" s="14">
        <v>510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510</v>
      </c>
      <c r="BM116" s="14">
        <v>1</v>
      </c>
      <c r="BS116" s="14">
        <v>1</v>
      </c>
      <c r="BT116" s="14">
        <v>1</v>
      </c>
      <c r="BZ116" s="14">
        <v>1</v>
      </c>
      <c r="CA116" s="14">
        <v>1</v>
      </c>
      <c r="CG116" s="14">
        <v>1</v>
      </c>
      <c r="CN116" s="14">
        <v>0</v>
      </c>
      <c r="CU116" s="14">
        <v>0</v>
      </c>
      <c r="DB116" s="14">
        <v>0</v>
      </c>
      <c r="DC116" s="14">
        <v>3</v>
      </c>
      <c r="DD116" s="14">
        <v>0</v>
      </c>
      <c r="DE116" s="14">
        <v>0</v>
      </c>
      <c r="DF116" s="14">
        <v>0</v>
      </c>
      <c r="DG116" s="14">
        <v>0</v>
      </c>
      <c r="DH116" s="14">
        <v>0</v>
      </c>
      <c r="DI116" s="14">
        <v>3</v>
      </c>
      <c r="DJ116" s="14" t="s">
        <v>597</v>
      </c>
      <c r="DK116" s="14" t="s">
        <v>598</v>
      </c>
      <c r="DL116" s="14" t="s">
        <v>598</v>
      </c>
      <c r="DM116" s="14" t="s">
        <v>598</v>
      </c>
      <c r="DN116" s="14" t="s">
        <v>598</v>
      </c>
      <c r="DO116" s="14" t="s">
        <v>598</v>
      </c>
      <c r="DP116" s="14" t="s">
        <v>597</v>
      </c>
      <c r="DQ116" s="14" t="s">
        <v>598</v>
      </c>
      <c r="DR116" s="14" t="s">
        <v>598</v>
      </c>
      <c r="DS116" s="14" t="s">
        <v>598</v>
      </c>
      <c r="DT116" s="14" t="s">
        <v>598</v>
      </c>
      <c r="DU116" s="14" t="s">
        <v>598</v>
      </c>
      <c r="DV116" s="14" t="s">
        <v>597</v>
      </c>
      <c r="DW116" s="14" t="s">
        <v>598</v>
      </c>
      <c r="DX116" s="14" t="s">
        <v>598</v>
      </c>
      <c r="DY116" s="14" t="s">
        <v>598</v>
      </c>
      <c r="DZ116" s="14" t="s">
        <v>598</v>
      </c>
      <c r="EA116" s="14" t="s">
        <v>598</v>
      </c>
      <c r="EB116" s="14" t="s">
        <v>598</v>
      </c>
      <c r="EC116" s="14" t="s">
        <v>598</v>
      </c>
      <c r="ED116" s="14" t="s">
        <v>598</v>
      </c>
      <c r="EE116" s="14" t="s">
        <v>598</v>
      </c>
      <c r="EF116" s="14" t="s">
        <v>598</v>
      </c>
      <c r="EG116" s="14" t="s">
        <v>598</v>
      </c>
      <c r="EH116" s="14" t="s">
        <v>598</v>
      </c>
      <c r="EI116" s="14" t="s">
        <v>598</v>
      </c>
      <c r="EJ116" s="14" t="s">
        <v>598</v>
      </c>
      <c r="EK116" s="14" t="s">
        <v>598</v>
      </c>
      <c r="EL116" s="14" t="s">
        <v>598</v>
      </c>
      <c r="EM116" s="14" t="s">
        <v>598</v>
      </c>
      <c r="EN116" s="14" t="s">
        <v>598</v>
      </c>
      <c r="EO116" s="14" t="s">
        <v>598</v>
      </c>
      <c r="EP116" s="14" t="s">
        <v>598</v>
      </c>
      <c r="EQ116" s="14" t="s">
        <v>598</v>
      </c>
      <c r="ER116" s="14" t="s">
        <v>598</v>
      </c>
      <c r="ES116" s="14" t="s">
        <v>598</v>
      </c>
      <c r="ET116" s="14">
        <v>300</v>
      </c>
      <c r="EZ116" s="14">
        <v>300</v>
      </c>
      <c r="FA116" s="14">
        <v>190</v>
      </c>
      <c r="FG116" s="14">
        <v>190</v>
      </c>
      <c r="FN116" s="14">
        <v>0</v>
      </c>
      <c r="FU116" s="14">
        <v>0</v>
      </c>
      <c r="GB116" s="14">
        <v>0</v>
      </c>
      <c r="GI116" s="14">
        <v>0</v>
      </c>
      <c r="GJ116" s="14">
        <v>20</v>
      </c>
      <c r="GP116" s="14">
        <v>20</v>
      </c>
      <c r="GX116" s="14">
        <v>0</v>
      </c>
      <c r="GY116" s="14">
        <v>510</v>
      </c>
      <c r="GZ116" s="14">
        <v>0</v>
      </c>
      <c r="HA116" s="14">
        <v>0</v>
      </c>
      <c r="HB116" s="14">
        <v>0</v>
      </c>
      <c r="HC116" s="14">
        <v>0</v>
      </c>
      <c r="HD116" s="14">
        <v>0</v>
      </c>
      <c r="HE116" s="14">
        <v>510</v>
      </c>
      <c r="HL116" s="14">
        <v>0</v>
      </c>
      <c r="HM116" s="14">
        <v>510</v>
      </c>
      <c r="HS116" s="14">
        <v>510</v>
      </c>
      <c r="HZ116" s="14">
        <v>0</v>
      </c>
      <c r="IG116" s="14">
        <v>0</v>
      </c>
      <c r="IN116" s="14">
        <v>0</v>
      </c>
      <c r="IO116" s="14">
        <v>510</v>
      </c>
      <c r="IP116" s="14">
        <v>0</v>
      </c>
      <c r="IQ116" s="14">
        <v>0</v>
      </c>
      <c r="IR116" s="14">
        <v>0</v>
      </c>
      <c r="IS116" s="14">
        <v>0</v>
      </c>
      <c r="IT116" s="14">
        <v>0</v>
      </c>
      <c r="IU116" s="14">
        <v>510</v>
      </c>
      <c r="IW116" s="14">
        <v>100</v>
      </c>
      <c r="JA116" s="14">
        <v>1</v>
      </c>
      <c r="JB116" s="14">
        <v>1</v>
      </c>
      <c r="JC116" s="14">
        <v>1</v>
      </c>
      <c r="JD116" s="14" t="s">
        <v>600</v>
      </c>
      <c r="JE116" s="14">
        <v>200</v>
      </c>
      <c r="JK116" s="14">
        <v>200</v>
      </c>
      <c r="JR116" s="14">
        <v>0</v>
      </c>
      <c r="JS116" s="14">
        <v>100</v>
      </c>
      <c r="JY116" s="14">
        <v>100</v>
      </c>
      <c r="KF116" s="14">
        <v>0</v>
      </c>
      <c r="KM116" s="14">
        <v>0</v>
      </c>
      <c r="KT116" s="14">
        <v>0</v>
      </c>
      <c r="LA116" s="14">
        <v>0</v>
      </c>
      <c r="LI116" s="14">
        <v>0</v>
      </c>
      <c r="LJ116" s="14">
        <v>300</v>
      </c>
      <c r="LK116" s="14">
        <v>0</v>
      </c>
      <c r="LL116" s="14">
        <v>0</v>
      </c>
      <c r="LM116" s="14">
        <v>0</v>
      </c>
      <c r="LN116" s="14">
        <v>0</v>
      </c>
      <c r="LO116" s="14">
        <v>0</v>
      </c>
      <c r="LP116" s="14">
        <v>300</v>
      </c>
      <c r="LQ116" s="14">
        <v>200</v>
      </c>
      <c r="LW116" s="14">
        <v>200</v>
      </c>
      <c r="LX116" s="14">
        <v>100</v>
      </c>
      <c r="MD116" s="14">
        <v>100</v>
      </c>
      <c r="MK116" s="14">
        <v>0</v>
      </c>
      <c r="MR116" s="14">
        <v>0</v>
      </c>
      <c r="MY116" s="14">
        <v>0</v>
      </c>
      <c r="MZ116" s="14">
        <v>300</v>
      </c>
      <c r="NA116" s="14">
        <v>0</v>
      </c>
      <c r="NB116" s="14">
        <v>0</v>
      </c>
      <c r="NC116" s="14">
        <v>0</v>
      </c>
      <c r="ND116" s="14">
        <v>0</v>
      </c>
      <c r="NE116" s="14">
        <v>0</v>
      </c>
      <c r="NF116" s="14">
        <v>300</v>
      </c>
      <c r="NG116" s="14" t="s">
        <v>601</v>
      </c>
      <c r="NN116" s="14">
        <v>0</v>
      </c>
      <c r="NU116" s="14">
        <v>0</v>
      </c>
      <c r="OB116" s="14">
        <v>0</v>
      </c>
      <c r="OI116" s="14">
        <v>0</v>
      </c>
      <c r="OP116" s="14">
        <v>0</v>
      </c>
      <c r="OW116" s="14">
        <v>0</v>
      </c>
      <c r="OX116" s="14">
        <v>60</v>
      </c>
      <c r="PD116" s="14">
        <v>60</v>
      </c>
      <c r="PL116" s="14">
        <v>0</v>
      </c>
      <c r="PM116" s="14">
        <v>60</v>
      </c>
      <c r="PN116" s="14">
        <v>0</v>
      </c>
      <c r="PO116" s="14">
        <v>0</v>
      </c>
      <c r="PP116" s="14">
        <v>0</v>
      </c>
      <c r="PQ116" s="14">
        <v>0</v>
      </c>
      <c r="PR116" s="14">
        <v>0</v>
      </c>
      <c r="PS116" s="14">
        <v>60</v>
      </c>
      <c r="PT116" s="14">
        <v>60</v>
      </c>
      <c r="PZ116" s="14">
        <v>60</v>
      </c>
      <c r="QG116" s="14">
        <v>0</v>
      </c>
      <c r="QN116" s="14">
        <v>0</v>
      </c>
      <c r="QU116" s="14">
        <v>0</v>
      </c>
      <c r="RB116" s="14">
        <v>0</v>
      </c>
      <c r="RC116" s="14">
        <v>60</v>
      </c>
      <c r="RD116" s="14">
        <v>0</v>
      </c>
      <c r="RE116" s="14">
        <v>0</v>
      </c>
      <c r="RF116" s="14">
        <v>0</v>
      </c>
      <c r="RG116" s="14">
        <v>0</v>
      </c>
      <c r="RH116" s="14">
        <v>0</v>
      </c>
      <c r="RI116" s="14">
        <v>60</v>
      </c>
      <c r="RJ116" s="14" t="s">
        <v>602</v>
      </c>
      <c r="RK116" s="14">
        <v>150</v>
      </c>
      <c r="RQ116" s="14">
        <v>150</v>
      </c>
      <c r="RX116" s="14">
        <v>0</v>
      </c>
      <c r="SE116" s="14">
        <v>0</v>
      </c>
      <c r="SL116" s="14">
        <v>0</v>
      </c>
      <c r="SS116" s="14">
        <v>0</v>
      </c>
      <c r="SZ116" s="14">
        <v>0</v>
      </c>
      <c r="TG116" s="14">
        <v>0</v>
      </c>
      <c r="TO116" s="14">
        <v>0</v>
      </c>
      <c r="TP116" s="14">
        <v>150</v>
      </c>
      <c r="TQ116" s="14">
        <v>0</v>
      </c>
      <c r="TR116" s="14">
        <v>0</v>
      </c>
      <c r="TS116" s="14">
        <v>0</v>
      </c>
      <c r="TT116" s="14">
        <v>0</v>
      </c>
      <c r="TU116" s="14">
        <v>0</v>
      </c>
      <c r="TV116" s="14">
        <v>150</v>
      </c>
      <c r="TW116" s="14">
        <v>150</v>
      </c>
      <c r="UC116" s="14">
        <v>150</v>
      </c>
      <c r="UJ116" s="14">
        <v>0</v>
      </c>
      <c r="UQ116" s="14">
        <v>0</v>
      </c>
      <c r="UX116" s="14">
        <v>0</v>
      </c>
      <c r="VE116" s="14">
        <v>0</v>
      </c>
      <c r="VF116" s="14">
        <v>150</v>
      </c>
      <c r="VG116" s="14">
        <v>0</v>
      </c>
      <c r="VH116" s="14">
        <v>0</v>
      </c>
      <c r="VI116" s="14">
        <v>0</v>
      </c>
      <c r="VJ116" s="14">
        <v>0</v>
      </c>
      <c r="VK116" s="14">
        <v>0</v>
      </c>
      <c r="VL116" s="14">
        <v>150</v>
      </c>
      <c r="VM116" s="14" t="s">
        <v>603</v>
      </c>
      <c r="ZP116" s="14" t="s">
        <v>604</v>
      </c>
      <c r="ADS116" s="14" t="s">
        <v>605</v>
      </c>
    </row>
    <row r="117" spans="1:799" x14ac:dyDescent="0.25">
      <c r="A117" s="14">
        <v>222</v>
      </c>
      <c r="B117" s="14" t="s">
        <v>889</v>
      </c>
      <c r="C117" s="16">
        <v>42780</v>
      </c>
      <c r="D117" s="14" t="s">
        <v>1184</v>
      </c>
      <c r="E117" s="14" t="s">
        <v>1185</v>
      </c>
      <c r="F117" s="14" t="str">
        <f>VLOOKUP(MID(H117,SEARCH("@",H117,1),LEN(H117)-SEARCH("@",H117,1)+1),[2]Sheet1!$D:$F,3,FALSE)</f>
        <v>M670</v>
      </c>
      <c r="G117" s="14" t="s">
        <v>1186</v>
      </c>
      <c r="H117" s="14" t="s">
        <v>1187</v>
      </c>
      <c r="I117" s="14">
        <v>694516627</v>
      </c>
      <c r="J117" s="14" t="s">
        <v>1188</v>
      </c>
      <c r="K117" s="14" t="s">
        <v>732</v>
      </c>
      <c r="M117" s="14">
        <v>2</v>
      </c>
      <c r="N117" s="14">
        <v>6</v>
      </c>
      <c r="O117" s="14" t="s">
        <v>1189</v>
      </c>
      <c r="V117" s="14">
        <v>0</v>
      </c>
      <c r="AC117" s="14">
        <v>0</v>
      </c>
      <c r="AJ117" s="14">
        <v>0</v>
      </c>
      <c r="AQ117" s="14">
        <v>0</v>
      </c>
      <c r="AX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S117" s="14">
        <v>0</v>
      </c>
      <c r="BZ117" s="14">
        <v>0</v>
      </c>
      <c r="CG117" s="14">
        <v>0</v>
      </c>
      <c r="CN117" s="14">
        <v>0</v>
      </c>
      <c r="CU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0</v>
      </c>
      <c r="DJ117" s="14" t="s">
        <v>598</v>
      </c>
      <c r="DK117" s="14" t="s">
        <v>598</v>
      </c>
      <c r="DL117" s="14" t="s">
        <v>598</v>
      </c>
      <c r="DM117" s="14" t="s">
        <v>598</v>
      </c>
      <c r="DN117" s="14" t="s">
        <v>598</v>
      </c>
      <c r="DO117" s="14" t="s">
        <v>598</v>
      </c>
      <c r="DP117" s="14" t="s">
        <v>598</v>
      </c>
      <c r="DQ117" s="14" t="s">
        <v>598</v>
      </c>
      <c r="DR117" s="14" t="s">
        <v>598</v>
      </c>
      <c r="DS117" s="14" t="s">
        <v>598</v>
      </c>
      <c r="DT117" s="14" t="s">
        <v>598</v>
      </c>
      <c r="DU117" s="14" t="s">
        <v>598</v>
      </c>
      <c r="DV117" s="14" t="s">
        <v>598</v>
      </c>
      <c r="DW117" s="14" t="s">
        <v>598</v>
      </c>
      <c r="DX117" s="14" t="s">
        <v>598</v>
      </c>
      <c r="DY117" s="14" t="s">
        <v>598</v>
      </c>
      <c r="DZ117" s="14" t="s">
        <v>598</v>
      </c>
      <c r="EA117" s="14" t="s">
        <v>598</v>
      </c>
      <c r="EB117" s="14" t="s">
        <v>598</v>
      </c>
      <c r="EC117" s="14" t="s">
        <v>598</v>
      </c>
      <c r="ED117" s="14" t="s">
        <v>598</v>
      </c>
      <c r="EE117" s="14" t="s">
        <v>598</v>
      </c>
      <c r="EF117" s="14" t="s">
        <v>598</v>
      </c>
      <c r="EG117" s="14" t="s">
        <v>598</v>
      </c>
      <c r="EH117" s="14" t="s">
        <v>598</v>
      </c>
      <c r="EI117" s="14" t="s">
        <v>598</v>
      </c>
      <c r="EJ117" s="14" t="s">
        <v>598</v>
      </c>
      <c r="EK117" s="14" t="s">
        <v>598</v>
      </c>
      <c r="EL117" s="14" t="s">
        <v>598</v>
      </c>
      <c r="EM117" s="14" t="s">
        <v>598</v>
      </c>
      <c r="EN117" s="14" t="s">
        <v>598</v>
      </c>
      <c r="EO117" s="14" t="s">
        <v>598</v>
      </c>
      <c r="EP117" s="14" t="s">
        <v>598</v>
      </c>
      <c r="EQ117" s="14" t="s">
        <v>598</v>
      </c>
      <c r="ER117" s="14" t="s">
        <v>598</v>
      </c>
      <c r="ES117" s="14" t="s">
        <v>598</v>
      </c>
      <c r="EZ117" s="14">
        <v>0</v>
      </c>
      <c r="FG117" s="14">
        <v>0</v>
      </c>
      <c r="FN117" s="14">
        <v>0</v>
      </c>
      <c r="FU117" s="14">
        <v>0</v>
      </c>
      <c r="GB117" s="14">
        <v>0</v>
      </c>
      <c r="GI117" s="14">
        <v>0</v>
      </c>
      <c r="GP117" s="14">
        <v>0</v>
      </c>
      <c r="GX117" s="14">
        <v>0</v>
      </c>
      <c r="GY117" s="14">
        <v>0</v>
      </c>
      <c r="GZ117" s="14">
        <v>0</v>
      </c>
      <c r="HA117" s="14">
        <v>0</v>
      </c>
      <c r="HB117" s="14">
        <v>0</v>
      </c>
      <c r="HC117" s="14">
        <v>0</v>
      </c>
      <c r="HD117" s="14">
        <v>0</v>
      </c>
      <c r="HE117" s="14">
        <v>0</v>
      </c>
      <c r="HL117" s="14">
        <v>0</v>
      </c>
      <c r="HS117" s="14">
        <v>0</v>
      </c>
      <c r="HZ117" s="14">
        <v>0</v>
      </c>
      <c r="IG117" s="14">
        <v>0</v>
      </c>
      <c r="IN117" s="14">
        <v>0</v>
      </c>
      <c r="IO117" s="14">
        <v>0</v>
      </c>
      <c r="IP117" s="14">
        <v>0</v>
      </c>
      <c r="IQ117" s="14">
        <v>0</v>
      </c>
      <c r="IR117" s="14">
        <v>0</v>
      </c>
      <c r="IS117" s="14">
        <v>0</v>
      </c>
      <c r="IT117" s="14">
        <v>0</v>
      </c>
      <c r="IU117" s="14">
        <v>0</v>
      </c>
      <c r="JA117" s="14">
        <v>2</v>
      </c>
      <c r="JB117" s="14">
        <v>3</v>
      </c>
      <c r="JC117" s="14">
        <v>1</v>
      </c>
      <c r="JD117" s="14" t="s">
        <v>600</v>
      </c>
      <c r="NG117" s="14" t="s">
        <v>601</v>
      </c>
      <c r="RJ117" s="14" t="s">
        <v>602</v>
      </c>
      <c r="VM117" s="14" t="s">
        <v>603</v>
      </c>
      <c r="ZP117" s="14" t="s">
        <v>604</v>
      </c>
      <c r="ADS117" s="14" t="s">
        <v>605</v>
      </c>
    </row>
    <row r="118" spans="1:799" x14ac:dyDescent="0.25">
      <c r="A118" s="14">
        <v>223</v>
      </c>
      <c r="B118" s="14" t="s">
        <v>889</v>
      </c>
      <c r="C118" s="16">
        <v>42780</v>
      </c>
      <c r="D118" s="14" t="s">
        <v>1190</v>
      </c>
      <c r="E118" s="14" t="s">
        <v>1191</v>
      </c>
      <c r="F118" s="14" t="str">
        <f>VLOOKUP(MID(H118,SEARCH("@",H118,1),LEN(H118)-SEARCH("@",H118,1)+1),[2]Sheet1!$D:$F,3,FALSE)</f>
        <v>M666</v>
      </c>
      <c r="G118" s="14" t="s">
        <v>1192</v>
      </c>
      <c r="H118" s="14" t="s">
        <v>1193</v>
      </c>
      <c r="I118" s="14">
        <v>442070420600</v>
      </c>
      <c r="J118" s="14" t="s">
        <v>731</v>
      </c>
      <c r="K118" s="14" t="s">
        <v>945</v>
      </c>
      <c r="M118" s="14">
        <v>1</v>
      </c>
      <c r="V118" s="14">
        <v>0</v>
      </c>
      <c r="AB118" s="14">
        <v>480</v>
      </c>
      <c r="AC118" s="14">
        <v>480</v>
      </c>
      <c r="AJ118" s="14">
        <v>0</v>
      </c>
      <c r="AQ118" s="14">
        <v>0</v>
      </c>
      <c r="AX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480</v>
      </c>
      <c r="BL118" s="14">
        <v>480</v>
      </c>
      <c r="BS118" s="14">
        <v>0</v>
      </c>
      <c r="BY118" s="14">
        <v>2</v>
      </c>
      <c r="BZ118" s="14">
        <v>2</v>
      </c>
      <c r="CG118" s="14">
        <v>0</v>
      </c>
      <c r="CN118" s="14">
        <v>0</v>
      </c>
      <c r="CU118" s="14">
        <v>0</v>
      </c>
      <c r="DB118" s="14">
        <v>0</v>
      </c>
      <c r="DC118" s="14">
        <v>0</v>
      </c>
      <c r="DD118" s="14">
        <v>0</v>
      </c>
      <c r="DE118" s="14">
        <v>0</v>
      </c>
      <c r="DF118" s="14">
        <v>0</v>
      </c>
      <c r="DG118" s="14">
        <v>0</v>
      </c>
      <c r="DH118" s="14">
        <v>2</v>
      </c>
      <c r="DI118" s="14">
        <v>2</v>
      </c>
      <c r="DJ118" s="14" t="s">
        <v>598</v>
      </c>
      <c r="DK118" s="14" t="s">
        <v>598</v>
      </c>
      <c r="DL118" s="14" t="s">
        <v>598</v>
      </c>
      <c r="DM118" s="14" t="s">
        <v>598</v>
      </c>
      <c r="DN118" s="14" t="s">
        <v>598</v>
      </c>
      <c r="DO118" s="14" t="s">
        <v>598</v>
      </c>
      <c r="DP118" s="14" t="s">
        <v>598</v>
      </c>
      <c r="DQ118" s="14" t="s">
        <v>598</v>
      </c>
      <c r="DR118" s="14" t="s">
        <v>598</v>
      </c>
      <c r="DS118" s="14" t="s">
        <v>598</v>
      </c>
      <c r="DT118" s="14" t="s">
        <v>598</v>
      </c>
      <c r="DU118" s="14" t="s">
        <v>597</v>
      </c>
      <c r="DV118" s="14" t="s">
        <v>598</v>
      </c>
      <c r="DW118" s="14" t="s">
        <v>598</v>
      </c>
      <c r="DX118" s="14" t="s">
        <v>598</v>
      </c>
      <c r="DY118" s="14" t="s">
        <v>598</v>
      </c>
      <c r="DZ118" s="14" t="s">
        <v>598</v>
      </c>
      <c r="EA118" s="14" t="s">
        <v>598</v>
      </c>
      <c r="EB118" s="14" t="s">
        <v>598</v>
      </c>
      <c r="EC118" s="14" t="s">
        <v>598</v>
      </c>
      <c r="ED118" s="14" t="s">
        <v>598</v>
      </c>
      <c r="EE118" s="14" t="s">
        <v>598</v>
      </c>
      <c r="EF118" s="14" t="s">
        <v>598</v>
      </c>
      <c r="EG118" s="14" t="s">
        <v>598</v>
      </c>
      <c r="EH118" s="14" t="s">
        <v>598</v>
      </c>
      <c r="EI118" s="14" t="s">
        <v>598</v>
      </c>
      <c r="EJ118" s="14" t="s">
        <v>598</v>
      </c>
      <c r="EK118" s="14" t="s">
        <v>598</v>
      </c>
      <c r="EL118" s="14" t="s">
        <v>598</v>
      </c>
      <c r="EM118" s="14" t="s">
        <v>598</v>
      </c>
      <c r="EN118" s="14" t="s">
        <v>598</v>
      </c>
      <c r="EO118" s="14" t="s">
        <v>598</v>
      </c>
      <c r="EP118" s="14" t="s">
        <v>598</v>
      </c>
      <c r="EQ118" s="14" t="s">
        <v>598</v>
      </c>
      <c r="ER118" s="14" t="s">
        <v>598</v>
      </c>
      <c r="ES118" s="14" t="s">
        <v>598</v>
      </c>
      <c r="EY118" s="14">
        <v>218.7</v>
      </c>
      <c r="EZ118" s="14">
        <v>218.7</v>
      </c>
      <c r="FF118" s="14">
        <v>236.3</v>
      </c>
      <c r="FG118" s="14">
        <v>236.3</v>
      </c>
      <c r="FN118" s="14">
        <v>0</v>
      </c>
      <c r="FU118" s="14">
        <v>0</v>
      </c>
      <c r="GB118" s="14">
        <v>0</v>
      </c>
      <c r="GH118" s="14">
        <v>25</v>
      </c>
      <c r="GI118" s="14">
        <v>25</v>
      </c>
      <c r="GP118" s="14">
        <v>0</v>
      </c>
      <c r="GX118" s="14">
        <v>0</v>
      </c>
      <c r="GY118" s="14">
        <v>0</v>
      </c>
      <c r="GZ118" s="14">
        <v>0</v>
      </c>
      <c r="HA118" s="14">
        <v>0</v>
      </c>
      <c r="HB118" s="14">
        <v>0</v>
      </c>
      <c r="HC118" s="14">
        <v>0</v>
      </c>
      <c r="HD118" s="14">
        <v>480</v>
      </c>
      <c r="HE118" s="14">
        <v>480</v>
      </c>
      <c r="HL118" s="14">
        <v>0</v>
      </c>
      <c r="HR118" s="14">
        <v>375.6</v>
      </c>
      <c r="HS118" s="14">
        <v>375.6</v>
      </c>
      <c r="HY118" s="14">
        <v>104.4</v>
      </c>
      <c r="HZ118" s="14">
        <v>104.4</v>
      </c>
      <c r="IG118" s="14">
        <v>0</v>
      </c>
      <c r="IN118" s="14">
        <v>0</v>
      </c>
      <c r="IO118" s="14">
        <v>0</v>
      </c>
      <c r="IP118" s="14">
        <v>0</v>
      </c>
      <c r="IQ118" s="14">
        <v>0</v>
      </c>
      <c r="IR118" s="14">
        <v>0</v>
      </c>
      <c r="IS118" s="14">
        <v>0</v>
      </c>
      <c r="IT118" s="14">
        <v>480</v>
      </c>
      <c r="IU118" s="14">
        <v>480</v>
      </c>
      <c r="IV118" s="14">
        <v>12.4</v>
      </c>
      <c r="IX118" s="14">
        <v>87.6</v>
      </c>
      <c r="JA118" s="14">
        <v>1</v>
      </c>
      <c r="JB118" s="14">
        <v>1</v>
      </c>
      <c r="JC118" s="14">
        <v>1</v>
      </c>
      <c r="JD118" s="14" t="s">
        <v>600</v>
      </c>
      <c r="NG118" s="14" t="s">
        <v>601</v>
      </c>
      <c r="NM118" s="14">
        <v>218.7</v>
      </c>
      <c r="NN118" s="14">
        <v>218.7</v>
      </c>
      <c r="NT118" s="14">
        <v>236.3</v>
      </c>
      <c r="NU118" s="14">
        <v>236.3</v>
      </c>
      <c r="OB118" s="14">
        <v>0</v>
      </c>
      <c r="OI118" s="14">
        <v>0</v>
      </c>
      <c r="OP118" s="14">
        <v>0</v>
      </c>
      <c r="OV118" s="14">
        <v>25</v>
      </c>
      <c r="OW118" s="14">
        <v>25</v>
      </c>
      <c r="PD118" s="14">
        <v>0</v>
      </c>
      <c r="PL118" s="14">
        <v>0</v>
      </c>
      <c r="PM118" s="14">
        <v>0</v>
      </c>
      <c r="PN118" s="14">
        <v>0</v>
      </c>
      <c r="PO118" s="14">
        <v>0</v>
      </c>
      <c r="PP118" s="14">
        <v>0</v>
      </c>
      <c r="PQ118" s="14">
        <v>0</v>
      </c>
      <c r="PR118" s="14">
        <v>480</v>
      </c>
      <c r="PS118" s="14">
        <v>480</v>
      </c>
      <c r="PY118" s="14">
        <v>375.6</v>
      </c>
      <c r="PZ118" s="14">
        <v>375.6</v>
      </c>
      <c r="QG118" s="14">
        <v>0</v>
      </c>
      <c r="QM118" s="14">
        <v>104.4</v>
      </c>
      <c r="QN118" s="14">
        <v>104.4</v>
      </c>
      <c r="QU118" s="14">
        <v>0</v>
      </c>
      <c r="RB118" s="14">
        <v>0</v>
      </c>
      <c r="RC118" s="14">
        <v>0</v>
      </c>
      <c r="RD118" s="14">
        <v>0</v>
      </c>
      <c r="RE118" s="14">
        <v>0</v>
      </c>
      <c r="RF118" s="14">
        <v>0</v>
      </c>
      <c r="RG118" s="14">
        <v>0</v>
      </c>
      <c r="RH118" s="14">
        <v>480</v>
      </c>
      <c r="RI118" s="14">
        <v>480</v>
      </c>
      <c r="RJ118" s="14" t="s">
        <v>602</v>
      </c>
      <c r="VM118" s="14" t="s">
        <v>603</v>
      </c>
      <c r="ZP118" s="14" t="s">
        <v>604</v>
      </c>
      <c r="ADS118" s="14" t="s">
        <v>605</v>
      </c>
    </row>
    <row r="119" spans="1:799" x14ac:dyDescent="0.25">
      <c r="A119" s="14">
        <v>124</v>
      </c>
      <c r="B119" s="14" t="s">
        <v>889</v>
      </c>
      <c r="C119" s="16">
        <v>42766.603472222225</v>
      </c>
      <c r="D119" s="14" t="s">
        <v>1194</v>
      </c>
      <c r="E119" s="14" t="s">
        <v>1195</v>
      </c>
      <c r="F119" s="14" t="str">
        <f>VLOOKUP(MID(H119,SEARCH("@",H119,1),LEN(H119)-SEARCH("@",H119,1)+1),[2]Sheet1!$D:$F,3,FALSE)</f>
        <v>M2581</v>
      </c>
      <c r="G119" s="14" t="s">
        <v>693</v>
      </c>
      <c r="H119" s="14" t="s">
        <v>1196</v>
      </c>
      <c r="I119" s="14">
        <v>35316141405</v>
      </c>
      <c r="J119" s="14" t="s">
        <v>1197</v>
      </c>
      <c r="K119" s="14" t="s">
        <v>732</v>
      </c>
      <c r="M119" s="14">
        <v>1</v>
      </c>
      <c r="V119" s="14">
        <v>0</v>
      </c>
      <c r="W119" s="14">
        <v>184</v>
      </c>
      <c r="AC119" s="14">
        <v>184</v>
      </c>
      <c r="AJ119" s="14">
        <v>0</v>
      </c>
      <c r="AQ119" s="14">
        <v>0</v>
      </c>
      <c r="AX119" s="14">
        <v>0</v>
      </c>
      <c r="BE119" s="14">
        <v>0</v>
      </c>
      <c r="BF119" s="14">
        <v>184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184</v>
      </c>
      <c r="BS119" s="14">
        <v>0</v>
      </c>
      <c r="BT119" s="14">
        <v>1</v>
      </c>
      <c r="BZ119" s="14">
        <v>1</v>
      </c>
      <c r="CG119" s="14">
        <v>0</v>
      </c>
      <c r="CN119" s="14">
        <v>0</v>
      </c>
      <c r="CU119" s="14">
        <v>0</v>
      </c>
      <c r="DB119" s="14">
        <v>0</v>
      </c>
      <c r="DC119" s="14">
        <v>1</v>
      </c>
      <c r="DD119" s="14">
        <v>0</v>
      </c>
      <c r="DE119" s="14">
        <v>0</v>
      </c>
      <c r="DF119" s="14">
        <v>0</v>
      </c>
      <c r="DG119" s="14">
        <v>0</v>
      </c>
      <c r="DH119" s="14">
        <v>0</v>
      </c>
      <c r="DI119" s="14">
        <v>1</v>
      </c>
      <c r="DJ119" s="14" t="s">
        <v>598</v>
      </c>
      <c r="DK119" s="14" t="s">
        <v>598</v>
      </c>
      <c r="DL119" s="14" t="s">
        <v>598</v>
      </c>
      <c r="DM119" s="14" t="s">
        <v>598</v>
      </c>
      <c r="DN119" s="14" t="s">
        <v>598</v>
      </c>
      <c r="DO119" s="14" t="s">
        <v>598</v>
      </c>
      <c r="DP119" s="14" t="s">
        <v>597</v>
      </c>
      <c r="DQ119" s="14" t="s">
        <v>598</v>
      </c>
      <c r="DR119" s="14" t="s">
        <v>598</v>
      </c>
      <c r="DS119" s="14" t="s">
        <v>598</v>
      </c>
      <c r="DT119" s="14" t="s">
        <v>598</v>
      </c>
      <c r="DU119" s="14" t="s">
        <v>598</v>
      </c>
      <c r="DV119" s="14" t="s">
        <v>598</v>
      </c>
      <c r="DW119" s="14" t="s">
        <v>598</v>
      </c>
      <c r="DX119" s="14" t="s">
        <v>598</v>
      </c>
      <c r="DY119" s="14" t="s">
        <v>598</v>
      </c>
      <c r="DZ119" s="14" t="s">
        <v>598</v>
      </c>
      <c r="EA119" s="14" t="s">
        <v>598</v>
      </c>
      <c r="EB119" s="14" t="s">
        <v>598</v>
      </c>
      <c r="EC119" s="14" t="s">
        <v>598</v>
      </c>
      <c r="ED119" s="14" t="s">
        <v>598</v>
      </c>
      <c r="EE119" s="14" t="s">
        <v>598</v>
      </c>
      <c r="EF119" s="14" t="s">
        <v>598</v>
      </c>
      <c r="EG119" s="14" t="s">
        <v>598</v>
      </c>
      <c r="EH119" s="14" t="s">
        <v>598</v>
      </c>
      <c r="EI119" s="14" t="s">
        <v>598</v>
      </c>
      <c r="EJ119" s="14" t="s">
        <v>598</v>
      </c>
      <c r="EK119" s="14" t="s">
        <v>598</v>
      </c>
      <c r="EL119" s="14" t="s">
        <v>598</v>
      </c>
      <c r="EM119" s="14" t="s">
        <v>598</v>
      </c>
      <c r="EN119" s="14" t="s">
        <v>598</v>
      </c>
      <c r="EO119" s="14" t="s">
        <v>598</v>
      </c>
      <c r="EP119" s="14" t="s">
        <v>598</v>
      </c>
      <c r="EQ119" s="14" t="s">
        <v>598</v>
      </c>
      <c r="ER119" s="14" t="s">
        <v>598</v>
      </c>
      <c r="ES119" s="14" t="s">
        <v>598</v>
      </c>
      <c r="ET119" s="14">
        <v>123</v>
      </c>
      <c r="EZ119" s="14">
        <v>123</v>
      </c>
      <c r="FA119" s="14">
        <v>0</v>
      </c>
      <c r="FG119" s="14">
        <v>0</v>
      </c>
      <c r="FH119" s="14">
        <v>25</v>
      </c>
      <c r="FN119" s="14">
        <v>25</v>
      </c>
      <c r="FU119" s="14">
        <v>0</v>
      </c>
      <c r="GB119" s="14">
        <v>0</v>
      </c>
      <c r="GC119" s="14">
        <v>35</v>
      </c>
      <c r="GI119" s="14">
        <v>35</v>
      </c>
      <c r="GJ119" s="14">
        <v>1</v>
      </c>
      <c r="GP119" s="14">
        <v>1</v>
      </c>
      <c r="GX119" s="14">
        <v>0</v>
      </c>
      <c r="GY119" s="14">
        <v>184</v>
      </c>
      <c r="GZ119" s="14">
        <v>0</v>
      </c>
      <c r="HA119" s="14">
        <v>0</v>
      </c>
      <c r="HB119" s="14">
        <v>0</v>
      </c>
      <c r="HC119" s="14">
        <v>0</v>
      </c>
      <c r="HD119" s="14">
        <v>0</v>
      </c>
      <c r="HE119" s="14">
        <v>184</v>
      </c>
      <c r="HL119" s="14">
        <v>0</v>
      </c>
      <c r="HM119" s="14">
        <v>184</v>
      </c>
      <c r="HS119" s="14">
        <v>184</v>
      </c>
      <c r="HZ119" s="14">
        <v>0</v>
      </c>
      <c r="IG119" s="14">
        <v>0</v>
      </c>
      <c r="IN119" s="14">
        <v>0</v>
      </c>
      <c r="IO119" s="14">
        <v>184</v>
      </c>
      <c r="IP119" s="14">
        <v>0</v>
      </c>
      <c r="IQ119" s="14">
        <v>0</v>
      </c>
      <c r="IR119" s="14">
        <v>0</v>
      </c>
      <c r="IS119" s="14">
        <v>0</v>
      </c>
      <c r="IT119" s="14">
        <v>0</v>
      </c>
      <c r="IU119" s="14">
        <v>184</v>
      </c>
      <c r="IV119" s="14">
        <v>13</v>
      </c>
      <c r="IX119" s="14">
        <v>87</v>
      </c>
      <c r="JA119" s="14">
        <v>1</v>
      </c>
      <c r="JB119" s="14">
        <v>3</v>
      </c>
      <c r="JC119" s="14">
        <v>1</v>
      </c>
      <c r="JD119" s="14" t="s">
        <v>600</v>
      </c>
      <c r="NG119" s="14" t="s">
        <v>601</v>
      </c>
      <c r="NH119" s="14">
        <v>123</v>
      </c>
      <c r="NN119" s="14">
        <v>123</v>
      </c>
      <c r="NU119" s="14">
        <v>0</v>
      </c>
      <c r="NV119" s="14">
        <v>25</v>
      </c>
      <c r="OB119" s="14">
        <v>25</v>
      </c>
      <c r="OI119" s="14">
        <v>0</v>
      </c>
      <c r="OP119" s="14">
        <v>0</v>
      </c>
      <c r="OQ119" s="14">
        <v>35</v>
      </c>
      <c r="OW119" s="14">
        <v>35</v>
      </c>
      <c r="PD119" s="14">
        <v>0</v>
      </c>
      <c r="PE119" s="14" t="s">
        <v>1198</v>
      </c>
      <c r="PF119" s="14">
        <v>1</v>
      </c>
      <c r="PL119" s="14">
        <v>1</v>
      </c>
      <c r="PM119" s="14">
        <v>184</v>
      </c>
      <c r="PN119" s="14">
        <v>0</v>
      </c>
      <c r="PO119" s="14">
        <v>0</v>
      </c>
      <c r="PP119" s="14">
        <v>0</v>
      </c>
      <c r="PQ119" s="14">
        <v>0</v>
      </c>
      <c r="PR119" s="14">
        <v>0</v>
      </c>
      <c r="PS119" s="14">
        <v>184</v>
      </c>
      <c r="PT119" s="14">
        <v>184</v>
      </c>
      <c r="PZ119" s="14">
        <v>184</v>
      </c>
      <c r="QG119" s="14">
        <v>0</v>
      </c>
      <c r="QN119" s="14">
        <v>0</v>
      </c>
      <c r="QU119" s="14">
        <v>0</v>
      </c>
      <c r="RB119" s="14">
        <v>0</v>
      </c>
      <c r="RC119" s="14">
        <v>184</v>
      </c>
      <c r="RD119" s="14">
        <v>0</v>
      </c>
      <c r="RE119" s="14">
        <v>0</v>
      </c>
      <c r="RF119" s="14">
        <v>0</v>
      </c>
      <c r="RG119" s="14">
        <v>0</v>
      </c>
      <c r="RH119" s="14">
        <v>0</v>
      </c>
      <c r="RI119" s="14">
        <v>184</v>
      </c>
      <c r="RJ119" s="14" t="s">
        <v>602</v>
      </c>
      <c r="VM119" s="14" t="s">
        <v>603</v>
      </c>
      <c r="ZP119" s="14" t="s">
        <v>604</v>
      </c>
      <c r="ADS119" s="14" t="s">
        <v>605</v>
      </c>
    </row>
    <row r="120" spans="1:799" x14ac:dyDescent="0.25">
      <c r="A120" s="14">
        <v>99</v>
      </c>
      <c r="B120" s="14" t="s">
        <v>889</v>
      </c>
      <c r="C120" s="16">
        <v>42780</v>
      </c>
      <c r="D120" s="14" t="s">
        <v>1199</v>
      </c>
      <c r="E120" s="14" t="s">
        <v>1200</v>
      </c>
      <c r="F120" s="14" t="str">
        <f>VLOOKUP(MID(H120,SEARCH("@",H120,1),LEN(H120)-SEARCH("@",H120,1)+1),[2]Sheet1!$D:$F,3,FALSE)</f>
        <v>M572</v>
      </c>
      <c r="G120" s="14" t="s">
        <v>1201</v>
      </c>
      <c r="H120" s="14" t="s">
        <v>1202</v>
      </c>
      <c r="I120" s="14">
        <v>2073400270</v>
      </c>
      <c r="J120" s="14" t="s">
        <v>731</v>
      </c>
      <c r="K120" s="14" t="s">
        <v>945</v>
      </c>
      <c r="M120" s="14">
        <v>1</v>
      </c>
      <c r="V120" s="14">
        <v>0</v>
      </c>
      <c r="W120" s="14">
        <v>8.5</v>
      </c>
      <c r="X120" s="14">
        <v>45</v>
      </c>
      <c r="AC120" s="14">
        <v>53.5</v>
      </c>
      <c r="AJ120" s="14">
        <v>0</v>
      </c>
      <c r="AQ120" s="14">
        <v>0</v>
      </c>
      <c r="AX120" s="14">
        <v>0</v>
      </c>
      <c r="BE120" s="14">
        <v>0</v>
      </c>
      <c r="BF120" s="14">
        <v>8.5</v>
      </c>
      <c r="BG120" s="14">
        <v>45</v>
      </c>
      <c r="BH120" s="14">
        <v>0</v>
      </c>
      <c r="BI120" s="14">
        <v>0</v>
      </c>
      <c r="BJ120" s="14">
        <v>0</v>
      </c>
      <c r="BK120" s="14">
        <v>0</v>
      </c>
      <c r="BL120" s="14">
        <v>53.5</v>
      </c>
      <c r="BS120" s="14">
        <v>0</v>
      </c>
      <c r="BT120" s="14">
        <v>2</v>
      </c>
      <c r="BU120" s="14">
        <v>1</v>
      </c>
      <c r="BZ120" s="14">
        <v>3</v>
      </c>
      <c r="CG120" s="14">
        <v>0</v>
      </c>
      <c r="CN120" s="14">
        <v>0</v>
      </c>
      <c r="CU120" s="14">
        <v>0</v>
      </c>
      <c r="DB120" s="14">
        <v>0</v>
      </c>
      <c r="DC120" s="14">
        <v>2</v>
      </c>
      <c r="DD120" s="14">
        <v>1</v>
      </c>
      <c r="DE120" s="14">
        <v>0</v>
      </c>
      <c r="DF120" s="14">
        <v>0</v>
      </c>
      <c r="DG120" s="14">
        <v>0</v>
      </c>
      <c r="DH120" s="14">
        <v>0</v>
      </c>
      <c r="DI120" s="14">
        <v>3</v>
      </c>
      <c r="DJ120" s="14" t="s">
        <v>598</v>
      </c>
      <c r="DK120" s="14" t="s">
        <v>598</v>
      </c>
      <c r="DL120" s="14" t="s">
        <v>598</v>
      </c>
      <c r="DM120" s="14" t="s">
        <v>598</v>
      </c>
      <c r="DN120" s="14" t="s">
        <v>598</v>
      </c>
      <c r="DO120" s="14" t="s">
        <v>598</v>
      </c>
      <c r="DP120" s="14" t="s">
        <v>597</v>
      </c>
      <c r="DQ120" s="14" t="s">
        <v>597</v>
      </c>
      <c r="DR120" s="14" t="s">
        <v>598</v>
      </c>
      <c r="DS120" s="14" t="s">
        <v>598</v>
      </c>
      <c r="DT120" s="14" t="s">
        <v>598</v>
      </c>
      <c r="DU120" s="14" t="s">
        <v>598</v>
      </c>
      <c r="DV120" s="14" t="s">
        <v>598</v>
      </c>
      <c r="DW120" s="14" t="s">
        <v>598</v>
      </c>
      <c r="DX120" s="14" t="s">
        <v>598</v>
      </c>
      <c r="DY120" s="14" t="s">
        <v>598</v>
      </c>
      <c r="DZ120" s="14" t="s">
        <v>598</v>
      </c>
      <c r="EA120" s="14" t="s">
        <v>598</v>
      </c>
      <c r="EB120" s="14" t="s">
        <v>598</v>
      </c>
      <c r="EC120" s="14" t="s">
        <v>598</v>
      </c>
      <c r="ED120" s="14" t="s">
        <v>598</v>
      </c>
      <c r="EE120" s="14" t="s">
        <v>598</v>
      </c>
      <c r="EF120" s="14" t="s">
        <v>598</v>
      </c>
      <c r="EG120" s="14" t="s">
        <v>598</v>
      </c>
      <c r="EH120" s="14" t="s">
        <v>598</v>
      </c>
      <c r="EI120" s="14" t="s">
        <v>598</v>
      </c>
      <c r="EJ120" s="14" t="s">
        <v>598</v>
      </c>
      <c r="EK120" s="14" t="s">
        <v>598</v>
      </c>
      <c r="EL120" s="14" t="s">
        <v>598</v>
      </c>
      <c r="EM120" s="14" t="s">
        <v>598</v>
      </c>
      <c r="EN120" s="14" t="s">
        <v>598</v>
      </c>
      <c r="EO120" s="14" t="s">
        <v>598</v>
      </c>
      <c r="EP120" s="14" t="s">
        <v>598</v>
      </c>
      <c r="EQ120" s="14" t="s">
        <v>598</v>
      </c>
      <c r="ER120" s="14" t="s">
        <v>598</v>
      </c>
      <c r="ES120" s="14" t="s">
        <v>598</v>
      </c>
      <c r="EU120" s="14">
        <v>45</v>
      </c>
      <c r="EZ120" s="14">
        <v>45</v>
      </c>
      <c r="FG120" s="14">
        <v>0</v>
      </c>
      <c r="FN120" s="14">
        <v>0</v>
      </c>
      <c r="FU120" s="14">
        <v>0</v>
      </c>
      <c r="GB120" s="14">
        <v>0</v>
      </c>
      <c r="GI120" s="14">
        <v>0</v>
      </c>
      <c r="GJ120" s="14">
        <v>8</v>
      </c>
      <c r="GP120" s="14">
        <v>8</v>
      </c>
      <c r="GQ120" s="14" t="s">
        <v>1203</v>
      </c>
      <c r="GR120" s="14">
        <v>0.5</v>
      </c>
      <c r="GX120" s="14">
        <v>0.5</v>
      </c>
      <c r="GY120" s="14">
        <v>8.5</v>
      </c>
      <c r="GZ120" s="14">
        <v>45</v>
      </c>
      <c r="HA120" s="14">
        <v>0</v>
      </c>
      <c r="HB120" s="14">
        <v>0</v>
      </c>
      <c r="HC120" s="14">
        <v>0</v>
      </c>
      <c r="HD120" s="14">
        <v>0</v>
      </c>
      <c r="HE120" s="14">
        <v>53.5</v>
      </c>
      <c r="HL120" s="14">
        <v>0</v>
      </c>
      <c r="HM120" s="14">
        <v>8.5</v>
      </c>
      <c r="HN120" s="14">
        <v>45</v>
      </c>
      <c r="HS120" s="14">
        <v>53.5</v>
      </c>
      <c r="HZ120" s="14">
        <v>0</v>
      </c>
      <c r="IG120" s="14">
        <v>0</v>
      </c>
      <c r="IN120" s="14">
        <v>0</v>
      </c>
      <c r="IO120" s="14">
        <v>8.5</v>
      </c>
      <c r="IP120" s="14">
        <v>45</v>
      </c>
      <c r="IQ120" s="14">
        <v>0</v>
      </c>
      <c r="IR120" s="14">
        <v>0</v>
      </c>
      <c r="IS120" s="14">
        <v>0</v>
      </c>
      <c r="IT120" s="14">
        <v>0</v>
      </c>
      <c r="IU120" s="14">
        <v>53.5</v>
      </c>
      <c r="IX120" s="14">
        <v>100</v>
      </c>
      <c r="JA120" s="14">
        <v>1</v>
      </c>
      <c r="JB120" s="14">
        <v>3</v>
      </c>
      <c r="JC120" s="14">
        <v>1</v>
      </c>
      <c r="JD120" s="14" t="s">
        <v>600</v>
      </c>
      <c r="NG120" s="14" t="s">
        <v>601</v>
      </c>
      <c r="NI120" s="14">
        <v>45</v>
      </c>
      <c r="NN120" s="14">
        <v>45</v>
      </c>
      <c r="NU120" s="14">
        <v>0</v>
      </c>
      <c r="OB120" s="14">
        <v>0</v>
      </c>
      <c r="OI120" s="14">
        <v>0</v>
      </c>
      <c r="OP120" s="14">
        <v>0</v>
      </c>
      <c r="OW120" s="14">
        <v>0</v>
      </c>
      <c r="OX120" s="14">
        <v>8</v>
      </c>
      <c r="PD120" s="14">
        <v>8</v>
      </c>
      <c r="PE120" s="14" t="s">
        <v>1204</v>
      </c>
      <c r="PF120" s="14">
        <v>0.5</v>
      </c>
      <c r="PL120" s="14">
        <v>0.5</v>
      </c>
      <c r="PM120" s="14">
        <v>8.5</v>
      </c>
      <c r="PN120" s="14">
        <v>45</v>
      </c>
      <c r="PO120" s="14">
        <v>0</v>
      </c>
      <c r="PP120" s="14">
        <v>0</v>
      </c>
      <c r="PQ120" s="14">
        <v>0</v>
      </c>
      <c r="PR120" s="14">
        <v>0</v>
      </c>
      <c r="PS120" s="14">
        <v>53.5</v>
      </c>
      <c r="PT120" s="14">
        <v>8.5</v>
      </c>
      <c r="PU120" s="14">
        <v>45</v>
      </c>
      <c r="PZ120" s="14">
        <v>53.5</v>
      </c>
      <c r="QG120" s="14">
        <v>0</v>
      </c>
      <c r="QN120" s="14">
        <v>0</v>
      </c>
      <c r="QU120" s="14">
        <v>0</v>
      </c>
      <c r="RB120" s="14">
        <v>0</v>
      </c>
      <c r="RC120" s="14">
        <v>8.5</v>
      </c>
      <c r="RD120" s="14">
        <v>45</v>
      </c>
      <c r="RE120" s="14">
        <v>0</v>
      </c>
      <c r="RF120" s="14">
        <v>0</v>
      </c>
      <c r="RG120" s="14">
        <v>0</v>
      </c>
      <c r="RH120" s="14">
        <v>0</v>
      </c>
      <c r="RI120" s="14">
        <v>53.5</v>
      </c>
      <c r="RJ120" s="14" t="s">
        <v>602</v>
      </c>
      <c r="VM120" s="14" t="s">
        <v>603</v>
      </c>
      <c r="ZP120" s="14" t="s">
        <v>604</v>
      </c>
      <c r="ADS120" s="14" t="s">
        <v>605</v>
      </c>
    </row>
    <row r="121" spans="1:799" x14ac:dyDescent="0.25">
      <c r="A121" s="14">
        <v>172</v>
      </c>
      <c r="B121" s="14" t="s">
        <v>889</v>
      </c>
      <c r="C121" s="16">
        <v>42780</v>
      </c>
      <c r="D121" s="14" t="s">
        <v>1205</v>
      </c>
      <c r="E121" s="14" t="s">
        <v>1206</v>
      </c>
      <c r="F121" s="14" t="str">
        <f>VLOOKUP(MID(H121,SEARCH("@",H121,1),LEN(H121)-SEARCH("@",H121,1)+1),[2]Sheet1!$D:$F,3,FALSE)</f>
        <v>M627</v>
      </c>
      <c r="G121" s="14" t="s">
        <v>1207</v>
      </c>
      <c r="H121" s="14" t="s">
        <v>1208</v>
      </c>
      <c r="I121" s="14">
        <v>49894890820</v>
      </c>
      <c r="J121" s="14" t="s">
        <v>894</v>
      </c>
      <c r="K121" s="14" t="s">
        <v>732</v>
      </c>
      <c r="M121" s="14">
        <v>1</v>
      </c>
      <c r="V121" s="14">
        <v>0</v>
      </c>
      <c r="W121" s="14">
        <v>592</v>
      </c>
      <c r="X121" s="14">
        <v>533</v>
      </c>
      <c r="AC121" s="14">
        <v>1125</v>
      </c>
      <c r="AJ121" s="14">
        <v>0</v>
      </c>
      <c r="AQ121" s="14">
        <v>0</v>
      </c>
      <c r="AX121" s="14">
        <v>0</v>
      </c>
      <c r="BE121" s="14">
        <v>0</v>
      </c>
      <c r="BF121" s="14">
        <v>592</v>
      </c>
      <c r="BG121" s="14">
        <v>533</v>
      </c>
      <c r="BH121" s="14">
        <v>0</v>
      </c>
      <c r="BI121" s="14">
        <v>0</v>
      </c>
      <c r="BJ121" s="14">
        <v>0</v>
      </c>
      <c r="BK121" s="14">
        <v>0</v>
      </c>
      <c r="BL121" s="14">
        <v>1125</v>
      </c>
      <c r="BS121" s="14">
        <v>0</v>
      </c>
      <c r="BT121" s="14">
        <v>3</v>
      </c>
      <c r="BU121" s="14">
        <v>2</v>
      </c>
      <c r="BZ121" s="14">
        <v>5</v>
      </c>
      <c r="CG121" s="14">
        <v>0</v>
      </c>
      <c r="CN121" s="14">
        <v>0</v>
      </c>
      <c r="CU121" s="14">
        <v>0</v>
      </c>
      <c r="DB121" s="14">
        <v>0</v>
      </c>
      <c r="DC121" s="14">
        <v>3</v>
      </c>
      <c r="DD121" s="14">
        <v>2</v>
      </c>
      <c r="DE121" s="14">
        <v>0</v>
      </c>
      <c r="DF121" s="14">
        <v>0</v>
      </c>
      <c r="DG121" s="14">
        <v>0</v>
      </c>
      <c r="DH121" s="14">
        <v>0</v>
      </c>
      <c r="DI121" s="14">
        <v>5</v>
      </c>
      <c r="DJ121" s="14" t="s">
        <v>598</v>
      </c>
      <c r="DK121" s="14" t="s">
        <v>598</v>
      </c>
      <c r="DL121" s="14" t="s">
        <v>598</v>
      </c>
      <c r="DM121" s="14" t="s">
        <v>598</v>
      </c>
      <c r="DN121" s="14" t="s">
        <v>598</v>
      </c>
      <c r="DO121" s="14" t="s">
        <v>598</v>
      </c>
      <c r="DP121" s="14" t="s">
        <v>597</v>
      </c>
      <c r="DQ121" s="14" t="s">
        <v>597</v>
      </c>
      <c r="DR121" s="14" t="s">
        <v>598</v>
      </c>
      <c r="DS121" s="14" t="s">
        <v>598</v>
      </c>
      <c r="DT121" s="14" t="s">
        <v>598</v>
      </c>
      <c r="DU121" s="14" t="s">
        <v>598</v>
      </c>
      <c r="DV121" s="14" t="s">
        <v>598</v>
      </c>
      <c r="DW121" s="14" t="s">
        <v>598</v>
      </c>
      <c r="DX121" s="14" t="s">
        <v>598</v>
      </c>
      <c r="DY121" s="14" t="s">
        <v>598</v>
      </c>
      <c r="DZ121" s="14" t="s">
        <v>598</v>
      </c>
      <c r="EA121" s="14" t="s">
        <v>598</v>
      </c>
      <c r="EB121" s="14" t="s">
        <v>598</v>
      </c>
      <c r="EC121" s="14" t="s">
        <v>598</v>
      </c>
      <c r="ED121" s="14" t="s">
        <v>598</v>
      </c>
      <c r="EE121" s="14" t="s">
        <v>598</v>
      </c>
      <c r="EF121" s="14" t="s">
        <v>598</v>
      </c>
      <c r="EG121" s="14" t="s">
        <v>598</v>
      </c>
      <c r="EH121" s="14" t="s">
        <v>598</v>
      </c>
      <c r="EI121" s="14" t="s">
        <v>598</v>
      </c>
      <c r="EJ121" s="14" t="s">
        <v>598</v>
      </c>
      <c r="EK121" s="14" t="s">
        <v>598</v>
      </c>
      <c r="EL121" s="14" t="s">
        <v>598</v>
      </c>
      <c r="EM121" s="14" t="s">
        <v>598</v>
      </c>
      <c r="EN121" s="14" t="s">
        <v>598</v>
      </c>
      <c r="EO121" s="14" t="s">
        <v>598</v>
      </c>
      <c r="EP121" s="14" t="s">
        <v>598</v>
      </c>
      <c r="EQ121" s="14" t="s">
        <v>598</v>
      </c>
      <c r="ER121" s="14" t="s">
        <v>598</v>
      </c>
      <c r="ES121" s="14" t="s">
        <v>598</v>
      </c>
      <c r="ET121" s="14">
        <v>56</v>
      </c>
      <c r="EU121" s="14">
        <v>33</v>
      </c>
      <c r="EZ121" s="14">
        <v>89</v>
      </c>
      <c r="FB121" s="14">
        <v>500</v>
      </c>
      <c r="FG121" s="14">
        <v>500</v>
      </c>
      <c r="FN121" s="14">
        <v>0</v>
      </c>
      <c r="FU121" s="14">
        <v>0</v>
      </c>
      <c r="FV121" s="14">
        <v>29</v>
      </c>
      <c r="GB121" s="14">
        <v>29</v>
      </c>
      <c r="GI121" s="14">
        <v>0</v>
      </c>
      <c r="GP121" s="14">
        <v>0</v>
      </c>
      <c r="GQ121" s="14" t="s">
        <v>1066</v>
      </c>
      <c r="GR121" s="14">
        <v>507</v>
      </c>
      <c r="GX121" s="14">
        <v>507</v>
      </c>
      <c r="GY121" s="14">
        <v>592</v>
      </c>
      <c r="GZ121" s="14">
        <v>533</v>
      </c>
      <c r="HA121" s="14">
        <v>0</v>
      </c>
      <c r="HB121" s="14">
        <v>0</v>
      </c>
      <c r="HC121" s="14">
        <v>0</v>
      </c>
      <c r="HD121" s="14">
        <v>0</v>
      </c>
      <c r="HE121" s="14">
        <v>1125</v>
      </c>
      <c r="HL121" s="14">
        <v>0</v>
      </c>
      <c r="HS121" s="14">
        <v>0</v>
      </c>
      <c r="HZ121" s="14">
        <v>0</v>
      </c>
      <c r="IG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0</v>
      </c>
      <c r="IS121" s="14">
        <v>0</v>
      </c>
      <c r="IT121" s="14">
        <v>0</v>
      </c>
      <c r="IU121" s="14">
        <v>0</v>
      </c>
      <c r="IX121" s="14">
        <v>100</v>
      </c>
      <c r="JA121" s="14">
        <v>1</v>
      </c>
      <c r="JB121" s="14">
        <v>3</v>
      </c>
      <c r="JC121" s="14">
        <v>1</v>
      </c>
      <c r="JD121" s="14" t="s">
        <v>600</v>
      </c>
      <c r="NG121" s="14" t="s">
        <v>601</v>
      </c>
      <c r="NH121" s="14">
        <v>89</v>
      </c>
      <c r="NN121" s="14">
        <v>89</v>
      </c>
      <c r="NP121" s="14">
        <v>500</v>
      </c>
      <c r="NU121" s="14">
        <v>500</v>
      </c>
      <c r="OB121" s="14">
        <v>0</v>
      </c>
      <c r="OI121" s="14">
        <v>0</v>
      </c>
      <c r="OJ121" s="14">
        <v>29</v>
      </c>
      <c r="OP121" s="14">
        <v>29</v>
      </c>
      <c r="OW121" s="14">
        <v>0</v>
      </c>
      <c r="PD121" s="14">
        <v>0</v>
      </c>
      <c r="PE121" s="14" t="s">
        <v>1066</v>
      </c>
      <c r="PF121" s="14">
        <v>507</v>
      </c>
      <c r="PL121" s="14">
        <v>507</v>
      </c>
      <c r="PM121" s="14">
        <v>625</v>
      </c>
      <c r="PN121" s="14">
        <v>500</v>
      </c>
      <c r="PO121" s="14">
        <v>0</v>
      </c>
      <c r="PP121" s="14">
        <v>0</v>
      </c>
      <c r="PQ121" s="14">
        <v>0</v>
      </c>
      <c r="PR121" s="14">
        <v>0</v>
      </c>
      <c r="PS121" s="14">
        <v>1125</v>
      </c>
      <c r="PT121" s="14">
        <v>592</v>
      </c>
      <c r="PU121" s="14">
        <v>533</v>
      </c>
      <c r="PZ121" s="14">
        <v>1125</v>
      </c>
      <c r="QG121" s="14">
        <v>0</v>
      </c>
      <c r="QN121" s="14">
        <v>0</v>
      </c>
      <c r="QU121" s="14">
        <v>0</v>
      </c>
      <c r="RB121" s="14">
        <v>0</v>
      </c>
      <c r="RC121" s="14">
        <v>592</v>
      </c>
      <c r="RD121" s="14">
        <v>533</v>
      </c>
      <c r="RE121" s="14">
        <v>0</v>
      </c>
      <c r="RF121" s="14">
        <v>0</v>
      </c>
      <c r="RG121" s="14">
        <v>0</v>
      </c>
      <c r="RH121" s="14">
        <v>0</v>
      </c>
      <c r="RI121" s="14">
        <v>1125</v>
      </c>
      <c r="RJ121" s="14" t="s">
        <v>602</v>
      </c>
      <c r="VM121" s="14" t="s">
        <v>603</v>
      </c>
      <c r="ZP121" s="14" t="s">
        <v>604</v>
      </c>
      <c r="ADS121" s="14" t="s">
        <v>605</v>
      </c>
    </row>
    <row r="122" spans="1:799" x14ac:dyDescent="0.25">
      <c r="A122" s="14">
        <v>102</v>
      </c>
      <c r="B122" s="14" t="s">
        <v>889</v>
      </c>
      <c r="C122" s="16">
        <v>42780</v>
      </c>
      <c r="D122" s="14" t="s">
        <v>1209</v>
      </c>
      <c r="E122" s="14" t="s">
        <v>1210</v>
      </c>
      <c r="F122" s="14" t="str">
        <f>VLOOKUP(MID(H122,SEARCH("@",H122,1),LEN(H122)-SEARCH("@",H122,1)+1),[2]Sheet1!$D:$F,3,FALSE)</f>
        <v>M365</v>
      </c>
      <c r="G122" s="14" t="s">
        <v>1211</v>
      </c>
      <c r="H122" s="14" t="s">
        <v>1212</v>
      </c>
      <c r="I122" s="14">
        <v>33176321505</v>
      </c>
      <c r="J122" s="14" t="s">
        <v>1078</v>
      </c>
      <c r="K122" s="14" t="s">
        <v>732</v>
      </c>
      <c r="M122" s="14">
        <v>1</v>
      </c>
      <c r="V122" s="14">
        <v>0</v>
      </c>
      <c r="W122" s="14">
        <v>120</v>
      </c>
      <c r="X122" s="14">
        <v>42.81</v>
      </c>
      <c r="Y122" s="14">
        <v>17.34</v>
      </c>
      <c r="Z122" s="14">
        <v>925.41</v>
      </c>
      <c r="AC122" s="14">
        <v>1105.56</v>
      </c>
      <c r="AJ122" s="14">
        <v>0</v>
      </c>
      <c r="AQ122" s="14">
        <v>0</v>
      </c>
      <c r="AX122" s="14">
        <v>0</v>
      </c>
      <c r="BE122" s="14">
        <v>0</v>
      </c>
      <c r="BF122" s="14">
        <v>120</v>
      </c>
      <c r="BG122" s="14">
        <v>42.81</v>
      </c>
      <c r="BH122" s="14">
        <v>17.34</v>
      </c>
      <c r="BI122" s="14">
        <v>925.41</v>
      </c>
      <c r="BJ122" s="14">
        <v>0</v>
      </c>
      <c r="BK122" s="14">
        <v>0</v>
      </c>
      <c r="BL122" s="14">
        <v>1105.56</v>
      </c>
      <c r="BS122" s="14">
        <v>0</v>
      </c>
      <c r="BT122" s="14">
        <v>1</v>
      </c>
      <c r="BU122" s="14">
        <v>2</v>
      </c>
      <c r="BV122" s="14">
        <v>2</v>
      </c>
      <c r="BW122" s="14">
        <v>6</v>
      </c>
      <c r="BZ122" s="14">
        <v>11</v>
      </c>
      <c r="CG122" s="14">
        <v>0</v>
      </c>
      <c r="CN122" s="14">
        <v>0</v>
      </c>
      <c r="CU122" s="14">
        <v>0</v>
      </c>
      <c r="DB122" s="14">
        <v>0</v>
      </c>
      <c r="DC122" s="14">
        <v>1</v>
      </c>
      <c r="DD122" s="14">
        <v>2</v>
      </c>
      <c r="DE122" s="14">
        <v>2</v>
      </c>
      <c r="DF122" s="14">
        <v>6</v>
      </c>
      <c r="DG122" s="14">
        <v>0</v>
      </c>
      <c r="DH122" s="14">
        <v>0</v>
      </c>
      <c r="DI122" s="14">
        <v>11</v>
      </c>
      <c r="DJ122" s="14" t="s">
        <v>598</v>
      </c>
      <c r="DK122" s="14" t="s">
        <v>598</v>
      </c>
      <c r="DL122" s="14" t="s">
        <v>598</v>
      </c>
      <c r="DM122" s="14" t="s">
        <v>598</v>
      </c>
      <c r="DN122" s="14" t="s">
        <v>598</v>
      </c>
      <c r="DO122" s="14" t="s">
        <v>598</v>
      </c>
      <c r="DP122" s="14" t="s">
        <v>597</v>
      </c>
      <c r="DQ122" s="14" t="s">
        <v>597</v>
      </c>
      <c r="DR122" s="14" t="s">
        <v>597</v>
      </c>
      <c r="DS122" s="14" t="s">
        <v>597</v>
      </c>
      <c r="DT122" s="14" t="s">
        <v>598</v>
      </c>
      <c r="DU122" s="14" t="s">
        <v>598</v>
      </c>
      <c r="DV122" s="14" t="s">
        <v>598</v>
      </c>
      <c r="DW122" s="14" t="s">
        <v>598</v>
      </c>
      <c r="DX122" s="14" t="s">
        <v>598</v>
      </c>
      <c r="DY122" s="14" t="s">
        <v>598</v>
      </c>
      <c r="DZ122" s="14" t="s">
        <v>598</v>
      </c>
      <c r="EA122" s="14" t="s">
        <v>598</v>
      </c>
      <c r="EB122" s="14" t="s">
        <v>598</v>
      </c>
      <c r="EC122" s="14" t="s">
        <v>598</v>
      </c>
      <c r="ED122" s="14" t="s">
        <v>598</v>
      </c>
      <c r="EE122" s="14" t="s">
        <v>598</v>
      </c>
      <c r="EF122" s="14" t="s">
        <v>598</v>
      </c>
      <c r="EG122" s="14" t="s">
        <v>598</v>
      </c>
      <c r="EH122" s="14" t="s">
        <v>598</v>
      </c>
      <c r="EI122" s="14" t="s">
        <v>598</v>
      </c>
      <c r="EJ122" s="14" t="s">
        <v>598</v>
      </c>
      <c r="EK122" s="14" t="s">
        <v>598</v>
      </c>
      <c r="EL122" s="14" t="s">
        <v>598</v>
      </c>
      <c r="EM122" s="14" t="s">
        <v>598</v>
      </c>
      <c r="EN122" s="14" t="s">
        <v>598</v>
      </c>
      <c r="EO122" s="14" t="s">
        <v>598</v>
      </c>
      <c r="EP122" s="14" t="s">
        <v>598</v>
      </c>
      <c r="EQ122" s="14" t="s">
        <v>598</v>
      </c>
      <c r="ER122" s="14" t="s">
        <v>598</v>
      </c>
      <c r="ES122" s="14" t="s">
        <v>598</v>
      </c>
      <c r="EU122" s="14">
        <v>33.299999999999997</v>
      </c>
      <c r="EW122" s="14">
        <v>312.55</v>
      </c>
      <c r="EZ122" s="14">
        <v>345.85</v>
      </c>
      <c r="FA122" s="14">
        <v>120</v>
      </c>
      <c r="FC122" s="14">
        <v>17.34</v>
      </c>
      <c r="FD122" s="14">
        <v>161.52000000000001</v>
      </c>
      <c r="FG122" s="14">
        <v>298.86</v>
      </c>
      <c r="FN122" s="14">
        <v>0</v>
      </c>
      <c r="FU122" s="14">
        <v>0</v>
      </c>
      <c r="GB122" s="14">
        <v>0</v>
      </c>
      <c r="GI122" s="14">
        <v>0</v>
      </c>
      <c r="GM122" s="14">
        <v>1.1200000000000001</v>
      </c>
      <c r="GP122" s="14">
        <v>1.1200000000000001</v>
      </c>
      <c r="GQ122" s="14" t="s">
        <v>1213</v>
      </c>
      <c r="GS122" s="14">
        <v>9.51</v>
      </c>
      <c r="GU122" s="14">
        <v>450.22</v>
      </c>
      <c r="GX122" s="14">
        <v>459.73</v>
      </c>
      <c r="GY122" s="14">
        <v>120</v>
      </c>
      <c r="GZ122" s="14">
        <v>42.81</v>
      </c>
      <c r="HA122" s="14">
        <v>17.34</v>
      </c>
      <c r="HB122" s="14">
        <v>925.41</v>
      </c>
      <c r="HC122" s="14">
        <v>0</v>
      </c>
      <c r="HD122" s="14">
        <v>0</v>
      </c>
      <c r="HE122" s="14">
        <v>1105.56</v>
      </c>
      <c r="HI122" s="14">
        <v>246.4</v>
      </c>
      <c r="HL122" s="14">
        <v>246.4</v>
      </c>
      <c r="HM122" s="14">
        <v>120</v>
      </c>
      <c r="HN122" s="14">
        <v>42.81</v>
      </c>
      <c r="HO122" s="14">
        <v>17.34</v>
      </c>
      <c r="HP122" s="14">
        <v>679.01</v>
      </c>
      <c r="HS122" s="14">
        <v>859.16</v>
      </c>
      <c r="HZ122" s="14">
        <v>0</v>
      </c>
      <c r="IG122" s="14">
        <v>0</v>
      </c>
      <c r="IN122" s="14">
        <v>0</v>
      </c>
      <c r="IO122" s="14">
        <v>120</v>
      </c>
      <c r="IP122" s="14">
        <v>42.81</v>
      </c>
      <c r="IQ122" s="14">
        <v>17.34</v>
      </c>
      <c r="IR122" s="14">
        <v>925.41</v>
      </c>
      <c r="IS122" s="14">
        <v>0</v>
      </c>
      <c r="IT122" s="14">
        <v>0</v>
      </c>
      <c r="IU122" s="14">
        <v>1105.56</v>
      </c>
      <c r="IW122" s="14">
        <v>59</v>
      </c>
      <c r="IX122" s="14">
        <v>41</v>
      </c>
      <c r="JA122" s="14">
        <v>1</v>
      </c>
      <c r="JB122" s="14">
        <v>3</v>
      </c>
      <c r="JC122" s="14">
        <v>1</v>
      </c>
      <c r="JD122" s="14" t="s">
        <v>600</v>
      </c>
      <c r="NG122" s="14" t="s">
        <v>601</v>
      </c>
      <c r="RJ122" s="14" t="s">
        <v>602</v>
      </c>
      <c r="VM122" s="14" t="s">
        <v>603</v>
      </c>
      <c r="ZP122" s="14" t="s">
        <v>604</v>
      </c>
      <c r="ADS122" s="14" t="s">
        <v>605</v>
      </c>
    </row>
    <row r="123" spans="1:799" x14ac:dyDescent="0.25">
      <c r="A123" s="14">
        <v>111</v>
      </c>
      <c r="B123" s="14" t="s">
        <v>889</v>
      </c>
      <c r="C123" s="16">
        <v>42780</v>
      </c>
      <c r="D123" s="14" t="s">
        <v>1214</v>
      </c>
      <c r="E123" s="14" t="s">
        <v>1215</v>
      </c>
      <c r="F123" s="14" t="str">
        <f>VLOOKUP(MID(H123,SEARCH("@",H123,1),LEN(H123)-SEARCH("@",H123,1)+1),[2]Sheet1!$D:$F,3,FALSE)</f>
        <v>M010</v>
      </c>
      <c r="G123" s="14" t="s">
        <v>1216</v>
      </c>
      <c r="H123" s="14" t="s">
        <v>1217</v>
      </c>
      <c r="I123" s="14" t="s">
        <v>1218</v>
      </c>
      <c r="J123" s="14" t="s">
        <v>731</v>
      </c>
      <c r="K123" s="14" t="s">
        <v>945</v>
      </c>
      <c r="M123" s="14">
        <v>1</v>
      </c>
      <c r="P123" s="14">
        <v>53</v>
      </c>
      <c r="V123" s="14">
        <v>53</v>
      </c>
      <c r="W123" s="14">
        <v>699.9</v>
      </c>
      <c r="AC123" s="14">
        <v>699.9</v>
      </c>
      <c r="AJ123" s="14">
        <v>0</v>
      </c>
      <c r="AQ123" s="14">
        <v>0</v>
      </c>
      <c r="AX123" s="14">
        <v>0</v>
      </c>
      <c r="BE123" s="14">
        <v>0</v>
      </c>
      <c r="BF123" s="14">
        <v>752.9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752.9</v>
      </c>
      <c r="BM123" s="14">
        <v>1</v>
      </c>
      <c r="BS123" s="14">
        <v>1</v>
      </c>
      <c r="BT123" s="14">
        <v>2</v>
      </c>
      <c r="BZ123" s="14">
        <v>2</v>
      </c>
      <c r="CG123" s="14">
        <v>0</v>
      </c>
      <c r="CN123" s="14">
        <v>0</v>
      </c>
      <c r="CU123" s="14">
        <v>0</v>
      </c>
      <c r="DB123" s="14">
        <v>0</v>
      </c>
      <c r="DC123" s="14">
        <v>3</v>
      </c>
      <c r="DD123" s="14">
        <v>0</v>
      </c>
      <c r="DE123" s="14">
        <v>0</v>
      </c>
      <c r="DF123" s="14">
        <v>0</v>
      </c>
      <c r="DG123" s="14">
        <v>0</v>
      </c>
      <c r="DH123" s="14">
        <v>0</v>
      </c>
      <c r="DI123" s="14">
        <v>3</v>
      </c>
      <c r="DJ123" s="14" t="s">
        <v>597</v>
      </c>
      <c r="DK123" s="14" t="s">
        <v>598</v>
      </c>
      <c r="DL123" s="14" t="s">
        <v>598</v>
      </c>
      <c r="DM123" s="14" t="s">
        <v>598</v>
      </c>
      <c r="DN123" s="14" t="s">
        <v>598</v>
      </c>
      <c r="DO123" s="14" t="s">
        <v>598</v>
      </c>
      <c r="DP123" s="14" t="s">
        <v>597</v>
      </c>
      <c r="DQ123" s="14" t="s">
        <v>598</v>
      </c>
      <c r="DR123" s="14" t="s">
        <v>598</v>
      </c>
      <c r="DS123" s="14" t="s">
        <v>598</v>
      </c>
      <c r="DT123" s="14" t="s">
        <v>598</v>
      </c>
      <c r="DU123" s="14" t="s">
        <v>598</v>
      </c>
      <c r="DV123" s="14" t="s">
        <v>598</v>
      </c>
      <c r="DW123" s="14" t="s">
        <v>598</v>
      </c>
      <c r="DX123" s="14" t="s">
        <v>598</v>
      </c>
      <c r="DY123" s="14" t="s">
        <v>598</v>
      </c>
      <c r="DZ123" s="14" t="s">
        <v>598</v>
      </c>
      <c r="EA123" s="14" t="s">
        <v>598</v>
      </c>
      <c r="EB123" s="14" t="s">
        <v>598</v>
      </c>
      <c r="EC123" s="14" t="s">
        <v>598</v>
      </c>
      <c r="ED123" s="14" t="s">
        <v>598</v>
      </c>
      <c r="EE123" s="14" t="s">
        <v>598</v>
      </c>
      <c r="EF123" s="14" t="s">
        <v>598</v>
      </c>
      <c r="EG123" s="14" t="s">
        <v>598</v>
      </c>
      <c r="EH123" s="14" t="s">
        <v>598</v>
      </c>
      <c r="EI123" s="14" t="s">
        <v>598</v>
      </c>
      <c r="EJ123" s="14" t="s">
        <v>598</v>
      </c>
      <c r="EK123" s="14" t="s">
        <v>598</v>
      </c>
      <c r="EL123" s="14" t="s">
        <v>598</v>
      </c>
      <c r="EM123" s="14" t="s">
        <v>598</v>
      </c>
      <c r="EN123" s="14" t="s">
        <v>598</v>
      </c>
      <c r="EO123" s="14" t="s">
        <v>598</v>
      </c>
      <c r="EP123" s="14" t="s">
        <v>598</v>
      </c>
      <c r="EQ123" s="14" t="s">
        <v>598</v>
      </c>
      <c r="ER123" s="14" t="s">
        <v>598</v>
      </c>
      <c r="ES123" s="14" t="s">
        <v>598</v>
      </c>
      <c r="ET123" s="14">
        <v>473.4</v>
      </c>
      <c r="EZ123" s="14">
        <v>473.4</v>
      </c>
      <c r="FA123" s="14">
        <v>190.4</v>
      </c>
      <c r="FG123" s="14">
        <v>190.4</v>
      </c>
      <c r="FN123" s="14">
        <v>0</v>
      </c>
      <c r="FU123" s="14">
        <v>0</v>
      </c>
      <c r="GB123" s="14">
        <v>0</v>
      </c>
      <c r="GC123" s="14">
        <v>41</v>
      </c>
      <c r="GI123" s="14">
        <v>41</v>
      </c>
      <c r="GP123" s="14">
        <v>0</v>
      </c>
      <c r="GQ123" s="14" t="s">
        <v>1219</v>
      </c>
      <c r="GR123" s="14">
        <v>48.1</v>
      </c>
      <c r="GX123" s="14">
        <v>48.1</v>
      </c>
      <c r="GY123" s="14">
        <v>752.9</v>
      </c>
      <c r="GZ123" s="14">
        <v>0</v>
      </c>
      <c r="HA123" s="14">
        <v>0</v>
      </c>
      <c r="HB123" s="14">
        <v>0</v>
      </c>
      <c r="HC123" s="14">
        <v>0</v>
      </c>
      <c r="HD123" s="14">
        <v>0</v>
      </c>
      <c r="HE123" s="14">
        <v>752.9</v>
      </c>
      <c r="HF123" s="14">
        <v>2</v>
      </c>
      <c r="HL123" s="14">
        <v>2</v>
      </c>
      <c r="HM123" s="14">
        <v>726.6</v>
      </c>
      <c r="HS123" s="14">
        <v>726.6</v>
      </c>
      <c r="HT123" s="14">
        <v>24.3</v>
      </c>
      <c r="HZ123" s="14">
        <v>24.3</v>
      </c>
      <c r="IG123" s="14">
        <v>0</v>
      </c>
      <c r="IN123" s="14">
        <v>0</v>
      </c>
      <c r="IO123" s="14">
        <v>752.9</v>
      </c>
      <c r="IP123" s="14">
        <v>0</v>
      </c>
      <c r="IQ123" s="14">
        <v>0</v>
      </c>
      <c r="IR123" s="14">
        <v>0</v>
      </c>
      <c r="IS123" s="14">
        <v>0</v>
      </c>
      <c r="IT123" s="14">
        <v>0</v>
      </c>
      <c r="IU123" s="14">
        <v>752.9</v>
      </c>
      <c r="IX123" s="14">
        <v>100</v>
      </c>
      <c r="JA123" s="14">
        <v>3</v>
      </c>
      <c r="JB123" s="14">
        <v>3</v>
      </c>
      <c r="JC123" s="14">
        <v>1</v>
      </c>
      <c r="JD123" s="14" t="s">
        <v>600</v>
      </c>
      <c r="JK123" s="14">
        <v>0</v>
      </c>
      <c r="JR123" s="14">
        <v>0</v>
      </c>
      <c r="JY123" s="14">
        <v>0</v>
      </c>
      <c r="KF123" s="14">
        <v>0</v>
      </c>
      <c r="KM123" s="14">
        <v>0</v>
      </c>
      <c r="KN123" s="14">
        <v>28.8</v>
      </c>
      <c r="KT123" s="14">
        <v>28.8</v>
      </c>
      <c r="LA123" s="14">
        <v>0</v>
      </c>
      <c r="LB123" s="14" t="s">
        <v>748</v>
      </c>
      <c r="LC123" s="14">
        <v>24.2</v>
      </c>
      <c r="LI123" s="14">
        <v>24.2</v>
      </c>
      <c r="LJ123" s="14">
        <v>53</v>
      </c>
      <c r="LK123" s="14">
        <v>0</v>
      </c>
      <c r="LL123" s="14">
        <v>0</v>
      </c>
      <c r="LM123" s="14">
        <v>0</v>
      </c>
      <c r="LN123" s="14">
        <v>0</v>
      </c>
      <c r="LO123" s="14">
        <v>0</v>
      </c>
      <c r="LP123" s="14">
        <v>53</v>
      </c>
      <c r="LQ123" s="14">
        <v>28.8</v>
      </c>
      <c r="LW123" s="14">
        <v>28.8</v>
      </c>
      <c r="MD123" s="14">
        <v>0</v>
      </c>
      <c r="ME123" s="14">
        <v>24.2</v>
      </c>
      <c r="MK123" s="14">
        <v>24.2</v>
      </c>
      <c r="MR123" s="14">
        <v>0</v>
      </c>
      <c r="MY123" s="14">
        <v>0</v>
      </c>
      <c r="MZ123" s="14">
        <v>53</v>
      </c>
      <c r="NA123" s="14">
        <v>0</v>
      </c>
      <c r="NB123" s="14">
        <v>0</v>
      </c>
      <c r="NC123" s="14">
        <v>0</v>
      </c>
      <c r="ND123" s="14">
        <v>0</v>
      </c>
      <c r="NE123" s="14">
        <v>0</v>
      </c>
      <c r="NF123" s="14">
        <v>53</v>
      </c>
      <c r="NG123" s="14" t="s">
        <v>601</v>
      </c>
      <c r="NH123" s="14">
        <v>473.5</v>
      </c>
      <c r="NN123" s="14">
        <v>473.5</v>
      </c>
      <c r="NO123" s="14">
        <v>190.4</v>
      </c>
      <c r="NU123" s="14">
        <v>190.4</v>
      </c>
      <c r="OB123" s="14">
        <v>0</v>
      </c>
      <c r="OI123" s="14">
        <v>0</v>
      </c>
      <c r="OP123" s="14">
        <v>0</v>
      </c>
      <c r="OQ123" s="14">
        <v>12.2</v>
      </c>
      <c r="OW123" s="14">
        <v>12.2</v>
      </c>
      <c r="PD123" s="14">
        <v>0</v>
      </c>
      <c r="PE123" s="14" t="s">
        <v>1220</v>
      </c>
      <c r="PF123" s="14">
        <v>23.8</v>
      </c>
      <c r="PL123" s="14">
        <v>23.8</v>
      </c>
      <c r="PM123" s="14">
        <v>699.9</v>
      </c>
      <c r="PN123" s="14">
        <v>0</v>
      </c>
      <c r="PO123" s="14">
        <v>0</v>
      </c>
      <c r="PP123" s="14">
        <v>0</v>
      </c>
      <c r="PQ123" s="14">
        <v>0</v>
      </c>
      <c r="PR123" s="14">
        <v>0</v>
      </c>
      <c r="PS123" s="14">
        <v>699.9</v>
      </c>
      <c r="PT123" s="14">
        <v>697.9</v>
      </c>
      <c r="PZ123" s="14">
        <v>697.9</v>
      </c>
      <c r="QA123" s="14">
        <v>2</v>
      </c>
      <c r="QG123" s="14">
        <v>2</v>
      </c>
      <c r="QN123" s="14">
        <v>0</v>
      </c>
      <c r="QU123" s="14">
        <v>0</v>
      </c>
      <c r="RB123" s="14">
        <v>0</v>
      </c>
      <c r="RC123" s="14">
        <v>699.9</v>
      </c>
      <c r="RD123" s="14">
        <v>0</v>
      </c>
      <c r="RE123" s="14">
        <v>0</v>
      </c>
      <c r="RF123" s="14">
        <v>0</v>
      </c>
      <c r="RG123" s="14">
        <v>0</v>
      </c>
      <c r="RH123" s="14">
        <v>0</v>
      </c>
      <c r="RI123" s="14">
        <v>699.9</v>
      </c>
      <c r="RJ123" s="14" t="s">
        <v>602</v>
      </c>
      <c r="VM123" s="14" t="s">
        <v>603</v>
      </c>
      <c r="ZP123" s="14" t="s">
        <v>604</v>
      </c>
      <c r="ADS123" s="14" t="s">
        <v>605</v>
      </c>
    </row>
    <row r="124" spans="1:799" x14ac:dyDescent="0.25">
      <c r="A124" s="14">
        <v>45</v>
      </c>
      <c r="B124" s="14" t="s">
        <v>889</v>
      </c>
      <c r="C124" s="16">
        <v>42780</v>
      </c>
      <c r="D124" s="14" t="s">
        <v>1221</v>
      </c>
      <c r="E124" s="14" t="s">
        <v>1222</v>
      </c>
      <c r="F124" s="14" t="str">
        <f>VLOOKUP(MID(H124,SEARCH("@",H124,1),LEN(H124)-SEARCH("@",H124,1)+1),[2]Sheet1!$D:$F,3,FALSE)</f>
        <v>M310</v>
      </c>
      <c r="G124" s="14" t="s">
        <v>1223</v>
      </c>
      <c r="H124" s="14" t="s">
        <v>1224</v>
      </c>
      <c r="I124" s="14" t="s">
        <v>1225</v>
      </c>
      <c r="J124" s="14" t="s">
        <v>731</v>
      </c>
      <c r="K124" s="14" t="s">
        <v>732</v>
      </c>
      <c r="M124" s="14">
        <v>1</v>
      </c>
      <c r="V124" s="14">
        <v>0</v>
      </c>
      <c r="W124" s="14">
        <v>200</v>
      </c>
      <c r="Z124" s="14">
        <v>300</v>
      </c>
      <c r="AC124" s="14">
        <v>500</v>
      </c>
      <c r="AJ124" s="14">
        <v>0</v>
      </c>
      <c r="AQ124" s="14">
        <v>0</v>
      </c>
      <c r="AX124" s="14">
        <v>0</v>
      </c>
      <c r="BE124" s="14">
        <v>0</v>
      </c>
      <c r="BF124" s="14">
        <v>200</v>
      </c>
      <c r="BG124" s="14">
        <v>0</v>
      </c>
      <c r="BH124" s="14">
        <v>0</v>
      </c>
      <c r="BI124" s="14">
        <v>300</v>
      </c>
      <c r="BJ124" s="14">
        <v>0</v>
      </c>
      <c r="BK124" s="14">
        <v>0</v>
      </c>
      <c r="BL124" s="14">
        <v>500</v>
      </c>
      <c r="BS124" s="14">
        <v>0</v>
      </c>
      <c r="BT124" s="14">
        <v>1</v>
      </c>
      <c r="BW124" s="14">
        <v>13</v>
      </c>
      <c r="BZ124" s="14">
        <v>14</v>
      </c>
      <c r="CG124" s="14">
        <v>0</v>
      </c>
      <c r="CN124" s="14">
        <v>0</v>
      </c>
      <c r="CU124" s="14">
        <v>0</v>
      </c>
      <c r="DB124" s="14">
        <v>0</v>
      </c>
      <c r="DC124" s="14">
        <v>1</v>
      </c>
      <c r="DD124" s="14">
        <v>0</v>
      </c>
      <c r="DE124" s="14">
        <v>0</v>
      </c>
      <c r="DF124" s="14">
        <v>13</v>
      </c>
      <c r="DG124" s="14">
        <v>0</v>
      </c>
      <c r="DH124" s="14">
        <v>0</v>
      </c>
      <c r="DI124" s="14">
        <v>14</v>
      </c>
      <c r="DJ124" s="14" t="s">
        <v>598</v>
      </c>
      <c r="DK124" s="14" t="s">
        <v>598</v>
      </c>
      <c r="DL124" s="14" t="s">
        <v>598</v>
      </c>
      <c r="DM124" s="14" t="s">
        <v>598</v>
      </c>
      <c r="DN124" s="14" t="s">
        <v>598</v>
      </c>
      <c r="DO124" s="14" t="s">
        <v>598</v>
      </c>
      <c r="DP124" s="14" t="s">
        <v>597</v>
      </c>
      <c r="DQ124" s="14" t="s">
        <v>598</v>
      </c>
      <c r="DR124" s="14" t="s">
        <v>598</v>
      </c>
      <c r="DS124" s="14" t="s">
        <v>597</v>
      </c>
      <c r="DT124" s="14" t="s">
        <v>598</v>
      </c>
      <c r="DU124" s="14" t="s">
        <v>598</v>
      </c>
      <c r="DV124" s="14" t="s">
        <v>598</v>
      </c>
      <c r="DW124" s="14" t="s">
        <v>598</v>
      </c>
      <c r="DX124" s="14" t="s">
        <v>598</v>
      </c>
      <c r="DY124" s="14" t="s">
        <v>598</v>
      </c>
      <c r="DZ124" s="14" t="s">
        <v>598</v>
      </c>
      <c r="EA124" s="14" t="s">
        <v>598</v>
      </c>
      <c r="EB124" s="14" t="s">
        <v>598</v>
      </c>
      <c r="EC124" s="14" t="s">
        <v>598</v>
      </c>
      <c r="ED124" s="14" t="s">
        <v>598</v>
      </c>
      <c r="EE124" s="14" t="s">
        <v>598</v>
      </c>
      <c r="EF124" s="14" t="s">
        <v>598</v>
      </c>
      <c r="EG124" s="14" t="s">
        <v>598</v>
      </c>
      <c r="EH124" s="14" t="s">
        <v>598</v>
      </c>
      <c r="EI124" s="14" t="s">
        <v>598</v>
      </c>
      <c r="EJ124" s="14" t="s">
        <v>598</v>
      </c>
      <c r="EK124" s="14" t="s">
        <v>598</v>
      </c>
      <c r="EL124" s="14" t="s">
        <v>598</v>
      </c>
      <c r="EM124" s="14" t="s">
        <v>598</v>
      </c>
      <c r="EN124" s="14" t="s">
        <v>598</v>
      </c>
      <c r="EO124" s="14" t="s">
        <v>598</v>
      </c>
      <c r="EP124" s="14" t="s">
        <v>598</v>
      </c>
      <c r="EQ124" s="14" t="s">
        <v>598</v>
      </c>
      <c r="ER124" s="14" t="s">
        <v>598</v>
      </c>
      <c r="ES124" s="14" t="s">
        <v>598</v>
      </c>
      <c r="ET124" s="14">
        <v>95</v>
      </c>
      <c r="EW124" s="14">
        <v>35</v>
      </c>
      <c r="EZ124" s="14">
        <v>130</v>
      </c>
      <c r="FG124" s="14">
        <v>0</v>
      </c>
      <c r="FK124" s="14">
        <v>100</v>
      </c>
      <c r="FN124" s="14">
        <v>100</v>
      </c>
      <c r="FU124" s="14">
        <v>0</v>
      </c>
      <c r="FV124" s="14">
        <v>5</v>
      </c>
      <c r="GB124" s="14">
        <v>5</v>
      </c>
      <c r="GC124" s="14">
        <v>35</v>
      </c>
      <c r="GF124" s="14">
        <v>60</v>
      </c>
      <c r="GI124" s="14">
        <v>95</v>
      </c>
      <c r="GJ124" s="14">
        <v>85</v>
      </c>
      <c r="GM124" s="14">
        <v>85</v>
      </c>
      <c r="GP124" s="14">
        <v>170</v>
      </c>
      <c r="GX124" s="14">
        <v>0</v>
      </c>
      <c r="GY124" s="14">
        <v>220</v>
      </c>
      <c r="GZ124" s="14">
        <v>0</v>
      </c>
      <c r="HA124" s="14">
        <v>0</v>
      </c>
      <c r="HB124" s="14">
        <v>280</v>
      </c>
      <c r="HC124" s="14">
        <v>0</v>
      </c>
      <c r="HD124" s="14">
        <v>0</v>
      </c>
      <c r="HE124" s="14">
        <v>500</v>
      </c>
      <c r="HF124" s="14">
        <v>15</v>
      </c>
      <c r="HI124" s="14">
        <v>150</v>
      </c>
      <c r="HL124" s="14">
        <v>165</v>
      </c>
      <c r="HM124" s="14">
        <v>80</v>
      </c>
      <c r="HP124" s="14">
        <v>35</v>
      </c>
      <c r="HS124" s="14">
        <v>115</v>
      </c>
      <c r="HT124" s="14">
        <v>100</v>
      </c>
      <c r="HW124" s="14">
        <v>60</v>
      </c>
      <c r="HZ124" s="14">
        <v>160</v>
      </c>
      <c r="IA124" s="14">
        <v>5</v>
      </c>
      <c r="ID124" s="14">
        <v>55</v>
      </c>
      <c r="IG124" s="14">
        <v>60</v>
      </c>
      <c r="IN124" s="14">
        <v>0</v>
      </c>
      <c r="IO124" s="14">
        <v>200</v>
      </c>
      <c r="IP124" s="14">
        <v>0</v>
      </c>
      <c r="IQ124" s="14">
        <v>0</v>
      </c>
      <c r="IR124" s="14">
        <v>300</v>
      </c>
      <c r="IS124" s="14">
        <v>0</v>
      </c>
      <c r="IT124" s="14">
        <v>0</v>
      </c>
      <c r="IU124" s="14">
        <v>500</v>
      </c>
      <c r="IV124" s="14">
        <v>30</v>
      </c>
      <c r="IX124" s="14">
        <v>70</v>
      </c>
      <c r="JA124" s="14">
        <v>1</v>
      </c>
      <c r="JB124" s="14">
        <v>3</v>
      </c>
      <c r="JC124" s="14">
        <v>1</v>
      </c>
      <c r="JD124" s="14" t="s">
        <v>600</v>
      </c>
      <c r="NG124" s="14" t="s">
        <v>601</v>
      </c>
      <c r="RJ124" s="14" t="s">
        <v>602</v>
      </c>
      <c r="VM124" s="14" t="s">
        <v>603</v>
      </c>
      <c r="ZP124" s="14" t="s">
        <v>604</v>
      </c>
      <c r="ADS124" s="14" t="s">
        <v>605</v>
      </c>
    </row>
    <row r="125" spans="1:799" x14ac:dyDescent="0.25">
      <c r="A125" s="14">
        <v>53</v>
      </c>
      <c r="B125" s="14" t="s">
        <v>889</v>
      </c>
      <c r="C125" s="16">
        <v>42780</v>
      </c>
      <c r="D125" s="14" t="s">
        <v>1226</v>
      </c>
      <c r="E125" s="14" t="s">
        <v>1227</v>
      </c>
      <c r="F125" s="14" t="str">
        <f>VLOOKUP(MID(H125,SEARCH("@",H125,1),LEN(H125)-SEARCH("@",H125,1)+1),[2]Sheet1!$D:$F,3,FALSE)</f>
        <v>M041</v>
      </c>
      <c r="G125" s="14" t="s">
        <v>1228</v>
      </c>
      <c r="H125" s="14" t="s">
        <v>1229</v>
      </c>
      <c r="I125" s="14">
        <v>33144458521</v>
      </c>
      <c r="J125" s="14" t="s">
        <v>1078</v>
      </c>
      <c r="K125" s="14" t="s">
        <v>732</v>
      </c>
      <c r="M125" s="14">
        <v>1</v>
      </c>
      <c r="U125" s="14">
        <v>8.6999999999999993</v>
      </c>
      <c r="V125" s="14">
        <v>8.6999999999999993</v>
      </c>
      <c r="W125" s="14">
        <v>1080.4000000000001</v>
      </c>
      <c r="X125" s="14">
        <v>458.5</v>
      </c>
      <c r="Z125" s="14">
        <v>590</v>
      </c>
      <c r="AB125" s="14">
        <v>2085.5</v>
      </c>
      <c r="AC125" s="14">
        <v>4214.3999999999996</v>
      </c>
      <c r="AE125" s="14">
        <v>59.4</v>
      </c>
      <c r="AJ125" s="14">
        <v>59.4</v>
      </c>
      <c r="AL125" s="14">
        <v>722</v>
      </c>
      <c r="AQ125" s="14">
        <v>722</v>
      </c>
      <c r="AX125" s="14">
        <v>0</v>
      </c>
      <c r="BE125" s="14">
        <v>0</v>
      </c>
      <c r="BF125" s="14">
        <v>1080.4000000000001</v>
      </c>
      <c r="BG125" s="14">
        <v>1239.9000000000001</v>
      </c>
      <c r="BH125" s="14">
        <v>0</v>
      </c>
      <c r="BI125" s="14">
        <v>590</v>
      </c>
      <c r="BJ125" s="14">
        <v>0</v>
      </c>
      <c r="BK125" s="14">
        <v>2094.1999999999998</v>
      </c>
      <c r="BL125" s="14">
        <v>5004.5</v>
      </c>
      <c r="BR125" s="14">
        <v>1</v>
      </c>
      <c r="BS125" s="14">
        <v>1</v>
      </c>
      <c r="BT125" s="14">
        <v>9</v>
      </c>
      <c r="BU125" s="14">
        <v>5</v>
      </c>
      <c r="BW125" s="14">
        <v>6</v>
      </c>
      <c r="BY125" s="14">
        <v>3</v>
      </c>
      <c r="BZ125" s="14">
        <v>23</v>
      </c>
      <c r="CB125" s="14">
        <v>1</v>
      </c>
      <c r="CG125" s="14">
        <v>1</v>
      </c>
      <c r="CI125" s="14">
        <v>3</v>
      </c>
      <c r="CN125" s="14">
        <v>3</v>
      </c>
      <c r="CU125" s="14">
        <v>0</v>
      </c>
      <c r="DB125" s="14">
        <v>0</v>
      </c>
      <c r="DC125" s="14">
        <v>9</v>
      </c>
      <c r="DD125" s="14">
        <v>9</v>
      </c>
      <c r="DE125" s="14">
        <v>0</v>
      </c>
      <c r="DF125" s="14">
        <v>6</v>
      </c>
      <c r="DG125" s="14">
        <v>0</v>
      </c>
      <c r="DH125" s="14">
        <v>4</v>
      </c>
      <c r="DI125" s="14">
        <v>28</v>
      </c>
      <c r="DJ125" s="14" t="s">
        <v>598</v>
      </c>
      <c r="DK125" s="14" t="s">
        <v>598</v>
      </c>
      <c r="DL125" s="14" t="s">
        <v>598</v>
      </c>
      <c r="DM125" s="14" t="s">
        <v>598</v>
      </c>
      <c r="DN125" s="14" t="s">
        <v>598</v>
      </c>
      <c r="DO125" s="14" t="s">
        <v>597</v>
      </c>
      <c r="DP125" s="14" t="s">
        <v>597</v>
      </c>
      <c r="DQ125" s="14" t="s">
        <v>597</v>
      </c>
      <c r="DR125" s="14" t="s">
        <v>598</v>
      </c>
      <c r="DS125" s="14" t="s">
        <v>597</v>
      </c>
      <c r="DT125" s="14" t="s">
        <v>598</v>
      </c>
      <c r="DU125" s="14" t="s">
        <v>597</v>
      </c>
      <c r="DV125" s="14" t="s">
        <v>598</v>
      </c>
      <c r="DW125" s="14" t="s">
        <v>597</v>
      </c>
      <c r="DX125" s="14" t="s">
        <v>598</v>
      </c>
      <c r="DY125" s="14" t="s">
        <v>598</v>
      </c>
      <c r="DZ125" s="14" t="s">
        <v>598</v>
      </c>
      <c r="EA125" s="14" t="s">
        <v>598</v>
      </c>
      <c r="EB125" s="14" t="s">
        <v>598</v>
      </c>
      <c r="EC125" s="14" t="s">
        <v>597</v>
      </c>
      <c r="ED125" s="14" t="s">
        <v>598</v>
      </c>
      <c r="EE125" s="14" t="s">
        <v>598</v>
      </c>
      <c r="EF125" s="14" t="s">
        <v>598</v>
      </c>
      <c r="EG125" s="14" t="s">
        <v>598</v>
      </c>
      <c r="EH125" s="14" t="s">
        <v>598</v>
      </c>
      <c r="EI125" s="14" t="s">
        <v>598</v>
      </c>
      <c r="EJ125" s="14" t="s">
        <v>598</v>
      </c>
      <c r="EK125" s="14" t="s">
        <v>598</v>
      </c>
      <c r="EL125" s="14" t="s">
        <v>598</v>
      </c>
      <c r="EM125" s="14" t="s">
        <v>598</v>
      </c>
      <c r="EN125" s="14" t="s">
        <v>598</v>
      </c>
      <c r="EO125" s="14" t="s">
        <v>598</v>
      </c>
      <c r="EP125" s="14" t="s">
        <v>598</v>
      </c>
      <c r="EQ125" s="14" t="s">
        <v>598</v>
      </c>
      <c r="ER125" s="14" t="s">
        <v>598</v>
      </c>
      <c r="ES125" s="14" t="s">
        <v>598</v>
      </c>
      <c r="ET125" s="14">
        <v>250.3</v>
      </c>
      <c r="EU125" s="14">
        <v>245</v>
      </c>
      <c r="EW125" s="14">
        <v>362.7</v>
      </c>
      <c r="EY125" s="14">
        <v>333</v>
      </c>
      <c r="EZ125" s="14">
        <v>1191</v>
      </c>
      <c r="FA125" s="14">
        <v>723.4</v>
      </c>
      <c r="FB125" s="14">
        <v>928.9</v>
      </c>
      <c r="FD125" s="14">
        <v>195.1</v>
      </c>
      <c r="FF125" s="14">
        <v>1646.2</v>
      </c>
      <c r="FG125" s="14">
        <v>3493.6</v>
      </c>
      <c r="FI125" s="14">
        <v>66</v>
      </c>
      <c r="FK125" s="14">
        <v>32.200000000000003</v>
      </c>
      <c r="FN125" s="14">
        <v>98.2</v>
      </c>
      <c r="FU125" s="14">
        <v>0</v>
      </c>
      <c r="GB125" s="14">
        <v>0</v>
      </c>
      <c r="GC125" s="14">
        <v>17.2</v>
      </c>
      <c r="GI125" s="14">
        <v>17.2</v>
      </c>
      <c r="GJ125" s="14">
        <v>10</v>
      </c>
      <c r="GP125" s="14">
        <v>10</v>
      </c>
      <c r="GQ125" s="14" t="s">
        <v>1230</v>
      </c>
      <c r="GR125" s="14">
        <v>79.5</v>
      </c>
      <c r="GW125" s="14">
        <v>115</v>
      </c>
      <c r="GX125" s="14">
        <v>194.5</v>
      </c>
      <c r="GY125" s="14">
        <v>1080.4000000000001</v>
      </c>
      <c r="GZ125" s="14">
        <v>1239.9000000000001</v>
      </c>
      <c r="HA125" s="14">
        <v>0</v>
      </c>
      <c r="HB125" s="14">
        <v>590</v>
      </c>
      <c r="HC125" s="14">
        <v>0</v>
      </c>
      <c r="HD125" s="14">
        <v>2094.1999999999998</v>
      </c>
      <c r="HE125" s="14">
        <v>5004.5</v>
      </c>
      <c r="HF125" s="14">
        <v>60</v>
      </c>
      <c r="HG125" s="14">
        <v>66</v>
      </c>
      <c r="HI125" s="14">
        <v>92.2</v>
      </c>
      <c r="HK125" s="14">
        <v>8.6999999999999993</v>
      </c>
      <c r="HL125" s="14">
        <v>226.9</v>
      </c>
      <c r="HM125" s="14">
        <v>966.6</v>
      </c>
      <c r="HN125" s="14">
        <v>869.5</v>
      </c>
      <c r="HP125" s="14">
        <v>433.3</v>
      </c>
      <c r="HR125" s="14">
        <v>2085.5</v>
      </c>
      <c r="HS125" s="14">
        <v>4354.8999999999996</v>
      </c>
      <c r="HT125" s="14">
        <v>53.8</v>
      </c>
      <c r="HU125" s="14">
        <v>304.39999999999998</v>
      </c>
      <c r="HW125" s="14">
        <v>64.400000000000006</v>
      </c>
      <c r="HZ125" s="14">
        <v>422.6</v>
      </c>
      <c r="IG125" s="14">
        <v>0</v>
      </c>
      <c r="IN125" s="14">
        <v>0</v>
      </c>
      <c r="IO125" s="14">
        <v>1080.4000000000001</v>
      </c>
      <c r="IP125" s="14">
        <v>1239.9000000000001</v>
      </c>
      <c r="IQ125" s="14">
        <v>0</v>
      </c>
      <c r="IR125" s="14">
        <v>589.9</v>
      </c>
      <c r="IS125" s="14">
        <v>0</v>
      </c>
      <c r="IT125" s="14">
        <v>2094.1999999999998</v>
      </c>
      <c r="IU125" s="14">
        <v>5004.3999999999996</v>
      </c>
      <c r="IX125" s="14">
        <v>100</v>
      </c>
      <c r="JA125" s="14">
        <v>3</v>
      </c>
      <c r="JB125" s="14">
        <v>3</v>
      </c>
      <c r="JC125" s="14">
        <v>1</v>
      </c>
      <c r="JD125" s="14" t="s">
        <v>600</v>
      </c>
      <c r="JK125" s="14">
        <v>0</v>
      </c>
      <c r="JQ125" s="14">
        <v>8.6999999999999993</v>
      </c>
      <c r="JR125" s="14">
        <v>8.6999999999999993</v>
      </c>
      <c r="JY125" s="14">
        <v>0</v>
      </c>
      <c r="KF125" s="14">
        <v>0</v>
      </c>
      <c r="KM125" s="14">
        <v>0</v>
      </c>
      <c r="KT125" s="14">
        <v>0</v>
      </c>
      <c r="LA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0</v>
      </c>
      <c r="LO125" s="14">
        <v>8.6999999999999993</v>
      </c>
      <c r="LP125" s="14">
        <v>8.6999999999999993</v>
      </c>
      <c r="LW125" s="14">
        <v>0</v>
      </c>
      <c r="MC125" s="14">
        <v>8.6999999999999993</v>
      </c>
      <c r="MD125" s="14">
        <v>8.6999999999999993</v>
      </c>
      <c r="MK125" s="14">
        <v>0</v>
      </c>
      <c r="MR125" s="14">
        <v>0</v>
      </c>
      <c r="MY125" s="14">
        <v>0</v>
      </c>
      <c r="MZ125" s="14">
        <v>0</v>
      </c>
      <c r="NA125" s="14">
        <v>0</v>
      </c>
      <c r="NB125" s="14">
        <v>0</v>
      </c>
      <c r="NC125" s="14">
        <v>0</v>
      </c>
      <c r="ND125" s="14">
        <v>0</v>
      </c>
      <c r="NE125" s="14">
        <v>8.6999999999999993</v>
      </c>
      <c r="NF125" s="14">
        <v>8.6999999999999993</v>
      </c>
      <c r="NG125" s="14" t="s">
        <v>601</v>
      </c>
      <c r="NH125" s="14">
        <v>250.3</v>
      </c>
      <c r="NI125" s="14">
        <v>245</v>
      </c>
      <c r="NK125" s="14">
        <v>362.7</v>
      </c>
      <c r="NM125" s="14">
        <v>333</v>
      </c>
      <c r="NN125" s="14">
        <v>1191</v>
      </c>
      <c r="NO125" s="14">
        <v>723.4</v>
      </c>
      <c r="NP125" s="14">
        <v>147.5</v>
      </c>
      <c r="NR125" s="14">
        <v>195.1</v>
      </c>
      <c r="NT125" s="14">
        <v>1637.5</v>
      </c>
      <c r="NU125" s="14">
        <v>2703.5</v>
      </c>
      <c r="NW125" s="14">
        <v>66</v>
      </c>
      <c r="NY125" s="14">
        <v>32.200000000000003</v>
      </c>
      <c r="OB125" s="14">
        <v>98.2</v>
      </c>
      <c r="OI125" s="14">
        <v>0</v>
      </c>
      <c r="OP125" s="14">
        <v>0</v>
      </c>
      <c r="OQ125" s="14">
        <v>17.2</v>
      </c>
      <c r="OW125" s="14">
        <v>17.2</v>
      </c>
      <c r="OX125" s="14">
        <v>10</v>
      </c>
      <c r="PD125" s="14">
        <v>10</v>
      </c>
      <c r="PE125" s="14" t="s">
        <v>1231</v>
      </c>
      <c r="PF125" s="14">
        <v>79.5</v>
      </c>
      <c r="PK125" s="14">
        <v>115</v>
      </c>
      <c r="PL125" s="14">
        <v>194.5</v>
      </c>
      <c r="PM125" s="14">
        <v>1080.4000000000001</v>
      </c>
      <c r="PN125" s="14">
        <v>458.5</v>
      </c>
      <c r="PO125" s="14">
        <v>0</v>
      </c>
      <c r="PP125" s="14">
        <v>590</v>
      </c>
      <c r="PQ125" s="14">
        <v>0</v>
      </c>
      <c r="PR125" s="14">
        <v>2085.5</v>
      </c>
      <c r="PS125" s="14">
        <v>4214.3999999999996</v>
      </c>
      <c r="PT125" s="14">
        <v>966.6</v>
      </c>
      <c r="PU125" s="14">
        <v>147.5</v>
      </c>
      <c r="PW125" s="14">
        <v>433.3</v>
      </c>
      <c r="PY125" s="14">
        <v>2085.5</v>
      </c>
      <c r="PZ125" s="14">
        <v>3632.9</v>
      </c>
      <c r="QA125" s="14">
        <v>60</v>
      </c>
      <c r="QB125" s="14">
        <v>66</v>
      </c>
      <c r="QD125" s="14">
        <v>92.2</v>
      </c>
      <c r="QG125" s="14">
        <v>218.2</v>
      </c>
      <c r="QH125" s="14">
        <v>53.8</v>
      </c>
      <c r="QI125" s="14">
        <v>245</v>
      </c>
      <c r="QK125" s="14">
        <v>64.400000000000006</v>
      </c>
      <c r="QN125" s="14">
        <v>363.2</v>
      </c>
      <c r="QU125" s="14">
        <v>0</v>
      </c>
      <c r="RB125" s="14">
        <v>0</v>
      </c>
      <c r="RC125" s="14">
        <v>1080.4000000000001</v>
      </c>
      <c r="RD125" s="14">
        <v>458.5</v>
      </c>
      <c r="RE125" s="14">
        <v>0</v>
      </c>
      <c r="RF125" s="14">
        <v>589.9</v>
      </c>
      <c r="RG125" s="14">
        <v>0</v>
      </c>
      <c r="RH125" s="14">
        <v>2085.5</v>
      </c>
      <c r="RI125" s="14">
        <v>4214.3</v>
      </c>
      <c r="RJ125" s="14" t="s">
        <v>602</v>
      </c>
      <c r="RQ125" s="14">
        <v>0</v>
      </c>
      <c r="RS125" s="14">
        <v>59.4</v>
      </c>
      <c r="RX125" s="14">
        <v>59.4</v>
      </c>
      <c r="SE125" s="14">
        <v>0</v>
      </c>
      <c r="SL125" s="14">
        <v>0</v>
      </c>
      <c r="SS125" s="14">
        <v>0</v>
      </c>
      <c r="SZ125" s="14">
        <v>0</v>
      </c>
      <c r="TG125" s="14">
        <v>0</v>
      </c>
      <c r="TO125" s="14">
        <v>0</v>
      </c>
      <c r="TP125" s="14">
        <v>0</v>
      </c>
      <c r="TQ125" s="14">
        <v>59.4</v>
      </c>
      <c r="TR125" s="14">
        <v>0</v>
      </c>
      <c r="TS125" s="14">
        <v>0</v>
      </c>
      <c r="TT125" s="14">
        <v>0</v>
      </c>
      <c r="TU125" s="14">
        <v>0</v>
      </c>
      <c r="TV125" s="14">
        <v>59.4</v>
      </c>
      <c r="UC125" s="14">
        <v>0</v>
      </c>
      <c r="UJ125" s="14">
        <v>0</v>
      </c>
      <c r="UL125" s="14">
        <v>59.4</v>
      </c>
      <c r="UQ125" s="14">
        <v>59.4</v>
      </c>
      <c r="UX125" s="14">
        <v>0</v>
      </c>
      <c r="VE125" s="14">
        <v>0</v>
      </c>
      <c r="VF125" s="14">
        <v>0</v>
      </c>
      <c r="VG125" s="14">
        <v>59.4</v>
      </c>
      <c r="VH125" s="14">
        <v>0</v>
      </c>
      <c r="VI125" s="14">
        <v>0</v>
      </c>
      <c r="VJ125" s="14">
        <v>0</v>
      </c>
      <c r="VK125" s="14">
        <v>0</v>
      </c>
      <c r="VL125" s="14">
        <v>59.4</v>
      </c>
      <c r="VM125" s="14" t="s">
        <v>603</v>
      </c>
      <c r="VT125" s="14">
        <v>0</v>
      </c>
      <c r="VV125" s="14">
        <v>722</v>
      </c>
      <c r="WA125" s="14">
        <v>722</v>
      </c>
      <c r="WH125" s="14">
        <v>0</v>
      </c>
      <c r="WO125" s="14">
        <v>0</v>
      </c>
      <c r="WV125" s="14">
        <v>0</v>
      </c>
      <c r="XC125" s="14">
        <v>0</v>
      </c>
      <c r="XJ125" s="14">
        <v>0</v>
      </c>
      <c r="XR125" s="14">
        <v>0</v>
      </c>
      <c r="XS125" s="14">
        <v>0</v>
      </c>
      <c r="XT125" s="14">
        <v>722</v>
      </c>
      <c r="XU125" s="14">
        <v>0</v>
      </c>
      <c r="XV125" s="14">
        <v>0</v>
      </c>
      <c r="XW125" s="14">
        <v>0</v>
      </c>
      <c r="XX125" s="14">
        <v>0</v>
      </c>
      <c r="XY125" s="14">
        <v>722</v>
      </c>
      <c r="YA125" s="14">
        <v>722</v>
      </c>
      <c r="YF125" s="14">
        <v>722</v>
      </c>
      <c r="YM125" s="14">
        <v>0</v>
      </c>
      <c r="YT125" s="14">
        <v>0</v>
      </c>
      <c r="ZA125" s="14">
        <v>0</v>
      </c>
      <c r="ZH125" s="14">
        <v>0</v>
      </c>
      <c r="ZI125" s="14">
        <v>0</v>
      </c>
      <c r="ZJ125" s="14">
        <v>722</v>
      </c>
      <c r="ZK125" s="14">
        <v>0</v>
      </c>
      <c r="ZL125" s="14">
        <v>0</v>
      </c>
      <c r="ZM125" s="14">
        <v>0</v>
      </c>
      <c r="ZN125" s="14">
        <v>0</v>
      </c>
      <c r="ZO125" s="14">
        <v>722</v>
      </c>
      <c r="ZP125" s="14" t="s">
        <v>604</v>
      </c>
      <c r="ADS125" s="14" t="s">
        <v>605</v>
      </c>
    </row>
    <row r="126" spans="1:799" x14ac:dyDescent="0.25">
      <c r="A126" s="14">
        <v>167</v>
      </c>
      <c r="B126" s="14" t="s">
        <v>889</v>
      </c>
      <c r="C126" s="16">
        <v>42780</v>
      </c>
      <c r="D126" s="14" t="s">
        <v>1232</v>
      </c>
      <c r="E126" s="14" t="s">
        <v>1233</v>
      </c>
      <c r="F126" s="14" t="str">
        <f>VLOOKUP(MID(H126,SEARCH("@",H126,1),LEN(H126)-SEARCH("@",H126,1)+1),[2]Sheet1!$D:$F,3,FALSE)</f>
        <v>M2505</v>
      </c>
      <c r="G126" s="14" t="s">
        <v>693</v>
      </c>
      <c r="H126" s="14" t="s">
        <v>1234</v>
      </c>
      <c r="I126" s="14" t="s">
        <v>1235</v>
      </c>
      <c r="J126" s="14" t="s">
        <v>731</v>
      </c>
      <c r="K126" s="14" t="s">
        <v>732</v>
      </c>
      <c r="M126" s="14">
        <v>1</v>
      </c>
      <c r="V126" s="14">
        <v>0</v>
      </c>
      <c r="W126" s="14">
        <v>438</v>
      </c>
      <c r="X126" s="14">
        <v>34</v>
      </c>
      <c r="Z126" s="14">
        <v>69</v>
      </c>
      <c r="AC126" s="14">
        <v>541</v>
      </c>
      <c r="AJ126" s="14">
        <v>0</v>
      </c>
      <c r="AQ126" s="14">
        <v>0</v>
      </c>
      <c r="AX126" s="14">
        <v>0</v>
      </c>
      <c r="BE126" s="14">
        <v>0</v>
      </c>
      <c r="BF126" s="14">
        <v>438</v>
      </c>
      <c r="BG126" s="14">
        <v>34</v>
      </c>
      <c r="BH126" s="14">
        <v>0</v>
      </c>
      <c r="BI126" s="14">
        <v>69</v>
      </c>
      <c r="BJ126" s="14">
        <v>0</v>
      </c>
      <c r="BK126" s="14">
        <v>0</v>
      </c>
      <c r="BL126" s="14">
        <v>541</v>
      </c>
      <c r="BS126" s="14">
        <v>0</v>
      </c>
      <c r="BT126" s="14">
        <v>7</v>
      </c>
      <c r="BU126" s="14">
        <v>1</v>
      </c>
      <c r="BW126" s="14">
        <v>2</v>
      </c>
      <c r="BZ126" s="14">
        <v>10</v>
      </c>
      <c r="CG126" s="14">
        <v>0</v>
      </c>
      <c r="CN126" s="14">
        <v>0</v>
      </c>
      <c r="CU126" s="14">
        <v>0</v>
      </c>
      <c r="DB126" s="14">
        <v>0</v>
      </c>
      <c r="DC126" s="14">
        <v>7</v>
      </c>
      <c r="DD126" s="14">
        <v>1</v>
      </c>
      <c r="DE126" s="14">
        <v>0</v>
      </c>
      <c r="DF126" s="14">
        <v>2</v>
      </c>
      <c r="DG126" s="14">
        <v>0</v>
      </c>
      <c r="DH126" s="14">
        <v>0</v>
      </c>
      <c r="DI126" s="14">
        <v>10</v>
      </c>
      <c r="DJ126" s="14" t="s">
        <v>598</v>
      </c>
      <c r="DK126" s="14" t="s">
        <v>598</v>
      </c>
      <c r="DL126" s="14" t="s">
        <v>598</v>
      </c>
      <c r="DM126" s="14" t="s">
        <v>598</v>
      </c>
      <c r="DN126" s="14" t="s">
        <v>598</v>
      </c>
      <c r="DO126" s="14" t="s">
        <v>598</v>
      </c>
      <c r="DP126" s="14" t="s">
        <v>597</v>
      </c>
      <c r="DQ126" s="14" t="s">
        <v>597</v>
      </c>
      <c r="DR126" s="14" t="s">
        <v>598</v>
      </c>
      <c r="DS126" s="14" t="s">
        <v>597</v>
      </c>
      <c r="DT126" s="14" t="s">
        <v>598</v>
      </c>
      <c r="DU126" s="14" t="s">
        <v>598</v>
      </c>
      <c r="DV126" s="14" t="s">
        <v>598</v>
      </c>
      <c r="DW126" s="14" t="s">
        <v>598</v>
      </c>
      <c r="DX126" s="14" t="s">
        <v>598</v>
      </c>
      <c r="DY126" s="14" t="s">
        <v>598</v>
      </c>
      <c r="DZ126" s="14" t="s">
        <v>598</v>
      </c>
      <c r="EA126" s="14" t="s">
        <v>598</v>
      </c>
      <c r="EB126" s="14" t="s">
        <v>598</v>
      </c>
      <c r="EC126" s="14" t="s">
        <v>598</v>
      </c>
      <c r="ED126" s="14" t="s">
        <v>598</v>
      </c>
      <c r="EE126" s="14" t="s">
        <v>598</v>
      </c>
      <c r="EF126" s="14" t="s">
        <v>598</v>
      </c>
      <c r="EG126" s="14" t="s">
        <v>598</v>
      </c>
      <c r="EH126" s="14" t="s">
        <v>598</v>
      </c>
      <c r="EI126" s="14" t="s">
        <v>598</v>
      </c>
      <c r="EJ126" s="14" t="s">
        <v>598</v>
      </c>
      <c r="EK126" s="14" t="s">
        <v>598</v>
      </c>
      <c r="EL126" s="14" t="s">
        <v>598</v>
      </c>
      <c r="EM126" s="14" t="s">
        <v>598</v>
      </c>
      <c r="EN126" s="14" t="s">
        <v>598</v>
      </c>
      <c r="EO126" s="14" t="s">
        <v>598</v>
      </c>
      <c r="EP126" s="14" t="s">
        <v>598</v>
      </c>
      <c r="EQ126" s="14" t="s">
        <v>598</v>
      </c>
      <c r="ER126" s="14" t="s">
        <v>598</v>
      </c>
      <c r="ES126" s="14" t="s">
        <v>598</v>
      </c>
      <c r="EZ126" s="14">
        <v>0</v>
      </c>
      <c r="FG126" s="14">
        <v>0</v>
      </c>
      <c r="FH126" s="14">
        <v>46</v>
      </c>
      <c r="FN126" s="14">
        <v>46</v>
      </c>
      <c r="FU126" s="14">
        <v>0</v>
      </c>
      <c r="GB126" s="14">
        <v>0</v>
      </c>
      <c r="GI126" s="14">
        <v>0</v>
      </c>
      <c r="GJ126" s="14">
        <v>362</v>
      </c>
      <c r="GP126" s="14">
        <v>362</v>
      </c>
      <c r="GQ126" s="14" t="s">
        <v>1236</v>
      </c>
      <c r="GR126" s="14">
        <v>30</v>
      </c>
      <c r="GS126" s="14">
        <v>34</v>
      </c>
      <c r="GU126" s="14">
        <v>69</v>
      </c>
      <c r="GX126" s="14">
        <v>133</v>
      </c>
      <c r="GY126" s="14">
        <v>438</v>
      </c>
      <c r="GZ126" s="14">
        <v>34</v>
      </c>
      <c r="HA126" s="14">
        <v>0</v>
      </c>
      <c r="HB126" s="14">
        <v>69</v>
      </c>
      <c r="HC126" s="14">
        <v>0</v>
      </c>
      <c r="HD126" s="14">
        <v>0</v>
      </c>
      <c r="HE126" s="14">
        <v>541</v>
      </c>
      <c r="HF126" s="14">
        <v>279</v>
      </c>
      <c r="HL126" s="14">
        <v>279</v>
      </c>
      <c r="HM126" s="14">
        <v>129</v>
      </c>
      <c r="HN126" s="14">
        <v>34</v>
      </c>
      <c r="HS126" s="14">
        <v>163</v>
      </c>
      <c r="HT126" s="14">
        <v>30</v>
      </c>
      <c r="HW126" s="14">
        <v>69</v>
      </c>
      <c r="HZ126" s="14">
        <v>99</v>
      </c>
      <c r="IG126" s="14">
        <v>0</v>
      </c>
      <c r="IN126" s="14">
        <v>0</v>
      </c>
      <c r="IO126" s="14">
        <v>438</v>
      </c>
      <c r="IP126" s="14">
        <v>34</v>
      </c>
      <c r="IQ126" s="14">
        <v>0</v>
      </c>
      <c r="IR126" s="14">
        <v>69</v>
      </c>
      <c r="IS126" s="14">
        <v>0</v>
      </c>
      <c r="IT126" s="14">
        <v>0</v>
      </c>
      <c r="IU126" s="14">
        <v>541</v>
      </c>
      <c r="IW126" s="14">
        <v>10</v>
      </c>
      <c r="IX126" s="14">
        <v>20</v>
      </c>
      <c r="IY126" s="14" t="s">
        <v>1237</v>
      </c>
      <c r="IZ126" s="14">
        <v>70</v>
      </c>
      <c r="JA126" s="14">
        <v>1</v>
      </c>
      <c r="JB126" s="14">
        <v>3</v>
      </c>
      <c r="JC126" s="14">
        <v>1</v>
      </c>
      <c r="JD126" s="14" t="s">
        <v>600</v>
      </c>
      <c r="NG126" s="14" t="s">
        <v>601</v>
      </c>
      <c r="NN126" s="14">
        <v>0</v>
      </c>
      <c r="NU126" s="14">
        <v>0</v>
      </c>
      <c r="NV126" s="14">
        <v>46</v>
      </c>
      <c r="OB126" s="14">
        <v>46</v>
      </c>
      <c r="OI126" s="14">
        <v>0</v>
      </c>
      <c r="OP126" s="14">
        <v>0</v>
      </c>
      <c r="OW126" s="14">
        <v>0</v>
      </c>
      <c r="OX126" s="14">
        <v>362</v>
      </c>
      <c r="PD126" s="14">
        <v>362</v>
      </c>
      <c r="PE126" s="14" t="s">
        <v>1236</v>
      </c>
      <c r="PF126" s="14">
        <v>30</v>
      </c>
      <c r="PG126" s="14">
        <v>34</v>
      </c>
      <c r="PI126" s="14">
        <v>69</v>
      </c>
      <c r="PL126" s="14">
        <v>133</v>
      </c>
      <c r="PM126" s="14">
        <v>438</v>
      </c>
      <c r="PN126" s="14">
        <v>34</v>
      </c>
      <c r="PO126" s="14">
        <v>0</v>
      </c>
      <c r="PP126" s="14">
        <v>69</v>
      </c>
      <c r="PQ126" s="14">
        <v>0</v>
      </c>
      <c r="PR126" s="14">
        <v>0</v>
      </c>
      <c r="PS126" s="14">
        <v>541</v>
      </c>
      <c r="PT126" s="14">
        <v>129</v>
      </c>
      <c r="PU126" s="14">
        <v>34</v>
      </c>
      <c r="PZ126" s="14">
        <v>163</v>
      </c>
      <c r="QA126" s="14">
        <v>279</v>
      </c>
      <c r="QG126" s="14">
        <v>279</v>
      </c>
      <c r="QH126" s="14">
        <v>30</v>
      </c>
      <c r="QK126" s="14">
        <v>69</v>
      </c>
      <c r="QN126" s="14">
        <v>99</v>
      </c>
      <c r="QU126" s="14">
        <v>0</v>
      </c>
      <c r="RB126" s="14">
        <v>0</v>
      </c>
      <c r="RC126" s="14">
        <v>438</v>
      </c>
      <c r="RD126" s="14">
        <v>34</v>
      </c>
      <c r="RE126" s="14">
        <v>0</v>
      </c>
      <c r="RF126" s="14">
        <v>69</v>
      </c>
      <c r="RG126" s="14">
        <v>0</v>
      </c>
      <c r="RH126" s="14">
        <v>0</v>
      </c>
      <c r="RI126" s="14">
        <v>541</v>
      </c>
      <c r="RJ126" s="14" t="s">
        <v>602</v>
      </c>
      <c r="VM126" s="14" t="s">
        <v>603</v>
      </c>
      <c r="ZP126" s="14" t="s">
        <v>604</v>
      </c>
      <c r="ADS126" s="14" t="s">
        <v>605</v>
      </c>
    </row>
    <row r="127" spans="1:799" x14ac:dyDescent="0.25">
      <c r="A127" s="14">
        <v>210</v>
      </c>
      <c r="B127" s="14" t="s">
        <v>889</v>
      </c>
      <c r="C127" s="16">
        <v>42780</v>
      </c>
      <c r="D127" s="14" t="s">
        <v>1238</v>
      </c>
      <c r="E127" s="14" t="s">
        <v>1239</v>
      </c>
      <c r="F127" s="14" t="str">
        <f>VLOOKUP(MID(H127,SEARCH("@",H127,1),LEN(H127)-SEARCH("@",H127,1)+1),[2]Sheet1!$D:$F,3,FALSE)</f>
        <v>M677</v>
      </c>
      <c r="G127" s="14" t="s">
        <v>1240</v>
      </c>
      <c r="H127" s="14" t="s">
        <v>1241</v>
      </c>
      <c r="I127" s="14" t="s">
        <v>1242</v>
      </c>
      <c r="J127" s="14" t="s">
        <v>611</v>
      </c>
      <c r="K127" s="14" t="s">
        <v>596</v>
      </c>
      <c r="M127" s="14">
        <v>1</v>
      </c>
      <c r="V127" s="14">
        <v>0</v>
      </c>
      <c r="AC127" s="14">
        <v>0</v>
      </c>
      <c r="AD127" s="14">
        <v>1659</v>
      </c>
      <c r="AJ127" s="14">
        <v>1659</v>
      </c>
      <c r="AQ127" s="14">
        <v>0</v>
      </c>
      <c r="AX127" s="14">
        <v>0</v>
      </c>
      <c r="BE127" s="14">
        <v>0</v>
      </c>
      <c r="BF127" s="14">
        <v>1659</v>
      </c>
      <c r="BG127" s="14">
        <v>0</v>
      </c>
      <c r="BH127" s="14">
        <v>0</v>
      </c>
      <c r="BI127" s="14">
        <v>0</v>
      </c>
      <c r="BJ127" s="14">
        <v>0</v>
      </c>
      <c r="BK127" s="14">
        <v>0</v>
      </c>
      <c r="BL127" s="14">
        <v>1659</v>
      </c>
      <c r="BS127" s="14">
        <v>0</v>
      </c>
      <c r="BZ127" s="14">
        <v>0</v>
      </c>
      <c r="CA127" s="14">
        <v>5</v>
      </c>
      <c r="CG127" s="14">
        <v>5</v>
      </c>
      <c r="CN127" s="14">
        <v>0</v>
      </c>
      <c r="CU127" s="14">
        <v>0</v>
      </c>
      <c r="DB127" s="14">
        <v>0</v>
      </c>
      <c r="DC127" s="14">
        <v>5</v>
      </c>
      <c r="DD127" s="14">
        <v>0</v>
      </c>
      <c r="DE127" s="14">
        <v>0</v>
      </c>
      <c r="DF127" s="14">
        <v>0</v>
      </c>
      <c r="DG127" s="14">
        <v>0</v>
      </c>
      <c r="DH127" s="14">
        <v>0</v>
      </c>
      <c r="DI127" s="14">
        <v>5</v>
      </c>
      <c r="DJ127" s="14" t="s">
        <v>598</v>
      </c>
      <c r="DK127" s="14" t="s">
        <v>598</v>
      </c>
      <c r="DL127" s="14" t="s">
        <v>598</v>
      </c>
      <c r="DM127" s="14" t="s">
        <v>598</v>
      </c>
      <c r="DN127" s="14" t="s">
        <v>598</v>
      </c>
      <c r="DO127" s="14" t="s">
        <v>598</v>
      </c>
      <c r="DP127" s="14" t="s">
        <v>598</v>
      </c>
      <c r="DQ127" s="14" t="s">
        <v>598</v>
      </c>
      <c r="DR127" s="14" t="s">
        <v>598</v>
      </c>
      <c r="DS127" s="14" t="s">
        <v>598</v>
      </c>
      <c r="DT127" s="14" t="s">
        <v>598</v>
      </c>
      <c r="DU127" s="14" t="s">
        <v>598</v>
      </c>
      <c r="DV127" s="14" t="s">
        <v>597</v>
      </c>
      <c r="DW127" s="14" t="s">
        <v>598</v>
      </c>
      <c r="DX127" s="14" t="s">
        <v>598</v>
      </c>
      <c r="DY127" s="14" t="s">
        <v>598</v>
      </c>
      <c r="DZ127" s="14" t="s">
        <v>598</v>
      </c>
      <c r="EA127" s="14" t="s">
        <v>598</v>
      </c>
      <c r="EB127" s="14" t="s">
        <v>598</v>
      </c>
      <c r="EC127" s="14" t="s">
        <v>598</v>
      </c>
      <c r="ED127" s="14" t="s">
        <v>598</v>
      </c>
      <c r="EE127" s="14" t="s">
        <v>598</v>
      </c>
      <c r="EF127" s="14" t="s">
        <v>598</v>
      </c>
      <c r="EG127" s="14" t="s">
        <v>598</v>
      </c>
      <c r="EH127" s="14" t="s">
        <v>598</v>
      </c>
      <c r="EI127" s="14" t="s">
        <v>598</v>
      </c>
      <c r="EJ127" s="14" t="s">
        <v>598</v>
      </c>
      <c r="EK127" s="14" t="s">
        <v>598</v>
      </c>
      <c r="EL127" s="14" t="s">
        <v>598</v>
      </c>
      <c r="EM127" s="14" t="s">
        <v>598</v>
      </c>
      <c r="EN127" s="14" t="s">
        <v>598</v>
      </c>
      <c r="EO127" s="14" t="s">
        <v>598</v>
      </c>
      <c r="EP127" s="14" t="s">
        <v>598</v>
      </c>
      <c r="EQ127" s="14" t="s">
        <v>598</v>
      </c>
      <c r="ER127" s="14" t="s">
        <v>598</v>
      </c>
      <c r="ES127" s="14" t="s">
        <v>598</v>
      </c>
      <c r="ET127" s="14">
        <v>647</v>
      </c>
      <c r="EZ127" s="14">
        <v>647</v>
      </c>
      <c r="FA127" s="14">
        <v>81</v>
      </c>
      <c r="FG127" s="14">
        <v>81</v>
      </c>
      <c r="FN127" s="14">
        <v>0</v>
      </c>
      <c r="FU127" s="14">
        <v>0</v>
      </c>
      <c r="FV127" s="14">
        <v>153</v>
      </c>
      <c r="GB127" s="14">
        <v>153</v>
      </c>
      <c r="GC127" s="14">
        <v>720</v>
      </c>
      <c r="GI127" s="14">
        <v>720</v>
      </c>
      <c r="GJ127" s="14">
        <v>58</v>
      </c>
      <c r="GP127" s="14">
        <v>58</v>
      </c>
      <c r="GX127" s="14">
        <v>0</v>
      </c>
      <c r="GY127" s="14">
        <v>1659</v>
      </c>
      <c r="GZ127" s="14">
        <v>0</v>
      </c>
      <c r="HA127" s="14">
        <v>0</v>
      </c>
      <c r="HB127" s="14">
        <v>0</v>
      </c>
      <c r="HC127" s="14">
        <v>0</v>
      </c>
      <c r="HD127" s="14">
        <v>0</v>
      </c>
      <c r="HE127" s="14">
        <v>1659</v>
      </c>
      <c r="HF127" s="14">
        <v>19</v>
      </c>
      <c r="HL127" s="14">
        <v>19</v>
      </c>
      <c r="HM127" s="14">
        <v>376</v>
      </c>
      <c r="HS127" s="14">
        <v>376</v>
      </c>
      <c r="HT127" s="14">
        <v>1264</v>
      </c>
      <c r="HZ127" s="14">
        <v>1264</v>
      </c>
      <c r="IG127" s="14">
        <v>0</v>
      </c>
      <c r="IN127" s="14">
        <v>0</v>
      </c>
      <c r="IO127" s="14">
        <v>1659</v>
      </c>
      <c r="IP127" s="14">
        <v>0</v>
      </c>
      <c r="IQ127" s="14">
        <v>0</v>
      </c>
      <c r="IR127" s="14">
        <v>0</v>
      </c>
      <c r="IS127" s="14">
        <v>0</v>
      </c>
      <c r="IT127" s="14">
        <v>0</v>
      </c>
      <c r="IU127" s="14">
        <v>1659</v>
      </c>
      <c r="IW127" s="14">
        <v>43</v>
      </c>
      <c r="IX127" s="14">
        <v>57</v>
      </c>
      <c r="JA127" s="14">
        <v>3</v>
      </c>
      <c r="JB127" s="14">
        <v>1</v>
      </c>
      <c r="JC127" s="14">
        <v>1</v>
      </c>
      <c r="JD127" s="14" t="s">
        <v>600</v>
      </c>
      <c r="NG127" s="14" t="s">
        <v>601</v>
      </c>
      <c r="RJ127" s="14" t="s">
        <v>602</v>
      </c>
      <c r="RK127" s="14">
        <v>647</v>
      </c>
      <c r="RQ127" s="14">
        <v>647</v>
      </c>
      <c r="RR127" s="14">
        <v>81</v>
      </c>
      <c r="RX127" s="14">
        <v>81</v>
      </c>
      <c r="SE127" s="14">
        <v>0</v>
      </c>
      <c r="SL127" s="14">
        <v>0</v>
      </c>
      <c r="SM127" s="14">
        <v>153</v>
      </c>
      <c r="SS127" s="14">
        <v>153</v>
      </c>
      <c r="ST127" s="14">
        <v>720</v>
      </c>
      <c r="SZ127" s="14">
        <v>720</v>
      </c>
      <c r="TA127" s="14">
        <v>58</v>
      </c>
      <c r="TG127" s="14">
        <v>58</v>
      </c>
      <c r="TO127" s="14">
        <v>0</v>
      </c>
      <c r="TP127" s="14">
        <v>1659</v>
      </c>
      <c r="TQ127" s="14">
        <v>0</v>
      </c>
      <c r="TR127" s="14">
        <v>0</v>
      </c>
      <c r="TS127" s="14">
        <v>0</v>
      </c>
      <c r="TT127" s="14">
        <v>0</v>
      </c>
      <c r="TU127" s="14">
        <v>0</v>
      </c>
      <c r="TV127" s="14">
        <v>1659</v>
      </c>
      <c r="TW127" s="14">
        <v>376</v>
      </c>
      <c r="UC127" s="14">
        <v>376</v>
      </c>
      <c r="UD127" s="14">
        <v>19</v>
      </c>
      <c r="UJ127" s="14">
        <v>19</v>
      </c>
      <c r="UK127" s="14">
        <v>1264</v>
      </c>
      <c r="UQ127" s="14">
        <v>1264</v>
      </c>
      <c r="UX127" s="14">
        <v>0</v>
      </c>
      <c r="VE127" s="14">
        <v>0</v>
      </c>
      <c r="VF127" s="14">
        <v>1659</v>
      </c>
      <c r="VG127" s="14">
        <v>0</v>
      </c>
      <c r="VH127" s="14">
        <v>0</v>
      </c>
      <c r="VI127" s="14">
        <v>0</v>
      </c>
      <c r="VJ127" s="14">
        <v>0</v>
      </c>
      <c r="VK127" s="14">
        <v>0</v>
      </c>
      <c r="VL127" s="14">
        <v>1659</v>
      </c>
      <c r="VM127" s="14" t="s">
        <v>603</v>
      </c>
      <c r="ZP127" s="14" t="s">
        <v>604</v>
      </c>
      <c r="ADS127" s="14" t="s">
        <v>605</v>
      </c>
    </row>
    <row r="128" spans="1:799" x14ac:dyDescent="0.25">
      <c r="A128" s="14">
        <v>33</v>
      </c>
      <c r="B128" s="14" t="s">
        <v>889</v>
      </c>
      <c r="C128" s="16">
        <v>42767.844444444447</v>
      </c>
      <c r="D128" s="14" t="s">
        <v>1243</v>
      </c>
      <c r="E128" s="14" t="s">
        <v>1244</v>
      </c>
      <c r="F128" s="14" t="str">
        <f>VLOOKUP(MID(H128,SEARCH("@",H128,1),LEN(H128)-SEARCH("@",H128,1)+1),[2]Sheet1!$D:$F,3,FALSE)</f>
        <v>M527</v>
      </c>
      <c r="G128" s="14" t="s">
        <v>693</v>
      </c>
      <c r="H128" s="14" t="s">
        <v>1245</v>
      </c>
      <c r="I128" s="14">
        <v>-2908</v>
      </c>
      <c r="J128" s="14" t="s">
        <v>611</v>
      </c>
      <c r="K128" s="14" t="s">
        <v>596</v>
      </c>
      <c r="M128" s="14">
        <v>1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1204.7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1204.7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1204.7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1204.7</v>
      </c>
      <c r="BS128" s="14">
        <v>0</v>
      </c>
      <c r="BZ128" s="14">
        <v>0</v>
      </c>
      <c r="CA128" s="14">
        <v>2</v>
      </c>
      <c r="CG128" s="14">
        <v>2</v>
      </c>
      <c r="CN128" s="14">
        <v>0</v>
      </c>
      <c r="CU128" s="14">
        <v>0</v>
      </c>
      <c r="DB128" s="14">
        <v>0</v>
      </c>
      <c r="DC128" s="14">
        <v>2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2</v>
      </c>
      <c r="DJ128" s="14" t="s">
        <v>598</v>
      </c>
      <c r="DK128" s="14" t="s">
        <v>598</v>
      </c>
      <c r="DL128" s="14" t="s">
        <v>598</v>
      </c>
      <c r="DM128" s="14" t="s">
        <v>598</v>
      </c>
      <c r="DN128" s="14" t="s">
        <v>598</v>
      </c>
      <c r="DO128" s="14" t="s">
        <v>598</v>
      </c>
      <c r="DP128" s="14" t="s">
        <v>598</v>
      </c>
      <c r="DQ128" s="14" t="s">
        <v>598</v>
      </c>
      <c r="DR128" s="14" t="s">
        <v>598</v>
      </c>
      <c r="DS128" s="14" t="s">
        <v>598</v>
      </c>
      <c r="DT128" s="14" t="s">
        <v>598</v>
      </c>
      <c r="DU128" s="14" t="s">
        <v>598</v>
      </c>
      <c r="DV128" s="14" t="s">
        <v>597</v>
      </c>
      <c r="DW128" s="14" t="s">
        <v>598</v>
      </c>
      <c r="DX128" s="14" t="s">
        <v>598</v>
      </c>
      <c r="DY128" s="14" t="s">
        <v>598</v>
      </c>
      <c r="DZ128" s="14" t="s">
        <v>598</v>
      </c>
      <c r="EA128" s="14" t="s">
        <v>598</v>
      </c>
      <c r="EB128" s="14" t="s">
        <v>598</v>
      </c>
      <c r="EC128" s="14" t="s">
        <v>598</v>
      </c>
      <c r="ED128" s="14" t="s">
        <v>598</v>
      </c>
      <c r="EE128" s="14" t="s">
        <v>598</v>
      </c>
      <c r="EF128" s="14" t="s">
        <v>598</v>
      </c>
      <c r="EG128" s="14" t="s">
        <v>598</v>
      </c>
      <c r="EH128" s="14" t="s">
        <v>598</v>
      </c>
      <c r="EI128" s="14" t="s">
        <v>598</v>
      </c>
      <c r="EJ128" s="14" t="s">
        <v>598</v>
      </c>
      <c r="EK128" s="14" t="s">
        <v>598</v>
      </c>
      <c r="EL128" s="14" t="s">
        <v>598</v>
      </c>
      <c r="EM128" s="14" t="s">
        <v>598</v>
      </c>
      <c r="EN128" s="14" t="s">
        <v>598</v>
      </c>
      <c r="EO128" s="14" t="s">
        <v>598</v>
      </c>
      <c r="EP128" s="14" t="s">
        <v>598</v>
      </c>
      <c r="EQ128" s="14" t="s">
        <v>598</v>
      </c>
      <c r="ER128" s="14" t="s">
        <v>598</v>
      </c>
      <c r="ES128" s="14" t="s">
        <v>598</v>
      </c>
      <c r="ET128" s="14">
        <v>425</v>
      </c>
      <c r="EZ128" s="14">
        <v>425</v>
      </c>
      <c r="FA128" s="14">
        <v>25</v>
      </c>
      <c r="FG128" s="14">
        <v>25</v>
      </c>
      <c r="FH128" s="14">
        <v>700</v>
      </c>
      <c r="FN128" s="14">
        <v>700</v>
      </c>
      <c r="FO128" s="14">
        <v>0</v>
      </c>
      <c r="FU128" s="14">
        <v>0</v>
      </c>
      <c r="FV128" s="14">
        <v>12.5</v>
      </c>
      <c r="GB128" s="14">
        <v>12.5</v>
      </c>
      <c r="GC128" s="14">
        <v>0</v>
      </c>
      <c r="GI128" s="14">
        <v>0</v>
      </c>
      <c r="GJ128" s="14">
        <v>30</v>
      </c>
      <c r="GP128" s="14">
        <v>30</v>
      </c>
      <c r="GQ128" s="14" t="s">
        <v>1246</v>
      </c>
      <c r="GR128" s="14">
        <v>12.2</v>
      </c>
      <c r="GX128" s="14">
        <v>12.2</v>
      </c>
      <c r="GY128" s="14">
        <v>1204.7</v>
      </c>
      <c r="GZ128" s="14">
        <v>0</v>
      </c>
      <c r="HA128" s="14">
        <v>0</v>
      </c>
      <c r="HB128" s="14">
        <v>0</v>
      </c>
      <c r="HC128" s="14">
        <v>0</v>
      </c>
      <c r="HD128" s="14">
        <v>0</v>
      </c>
      <c r="HE128" s="14">
        <v>1204.7</v>
      </c>
      <c r="HF128" s="14">
        <v>500</v>
      </c>
      <c r="HL128" s="14">
        <v>500</v>
      </c>
      <c r="HM128" s="14">
        <v>15</v>
      </c>
      <c r="HS128" s="14">
        <v>15</v>
      </c>
      <c r="HT128" s="14">
        <v>689.7</v>
      </c>
      <c r="HZ128" s="14">
        <v>689.7</v>
      </c>
      <c r="IA128" s="14">
        <v>0</v>
      </c>
      <c r="IG128" s="14">
        <v>0</v>
      </c>
      <c r="IH128" s="14">
        <v>0</v>
      </c>
      <c r="IN128" s="14">
        <v>0</v>
      </c>
      <c r="IO128" s="14">
        <v>1204.7</v>
      </c>
      <c r="IP128" s="14">
        <v>0</v>
      </c>
      <c r="IQ128" s="14">
        <v>0</v>
      </c>
      <c r="IR128" s="14">
        <v>0</v>
      </c>
      <c r="IS128" s="14">
        <v>0</v>
      </c>
      <c r="IT128" s="14">
        <v>0</v>
      </c>
      <c r="IU128" s="14">
        <v>1204.7</v>
      </c>
      <c r="IX128" s="14">
        <v>100</v>
      </c>
      <c r="JA128" s="14">
        <v>1</v>
      </c>
      <c r="JB128" s="14">
        <v>2</v>
      </c>
      <c r="JC128" s="14">
        <v>2</v>
      </c>
      <c r="JD128" s="14" t="s">
        <v>600</v>
      </c>
      <c r="NG128" s="14" t="s">
        <v>601</v>
      </c>
      <c r="RJ128" s="14" t="s">
        <v>602</v>
      </c>
      <c r="RK128" s="14">
        <v>425</v>
      </c>
      <c r="RQ128" s="14">
        <v>425</v>
      </c>
      <c r="RR128" s="14">
        <v>25</v>
      </c>
      <c r="RX128" s="14">
        <v>25</v>
      </c>
      <c r="RY128" s="14">
        <v>700</v>
      </c>
      <c r="SE128" s="14">
        <v>700</v>
      </c>
      <c r="SF128" s="14">
        <v>0</v>
      </c>
      <c r="SL128" s="14">
        <v>0</v>
      </c>
      <c r="SM128" s="14">
        <v>12.5</v>
      </c>
      <c r="SS128" s="14">
        <v>12.5</v>
      </c>
      <c r="ST128" s="14">
        <v>0</v>
      </c>
      <c r="SZ128" s="14">
        <v>0</v>
      </c>
      <c r="TA128" s="14">
        <v>30</v>
      </c>
      <c r="TG128" s="14">
        <v>30</v>
      </c>
      <c r="TH128" s="14" t="s">
        <v>1246</v>
      </c>
      <c r="TI128" s="14">
        <v>12.2</v>
      </c>
      <c r="TO128" s="14">
        <v>12.2</v>
      </c>
      <c r="TP128" s="14">
        <v>1204.7</v>
      </c>
      <c r="TQ128" s="14">
        <v>0</v>
      </c>
      <c r="TR128" s="14">
        <v>0</v>
      </c>
      <c r="TS128" s="14">
        <v>0</v>
      </c>
      <c r="TT128" s="14">
        <v>0</v>
      </c>
      <c r="TU128" s="14">
        <v>0</v>
      </c>
      <c r="TV128" s="14">
        <v>1204.7</v>
      </c>
      <c r="TW128" s="14">
        <v>15</v>
      </c>
      <c r="UC128" s="14">
        <v>15</v>
      </c>
      <c r="UD128" s="14">
        <v>500</v>
      </c>
      <c r="UJ128" s="14">
        <v>500</v>
      </c>
      <c r="UK128" s="14">
        <v>689.7</v>
      </c>
      <c r="UQ128" s="14">
        <v>689.7</v>
      </c>
      <c r="UR128" s="14">
        <v>0</v>
      </c>
      <c r="UX128" s="14">
        <v>0</v>
      </c>
      <c r="UY128" s="14">
        <v>0</v>
      </c>
      <c r="VE128" s="14">
        <v>0</v>
      </c>
      <c r="VF128" s="14">
        <v>1204.7</v>
      </c>
      <c r="VG128" s="14">
        <v>0</v>
      </c>
      <c r="VH128" s="14">
        <v>0</v>
      </c>
      <c r="VI128" s="14">
        <v>0</v>
      </c>
      <c r="VJ128" s="14">
        <v>0</v>
      </c>
      <c r="VK128" s="14">
        <v>0</v>
      </c>
      <c r="VL128" s="14">
        <v>1204.7</v>
      </c>
      <c r="VM128" s="14" t="s">
        <v>603</v>
      </c>
      <c r="ZP128" s="14" t="s">
        <v>604</v>
      </c>
      <c r="ADS128" s="14" t="s">
        <v>605</v>
      </c>
    </row>
    <row r="129" spans="1:799" x14ac:dyDescent="0.25">
      <c r="A129" s="14">
        <v>56</v>
      </c>
      <c r="B129" s="14" t="s">
        <v>889</v>
      </c>
      <c r="C129" s="16">
        <v>42745.734027777777</v>
      </c>
      <c r="D129" s="14" t="s">
        <v>1247</v>
      </c>
      <c r="E129" s="14" t="s">
        <v>1248</v>
      </c>
      <c r="F129" s="14" t="str">
        <f>VLOOKUP(MID(H129,SEARCH("@",H129,1),LEN(H129)-SEARCH("@",H129,1)+1),[2]Sheet1!$D:$F,3,FALSE)</f>
        <v>M028</v>
      </c>
      <c r="G129" s="14" t="s">
        <v>1249</v>
      </c>
      <c r="H129" s="14" t="s">
        <v>1250</v>
      </c>
      <c r="I129" s="14">
        <v>351220104549</v>
      </c>
      <c r="J129" s="14" t="s">
        <v>1251</v>
      </c>
      <c r="K129" s="14" t="s">
        <v>732</v>
      </c>
      <c r="M129" s="14">
        <v>1</v>
      </c>
      <c r="V129" s="14">
        <v>0</v>
      </c>
      <c r="W129" s="14">
        <v>202</v>
      </c>
      <c r="AC129" s="14">
        <v>202</v>
      </c>
      <c r="AJ129" s="14">
        <v>0</v>
      </c>
      <c r="AQ129" s="14">
        <v>0</v>
      </c>
      <c r="AX129" s="14">
        <v>0</v>
      </c>
      <c r="BE129" s="14">
        <v>0</v>
      </c>
      <c r="BF129" s="14">
        <v>202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202</v>
      </c>
      <c r="BS129" s="14">
        <v>0</v>
      </c>
      <c r="BT129" s="14">
        <v>1</v>
      </c>
      <c r="BZ129" s="14">
        <v>1</v>
      </c>
      <c r="CG129" s="14">
        <v>0</v>
      </c>
      <c r="CN129" s="14">
        <v>0</v>
      </c>
      <c r="CU129" s="14">
        <v>0</v>
      </c>
      <c r="DB129" s="14">
        <v>0</v>
      </c>
      <c r="DC129" s="14">
        <v>1</v>
      </c>
      <c r="DD129" s="14">
        <v>0</v>
      </c>
      <c r="DE129" s="14">
        <v>0</v>
      </c>
      <c r="DF129" s="14">
        <v>0</v>
      </c>
      <c r="DG129" s="14">
        <v>0</v>
      </c>
      <c r="DH129" s="14">
        <v>0</v>
      </c>
      <c r="DI129" s="14">
        <v>1</v>
      </c>
      <c r="DJ129" s="14" t="s">
        <v>598</v>
      </c>
      <c r="DK129" s="14" t="s">
        <v>598</v>
      </c>
      <c r="DL129" s="14" t="s">
        <v>598</v>
      </c>
      <c r="DM129" s="14" t="s">
        <v>598</v>
      </c>
      <c r="DN129" s="14" t="s">
        <v>598</v>
      </c>
      <c r="DO129" s="14" t="s">
        <v>598</v>
      </c>
      <c r="DP129" s="14" t="s">
        <v>597</v>
      </c>
      <c r="DQ129" s="14" t="s">
        <v>598</v>
      </c>
      <c r="DR129" s="14" t="s">
        <v>598</v>
      </c>
      <c r="DS129" s="14" t="s">
        <v>598</v>
      </c>
      <c r="DT129" s="14" t="s">
        <v>598</v>
      </c>
      <c r="DU129" s="14" t="s">
        <v>598</v>
      </c>
      <c r="DV129" s="14" t="s">
        <v>598</v>
      </c>
      <c r="DW129" s="14" t="s">
        <v>598</v>
      </c>
      <c r="DX129" s="14" t="s">
        <v>598</v>
      </c>
      <c r="DY129" s="14" t="s">
        <v>598</v>
      </c>
      <c r="DZ129" s="14" t="s">
        <v>598</v>
      </c>
      <c r="EA129" s="14" t="s">
        <v>598</v>
      </c>
      <c r="EB129" s="14" t="s">
        <v>598</v>
      </c>
      <c r="EC129" s="14" t="s">
        <v>598</v>
      </c>
      <c r="ED129" s="14" t="s">
        <v>598</v>
      </c>
      <c r="EE129" s="14" t="s">
        <v>598</v>
      </c>
      <c r="EF129" s="14" t="s">
        <v>598</v>
      </c>
      <c r="EG129" s="14" t="s">
        <v>598</v>
      </c>
      <c r="EH129" s="14" t="s">
        <v>598</v>
      </c>
      <c r="EI129" s="14" t="s">
        <v>598</v>
      </c>
      <c r="EJ129" s="14" t="s">
        <v>598</v>
      </c>
      <c r="EK129" s="14" t="s">
        <v>598</v>
      </c>
      <c r="EL129" s="14" t="s">
        <v>598</v>
      </c>
      <c r="EM129" s="14" t="s">
        <v>598</v>
      </c>
      <c r="EN129" s="14" t="s">
        <v>598</v>
      </c>
      <c r="EO129" s="14" t="s">
        <v>598</v>
      </c>
      <c r="EP129" s="14" t="s">
        <v>598</v>
      </c>
      <c r="EQ129" s="14" t="s">
        <v>598</v>
      </c>
      <c r="ER129" s="14" t="s">
        <v>598</v>
      </c>
      <c r="ES129" s="14" t="s">
        <v>598</v>
      </c>
      <c r="ET129" s="14">
        <v>68</v>
      </c>
      <c r="EZ129" s="14">
        <v>68</v>
      </c>
      <c r="FG129" s="14">
        <v>0</v>
      </c>
      <c r="FN129" s="14">
        <v>0</v>
      </c>
      <c r="FU129" s="14">
        <v>0</v>
      </c>
      <c r="GB129" s="14">
        <v>0</v>
      </c>
      <c r="GC129" s="14">
        <v>114</v>
      </c>
      <c r="GI129" s="14">
        <v>114</v>
      </c>
      <c r="GP129" s="14">
        <v>0</v>
      </c>
      <c r="GQ129" s="14" t="s">
        <v>1252</v>
      </c>
      <c r="GR129" s="14">
        <v>20</v>
      </c>
      <c r="GX129" s="14">
        <v>20</v>
      </c>
      <c r="GY129" s="14">
        <v>202</v>
      </c>
      <c r="GZ129" s="14">
        <v>0</v>
      </c>
      <c r="HA129" s="14">
        <v>0</v>
      </c>
      <c r="HB129" s="14">
        <v>0</v>
      </c>
      <c r="HC129" s="14">
        <v>0</v>
      </c>
      <c r="HD129" s="14">
        <v>0</v>
      </c>
      <c r="HE129" s="14">
        <v>202</v>
      </c>
      <c r="HL129" s="14">
        <v>0</v>
      </c>
      <c r="HM129" s="14">
        <v>202</v>
      </c>
      <c r="HS129" s="14">
        <v>202</v>
      </c>
      <c r="HZ129" s="14">
        <v>0</v>
      </c>
      <c r="IG129" s="14">
        <v>0</v>
      </c>
      <c r="IN129" s="14">
        <v>0</v>
      </c>
      <c r="IO129" s="14">
        <v>202</v>
      </c>
      <c r="IP129" s="14">
        <v>0</v>
      </c>
      <c r="IQ129" s="14">
        <v>0</v>
      </c>
      <c r="IR129" s="14">
        <v>0</v>
      </c>
      <c r="IS129" s="14">
        <v>0</v>
      </c>
      <c r="IT129" s="14">
        <v>0</v>
      </c>
      <c r="IU129" s="14">
        <v>202</v>
      </c>
      <c r="IV129" s="14">
        <v>100</v>
      </c>
      <c r="JA129" s="14">
        <v>1</v>
      </c>
      <c r="JB129" s="14">
        <v>3</v>
      </c>
      <c r="JC129" s="14">
        <v>1</v>
      </c>
      <c r="JD129" s="14" t="s">
        <v>600</v>
      </c>
      <c r="NG129" s="14" t="s">
        <v>601</v>
      </c>
      <c r="NH129" s="14">
        <v>68</v>
      </c>
      <c r="NN129" s="14">
        <v>68</v>
      </c>
      <c r="NU129" s="14">
        <v>0</v>
      </c>
      <c r="OB129" s="14">
        <v>0</v>
      </c>
      <c r="OI129" s="14">
        <v>0</v>
      </c>
      <c r="OP129" s="14">
        <v>0</v>
      </c>
      <c r="OQ129" s="14">
        <v>114</v>
      </c>
      <c r="OW129" s="14">
        <v>114</v>
      </c>
      <c r="PD129" s="14">
        <v>0</v>
      </c>
      <c r="PE129" s="14" t="s">
        <v>1252</v>
      </c>
      <c r="PF129" s="14">
        <v>20</v>
      </c>
      <c r="PL129" s="14">
        <v>20</v>
      </c>
      <c r="PM129" s="14">
        <v>202</v>
      </c>
      <c r="PN129" s="14">
        <v>0</v>
      </c>
      <c r="PO129" s="14">
        <v>0</v>
      </c>
      <c r="PP129" s="14">
        <v>0</v>
      </c>
      <c r="PQ129" s="14">
        <v>0</v>
      </c>
      <c r="PR129" s="14">
        <v>0</v>
      </c>
      <c r="PS129" s="14">
        <v>202</v>
      </c>
      <c r="PT129" s="14">
        <v>202</v>
      </c>
      <c r="PZ129" s="14">
        <v>202</v>
      </c>
      <c r="QG129" s="14">
        <v>0</v>
      </c>
      <c r="QN129" s="14">
        <v>0</v>
      </c>
      <c r="QU129" s="14">
        <v>0</v>
      </c>
      <c r="RB129" s="14">
        <v>0</v>
      </c>
      <c r="RC129" s="14">
        <v>202</v>
      </c>
      <c r="RD129" s="14">
        <v>0</v>
      </c>
      <c r="RE129" s="14">
        <v>0</v>
      </c>
      <c r="RF129" s="14">
        <v>0</v>
      </c>
      <c r="RG129" s="14">
        <v>0</v>
      </c>
      <c r="RH129" s="14">
        <v>0</v>
      </c>
      <c r="RI129" s="14">
        <v>202</v>
      </c>
      <c r="RJ129" s="14" t="s">
        <v>602</v>
      </c>
      <c r="VM129" s="14" t="s">
        <v>603</v>
      </c>
      <c r="ZP129" s="14" t="s">
        <v>604</v>
      </c>
      <c r="ADS129" s="14" t="s">
        <v>605</v>
      </c>
    </row>
    <row r="130" spans="1:799" x14ac:dyDescent="0.25">
      <c r="A130" s="14">
        <v>47</v>
      </c>
      <c r="B130" s="14" t="s">
        <v>889</v>
      </c>
      <c r="C130" s="16">
        <v>42780</v>
      </c>
      <c r="D130" s="14" t="s">
        <v>1253</v>
      </c>
      <c r="E130" s="14" t="s">
        <v>1090</v>
      </c>
      <c r="F130" s="14" t="str">
        <f>VLOOKUP(MID(H130,SEARCH("@",H130,1),LEN(H130)-SEARCH("@",H130,1)+1),[2]Sheet1!$D:$F,3,FALSE)</f>
        <v>M675</v>
      </c>
      <c r="G130" s="14" t="s">
        <v>1254</v>
      </c>
      <c r="H130" s="14" t="s">
        <v>1255</v>
      </c>
      <c r="I130" s="14" t="s">
        <v>1256</v>
      </c>
      <c r="J130" s="14" t="s">
        <v>731</v>
      </c>
      <c r="K130" s="14" t="s">
        <v>945</v>
      </c>
      <c r="M130" s="14">
        <v>1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1128.8</v>
      </c>
      <c r="X130" s="14">
        <v>1484.4</v>
      </c>
      <c r="Y130" s="14">
        <v>0</v>
      </c>
      <c r="Z130" s="14">
        <v>0</v>
      </c>
      <c r="AA130" s="14">
        <v>0</v>
      </c>
      <c r="AB130" s="14">
        <v>0</v>
      </c>
      <c r="AC130" s="14">
        <v>2613.1999999999998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1128.8</v>
      </c>
      <c r="BG130" s="14">
        <v>1484.4</v>
      </c>
      <c r="BH130" s="14">
        <v>0</v>
      </c>
      <c r="BI130" s="14">
        <v>0</v>
      </c>
      <c r="BJ130" s="14">
        <v>0</v>
      </c>
      <c r="BK130" s="14">
        <v>0</v>
      </c>
      <c r="BL130" s="14">
        <v>2613.1999999999998</v>
      </c>
      <c r="BS130" s="14">
        <v>0</v>
      </c>
      <c r="BT130" s="14">
        <v>13</v>
      </c>
      <c r="BU130" s="14">
        <v>7</v>
      </c>
      <c r="BZ130" s="14">
        <v>20</v>
      </c>
      <c r="CG130" s="14">
        <v>0</v>
      </c>
      <c r="CN130" s="14">
        <v>0</v>
      </c>
      <c r="CU130" s="14">
        <v>0</v>
      </c>
      <c r="DB130" s="14">
        <v>0</v>
      </c>
      <c r="DC130" s="14">
        <v>13</v>
      </c>
      <c r="DD130" s="14">
        <v>7</v>
      </c>
      <c r="DE130" s="14">
        <v>0</v>
      </c>
      <c r="DF130" s="14">
        <v>0</v>
      </c>
      <c r="DG130" s="14">
        <v>0</v>
      </c>
      <c r="DH130" s="14">
        <v>0</v>
      </c>
      <c r="DI130" s="14">
        <v>20</v>
      </c>
      <c r="DJ130" s="14" t="s">
        <v>598</v>
      </c>
      <c r="DK130" s="14" t="s">
        <v>598</v>
      </c>
      <c r="DL130" s="14" t="s">
        <v>598</v>
      </c>
      <c r="DM130" s="14" t="s">
        <v>598</v>
      </c>
      <c r="DN130" s="14" t="s">
        <v>598</v>
      </c>
      <c r="DO130" s="14" t="s">
        <v>598</v>
      </c>
      <c r="DP130" s="14" t="s">
        <v>597</v>
      </c>
      <c r="DQ130" s="14" t="s">
        <v>597</v>
      </c>
      <c r="DR130" s="14" t="s">
        <v>598</v>
      </c>
      <c r="DS130" s="14" t="s">
        <v>598</v>
      </c>
      <c r="DT130" s="14" t="s">
        <v>598</v>
      </c>
      <c r="DU130" s="14" t="s">
        <v>598</v>
      </c>
      <c r="DV130" s="14" t="s">
        <v>598</v>
      </c>
      <c r="DW130" s="14" t="s">
        <v>598</v>
      </c>
      <c r="DX130" s="14" t="s">
        <v>598</v>
      </c>
      <c r="DY130" s="14" t="s">
        <v>598</v>
      </c>
      <c r="DZ130" s="14" t="s">
        <v>598</v>
      </c>
      <c r="EA130" s="14" t="s">
        <v>598</v>
      </c>
      <c r="EB130" s="14" t="s">
        <v>598</v>
      </c>
      <c r="EC130" s="14" t="s">
        <v>598</v>
      </c>
      <c r="ED130" s="14" t="s">
        <v>598</v>
      </c>
      <c r="EE130" s="14" t="s">
        <v>598</v>
      </c>
      <c r="EF130" s="14" t="s">
        <v>598</v>
      </c>
      <c r="EG130" s="14" t="s">
        <v>598</v>
      </c>
      <c r="EH130" s="14" t="s">
        <v>598</v>
      </c>
      <c r="EI130" s="14" t="s">
        <v>598</v>
      </c>
      <c r="EJ130" s="14" t="s">
        <v>598</v>
      </c>
      <c r="EK130" s="14" t="s">
        <v>598</v>
      </c>
      <c r="EL130" s="14" t="s">
        <v>598</v>
      </c>
      <c r="EM130" s="14" t="s">
        <v>598</v>
      </c>
      <c r="EN130" s="14" t="s">
        <v>598</v>
      </c>
      <c r="EO130" s="14" t="s">
        <v>598</v>
      </c>
      <c r="EP130" s="14" t="s">
        <v>598</v>
      </c>
      <c r="EQ130" s="14" t="s">
        <v>598</v>
      </c>
      <c r="ER130" s="14" t="s">
        <v>598</v>
      </c>
      <c r="ES130" s="14" t="s">
        <v>598</v>
      </c>
      <c r="ET130" s="14">
        <v>430.6</v>
      </c>
      <c r="EU130" s="14">
        <v>1459.8</v>
      </c>
      <c r="EZ130" s="14">
        <v>1890.4</v>
      </c>
      <c r="FA130" s="14">
        <v>238.6</v>
      </c>
      <c r="FB130" s="14">
        <v>0</v>
      </c>
      <c r="FG130" s="14">
        <v>238.6</v>
      </c>
      <c r="FH130" s="14">
        <v>0</v>
      </c>
      <c r="FI130" s="14">
        <v>0</v>
      </c>
      <c r="FN130" s="14">
        <v>0</v>
      </c>
      <c r="FO130" s="14">
        <v>0</v>
      </c>
      <c r="FP130" s="14">
        <v>0</v>
      </c>
      <c r="FU130" s="14">
        <v>0</v>
      </c>
      <c r="FV130" s="14">
        <v>4.5</v>
      </c>
      <c r="FW130" s="14">
        <v>0</v>
      </c>
      <c r="GB130" s="14">
        <v>4.5</v>
      </c>
      <c r="GC130" s="14">
        <v>0</v>
      </c>
      <c r="GD130" s="14">
        <v>0</v>
      </c>
      <c r="GI130" s="14">
        <v>0</v>
      </c>
      <c r="GJ130" s="14">
        <v>177.2</v>
      </c>
      <c r="GK130" s="14">
        <v>0</v>
      </c>
      <c r="GP130" s="14">
        <v>177.2</v>
      </c>
      <c r="GQ130" s="14" t="s">
        <v>1257</v>
      </c>
      <c r="GR130" s="14">
        <v>277.89999999999998</v>
      </c>
      <c r="GS130" s="14">
        <v>24.6</v>
      </c>
      <c r="GX130" s="14">
        <v>302.5</v>
      </c>
      <c r="GY130" s="14">
        <v>1128.8</v>
      </c>
      <c r="GZ130" s="14">
        <v>1484.4</v>
      </c>
      <c r="HA130" s="14">
        <v>0</v>
      </c>
      <c r="HB130" s="14">
        <v>0</v>
      </c>
      <c r="HC130" s="14">
        <v>0</v>
      </c>
      <c r="HD130" s="14">
        <v>0</v>
      </c>
      <c r="HE130" s="14">
        <v>2613.1999999999998</v>
      </c>
      <c r="HF130" s="14">
        <v>0</v>
      </c>
      <c r="HG130" s="14">
        <v>0</v>
      </c>
      <c r="HL130" s="14">
        <v>0</v>
      </c>
      <c r="HM130" s="14">
        <v>1128.8</v>
      </c>
      <c r="HN130" s="14">
        <v>1484.4</v>
      </c>
      <c r="HS130" s="14">
        <v>2613.1999999999998</v>
      </c>
      <c r="HT130" s="14">
        <v>0</v>
      </c>
      <c r="HU130" s="14">
        <v>0</v>
      </c>
      <c r="HZ130" s="14">
        <v>0</v>
      </c>
      <c r="IA130" s="14">
        <v>0</v>
      </c>
      <c r="IB130" s="14">
        <v>0</v>
      </c>
      <c r="IG130" s="14">
        <v>0</v>
      </c>
      <c r="IH130" s="14">
        <v>0</v>
      </c>
      <c r="II130" s="14">
        <v>0</v>
      </c>
      <c r="IN130" s="14">
        <v>0</v>
      </c>
      <c r="IO130" s="14">
        <v>1128.8</v>
      </c>
      <c r="IP130" s="14">
        <v>1484.4</v>
      </c>
      <c r="IQ130" s="14">
        <v>0</v>
      </c>
      <c r="IR130" s="14">
        <v>0</v>
      </c>
      <c r="IS130" s="14">
        <v>0</v>
      </c>
      <c r="IT130" s="14">
        <v>0</v>
      </c>
      <c r="IU130" s="14">
        <v>2613.1999999999998</v>
      </c>
      <c r="IY130" s="14" t="s">
        <v>1258</v>
      </c>
      <c r="IZ130" s="14">
        <v>100</v>
      </c>
      <c r="JA130" s="14">
        <v>1</v>
      </c>
      <c r="JB130" s="14">
        <v>2</v>
      </c>
      <c r="JC130" s="14">
        <v>1</v>
      </c>
      <c r="JD130" s="14" t="s">
        <v>600</v>
      </c>
      <c r="NG130" s="14" t="s">
        <v>601</v>
      </c>
      <c r="NH130" s="14">
        <v>430.6</v>
      </c>
      <c r="NI130" s="14">
        <v>1459.8</v>
      </c>
      <c r="NN130" s="14">
        <v>1890.4</v>
      </c>
      <c r="NO130" s="14">
        <v>238.6</v>
      </c>
      <c r="NP130" s="14">
        <v>0</v>
      </c>
      <c r="NU130" s="14">
        <v>238.6</v>
      </c>
      <c r="NV130" s="14">
        <v>0</v>
      </c>
      <c r="NW130" s="14">
        <v>0</v>
      </c>
      <c r="OB130" s="14">
        <v>0</v>
      </c>
      <c r="OC130" s="14">
        <v>0</v>
      </c>
      <c r="OD130" s="14">
        <v>0</v>
      </c>
      <c r="OI130" s="14">
        <v>0</v>
      </c>
      <c r="OJ130" s="14">
        <v>4.5</v>
      </c>
      <c r="OK130" s="14">
        <v>0</v>
      </c>
      <c r="OP130" s="14">
        <v>4.5</v>
      </c>
      <c r="OQ130" s="14">
        <v>0</v>
      </c>
      <c r="OR130" s="14">
        <v>0</v>
      </c>
      <c r="OW130" s="14">
        <v>0</v>
      </c>
      <c r="OX130" s="14">
        <v>177.2</v>
      </c>
      <c r="OY130" s="14">
        <v>0</v>
      </c>
      <c r="PD130" s="14">
        <v>177.2</v>
      </c>
      <c r="PE130" s="14" t="s">
        <v>1259</v>
      </c>
      <c r="PF130" s="14">
        <v>277.89999999999998</v>
      </c>
      <c r="PG130" s="14">
        <v>24.6</v>
      </c>
      <c r="PL130" s="14">
        <v>302.5</v>
      </c>
      <c r="PM130" s="14">
        <v>1128.8</v>
      </c>
      <c r="PN130" s="14">
        <v>1484.4</v>
      </c>
      <c r="PO130" s="14">
        <v>0</v>
      </c>
      <c r="PP130" s="14">
        <v>0</v>
      </c>
      <c r="PQ130" s="14">
        <v>0</v>
      </c>
      <c r="PR130" s="14">
        <v>0</v>
      </c>
      <c r="PS130" s="14">
        <v>2613.1999999999998</v>
      </c>
      <c r="PT130" s="14">
        <v>1128.8</v>
      </c>
      <c r="PU130" s="14">
        <v>1484.4</v>
      </c>
      <c r="PZ130" s="14">
        <v>2613.1999999999998</v>
      </c>
      <c r="QA130" s="14">
        <v>0</v>
      </c>
      <c r="QB130" s="14">
        <v>0</v>
      </c>
      <c r="QG130" s="14">
        <v>0</v>
      </c>
      <c r="QH130" s="14">
        <v>0</v>
      </c>
      <c r="QI130" s="14">
        <v>0</v>
      </c>
      <c r="QN130" s="14">
        <v>0</v>
      </c>
      <c r="QO130" s="14">
        <v>0</v>
      </c>
      <c r="QP130" s="14">
        <v>0</v>
      </c>
      <c r="QU130" s="14">
        <v>0</v>
      </c>
      <c r="QV130" s="14">
        <v>0</v>
      </c>
      <c r="QW130" s="14">
        <v>0</v>
      </c>
      <c r="RB130" s="14">
        <v>0</v>
      </c>
      <c r="RC130" s="14">
        <v>1128.8</v>
      </c>
      <c r="RD130" s="14">
        <v>1484.4</v>
      </c>
      <c r="RE130" s="14">
        <v>0</v>
      </c>
      <c r="RF130" s="14">
        <v>0</v>
      </c>
      <c r="RG130" s="14">
        <v>0</v>
      </c>
      <c r="RH130" s="14">
        <v>0</v>
      </c>
      <c r="RI130" s="14">
        <v>2613.1999999999998</v>
      </c>
      <c r="RJ130" s="14" t="s">
        <v>602</v>
      </c>
      <c r="VM130" s="14" t="s">
        <v>603</v>
      </c>
      <c r="ZP130" s="14" t="s">
        <v>604</v>
      </c>
      <c r="ADS130" s="14" t="s">
        <v>605</v>
      </c>
    </row>
    <row r="131" spans="1:799" x14ac:dyDescent="0.25">
      <c r="A131" s="14">
        <v>176</v>
      </c>
      <c r="B131" s="14" t="s">
        <v>889</v>
      </c>
      <c r="C131" s="16">
        <v>42779.67291666667</v>
      </c>
      <c r="D131" s="14" t="s">
        <v>1260</v>
      </c>
      <c r="E131" s="14" t="s">
        <v>1261</v>
      </c>
      <c r="F131" s="14" t="str">
        <f>VLOOKUP(MID(H131,SEARCH("@",H131,1),LEN(H131)-SEARCH("@",H131,1)+1),[2]Sheet1!$D:$F,3,FALSE)</f>
        <v>M271</v>
      </c>
      <c r="G131" s="14" t="s">
        <v>1262</v>
      </c>
      <c r="H131" s="14" t="s">
        <v>1263</v>
      </c>
      <c r="I131" s="14">
        <v>143598580</v>
      </c>
      <c r="J131" s="14" t="s">
        <v>1078</v>
      </c>
      <c r="K131" s="14" t="s">
        <v>732</v>
      </c>
      <c r="M131" s="14">
        <v>1</v>
      </c>
      <c r="V131" s="14">
        <v>0</v>
      </c>
      <c r="W131" s="14">
        <v>30</v>
      </c>
      <c r="AC131" s="14">
        <v>30</v>
      </c>
      <c r="AJ131" s="14">
        <v>0</v>
      </c>
      <c r="AQ131" s="14">
        <v>0</v>
      </c>
      <c r="AX131" s="14">
        <v>0</v>
      </c>
      <c r="BE131" s="14">
        <v>0</v>
      </c>
      <c r="BF131" s="14">
        <v>30</v>
      </c>
      <c r="BG131" s="14">
        <v>0</v>
      </c>
      <c r="BH131" s="14">
        <v>0</v>
      </c>
      <c r="BI131" s="14">
        <v>0</v>
      </c>
      <c r="BJ131" s="14">
        <v>0</v>
      </c>
      <c r="BK131" s="14">
        <v>0</v>
      </c>
      <c r="BL131" s="14">
        <v>30</v>
      </c>
      <c r="BS131" s="14">
        <v>0</v>
      </c>
      <c r="BT131" s="14">
        <v>1</v>
      </c>
      <c r="BZ131" s="14">
        <v>1</v>
      </c>
      <c r="CG131" s="14">
        <v>0</v>
      </c>
      <c r="CN131" s="14">
        <v>0</v>
      </c>
      <c r="CU131" s="14">
        <v>0</v>
      </c>
      <c r="DB131" s="14">
        <v>0</v>
      </c>
      <c r="DC131" s="14">
        <v>1</v>
      </c>
      <c r="DD131" s="14">
        <v>0</v>
      </c>
      <c r="DE131" s="14">
        <v>0</v>
      </c>
      <c r="DF131" s="14">
        <v>0</v>
      </c>
      <c r="DG131" s="14">
        <v>0</v>
      </c>
      <c r="DH131" s="14">
        <v>0</v>
      </c>
      <c r="DI131" s="14">
        <v>1</v>
      </c>
      <c r="DJ131" s="14" t="s">
        <v>598</v>
      </c>
      <c r="DK131" s="14" t="s">
        <v>598</v>
      </c>
      <c r="DL131" s="14" t="s">
        <v>598</v>
      </c>
      <c r="DM131" s="14" t="s">
        <v>598</v>
      </c>
      <c r="DN131" s="14" t="s">
        <v>598</v>
      </c>
      <c r="DO131" s="14" t="s">
        <v>598</v>
      </c>
      <c r="DP131" s="14" t="s">
        <v>597</v>
      </c>
      <c r="DQ131" s="14" t="s">
        <v>598</v>
      </c>
      <c r="DR131" s="14" t="s">
        <v>598</v>
      </c>
      <c r="DS131" s="14" t="s">
        <v>598</v>
      </c>
      <c r="DT131" s="14" t="s">
        <v>598</v>
      </c>
      <c r="DU131" s="14" t="s">
        <v>598</v>
      </c>
      <c r="DV131" s="14" t="s">
        <v>598</v>
      </c>
      <c r="DW131" s="14" t="s">
        <v>598</v>
      </c>
      <c r="DX131" s="14" t="s">
        <v>598</v>
      </c>
      <c r="DY131" s="14" t="s">
        <v>598</v>
      </c>
      <c r="DZ131" s="14" t="s">
        <v>598</v>
      </c>
      <c r="EA131" s="14" t="s">
        <v>598</v>
      </c>
      <c r="EB131" s="14" t="s">
        <v>598</v>
      </c>
      <c r="EC131" s="14" t="s">
        <v>598</v>
      </c>
      <c r="ED131" s="14" t="s">
        <v>598</v>
      </c>
      <c r="EE131" s="14" t="s">
        <v>598</v>
      </c>
      <c r="EF131" s="14" t="s">
        <v>598</v>
      </c>
      <c r="EG131" s="14" t="s">
        <v>598</v>
      </c>
      <c r="EH131" s="14" t="s">
        <v>598</v>
      </c>
      <c r="EI131" s="14" t="s">
        <v>598</v>
      </c>
      <c r="EJ131" s="14" t="s">
        <v>598</v>
      </c>
      <c r="EK131" s="14" t="s">
        <v>598</v>
      </c>
      <c r="EL131" s="14" t="s">
        <v>598</v>
      </c>
      <c r="EM131" s="14" t="s">
        <v>598</v>
      </c>
      <c r="EN131" s="14" t="s">
        <v>598</v>
      </c>
      <c r="EO131" s="14" t="s">
        <v>598</v>
      </c>
      <c r="EP131" s="14" t="s">
        <v>598</v>
      </c>
      <c r="EQ131" s="14" t="s">
        <v>598</v>
      </c>
      <c r="ER131" s="14" t="s">
        <v>598</v>
      </c>
      <c r="ES131" s="14" t="s">
        <v>598</v>
      </c>
      <c r="EZ131" s="14">
        <v>0</v>
      </c>
      <c r="FA131" s="14">
        <v>30</v>
      </c>
      <c r="FG131" s="14">
        <v>30</v>
      </c>
      <c r="FN131" s="14">
        <v>0</v>
      </c>
      <c r="FU131" s="14">
        <v>0</v>
      </c>
      <c r="GB131" s="14">
        <v>0</v>
      </c>
      <c r="GI131" s="14">
        <v>0</v>
      </c>
      <c r="GP131" s="14">
        <v>0</v>
      </c>
      <c r="GX131" s="14">
        <v>0</v>
      </c>
      <c r="GY131" s="14">
        <v>30</v>
      </c>
      <c r="GZ131" s="14">
        <v>0</v>
      </c>
      <c r="HA131" s="14">
        <v>0</v>
      </c>
      <c r="HB131" s="14">
        <v>0</v>
      </c>
      <c r="HC131" s="14">
        <v>0</v>
      </c>
      <c r="HD131" s="14">
        <v>0</v>
      </c>
      <c r="HE131" s="14">
        <v>30</v>
      </c>
      <c r="HL131" s="14">
        <v>0</v>
      </c>
      <c r="HM131" s="14">
        <v>30</v>
      </c>
      <c r="HS131" s="14">
        <v>30</v>
      </c>
      <c r="HZ131" s="14">
        <v>0</v>
      </c>
      <c r="IG131" s="14">
        <v>0</v>
      </c>
      <c r="IN131" s="14">
        <v>0</v>
      </c>
      <c r="IO131" s="14">
        <v>30</v>
      </c>
      <c r="IP131" s="14">
        <v>0</v>
      </c>
      <c r="IQ131" s="14">
        <v>0</v>
      </c>
      <c r="IR131" s="14">
        <v>0</v>
      </c>
      <c r="IS131" s="14">
        <v>0</v>
      </c>
      <c r="IT131" s="14">
        <v>0</v>
      </c>
      <c r="IU131" s="14">
        <v>30</v>
      </c>
      <c r="IW131" s="14">
        <v>100</v>
      </c>
      <c r="JA131" s="14">
        <v>1</v>
      </c>
      <c r="JB131" s="14">
        <v>2</v>
      </c>
      <c r="JC131" s="14">
        <v>1</v>
      </c>
      <c r="JD131" s="14" t="s">
        <v>600</v>
      </c>
      <c r="NG131" s="14" t="s">
        <v>601</v>
      </c>
      <c r="NN131" s="14">
        <v>0</v>
      </c>
      <c r="NO131" s="14">
        <v>30</v>
      </c>
      <c r="NU131" s="14">
        <v>30</v>
      </c>
      <c r="OB131" s="14">
        <v>0</v>
      </c>
      <c r="OI131" s="14">
        <v>0</v>
      </c>
      <c r="OP131" s="14">
        <v>0</v>
      </c>
      <c r="OW131" s="14">
        <v>0</v>
      </c>
      <c r="PD131" s="14">
        <v>0</v>
      </c>
      <c r="PL131" s="14">
        <v>0</v>
      </c>
      <c r="PM131" s="14">
        <v>30</v>
      </c>
      <c r="PN131" s="14">
        <v>0</v>
      </c>
      <c r="PO131" s="14">
        <v>0</v>
      </c>
      <c r="PP131" s="14">
        <v>0</v>
      </c>
      <c r="PQ131" s="14">
        <v>0</v>
      </c>
      <c r="PR131" s="14">
        <v>0</v>
      </c>
      <c r="PS131" s="14">
        <v>30</v>
      </c>
      <c r="PT131" s="14">
        <v>30</v>
      </c>
      <c r="PZ131" s="14">
        <v>30</v>
      </c>
      <c r="QG131" s="14">
        <v>0</v>
      </c>
      <c r="QN131" s="14">
        <v>0</v>
      </c>
      <c r="QU131" s="14">
        <v>0</v>
      </c>
      <c r="RB131" s="14">
        <v>0</v>
      </c>
      <c r="RC131" s="14">
        <v>30</v>
      </c>
      <c r="RD131" s="14">
        <v>0</v>
      </c>
      <c r="RE131" s="14">
        <v>0</v>
      </c>
      <c r="RF131" s="14">
        <v>0</v>
      </c>
      <c r="RG131" s="14">
        <v>0</v>
      </c>
      <c r="RH131" s="14">
        <v>0</v>
      </c>
      <c r="RI131" s="14">
        <v>30</v>
      </c>
      <c r="RJ131" s="14" t="s">
        <v>602</v>
      </c>
      <c r="VM131" s="14" t="s">
        <v>603</v>
      </c>
      <c r="ZP131" s="14" t="s">
        <v>604</v>
      </c>
      <c r="ADS131" s="14" t="s">
        <v>605</v>
      </c>
    </row>
    <row r="132" spans="1:799" x14ac:dyDescent="0.25">
      <c r="A132" s="14">
        <v>134</v>
      </c>
      <c r="B132" s="14" t="s">
        <v>889</v>
      </c>
      <c r="C132" s="16">
        <v>42766.318749999999</v>
      </c>
      <c r="D132" s="14" t="s">
        <v>1264</v>
      </c>
      <c r="E132" s="14" t="s">
        <v>1265</v>
      </c>
      <c r="F132" s="14" t="str">
        <f>VLOOKUP(MID(H132,SEARCH("@",H132,1),LEN(H132)-SEARCH("@",H132,1)+1),[2]Sheet1!$D:$F,3,FALSE)</f>
        <v>M023</v>
      </c>
      <c r="G132" s="14" t="s">
        <v>652</v>
      </c>
      <c r="H132" s="14" t="s">
        <v>1266</v>
      </c>
      <c r="I132" s="14">
        <v>31642705111</v>
      </c>
      <c r="J132" s="14" t="s">
        <v>979</v>
      </c>
      <c r="K132" s="14" t="s">
        <v>732</v>
      </c>
      <c r="M132" s="14">
        <v>2</v>
      </c>
      <c r="N132" s="14">
        <v>6</v>
      </c>
      <c r="O132" s="14" t="s">
        <v>1267</v>
      </c>
      <c r="V132" s="14">
        <v>0</v>
      </c>
      <c r="AC132" s="14">
        <v>0</v>
      </c>
      <c r="AJ132" s="14">
        <v>0</v>
      </c>
      <c r="AQ132" s="14">
        <v>0</v>
      </c>
      <c r="AX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S132" s="14">
        <v>0</v>
      </c>
      <c r="BZ132" s="14">
        <v>0</v>
      </c>
      <c r="CG132" s="14">
        <v>0</v>
      </c>
      <c r="CN132" s="14">
        <v>0</v>
      </c>
      <c r="CU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4">
        <v>0</v>
      </c>
      <c r="DG132" s="14">
        <v>0</v>
      </c>
      <c r="DH132" s="14">
        <v>0</v>
      </c>
      <c r="DI132" s="14">
        <v>0</v>
      </c>
      <c r="DJ132" s="14" t="s">
        <v>598</v>
      </c>
      <c r="DK132" s="14" t="s">
        <v>598</v>
      </c>
      <c r="DL132" s="14" t="s">
        <v>598</v>
      </c>
      <c r="DM132" s="14" t="s">
        <v>598</v>
      </c>
      <c r="DN132" s="14" t="s">
        <v>598</v>
      </c>
      <c r="DO132" s="14" t="s">
        <v>598</v>
      </c>
      <c r="DP132" s="14" t="s">
        <v>598</v>
      </c>
      <c r="DQ132" s="14" t="s">
        <v>598</v>
      </c>
      <c r="DR132" s="14" t="s">
        <v>598</v>
      </c>
      <c r="DS132" s="14" t="s">
        <v>598</v>
      </c>
      <c r="DT132" s="14" t="s">
        <v>598</v>
      </c>
      <c r="DU132" s="14" t="s">
        <v>598</v>
      </c>
      <c r="DV132" s="14" t="s">
        <v>598</v>
      </c>
      <c r="DW132" s="14" t="s">
        <v>598</v>
      </c>
      <c r="DX132" s="14" t="s">
        <v>598</v>
      </c>
      <c r="DY132" s="14" t="s">
        <v>598</v>
      </c>
      <c r="DZ132" s="14" t="s">
        <v>598</v>
      </c>
      <c r="EA132" s="14" t="s">
        <v>598</v>
      </c>
      <c r="EB132" s="14" t="s">
        <v>598</v>
      </c>
      <c r="EC132" s="14" t="s">
        <v>598</v>
      </c>
      <c r="ED132" s="14" t="s">
        <v>598</v>
      </c>
      <c r="EE132" s="14" t="s">
        <v>598</v>
      </c>
      <c r="EF132" s="14" t="s">
        <v>598</v>
      </c>
      <c r="EG132" s="14" t="s">
        <v>598</v>
      </c>
      <c r="EH132" s="14" t="s">
        <v>598</v>
      </c>
      <c r="EI132" s="14" t="s">
        <v>598</v>
      </c>
      <c r="EJ132" s="14" t="s">
        <v>598</v>
      </c>
      <c r="EK132" s="14" t="s">
        <v>598</v>
      </c>
      <c r="EL132" s="14" t="s">
        <v>598</v>
      </c>
      <c r="EM132" s="14" t="s">
        <v>598</v>
      </c>
      <c r="EN132" s="14" t="s">
        <v>598</v>
      </c>
      <c r="EO132" s="14" t="s">
        <v>598</v>
      </c>
      <c r="EP132" s="14" t="s">
        <v>598</v>
      </c>
      <c r="EQ132" s="14" t="s">
        <v>598</v>
      </c>
      <c r="ER132" s="14" t="s">
        <v>598</v>
      </c>
      <c r="ES132" s="14" t="s">
        <v>598</v>
      </c>
      <c r="EZ132" s="14">
        <v>0</v>
      </c>
      <c r="FG132" s="14">
        <v>0</v>
      </c>
      <c r="FN132" s="14">
        <v>0</v>
      </c>
      <c r="FU132" s="14">
        <v>0</v>
      </c>
      <c r="GB132" s="14">
        <v>0</v>
      </c>
      <c r="GI132" s="14">
        <v>0</v>
      </c>
      <c r="GP132" s="14">
        <v>0</v>
      </c>
      <c r="GX132" s="14">
        <v>0</v>
      </c>
      <c r="GY132" s="14">
        <v>0</v>
      </c>
      <c r="GZ132" s="14">
        <v>0</v>
      </c>
      <c r="HA132" s="14">
        <v>0</v>
      </c>
      <c r="HB132" s="14">
        <v>0</v>
      </c>
      <c r="HC132" s="14">
        <v>0</v>
      </c>
      <c r="HD132" s="14">
        <v>0</v>
      </c>
      <c r="HE132" s="14">
        <v>0</v>
      </c>
      <c r="HL132" s="14">
        <v>0</v>
      </c>
      <c r="HS132" s="14">
        <v>0</v>
      </c>
      <c r="HZ132" s="14">
        <v>0</v>
      </c>
      <c r="IG132" s="14">
        <v>0</v>
      </c>
      <c r="IN132" s="14">
        <v>0</v>
      </c>
      <c r="IO132" s="14">
        <v>0</v>
      </c>
      <c r="IP132" s="14">
        <v>0</v>
      </c>
      <c r="IQ132" s="14">
        <v>0</v>
      </c>
      <c r="IR132" s="14">
        <v>0</v>
      </c>
      <c r="IS132" s="14">
        <v>0</v>
      </c>
      <c r="IT132" s="14">
        <v>0</v>
      </c>
      <c r="IU132" s="14">
        <v>0</v>
      </c>
      <c r="JA132" s="14">
        <v>1</v>
      </c>
      <c r="JB132" s="14">
        <v>3</v>
      </c>
      <c r="JC132" s="14">
        <v>2</v>
      </c>
      <c r="JD132" s="14" t="s">
        <v>600</v>
      </c>
      <c r="NG132" s="14" t="s">
        <v>601</v>
      </c>
      <c r="RJ132" s="14" t="s">
        <v>602</v>
      </c>
      <c r="VM132" s="14" t="s">
        <v>603</v>
      </c>
      <c r="ZP132" s="14" t="s">
        <v>604</v>
      </c>
      <c r="ADS132" s="14" t="s">
        <v>605</v>
      </c>
    </row>
    <row r="133" spans="1:799" x14ac:dyDescent="0.25">
      <c r="A133" s="14">
        <v>178</v>
      </c>
      <c r="B133" s="14" t="s">
        <v>889</v>
      </c>
      <c r="C133" s="16">
        <v>42773.338194444441</v>
      </c>
      <c r="D133" s="14" t="s">
        <v>1268</v>
      </c>
      <c r="E133" s="14" t="s">
        <v>1269</v>
      </c>
      <c r="F133" s="14" t="str">
        <f>VLOOKUP(MID(H133,SEARCH("@",H133,1),LEN(H133)-SEARCH("@",H133,1)+1),[2]Sheet1!$D:$F,3,FALSE)</f>
        <v>M252</v>
      </c>
      <c r="G133" s="14" t="s">
        <v>1270</v>
      </c>
      <c r="H133" s="14" t="s">
        <v>1271</v>
      </c>
      <c r="I133" s="14" t="s">
        <v>1272</v>
      </c>
      <c r="J133" s="14" t="s">
        <v>938</v>
      </c>
      <c r="K133" s="14" t="s">
        <v>732</v>
      </c>
      <c r="M133" s="14">
        <v>1</v>
      </c>
      <c r="V133" s="14">
        <v>0</v>
      </c>
      <c r="X133" s="14">
        <v>250</v>
      </c>
      <c r="Z133" s="14">
        <v>176</v>
      </c>
      <c r="AC133" s="14">
        <v>426</v>
      </c>
      <c r="AJ133" s="14">
        <v>0</v>
      </c>
      <c r="AQ133" s="14">
        <v>0</v>
      </c>
      <c r="AX133" s="14">
        <v>0</v>
      </c>
      <c r="BE133" s="14">
        <v>0</v>
      </c>
      <c r="BF133" s="14">
        <v>0</v>
      </c>
      <c r="BG133" s="14">
        <v>250</v>
      </c>
      <c r="BH133" s="14">
        <v>0</v>
      </c>
      <c r="BI133" s="14">
        <v>176</v>
      </c>
      <c r="BJ133" s="14">
        <v>0</v>
      </c>
      <c r="BK133" s="14">
        <v>0</v>
      </c>
      <c r="BL133" s="14">
        <v>426</v>
      </c>
      <c r="BS133" s="14">
        <v>0</v>
      </c>
      <c r="BU133" s="14">
        <v>1</v>
      </c>
      <c r="BW133" s="14">
        <v>8</v>
      </c>
      <c r="BZ133" s="14">
        <v>9</v>
      </c>
      <c r="CG133" s="14">
        <v>0</v>
      </c>
      <c r="CN133" s="14">
        <v>0</v>
      </c>
      <c r="CU133" s="14">
        <v>0</v>
      </c>
      <c r="DB133" s="14">
        <v>0</v>
      </c>
      <c r="DC133" s="14">
        <v>0</v>
      </c>
      <c r="DD133" s="14">
        <v>1</v>
      </c>
      <c r="DE133" s="14">
        <v>0</v>
      </c>
      <c r="DF133" s="14">
        <v>8</v>
      </c>
      <c r="DG133" s="14">
        <v>0</v>
      </c>
      <c r="DH133" s="14">
        <v>0</v>
      </c>
      <c r="DI133" s="14">
        <v>9</v>
      </c>
      <c r="DJ133" s="14" t="s">
        <v>598</v>
      </c>
      <c r="DK133" s="14" t="s">
        <v>598</v>
      </c>
      <c r="DL133" s="14" t="s">
        <v>598</v>
      </c>
      <c r="DM133" s="14" t="s">
        <v>598</v>
      </c>
      <c r="DN133" s="14" t="s">
        <v>598</v>
      </c>
      <c r="DO133" s="14" t="s">
        <v>598</v>
      </c>
      <c r="DP133" s="14" t="s">
        <v>598</v>
      </c>
      <c r="DQ133" s="14" t="s">
        <v>597</v>
      </c>
      <c r="DR133" s="14" t="s">
        <v>598</v>
      </c>
      <c r="DS133" s="14" t="s">
        <v>597</v>
      </c>
      <c r="DT133" s="14" t="s">
        <v>598</v>
      </c>
      <c r="DU133" s="14" t="s">
        <v>598</v>
      </c>
      <c r="DV133" s="14" t="s">
        <v>598</v>
      </c>
      <c r="DW133" s="14" t="s">
        <v>598</v>
      </c>
      <c r="DX133" s="14" t="s">
        <v>598</v>
      </c>
      <c r="DY133" s="14" t="s">
        <v>598</v>
      </c>
      <c r="DZ133" s="14" t="s">
        <v>598</v>
      </c>
      <c r="EA133" s="14" t="s">
        <v>598</v>
      </c>
      <c r="EB133" s="14" t="s">
        <v>598</v>
      </c>
      <c r="EC133" s="14" t="s">
        <v>598</v>
      </c>
      <c r="ED133" s="14" t="s">
        <v>598</v>
      </c>
      <c r="EE133" s="14" t="s">
        <v>598</v>
      </c>
      <c r="EF133" s="14" t="s">
        <v>598</v>
      </c>
      <c r="EG133" s="14" t="s">
        <v>598</v>
      </c>
      <c r="EH133" s="14" t="s">
        <v>598</v>
      </c>
      <c r="EI133" s="14" t="s">
        <v>598</v>
      </c>
      <c r="EJ133" s="14" t="s">
        <v>598</v>
      </c>
      <c r="EK133" s="14" t="s">
        <v>598</v>
      </c>
      <c r="EL133" s="14" t="s">
        <v>598</v>
      </c>
      <c r="EM133" s="14" t="s">
        <v>598</v>
      </c>
      <c r="EN133" s="14" t="s">
        <v>598</v>
      </c>
      <c r="EO133" s="14" t="s">
        <v>598</v>
      </c>
      <c r="EP133" s="14" t="s">
        <v>598</v>
      </c>
      <c r="EQ133" s="14" t="s">
        <v>598</v>
      </c>
      <c r="ER133" s="14" t="s">
        <v>598</v>
      </c>
      <c r="ES133" s="14" t="s">
        <v>598</v>
      </c>
      <c r="EU133" s="14">
        <v>250</v>
      </c>
      <c r="EZ133" s="14">
        <v>250</v>
      </c>
      <c r="FG133" s="14">
        <v>0</v>
      </c>
      <c r="FN133" s="14">
        <v>0</v>
      </c>
      <c r="FU133" s="14">
        <v>0</v>
      </c>
      <c r="GB133" s="14">
        <v>0</v>
      </c>
      <c r="GI133" s="14">
        <v>0</v>
      </c>
      <c r="GM133" s="14">
        <v>176</v>
      </c>
      <c r="GP133" s="14">
        <v>176</v>
      </c>
      <c r="GX133" s="14">
        <v>0</v>
      </c>
      <c r="GY133" s="14">
        <v>0</v>
      </c>
      <c r="GZ133" s="14">
        <v>250</v>
      </c>
      <c r="HA133" s="14">
        <v>0</v>
      </c>
      <c r="HB133" s="14">
        <v>176</v>
      </c>
      <c r="HC133" s="14">
        <v>0</v>
      </c>
      <c r="HD133" s="14">
        <v>0</v>
      </c>
      <c r="HE133" s="14">
        <v>426</v>
      </c>
      <c r="HL133" s="14">
        <v>0</v>
      </c>
      <c r="HN133" s="14">
        <v>250</v>
      </c>
      <c r="HS133" s="14">
        <v>250</v>
      </c>
      <c r="HZ133" s="14">
        <v>0</v>
      </c>
      <c r="IG133" s="14">
        <v>0</v>
      </c>
      <c r="IN133" s="14">
        <v>0</v>
      </c>
      <c r="IO133" s="14">
        <v>0</v>
      </c>
      <c r="IP133" s="14">
        <v>250</v>
      </c>
      <c r="IQ133" s="14">
        <v>0</v>
      </c>
      <c r="IR133" s="14">
        <v>0</v>
      </c>
      <c r="IS133" s="14">
        <v>0</v>
      </c>
      <c r="IT133" s="14">
        <v>0</v>
      </c>
      <c r="IU133" s="14">
        <v>250</v>
      </c>
      <c r="IV133" s="14">
        <v>20</v>
      </c>
      <c r="IX133" s="14">
        <v>80</v>
      </c>
      <c r="JA133" s="14">
        <v>3</v>
      </c>
      <c r="JB133" s="14">
        <v>3</v>
      </c>
      <c r="JC133" s="14">
        <v>2</v>
      </c>
      <c r="JD133" s="14" t="s">
        <v>600</v>
      </c>
      <c r="NG133" s="14" t="s">
        <v>601</v>
      </c>
      <c r="NI133" s="14">
        <v>250</v>
      </c>
      <c r="NN133" s="14">
        <v>250</v>
      </c>
      <c r="NU133" s="14">
        <v>0</v>
      </c>
      <c r="OB133" s="14">
        <v>0</v>
      </c>
      <c r="OI133" s="14">
        <v>0</v>
      </c>
      <c r="OP133" s="14">
        <v>0</v>
      </c>
      <c r="OW133" s="14">
        <v>0</v>
      </c>
      <c r="PA133" s="14">
        <v>176</v>
      </c>
      <c r="PD133" s="14">
        <v>176</v>
      </c>
      <c r="PL133" s="14">
        <v>0</v>
      </c>
      <c r="PM133" s="14">
        <v>0</v>
      </c>
      <c r="PN133" s="14">
        <v>250</v>
      </c>
      <c r="PO133" s="14">
        <v>0</v>
      </c>
      <c r="PP133" s="14">
        <v>176</v>
      </c>
      <c r="PQ133" s="14">
        <v>0</v>
      </c>
      <c r="PR133" s="14">
        <v>0</v>
      </c>
      <c r="PS133" s="14">
        <v>426</v>
      </c>
      <c r="PU133" s="14">
        <v>250</v>
      </c>
      <c r="PW133" s="14">
        <v>155</v>
      </c>
      <c r="PZ133" s="14">
        <v>405</v>
      </c>
      <c r="QD133" s="14">
        <v>20</v>
      </c>
      <c r="QG133" s="14">
        <v>20</v>
      </c>
      <c r="QN133" s="14">
        <v>0</v>
      </c>
      <c r="QR133" s="14">
        <v>1</v>
      </c>
      <c r="QU133" s="14">
        <v>1</v>
      </c>
      <c r="RB133" s="14">
        <v>0</v>
      </c>
      <c r="RC133" s="14">
        <v>0</v>
      </c>
      <c r="RD133" s="14">
        <v>250</v>
      </c>
      <c r="RE133" s="14">
        <v>0</v>
      </c>
      <c r="RF133" s="14">
        <v>176</v>
      </c>
      <c r="RG133" s="14">
        <v>0</v>
      </c>
      <c r="RH133" s="14">
        <v>0</v>
      </c>
      <c r="RI133" s="14">
        <v>426</v>
      </c>
      <c r="RJ133" s="14" t="s">
        <v>602</v>
      </c>
      <c r="VM133" s="14" t="s">
        <v>603</v>
      </c>
      <c r="ZP133" s="14" t="s">
        <v>604</v>
      </c>
      <c r="ADS133" s="14" t="s">
        <v>605</v>
      </c>
    </row>
    <row r="134" spans="1:799" x14ac:dyDescent="0.25">
      <c r="A134" s="14">
        <v>35</v>
      </c>
      <c r="B134" s="14" t="s">
        <v>889</v>
      </c>
      <c r="C134" s="16">
        <v>42766.709722222222</v>
      </c>
      <c r="D134" s="14" t="s">
        <v>1273</v>
      </c>
      <c r="E134" s="14" t="s">
        <v>1274</v>
      </c>
      <c r="F134" s="14" t="str">
        <f>VLOOKUP(MID(H134,SEARCH("@",H134,1),LEN(H134)-SEARCH("@",H134,1)+1),[2]Sheet1!$D:$F,3,FALSE)</f>
        <v>M675</v>
      </c>
      <c r="G134" s="14" t="s">
        <v>1275</v>
      </c>
      <c r="H134" s="14" t="s">
        <v>1276</v>
      </c>
      <c r="I134" s="14" t="s">
        <v>1277</v>
      </c>
      <c r="J134" s="14" t="s">
        <v>731</v>
      </c>
      <c r="K134" s="14" t="s">
        <v>732</v>
      </c>
      <c r="M134" s="14">
        <v>1</v>
      </c>
      <c r="V134" s="14">
        <v>0</v>
      </c>
      <c r="W134" s="14">
        <v>91.33</v>
      </c>
      <c r="X134" s="14">
        <v>63.9</v>
      </c>
      <c r="Z134" s="14">
        <v>272</v>
      </c>
      <c r="AB134" s="14">
        <v>4.04</v>
      </c>
      <c r="AC134" s="14">
        <v>431.27</v>
      </c>
      <c r="AJ134" s="14">
        <v>0</v>
      </c>
      <c r="AQ134" s="14">
        <v>0</v>
      </c>
      <c r="AX134" s="14">
        <v>0</v>
      </c>
      <c r="BE134" s="14">
        <v>0</v>
      </c>
      <c r="BF134" s="14">
        <v>91.33</v>
      </c>
      <c r="BG134" s="14">
        <v>63.9</v>
      </c>
      <c r="BH134" s="14">
        <v>0</v>
      </c>
      <c r="BI134" s="14">
        <v>272</v>
      </c>
      <c r="BJ134" s="14">
        <v>0</v>
      </c>
      <c r="BK134" s="14">
        <v>4.04</v>
      </c>
      <c r="BL134" s="14">
        <v>431.27</v>
      </c>
      <c r="BS134" s="14">
        <v>0</v>
      </c>
      <c r="BT134" s="14">
        <v>4</v>
      </c>
      <c r="BU134" s="14">
        <v>2</v>
      </c>
      <c r="BW134" s="14">
        <v>3</v>
      </c>
      <c r="BY134" s="14">
        <v>1</v>
      </c>
      <c r="BZ134" s="14">
        <v>10</v>
      </c>
      <c r="CG134" s="14">
        <v>0</v>
      </c>
      <c r="CN134" s="14">
        <v>0</v>
      </c>
      <c r="CU134" s="14">
        <v>0</v>
      </c>
      <c r="DB134" s="14">
        <v>0</v>
      </c>
      <c r="DC134" s="14">
        <v>4</v>
      </c>
      <c r="DD134" s="14">
        <v>2</v>
      </c>
      <c r="DE134" s="14">
        <v>0</v>
      </c>
      <c r="DF134" s="14">
        <v>3</v>
      </c>
      <c r="DG134" s="14">
        <v>0</v>
      </c>
      <c r="DH134" s="14">
        <v>1</v>
      </c>
      <c r="DI134" s="14">
        <v>10</v>
      </c>
      <c r="DJ134" s="14" t="s">
        <v>598</v>
      </c>
      <c r="DK134" s="14" t="s">
        <v>598</v>
      </c>
      <c r="DL134" s="14" t="s">
        <v>598</v>
      </c>
      <c r="DM134" s="14" t="s">
        <v>598</v>
      </c>
      <c r="DN134" s="14" t="s">
        <v>598</v>
      </c>
      <c r="DO134" s="14" t="s">
        <v>598</v>
      </c>
      <c r="DP134" s="14" t="s">
        <v>597</v>
      </c>
      <c r="DQ134" s="14" t="s">
        <v>597</v>
      </c>
      <c r="DR134" s="14" t="s">
        <v>598</v>
      </c>
      <c r="DS134" s="14" t="s">
        <v>597</v>
      </c>
      <c r="DT134" s="14" t="s">
        <v>598</v>
      </c>
      <c r="DU134" s="14" t="s">
        <v>597</v>
      </c>
      <c r="DV134" s="14" t="s">
        <v>598</v>
      </c>
      <c r="DW134" s="14" t="s">
        <v>598</v>
      </c>
      <c r="DX134" s="14" t="s">
        <v>598</v>
      </c>
      <c r="DY134" s="14" t="s">
        <v>598</v>
      </c>
      <c r="DZ134" s="14" t="s">
        <v>598</v>
      </c>
      <c r="EA134" s="14" t="s">
        <v>598</v>
      </c>
      <c r="EB134" s="14" t="s">
        <v>598</v>
      </c>
      <c r="EC134" s="14" t="s">
        <v>598</v>
      </c>
      <c r="ED134" s="14" t="s">
        <v>598</v>
      </c>
      <c r="EE134" s="14" t="s">
        <v>598</v>
      </c>
      <c r="EF134" s="14" t="s">
        <v>598</v>
      </c>
      <c r="EG134" s="14" t="s">
        <v>598</v>
      </c>
      <c r="EH134" s="14" t="s">
        <v>598</v>
      </c>
      <c r="EI134" s="14" t="s">
        <v>598</v>
      </c>
      <c r="EJ134" s="14" t="s">
        <v>598</v>
      </c>
      <c r="EK134" s="14" t="s">
        <v>598</v>
      </c>
      <c r="EL134" s="14" t="s">
        <v>598</v>
      </c>
      <c r="EM134" s="14" t="s">
        <v>598</v>
      </c>
      <c r="EN134" s="14" t="s">
        <v>598</v>
      </c>
      <c r="EO134" s="14" t="s">
        <v>598</v>
      </c>
      <c r="EP134" s="14" t="s">
        <v>598</v>
      </c>
      <c r="EQ134" s="14" t="s">
        <v>598</v>
      </c>
      <c r="ER134" s="14" t="s">
        <v>598</v>
      </c>
      <c r="ES134" s="14" t="s">
        <v>598</v>
      </c>
      <c r="ET134" s="14">
        <v>85.77</v>
      </c>
      <c r="EU134" s="14">
        <v>63.9</v>
      </c>
      <c r="EW134" s="14">
        <v>234.95</v>
      </c>
      <c r="EY134" s="14">
        <v>4.04</v>
      </c>
      <c r="EZ134" s="14">
        <v>388.66</v>
      </c>
      <c r="FD134" s="14">
        <v>13.3</v>
      </c>
      <c r="FG134" s="14">
        <v>13.3</v>
      </c>
      <c r="FH134" s="14">
        <v>2.1</v>
      </c>
      <c r="FK134" s="14">
        <v>0.09</v>
      </c>
      <c r="FN134" s="14">
        <v>2.19</v>
      </c>
      <c r="FU134" s="14">
        <v>0</v>
      </c>
      <c r="FY134" s="14">
        <v>23.62</v>
      </c>
      <c r="GB134" s="14">
        <v>23.62</v>
      </c>
      <c r="GC134" s="14">
        <v>3.46</v>
      </c>
      <c r="GF134" s="14">
        <v>0.04</v>
      </c>
      <c r="GI134" s="14">
        <v>3.5</v>
      </c>
      <c r="GP134" s="14">
        <v>0</v>
      </c>
      <c r="GX134" s="14">
        <v>0</v>
      </c>
      <c r="GY134" s="14">
        <v>91.33</v>
      </c>
      <c r="GZ134" s="14">
        <v>63.9</v>
      </c>
      <c r="HA134" s="14">
        <v>0</v>
      </c>
      <c r="HB134" s="14">
        <v>272</v>
      </c>
      <c r="HC134" s="14">
        <v>0</v>
      </c>
      <c r="HD134" s="14">
        <v>4.04</v>
      </c>
      <c r="HE134" s="14">
        <v>431.27</v>
      </c>
      <c r="HI134" s="14">
        <v>26.52</v>
      </c>
      <c r="HL134" s="14">
        <v>26.52</v>
      </c>
      <c r="HM134" s="14">
        <v>90.34</v>
      </c>
      <c r="HN134" s="14">
        <v>63.9</v>
      </c>
      <c r="HP134" s="14">
        <v>78.180000000000007</v>
      </c>
      <c r="HR134" s="14">
        <v>4.04</v>
      </c>
      <c r="HS134" s="14">
        <v>236.46</v>
      </c>
      <c r="HT134" s="14">
        <v>0.99</v>
      </c>
      <c r="HW134" s="14">
        <v>167.3</v>
      </c>
      <c r="HZ134" s="14">
        <v>168.29</v>
      </c>
      <c r="IG134" s="14">
        <v>0</v>
      </c>
      <c r="IN134" s="14">
        <v>0</v>
      </c>
      <c r="IO134" s="14">
        <v>91.33</v>
      </c>
      <c r="IP134" s="14">
        <v>63.9</v>
      </c>
      <c r="IQ134" s="14">
        <v>0</v>
      </c>
      <c r="IR134" s="14">
        <v>272</v>
      </c>
      <c r="IS134" s="14">
        <v>0</v>
      </c>
      <c r="IT134" s="14">
        <v>4.04</v>
      </c>
      <c r="IU134" s="14">
        <v>431.27</v>
      </c>
      <c r="IX134" s="14">
        <v>100</v>
      </c>
      <c r="JA134" s="14">
        <v>1</v>
      </c>
      <c r="JB134" s="14">
        <v>2</v>
      </c>
      <c r="JC134" s="14">
        <v>2</v>
      </c>
      <c r="JD134" s="14" t="s">
        <v>600</v>
      </c>
      <c r="NG134" s="14" t="s">
        <v>601</v>
      </c>
      <c r="NH134" s="14">
        <v>85.77</v>
      </c>
      <c r="NI134" s="14">
        <v>63.9</v>
      </c>
      <c r="NK134" s="14">
        <v>234.95</v>
      </c>
      <c r="NM134" s="14">
        <v>4.04</v>
      </c>
      <c r="NN134" s="14">
        <v>388.66</v>
      </c>
      <c r="NR134" s="14">
        <v>13.3</v>
      </c>
      <c r="NU134" s="14">
        <v>13.3</v>
      </c>
      <c r="NV134" s="14">
        <v>2.1</v>
      </c>
      <c r="NY134" s="14">
        <v>0.09</v>
      </c>
      <c r="OB134" s="14">
        <v>2.19</v>
      </c>
      <c r="OI134" s="14">
        <v>0</v>
      </c>
      <c r="OM134" s="14">
        <v>23.62</v>
      </c>
      <c r="OP134" s="14">
        <v>23.62</v>
      </c>
      <c r="OQ134" s="14">
        <v>3.46</v>
      </c>
      <c r="OT134" s="14">
        <v>0.04</v>
      </c>
      <c r="OW134" s="14">
        <v>3.5</v>
      </c>
      <c r="PD134" s="14">
        <v>0</v>
      </c>
      <c r="PL134" s="14">
        <v>0</v>
      </c>
      <c r="PM134" s="14">
        <v>91.33</v>
      </c>
      <c r="PN134" s="14">
        <v>63.9</v>
      </c>
      <c r="PO134" s="14">
        <v>0</v>
      </c>
      <c r="PP134" s="14">
        <v>272</v>
      </c>
      <c r="PQ134" s="14">
        <v>0</v>
      </c>
      <c r="PR134" s="14">
        <v>4.04</v>
      </c>
      <c r="PS134" s="14">
        <v>431.27</v>
      </c>
      <c r="PT134" s="14">
        <v>90.34</v>
      </c>
      <c r="PU134" s="14">
        <v>63.9</v>
      </c>
      <c r="PW134" s="14">
        <v>78.180000000000007</v>
      </c>
      <c r="PY134" s="14">
        <v>4.04</v>
      </c>
      <c r="PZ134" s="14">
        <v>236.46</v>
      </c>
      <c r="QD134" s="14">
        <v>26.52</v>
      </c>
      <c r="QG134" s="14">
        <v>26.52</v>
      </c>
      <c r="QH134" s="14">
        <v>0.99</v>
      </c>
      <c r="QK134" s="14">
        <v>167.3</v>
      </c>
      <c r="QN134" s="14">
        <v>168.29</v>
      </c>
      <c r="QU134" s="14">
        <v>0</v>
      </c>
      <c r="RB134" s="14">
        <v>0</v>
      </c>
      <c r="RC134" s="14">
        <v>91.33</v>
      </c>
      <c r="RD134" s="14">
        <v>63.9</v>
      </c>
      <c r="RE134" s="14">
        <v>0</v>
      </c>
      <c r="RF134" s="14">
        <v>272</v>
      </c>
      <c r="RG134" s="14">
        <v>0</v>
      </c>
      <c r="RH134" s="14">
        <v>4.04</v>
      </c>
      <c r="RI134" s="14">
        <v>431.27</v>
      </c>
      <c r="RJ134" s="14" t="s">
        <v>602</v>
      </c>
      <c r="VM134" s="14" t="s">
        <v>603</v>
      </c>
      <c r="ZP134" s="14" t="s">
        <v>604</v>
      </c>
      <c r="ADS134" s="14" t="s">
        <v>605</v>
      </c>
    </row>
    <row r="135" spans="1:799" x14ac:dyDescent="0.25">
      <c r="A135" s="14">
        <v>52</v>
      </c>
      <c r="B135" s="14" t="s">
        <v>889</v>
      </c>
      <c r="C135" s="16">
        <v>42745.660416666666</v>
      </c>
      <c r="D135" s="14" t="s">
        <v>1278</v>
      </c>
      <c r="E135" s="14" t="s">
        <v>1279</v>
      </c>
      <c r="F135" s="14" t="str">
        <f>VLOOKUP(MID(H135,SEARCH("@",H135,1),LEN(H135)-SEARCH("@",H135,1)+1),[2]Sheet1!$D:$F,3,FALSE)</f>
        <v>M628</v>
      </c>
      <c r="G135" s="14" t="s">
        <v>1280</v>
      </c>
      <c r="H135" s="14" t="s">
        <v>1281</v>
      </c>
      <c r="I135" s="14">
        <v>35316613499</v>
      </c>
      <c r="J135" s="14" t="s">
        <v>1197</v>
      </c>
      <c r="K135" s="14" t="s">
        <v>732</v>
      </c>
      <c r="M135" s="14">
        <v>1</v>
      </c>
      <c r="V135" s="14">
        <v>0</v>
      </c>
      <c r="W135" s="14">
        <v>111</v>
      </c>
      <c r="AC135" s="14">
        <v>111</v>
      </c>
      <c r="AJ135" s="14">
        <v>0</v>
      </c>
      <c r="AQ135" s="14">
        <v>0</v>
      </c>
      <c r="AX135" s="14">
        <v>0</v>
      </c>
      <c r="BE135" s="14">
        <v>0</v>
      </c>
      <c r="BF135" s="14">
        <v>111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111</v>
      </c>
      <c r="BS135" s="14">
        <v>0</v>
      </c>
      <c r="BT135" s="14">
        <v>1</v>
      </c>
      <c r="BZ135" s="14">
        <v>1</v>
      </c>
      <c r="CG135" s="14">
        <v>0</v>
      </c>
      <c r="CN135" s="14">
        <v>0</v>
      </c>
      <c r="CU135" s="14">
        <v>0</v>
      </c>
      <c r="DB135" s="14">
        <v>0</v>
      </c>
      <c r="DC135" s="14">
        <v>1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1</v>
      </c>
      <c r="DJ135" s="14" t="s">
        <v>598</v>
      </c>
      <c r="DK135" s="14" t="s">
        <v>598</v>
      </c>
      <c r="DL135" s="14" t="s">
        <v>598</v>
      </c>
      <c r="DM135" s="14" t="s">
        <v>598</v>
      </c>
      <c r="DN135" s="14" t="s">
        <v>598</v>
      </c>
      <c r="DO135" s="14" t="s">
        <v>598</v>
      </c>
      <c r="DP135" s="14" t="s">
        <v>597</v>
      </c>
      <c r="DQ135" s="14" t="s">
        <v>598</v>
      </c>
      <c r="DR135" s="14" t="s">
        <v>598</v>
      </c>
      <c r="DS135" s="14" t="s">
        <v>598</v>
      </c>
      <c r="DT135" s="14" t="s">
        <v>598</v>
      </c>
      <c r="DU135" s="14" t="s">
        <v>598</v>
      </c>
      <c r="DV135" s="14" t="s">
        <v>598</v>
      </c>
      <c r="DW135" s="14" t="s">
        <v>598</v>
      </c>
      <c r="DX135" s="14" t="s">
        <v>598</v>
      </c>
      <c r="DY135" s="14" t="s">
        <v>598</v>
      </c>
      <c r="DZ135" s="14" t="s">
        <v>598</v>
      </c>
      <c r="EA135" s="14" t="s">
        <v>598</v>
      </c>
      <c r="EB135" s="14" t="s">
        <v>598</v>
      </c>
      <c r="EC135" s="14" t="s">
        <v>598</v>
      </c>
      <c r="ED135" s="14" t="s">
        <v>598</v>
      </c>
      <c r="EE135" s="14" t="s">
        <v>598</v>
      </c>
      <c r="EF135" s="14" t="s">
        <v>598</v>
      </c>
      <c r="EG135" s="14" t="s">
        <v>598</v>
      </c>
      <c r="EH135" s="14" t="s">
        <v>598</v>
      </c>
      <c r="EI135" s="14" t="s">
        <v>598</v>
      </c>
      <c r="EJ135" s="14" t="s">
        <v>598</v>
      </c>
      <c r="EK135" s="14" t="s">
        <v>598</v>
      </c>
      <c r="EL135" s="14" t="s">
        <v>598</v>
      </c>
      <c r="EM135" s="14" t="s">
        <v>598</v>
      </c>
      <c r="EN135" s="14" t="s">
        <v>598</v>
      </c>
      <c r="EO135" s="14" t="s">
        <v>598</v>
      </c>
      <c r="EP135" s="14" t="s">
        <v>598</v>
      </c>
      <c r="EQ135" s="14" t="s">
        <v>598</v>
      </c>
      <c r="ER135" s="14" t="s">
        <v>598</v>
      </c>
      <c r="ES135" s="14" t="s">
        <v>598</v>
      </c>
      <c r="ET135" s="14">
        <v>89</v>
      </c>
      <c r="EZ135" s="14">
        <v>89</v>
      </c>
      <c r="FA135" s="14">
        <v>22</v>
      </c>
      <c r="FG135" s="14">
        <v>22</v>
      </c>
      <c r="FN135" s="14">
        <v>0</v>
      </c>
      <c r="FU135" s="14">
        <v>0</v>
      </c>
      <c r="GB135" s="14">
        <v>0</v>
      </c>
      <c r="GI135" s="14">
        <v>0</v>
      </c>
      <c r="GP135" s="14">
        <v>0</v>
      </c>
      <c r="GX135" s="14">
        <v>0</v>
      </c>
      <c r="GY135" s="14">
        <v>111</v>
      </c>
      <c r="GZ135" s="14">
        <v>0</v>
      </c>
      <c r="HA135" s="14">
        <v>0</v>
      </c>
      <c r="HB135" s="14">
        <v>0</v>
      </c>
      <c r="HC135" s="14">
        <v>0</v>
      </c>
      <c r="HD135" s="14">
        <v>0</v>
      </c>
      <c r="HE135" s="14">
        <v>111</v>
      </c>
      <c r="HL135" s="14">
        <v>0</v>
      </c>
      <c r="HM135" s="14">
        <v>111</v>
      </c>
      <c r="HS135" s="14">
        <v>111</v>
      </c>
      <c r="HZ135" s="14">
        <v>0</v>
      </c>
      <c r="IG135" s="14">
        <v>0</v>
      </c>
      <c r="IN135" s="14">
        <v>0</v>
      </c>
      <c r="IO135" s="14">
        <v>111</v>
      </c>
      <c r="IP135" s="14">
        <v>0</v>
      </c>
      <c r="IQ135" s="14">
        <v>0</v>
      </c>
      <c r="IR135" s="14">
        <v>0</v>
      </c>
      <c r="IS135" s="14">
        <v>0</v>
      </c>
      <c r="IT135" s="14">
        <v>0</v>
      </c>
      <c r="IU135" s="14">
        <v>111</v>
      </c>
      <c r="IW135" s="14">
        <v>100</v>
      </c>
      <c r="JA135" s="14">
        <v>3</v>
      </c>
      <c r="JB135" s="14">
        <v>3</v>
      </c>
      <c r="JC135" s="14">
        <v>2</v>
      </c>
      <c r="JD135" s="14" t="s">
        <v>600</v>
      </c>
      <c r="NG135" s="14" t="s">
        <v>601</v>
      </c>
      <c r="NH135" s="14">
        <v>89</v>
      </c>
      <c r="NN135" s="14">
        <v>89</v>
      </c>
      <c r="NO135" s="14">
        <v>22</v>
      </c>
      <c r="NU135" s="14">
        <v>22</v>
      </c>
      <c r="OB135" s="14">
        <v>0</v>
      </c>
      <c r="OI135" s="14">
        <v>0</v>
      </c>
      <c r="OP135" s="14">
        <v>0</v>
      </c>
      <c r="OW135" s="14">
        <v>0</v>
      </c>
      <c r="PD135" s="14">
        <v>0</v>
      </c>
      <c r="PL135" s="14">
        <v>0</v>
      </c>
      <c r="PM135" s="14">
        <v>111</v>
      </c>
      <c r="PN135" s="14">
        <v>0</v>
      </c>
      <c r="PO135" s="14">
        <v>0</v>
      </c>
      <c r="PP135" s="14">
        <v>0</v>
      </c>
      <c r="PQ135" s="14">
        <v>0</v>
      </c>
      <c r="PR135" s="14">
        <v>0</v>
      </c>
      <c r="PS135" s="14">
        <v>111</v>
      </c>
      <c r="PT135" s="14">
        <v>111</v>
      </c>
      <c r="PZ135" s="14">
        <v>111</v>
      </c>
      <c r="QG135" s="14">
        <v>0</v>
      </c>
      <c r="QN135" s="14">
        <v>0</v>
      </c>
      <c r="QU135" s="14">
        <v>0</v>
      </c>
      <c r="RB135" s="14">
        <v>0</v>
      </c>
      <c r="RC135" s="14">
        <v>111</v>
      </c>
      <c r="RD135" s="14">
        <v>0</v>
      </c>
      <c r="RE135" s="14">
        <v>0</v>
      </c>
      <c r="RF135" s="14">
        <v>0</v>
      </c>
      <c r="RG135" s="14">
        <v>0</v>
      </c>
      <c r="RH135" s="14">
        <v>0</v>
      </c>
      <c r="RI135" s="14">
        <v>111</v>
      </c>
      <c r="RJ135" s="14" t="s">
        <v>602</v>
      </c>
      <c r="VM135" s="14" t="s">
        <v>603</v>
      </c>
      <c r="ZP135" s="14" t="s">
        <v>604</v>
      </c>
      <c r="ADS135" s="14" t="s">
        <v>605</v>
      </c>
    </row>
    <row r="136" spans="1:799" x14ac:dyDescent="0.25">
      <c r="A136" s="14">
        <v>163</v>
      </c>
      <c r="B136" s="14" t="s">
        <v>889</v>
      </c>
      <c r="C136" s="16">
        <v>42780</v>
      </c>
      <c r="D136" s="14" t="s">
        <v>1282</v>
      </c>
      <c r="E136" s="14" t="s">
        <v>1283</v>
      </c>
      <c r="F136" s="14" t="str">
        <f>VLOOKUP(MID(H136,SEARCH("@",H136,1),LEN(H136)-SEARCH("@",H136,1)+1),[2]Sheet1!$D:$F,3,FALSE)</f>
        <v>M231</v>
      </c>
      <c r="G136" s="14" t="s">
        <v>1060</v>
      </c>
      <c r="H136" s="14" t="s">
        <v>1284</v>
      </c>
      <c r="I136" s="14">
        <v>642078099102</v>
      </c>
      <c r="J136" s="14" t="s">
        <v>611</v>
      </c>
      <c r="K136" s="14" t="s">
        <v>596</v>
      </c>
      <c r="M136" s="14">
        <v>1</v>
      </c>
      <c r="P136" s="14">
        <v>0</v>
      </c>
      <c r="Q136" s="14">
        <v>0</v>
      </c>
      <c r="R136" s="14">
        <v>212</v>
      </c>
      <c r="S136" s="14">
        <v>0</v>
      </c>
      <c r="T136" s="14">
        <v>268</v>
      </c>
      <c r="U136" s="14">
        <v>0</v>
      </c>
      <c r="V136" s="14">
        <v>480</v>
      </c>
      <c r="W136" s="14">
        <v>2412</v>
      </c>
      <c r="X136" s="14">
        <v>1318</v>
      </c>
      <c r="Y136" s="14">
        <v>869</v>
      </c>
      <c r="Z136" s="14">
        <v>131</v>
      </c>
      <c r="AA136" s="14">
        <v>161</v>
      </c>
      <c r="AB136" s="14">
        <v>0</v>
      </c>
      <c r="AC136" s="14">
        <v>4891</v>
      </c>
      <c r="AD136" s="14">
        <v>1118</v>
      </c>
      <c r="AE136" s="14">
        <v>275</v>
      </c>
      <c r="AF136" s="14">
        <v>0</v>
      </c>
      <c r="AG136" s="14">
        <v>0</v>
      </c>
      <c r="AH136" s="14">
        <v>0</v>
      </c>
      <c r="AI136" s="14">
        <v>60</v>
      </c>
      <c r="AJ136" s="14">
        <v>1453</v>
      </c>
      <c r="AK136" s="14">
        <v>0</v>
      </c>
      <c r="AL136" s="14">
        <v>57</v>
      </c>
      <c r="AM136" s="14">
        <v>895</v>
      </c>
      <c r="AO136" s="14">
        <v>570</v>
      </c>
      <c r="AQ136" s="14">
        <v>1522</v>
      </c>
      <c r="AX136" s="14">
        <v>0</v>
      </c>
      <c r="BE136" s="14">
        <v>0</v>
      </c>
      <c r="BF136" s="14">
        <v>3530</v>
      </c>
      <c r="BG136" s="14">
        <v>1650</v>
      </c>
      <c r="BH136" s="14">
        <v>1976</v>
      </c>
      <c r="BI136" s="14">
        <v>131</v>
      </c>
      <c r="BJ136" s="14">
        <v>999</v>
      </c>
      <c r="BK136" s="14">
        <v>60</v>
      </c>
      <c r="BL136" s="14">
        <v>8346</v>
      </c>
      <c r="BO136" s="14">
        <v>2</v>
      </c>
      <c r="BQ136" s="14">
        <v>1</v>
      </c>
      <c r="BS136" s="14">
        <v>3</v>
      </c>
      <c r="BT136" s="14">
        <v>6</v>
      </c>
      <c r="BU136" s="14">
        <v>11</v>
      </c>
      <c r="BV136" s="14">
        <v>3</v>
      </c>
      <c r="BW136" s="14">
        <v>1</v>
      </c>
      <c r="BX136" s="14">
        <v>2</v>
      </c>
      <c r="BZ136" s="14">
        <v>23</v>
      </c>
      <c r="CA136" s="14">
        <v>2</v>
      </c>
      <c r="CB136" s="14">
        <v>3</v>
      </c>
      <c r="CF136" s="14">
        <v>1</v>
      </c>
      <c r="CG136" s="14">
        <v>6</v>
      </c>
      <c r="CI136" s="14">
        <v>1</v>
      </c>
      <c r="CJ136" s="14">
        <v>7</v>
      </c>
      <c r="CL136" s="14">
        <v>1</v>
      </c>
      <c r="CN136" s="14">
        <v>9</v>
      </c>
      <c r="CU136" s="14">
        <v>0</v>
      </c>
      <c r="DB136" s="14">
        <v>0</v>
      </c>
      <c r="DC136" s="14">
        <v>8</v>
      </c>
      <c r="DD136" s="14">
        <v>15</v>
      </c>
      <c r="DE136" s="14">
        <v>12</v>
      </c>
      <c r="DF136" s="14">
        <v>1</v>
      </c>
      <c r="DG136" s="14">
        <v>4</v>
      </c>
      <c r="DH136" s="14">
        <v>1</v>
      </c>
      <c r="DI136" s="14">
        <v>41</v>
      </c>
      <c r="DJ136" s="14" t="s">
        <v>598</v>
      </c>
      <c r="DK136" s="14" t="s">
        <v>598</v>
      </c>
      <c r="DL136" s="14" t="s">
        <v>597</v>
      </c>
      <c r="DM136" s="14" t="s">
        <v>598</v>
      </c>
      <c r="DN136" s="14" t="s">
        <v>597</v>
      </c>
      <c r="DO136" s="14" t="s">
        <v>598</v>
      </c>
      <c r="DP136" s="14" t="s">
        <v>597</v>
      </c>
      <c r="DQ136" s="14" t="s">
        <v>597</v>
      </c>
      <c r="DR136" s="14" t="s">
        <v>597</v>
      </c>
      <c r="DS136" s="14" t="s">
        <v>597</v>
      </c>
      <c r="DT136" s="14" t="s">
        <v>597</v>
      </c>
      <c r="DU136" s="14" t="s">
        <v>598</v>
      </c>
      <c r="DV136" s="14" t="s">
        <v>597</v>
      </c>
      <c r="DW136" s="14" t="s">
        <v>597</v>
      </c>
      <c r="DX136" s="14" t="s">
        <v>598</v>
      </c>
      <c r="DY136" s="14" t="s">
        <v>598</v>
      </c>
      <c r="DZ136" s="14" t="s">
        <v>598</v>
      </c>
      <c r="EA136" s="14" t="s">
        <v>597</v>
      </c>
      <c r="EB136" s="14" t="s">
        <v>598</v>
      </c>
      <c r="EC136" s="14" t="s">
        <v>597</v>
      </c>
      <c r="ED136" s="14" t="s">
        <v>597</v>
      </c>
      <c r="EE136" s="14" t="s">
        <v>598</v>
      </c>
      <c r="EF136" s="14" t="s">
        <v>597</v>
      </c>
      <c r="EG136" s="14" t="s">
        <v>598</v>
      </c>
      <c r="EH136" s="14" t="s">
        <v>598</v>
      </c>
      <c r="EI136" s="14" t="s">
        <v>598</v>
      </c>
      <c r="EJ136" s="14" t="s">
        <v>598</v>
      </c>
      <c r="EK136" s="14" t="s">
        <v>598</v>
      </c>
      <c r="EL136" s="14" t="s">
        <v>598</v>
      </c>
      <c r="EM136" s="14" t="s">
        <v>598</v>
      </c>
      <c r="EN136" s="14" t="s">
        <v>598</v>
      </c>
      <c r="EO136" s="14" t="s">
        <v>598</v>
      </c>
      <c r="EP136" s="14" t="s">
        <v>598</v>
      </c>
      <c r="EQ136" s="14" t="s">
        <v>598</v>
      </c>
      <c r="ER136" s="14" t="s">
        <v>598</v>
      </c>
      <c r="ES136" s="14" t="s">
        <v>598</v>
      </c>
      <c r="ET136" s="14">
        <v>2731</v>
      </c>
      <c r="EU136" s="14">
        <v>594</v>
      </c>
      <c r="EV136" s="14">
        <v>653</v>
      </c>
      <c r="EX136" s="14">
        <v>531</v>
      </c>
      <c r="EZ136" s="14">
        <v>4509</v>
      </c>
      <c r="FA136" s="14">
        <v>281</v>
      </c>
      <c r="FB136" s="14">
        <v>734</v>
      </c>
      <c r="FC136" s="14">
        <v>1053</v>
      </c>
      <c r="FE136" s="14">
        <v>290</v>
      </c>
      <c r="FF136" s="14">
        <v>60</v>
      </c>
      <c r="FG136" s="14">
        <v>2418</v>
      </c>
      <c r="FH136" s="14">
        <v>91</v>
      </c>
      <c r="FI136" s="14">
        <v>270</v>
      </c>
      <c r="FK136" s="14">
        <v>131</v>
      </c>
      <c r="FN136" s="14">
        <v>492</v>
      </c>
      <c r="FO136" s="14">
        <v>9</v>
      </c>
      <c r="FP136" s="14">
        <v>0</v>
      </c>
      <c r="FQ136" s="14">
        <v>271</v>
      </c>
      <c r="FS136" s="14">
        <v>45</v>
      </c>
      <c r="FU136" s="14">
        <v>325</v>
      </c>
      <c r="FZ136" s="14">
        <v>43</v>
      </c>
      <c r="GB136" s="14">
        <v>43</v>
      </c>
      <c r="GC136" s="14">
        <v>161</v>
      </c>
      <c r="GI136" s="14">
        <v>161</v>
      </c>
      <c r="GP136" s="14">
        <v>0</v>
      </c>
      <c r="GQ136" s="14" t="s">
        <v>1285</v>
      </c>
      <c r="GR136" s="14">
        <v>257</v>
      </c>
      <c r="GS136" s="14">
        <v>52</v>
      </c>
      <c r="GV136" s="14">
        <v>91</v>
      </c>
      <c r="GX136" s="14">
        <v>400</v>
      </c>
      <c r="GY136" s="14">
        <v>3530</v>
      </c>
      <c r="GZ136" s="14">
        <v>1650</v>
      </c>
      <c r="HA136" s="14">
        <v>1977</v>
      </c>
      <c r="HB136" s="14">
        <v>131</v>
      </c>
      <c r="HC136" s="14">
        <v>1000</v>
      </c>
      <c r="HD136" s="14">
        <v>60</v>
      </c>
      <c r="HE136" s="14">
        <v>8348</v>
      </c>
      <c r="HF136" s="14">
        <v>185</v>
      </c>
      <c r="HG136" s="14">
        <v>509</v>
      </c>
      <c r="HH136" s="14">
        <v>100</v>
      </c>
      <c r="HI136" s="14">
        <v>131</v>
      </c>
      <c r="HJ136" s="14">
        <v>292</v>
      </c>
      <c r="HK136" s="14">
        <v>60</v>
      </c>
      <c r="HL136" s="14">
        <v>1277</v>
      </c>
      <c r="HM136" s="14">
        <v>2185</v>
      </c>
      <c r="HN136" s="14">
        <v>1040</v>
      </c>
      <c r="HO136" s="14">
        <v>1834</v>
      </c>
      <c r="HQ136" s="14">
        <v>547</v>
      </c>
      <c r="HS136" s="14">
        <v>5606</v>
      </c>
      <c r="HT136" s="14">
        <v>1160</v>
      </c>
      <c r="HU136" s="14">
        <v>100</v>
      </c>
      <c r="HV136" s="14">
        <v>43</v>
      </c>
      <c r="HX136" s="14">
        <v>159</v>
      </c>
      <c r="HZ136" s="14">
        <v>1462</v>
      </c>
      <c r="IG136" s="14">
        <v>0</v>
      </c>
      <c r="IN136" s="14">
        <v>0</v>
      </c>
      <c r="IO136" s="14">
        <v>3530</v>
      </c>
      <c r="IP136" s="14">
        <v>1649</v>
      </c>
      <c r="IQ136" s="14">
        <v>1977</v>
      </c>
      <c r="IR136" s="14">
        <v>131</v>
      </c>
      <c r="IS136" s="14">
        <v>998</v>
      </c>
      <c r="IT136" s="14">
        <v>60</v>
      </c>
      <c r="IU136" s="14">
        <v>8345</v>
      </c>
      <c r="IX136" s="14">
        <v>100</v>
      </c>
      <c r="JA136" s="14">
        <v>3</v>
      </c>
      <c r="JB136" s="14">
        <v>3</v>
      </c>
      <c r="JC136" s="14">
        <v>1</v>
      </c>
      <c r="JD136" s="14" t="s">
        <v>600</v>
      </c>
      <c r="JG136" s="14">
        <v>112</v>
      </c>
      <c r="JI136" s="14">
        <v>107</v>
      </c>
      <c r="JK136" s="14">
        <v>219</v>
      </c>
      <c r="JN136" s="14">
        <v>100</v>
      </c>
      <c r="JP136" s="14">
        <v>106</v>
      </c>
      <c r="JR136" s="14">
        <v>206</v>
      </c>
      <c r="JY136" s="14">
        <v>0</v>
      </c>
      <c r="KD136" s="14">
        <v>45</v>
      </c>
      <c r="KF136" s="14">
        <v>45</v>
      </c>
      <c r="KM136" s="14">
        <v>0</v>
      </c>
      <c r="KT136" s="14">
        <v>0</v>
      </c>
      <c r="LA136" s="14">
        <v>0</v>
      </c>
      <c r="LB136" s="14" t="s">
        <v>1286</v>
      </c>
      <c r="LG136" s="14">
        <v>10</v>
      </c>
      <c r="LI136" s="14">
        <v>10</v>
      </c>
      <c r="LJ136" s="14">
        <v>0</v>
      </c>
      <c r="LK136" s="14">
        <v>0</v>
      </c>
      <c r="LL136" s="14">
        <v>212</v>
      </c>
      <c r="LM136" s="14">
        <v>0</v>
      </c>
      <c r="LN136" s="14">
        <v>268</v>
      </c>
      <c r="LO136" s="14">
        <v>0</v>
      </c>
      <c r="LP136" s="14">
        <v>480</v>
      </c>
      <c r="LS136" s="14">
        <v>112</v>
      </c>
      <c r="LU136" s="14">
        <v>112</v>
      </c>
      <c r="LW136" s="14">
        <v>224</v>
      </c>
      <c r="LZ136" s="14">
        <v>100</v>
      </c>
      <c r="MB136" s="14">
        <v>106</v>
      </c>
      <c r="MD136" s="14">
        <v>206</v>
      </c>
      <c r="MI136" s="14">
        <v>50</v>
      </c>
      <c r="MK136" s="14">
        <v>50</v>
      </c>
      <c r="MR136" s="14">
        <v>0</v>
      </c>
      <c r="MY136" s="14">
        <v>0</v>
      </c>
      <c r="MZ136" s="14">
        <v>0</v>
      </c>
      <c r="NA136" s="14">
        <v>0</v>
      </c>
      <c r="NB136" s="14">
        <v>212</v>
      </c>
      <c r="NC136" s="14">
        <v>0</v>
      </c>
      <c r="ND136" s="14">
        <v>268</v>
      </c>
      <c r="NE136" s="14">
        <v>0</v>
      </c>
      <c r="NF136" s="14">
        <v>480</v>
      </c>
      <c r="NG136" s="14" t="s">
        <v>601</v>
      </c>
      <c r="NH136" s="14">
        <v>1736</v>
      </c>
      <c r="NI136" s="14">
        <v>437</v>
      </c>
      <c r="NJ136" s="14">
        <v>62</v>
      </c>
      <c r="NL136" s="14">
        <v>6</v>
      </c>
      <c r="NN136" s="14">
        <v>2241</v>
      </c>
      <c r="NO136" s="14">
        <v>251</v>
      </c>
      <c r="NP136" s="14">
        <v>734</v>
      </c>
      <c r="NQ136" s="14">
        <v>807</v>
      </c>
      <c r="NS136" s="14">
        <v>154</v>
      </c>
      <c r="NU136" s="14">
        <v>1946</v>
      </c>
      <c r="NV136" s="14">
        <v>16</v>
      </c>
      <c r="NW136" s="14">
        <v>147</v>
      </c>
      <c r="NY136" s="14">
        <v>131</v>
      </c>
      <c r="OB136" s="14">
        <v>294</v>
      </c>
      <c r="OC136" s="14">
        <v>9</v>
      </c>
      <c r="OI136" s="14">
        <v>9</v>
      </c>
      <c r="OP136" s="14">
        <v>0</v>
      </c>
      <c r="OQ136" s="14">
        <v>161</v>
      </c>
      <c r="OW136" s="14">
        <v>161</v>
      </c>
      <c r="PD136" s="14">
        <v>0</v>
      </c>
      <c r="PE136" s="14" t="s">
        <v>1286</v>
      </c>
      <c r="PF136" s="14">
        <v>239</v>
      </c>
      <c r="PL136" s="14">
        <v>239</v>
      </c>
      <c r="PM136" s="14">
        <v>2412</v>
      </c>
      <c r="PN136" s="14">
        <v>1318</v>
      </c>
      <c r="PO136" s="14">
        <v>869</v>
      </c>
      <c r="PP136" s="14">
        <v>131</v>
      </c>
      <c r="PQ136" s="14">
        <v>160</v>
      </c>
      <c r="PR136" s="14">
        <v>0</v>
      </c>
      <c r="PS136" s="14">
        <v>4890</v>
      </c>
      <c r="PT136" s="14">
        <v>2035</v>
      </c>
      <c r="PU136" s="14">
        <v>931</v>
      </c>
      <c r="PV136" s="14">
        <v>869</v>
      </c>
      <c r="PX136" s="14">
        <v>161</v>
      </c>
      <c r="PZ136" s="14">
        <v>3996</v>
      </c>
      <c r="QA136" s="14">
        <v>80</v>
      </c>
      <c r="QB136" s="14">
        <v>386</v>
      </c>
      <c r="QD136" s="14">
        <v>131</v>
      </c>
      <c r="QG136" s="14">
        <v>597</v>
      </c>
      <c r="QH136" s="14">
        <v>297</v>
      </c>
      <c r="QN136" s="14">
        <v>297</v>
      </c>
      <c r="QU136" s="14">
        <v>0</v>
      </c>
      <c r="RB136" s="14">
        <v>0</v>
      </c>
      <c r="RC136" s="14">
        <v>2412</v>
      </c>
      <c r="RD136" s="14">
        <v>1317</v>
      </c>
      <c r="RE136" s="14">
        <v>869</v>
      </c>
      <c r="RF136" s="14">
        <v>131</v>
      </c>
      <c r="RG136" s="14">
        <v>161</v>
      </c>
      <c r="RH136" s="14">
        <v>0</v>
      </c>
      <c r="RI136" s="14">
        <v>4890</v>
      </c>
      <c r="RJ136" s="14" t="s">
        <v>602</v>
      </c>
      <c r="RK136" s="14">
        <v>995</v>
      </c>
      <c r="RL136" s="14">
        <v>100</v>
      </c>
      <c r="RQ136" s="14">
        <v>1095</v>
      </c>
      <c r="RR136" s="14">
        <v>30</v>
      </c>
      <c r="RW136" s="14">
        <v>60</v>
      </c>
      <c r="RX136" s="14">
        <v>90</v>
      </c>
      <c r="RY136" s="14">
        <v>75</v>
      </c>
      <c r="RZ136" s="14">
        <v>123</v>
      </c>
      <c r="SE136" s="14">
        <v>198</v>
      </c>
      <c r="SL136" s="14">
        <v>0</v>
      </c>
      <c r="SS136" s="14">
        <v>0</v>
      </c>
      <c r="SZ136" s="14">
        <v>0</v>
      </c>
      <c r="TG136" s="14">
        <v>0</v>
      </c>
      <c r="TH136" s="14" t="s">
        <v>1286</v>
      </c>
      <c r="TI136" s="14">
        <v>18</v>
      </c>
      <c r="TJ136" s="14">
        <v>52</v>
      </c>
      <c r="TO136" s="14">
        <v>70</v>
      </c>
      <c r="TP136" s="14">
        <v>1118</v>
      </c>
      <c r="TQ136" s="14">
        <v>275</v>
      </c>
      <c r="TR136" s="14">
        <v>0</v>
      </c>
      <c r="TS136" s="14">
        <v>0</v>
      </c>
      <c r="TT136" s="14">
        <v>0</v>
      </c>
      <c r="TU136" s="14">
        <v>60</v>
      </c>
      <c r="TV136" s="14">
        <v>1453</v>
      </c>
      <c r="TW136" s="14">
        <v>150</v>
      </c>
      <c r="TX136" s="14">
        <v>52</v>
      </c>
      <c r="UC136" s="14">
        <v>202</v>
      </c>
      <c r="UD136" s="14">
        <v>105</v>
      </c>
      <c r="UE136" s="14">
        <v>123</v>
      </c>
      <c r="UI136" s="14">
        <v>60</v>
      </c>
      <c r="UJ136" s="14">
        <v>288</v>
      </c>
      <c r="UK136" s="14">
        <v>863</v>
      </c>
      <c r="UL136" s="14">
        <v>100</v>
      </c>
      <c r="UQ136" s="14">
        <v>963</v>
      </c>
      <c r="UX136" s="14">
        <v>0</v>
      </c>
      <c r="VE136" s="14">
        <v>0</v>
      </c>
      <c r="VF136" s="14">
        <v>1118</v>
      </c>
      <c r="VG136" s="14">
        <v>275</v>
      </c>
      <c r="VH136" s="14">
        <v>0</v>
      </c>
      <c r="VI136" s="14">
        <v>0</v>
      </c>
      <c r="VJ136" s="14">
        <v>0</v>
      </c>
      <c r="VK136" s="14">
        <v>60</v>
      </c>
      <c r="VL136" s="14">
        <v>1453</v>
      </c>
      <c r="VM136" s="14" t="s">
        <v>603</v>
      </c>
      <c r="VO136" s="14">
        <v>57</v>
      </c>
      <c r="VP136" s="14">
        <v>479</v>
      </c>
      <c r="VR136" s="14">
        <v>417</v>
      </c>
      <c r="VT136" s="14">
        <v>953</v>
      </c>
      <c r="VW136" s="14">
        <v>146</v>
      </c>
      <c r="VY136" s="14">
        <v>30</v>
      </c>
      <c r="WA136" s="14">
        <v>176</v>
      </c>
      <c r="WH136" s="14">
        <v>0</v>
      </c>
      <c r="WK136" s="14">
        <v>271</v>
      </c>
      <c r="WO136" s="14">
        <v>271</v>
      </c>
      <c r="WT136" s="14">
        <v>43</v>
      </c>
      <c r="WV136" s="14">
        <v>43</v>
      </c>
      <c r="XC136" s="14">
        <v>0</v>
      </c>
      <c r="XJ136" s="14">
        <v>0</v>
      </c>
      <c r="XP136" s="14">
        <v>81</v>
      </c>
      <c r="XR136" s="14">
        <v>81</v>
      </c>
      <c r="XS136" s="14">
        <v>0</v>
      </c>
      <c r="XT136" s="14">
        <v>57</v>
      </c>
      <c r="XU136" s="14">
        <v>896</v>
      </c>
      <c r="XV136" s="14">
        <v>0</v>
      </c>
      <c r="XW136" s="14">
        <v>571</v>
      </c>
      <c r="XX136" s="14">
        <v>0</v>
      </c>
      <c r="XY136" s="14">
        <v>1524</v>
      </c>
      <c r="YA136" s="14">
        <v>57</v>
      </c>
      <c r="YB136" s="14">
        <v>853</v>
      </c>
      <c r="YD136" s="14">
        <v>274</v>
      </c>
      <c r="YF136" s="14">
        <v>1184</v>
      </c>
      <c r="YK136" s="14">
        <v>187</v>
      </c>
      <c r="YM136" s="14">
        <v>187</v>
      </c>
      <c r="YP136" s="14">
        <v>43</v>
      </c>
      <c r="YR136" s="14">
        <v>109</v>
      </c>
      <c r="YT136" s="14">
        <v>152</v>
      </c>
      <c r="ZA136" s="14">
        <v>0</v>
      </c>
      <c r="ZH136" s="14">
        <v>0</v>
      </c>
      <c r="ZI136" s="14">
        <v>0</v>
      </c>
      <c r="ZJ136" s="14">
        <v>57</v>
      </c>
      <c r="ZK136" s="14">
        <v>896</v>
      </c>
      <c r="ZL136" s="14">
        <v>0</v>
      </c>
      <c r="ZM136" s="14">
        <v>570</v>
      </c>
      <c r="ZN136" s="14">
        <v>0</v>
      </c>
      <c r="ZO136" s="14">
        <v>1523</v>
      </c>
      <c r="ZP136" s="14" t="s">
        <v>604</v>
      </c>
      <c r="ADS136" s="14" t="s">
        <v>605</v>
      </c>
    </row>
    <row r="137" spans="1:799" x14ac:dyDescent="0.25">
      <c r="A137" s="14">
        <v>186</v>
      </c>
      <c r="B137" s="14" t="s">
        <v>889</v>
      </c>
      <c r="C137" s="16">
        <v>42774.374305555553</v>
      </c>
      <c r="D137" s="14" t="s">
        <v>1287</v>
      </c>
      <c r="E137" s="14" t="s">
        <v>1288</v>
      </c>
      <c r="F137" s="14" t="str">
        <f>VLOOKUP(MID(H137,SEARCH("@",H137,1),LEN(H137)-SEARCH("@",H137,1)+1),[2]Sheet1!$D:$F,3,FALSE)</f>
        <v>M781</v>
      </c>
      <c r="G137" s="14" t="s">
        <v>652</v>
      </c>
      <c r="H137" s="14" t="s">
        <v>1289</v>
      </c>
      <c r="I137" s="14">
        <v>4940411667860</v>
      </c>
      <c r="J137" s="14" t="s">
        <v>894</v>
      </c>
      <c r="K137" s="14" t="s">
        <v>732</v>
      </c>
      <c r="M137" s="14">
        <v>1</v>
      </c>
      <c r="V137" s="14">
        <v>0</v>
      </c>
      <c r="W137" s="14">
        <v>300</v>
      </c>
      <c r="Z137" s="14">
        <v>200</v>
      </c>
      <c r="AC137" s="14">
        <v>500</v>
      </c>
      <c r="AJ137" s="14">
        <v>0</v>
      </c>
      <c r="AQ137" s="14">
        <v>0</v>
      </c>
      <c r="AX137" s="14">
        <v>0</v>
      </c>
      <c r="BE137" s="14">
        <v>0</v>
      </c>
      <c r="BF137" s="14">
        <v>300</v>
      </c>
      <c r="BG137" s="14">
        <v>0</v>
      </c>
      <c r="BH137" s="14">
        <v>0</v>
      </c>
      <c r="BI137" s="14">
        <v>200</v>
      </c>
      <c r="BJ137" s="14">
        <v>0</v>
      </c>
      <c r="BK137" s="14">
        <v>0</v>
      </c>
      <c r="BL137" s="14">
        <v>500</v>
      </c>
      <c r="BS137" s="14">
        <v>0</v>
      </c>
      <c r="BT137" s="14">
        <v>1</v>
      </c>
      <c r="BW137" s="14">
        <v>2</v>
      </c>
      <c r="BZ137" s="14">
        <v>3</v>
      </c>
      <c r="CG137" s="14">
        <v>0</v>
      </c>
      <c r="CN137" s="14">
        <v>0</v>
      </c>
      <c r="CU137" s="14">
        <v>0</v>
      </c>
      <c r="DB137" s="14">
        <v>0</v>
      </c>
      <c r="DC137" s="14">
        <v>1</v>
      </c>
      <c r="DD137" s="14">
        <v>0</v>
      </c>
      <c r="DE137" s="14">
        <v>0</v>
      </c>
      <c r="DF137" s="14">
        <v>2</v>
      </c>
      <c r="DG137" s="14">
        <v>0</v>
      </c>
      <c r="DH137" s="14">
        <v>0</v>
      </c>
      <c r="DI137" s="14">
        <v>3</v>
      </c>
      <c r="DJ137" s="14" t="s">
        <v>598</v>
      </c>
      <c r="DK137" s="14" t="s">
        <v>598</v>
      </c>
      <c r="DL137" s="14" t="s">
        <v>598</v>
      </c>
      <c r="DM137" s="14" t="s">
        <v>598</v>
      </c>
      <c r="DN137" s="14" t="s">
        <v>598</v>
      </c>
      <c r="DO137" s="14" t="s">
        <v>598</v>
      </c>
      <c r="DP137" s="14" t="s">
        <v>597</v>
      </c>
      <c r="DQ137" s="14" t="s">
        <v>598</v>
      </c>
      <c r="DR137" s="14" t="s">
        <v>598</v>
      </c>
      <c r="DS137" s="14" t="s">
        <v>597</v>
      </c>
      <c r="DT137" s="14" t="s">
        <v>598</v>
      </c>
      <c r="DU137" s="14" t="s">
        <v>598</v>
      </c>
      <c r="DV137" s="14" t="s">
        <v>598</v>
      </c>
      <c r="DW137" s="14" t="s">
        <v>598</v>
      </c>
      <c r="DX137" s="14" t="s">
        <v>598</v>
      </c>
      <c r="DY137" s="14" t="s">
        <v>598</v>
      </c>
      <c r="DZ137" s="14" t="s">
        <v>598</v>
      </c>
      <c r="EA137" s="14" t="s">
        <v>598</v>
      </c>
      <c r="EB137" s="14" t="s">
        <v>598</v>
      </c>
      <c r="EC137" s="14" t="s">
        <v>598</v>
      </c>
      <c r="ED137" s="14" t="s">
        <v>598</v>
      </c>
      <c r="EE137" s="14" t="s">
        <v>598</v>
      </c>
      <c r="EF137" s="14" t="s">
        <v>598</v>
      </c>
      <c r="EG137" s="14" t="s">
        <v>598</v>
      </c>
      <c r="EH137" s="14" t="s">
        <v>598</v>
      </c>
      <c r="EI137" s="14" t="s">
        <v>598</v>
      </c>
      <c r="EJ137" s="14" t="s">
        <v>598</v>
      </c>
      <c r="EK137" s="14" t="s">
        <v>598</v>
      </c>
      <c r="EL137" s="14" t="s">
        <v>598</v>
      </c>
      <c r="EM137" s="14" t="s">
        <v>598</v>
      </c>
      <c r="EN137" s="14" t="s">
        <v>598</v>
      </c>
      <c r="EO137" s="14" t="s">
        <v>598</v>
      </c>
      <c r="EP137" s="14" t="s">
        <v>598</v>
      </c>
      <c r="EQ137" s="14" t="s">
        <v>598</v>
      </c>
      <c r="ER137" s="14" t="s">
        <v>598</v>
      </c>
      <c r="ES137" s="14" t="s">
        <v>598</v>
      </c>
      <c r="ET137" s="14">
        <v>300</v>
      </c>
      <c r="EW137" s="14">
        <v>100</v>
      </c>
      <c r="EZ137" s="14">
        <v>400</v>
      </c>
      <c r="FG137" s="14">
        <v>0</v>
      </c>
      <c r="FN137" s="14">
        <v>0</v>
      </c>
      <c r="FU137" s="14">
        <v>0</v>
      </c>
      <c r="GB137" s="14">
        <v>0</v>
      </c>
      <c r="GI137" s="14">
        <v>0</v>
      </c>
      <c r="GM137" s="14">
        <v>100</v>
      </c>
      <c r="GP137" s="14">
        <v>100</v>
      </c>
      <c r="GX137" s="14">
        <v>0</v>
      </c>
      <c r="GY137" s="14">
        <v>300</v>
      </c>
      <c r="GZ137" s="14">
        <v>0</v>
      </c>
      <c r="HA137" s="14">
        <v>0</v>
      </c>
      <c r="HB137" s="14">
        <v>200</v>
      </c>
      <c r="HC137" s="14">
        <v>0</v>
      </c>
      <c r="HD137" s="14">
        <v>0</v>
      </c>
      <c r="HE137" s="14">
        <v>500</v>
      </c>
      <c r="HL137" s="14">
        <v>0</v>
      </c>
      <c r="HM137" s="14">
        <v>300</v>
      </c>
      <c r="HP137" s="14">
        <v>200</v>
      </c>
      <c r="HS137" s="14">
        <v>500</v>
      </c>
      <c r="HZ137" s="14">
        <v>0</v>
      </c>
      <c r="IG137" s="14">
        <v>0</v>
      </c>
      <c r="IN137" s="14">
        <v>0</v>
      </c>
      <c r="IO137" s="14">
        <v>300</v>
      </c>
      <c r="IP137" s="14">
        <v>0</v>
      </c>
      <c r="IQ137" s="14">
        <v>0</v>
      </c>
      <c r="IR137" s="14">
        <v>200</v>
      </c>
      <c r="IS137" s="14">
        <v>0</v>
      </c>
      <c r="IT137" s="14">
        <v>0</v>
      </c>
      <c r="IU137" s="14">
        <v>500</v>
      </c>
      <c r="IX137" s="14">
        <v>100</v>
      </c>
      <c r="JA137" s="14">
        <v>1</v>
      </c>
      <c r="JB137" s="14">
        <v>3</v>
      </c>
      <c r="JC137" s="14">
        <v>2</v>
      </c>
      <c r="JD137" s="14" t="s">
        <v>600</v>
      </c>
      <c r="NG137" s="14" t="s">
        <v>601</v>
      </c>
      <c r="NH137" s="14">
        <v>300</v>
      </c>
      <c r="NK137" s="14">
        <v>100</v>
      </c>
      <c r="NN137" s="14">
        <v>400</v>
      </c>
      <c r="NU137" s="14">
        <v>0</v>
      </c>
      <c r="OB137" s="14">
        <v>0</v>
      </c>
      <c r="OI137" s="14">
        <v>0</v>
      </c>
      <c r="OP137" s="14">
        <v>0</v>
      </c>
      <c r="OW137" s="14">
        <v>0</v>
      </c>
      <c r="PA137" s="14">
        <v>100</v>
      </c>
      <c r="PD137" s="14">
        <v>100</v>
      </c>
      <c r="PL137" s="14">
        <v>0</v>
      </c>
      <c r="PM137" s="14">
        <v>300</v>
      </c>
      <c r="PN137" s="14">
        <v>0</v>
      </c>
      <c r="PO137" s="14">
        <v>0</v>
      </c>
      <c r="PP137" s="14">
        <v>200</v>
      </c>
      <c r="PQ137" s="14">
        <v>0</v>
      </c>
      <c r="PR137" s="14">
        <v>0</v>
      </c>
      <c r="PS137" s="14">
        <v>500</v>
      </c>
      <c r="PT137" s="14">
        <v>300</v>
      </c>
      <c r="PW137" s="14">
        <v>200</v>
      </c>
      <c r="PZ137" s="14">
        <v>500</v>
      </c>
      <c r="QG137" s="14">
        <v>0</v>
      </c>
      <c r="QN137" s="14">
        <v>0</v>
      </c>
      <c r="QU137" s="14">
        <v>0</v>
      </c>
      <c r="RB137" s="14">
        <v>0</v>
      </c>
      <c r="RC137" s="14">
        <v>300</v>
      </c>
      <c r="RD137" s="14">
        <v>0</v>
      </c>
      <c r="RE137" s="14">
        <v>0</v>
      </c>
      <c r="RF137" s="14">
        <v>200</v>
      </c>
      <c r="RG137" s="14">
        <v>0</v>
      </c>
      <c r="RH137" s="14">
        <v>0</v>
      </c>
      <c r="RI137" s="14">
        <v>500</v>
      </c>
      <c r="RJ137" s="14" t="s">
        <v>602</v>
      </c>
      <c r="VM137" s="14" t="s">
        <v>603</v>
      </c>
      <c r="ZP137" s="14" t="s">
        <v>604</v>
      </c>
      <c r="ADS137" s="14" t="s">
        <v>605</v>
      </c>
    </row>
    <row r="138" spans="1:799" x14ac:dyDescent="0.25">
      <c r="A138" s="14">
        <v>82</v>
      </c>
      <c r="B138" s="14" t="s">
        <v>889</v>
      </c>
      <c r="C138" s="16">
        <v>42747.725694444445</v>
      </c>
      <c r="D138" s="14" t="s">
        <v>1290</v>
      </c>
      <c r="E138" s="14" t="s">
        <v>1291</v>
      </c>
      <c r="F138" s="14" t="str">
        <f>VLOOKUP(MID(H138,SEARCH("@",H138,1),LEN(H138)-SEARCH("@",H138,1)+1),[2]Sheet1!$D:$F,3,FALSE)</f>
        <v>M036</v>
      </c>
      <c r="G138" s="14" t="s">
        <v>1292</v>
      </c>
      <c r="H138" s="14" t="s">
        <v>1293</v>
      </c>
      <c r="I138" s="14">
        <v>7741249666</v>
      </c>
      <c r="J138" s="14" t="s">
        <v>979</v>
      </c>
      <c r="K138" s="14" t="s">
        <v>732</v>
      </c>
      <c r="M138" s="14">
        <v>2</v>
      </c>
      <c r="N138" s="14">
        <v>6</v>
      </c>
      <c r="O138" s="14" t="s">
        <v>1294</v>
      </c>
      <c r="V138" s="14">
        <v>0</v>
      </c>
      <c r="AC138" s="14">
        <v>0</v>
      </c>
      <c r="AJ138" s="14">
        <v>0</v>
      </c>
      <c r="AQ138" s="14">
        <v>0</v>
      </c>
      <c r="AX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S138" s="14">
        <v>0</v>
      </c>
      <c r="BZ138" s="14">
        <v>0</v>
      </c>
      <c r="CG138" s="14">
        <v>0</v>
      </c>
      <c r="CN138" s="14">
        <v>0</v>
      </c>
      <c r="CU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>
        <v>0</v>
      </c>
      <c r="DJ138" s="14" t="s">
        <v>598</v>
      </c>
      <c r="DK138" s="14" t="s">
        <v>598</v>
      </c>
      <c r="DL138" s="14" t="s">
        <v>598</v>
      </c>
      <c r="DM138" s="14" t="s">
        <v>598</v>
      </c>
      <c r="DN138" s="14" t="s">
        <v>598</v>
      </c>
      <c r="DO138" s="14" t="s">
        <v>598</v>
      </c>
      <c r="DP138" s="14" t="s">
        <v>598</v>
      </c>
      <c r="DQ138" s="14" t="s">
        <v>598</v>
      </c>
      <c r="DR138" s="14" t="s">
        <v>598</v>
      </c>
      <c r="DS138" s="14" t="s">
        <v>598</v>
      </c>
      <c r="DT138" s="14" t="s">
        <v>598</v>
      </c>
      <c r="DU138" s="14" t="s">
        <v>598</v>
      </c>
      <c r="DV138" s="14" t="s">
        <v>598</v>
      </c>
      <c r="DW138" s="14" t="s">
        <v>598</v>
      </c>
      <c r="DX138" s="14" t="s">
        <v>598</v>
      </c>
      <c r="DY138" s="14" t="s">
        <v>598</v>
      </c>
      <c r="DZ138" s="14" t="s">
        <v>598</v>
      </c>
      <c r="EA138" s="14" t="s">
        <v>598</v>
      </c>
      <c r="EB138" s="14" t="s">
        <v>598</v>
      </c>
      <c r="EC138" s="14" t="s">
        <v>598</v>
      </c>
      <c r="ED138" s="14" t="s">
        <v>598</v>
      </c>
      <c r="EE138" s="14" t="s">
        <v>598</v>
      </c>
      <c r="EF138" s="14" t="s">
        <v>598</v>
      </c>
      <c r="EG138" s="14" t="s">
        <v>598</v>
      </c>
      <c r="EH138" s="14" t="s">
        <v>598</v>
      </c>
      <c r="EI138" s="14" t="s">
        <v>598</v>
      </c>
      <c r="EJ138" s="14" t="s">
        <v>598</v>
      </c>
      <c r="EK138" s="14" t="s">
        <v>598</v>
      </c>
      <c r="EL138" s="14" t="s">
        <v>598</v>
      </c>
      <c r="EM138" s="14" t="s">
        <v>598</v>
      </c>
      <c r="EN138" s="14" t="s">
        <v>598</v>
      </c>
      <c r="EO138" s="14" t="s">
        <v>598</v>
      </c>
      <c r="EP138" s="14" t="s">
        <v>598</v>
      </c>
      <c r="EQ138" s="14" t="s">
        <v>598</v>
      </c>
      <c r="ER138" s="14" t="s">
        <v>598</v>
      </c>
      <c r="ES138" s="14" t="s">
        <v>598</v>
      </c>
      <c r="EZ138" s="14">
        <v>0</v>
      </c>
      <c r="FG138" s="14">
        <v>0</v>
      </c>
      <c r="FN138" s="14">
        <v>0</v>
      </c>
      <c r="FU138" s="14">
        <v>0</v>
      </c>
      <c r="GB138" s="14">
        <v>0</v>
      </c>
      <c r="GI138" s="14">
        <v>0</v>
      </c>
      <c r="GP138" s="14">
        <v>0</v>
      </c>
      <c r="GX138" s="14">
        <v>0</v>
      </c>
      <c r="GY138" s="14">
        <v>0</v>
      </c>
      <c r="GZ138" s="14">
        <v>0</v>
      </c>
      <c r="HA138" s="14">
        <v>0</v>
      </c>
      <c r="HB138" s="14">
        <v>0</v>
      </c>
      <c r="HC138" s="14">
        <v>0</v>
      </c>
      <c r="HD138" s="14">
        <v>0</v>
      </c>
      <c r="HE138" s="14">
        <v>0</v>
      </c>
      <c r="HL138" s="14">
        <v>0</v>
      </c>
      <c r="HS138" s="14">
        <v>0</v>
      </c>
      <c r="HZ138" s="14">
        <v>0</v>
      </c>
      <c r="IG138" s="14">
        <v>0</v>
      </c>
      <c r="IN138" s="14">
        <v>0</v>
      </c>
      <c r="IO138" s="14">
        <v>0</v>
      </c>
      <c r="IP138" s="14">
        <v>0</v>
      </c>
      <c r="IQ138" s="14">
        <v>0</v>
      </c>
      <c r="IR138" s="14">
        <v>0</v>
      </c>
      <c r="IS138" s="14">
        <v>0</v>
      </c>
      <c r="IT138" s="14">
        <v>0</v>
      </c>
      <c r="IU138" s="14">
        <v>0</v>
      </c>
      <c r="JA138" s="14">
        <v>1</v>
      </c>
      <c r="JB138" s="14">
        <v>3</v>
      </c>
      <c r="JC138" s="14">
        <v>1</v>
      </c>
      <c r="JD138" s="14" t="s">
        <v>600</v>
      </c>
      <c r="NG138" s="14" t="s">
        <v>601</v>
      </c>
      <c r="RJ138" s="14" t="s">
        <v>602</v>
      </c>
      <c r="VM138" s="14" t="s">
        <v>603</v>
      </c>
      <c r="ZP138" s="14" t="s">
        <v>604</v>
      </c>
      <c r="ADS138" s="14" t="s">
        <v>605</v>
      </c>
    </row>
    <row r="139" spans="1:799" x14ac:dyDescent="0.25">
      <c r="A139" s="14">
        <v>201</v>
      </c>
      <c r="B139" s="14" t="s">
        <v>889</v>
      </c>
      <c r="C139" s="16">
        <v>42779.477083333331</v>
      </c>
      <c r="D139" s="14" t="s">
        <v>1295</v>
      </c>
      <c r="E139" s="14" t="s">
        <v>997</v>
      </c>
      <c r="F139" s="14" t="str">
        <f>VLOOKUP(MID(H139,SEARCH("@",H139,1),LEN(H139)-SEARCH("@",H139,1)+1),[2]Sheet1!$D:$F,3,FALSE)</f>
        <v>M710</v>
      </c>
      <c r="G139" s="14" t="s">
        <v>1296</v>
      </c>
      <c r="H139" s="14" t="s">
        <v>1297</v>
      </c>
      <c r="I139" s="14" t="s">
        <v>1298</v>
      </c>
      <c r="J139" s="14" t="s">
        <v>979</v>
      </c>
      <c r="K139" s="14" t="s">
        <v>732</v>
      </c>
      <c r="M139" s="14">
        <v>2</v>
      </c>
      <c r="N139" s="14">
        <v>6</v>
      </c>
      <c r="O139" s="14" t="s">
        <v>1299</v>
      </c>
      <c r="V139" s="14">
        <v>0</v>
      </c>
      <c r="AC139" s="14">
        <v>0</v>
      </c>
      <c r="AJ139" s="14">
        <v>0</v>
      </c>
      <c r="AQ139" s="14">
        <v>0</v>
      </c>
      <c r="AX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S139" s="14">
        <v>0</v>
      </c>
      <c r="BZ139" s="14">
        <v>0</v>
      </c>
      <c r="CG139" s="14">
        <v>0</v>
      </c>
      <c r="CN139" s="14">
        <v>0</v>
      </c>
      <c r="CU139" s="14">
        <v>0</v>
      </c>
      <c r="DB139" s="14">
        <v>0</v>
      </c>
      <c r="DC139" s="14">
        <v>0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>
        <v>0</v>
      </c>
      <c r="DJ139" s="14" t="s">
        <v>598</v>
      </c>
      <c r="DK139" s="14" t="s">
        <v>598</v>
      </c>
      <c r="DL139" s="14" t="s">
        <v>598</v>
      </c>
      <c r="DM139" s="14" t="s">
        <v>598</v>
      </c>
      <c r="DN139" s="14" t="s">
        <v>598</v>
      </c>
      <c r="DO139" s="14" t="s">
        <v>598</v>
      </c>
      <c r="DP139" s="14" t="s">
        <v>598</v>
      </c>
      <c r="DQ139" s="14" t="s">
        <v>598</v>
      </c>
      <c r="DR139" s="14" t="s">
        <v>598</v>
      </c>
      <c r="DS139" s="14" t="s">
        <v>598</v>
      </c>
      <c r="DT139" s="14" t="s">
        <v>598</v>
      </c>
      <c r="DU139" s="14" t="s">
        <v>598</v>
      </c>
      <c r="DV139" s="14" t="s">
        <v>598</v>
      </c>
      <c r="DW139" s="14" t="s">
        <v>598</v>
      </c>
      <c r="DX139" s="14" t="s">
        <v>598</v>
      </c>
      <c r="DY139" s="14" t="s">
        <v>598</v>
      </c>
      <c r="DZ139" s="14" t="s">
        <v>598</v>
      </c>
      <c r="EA139" s="14" t="s">
        <v>598</v>
      </c>
      <c r="EB139" s="14" t="s">
        <v>598</v>
      </c>
      <c r="EC139" s="14" t="s">
        <v>598</v>
      </c>
      <c r="ED139" s="14" t="s">
        <v>598</v>
      </c>
      <c r="EE139" s="14" t="s">
        <v>598</v>
      </c>
      <c r="EF139" s="14" t="s">
        <v>598</v>
      </c>
      <c r="EG139" s="14" t="s">
        <v>598</v>
      </c>
      <c r="EH139" s="14" t="s">
        <v>598</v>
      </c>
      <c r="EI139" s="14" t="s">
        <v>598</v>
      </c>
      <c r="EJ139" s="14" t="s">
        <v>598</v>
      </c>
      <c r="EK139" s="14" t="s">
        <v>598</v>
      </c>
      <c r="EL139" s="14" t="s">
        <v>598</v>
      </c>
      <c r="EM139" s="14" t="s">
        <v>598</v>
      </c>
      <c r="EN139" s="14" t="s">
        <v>598</v>
      </c>
      <c r="EO139" s="14" t="s">
        <v>598</v>
      </c>
      <c r="EP139" s="14" t="s">
        <v>598</v>
      </c>
      <c r="EQ139" s="14" t="s">
        <v>598</v>
      </c>
      <c r="ER139" s="14" t="s">
        <v>598</v>
      </c>
      <c r="ES139" s="14" t="s">
        <v>598</v>
      </c>
      <c r="EZ139" s="14">
        <v>0</v>
      </c>
      <c r="FG139" s="14">
        <v>0</v>
      </c>
      <c r="FN139" s="14">
        <v>0</v>
      </c>
      <c r="FU139" s="14">
        <v>0</v>
      </c>
      <c r="GB139" s="14">
        <v>0</v>
      </c>
      <c r="GI139" s="14">
        <v>0</v>
      </c>
      <c r="GP139" s="14">
        <v>0</v>
      </c>
      <c r="GX139" s="14">
        <v>0</v>
      </c>
      <c r="GY139" s="14">
        <v>0</v>
      </c>
      <c r="GZ139" s="14">
        <v>0</v>
      </c>
      <c r="HA139" s="14">
        <v>0</v>
      </c>
      <c r="HB139" s="14">
        <v>0</v>
      </c>
      <c r="HC139" s="14">
        <v>0</v>
      </c>
      <c r="HD139" s="14">
        <v>0</v>
      </c>
      <c r="HE139" s="14">
        <v>0</v>
      </c>
      <c r="HL139" s="14">
        <v>0</v>
      </c>
      <c r="HS139" s="14">
        <v>0</v>
      </c>
      <c r="HZ139" s="14">
        <v>0</v>
      </c>
      <c r="IG139" s="14">
        <v>0</v>
      </c>
      <c r="IN139" s="14">
        <v>0</v>
      </c>
      <c r="IO139" s="14">
        <v>0</v>
      </c>
      <c r="IP139" s="14">
        <v>0</v>
      </c>
      <c r="IQ139" s="14">
        <v>0</v>
      </c>
      <c r="IR139" s="14">
        <v>0</v>
      </c>
      <c r="IS139" s="14">
        <v>0</v>
      </c>
      <c r="IT139" s="14">
        <v>0</v>
      </c>
      <c r="IU139" s="14">
        <v>0</v>
      </c>
      <c r="JA139" s="14">
        <v>1</v>
      </c>
      <c r="JB139" s="14">
        <v>2</v>
      </c>
      <c r="JC139" s="14">
        <v>1</v>
      </c>
      <c r="JD139" s="14" t="s">
        <v>600</v>
      </c>
      <c r="NG139" s="14" t="s">
        <v>601</v>
      </c>
      <c r="RJ139" s="14" t="s">
        <v>602</v>
      </c>
      <c r="VM139" s="14" t="s">
        <v>603</v>
      </c>
      <c r="ZP139" s="14" t="s">
        <v>604</v>
      </c>
      <c r="ADS139" s="14" t="s">
        <v>605</v>
      </c>
    </row>
    <row r="140" spans="1:799" x14ac:dyDescent="0.25">
      <c r="A140" s="14">
        <v>152</v>
      </c>
      <c r="B140" s="14" t="s">
        <v>889</v>
      </c>
      <c r="C140" s="16">
        <v>42774.670138888891</v>
      </c>
      <c r="D140" s="14" t="s">
        <v>1300</v>
      </c>
      <c r="E140" s="14" t="s">
        <v>1301</v>
      </c>
      <c r="F140" s="14" t="str">
        <f>VLOOKUP(MID(H140,SEARCH("@",H140,1),LEN(H140)-SEARCH("@",H140,1)+1),[2]Sheet1!$D:$F,3,FALSE)</f>
        <v>M180</v>
      </c>
      <c r="G140" s="14" t="s">
        <v>1302</v>
      </c>
      <c r="H140" s="14" t="s">
        <v>1303</v>
      </c>
      <c r="I140" s="14" t="s">
        <v>1304</v>
      </c>
      <c r="J140" s="14" t="s">
        <v>894</v>
      </c>
      <c r="K140" s="14" t="s">
        <v>732</v>
      </c>
      <c r="M140" s="14">
        <v>1</v>
      </c>
      <c r="V140" s="14">
        <v>0</v>
      </c>
      <c r="W140" s="14">
        <v>888.8</v>
      </c>
      <c r="X140" s="14">
        <v>921.5</v>
      </c>
      <c r="Y140" s="14">
        <v>361.2</v>
      </c>
      <c r="AC140" s="14">
        <v>2171.5</v>
      </c>
      <c r="AJ140" s="14">
        <v>0</v>
      </c>
      <c r="AQ140" s="14">
        <v>0</v>
      </c>
      <c r="AX140" s="14">
        <v>0</v>
      </c>
      <c r="BE140" s="14">
        <v>0</v>
      </c>
      <c r="BF140" s="14">
        <v>888.8</v>
      </c>
      <c r="BG140" s="14">
        <v>921.5</v>
      </c>
      <c r="BH140" s="14">
        <v>361.2</v>
      </c>
      <c r="BI140" s="14">
        <v>0</v>
      </c>
      <c r="BJ140" s="14">
        <v>0</v>
      </c>
      <c r="BK140" s="14">
        <v>0</v>
      </c>
      <c r="BL140" s="14">
        <v>2171.5</v>
      </c>
      <c r="BS140" s="14">
        <v>0</v>
      </c>
      <c r="BT140" s="14">
        <v>9</v>
      </c>
      <c r="BU140" s="14">
        <v>5</v>
      </c>
      <c r="BV140" s="14">
        <v>2</v>
      </c>
      <c r="BZ140" s="14">
        <v>16</v>
      </c>
      <c r="CG140" s="14">
        <v>0</v>
      </c>
      <c r="CN140" s="14">
        <v>0</v>
      </c>
      <c r="CU140" s="14">
        <v>0</v>
      </c>
      <c r="DB140" s="14">
        <v>0</v>
      </c>
      <c r="DC140" s="14">
        <v>9</v>
      </c>
      <c r="DD140" s="14">
        <v>5</v>
      </c>
      <c r="DE140" s="14">
        <v>2</v>
      </c>
      <c r="DF140" s="14">
        <v>0</v>
      </c>
      <c r="DG140" s="14">
        <v>0</v>
      </c>
      <c r="DH140" s="14">
        <v>0</v>
      </c>
      <c r="DI140" s="14">
        <v>16</v>
      </c>
      <c r="DJ140" s="14" t="s">
        <v>598</v>
      </c>
      <c r="DK140" s="14" t="s">
        <v>598</v>
      </c>
      <c r="DL140" s="14" t="s">
        <v>598</v>
      </c>
      <c r="DM140" s="14" t="s">
        <v>598</v>
      </c>
      <c r="DN140" s="14" t="s">
        <v>598</v>
      </c>
      <c r="DO140" s="14" t="s">
        <v>598</v>
      </c>
      <c r="DP140" s="14" t="s">
        <v>597</v>
      </c>
      <c r="DQ140" s="14" t="s">
        <v>597</v>
      </c>
      <c r="DR140" s="14" t="s">
        <v>597</v>
      </c>
      <c r="DS140" s="14" t="s">
        <v>598</v>
      </c>
      <c r="DT140" s="14" t="s">
        <v>598</v>
      </c>
      <c r="DU140" s="14" t="s">
        <v>598</v>
      </c>
      <c r="DV140" s="14" t="s">
        <v>598</v>
      </c>
      <c r="DW140" s="14" t="s">
        <v>598</v>
      </c>
      <c r="DX140" s="14" t="s">
        <v>598</v>
      </c>
      <c r="DY140" s="14" t="s">
        <v>598</v>
      </c>
      <c r="DZ140" s="14" t="s">
        <v>598</v>
      </c>
      <c r="EA140" s="14" t="s">
        <v>598</v>
      </c>
      <c r="EB140" s="14" t="s">
        <v>598</v>
      </c>
      <c r="EC140" s="14" t="s">
        <v>598</v>
      </c>
      <c r="ED140" s="14" t="s">
        <v>598</v>
      </c>
      <c r="EE140" s="14" t="s">
        <v>598</v>
      </c>
      <c r="EF140" s="14" t="s">
        <v>598</v>
      </c>
      <c r="EG140" s="14" t="s">
        <v>598</v>
      </c>
      <c r="EH140" s="14" t="s">
        <v>598</v>
      </c>
      <c r="EI140" s="14" t="s">
        <v>598</v>
      </c>
      <c r="EJ140" s="14" t="s">
        <v>598</v>
      </c>
      <c r="EK140" s="14" t="s">
        <v>598</v>
      </c>
      <c r="EL140" s="14" t="s">
        <v>598</v>
      </c>
      <c r="EM140" s="14" t="s">
        <v>598</v>
      </c>
      <c r="EN140" s="14" t="s">
        <v>598</v>
      </c>
      <c r="EO140" s="14" t="s">
        <v>598</v>
      </c>
      <c r="EP140" s="14" t="s">
        <v>598</v>
      </c>
      <c r="EQ140" s="14" t="s">
        <v>598</v>
      </c>
      <c r="ER140" s="14" t="s">
        <v>598</v>
      </c>
      <c r="ES140" s="14" t="s">
        <v>598</v>
      </c>
      <c r="ET140" s="14">
        <v>72.5</v>
      </c>
      <c r="EU140" s="14">
        <v>661.5</v>
      </c>
      <c r="EV140" s="14">
        <v>72.2</v>
      </c>
      <c r="EZ140" s="14">
        <v>806.2</v>
      </c>
      <c r="FA140" s="14">
        <v>49</v>
      </c>
      <c r="FB140" s="14">
        <v>260</v>
      </c>
      <c r="FC140" s="14">
        <v>289</v>
      </c>
      <c r="FG140" s="14">
        <v>598</v>
      </c>
      <c r="FN140" s="14">
        <v>0</v>
      </c>
      <c r="FU140" s="14">
        <v>0</v>
      </c>
      <c r="FV140" s="14">
        <v>1.5</v>
      </c>
      <c r="GB140" s="14">
        <v>1.5</v>
      </c>
      <c r="GI140" s="14">
        <v>0</v>
      </c>
      <c r="GP140" s="14">
        <v>0</v>
      </c>
      <c r="GQ140" s="14" t="s">
        <v>1305</v>
      </c>
      <c r="GR140" s="14">
        <v>765.8</v>
      </c>
      <c r="GX140" s="14">
        <v>765.8</v>
      </c>
      <c r="GY140" s="14">
        <v>888.8</v>
      </c>
      <c r="GZ140" s="14">
        <v>921.5</v>
      </c>
      <c r="HA140" s="14">
        <v>361.2</v>
      </c>
      <c r="HB140" s="14">
        <v>0</v>
      </c>
      <c r="HC140" s="14">
        <v>0</v>
      </c>
      <c r="HD140" s="14">
        <v>0</v>
      </c>
      <c r="HE140" s="14">
        <v>2171.5</v>
      </c>
      <c r="HH140" s="14">
        <v>361.2</v>
      </c>
      <c r="HL140" s="14">
        <v>361.2</v>
      </c>
      <c r="HM140" s="14">
        <v>888.8</v>
      </c>
      <c r="HN140" s="14">
        <v>921.5</v>
      </c>
      <c r="HS140" s="14">
        <v>1810.3</v>
      </c>
      <c r="HZ140" s="14">
        <v>0</v>
      </c>
      <c r="IG140" s="14">
        <v>0</v>
      </c>
      <c r="IN140" s="14">
        <v>0</v>
      </c>
      <c r="IO140" s="14">
        <v>888.8</v>
      </c>
      <c r="IP140" s="14">
        <v>921.5</v>
      </c>
      <c r="IQ140" s="14">
        <v>361.2</v>
      </c>
      <c r="IR140" s="14">
        <v>0</v>
      </c>
      <c r="IS140" s="14">
        <v>0</v>
      </c>
      <c r="IT140" s="14">
        <v>0</v>
      </c>
      <c r="IU140" s="14">
        <v>2171.5</v>
      </c>
      <c r="IX140" s="14">
        <v>100</v>
      </c>
      <c r="JA140" s="14">
        <v>2</v>
      </c>
      <c r="JB140" s="14">
        <v>2</v>
      </c>
      <c r="JC140" s="14">
        <v>1</v>
      </c>
      <c r="JD140" s="14" t="s">
        <v>600</v>
      </c>
      <c r="NG140" s="14" t="s">
        <v>601</v>
      </c>
      <c r="NH140" s="14">
        <v>72.5</v>
      </c>
      <c r="NI140" s="14">
        <v>661.5</v>
      </c>
      <c r="NJ140" s="14">
        <v>72.2</v>
      </c>
      <c r="NN140" s="14">
        <v>806.2</v>
      </c>
      <c r="NO140" s="14">
        <v>49</v>
      </c>
      <c r="NP140" s="14">
        <v>260</v>
      </c>
      <c r="NQ140" s="14">
        <v>289</v>
      </c>
      <c r="NU140" s="14">
        <v>598</v>
      </c>
      <c r="OB140" s="14">
        <v>0</v>
      </c>
      <c r="OI140" s="14">
        <v>0</v>
      </c>
      <c r="OJ140" s="14">
        <v>1.5</v>
      </c>
      <c r="OP140" s="14">
        <v>1.5</v>
      </c>
      <c r="OW140" s="14">
        <v>0</v>
      </c>
      <c r="PD140" s="14">
        <v>0</v>
      </c>
      <c r="PE140" s="14" t="s">
        <v>1305</v>
      </c>
      <c r="PF140" s="14">
        <v>765.8</v>
      </c>
      <c r="PL140" s="14">
        <v>765.8</v>
      </c>
      <c r="PM140" s="14">
        <v>888.8</v>
      </c>
      <c r="PN140" s="14">
        <v>921.5</v>
      </c>
      <c r="PO140" s="14">
        <v>361.2</v>
      </c>
      <c r="PP140" s="14">
        <v>0</v>
      </c>
      <c r="PQ140" s="14">
        <v>0</v>
      </c>
      <c r="PR140" s="14">
        <v>0</v>
      </c>
      <c r="PS140" s="14">
        <v>2171.5</v>
      </c>
      <c r="PT140" s="14">
        <v>888.8</v>
      </c>
      <c r="PU140" s="14">
        <v>921.5</v>
      </c>
      <c r="PZ140" s="14">
        <v>1810.3</v>
      </c>
      <c r="QC140" s="14">
        <v>361.2</v>
      </c>
      <c r="QG140" s="14">
        <v>361.2</v>
      </c>
      <c r="QN140" s="14">
        <v>0</v>
      </c>
      <c r="QU140" s="14">
        <v>0</v>
      </c>
      <c r="RB140" s="14">
        <v>0</v>
      </c>
      <c r="RC140" s="14">
        <v>888.8</v>
      </c>
      <c r="RD140" s="14">
        <v>921.5</v>
      </c>
      <c r="RE140" s="14">
        <v>361.2</v>
      </c>
      <c r="RF140" s="14">
        <v>0</v>
      </c>
      <c r="RG140" s="14">
        <v>0</v>
      </c>
      <c r="RH140" s="14">
        <v>0</v>
      </c>
      <c r="RI140" s="14">
        <v>2171.5</v>
      </c>
      <c r="RJ140" s="14" t="s">
        <v>602</v>
      </c>
      <c r="VM140" s="14" t="s">
        <v>603</v>
      </c>
      <c r="ZP140" s="14" t="s">
        <v>604</v>
      </c>
      <c r="ADS140" s="14" t="s">
        <v>605</v>
      </c>
    </row>
    <row r="141" spans="1:799" x14ac:dyDescent="0.25">
      <c r="A141" s="14">
        <v>158</v>
      </c>
      <c r="B141" s="14" t="s">
        <v>889</v>
      </c>
      <c r="C141" s="16">
        <v>42769.34097222222</v>
      </c>
      <c r="D141" s="14" t="s">
        <v>1306</v>
      </c>
      <c r="E141" s="14" t="s">
        <v>1307</v>
      </c>
      <c r="F141" s="14" t="str">
        <f>VLOOKUP(MID(H141,SEARCH("@",H141,1),LEN(H141)-SEARCH("@",H141,1)+1),[2]Sheet1!$D:$F,3,FALSE)</f>
        <v>M013</v>
      </c>
      <c r="G141" s="14" t="s">
        <v>775</v>
      </c>
      <c r="H141" s="14" t="s">
        <v>1308</v>
      </c>
      <c r="I141" s="14">
        <v>46766342066</v>
      </c>
      <c r="J141" s="14" t="s">
        <v>950</v>
      </c>
      <c r="K141" s="14" t="s">
        <v>732</v>
      </c>
      <c r="M141" s="14">
        <v>1</v>
      </c>
      <c r="V141" s="14">
        <v>0</v>
      </c>
      <c r="W141" s="14">
        <v>169</v>
      </c>
      <c r="AC141" s="14">
        <v>169</v>
      </c>
      <c r="AJ141" s="14">
        <v>0</v>
      </c>
      <c r="AQ141" s="14">
        <v>0</v>
      </c>
      <c r="AX141" s="14">
        <v>0</v>
      </c>
      <c r="BE141" s="14">
        <v>0</v>
      </c>
      <c r="BF141" s="14">
        <v>169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169</v>
      </c>
      <c r="BS141" s="14">
        <v>0</v>
      </c>
      <c r="BT141" s="14">
        <v>2</v>
      </c>
      <c r="BZ141" s="14">
        <v>2</v>
      </c>
      <c r="CG141" s="14">
        <v>0</v>
      </c>
      <c r="CN141" s="14">
        <v>0</v>
      </c>
      <c r="CU141" s="14">
        <v>0</v>
      </c>
      <c r="DB141" s="14">
        <v>0</v>
      </c>
      <c r="DC141" s="14">
        <v>2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2</v>
      </c>
      <c r="DJ141" s="14" t="s">
        <v>598</v>
      </c>
      <c r="DK141" s="14" t="s">
        <v>598</v>
      </c>
      <c r="DL141" s="14" t="s">
        <v>598</v>
      </c>
      <c r="DM141" s="14" t="s">
        <v>598</v>
      </c>
      <c r="DN141" s="14" t="s">
        <v>598</v>
      </c>
      <c r="DO141" s="14" t="s">
        <v>598</v>
      </c>
      <c r="DP141" s="14" t="s">
        <v>597</v>
      </c>
      <c r="DQ141" s="14" t="s">
        <v>598</v>
      </c>
      <c r="DR141" s="14" t="s">
        <v>598</v>
      </c>
      <c r="DS141" s="14" t="s">
        <v>598</v>
      </c>
      <c r="DT141" s="14" t="s">
        <v>598</v>
      </c>
      <c r="DU141" s="14" t="s">
        <v>598</v>
      </c>
      <c r="DV141" s="14" t="s">
        <v>598</v>
      </c>
      <c r="DW141" s="14" t="s">
        <v>598</v>
      </c>
      <c r="DX141" s="14" t="s">
        <v>598</v>
      </c>
      <c r="DY141" s="14" t="s">
        <v>598</v>
      </c>
      <c r="DZ141" s="14" t="s">
        <v>598</v>
      </c>
      <c r="EA141" s="14" t="s">
        <v>598</v>
      </c>
      <c r="EB141" s="14" t="s">
        <v>598</v>
      </c>
      <c r="EC141" s="14" t="s">
        <v>598</v>
      </c>
      <c r="ED141" s="14" t="s">
        <v>598</v>
      </c>
      <c r="EE141" s="14" t="s">
        <v>598</v>
      </c>
      <c r="EF141" s="14" t="s">
        <v>598</v>
      </c>
      <c r="EG141" s="14" t="s">
        <v>598</v>
      </c>
      <c r="EH141" s="14" t="s">
        <v>598</v>
      </c>
      <c r="EI141" s="14" t="s">
        <v>598</v>
      </c>
      <c r="EJ141" s="14" t="s">
        <v>598</v>
      </c>
      <c r="EK141" s="14" t="s">
        <v>598</v>
      </c>
      <c r="EL141" s="14" t="s">
        <v>598</v>
      </c>
      <c r="EM141" s="14" t="s">
        <v>598</v>
      </c>
      <c r="EN141" s="14" t="s">
        <v>598</v>
      </c>
      <c r="EO141" s="14" t="s">
        <v>598</v>
      </c>
      <c r="EP141" s="14" t="s">
        <v>598</v>
      </c>
      <c r="EQ141" s="14" t="s">
        <v>598</v>
      </c>
      <c r="ER141" s="14" t="s">
        <v>598</v>
      </c>
      <c r="ES141" s="14" t="s">
        <v>598</v>
      </c>
      <c r="ET141" s="14">
        <v>131</v>
      </c>
      <c r="EZ141" s="14">
        <v>131</v>
      </c>
      <c r="FA141" s="14">
        <v>25</v>
      </c>
      <c r="FG141" s="14">
        <v>25</v>
      </c>
      <c r="FN141" s="14">
        <v>0</v>
      </c>
      <c r="FU141" s="14">
        <v>0</v>
      </c>
      <c r="GB141" s="14">
        <v>0</v>
      </c>
      <c r="GI141" s="14">
        <v>0</v>
      </c>
      <c r="GJ141" s="14">
        <v>13</v>
      </c>
      <c r="GP141" s="14">
        <v>13</v>
      </c>
      <c r="GX141" s="14">
        <v>0</v>
      </c>
      <c r="GY141" s="14">
        <v>169</v>
      </c>
      <c r="GZ141" s="14">
        <v>0</v>
      </c>
      <c r="HA141" s="14">
        <v>0</v>
      </c>
      <c r="HB141" s="14">
        <v>0</v>
      </c>
      <c r="HC141" s="14">
        <v>0</v>
      </c>
      <c r="HD141" s="14">
        <v>0</v>
      </c>
      <c r="HE141" s="14">
        <v>169</v>
      </c>
      <c r="HL141" s="14">
        <v>0</v>
      </c>
      <c r="HM141" s="14">
        <v>134</v>
      </c>
      <c r="HS141" s="14">
        <v>134</v>
      </c>
      <c r="HT141" s="14">
        <v>35</v>
      </c>
      <c r="HZ141" s="14">
        <v>35</v>
      </c>
      <c r="IG141" s="14">
        <v>0</v>
      </c>
      <c r="IN141" s="14">
        <v>0</v>
      </c>
      <c r="IO141" s="14">
        <v>169</v>
      </c>
      <c r="IP141" s="14">
        <v>0</v>
      </c>
      <c r="IQ141" s="14">
        <v>0</v>
      </c>
      <c r="IR141" s="14">
        <v>0</v>
      </c>
      <c r="IS141" s="14">
        <v>0</v>
      </c>
      <c r="IT141" s="14">
        <v>0</v>
      </c>
      <c r="IU141" s="14">
        <v>169</v>
      </c>
      <c r="IV141" s="14">
        <v>0</v>
      </c>
      <c r="IX141" s="14">
        <v>100</v>
      </c>
      <c r="JA141" s="14">
        <v>3</v>
      </c>
      <c r="JB141" s="14">
        <v>1</v>
      </c>
      <c r="JC141" s="14">
        <v>2</v>
      </c>
      <c r="JD141" s="14" t="s">
        <v>600</v>
      </c>
      <c r="NG141" s="14" t="s">
        <v>601</v>
      </c>
      <c r="NH141" s="14">
        <v>131</v>
      </c>
      <c r="NN141" s="14">
        <v>131</v>
      </c>
      <c r="NO141" s="14">
        <v>25</v>
      </c>
      <c r="NU141" s="14">
        <v>25</v>
      </c>
      <c r="OB141" s="14">
        <v>0</v>
      </c>
      <c r="OI141" s="14">
        <v>0</v>
      </c>
      <c r="OP141" s="14">
        <v>0</v>
      </c>
      <c r="OW141" s="14">
        <v>0</v>
      </c>
      <c r="OX141" s="14">
        <v>13</v>
      </c>
      <c r="PD141" s="14">
        <v>13</v>
      </c>
      <c r="PL141" s="14">
        <v>0</v>
      </c>
      <c r="PM141" s="14">
        <v>169</v>
      </c>
      <c r="PN141" s="14">
        <v>0</v>
      </c>
      <c r="PO141" s="14">
        <v>0</v>
      </c>
      <c r="PP141" s="14">
        <v>0</v>
      </c>
      <c r="PQ141" s="14">
        <v>0</v>
      </c>
      <c r="PR141" s="14">
        <v>0</v>
      </c>
      <c r="PS141" s="14">
        <v>169</v>
      </c>
      <c r="PT141" s="14">
        <v>134</v>
      </c>
      <c r="PZ141" s="14">
        <v>134</v>
      </c>
      <c r="QG141" s="14">
        <v>0</v>
      </c>
      <c r="QH141" s="14">
        <v>35</v>
      </c>
      <c r="QN141" s="14">
        <v>35</v>
      </c>
      <c r="QU141" s="14">
        <v>0</v>
      </c>
      <c r="RB141" s="14">
        <v>0</v>
      </c>
      <c r="RC141" s="14">
        <v>169</v>
      </c>
      <c r="RD141" s="14">
        <v>0</v>
      </c>
      <c r="RE141" s="14">
        <v>0</v>
      </c>
      <c r="RF141" s="14">
        <v>0</v>
      </c>
      <c r="RG141" s="14">
        <v>0</v>
      </c>
      <c r="RH141" s="14">
        <v>0</v>
      </c>
      <c r="RI141" s="14">
        <v>169</v>
      </c>
      <c r="RJ141" s="14" t="s">
        <v>602</v>
      </c>
      <c r="VM141" s="14" t="s">
        <v>603</v>
      </c>
      <c r="ZP141" s="14" t="s">
        <v>604</v>
      </c>
      <c r="ADS141" s="14" t="s">
        <v>605</v>
      </c>
    </row>
    <row r="142" spans="1:799" x14ac:dyDescent="0.25">
      <c r="A142" s="14">
        <v>123</v>
      </c>
      <c r="B142" s="14" t="s">
        <v>889</v>
      </c>
      <c r="C142" s="16">
        <v>42761.411111111112</v>
      </c>
      <c r="D142" s="14" t="s">
        <v>1309</v>
      </c>
      <c r="E142" s="14" t="s">
        <v>1310</v>
      </c>
      <c r="F142" s="14" t="str">
        <f>VLOOKUP(MID(H142,SEARCH("@",H142,1),LEN(H142)-SEARCH("@",H142,1)+1),[2]Sheet1!$D:$F,3,FALSE)</f>
        <v>M040</v>
      </c>
      <c r="G142" s="14" t="s">
        <v>775</v>
      </c>
      <c r="H142" s="14" t="s">
        <v>1311</v>
      </c>
      <c r="I142" s="14">
        <v>31884562369</v>
      </c>
      <c r="J142" s="14" t="s">
        <v>979</v>
      </c>
      <c r="K142" s="14" t="s">
        <v>732</v>
      </c>
      <c r="M142" s="14">
        <v>2</v>
      </c>
      <c r="N142" s="14">
        <v>6</v>
      </c>
      <c r="O142" s="14" t="s">
        <v>1312</v>
      </c>
      <c r="V142" s="14">
        <v>0</v>
      </c>
      <c r="AC142" s="14">
        <v>0</v>
      </c>
      <c r="AJ142" s="14">
        <v>0</v>
      </c>
      <c r="AQ142" s="14">
        <v>0</v>
      </c>
      <c r="AX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S142" s="14">
        <v>0</v>
      </c>
      <c r="BZ142" s="14">
        <v>0</v>
      </c>
      <c r="CG142" s="14">
        <v>0</v>
      </c>
      <c r="CN142" s="14">
        <v>0</v>
      </c>
      <c r="CU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0</v>
      </c>
      <c r="DI142" s="14">
        <v>0</v>
      </c>
      <c r="DJ142" s="14" t="s">
        <v>598</v>
      </c>
      <c r="DK142" s="14" t="s">
        <v>598</v>
      </c>
      <c r="DL142" s="14" t="s">
        <v>598</v>
      </c>
      <c r="DM142" s="14" t="s">
        <v>598</v>
      </c>
      <c r="DN142" s="14" t="s">
        <v>598</v>
      </c>
      <c r="DO142" s="14" t="s">
        <v>598</v>
      </c>
      <c r="DP142" s="14" t="s">
        <v>598</v>
      </c>
      <c r="DQ142" s="14" t="s">
        <v>598</v>
      </c>
      <c r="DR142" s="14" t="s">
        <v>598</v>
      </c>
      <c r="DS142" s="14" t="s">
        <v>598</v>
      </c>
      <c r="DT142" s="14" t="s">
        <v>598</v>
      </c>
      <c r="DU142" s="14" t="s">
        <v>598</v>
      </c>
      <c r="DV142" s="14" t="s">
        <v>598</v>
      </c>
      <c r="DW142" s="14" t="s">
        <v>598</v>
      </c>
      <c r="DX142" s="14" t="s">
        <v>598</v>
      </c>
      <c r="DY142" s="14" t="s">
        <v>598</v>
      </c>
      <c r="DZ142" s="14" t="s">
        <v>598</v>
      </c>
      <c r="EA142" s="14" t="s">
        <v>598</v>
      </c>
      <c r="EB142" s="14" t="s">
        <v>598</v>
      </c>
      <c r="EC142" s="14" t="s">
        <v>598</v>
      </c>
      <c r="ED142" s="14" t="s">
        <v>598</v>
      </c>
      <c r="EE142" s="14" t="s">
        <v>598</v>
      </c>
      <c r="EF142" s="14" t="s">
        <v>598</v>
      </c>
      <c r="EG142" s="14" t="s">
        <v>598</v>
      </c>
      <c r="EH142" s="14" t="s">
        <v>598</v>
      </c>
      <c r="EI142" s="14" t="s">
        <v>598</v>
      </c>
      <c r="EJ142" s="14" t="s">
        <v>598</v>
      </c>
      <c r="EK142" s="14" t="s">
        <v>598</v>
      </c>
      <c r="EL142" s="14" t="s">
        <v>598</v>
      </c>
      <c r="EM142" s="14" t="s">
        <v>598</v>
      </c>
      <c r="EN142" s="14" t="s">
        <v>598</v>
      </c>
      <c r="EO142" s="14" t="s">
        <v>598</v>
      </c>
      <c r="EP142" s="14" t="s">
        <v>598</v>
      </c>
      <c r="EQ142" s="14" t="s">
        <v>598</v>
      </c>
      <c r="ER142" s="14" t="s">
        <v>598</v>
      </c>
      <c r="ES142" s="14" t="s">
        <v>598</v>
      </c>
      <c r="EZ142" s="14">
        <v>0</v>
      </c>
      <c r="FG142" s="14">
        <v>0</v>
      </c>
      <c r="FN142" s="14">
        <v>0</v>
      </c>
      <c r="FU142" s="14">
        <v>0</v>
      </c>
      <c r="GB142" s="14">
        <v>0</v>
      </c>
      <c r="GI142" s="14">
        <v>0</v>
      </c>
      <c r="GP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E142" s="14">
        <v>0</v>
      </c>
      <c r="HL142" s="14">
        <v>0</v>
      </c>
      <c r="HS142" s="14">
        <v>0</v>
      </c>
      <c r="HZ142" s="14">
        <v>0</v>
      </c>
      <c r="IG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U142" s="14">
        <v>0</v>
      </c>
      <c r="JA142" s="14">
        <v>1</v>
      </c>
      <c r="JB142" s="14">
        <v>3</v>
      </c>
      <c r="JC142" s="14">
        <v>1</v>
      </c>
      <c r="JD142" s="14" t="s">
        <v>600</v>
      </c>
      <c r="NG142" s="14" t="s">
        <v>601</v>
      </c>
      <c r="RJ142" s="14" t="s">
        <v>602</v>
      </c>
      <c r="VM142" s="14" t="s">
        <v>603</v>
      </c>
      <c r="ZP142" s="14" t="s">
        <v>604</v>
      </c>
      <c r="ADS142" s="14" t="s">
        <v>605</v>
      </c>
    </row>
    <row r="143" spans="1:799" x14ac:dyDescent="0.25">
      <c r="A143" s="14">
        <v>193</v>
      </c>
      <c r="B143" s="14" t="s">
        <v>889</v>
      </c>
      <c r="C143" s="16">
        <v>42774.740277777775</v>
      </c>
      <c r="D143" s="14" t="s">
        <v>1313</v>
      </c>
      <c r="E143" s="14" t="s">
        <v>1314</v>
      </c>
      <c r="F143" s="14" t="str">
        <f>VLOOKUP(MID(H143,SEARCH("@",H143,1),LEN(H143)-SEARCH("@",H143,1)+1),[2]Sheet1!$D:$F,3,FALSE)</f>
        <v>M177</v>
      </c>
      <c r="G143" s="14" t="s">
        <v>1315</v>
      </c>
      <c r="H143" s="14" t="s">
        <v>1316</v>
      </c>
      <c r="I143" s="14">
        <v>35317042344</v>
      </c>
      <c r="J143" s="14" t="s">
        <v>1197</v>
      </c>
      <c r="K143" s="14" t="s">
        <v>732</v>
      </c>
      <c r="M143" s="14">
        <v>1</v>
      </c>
      <c r="V143" s="14">
        <v>0</v>
      </c>
      <c r="W143" s="14">
        <v>100</v>
      </c>
      <c r="X143" s="14">
        <v>50</v>
      </c>
      <c r="AC143" s="14">
        <v>150</v>
      </c>
      <c r="AJ143" s="14">
        <v>0</v>
      </c>
      <c r="AQ143" s="14">
        <v>0</v>
      </c>
      <c r="AX143" s="14">
        <v>0</v>
      </c>
      <c r="BE143" s="14">
        <v>0</v>
      </c>
      <c r="BF143" s="14">
        <v>100</v>
      </c>
      <c r="BG143" s="14">
        <v>50</v>
      </c>
      <c r="BH143" s="14">
        <v>0</v>
      </c>
      <c r="BI143" s="14">
        <v>0</v>
      </c>
      <c r="BJ143" s="14">
        <v>0</v>
      </c>
      <c r="BK143" s="14">
        <v>0</v>
      </c>
      <c r="BL143" s="14">
        <v>150</v>
      </c>
      <c r="BS143" s="14">
        <v>0</v>
      </c>
      <c r="BT143" s="14">
        <v>1</v>
      </c>
      <c r="BU143" s="14">
        <v>1</v>
      </c>
      <c r="BZ143" s="14">
        <v>2</v>
      </c>
      <c r="CG143" s="14">
        <v>0</v>
      </c>
      <c r="CN143" s="14">
        <v>0</v>
      </c>
      <c r="CU143" s="14">
        <v>0</v>
      </c>
      <c r="DB143" s="14">
        <v>0</v>
      </c>
      <c r="DC143" s="14">
        <v>1</v>
      </c>
      <c r="DD143" s="14">
        <v>1</v>
      </c>
      <c r="DE143" s="14">
        <v>0</v>
      </c>
      <c r="DF143" s="14">
        <v>0</v>
      </c>
      <c r="DG143" s="14">
        <v>0</v>
      </c>
      <c r="DH143" s="14">
        <v>0</v>
      </c>
      <c r="DI143" s="14">
        <v>2</v>
      </c>
      <c r="DJ143" s="14" t="s">
        <v>598</v>
      </c>
      <c r="DK143" s="14" t="s">
        <v>598</v>
      </c>
      <c r="DL143" s="14" t="s">
        <v>598</v>
      </c>
      <c r="DM143" s="14" t="s">
        <v>598</v>
      </c>
      <c r="DN143" s="14" t="s">
        <v>598</v>
      </c>
      <c r="DO143" s="14" t="s">
        <v>598</v>
      </c>
      <c r="DP143" s="14" t="s">
        <v>597</v>
      </c>
      <c r="DQ143" s="14" t="s">
        <v>597</v>
      </c>
      <c r="DR143" s="14" t="s">
        <v>598</v>
      </c>
      <c r="DS143" s="14" t="s">
        <v>598</v>
      </c>
      <c r="DT143" s="14" t="s">
        <v>598</v>
      </c>
      <c r="DU143" s="14" t="s">
        <v>598</v>
      </c>
      <c r="DV143" s="14" t="s">
        <v>598</v>
      </c>
      <c r="DW143" s="14" t="s">
        <v>598</v>
      </c>
      <c r="DX143" s="14" t="s">
        <v>598</v>
      </c>
      <c r="DY143" s="14" t="s">
        <v>598</v>
      </c>
      <c r="DZ143" s="14" t="s">
        <v>598</v>
      </c>
      <c r="EA143" s="14" t="s">
        <v>598</v>
      </c>
      <c r="EB143" s="14" t="s">
        <v>598</v>
      </c>
      <c r="EC143" s="14" t="s">
        <v>598</v>
      </c>
      <c r="ED143" s="14" t="s">
        <v>598</v>
      </c>
      <c r="EE143" s="14" t="s">
        <v>598</v>
      </c>
      <c r="EF143" s="14" t="s">
        <v>598</v>
      </c>
      <c r="EG143" s="14" t="s">
        <v>598</v>
      </c>
      <c r="EH143" s="14" t="s">
        <v>598</v>
      </c>
      <c r="EI143" s="14" t="s">
        <v>598</v>
      </c>
      <c r="EJ143" s="14" t="s">
        <v>598</v>
      </c>
      <c r="EK143" s="14" t="s">
        <v>598</v>
      </c>
      <c r="EL143" s="14" t="s">
        <v>598</v>
      </c>
      <c r="EM143" s="14" t="s">
        <v>598</v>
      </c>
      <c r="EN143" s="14" t="s">
        <v>598</v>
      </c>
      <c r="EO143" s="14" t="s">
        <v>598</v>
      </c>
      <c r="EP143" s="14" t="s">
        <v>598</v>
      </c>
      <c r="EQ143" s="14" t="s">
        <v>598</v>
      </c>
      <c r="ER143" s="14" t="s">
        <v>598</v>
      </c>
      <c r="ES143" s="14" t="s">
        <v>598</v>
      </c>
      <c r="ET143" s="14">
        <v>100</v>
      </c>
      <c r="EU143" s="14">
        <v>50</v>
      </c>
      <c r="EZ143" s="14">
        <v>150</v>
      </c>
      <c r="FG143" s="14">
        <v>0</v>
      </c>
      <c r="FN143" s="14">
        <v>0</v>
      </c>
      <c r="FU143" s="14">
        <v>0</v>
      </c>
      <c r="GB143" s="14">
        <v>0</v>
      </c>
      <c r="GI143" s="14">
        <v>0</v>
      </c>
      <c r="GP143" s="14">
        <v>0</v>
      </c>
      <c r="GX143" s="14">
        <v>0</v>
      </c>
      <c r="GY143" s="14">
        <v>100</v>
      </c>
      <c r="GZ143" s="14">
        <v>50</v>
      </c>
      <c r="HA143" s="14">
        <v>0</v>
      </c>
      <c r="HB143" s="14">
        <v>0</v>
      </c>
      <c r="HC143" s="14">
        <v>0</v>
      </c>
      <c r="HD143" s="14">
        <v>0</v>
      </c>
      <c r="HE143" s="14">
        <v>150</v>
      </c>
      <c r="HL143" s="14">
        <v>0</v>
      </c>
      <c r="HM143" s="14">
        <v>100</v>
      </c>
      <c r="HN143" s="14">
        <v>50</v>
      </c>
      <c r="HS143" s="14">
        <v>150</v>
      </c>
      <c r="HZ143" s="14">
        <v>0</v>
      </c>
      <c r="IG143" s="14">
        <v>0</v>
      </c>
      <c r="IN143" s="14">
        <v>0</v>
      </c>
      <c r="IO143" s="14">
        <v>100</v>
      </c>
      <c r="IP143" s="14">
        <v>50</v>
      </c>
      <c r="IQ143" s="14">
        <v>0</v>
      </c>
      <c r="IR143" s="14">
        <v>0</v>
      </c>
      <c r="IS143" s="14">
        <v>0</v>
      </c>
      <c r="IT143" s="14">
        <v>0</v>
      </c>
      <c r="IU143" s="14">
        <v>150</v>
      </c>
      <c r="IX143" s="14">
        <v>100</v>
      </c>
      <c r="JA143" s="14">
        <v>1</v>
      </c>
      <c r="JB143" s="14">
        <v>1</v>
      </c>
      <c r="JC143" s="14">
        <v>1</v>
      </c>
      <c r="JD143" s="14" t="s">
        <v>600</v>
      </c>
      <c r="NG143" s="14" t="s">
        <v>601</v>
      </c>
      <c r="NH143" s="14">
        <v>100</v>
      </c>
      <c r="NI143" s="14">
        <v>50</v>
      </c>
      <c r="NN143" s="14">
        <v>150</v>
      </c>
      <c r="NU143" s="14">
        <v>0</v>
      </c>
      <c r="OB143" s="14">
        <v>0</v>
      </c>
      <c r="OI143" s="14">
        <v>0</v>
      </c>
      <c r="OP143" s="14">
        <v>0</v>
      </c>
      <c r="OW143" s="14">
        <v>0</v>
      </c>
      <c r="PD143" s="14">
        <v>0</v>
      </c>
      <c r="PL143" s="14">
        <v>0</v>
      </c>
      <c r="PM143" s="14">
        <v>100</v>
      </c>
      <c r="PN143" s="14">
        <v>50</v>
      </c>
      <c r="PO143" s="14">
        <v>0</v>
      </c>
      <c r="PP143" s="14">
        <v>0</v>
      </c>
      <c r="PQ143" s="14">
        <v>0</v>
      </c>
      <c r="PR143" s="14">
        <v>0</v>
      </c>
      <c r="PS143" s="14">
        <v>150</v>
      </c>
      <c r="PT143" s="14">
        <v>100</v>
      </c>
      <c r="PU143" s="14">
        <v>50</v>
      </c>
      <c r="PZ143" s="14">
        <v>150</v>
      </c>
      <c r="QG143" s="14">
        <v>0</v>
      </c>
      <c r="QN143" s="14">
        <v>0</v>
      </c>
      <c r="QU143" s="14">
        <v>0</v>
      </c>
      <c r="RB143" s="14">
        <v>0</v>
      </c>
      <c r="RC143" s="14">
        <v>100</v>
      </c>
      <c r="RD143" s="14">
        <v>50</v>
      </c>
      <c r="RE143" s="14">
        <v>0</v>
      </c>
      <c r="RF143" s="14">
        <v>0</v>
      </c>
      <c r="RG143" s="14">
        <v>0</v>
      </c>
      <c r="RH143" s="14">
        <v>0</v>
      </c>
      <c r="RI143" s="14">
        <v>150</v>
      </c>
      <c r="RJ143" s="14" t="s">
        <v>602</v>
      </c>
      <c r="VM143" s="14" t="s">
        <v>603</v>
      </c>
      <c r="ZP143" s="14" t="s">
        <v>604</v>
      </c>
      <c r="ADS143" s="14" t="s">
        <v>605</v>
      </c>
    </row>
    <row r="144" spans="1:799" x14ac:dyDescent="0.25">
      <c r="A144" s="14">
        <v>39</v>
      </c>
      <c r="B144" s="14" t="s">
        <v>889</v>
      </c>
      <c r="C144" s="16">
        <v>42765.543749999997</v>
      </c>
      <c r="D144" s="14" t="s">
        <v>1317</v>
      </c>
      <c r="E144" s="14" t="s">
        <v>1318</v>
      </c>
      <c r="F144" s="14" t="str">
        <f>VLOOKUP(MID(H144,SEARCH("@",H144,1),LEN(H144)-SEARCH("@",H144,1)+1),[2]Sheet1!$D:$F,3,FALSE)</f>
        <v>M180</v>
      </c>
      <c r="G144" s="14" t="s">
        <v>1319</v>
      </c>
      <c r="H144" s="14" t="s">
        <v>1320</v>
      </c>
      <c r="I144" s="14" t="s">
        <v>1321</v>
      </c>
      <c r="J144" s="14" t="s">
        <v>894</v>
      </c>
      <c r="K144" s="14" t="s">
        <v>732</v>
      </c>
      <c r="M144" s="14">
        <v>1</v>
      </c>
      <c r="V144" s="14">
        <v>0</v>
      </c>
      <c r="W144" s="14">
        <v>172.3</v>
      </c>
      <c r="Y144" s="14">
        <v>482.1</v>
      </c>
      <c r="Z144" s="14">
        <v>172.9</v>
      </c>
      <c r="AC144" s="14">
        <v>827.3</v>
      </c>
      <c r="AJ144" s="14">
        <v>0</v>
      </c>
      <c r="AQ144" s="14">
        <v>0</v>
      </c>
      <c r="AX144" s="14">
        <v>0</v>
      </c>
      <c r="BE144" s="14">
        <v>0</v>
      </c>
      <c r="BF144" s="14">
        <v>172.3</v>
      </c>
      <c r="BG144" s="14">
        <v>0</v>
      </c>
      <c r="BH144" s="14">
        <v>482.1</v>
      </c>
      <c r="BI144" s="14">
        <v>172.9</v>
      </c>
      <c r="BJ144" s="14">
        <v>0</v>
      </c>
      <c r="BK144" s="14">
        <v>0</v>
      </c>
      <c r="BL144" s="14">
        <v>827.3</v>
      </c>
      <c r="BS144" s="14">
        <v>0</v>
      </c>
      <c r="BT144" s="14">
        <v>2</v>
      </c>
      <c r="BV144" s="14">
        <v>9</v>
      </c>
      <c r="BW144" s="14">
        <v>1</v>
      </c>
      <c r="BZ144" s="14">
        <v>12</v>
      </c>
      <c r="CG144" s="14">
        <v>0</v>
      </c>
      <c r="CN144" s="14">
        <v>0</v>
      </c>
      <c r="CU144" s="14">
        <v>0</v>
      </c>
      <c r="DB144" s="14">
        <v>0</v>
      </c>
      <c r="DC144" s="14">
        <v>2</v>
      </c>
      <c r="DD144" s="14">
        <v>0</v>
      </c>
      <c r="DE144" s="14">
        <v>9</v>
      </c>
      <c r="DF144" s="14">
        <v>1</v>
      </c>
      <c r="DG144" s="14">
        <v>0</v>
      </c>
      <c r="DH144" s="14">
        <v>0</v>
      </c>
      <c r="DI144" s="14">
        <v>12</v>
      </c>
      <c r="DJ144" s="14" t="s">
        <v>598</v>
      </c>
      <c r="DK144" s="14" t="s">
        <v>598</v>
      </c>
      <c r="DL144" s="14" t="s">
        <v>598</v>
      </c>
      <c r="DM144" s="14" t="s">
        <v>598</v>
      </c>
      <c r="DN144" s="14" t="s">
        <v>598</v>
      </c>
      <c r="DO144" s="14" t="s">
        <v>598</v>
      </c>
      <c r="DP144" s="14" t="s">
        <v>597</v>
      </c>
      <c r="DQ144" s="14" t="s">
        <v>598</v>
      </c>
      <c r="DR144" s="14" t="s">
        <v>597</v>
      </c>
      <c r="DS144" s="14" t="s">
        <v>597</v>
      </c>
      <c r="DT144" s="14" t="s">
        <v>598</v>
      </c>
      <c r="DU144" s="14" t="s">
        <v>598</v>
      </c>
      <c r="DV144" s="14" t="s">
        <v>598</v>
      </c>
      <c r="DW144" s="14" t="s">
        <v>598</v>
      </c>
      <c r="DX144" s="14" t="s">
        <v>598</v>
      </c>
      <c r="DY144" s="14" t="s">
        <v>598</v>
      </c>
      <c r="DZ144" s="14" t="s">
        <v>598</v>
      </c>
      <c r="EA144" s="14" t="s">
        <v>598</v>
      </c>
      <c r="EB144" s="14" t="s">
        <v>598</v>
      </c>
      <c r="EC144" s="14" t="s">
        <v>598</v>
      </c>
      <c r="ED144" s="14" t="s">
        <v>598</v>
      </c>
      <c r="EE144" s="14" t="s">
        <v>598</v>
      </c>
      <c r="EF144" s="14" t="s">
        <v>598</v>
      </c>
      <c r="EG144" s="14" t="s">
        <v>598</v>
      </c>
      <c r="EH144" s="14" t="s">
        <v>598</v>
      </c>
      <c r="EI144" s="14" t="s">
        <v>598</v>
      </c>
      <c r="EJ144" s="14" t="s">
        <v>598</v>
      </c>
      <c r="EK144" s="14" t="s">
        <v>598</v>
      </c>
      <c r="EL144" s="14" t="s">
        <v>598</v>
      </c>
      <c r="EM144" s="14" t="s">
        <v>598</v>
      </c>
      <c r="EN144" s="14" t="s">
        <v>598</v>
      </c>
      <c r="EO144" s="14" t="s">
        <v>598</v>
      </c>
      <c r="EP144" s="14" t="s">
        <v>598</v>
      </c>
      <c r="EQ144" s="14" t="s">
        <v>598</v>
      </c>
      <c r="ER144" s="14" t="s">
        <v>598</v>
      </c>
      <c r="ES144" s="14" t="s">
        <v>598</v>
      </c>
      <c r="EV144" s="14">
        <v>193.2</v>
      </c>
      <c r="EW144" s="14">
        <v>22.6</v>
      </c>
      <c r="EZ144" s="14">
        <v>215.8</v>
      </c>
      <c r="FC144" s="14">
        <v>130.5</v>
      </c>
      <c r="FD144" s="14">
        <v>26.4</v>
      </c>
      <c r="FG144" s="14">
        <v>156.9</v>
      </c>
      <c r="FN144" s="14">
        <v>0</v>
      </c>
      <c r="FU144" s="14">
        <v>0</v>
      </c>
      <c r="FX144" s="14">
        <v>57.6</v>
      </c>
      <c r="FY144" s="14">
        <v>72.900000000000006</v>
      </c>
      <c r="GB144" s="14">
        <v>130.5</v>
      </c>
      <c r="GI144" s="14">
        <v>0</v>
      </c>
      <c r="GP144" s="14">
        <v>0</v>
      </c>
      <c r="GQ144" s="14" t="s">
        <v>1322</v>
      </c>
      <c r="GR144" s="14">
        <v>172.3</v>
      </c>
      <c r="GT144" s="14">
        <v>100.9</v>
      </c>
      <c r="GU144" s="14">
        <v>50.9</v>
      </c>
      <c r="GX144" s="14">
        <v>324.10000000000002</v>
      </c>
      <c r="GY144" s="14">
        <v>172.3</v>
      </c>
      <c r="GZ144" s="14">
        <v>0</v>
      </c>
      <c r="HA144" s="14">
        <v>482.2</v>
      </c>
      <c r="HB144" s="14">
        <v>172.8</v>
      </c>
      <c r="HC144" s="14">
        <v>0</v>
      </c>
      <c r="HD144" s="14">
        <v>0</v>
      </c>
      <c r="HE144" s="14">
        <v>827.3</v>
      </c>
      <c r="HL144" s="14">
        <v>0</v>
      </c>
      <c r="HM144" s="14">
        <v>172.3</v>
      </c>
      <c r="HO144" s="14">
        <v>482.1</v>
      </c>
      <c r="HP144" s="14">
        <v>172.9</v>
      </c>
      <c r="HS144" s="14">
        <v>827.3</v>
      </c>
      <c r="HZ144" s="14">
        <v>0</v>
      </c>
      <c r="IG144" s="14">
        <v>0</v>
      </c>
      <c r="IN144" s="14">
        <v>0</v>
      </c>
      <c r="IO144" s="14">
        <v>172.3</v>
      </c>
      <c r="IP144" s="14">
        <v>0</v>
      </c>
      <c r="IQ144" s="14">
        <v>482.1</v>
      </c>
      <c r="IR144" s="14">
        <v>172.9</v>
      </c>
      <c r="IS144" s="14">
        <v>0</v>
      </c>
      <c r="IT144" s="14">
        <v>0</v>
      </c>
      <c r="IU144" s="14">
        <v>827.3</v>
      </c>
      <c r="IV144" s="14">
        <v>15.9</v>
      </c>
      <c r="IX144" s="14">
        <v>84.1</v>
      </c>
      <c r="JA144" s="14">
        <v>3</v>
      </c>
      <c r="JB144" s="14">
        <v>3</v>
      </c>
      <c r="JC144" s="14">
        <v>1</v>
      </c>
      <c r="JD144" s="14" t="s">
        <v>600</v>
      </c>
      <c r="NG144" s="14" t="s">
        <v>601</v>
      </c>
      <c r="NJ144" s="14">
        <v>193.2</v>
      </c>
      <c r="NK144" s="14">
        <v>22.6</v>
      </c>
      <c r="NN144" s="14">
        <v>215.8</v>
      </c>
      <c r="NQ144" s="14">
        <v>130.5</v>
      </c>
      <c r="NR144" s="14">
        <v>26.4</v>
      </c>
      <c r="NU144" s="14">
        <v>156.9</v>
      </c>
      <c r="OB144" s="14">
        <v>0</v>
      </c>
      <c r="OI144" s="14">
        <v>0</v>
      </c>
      <c r="OL144" s="14">
        <v>57.6</v>
      </c>
      <c r="OM144" s="14">
        <v>72.900000000000006</v>
      </c>
      <c r="OP144" s="14">
        <v>130.5</v>
      </c>
      <c r="OW144" s="14">
        <v>0</v>
      </c>
      <c r="PD144" s="14">
        <v>0</v>
      </c>
      <c r="PE144" s="14" t="s">
        <v>1323</v>
      </c>
      <c r="PF144" s="14">
        <v>172.3</v>
      </c>
      <c r="PH144" s="14">
        <v>100.9</v>
      </c>
      <c r="PI144" s="14">
        <v>50.9</v>
      </c>
      <c r="PL144" s="14">
        <v>324.10000000000002</v>
      </c>
      <c r="PM144" s="14">
        <v>172.3</v>
      </c>
      <c r="PN144" s="14">
        <v>0</v>
      </c>
      <c r="PO144" s="14">
        <v>482.2</v>
      </c>
      <c r="PP144" s="14">
        <v>172.8</v>
      </c>
      <c r="PQ144" s="14">
        <v>0</v>
      </c>
      <c r="PR144" s="14">
        <v>0</v>
      </c>
      <c r="PS144" s="14">
        <v>827.3</v>
      </c>
      <c r="PT144" s="14">
        <v>172.3</v>
      </c>
      <c r="PV144" s="14">
        <v>482.1</v>
      </c>
      <c r="PW144" s="14">
        <v>172.9</v>
      </c>
      <c r="PZ144" s="14">
        <v>827.3</v>
      </c>
      <c r="QG144" s="14">
        <v>0</v>
      </c>
      <c r="QN144" s="14">
        <v>0</v>
      </c>
      <c r="QU144" s="14">
        <v>0</v>
      </c>
      <c r="RB144" s="14">
        <v>0</v>
      </c>
      <c r="RC144" s="14">
        <v>172.3</v>
      </c>
      <c r="RD144" s="14">
        <v>0</v>
      </c>
      <c r="RE144" s="14">
        <v>482.1</v>
      </c>
      <c r="RF144" s="14">
        <v>172.9</v>
      </c>
      <c r="RG144" s="14">
        <v>0</v>
      </c>
      <c r="RH144" s="14">
        <v>0</v>
      </c>
      <c r="RI144" s="14">
        <v>827.3</v>
      </c>
      <c r="RJ144" s="14" t="s">
        <v>602</v>
      </c>
      <c r="VM144" s="14" t="s">
        <v>603</v>
      </c>
      <c r="ZP144" s="14" t="s">
        <v>604</v>
      </c>
      <c r="ADS144" s="14" t="s">
        <v>605</v>
      </c>
    </row>
    <row r="145" spans="1:799" x14ac:dyDescent="0.25">
      <c r="A145" s="14">
        <v>55</v>
      </c>
      <c r="B145" s="14" t="s">
        <v>889</v>
      </c>
      <c r="C145" s="16">
        <v>42780</v>
      </c>
      <c r="D145" s="14" t="s">
        <v>1324</v>
      </c>
      <c r="E145" s="14" t="s">
        <v>1325</v>
      </c>
      <c r="F145" s="14" t="str">
        <f>VLOOKUP(MID(H145,SEARCH("@",H145,1),LEN(H145)-SEARCH("@",H145,1)+1),[2]Sheet1!$D:$F,3,FALSE)</f>
        <v>M300</v>
      </c>
      <c r="G145" s="14" t="s">
        <v>1326</v>
      </c>
      <c r="H145" s="14" t="s">
        <v>1327</v>
      </c>
      <c r="I145" s="14" t="s">
        <v>1328</v>
      </c>
      <c r="J145" s="14" t="s">
        <v>894</v>
      </c>
      <c r="K145" s="14" t="s">
        <v>732</v>
      </c>
      <c r="M145" s="14">
        <v>1</v>
      </c>
      <c r="V145" s="14">
        <v>0</v>
      </c>
      <c r="W145" s="14">
        <v>130</v>
      </c>
      <c r="AC145" s="14">
        <v>130</v>
      </c>
      <c r="AJ145" s="14">
        <v>0</v>
      </c>
      <c r="AQ145" s="14">
        <v>0</v>
      </c>
      <c r="AX145" s="14">
        <v>0</v>
      </c>
      <c r="BE145" s="14">
        <v>0</v>
      </c>
      <c r="BF145" s="14">
        <v>130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130</v>
      </c>
      <c r="BS145" s="14">
        <v>0</v>
      </c>
      <c r="BT145" s="14">
        <v>1</v>
      </c>
      <c r="BZ145" s="14">
        <v>1</v>
      </c>
      <c r="CG145" s="14">
        <v>0</v>
      </c>
      <c r="CN145" s="14">
        <v>0</v>
      </c>
      <c r="CU145" s="14">
        <v>0</v>
      </c>
      <c r="DB145" s="14">
        <v>0</v>
      </c>
      <c r="DC145" s="14">
        <v>1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1</v>
      </c>
      <c r="DJ145" s="14" t="s">
        <v>598</v>
      </c>
      <c r="DK145" s="14" t="s">
        <v>598</v>
      </c>
      <c r="DL145" s="14" t="s">
        <v>598</v>
      </c>
      <c r="DM145" s="14" t="s">
        <v>598</v>
      </c>
      <c r="DN145" s="14" t="s">
        <v>598</v>
      </c>
      <c r="DO145" s="14" t="s">
        <v>598</v>
      </c>
      <c r="DP145" s="14" t="s">
        <v>597</v>
      </c>
      <c r="DQ145" s="14" t="s">
        <v>598</v>
      </c>
      <c r="DR145" s="14" t="s">
        <v>598</v>
      </c>
      <c r="DS145" s="14" t="s">
        <v>598</v>
      </c>
      <c r="DT145" s="14" t="s">
        <v>598</v>
      </c>
      <c r="DU145" s="14" t="s">
        <v>598</v>
      </c>
      <c r="DV145" s="14" t="s">
        <v>598</v>
      </c>
      <c r="DW145" s="14" t="s">
        <v>598</v>
      </c>
      <c r="DX145" s="14" t="s">
        <v>598</v>
      </c>
      <c r="DY145" s="14" t="s">
        <v>598</v>
      </c>
      <c r="DZ145" s="14" t="s">
        <v>598</v>
      </c>
      <c r="EA145" s="14" t="s">
        <v>598</v>
      </c>
      <c r="EB145" s="14" t="s">
        <v>598</v>
      </c>
      <c r="EC145" s="14" t="s">
        <v>598</v>
      </c>
      <c r="ED145" s="14" t="s">
        <v>598</v>
      </c>
      <c r="EE145" s="14" t="s">
        <v>598</v>
      </c>
      <c r="EF145" s="14" t="s">
        <v>598</v>
      </c>
      <c r="EG145" s="14" t="s">
        <v>598</v>
      </c>
      <c r="EH145" s="14" t="s">
        <v>598</v>
      </c>
      <c r="EI145" s="14" t="s">
        <v>598</v>
      </c>
      <c r="EJ145" s="14" t="s">
        <v>598</v>
      </c>
      <c r="EK145" s="14" t="s">
        <v>598</v>
      </c>
      <c r="EL145" s="14" t="s">
        <v>598</v>
      </c>
      <c r="EM145" s="14" t="s">
        <v>598</v>
      </c>
      <c r="EN145" s="14" t="s">
        <v>598</v>
      </c>
      <c r="EO145" s="14" t="s">
        <v>598</v>
      </c>
      <c r="EP145" s="14" t="s">
        <v>598</v>
      </c>
      <c r="EQ145" s="14" t="s">
        <v>598</v>
      </c>
      <c r="ER145" s="14" t="s">
        <v>598</v>
      </c>
      <c r="ES145" s="14" t="s">
        <v>598</v>
      </c>
      <c r="ET145" s="14">
        <v>30</v>
      </c>
      <c r="EZ145" s="14">
        <v>30</v>
      </c>
      <c r="FG145" s="14">
        <v>0</v>
      </c>
      <c r="FN145" s="14">
        <v>0</v>
      </c>
      <c r="FU145" s="14">
        <v>0</v>
      </c>
      <c r="GB145" s="14">
        <v>0</v>
      </c>
      <c r="GC145" s="14">
        <v>100</v>
      </c>
      <c r="GI145" s="14">
        <v>100</v>
      </c>
      <c r="GP145" s="14">
        <v>0</v>
      </c>
      <c r="GX145" s="14">
        <v>0</v>
      </c>
      <c r="GY145" s="14">
        <v>130</v>
      </c>
      <c r="GZ145" s="14">
        <v>0</v>
      </c>
      <c r="HA145" s="14">
        <v>0</v>
      </c>
      <c r="HB145" s="14">
        <v>0</v>
      </c>
      <c r="HC145" s="14">
        <v>0</v>
      </c>
      <c r="HD145" s="14">
        <v>0</v>
      </c>
      <c r="HE145" s="14">
        <v>130</v>
      </c>
      <c r="HL145" s="14">
        <v>0</v>
      </c>
      <c r="HM145" s="14">
        <v>130</v>
      </c>
      <c r="HS145" s="14">
        <v>130</v>
      </c>
      <c r="HZ145" s="14">
        <v>0</v>
      </c>
      <c r="IG145" s="14">
        <v>0</v>
      </c>
      <c r="IN145" s="14">
        <v>0</v>
      </c>
      <c r="IO145" s="14">
        <v>130</v>
      </c>
      <c r="IP145" s="14">
        <v>0</v>
      </c>
      <c r="IQ145" s="14">
        <v>0</v>
      </c>
      <c r="IR145" s="14">
        <v>0</v>
      </c>
      <c r="IS145" s="14">
        <v>0</v>
      </c>
      <c r="IT145" s="14">
        <v>0</v>
      </c>
      <c r="IU145" s="14">
        <v>130</v>
      </c>
      <c r="IV145" s="14">
        <v>100</v>
      </c>
      <c r="JA145" s="14">
        <v>1</v>
      </c>
      <c r="JB145" s="14">
        <v>3</v>
      </c>
      <c r="JC145" s="14">
        <v>1</v>
      </c>
      <c r="JD145" s="14" t="s">
        <v>600</v>
      </c>
      <c r="NG145" s="14" t="s">
        <v>601</v>
      </c>
      <c r="NH145" s="14">
        <v>30</v>
      </c>
      <c r="NN145" s="14">
        <v>30</v>
      </c>
      <c r="NU145" s="14">
        <v>0</v>
      </c>
      <c r="OB145" s="14">
        <v>0</v>
      </c>
      <c r="OI145" s="14">
        <v>0</v>
      </c>
      <c r="OP145" s="14">
        <v>0</v>
      </c>
      <c r="OQ145" s="14">
        <v>100</v>
      </c>
      <c r="OW145" s="14">
        <v>100</v>
      </c>
      <c r="PD145" s="14">
        <v>0</v>
      </c>
      <c r="PL145" s="14">
        <v>0</v>
      </c>
      <c r="PM145" s="14">
        <v>130</v>
      </c>
      <c r="PN145" s="14">
        <v>0</v>
      </c>
      <c r="PO145" s="14">
        <v>0</v>
      </c>
      <c r="PP145" s="14">
        <v>0</v>
      </c>
      <c r="PQ145" s="14">
        <v>0</v>
      </c>
      <c r="PR145" s="14">
        <v>0</v>
      </c>
      <c r="PS145" s="14">
        <v>130</v>
      </c>
      <c r="PT145" s="14">
        <v>130</v>
      </c>
      <c r="PZ145" s="14">
        <v>130</v>
      </c>
      <c r="QG145" s="14">
        <v>0</v>
      </c>
      <c r="QN145" s="14">
        <v>0</v>
      </c>
      <c r="QU145" s="14">
        <v>0</v>
      </c>
      <c r="RB145" s="14">
        <v>0</v>
      </c>
      <c r="RC145" s="14">
        <v>130</v>
      </c>
      <c r="RD145" s="14">
        <v>0</v>
      </c>
      <c r="RE145" s="14">
        <v>0</v>
      </c>
      <c r="RF145" s="14">
        <v>0</v>
      </c>
      <c r="RG145" s="14">
        <v>0</v>
      </c>
      <c r="RH145" s="14">
        <v>0</v>
      </c>
      <c r="RI145" s="14">
        <v>130</v>
      </c>
      <c r="RJ145" s="14" t="s">
        <v>602</v>
      </c>
      <c r="VM145" s="14" t="s">
        <v>603</v>
      </c>
      <c r="ZP145" s="14" t="s">
        <v>604</v>
      </c>
      <c r="ADS145" s="14" t="s">
        <v>605</v>
      </c>
    </row>
    <row r="146" spans="1:799" x14ac:dyDescent="0.25">
      <c r="A146" s="14">
        <v>144</v>
      </c>
      <c r="B146" s="14" t="s">
        <v>889</v>
      </c>
      <c r="C146" s="16">
        <v>42766.42083333333</v>
      </c>
      <c r="D146" s="14" t="s">
        <v>1329</v>
      </c>
      <c r="E146" s="14" t="s">
        <v>1330</v>
      </c>
      <c r="F146" s="14" t="str">
        <f>VLOOKUP(MID(H146,SEARCH("@",H146,1),LEN(H146)-SEARCH("@",H146,1)+1),[2]Sheet1!$D:$F,3,FALSE)</f>
        <v>M663</v>
      </c>
      <c r="G146" s="14" t="s">
        <v>1331</v>
      </c>
      <c r="H146" s="14" t="s">
        <v>1332</v>
      </c>
      <c r="I146" s="14" t="s">
        <v>1333</v>
      </c>
      <c r="J146" s="14" t="s">
        <v>894</v>
      </c>
      <c r="K146" s="14" t="s">
        <v>732</v>
      </c>
      <c r="M146" s="14">
        <v>1</v>
      </c>
      <c r="T146" s="14">
        <v>75</v>
      </c>
      <c r="V146" s="14">
        <v>75</v>
      </c>
      <c r="AA146" s="14">
        <v>950</v>
      </c>
      <c r="AC146" s="14">
        <v>950</v>
      </c>
      <c r="AJ146" s="14">
        <v>0</v>
      </c>
      <c r="AQ146" s="14">
        <v>0</v>
      </c>
      <c r="AX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1025</v>
      </c>
      <c r="BK146" s="14">
        <v>0</v>
      </c>
      <c r="BL146" s="14">
        <v>1025</v>
      </c>
      <c r="BQ146" s="14">
        <v>1</v>
      </c>
      <c r="BS146" s="14">
        <v>1</v>
      </c>
      <c r="BX146" s="14">
        <v>7</v>
      </c>
      <c r="BZ146" s="14">
        <v>7</v>
      </c>
      <c r="CG146" s="14">
        <v>0</v>
      </c>
      <c r="CN146" s="14">
        <v>0</v>
      </c>
      <c r="CU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0</v>
      </c>
      <c r="DG146" s="14">
        <v>8</v>
      </c>
      <c r="DH146" s="14">
        <v>0</v>
      </c>
      <c r="DI146" s="14">
        <v>8</v>
      </c>
      <c r="DJ146" s="14" t="s">
        <v>598</v>
      </c>
      <c r="DK146" s="14" t="s">
        <v>598</v>
      </c>
      <c r="DL146" s="14" t="s">
        <v>598</v>
      </c>
      <c r="DM146" s="14" t="s">
        <v>598</v>
      </c>
      <c r="DN146" s="14" t="s">
        <v>597</v>
      </c>
      <c r="DO146" s="14" t="s">
        <v>598</v>
      </c>
      <c r="DP146" s="14" t="s">
        <v>598</v>
      </c>
      <c r="DQ146" s="14" t="s">
        <v>598</v>
      </c>
      <c r="DR146" s="14" t="s">
        <v>598</v>
      </c>
      <c r="DS146" s="14" t="s">
        <v>598</v>
      </c>
      <c r="DT146" s="14" t="s">
        <v>597</v>
      </c>
      <c r="DU146" s="14" t="s">
        <v>598</v>
      </c>
      <c r="DV146" s="14" t="s">
        <v>598</v>
      </c>
      <c r="DW146" s="14" t="s">
        <v>598</v>
      </c>
      <c r="DX146" s="14" t="s">
        <v>598</v>
      </c>
      <c r="DY146" s="14" t="s">
        <v>598</v>
      </c>
      <c r="DZ146" s="14" t="s">
        <v>598</v>
      </c>
      <c r="EA146" s="14" t="s">
        <v>598</v>
      </c>
      <c r="EB146" s="14" t="s">
        <v>598</v>
      </c>
      <c r="EC146" s="14" t="s">
        <v>598</v>
      </c>
      <c r="ED146" s="14" t="s">
        <v>598</v>
      </c>
      <c r="EE146" s="14" t="s">
        <v>598</v>
      </c>
      <c r="EF146" s="14" t="s">
        <v>598</v>
      </c>
      <c r="EG146" s="14" t="s">
        <v>598</v>
      </c>
      <c r="EH146" s="14" t="s">
        <v>598</v>
      </c>
      <c r="EI146" s="14" t="s">
        <v>598</v>
      </c>
      <c r="EJ146" s="14" t="s">
        <v>598</v>
      </c>
      <c r="EK146" s="14" t="s">
        <v>598</v>
      </c>
      <c r="EL146" s="14" t="s">
        <v>598</v>
      </c>
      <c r="EM146" s="14" t="s">
        <v>598</v>
      </c>
      <c r="EN146" s="14" t="s">
        <v>598</v>
      </c>
      <c r="EO146" s="14" t="s">
        <v>598</v>
      </c>
      <c r="EP146" s="14" t="s">
        <v>598</v>
      </c>
      <c r="EQ146" s="14" t="s">
        <v>598</v>
      </c>
      <c r="ER146" s="14" t="s">
        <v>598</v>
      </c>
      <c r="ES146" s="14" t="s">
        <v>598</v>
      </c>
      <c r="EX146" s="14">
        <v>525</v>
      </c>
      <c r="EZ146" s="14">
        <v>525</v>
      </c>
      <c r="FG146" s="14">
        <v>0</v>
      </c>
      <c r="FN146" s="14">
        <v>0</v>
      </c>
      <c r="FU146" s="14">
        <v>0</v>
      </c>
      <c r="GB146" s="14">
        <v>0</v>
      </c>
      <c r="GI146" s="14">
        <v>0</v>
      </c>
      <c r="GP146" s="14">
        <v>0</v>
      </c>
      <c r="GQ146" s="14" t="s">
        <v>1066</v>
      </c>
      <c r="GV146" s="14">
        <v>500</v>
      </c>
      <c r="GX146" s="14">
        <v>500</v>
      </c>
      <c r="GY146" s="14">
        <v>0</v>
      </c>
      <c r="GZ146" s="14">
        <v>0</v>
      </c>
      <c r="HA146" s="14">
        <v>0</v>
      </c>
      <c r="HB146" s="14">
        <v>0</v>
      </c>
      <c r="HC146" s="14">
        <v>1025</v>
      </c>
      <c r="HD146" s="14">
        <v>0</v>
      </c>
      <c r="HE146" s="14">
        <v>1025</v>
      </c>
      <c r="HL146" s="14">
        <v>0</v>
      </c>
      <c r="HQ146" s="14">
        <v>1025</v>
      </c>
      <c r="HS146" s="14">
        <v>1025</v>
      </c>
      <c r="HZ146" s="14">
        <v>0</v>
      </c>
      <c r="IG146" s="14">
        <v>0</v>
      </c>
      <c r="IN146" s="14">
        <v>0</v>
      </c>
      <c r="IO146" s="14">
        <v>0</v>
      </c>
      <c r="IP146" s="14">
        <v>0</v>
      </c>
      <c r="IQ146" s="14">
        <v>0</v>
      </c>
      <c r="IR146" s="14">
        <v>0</v>
      </c>
      <c r="IS146" s="14">
        <v>1025</v>
      </c>
      <c r="IT146" s="14">
        <v>0</v>
      </c>
      <c r="IU146" s="14">
        <v>1025</v>
      </c>
      <c r="IX146" s="14">
        <v>100</v>
      </c>
      <c r="JA146" s="14">
        <v>1</v>
      </c>
      <c r="JB146" s="14">
        <v>3</v>
      </c>
      <c r="JC146" s="14">
        <v>1</v>
      </c>
      <c r="JD146" s="14" t="s">
        <v>600</v>
      </c>
      <c r="JI146" s="14">
        <v>75</v>
      </c>
      <c r="JK146" s="14">
        <v>75</v>
      </c>
      <c r="JR146" s="14">
        <v>0</v>
      </c>
      <c r="JY146" s="14">
        <v>0</v>
      </c>
      <c r="KF146" s="14">
        <v>0</v>
      </c>
      <c r="KM146" s="14">
        <v>0</v>
      </c>
      <c r="KT146" s="14">
        <v>0</v>
      </c>
      <c r="LA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75</v>
      </c>
      <c r="LO146" s="14">
        <v>0</v>
      </c>
      <c r="LP146" s="14">
        <v>75</v>
      </c>
      <c r="LU146" s="14">
        <v>75</v>
      </c>
      <c r="LW146" s="14">
        <v>75</v>
      </c>
      <c r="MD146" s="14">
        <v>0</v>
      </c>
      <c r="MK146" s="14">
        <v>0</v>
      </c>
      <c r="MR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0</v>
      </c>
      <c r="ND146" s="14">
        <v>75</v>
      </c>
      <c r="NE146" s="14">
        <v>0</v>
      </c>
      <c r="NF146" s="14">
        <v>75</v>
      </c>
      <c r="NG146" s="14" t="s">
        <v>601</v>
      </c>
      <c r="NL146" s="14">
        <v>450</v>
      </c>
      <c r="NN146" s="14">
        <v>450</v>
      </c>
      <c r="NU146" s="14">
        <v>0</v>
      </c>
      <c r="OB146" s="14">
        <v>0</v>
      </c>
      <c r="OI146" s="14">
        <v>0</v>
      </c>
      <c r="OP146" s="14">
        <v>0</v>
      </c>
      <c r="OW146" s="14">
        <v>0</v>
      </c>
      <c r="PD146" s="14">
        <v>0</v>
      </c>
      <c r="PE146" s="14" t="s">
        <v>1066</v>
      </c>
      <c r="PJ146" s="14">
        <v>500</v>
      </c>
      <c r="PL146" s="14">
        <v>500</v>
      </c>
      <c r="PM146" s="14">
        <v>0</v>
      </c>
      <c r="PN146" s="14">
        <v>0</v>
      </c>
      <c r="PO146" s="14">
        <v>0</v>
      </c>
      <c r="PP146" s="14">
        <v>0</v>
      </c>
      <c r="PQ146" s="14">
        <v>950</v>
      </c>
      <c r="PR146" s="14">
        <v>0</v>
      </c>
      <c r="PS146" s="14">
        <v>950</v>
      </c>
      <c r="PX146" s="14">
        <v>950</v>
      </c>
      <c r="PZ146" s="14">
        <v>950</v>
      </c>
      <c r="QG146" s="14">
        <v>0</v>
      </c>
      <c r="QN146" s="14">
        <v>0</v>
      </c>
      <c r="QU146" s="14">
        <v>0</v>
      </c>
      <c r="RB146" s="14">
        <v>0</v>
      </c>
      <c r="RC146" s="14">
        <v>0</v>
      </c>
      <c r="RD146" s="14">
        <v>0</v>
      </c>
      <c r="RE146" s="14">
        <v>0</v>
      </c>
      <c r="RF146" s="14">
        <v>0</v>
      </c>
      <c r="RG146" s="14">
        <v>950</v>
      </c>
      <c r="RH146" s="14">
        <v>0</v>
      </c>
      <c r="RI146" s="14">
        <v>950</v>
      </c>
      <c r="RJ146" s="14" t="s">
        <v>602</v>
      </c>
      <c r="VM146" s="14" t="s">
        <v>603</v>
      </c>
      <c r="ZP146" s="14" t="s">
        <v>604</v>
      </c>
      <c r="ADS146" s="14" t="s">
        <v>605</v>
      </c>
    </row>
    <row r="147" spans="1:799" x14ac:dyDescent="0.25">
      <c r="A147" s="14">
        <v>215</v>
      </c>
      <c r="B147" s="14" t="s">
        <v>889</v>
      </c>
      <c r="C147" s="16">
        <v>42780</v>
      </c>
      <c r="D147" s="14" t="s">
        <v>1334</v>
      </c>
      <c r="E147" s="14" t="s">
        <v>1335</v>
      </c>
      <c r="F147" s="14" t="str">
        <f>VLOOKUP(MID(H147,SEARCH("@",H147,1),LEN(H147)-SEARCH("@",H147,1)+1),[2]Sheet1!$D:$F,3,FALSE)</f>
        <v>M318</v>
      </c>
      <c r="G147" s="14" t="s">
        <v>1336</v>
      </c>
      <c r="H147" s="14" t="s">
        <v>1337</v>
      </c>
      <c r="I147" s="14">
        <v>390232115357</v>
      </c>
      <c r="J147" s="14" t="s">
        <v>1078</v>
      </c>
      <c r="K147" s="14" t="s">
        <v>732</v>
      </c>
      <c r="M147" s="14">
        <v>1</v>
      </c>
      <c r="V147" s="14">
        <v>0</v>
      </c>
      <c r="W147" s="14">
        <v>220</v>
      </c>
      <c r="AC147" s="14">
        <v>220</v>
      </c>
      <c r="AJ147" s="14">
        <v>0</v>
      </c>
      <c r="AQ147" s="14">
        <v>0</v>
      </c>
      <c r="AX147" s="14">
        <v>0</v>
      </c>
      <c r="BE147" s="14">
        <v>0</v>
      </c>
      <c r="BF147" s="14">
        <v>220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220</v>
      </c>
      <c r="BS147" s="14">
        <v>0</v>
      </c>
      <c r="BT147" s="14">
        <v>2</v>
      </c>
      <c r="BZ147" s="14">
        <v>2</v>
      </c>
      <c r="CG147" s="14">
        <v>0</v>
      </c>
      <c r="CN147" s="14">
        <v>0</v>
      </c>
      <c r="CU147" s="14">
        <v>0</v>
      </c>
      <c r="DB147" s="14">
        <v>0</v>
      </c>
      <c r="DC147" s="14">
        <v>2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2</v>
      </c>
      <c r="DJ147" s="14" t="s">
        <v>598</v>
      </c>
      <c r="DK147" s="14" t="s">
        <v>598</v>
      </c>
      <c r="DL147" s="14" t="s">
        <v>598</v>
      </c>
      <c r="DM147" s="14" t="s">
        <v>598</v>
      </c>
      <c r="DN147" s="14" t="s">
        <v>598</v>
      </c>
      <c r="DO147" s="14" t="s">
        <v>598</v>
      </c>
      <c r="DP147" s="14" t="s">
        <v>597</v>
      </c>
      <c r="DQ147" s="14" t="s">
        <v>598</v>
      </c>
      <c r="DR147" s="14" t="s">
        <v>598</v>
      </c>
      <c r="DS147" s="14" t="s">
        <v>598</v>
      </c>
      <c r="DT147" s="14" t="s">
        <v>598</v>
      </c>
      <c r="DU147" s="14" t="s">
        <v>598</v>
      </c>
      <c r="DV147" s="14" t="s">
        <v>598</v>
      </c>
      <c r="DW147" s="14" t="s">
        <v>598</v>
      </c>
      <c r="DX147" s="14" t="s">
        <v>598</v>
      </c>
      <c r="DY147" s="14" t="s">
        <v>598</v>
      </c>
      <c r="DZ147" s="14" t="s">
        <v>598</v>
      </c>
      <c r="EA147" s="14" t="s">
        <v>598</v>
      </c>
      <c r="EB147" s="14" t="s">
        <v>598</v>
      </c>
      <c r="EC147" s="14" t="s">
        <v>598</v>
      </c>
      <c r="ED147" s="14" t="s">
        <v>598</v>
      </c>
      <c r="EE147" s="14" t="s">
        <v>598</v>
      </c>
      <c r="EF147" s="14" t="s">
        <v>598</v>
      </c>
      <c r="EG147" s="14" t="s">
        <v>598</v>
      </c>
      <c r="EH147" s="14" t="s">
        <v>598</v>
      </c>
      <c r="EI147" s="14" t="s">
        <v>598</v>
      </c>
      <c r="EJ147" s="14" t="s">
        <v>598</v>
      </c>
      <c r="EK147" s="14" t="s">
        <v>598</v>
      </c>
      <c r="EL147" s="14" t="s">
        <v>598</v>
      </c>
      <c r="EM147" s="14" t="s">
        <v>598</v>
      </c>
      <c r="EN147" s="14" t="s">
        <v>598</v>
      </c>
      <c r="EO147" s="14" t="s">
        <v>598</v>
      </c>
      <c r="EP147" s="14" t="s">
        <v>598</v>
      </c>
      <c r="EQ147" s="14" t="s">
        <v>598</v>
      </c>
      <c r="ER147" s="14" t="s">
        <v>598</v>
      </c>
      <c r="ES147" s="14" t="s">
        <v>598</v>
      </c>
      <c r="EZ147" s="14">
        <v>0</v>
      </c>
      <c r="FA147" s="14">
        <v>150</v>
      </c>
      <c r="FG147" s="14">
        <v>150</v>
      </c>
      <c r="FN147" s="14">
        <v>0</v>
      </c>
      <c r="FU147" s="14">
        <v>0</v>
      </c>
      <c r="GB147" s="14">
        <v>0</v>
      </c>
      <c r="GI147" s="14">
        <v>0</v>
      </c>
      <c r="GP147" s="14">
        <v>0</v>
      </c>
      <c r="GQ147" s="14" t="s">
        <v>1338</v>
      </c>
      <c r="GR147" s="14">
        <v>70</v>
      </c>
      <c r="GX147" s="14">
        <v>70</v>
      </c>
      <c r="GY147" s="14">
        <v>220</v>
      </c>
      <c r="GZ147" s="14">
        <v>0</v>
      </c>
      <c r="HA147" s="14">
        <v>0</v>
      </c>
      <c r="HB147" s="14">
        <v>0</v>
      </c>
      <c r="HC147" s="14">
        <v>0</v>
      </c>
      <c r="HD147" s="14">
        <v>0</v>
      </c>
      <c r="HE147" s="14">
        <v>220</v>
      </c>
      <c r="HL147" s="14">
        <v>0</v>
      </c>
      <c r="HM147" s="14">
        <v>150</v>
      </c>
      <c r="HS147" s="14">
        <v>150</v>
      </c>
      <c r="HT147" s="14">
        <v>70</v>
      </c>
      <c r="HZ147" s="14">
        <v>70</v>
      </c>
      <c r="IG147" s="14">
        <v>0</v>
      </c>
      <c r="IN147" s="14">
        <v>0</v>
      </c>
      <c r="IO147" s="14">
        <v>220</v>
      </c>
      <c r="IP147" s="14">
        <v>0</v>
      </c>
      <c r="IQ147" s="14">
        <v>0</v>
      </c>
      <c r="IR147" s="14">
        <v>0</v>
      </c>
      <c r="IS147" s="14">
        <v>0</v>
      </c>
      <c r="IT147" s="14">
        <v>0</v>
      </c>
      <c r="IU147" s="14">
        <v>220</v>
      </c>
      <c r="IX147" s="14">
        <v>100</v>
      </c>
      <c r="JA147" s="14">
        <v>1</v>
      </c>
      <c r="JB147" s="14">
        <v>3</v>
      </c>
      <c r="JC147" s="14">
        <v>1</v>
      </c>
      <c r="JD147" s="14" t="s">
        <v>600</v>
      </c>
      <c r="NG147" s="14" t="s">
        <v>601</v>
      </c>
      <c r="NN147" s="14">
        <v>0</v>
      </c>
      <c r="NO147" s="14">
        <v>150</v>
      </c>
      <c r="NU147" s="14">
        <v>150</v>
      </c>
      <c r="OB147" s="14">
        <v>0</v>
      </c>
      <c r="OI147" s="14">
        <v>0</v>
      </c>
      <c r="OP147" s="14">
        <v>0</v>
      </c>
      <c r="OW147" s="14">
        <v>0</v>
      </c>
      <c r="PD147" s="14">
        <v>0</v>
      </c>
      <c r="PE147" s="14" t="s">
        <v>1338</v>
      </c>
      <c r="PF147" s="14">
        <v>70</v>
      </c>
      <c r="PL147" s="14">
        <v>70</v>
      </c>
      <c r="PM147" s="14">
        <v>220</v>
      </c>
      <c r="PN147" s="14">
        <v>0</v>
      </c>
      <c r="PO147" s="14">
        <v>0</v>
      </c>
      <c r="PP147" s="14">
        <v>0</v>
      </c>
      <c r="PQ147" s="14">
        <v>0</v>
      </c>
      <c r="PR147" s="14">
        <v>0</v>
      </c>
      <c r="PS147" s="14">
        <v>220</v>
      </c>
      <c r="PT147" s="14">
        <v>150</v>
      </c>
      <c r="PZ147" s="14">
        <v>150</v>
      </c>
      <c r="QG147" s="14">
        <v>0</v>
      </c>
      <c r="QH147" s="14">
        <v>70</v>
      </c>
      <c r="QN147" s="14">
        <v>70</v>
      </c>
      <c r="QU147" s="14">
        <v>0</v>
      </c>
      <c r="RB147" s="14">
        <v>0</v>
      </c>
      <c r="RC147" s="14">
        <v>220</v>
      </c>
      <c r="RD147" s="14">
        <v>0</v>
      </c>
      <c r="RE147" s="14">
        <v>0</v>
      </c>
      <c r="RF147" s="14">
        <v>0</v>
      </c>
      <c r="RG147" s="14">
        <v>0</v>
      </c>
      <c r="RH147" s="14">
        <v>0</v>
      </c>
      <c r="RI147" s="14">
        <v>220</v>
      </c>
      <c r="RJ147" s="14" t="s">
        <v>602</v>
      </c>
      <c r="VM147" s="14" t="s">
        <v>603</v>
      </c>
      <c r="ZP147" s="14" t="s">
        <v>604</v>
      </c>
      <c r="ADS147" s="14" t="s">
        <v>605</v>
      </c>
    </row>
    <row r="148" spans="1:799" x14ac:dyDescent="0.25">
      <c r="A148" s="14">
        <v>224</v>
      </c>
      <c r="B148" s="14" t="s">
        <v>889</v>
      </c>
      <c r="C148" s="16">
        <v>42780</v>
      </c>
      <c r="D148" s="14" t="s">
        <v>1339</v>
      </c>
      <c r="E148" s="14" t="s">
        <v>1340</v>
      </c>
      <c r="F148" s="14" t="str">
        <f>VLOOKUP(MID(H148,SEARCH("@",H148,1),LEN(H148)-SEARCH("@",H148,1)+1),[2]Sheet1!$D:$F,3,FALSE)</f>
        <v>M068</v>
      </c>
      <c r="G148" s="14" t="s">
        <v>1341</v>
      </c>
      <c r="H148" s="14" t="s">
        <v>1342</v>
      </c>
      <c r="I148" s="14" t="s">
        <v>1343</v>
      </c>
      <c r="J148" s="14" t="s">
        <v>979</v>
      </c>
      <c r="K148" s="14" t="s">
        <v>732</v>
      </c>
      <c r="M148" s="14">
        <v>1</v>
      </c>
      <c r="V148" s="14">
        <v>0</v>
      </c>
      <c r="W148" s="14">
        <v>157</v>
      </c>
      <c r="X148" s="14">
        <v>186</v>
      </c>
      <c r="AC148" s="14">
        <v>343</v>
      </c>
      <c r="AJ148" s="14">
        <v>0</v>
      </c>
      <c r="AQ148" s="14">
        <v>0</v>
      </c>
      <c r="AX148" s="14">
        <v>0</v>
      </c>
      <c r="BE148" s="14">
        <v>0</v>
      </c>
      <c r="BF148" s="14">
        <v>157</v>
      </c>
      <c r="BG148" s="14">
        <v>186</v>
      </c>
      <c r="BH148" s="14">
        <v>0</v>
      </c>
      <c r="BI148" s="14">
        <v>0</v>
      </c>
      <c r="BJ148" s="14">
        <v>0</v>
      </c>
      <c r="BK148" s="14">
        <v>0</v>
      </c>
      <c r="BL148" s="14">
        <v>343</v>
      </c>
      <c r="BS148" s="14">
        <v>0</v>
      </c>
      <c r="BT148" s="14">
        <v>2</v>
      </c>
      <c r="BU148" s="14">
        <v>2</v>
      </c>
      <c r="BZ148" s="14">
        <v>4</v>
      </c>
      <c r="CG148" s="14">
        <v>0</v>
      </c>
      <c r="CN148" s="14">
        <v>0</v>
      </c>
      <c r="CU148" s="14">
        <v>0</v>
      </c>
      <c r="DB148" s="14">
        <v>0</v>
      </c>
      <c r="DC148" s="14">
        <v>2</v>
      </c>
      <c r="DD148" s="14">
        <v>2</v>
      </c>
      <c r="DE148" s="14">
        <v>0</v>
      </c>
      <c r="DF148" s="14">
        <v>0</v>
      </c>
      <c r="DG148" s="14">
        <v>0</v>
      </c>
      <c r="DH148" s="14">
        <v>0</v>
      </c>
      <c r="DI148" s="14">
        <v>4</v>
      </c>
      <c r="DJ148" s="14" t="s">
        <v>598</v>
      </c>
      <c r="DK148" s="14" t="s">
        <v>598</v>
      </c>
      <c r="DL148" s="14" t="s">
        <v>598</v>
      </c>
      <c r="DM148" s="14" t="s">
        <v>598</v>
      </c>
      <c r="DN148" s="14" t="s">
        <v>598</v>
      </c>
      <c r="DO148" s="14" t="s">
        <v>598</v>
      </c>
      <c r="DP148" s="14" t="s">
        <v>597</v>
      </c>
      <c r="DQ148" s="14" t="s">
        <v>597</v>
      </c>
      <c r="DR148" s="14" t="s">
        <v>598</v>
      </c>
      <c r="DS148" s="14" t="s">
        <v>598</v>
      </c>
      <c r="DT148" s="14" t="s">
        <v>598</v>
      </c>
      <c r="DU148" s="14" t="s">
        <v>598</v>
      </c>
      <c r="DV148" s="14" t="s">
        <v>598</v>
      </c>
      <c r="DW148" s="14" t="s">
        <v>598</v>
      </c>
      <c r="DX148" s="14" t="s">
        <v>598</v>
      </c>
      <c r="DY148" s="14" t="s">
        <v>598</v>
      </c>
      <c r="DZ148" s="14" t="s">
        <v>598</v>
      </c>
      <c r="EA148" s="14" t="s">
        <v>598</v>
      </c>
      <c r="EB148" s="14" t="s">
        <v>598</v>
      </c>
      <c r="EC148" s="14" t="s">
        <v>598</v>
      </c>
      <c r="ED148" s="14" t="s">
        <v>598</v>
      </c>
      <c r="EE148" s="14" t="s">
        <v>598</v>
      </c>
      <c r="EF148" s="14" t="s">
        <v>598</v>
      </c>
      <c r="EG148" s="14" t="s">
        <v>598</v>
      </c>
      <c r="EH148" s="14" t="s">
        <v>598</v>
      </c>
      <c r="EI148" s="14" t="s">
        <v>598</v>
      </c>
      <c r="EJ148" s="14" t="s">
        <v>598</v>
      </c>
      <c r="EK148" s="14" t="s">
        <v>598</v>
      </c>
      <c r="EL148" s="14" t="s">
        <v>598</v>
      </c>
      <c r="EM148" s="14" t="s">
        <v>598</v>
      </c>
      <c r="EN148" s="14" t="s">
        <v>598</v>
      </c>
      <c r="EO148" s="14" t="s">
        <v>598</v>
      </c>
      <c r="EP148" s="14" t="s">
        <v>598</v>
      </c>
      <c r="EQ148" s="14" t="s">
        <v>598</v>
      </c>
      <c r="ER148" s="14" t="s">
        <v>598</v>
      </c>
      <c r="ES148" s="14" t="s">
        <v>598</v>
      </c>
      <c r="ET148" s="14">
        <v>19</v>
      </c>
      <c r="EU148" s="14">
        <v>61</v>
      </c>
      <c r="EZ148" s="14">
        <v>80</v>
      </c>
      <c r="FA148" s="14">
        <v>133</v>
      </c>
      <c r="FB148" s="14">
        <v>125</v>
      </c>
      <c r="FG148" s="14">
        <v>258</v>
      </c>
      <c r="FN148" s="14">
        <v>0</v>
      </c>
      <c r="FU148" s="14">
        <v>0</v>
      </c>
      <c r="GB148" s="14">
        <v>0</v>
      </c>
      <c r="GI148" s="14">
        <v>0</v>
      </c>
      <c r="GP148" s="14">
        <v>0</v>
      </c>
      <c r="GQ148" s="14" t="s">
        <v>1066</v>
      </c>
      <c r="GR148" s="14">
        <v>5</v>
      </c>
      <c r="GX148" s="14">
        <v>5</v>
      </c>
      <c r="GY148" s="14">
        <v>157</v>
      </c>
      <c r="GZ148" s="14">
        <v>186</v>
      </c>
      <c r="HA148" s="14">
        <v>0</v>
      </c>
      <c r="HB148" s="14">
        <v>0</v>
      </c>
      <c r="HC148" s="14">
        <v>0</v>
      </c>
      <c r="HD148" s="14">
        <v>0</v>
      </c>
      <c r="HE148" s="14">
        <v>343</v>
      </c>
      <c r="HL148" s="14">
        <v>0</v>
      </c>
      <c r="HM148" s="14">
        <v>157</v>
      </c>
      <c r="HN148" s="14">
        <v>186</v>
      </c>
      <c r="HS148" s="14">
        <v>343</v>
      </c>
      <c r="HZ148" s="14">
        <v>0</v>
      </c>
      <c r="IG148" s="14">
        <v>0</v>
      </c>
      <c r="IN148" s="14">
        <v>0</v>
      </c>
      <c r="IO148" s="14">
        <v>157</v>
      </c>
      <c r="IP148" s="14">
        <v>186</v>
      </c>
      <c r="IQ148" s="14">
        <v>0</v>
      </c>
      <c r="IR148" s="14">
        <v>0</v>
      </c>
      <c r="IS148" s="14">
        <v>0</v>
      </c>
      <c r="IT148" s="14">
        <v>0</v>
      </c>
      <c r="IU148" s="14">
        <v>343</v>
      </c>
      <c r="IV148" s="14">
        <v>1</v>
      </c>
      <c r="IX148" s="14">
        <v>99</v>
      </c>
      <c r="JA148" s="14">
        <v>1</v>
      </c>
      <c r="JB148" s="14">
        <v>2</v>
      </c>
      <c r="JC148" s="14">
        <v>1</v>
      </c>
      <c r="JD148" s="14" t="s">
        <v>600</v>
      </c>
      <c r="NG148" s="14" t="s">
        <v>601</v>
      </c>
      <c r="NH148" s="14">
        <v>19</v>
      </c>
      <c r="NI148" s="14">
        <v>61</v>
      </c>
      <c r="NN148" s="14">
        <v>80</v>
      </c>
      <c r="NO148" s="14">
        <v>133</v>
      </c>
      <c r="NP148" s="14">
        <v>125</v>
      </c>
      <c r="NU148" s="14">
        <v>258</v>
      </c>
      <c r="OB148" s="14">
        <v>0</v>
      </c>
      <c r="OI148" s="14">
        <v>0</v>
      </c>
      <c r="OP148" s="14">
        <v>0</v>
      </c>
      <c r="OW148" s="14">
        <v>0</v>
      </c>
      <c r="PD148" s="14">
        <v>0</v>
      </c>
      <c r="PE148" s="14" t="s">
        <v>1066</v>
      </c>
      <c r="PF148" s="14">
        <v>5</v>
      </c>
      <c r="PL148" s="14">
        <v>5</v>
      </c>
      <c r="PM148" s="14">
        <v>157</v>
      </c>
      <c r="PN148" s="14">
        <v>186</v>
      </c>
      <c r="PO148" s="14">
        <v>0</v>
      </c>
      <c r="PP148" s="14">
        <v>0</v>
      </c>
      <c r="PQ148" s="14">
        <v>0</v>
      </c>
      <c r="PR148" s="14">
        <v>0</v>
      </c>
      <c r="PS148" s="14">
        <v>343</v>
      </c>
      <c r="PT148" s="14">
        <v>157</v>
      </c>
      <c r="PU148" s="14">
        <v>186</v>
      </c>
      <c r="PZ148" s="14">
        <v>343</v>
      </c>
      <c r="QG148" s="14">
        <v>0</v>
      </c>
      <c r="QN148" s="14">
        <v>0</v>
      </c>
      <c r="QU148" s="14">
        <v>0</v>
      </c>
      <c r="RB148" s="14">
        <v>0</v>
      </c>
      <c r="RC148" s="14">
        <v>157</v>
      </c>
      <c r="RD148" s="14">
        <v>186</v>
      </c>
      <c r="RE148" s="14">
        <v>0</v>
      </c>
      <c r="RF148" s="14">
        <v>0</v>
      </c>
      <c r="RG148" s="14">
        <v>0</v>
      </c>
      <c r="RH148" s="14">
        <v>0</v>
      </c>
      <c r="RI148" s="14">
        <v>343</v>
      </c>
      <c r="RJ148" s="14" t="s">
        <v>602</v>
      </c>
      <c r="VM148" s="14" t="s">
        <v>603</v>
      </c>
      <c r="ZP148" s="14" t="s">
        <v>604</v>
      </c>
      <c r="ADS148" s="14" t="s">
        <v>605</v>
      </c>
    </row>
    <row r="149" spans="1:799" x14ac:dyDescent="0.25">
      <c r="A149" s="14">
        <v>61</v>
      </c>
      <c r="B149" s="14" t="s">
        <v>889</v>
      </c>
      <c r="C149" s="16">
        <v>42746.566666666666</v>
      </c>
      <c r="D149" s="14" t="s">
        <v>1344</v>
      </c>
      <c r="E149" s="14" t="s">
        <v>1345</v>
      </c>
      <c r="F149" s="14" t="str">
        <f>VLOOKUP(MID(H149,SEARCH("@",H149,1),LEN(H149)-SEARCH("@",H149,1)+1),[2]Sheet1!$D:$F,3,FALSE)</f>
        <v>M091</v>
      </c>
      <c r="G149" s="14" t="s">
        <v>1346</v>
      </c>
      <c r="H149" s="14" t="s">
        <v>1347</v>
      </c>
      <c r="I149" s="14">
        <v>2074346320</v>
      </c>
      <c r="J149" s="14" t="s">
        <v>611</v>
      </c>
      <c r="K149" s="14" t="s">
        <v>596</v>
      </c>
      <c r="M149" s="14">
        <v>1</v>
      </c>
      <c r="V149" s="14">
        <v>0</v>
      </c>
      <c r="W149" s="14">
        <v>945</v>
      </c>
      <c r="AC149" s="14">
        <v>945</v>
      </c>
      <c r="AD149" s="14">
        <v>867</v>
      </c>
      <c r="AJ149" s="14">
        <v>867</v>
      </c>
      <c r="AQ149" s="14">
        <v>0</v>
      </c>
      <c r="AX149" s="14">
        <v>0</v>
      </c>
      <c r="BE149" s="14">
        <v>0</v>
      </c>
      <c r="BF149" s="14">
        <v>1812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1812</v>
      </c>
      <c r="BS149" s="14">
        <v>0</v>
      </c>
      <c r="BT149" s="14">
        <v>1</v>
      </c>
      <c r="BZ149" s="14">
        <v>1</v>
      </c>
      <c r="CA149" s="14">
        <v>1</v>
      </c>
      <c r="CG149" s="14">
        <v>1</v>
      </c>
      <c r="CN149" s="14">
        <v>0</v>
      </c>
      <c r="CU149" s="14">
        <v>0</v>
      </c>
      <c r="DB149" s="14">
        <v>0</v>
      </c>
      <c r="DC149" s="14">
        <v>2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2</v>
      </c>
      <c r="DJ149" s="14" t="s">
        <v>598</v>
      </c>
      <c r="DK149" s="14" t="s">
        <v>598</v>
      </c>
      <c r="DL149" s="14" t="s">
        <v>598</v>
      </c>
      <c r="DM149" s="14" t="s">
        <v>598</v>
      </c>
      <c r="DN149" s="14" t="s">
        <v>598</v>
      </c>
      <c r="DO149" s="14" t="s">
        <v>598</v>
      </c>
      <c r="DP149" s="14" t="s">
        <v>597</v>
      </c>
      <c r="DQ149" s="14" t="s">
        <v>598</v>
      </c>
      <c r="DR149" s="14" t="s">
        <v>598</v>
      </c>
      <c r="DS149" s="14" t="s">
        <v>598</v>
      </c>
      <c r="DT149" s="14" t="s">
        <v>598</v>
      </c>
      <c r="DU149" s="14" t="s">
        <v>598</v>
      </c>
      <c r="DV149" s="14" t="s">
        <v>597</v>
      </c>
      <c r="DW149" s="14" t="s">
        <v>598</v>
      </c>
      <c r="DX149" s="14" t="s">
        <v>598</v>
      </c>
      <c r="DY149" s="14" t="s">
        <v>598</v>
      </c>
      <c r="DZ149" s="14" t="s">
        <v>598</v>
      </c>
      <c r="EA149" s="14" t="s">
        <v>598</v>
      </c>
      <c r="EB149" s="14" t="s">
        <v>598</v>
      </c>
      <c r="EC149" s="14" t="s">
        <v>598</v>
      </c>
      <c r="ED149" s="14" t="s">
        <v>598</v>
      </c>
      <c r="EE149" s="14" t="s">
        <v>598</v>
      </c>
      <c r="EF149" s="14" t="s">
        <v>598</v>
      </c>
      <c r="EG149" s="14" t="s">
        <v>598</v>
      </c>
      <c r="EH149" s="14" t="s">
        <v>598</v>
      </c>
      <c r="EI149" s="14" t="s">
        <v>598</v>
      </c>
      <c r="EJ149" s="14" t="s">
        <v>598</v>
      </c>
      <c r="EK149" s="14" t="s">
        <v>598</v>
      </c>
      <c r="EL149" s="14" t="s">
        <v>598</v>
      </c>
      <c r="EM149" s="14" t="s">
        <v>598</v>
      </c>
      <c r="EN149" s="14" t="s">
        <v>598</v>
      </c>
      <c r="EO149" s="14" t="s">
        <v>598</v>
      </c>
      <c r="EP149" s="14" t="s">
        <v>598</v>
      </c>
      <c r="EQ149" s="14" t="s">
        <v>598</v>
      </c>
      <c r="ER149" s="14" t="s">
        <v>598</v>
      </c>
      <c r="ES149" s="14" t="s">
        <v>598</v>
      </c>
      <c r="ET149" s="14">
        <v>874</v>
      </c>
      <c r="EZ149" s="14">
        <v>874</v>
      </c>
      <c r="FA149" s="14">
        <v>43</v>
      </c>
      <c r="FG149" s="14">
        <v>43</v>
      </c>
      <c r="FH149" s="14">
        <v>415</v>
      </c>
      <c r="FN149" s="14">
        <v>415</v>
      </c>
      <c r="FU149" s="14">
        <v>0</v>
      </c>
      <c r="GB149" s="14">
        <v>0</v>
      </c>
      <c r="GI149" s="14">
        <v>0</v>
      </c>
      <c r="GJ149" s="14">
        <v>480</v>
      </c>
      <c r="GP149" s="14">
        <v>480</v>
      </c>
      <c r="GX149" s="14">
        <v>0</v>
      </c>
      <c r="GY149" s="14">
        <v>1812</v>
      </c>
      <c r="GZ149" s="14">
        <v>0</v>
      </c>
      <c r="HA149" s="14">
        <v>0</v>
      </c>
      <c r="HB149" s="14">
        <v>0</v>
      </c>
      <c r="HC149" s="14">
        <v>0</v>
      </c>
      <c r="HD149" s="14">
        <v>0</v>
      </c>
      <c r="HE149" s="14">
        <v>1812</v>
      </c>
      <c r="HF149" s="14">
        <v>65</v>
      </c>
      <c r="HL149" s="14">
        <v>65</v>
      </c>
      <c r="HM149" s="14">
        <v>923</v>
      </c>
      <c r="HS149" s="14">
        <v>923</v>
      </c>
      <c r="HT149" s="14">
        <v>662</v>
      </c>
      <c r="HZ149" s="14">
        <v>662</v>
      </c>
      <c r="IA149" s="14">
        <v>162</v>
      </c>
      <c r="IG149" s="14">
        <v>162</v>
      </c>
      <c r="IN149" s="14">
        <v>0</v>
      </c>
      <c r="IO149" s="14">
        <v>1812</v>
      </c>
      <c r="IP149" s="14">
        <v>0</v>
      </c>
      <c r="IQ149" s="14">
        <v>0</v>
      </c>
      <c r="IR149" s="14">
        <v>0</v>
      </c>
      <c r="IS149" s="14">
        <v>0</v>
      </c>
      <c r="IT149" s="14">
        <v>0</v>
      </c>
      <c r="IU149" s="14">
        <v>1812</v>
      </c>
      <c r="IV149" s="14">
        <v>25</v>
      </c>
      <c r="IX149" s="14">
        <v>75</v>
      </c>
      <c r="JA149" s="14">
        <v>1</v>
      </c>
      <c r="JB149" s="14">
        <v>2</v>
      </c>
      <c r="JC149" s="14">
        <v>2</v>
      </c>
      <c r="JD149" s="14" t="s">
        <v>600</v>
      </c>
      <c r="NG149" s="14" t="s">
        <v>601</v>
      </c>
      <c r="NH149" s="14">
        <v>873</v>
      </c>
      <c r="NN149" s="14">
        <v>873</v>
      </c>
      <c r="NO149" s="14">
        <v>43</v>
      </c>
      <c r="NU149" s="14">
        <v>43</v>
      </c>
      <c r="OB149" s="14">
        <v>0</v>
      </c>
      <c r="OI149" s="14">
        <v>0</v>
      </c>
      <c r="OP149" s="14">
        <v>0</v>
      </c>
      <c r="OW149" s="14">
        <v>0</v>
      </c>
      <c r="OX149" s="14">
        <v>29</v>
      </c>
      <c r="PD149" s="14">
        <v>29</v>
      </c>
      <c r="PL149" s="14">
        <v>0</v>
      </c>
      <c r="PM149" s="14">
        <v>945</v>
      </c>
      <c r="PN149" s="14">
        <v>0</v>
      </c>
      <c r="PO149" s="14">
        <v>0</v>
      </c>
      <c r="PP149" s="14">
        <v>0</v>
      </c>
      <c r="PQ149" s="14">
        <v>0</v>
      </c>
      <c r="PR149" s="14">
        <v>0</v>
      </c>
      <c r="PS149" s="14">
        <v>945</v>
      </c>
      <c r="PT149" s="14">
        <v>348</v>
      </c>
      <c r="PZ149" s="14">
        <v>348</v>
      </c>
      <c r="QG149" s="14">
        <v>0</v>
      </c>
      <c r="QH149" s="14">
        <v>597</v>
      </c>
      <c r="QN149" s="14">
        <v>597</v>
      </c>
      <c r="QU149" s="14">
        <v>0</v>
      </c>
      <c r="RB149" s="14">
        <v>0</v>
      </c>
      <c r="RC149" s="14">
        <v>945</v>
      </c>
      <c r="RD149" s="14">
        <v>0</v>
      </c>
      <c r="RE149" s="14">
        <v>0</v>
      </c>
      <c r="RF149" s="14">
        <v>0</v>
      </c>
      <c r="RG149" s="14">
        <v>0</v>
      </c>
      <c r="RH149" s="14">
        <v>0</v>
      </c>
      <c r="RI149" s="14">
        <v>945</v>
      </c>
      <c r="RJ149" s="14" t="s">
        <v>602</v>
      </c>
      <c r="RQ149" s="14">
        <v>0</v>
      </c>
      <c r="RX149" s="14">
        <v>0</v>
      </c>
      <c r="RY149" s="14">
        <v>415</v>
      </c>
      <c r="SE149" s="14">
        <v>415</v>
      </c>
      <c r="SL149" s="14">
        <v>0</v>
      </c>
      <c r="SS149" s="14">
        <v>0</v>
      </c>
      <c r="SZ149" s="14">
        <v>0</v>
      </c>
      <c r="TA149" s="14">
        <v>452</v>
      </c>
      <c r="TG149" s="14">
        <v>452</v>
      </c>
      <c r="TO149" s="14">
        <v>0</v>
      </c>
      <c r="TP149" s="14">
        <v>867</v>
      </c>
      <c r="TQ149" s="14">
        <v>0</v>
      </c>
      <c r="TR149" s="14">
        <v>0</v>
      </c>
      <c r="TS149" s="14">
        <v>0</v>
      </c>
      <c r="TT149" s="14">
        <v>0</v>
      </c>
      <c r="TU149" s="14">
        <v>0</v>
      </c>
      <c r="TV149" s="14">
        <v>867</v>
      </c>
      <c r="TW149" s="14">
        <v>575</v>
      </c>
      <c r="UC149" s="14">
        <v>575</v>
      </c>
      <c r="UD149" s="14">
        <v>65</v>
      </c>
      <c r="UJ149" s="14">
        <v>65</v>
      </c>
      <c r="UK149" s="14">
        <v>65</v>
      </c>
      <c r="UQ149" s="14">
        <v>65</v>
      </c>
      <c r="UR149" s="14">
        <v>162</v>
      </c>
      <c r="UX149" s="14">
        <v>162</v>
      </c>
      <c r="VE149" s="14">
        <v>0</v>
      </c>
      <c r="VF149" s="14">
        <v>867</v>
      </c>
      <c r="VG149" s="14">
        <v>0</v>
      </c>
      <c r="VH149" s="14">
        <v>0</v>
      </c>
      <c r="VI149" s="14">
        <v>0</v>
      </c>
      <c r="VJ149" s="14">
        <v>0</v>
      </c>
      <c r="VK149" s="14">
        <v>0</v>
      </c>
      <c r="VL149" s="14">
        <v>867</v>
      </c>
      <c r="VM149" s="14" t="s">
        <v>603</v>
      </c>
      <c r="ZP149" s="14" t="s">
        <v>604</v>
      </c>
      <c r="ADS149" s="14" t="s">
        <v>605</v>
      </c>
    </row>
    <row r="150" spans="1:799" x14ac:dyDescent="0.25">
      <c r="A150" s="14">
        <v>36</v>
      </c>
      <c r="B150" s="14" t="s">
        <v>889</v>
      </c>
      <c r="C150" s="16">
        <v>42745.513888888891</v>
      </c>
      <c r="D150" s="14" t="s">
        <v>1348</v>
      </c>
      <c r="E150" s="14" t="s">
        <v>1349</v>
      </c>
      <c r="F150" s="14" t="str">
        <f>VLOOKUP(MID(H150,SEARCH("@",H150,1),LEN(H150)-SEARCH("@",H150,1)+1),[2]Sheet1!$D:$F,3,FALSE)</f>
        <v>M498</v>
      </c>
      <c r="G150" s="14" t="s">
        <v>1350</v>
      </c>
      <c r="H150" s="14" t="s">
        <v>1351</v>
      </c>
      <c r="I150" s="14">
        <v>31655733680</v>
      </c>
      <c r="J150" s="14" t="s">
        <v>979</v>
      </c>
      <c r="K150" s="14" t="s">
        <v>732</v>
      </c>
      <c r="M150" s="14">
        <v>2</v>
      </c>
      <c r="N150" s="14">
        <v>6</v>
      </c>
      <c r="O150" s="14" t="s">
        <v>1352</v>
      </c>
      <c r="V150" s="14">
        <v>0</v>
      </c>
      <c r="AC150" s="14">
        <v>0</v>
      </c>
      <c r="AJ150" s="14">
        <v>0</v>
      </c>
      <c r="AQ150" s="14">
        <v>0</v>
      </c>
      <c r="AX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S150" s="14">
        <v>0</v>
      </c>
      <c r="BZ150" s="14">
        <v>0</v>
      </c>
      <c r="CG150" s="14">
        <v>0</v>
      </c>
      <c r="CN150" s="14">
        <v>0</v>
      </c>
      <c r="CU150" s="14">
        <v>0</v>
      </c>
      <c r="DB150" s="14">
        <v>0</v>
      </c>
      <c r="DC150" s="14">
        <v>0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>
        <v>0</v>
      </c>
      <c r="DJ150" s="14" t="s">
        <v>598</v>
      </c>
      <c r="DK150" s="14" t="s">
        <v>598</v>
      </c>
      <c r="DL150" s="14" t="s">
        <v>598</v>
      </c>
      <c r="DM150" s="14" t="s">
        <v>598</v>
      </c>
      <c r="DN150" s="14" t="s">
        <v>598</v>
      </c>
      <c r="DO150" s="14" t="s">
        <v>598</v>
      </c>
      <c r="DP150" s="14" t="s">
        <v>598</v>
      </c>
      <c r="DQ150" s="14" t="s">
        <v>598</v>
      </c>
      <c r="DR150" s="14" t="s">
        <v>598</v>
      </c>
      <c r="DS150" s="14" t="s">
        <v>598</v>
      </c>
      <c r="DT150" s="14" t="s">
        <v>598</v>
      </c>
      <c r="DU150" s="14" t="s">
        <v>598</v>
      </c>
      <c r="DV150" s="14" t="s">
        <v>598</v>
      </c>
      <c r="DW150" s="14" t="s">
        <v>598</v>
      </c>
      <c r="DX150" s="14" t="s">
        <v>598</v>
      </c>
      <c r="DY150" s="14" t="s">
        <v>598</v>
      </c>
      <c r="DZ150" s="14" t="s">
        <v>598</v>
      </c>
      <c r="EA150" s="14" t="s">
        <v>598</v>
      </c>
      <c r="EB150" s="14" t="s">
        <v>598</v>
      </c>
      <c r="EC150" s="14" t="s">
        <v>598</v>
      </c>
      <c r="ED150" s="14" t="s">
        <v>598</v>
      </c>
      <c r="EE150" s="14" t="s">
        <v>598</v>
      </c>
      <c r="EF150" s="14" t="s">
        <v>598</v>
      </c>
      <c r="EG150" s="14" t="s">
        <v>598</v>
      </c>
      <c r="EH150" s="14" t="s">
        <v>598</v>
      </c>
      <c r="EI150" s="14" t="s">
        <v>598</v>
      </c>
      <c r="EJ150" s="14" t="s">
        <v>598</v>
      </c>
      <c r="EK150" s="14" t="s">
        <v>598</v>
      </c>
      <c r="EL150" s="14" t="s">
        <v>598</v>
      </c>
      <c r="EM150" s="14" t="s">
        <v>598</v>
      </c>
      <c r="EN150" s="14" t="s">
        <v>598</v>
      </c>
      <c r="EO150" s="14" t="s">
        <v>598</v>
      </c>
      <c r="EP150" s="14" t="s">
        <v>598</v>
      </c>
      <c r="EQ150" s="14" t="s">
        <v>598</v>
      </c>
      <c r="ER150" s="14" t="s">
        <v>598</v>
      </c>
      <c r="ES150" s="14" t="s">
        <v>598</v>
      </c>
      <c r="EZ150" s="14">
        <v>0</v>
      </c>
      <c r="FG150" s="14">
        <v>0</v>
      </c>
      <c r="FN150" s="14">
        <v>0</v>
      </c>
      <c r="FU150" s="14">
        <v>0</v>
      </c>
      <c r="GB150" s="14">
        <v>0</v>
      </c>
      <c r="GI150" s="14">
        <v>0</v>
      </c>
      <c r="GP150" s="14">
        <v>0</v>
      </c>
      <c r="GX150" s="14">
        <v>0</v>
      </c>
      <c r="GY150" s="14">
        <v>0</v>
      </c>
      <c r="GZ150" s="14">
        <v>0</v>
      </c>
      <c r="HA150" s="14">
        <v>0</v>
      </c>
      <c r="HB150" s="14">
        <v>0</v>
      </c>
      <c r="HC150" s="14">
        <v>0</v>
      </c>
      <c r="HD150" s="14">
        <v>0</v>
      </c>
      <c r="HE150" s="14">
        <v>0</v>
      </c>
      <c r="HL150" s="14">
        <v>0</v>
      </c>
      <c r="HS150" s="14">
        <v>0</v>
      </c>
      <c r="HZ150" s="14">
        <v>0</v>
      </c>
      <c r="IG150" s="14">
        <v>0</v>
      </c>
      <c r="IN150" s="14">
        <v>0</v>
      </c>
      <c r="IO150" s="14">
        <v>0</v>
      </c>
      <c r="IP150" s="14">
        <v>0</v>
      </c>
      <c r="IQ150" s="14">
        <v>0</v>
      </c>
      <c r="IR150" s="14">
        <v>0</v>
      </c>
      <c r="IS150" s="14">
        <v>0</v>
      </c>
      <c r="IT150" s="14">
        <v>0</v>
      </c>
      <c r="IU150" s="14">
        <v>0</v>
      </c>
      <c r="JA150" s="14">
        <v>1</v>
      </c>
      <c r="JB150" s="14">
        <v>3</v>
      </c>
      <c r="JC150" s="14">
        <v>1</v>
      </c>
      <c r="JD150" s="14" t="s">
        <v>600</v>
      </c>
      <c r="NG150" s="14" t="s">
        <v>601</v>
      </c>
      <c r="RJ150" s="14" t="s">
        <v>602</v>
      </c>
      <c r="VM150" s="14" t="s">
        <v>603</v>
      </c>
      <c r="ZP150" s="14" t="s">
        <v>604</v>
      </c>
      <c r="ADS150" s="14" t="s">
        <v>605</v>
      </c>
    </row>
    <row r="151" spans="1:799" x14ac:dyDescent="0.25">
      <c r="A151" s="14">
        <v>133</v>
      </c>
      <c r="B151" s="14" t="s">
        <v>889</v>
      </c>
      <c r="C151" s="16">
        <v>42779.3</v>
      </c>
      <c r="D151" s="14" t="s">
        <v>1353</v>
      </c>
      <c r="E151" s="14" t="s">
        <v>1354</v>
      </c>
      <c r="F151" s="14" t="str">
        <f>VLOOKUP(MID(H151,SEARCH("@",H151,1),LEN(H151)-SEARCH("@",H151,1)+1),[2]Sheet1!$D:$F,3,FALSE)</f>
        <v>M359</v>
      </c>
      <c r="G151" s="14" t="s">
        <v>652</v>
      </c>
      <c r="H151" s="14" t="s">
        <v>1355</v>
      </c>
      <c r="I151" s="14">
        <v>35226631145</v>
      </c>
      <c r="J151" s="14" t="s">
        <v>938</v>
      </c>
      <c r="K151" s="14" t="s">
        <v>732</v>
      </c>
      <c r="M151" s="14">
        <v>1</v>
      </c>
      <c r="V151" s="14">
        <v>0</v>
      </c>
      <c r="X151" s="14">
        <v>100</v>
      </c>
      <c r="AC151" s="14">
        <v>100</v>
      </c>
      <c r="AJ151" s="14">
        <v>0</v>
      </c>
      <c r="AQ151" s="14">
        <v>0</v>
      </c>
      <c r="AX151" s="14">
        <v>0</v>
      </c>
      <c r="BE151" s="14">
        <v>0</v>
      </c>
      <c r="BF151" s="14">
        <v>0</v>
      </c>
      <c r="BG151" s="14">
        <v>100</v>
      </c>
      <c r="BH151" s="14">
        <v>0</v>
      </c>
      <c r="BI151" s="14">
        <v>0</v>
      </c>
      <c r="BJ151" s="14">
        <v>0</v>
      </c>
      <c r="BK151" s="14">
        <v>0</v>
      </c>
      <c r="BL151" s="14">
        <v>100</v>
      </c>
      <c r="BS151" s="14">
        <v>0</v>
      </c>
      <c r="BU151" s="14">
        <v>4</v>
      </c>
      <c r="BZ151" s="14">
        <v>4</v>
      </c>
      <c r="CG151" s="14">
        <v>0</v>
      </c>
      <c r="CN151" s="14">
        <v>0</v>
      </c>
      <c r="CU151" s="14">
        <v>0</v>
      </c>
      <c r="DB151" s="14">
        <v>0</v>
      </c>
      <c r="DC151" s="14">
        <v>0</v>
      </c>
      <c r="DD151" s="14">
        <v>4</v>
      </c>
      <c r="DE151" s="14">
        <v>0</v>
      </c>
      <c r="DF151" s="14">
        <v>0</v>
      </c>
      <c r="DG151" s="14">
        <v>0</v>
      </c>
      <c r="DH151" s="14">
        <v>0</v>
      </c>
      <c r="DI151" s="14">
        <v>4</v>
      </c>
      <c r="DJ151" s="14" t="s">
        <v>598</v>
      </c>
      <c r="DK151" s="14" t="s">
        <v>598</v>
      </c>
      <c r="DL151" s="14" t="s">
        <v>598</v>
      </c>
      <c r="DM151" s="14" t="s">
        <v>598</v>
      </c>
      <c r="DN151" s="14" t="s">
        <v>598</v>
      </c>
      <c r="DO151" s="14" t="s">
        <v>598</v>
      </c>
      <c r="DP151" s="14" t="s">
        <v>598</v>
      </c>
      <c r="DQ151" s="14" t="s">
        <v>597</v>
      </c>
      <c r="DR151" s="14" t="s">
        <v>598</v>
      </c>
      <c r="DS151" s="14" t="s">
        <v>598</v>
      </c>
      <c r="DT151" s="14" t="s">
        <v>598</v>
      </c>
      <c r="DU151" s="14" t="s">
        <v>598</v>
      </c>
      <c r="DV151" s="14" t="s">
        <v>598</v>
      </c>
      <c r="DW151" s="14" t="s">
        <v>598</v>
      </c>
      <c r="DX151" s="14" t="s">
        <v>598</v>
      </c>
      <c r="DY151" s="14" t="s">
        <v>598</v>
      </c>
      <c r="DZ151" s="14" t="s">
        <v>598</v>
      </c>
      <c r="EA151" s="14" t="s">
        <v>598</v>
      </c>
      <c r="EB151" s="14" t="s">
        <v>598</v>
      </c>
      <c r="EC151" s="14" t="s">
        <v>598</v>
      </c>
      <c r="ED151" s="14" t="s">
        <v>598</v>
      </c>
      <c r="EE151" s="14" t="s">
        <v>598</v>
      </c>
      <c r="EF151" s="14" t="s">
        <v>598</v>
      </c>
      <c r="EG151" s="14" t="s">
        <v>598</v>
      </c>
      <c r="EH151" s="14" t="s">
        <v>598</v>
      </c>
      <c r="EI151" s="14" t="s">
        <v>598</v>
      </c>
      <c r="EJ151" s="14" t="s">
        <v>598</v>
      </c>
      <c r="EK151" s="14" t="s">
        <v>598</v>
      </c>
      <c r="EL151" s="14" t="s">
        <v>598</v>
      </c>
      <c r="EM151" s="14" t="s">
        <v>598</v>
      </c>
      <c r="EN151" s="14" t="s">
        <v>598</v>
      </c>
      <c r="EO151" s="14" t="s">
        <v>598</v>
      </c>
      <c r="EP151" s="14" t="s">
        <v>598</v>
      </c>
      <c r="EQ151" s="14" t="s">
        <v>598</v>
      </c>
      <c r="ER151" s="14" t="s">
        <v>598</v>
      </c>
      <c r="ES151" s="14" t="s">
        <v>598</v>
      </c>
      <c r="EZ151" s="14">
        <v>0</v>
      </c>
      <c r="FG151" s="14">
        <v>0</v>
      </c>
      <c r="FN151" s="14">
        <v>0</v>
      </c>
      <c r="FU151" s="14">
        <v>0</v>
      </c>
      <c r="GB151" s="14">
        <v>0</v>
      </c>
      <c r="GI151" s="14">
        <v>0</v>
      </c>
      <c r="GP151" s="14">
        <v>0</v>
      </c>
      <c r="GQ151" s="14" t="s">
        <v>1356</v>
      </c>
      <c r="GS151" s="14">
        <v>100</v>
      </c>
      <c r="GX151" s="14">
        <v>100</v>
      </c>
      <c r="GY151" s="14">
        <v>0</v>
      </c>
      <c r="GZ151" s="14">
        <v>100</v>
      </c>
      <c r="HA151" s="14">
        <v>0</v>
      </c>
      <c r="HB151" s="14">
        <v>0</v>
      </c>
      <c r="HC151" s="14">
        <v>0</v>
      </c>
      <c r="HD151" s="14">
        <v>0</v>
      </c>
      <c r="HE151" s="14">
        <v>100</v>
      </c>
      <c r="HL151" s="14">
        <v>0</v>
      </c>
      <c r="HN151" s="14">
        <v>40</v>
      </c>
      <c r="HS151" s="14">
        <v>40</v>
      </c>
      <c r="HU151" s="14">
        <v>60</v>
      </c>
      <c r="HZ151" s="14">
        <v>60</v>
      </c>
      <c r="IG151" s="14">
        <v>0</v>
      </c>
      <c r="IN151" s="14">
        <v>0</v>
      </c>
      <c r="IO151" s="14">
        <v>0</v>
      </c>
      <c r="IP151" s="14">
        <v>100</v>
      </c>
      <c r="IQ151" s="14">
        <v>0</v>
      </c>
      <c r="IR151" s="14">
        <v>0</v>
      </c>
      <c r="IS151" s="14">
        <v>0</v>
      </c>
      <c r="IT151" s="14">
        <v>0</v>
      </c>
      <c r="IU151" s="14">
        <v>100</v>
      </c>
      <c r="IX151" s="14">
        <v>100</v>
      </c>
      <c r="JA151" s="14">
        <v>1</v>
      </c>
      <c r="JB151" s="14">
        <v>3</v>
      </c>
      <c r="JC151" s="14">
        <v>1</v>
      </c>
      <c r="JD151" s="14" t="s">
        <v>600</v>
      </c>
      <c r="NG151" s="14" t="s">
        <v>601</v>
      </c>
      <c r="NN151" s="14">
        <v>0</v>
      </c>
      <c r="NU151" s="14">
        <v>0</v>
      </c>
      <c r="OB151" s="14">
        <v>0</v>
      </c>
      <c r="OI151" s="14">
        <v>0</v>
      </c>
      <c r="OP151" s="14">
        <v>0</v>
      </c>
      <c r="OW151" s="14">
        <v>0</v>
      </c>
      <c r="PD151" s="14">
        <v>0</v>
      </c>
      <c r="PE151" s="14" t="s">
        <v>1236</v>
      </c>
      <c r="PG151" s="14">
        <v>100</v>
      </c>
      <c r="PL151" s="14">
        <v>100</v>
      </c>
      <c r="PM151" s="14">
        <v>0</v>
      </c>
      <c r="PN151" s="14">
        <v>100</v>
      </c>
      <c r="PO151" s="14">
        <v>0</v>
      </c>
      <c r="PP151" s="14">
        <v>0</v>
      </c>
      <c r="PQ151" s="14">
        <v>0</v>
      </c>
      <c r="PR151" s="14">
        <v>0</v>
      </c>
      <c r="PS151" s="14">
        <v>100</v>
      </c>
      <c r="PZ151" s="14">
        <v>0</v>
      </c>
      <c r="QG151" s="14">
        <v>0</v>
      </c>
      <c r="QI151" s="14">
        <v>60</v>
      </c>
      <c r="QN151" s="14">
        <v>60</v>
      </c>
      <c r="QP151" s="14">
        <v>40</v>
      </c>
      <c r="QU151" s="14">
        <v>40</v>
      </c>
      <c r="RB151" s="14">
        <v>0</v>
      </c>
      <c r="RC151" s="14">
        <v>0</v>
      </c>
      <c r="RD151" s="14">
        <v>100</v>
      </c>
      <c r="RE151" s="14">
        <v>0</v>
      </c>
      <c r="RF151" s="14">
        <v>0</v>
      </c>
      <c r="RG151" s="14">
        <v>0</v>
      </c>
      <c r="RH151" s="14">
        <v>0</v>
      </c>
      <c r="RI151" s="14">
        <v>100</v>
      </c>
      <c r="RJ151" s="14" t="s">
        <v>602</v>
      </c>
      <c r="VM151" s="14" t="s">
        <v>603</v>
      </c>
      <c r="ZP151" s="14" t="s">
        <v>604</v>
      </c>
      <c r="ADS151" s="14" t="s">
        <v>605</v>
      </c>
    </row>
    <row r="152" spans="1:799" x14ac:dyDescent="0.25">
      <c r="A152" s="14">
        <v>46</v>
      </c>
      <c r="B152" s="14" t="s">
        <v>889</v>
      </c>
      <c r="C152" s="16">
        <v>42745.581250000003</v>
      </c>
      <c r="D152" s="14" t="s">
        <v>1357</v>
      </c>
      <c r="E152" s="14" t="s">
        <v>1358</v>
      </c>
      <c r="F152" s="14" t="str">
        <f>VLOOKUP(MID(H152,SEARCH("@",H152,1),LEN(H152)-SEARCH("@",H152,1)+1),[2]Sheet1!$D:$F,3,FALSE)</f>
        <v>M705</v>
      </c>
      <c r="G152" s="14" t="s">
        <v>1359</v>
      </c>
      <c r="H152" s="14" t="s">
        <v>1360</v>
      </c>
      <c r="I152" s="14" t="s">
        <v>1361</v>
      </c>
      <c r="J152" s="14" t="s">
        <v>1078</v>
      </c>
      <c r="K152" s="14" t="s">
        <v>732</v>
      </c>
      <c r="M152" s="14">
        <v>1</v>
      </c>
      <c r="V152" s="14">
        <v>0</v>
      </c>
      <c r="W152" s="14">
        <v>200</v>
      </c>
      <c r="AC152" s="14">
        <v>200</v>
      </c>
      <c r="AJ152" s="14">
        <v>0</v>
      </c>
      <c r="AQ152" s="14">
        <v>0</v>
      </c>
      <c r="AX152" s="14">
        <v>0</v>
      </c>
      <c r="BE152" s="14">
        <v>0</v>
      </c>
      <c r="BF152" s="14">
        <v>200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200</v>
      </c>
      <c r="BS152" s="14">
        <v>0</v>
      </c>
      <c r="BT152" s="14">
        <v>1</v>
      </c>
      <c r="BZ152" s="14">
        <v>1</v>
      </c>
      <c r="CG152" s="14">
        <v>0</v>
      </c>
      <c r="CN152" s="14">
        <v>0</v>
      </c>
      <c r="CU152" s="14">
        <v>0</v>
      </c>
      <c r="DB152" s="14">
        <v>0</v>
      </c>
      <c r="DC152" s="14">
        <v>1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1</v>
      </c>
      <c r="DJ152" s="14" t="s">
        <v>598</v>
      </c>
      <c r="DK152" s="14" t="s">
        <v>598</v>
      </c>
      <c r="DL152" s="14" t="s">
        <v>598</v>
      </c>
      <c r="DM152" s="14" t="s">
        <v>598</v>
      </c>
      <c r="DN152" s="14" t="s">
        <v>598</v>
      </c>
      <c r="DO152" s="14" t="s">
        <v>598</v>
      </c>
      <c r="DP152" s="14" t="s">
        <v>597</v>
      </c>
      <c r="DQ152" s="14" t="s">
        <v>598</v>
      </c>
      <c r="DR152" s="14" t="s">
        <v>598</v>
      </c>
      <c r="DS152" s="14" t="s">
        <v>598</v>
      </c>
      <c r="DT152" s="14" t="s">
        <v>598</v>
      </c>
      <c r="DU152" s="14" t="s">
        <v>598</v>
      </c>
      <c r="DV152" s="14" t="s">
        <v>598</v>
      </c>
      <c r="DW152" s="14" t="s">
        <v>598</v>
      </c>
      <c r="DX152" s="14" t="s">
        <v>598</v>
      </c>
      <c r="DY152" s="14" t="s">
        <v>598</v>
      </c>
      <c r="DZ152" s="14" t="s">
        <v>598</v>
      </c>
      <c r="EA152" s="14" t="s">
        <v>598</v>
      </c>
      <c r="EB152" s="14" t="s">
        <v>598</v>
      </c>
      <c r="EC152" s="14" t="s">
        <v>598</v>
      </c>
      <c r="ED152" s="14" t="s">
        <v>598</v>
      </c>
      <c r="EE152" s="14" t="s">
        <v>598</v>
      </c>
      <c r="EF152" s="14" t="s">
        <v>598</v>
      </c>
      <c r="EG152" s="14" t="s">
        <v>598</v>
      </c>
      <c r="EH152" s="14" t="s">
        <v>598</v>
      </c>
      <c r="EI152" s="14" t="s">
        <v>598</v>
      </c>
      <c r="EJ152" s="14" t="s">
        <v>598</v>
      </c>
      <c r="EK152" s="14" t="s">
        <v>598</v>
      </c>
      <c r="EL152" s="14" t="s">
        <v>598</v>
      </c>
      <c r="EM152" s="14" t="s">
        <v>598</v>
      </c>
      <c r="EN152" s="14" t="s">
        <v>598</v>
      </c>
      <c r="EO152" s="14" t="s">
        <v>598</v>
      </c>
      <c r="EP152" s="14" t="s">
        <v>598</v>
      </c>
      <c r="EQ152" s="14" t="s">
        <v>598</v>
      </c>
      <c r="ER152" s="14" t="s">
        <v>598</v>
      </c>
      <c r="ES152" s="14" t="s">
        <v>598</v>
      </c>
      <c r="ET152" s="14">
        <v>14</v>
      </c>
      <c r="EZ152" s="14">
        <v>14</v>
      </c>
      <c r="FA152" s="14">
        <v>160</v>
      </c>
      <c r="FG152" s="14">
        <v>160</v>
      </c>
      <c r="FN152" s="14">
        <v>0</v>
      </c>
      <c r="FU152" s="14">
        <v>0</v>
      </c>
      <c r="GB152" s="14">
        <v>0</v>
      </c>
      <c r="GI152" s="14">
        <v>0</v>
      </c>
      <c r="GJ152" s="14">
        <v>20</v>
      </c>
      <c r="GP152" s="14">
        <v>20</v>
      </c>
      <c r="GQ152" s="14" t="s">
        <v>1362</v>
      </c>
      <c r="GR152" s="14">
        <v>6</v>
      </c>
      <c r="GX152" s="14">
        <v>6</v>
      </c>
      <c r="GY152" s="14">
        <v>200</v>
      </c>
      <c r="GZ152" s="14">
        <v>0</v>
      </c>
      <c r="HA152" s="14">
        <v>0</v>
      </c>
      <c r="HB152" s="14">
        <v>0</v>
      </c>
      <c r="HC152" s="14">
        <v>0</v>
      </c>
      <c r="HD152" s="14">
        <v>0</v>
      </c>
      <c r="HE152" s="14">
        <v>200</v>
      </c>
      <c r="HL152" s="14">
        <v>0</v>
      </c>
      <c r="HM152" s="14">
        <v>200</v>
      </c>
      <c r="HS152" s="14">
        <v>200</v>
      </c>
      <c r="HZ152" s="14">
        <v>0</v>
      </c>
      <c r="IG152" s="14">
        <v>0</v>
      </c>
      <c r="IN152" s="14">
        <v>0</v>
      </c>
      <c r="IO152" s="14">
        <v>200</v>
      </c>
      <c r="IP152" s="14">
        <v>0</v>
      </c>
      <c r="IQ152" s="14">
        <v>0</v>
      </c>
      <c r="IR152" s="14">
        <v>0</v>
      </c>
      <c r="IS152" s="14">
        <v>0</v>
      </c>
      <c r="IT152" s="14">
        <v>0</v>
      </c>
      <c r="IU152" s="14">
        <v>200</v>
      </c>
      <c r="IX152" s="14">
        <v>100</v>
      </c>
      <c r="JA152" s="14">
        <v>3</v>
      </c>
      <c r="JB152" s="14">
        <v>3</v>
      </c>
      <c r="JC152" s="14">
        <v>2</v>
      </c>
      <c r="JD152" s="14" t="s">
        <v>600</v>
      </c>
      <c r="NG152" s="14" t="s">
        <v>601</v>
      </c>
      <c r="NH152" s="14">
        <v>14</v>
      </c>
      <c r="NN152" s="14">
        <v>14</v>
      </c>
      <c r="NO152" s="14">
        <v>160</v>
      </c>
      <c r="NU152" s="14">
        <v>160</v>
      </c>
      <c r="OB152" s="14">
        <v>0</v>
      </c>
      <c r="OI152" s="14">
        <v>0</v>
      </c>
      <c r="OP152" s="14">
        <v>0</v>
      </c>
      <c r="OW152" s="14">
        <v>0</v>
      </c>
      <c r="OX152" s="14">
        <v>20</v>
      </c>
      <c r="PD152" s="14">
        <v>20</v>
      </c>
      <c r="PE152" s="14" t="s">
        <v>1362</v>
      </c>
      <c r="PF152" s="14">
        <v>6</v>
      </c>
      <c r="PL152" s="14">
        <v>6</v>
      </c>
      <c r="PM152" s="14">
        <v>200</v>
      </c>
      <c r="PN152" s="14">
        <v>0</v>
      </c>
      <c r="PO152" s="14">
        <v>0</v>
      </c>
      <c r="PP152" s="14">
        <v>0</v>
      </c>
      <c r="PQ152" s="14">
        <v>0</v>
      </c>
      <c r="PR152" s="14">
        <v>0</v>
      </c>
      <c r="PS152" s="14">
        <v>200</v>
      </c>
      <c r="PT152" s="14">
        <v>200</v>
      </c>
      <c r="PZ152" s="14">
        <v>200</v>
      </c>
      <c r="QG152" s="14">
        <v>0</v>
      </c>
      <c r="QN152" s="14">
        <v>0</v>
      </c>
      <c r="QU152" s="14">
        <v>0</v>
      </c>
      <c r="RB152" s="14">
        <v>0</v>
      </c>
      <c r="RC152" s="14">
        <v>200</v>
      </c>
      <c r="RD152" s="14">
        <v>0</v>
      </c>
      <c r="RE152" s="14">
        <v>0</v>
      </c>
      <c r="RF152" s="14">
        <v>0</v>
      </c>
      <c r="RG152" s="14">
        <v>0</v>
      </c>
      <c r="RH152" s="14">
        <v>0</v>
      </c>
      <c r="RI152" s="14">
        <v>200</v>
      </c>
      <c r="RJ152" s="14" t="s">
        <v>602</v>
      </c>
      <c r="VM152" s="14" t="s">
        <v>603</v>
      </c>
      <c r="ZP152" s="14" t="s">
        <v>604</v>
      </c>
      <c r="ADS152" s="14" t="s">
        <v>605</v>
      </c>
    </row>
    <row r="153" spans="1:799" x14ac:dyDescent="0.25">
      <c r="A153" s="14">
        <v>173</v>
      </c>
      <c r="B153" s="14" t="s">
        <v>889</v>
      </c>
      <c r="C153" s="16">
        <v>42772.716666666667</v>
      </c>
      <c r="D153" s="14" t="s">
        <v>1363</v>
      </c>
      <c r="E153" s="14" t="s">
        <v>1364</v>
      </c>
      <c r="F153" s="14" t="str">
        <f>VLOOKUP(MID(H153,SEARCH("@",H153,1),LEN(H153)-SEARCH("@",H153,1)+1),[2]Sheet1!$D:$F,3,FALSE)</f>
        <v>M379</v>
      </c>
      <c r="G153" s="14" t="s">
        <v>1365</v>
      </c>
      <c r="H153" s="14" t="s">
        <v>1366</v>
      </c>
      <c r="I153" s="14">
        <v>442032057429</v>
      </c>
      <c r="J153" s="14" t="s">
        <v>1078</v>
      </c>
      <c r="K153" s="14" t="s">
        <v>732</v>
      </c>
      <c r="M153" s="14">
        <v>1</v>
      </c>
      <c r="V153" s="14">
        <v>0</v>
      </c>
      <c r="W153" s="14">
        <v>1100</v>
      </c>
      <c r="X153" s="14">
        <v>900</v>
      </c>
      <c r="AC153" s="14">
        <v>2000</v>
      </c>
      <c r="AJ153" s="14">
        <v>0</v>
      </c>
      <c r="AQ153" s="14">
        <v>0</v>
      </c>
      <c r="AX153" s="14">
        <v>0</v>
      </c>
      <c r="BE153" s="14">
        <v>0</v>
      </c>
      <c r="BF153" s="14">
        <v>1100</v>
      </c>
      <c r="BG153" s="14">
        <v>900</v>
      </c>
      <c r="BH153" s="14">
        <v>0</v>
      </c>
      <c r="BI153" s="14">
        <v>0</v>
      </c>
      <c r="BJ153" s="14">
        <v>0</v>
      </c>
      <c r="BK153" s="14">
        <v>0</v>
      </c>
      <c r="BL153" s="14">
        <v>2000</v>
      </c>
      <c r="BS153" s="14">
        <v>0</v>
      </c>
      <c r="BT153" s="14">
        <v>10</v>
      </c>
      <c r="BU153" s="14">
        <v>5</v>
      </c>
      <c r="BZ153" s="14">
        <v>15</v>
      </c>
      <c r="CG153" s="14">
        <v>0</v>
      </c>
      <c r="CN153" s="14">
        <v>0</v>
      </c>
      <c r="CU153" s="14">
        <v>0</v>
      </c>
      <c r="DB153" s="14">
        <v>0</v>
      </c>
      <c r="DC153" s="14">
        <v>10</v>
      </c>
      <c r="DD153" s="14">
        <v>5</v>
      </c>
      <c r="DE153" s="14">
        <v>0</v>
      </c>
      <c r="DF153" s="14">
        <v>0</v>
      </c>
      <c r="DG153" s="14">
        <v>0</v>
      </c>
      <c r="DH153" s="14">
        <v>0</v>
      </c>
      <c r="DI153" s="14">
        <v>15</v>
      </c>
      <c r="DJ153" s="14" t="s">
        <v>598</v>
      </c>
      <c r="DK153" s="14" t="s">
        <v>598</v>
      </c>
      <c r="DL153" s="14" t="s">
        <v>598</v>
      </c>
      <c r="DM153" s="14" t="s">
        <v>598</v>
      </c>
      <c r="DN153" s="14" t="s">
        <v>598</v>
      </c>
      <c r="DO153" s="14" t="s">
        <v>598</v>
      </c>
      <c r="DP153" s="14" t="s">
        <v>597</v>
      </c>
      <c r="DQ153" s="14" t="s">
        <v>597</v>
      </c>
      <c r="DR153" s="14" t="s">
        <v>598</v>
      </c>
      <c r="DS153" s="14" t="s">
        <v>598</v>
      </c>
      <c r="DT153" s="14" t="s">
        <v>598</v>
      </c>
      <c r="DU153" s="14" t="s">
        <v>598</v>
      </c>
      <c r="DV153" s="14" t="s">
        <v>598</v>
      </c>
      <c r="DW153" s="14" t="s">
        <v>598</v>
      </c>
      <c r="DX153" s="14" t="s">
        <v>598</v>
      </c>
      <c r="DY153" s="14" t="s">
        <v>598</v>
      </c>
      <c r="DZ153" s="14" t="s">
        <v>598</v>
      </c>
      <c r="EA153" s="14" t="s">
        <v>598</v>
      </c>
      <c r="EB153" s="14" t="s">
        <v>598</v>
      </c>
      <c r="EC153" s="14" t="s">
        <v>598</v>
      </c>
      <c r="ED153" s="14" t="s">
        <v>598</v>
      </c>
      <c r="EE153" s="14" t="s">
        <v>598</v>
      </c>
      <c r="EF153" s="14" t="s">
        <v>598</v>
      </c>
      <c r="EG153" s="14" t="s">
        <v>598</v>
      </c>
      <c r="EH153" s="14" t="s">
        <v>598</v>
      </c>
      <c r="EI153" s="14" t="s">
        <v>598</v>
      </c>
      <c r="EJ153" s="14" t="s">
        <v>598</v>
      </c>
      <c r="EK153" s="14" t="s">
        <v>598</v>
      </c>
      <c r="EL153" s="14" t="s">
        <v>598</v>
      </c>
      <c r="EM153" s="14" t="s">
        <v>598</v>
      </c>
      <c r="EN153" s="14" t="s">
        <v>598</v>
      </c>
      <c r="EO153" s="14" t="s">
        <v>598</v>
      </c>
      <c r="EP153" s="14" t="s">
        <v>598</v>
      </c>
      <c r="EQ153" s="14" t="s">
        <v>598</v>
      </c>
      <c r="ER153" s="14" t="s">
        <v>598</v>
      </c>
      <c r="ES153" s="14" t="s">
        <v>598</v>
      </c>
      <c r="ET153" s="14">
        <v>400</v>
      </c>
      <c r="EU153" s="14">
        <v>900</v>
      </c>
      <c r="EZ153" s="14">
        <v>1300</v>
      </c>
      <c r="FA153" s="14">
        <v>600</v>
      </c>
      <c r="FG153" s="14">
        <v>600</v>
      </c>
      <c r="FN153" s="14">
        <v>0</v>
      </c>
      <c r="FU153" s="14">
        <v>0</v>
      </c>
      <c r="GB153" s="14">
        <v>0</v>
      </c>
      <c r="GI153" s="14">
        <v>0</v>
      </c>
      <c r="GJ153" s="14">
        <v>100</v>
      </c>
      <c r="GP153" s="14">
        <v>100</v>
      </c>
      <c r="GX153" s="14">
        <v>0</v>
      </c>
      <c r="GY153" s="14">
        <v>1100</v>
      </c>
      <c r="GZ153" s="14">
        <v>900</v>
      </c>
      <c r="HA153" s="14">
        <v>0</v>
      </c>
      <c r="HB153" s="14">
        <v>0</v>
      </c>
      <c r="HC153" s="14">
        <v>0</v>
      </c>
      <c r="HD153" s="14">
        <v>0</v>
      </c>
      <c r="HE153" s="14">
        <v>2000</v>
      </c>
      <c r="HG153" s="14">
        <v>350</v>
      </c>
      <c r="HL153" s="14">
        <v>350</v>
      </c>
      <c r="HM153" s="14">
        <v>1100</v>
      </c>
      <c r="HN153" s="14">
        <v>550</v>
      </c>
      <c r="HS153" s="14">
        <v>1650</v>
      </c>
      <c r="HZ153" s="14">
        <v>0</v>
      </c>
      <c r="IG153" s="14">
        <v>0</v>
      </c>
      <c r="IN153" s="14">
        <v>0</v>
      </c>
      <c r="IO153" s="14">
        <v>1100</v>
      </c>
      <c r="IP153" s="14">
        <v>900</v>
      </c>
      <c r="IQ153" s="14">
        <v>0</v>
      </c>
      <c r="IR153" s="14">
        <v>0</v>
      </c>
      <c r="IS153" s="14">
        <v>0</v>
      </c>
      <c r="IT153" s="14">
        <v>0</v>
      </c>
      <c r="IU153" s="14">
        <v>2000</v>
      </c>
      <c r="IX153" s="14">
        <v>100</v>
      </c>
      <c r="JA153" s="14">
        <v>1</v>
      </c>
      <c r="JB153" s="14">
        <v>3</v>
      </c>
      <c r="JC153" s="14">
        <v>1</v>
      </c>
      <c r="JD153" s="14" t="s">
        <v>600</v>
      </c>
      <c r="NG153" s="14" t="s">
        <v>601</v>
      </c>
      <c r="NH153" s="14">
        <v>400</v>
      </c>
      <c r="NI153" s="14">
        <v>900</v>
      </c>
      <c r="NN153" s="14">
        <v>1300</v>
      </c>
      <c r="NO153" s="14">
        <v>600</v>
      </c>
      <c r="NU153" s="14">
        <v>600</v>
      </c>
      <c r="OB153" s="14">
        <v>0</v>
      </c>
      <c r="OI153" s="14">
        <v>0</v>
      </c>
      <c r="OP153" s="14">
        <v>0</v>
      </c>
      <c r="OW153" s="14">
        <v>0</v>
      </c>
      <c r="OX153" s="14">
        <v>100</v>
      </c>
      <c r="PD153" s="14">
        <v>100</v>
      </c>
      <c r="PL153" s="14">
        <v>0</v>
      </c>
      <c r="PM153" s="14">
        <v>1100</v>
      </c>
      <c r="PN153" s="14">
        <v>900</v>
      </c>
      <c r="PO153" s="14">
        <v>0</v>
      </c>
      <c r="PP153" s="14">
        <v>0</v>
      </c>
      <c r="PQ153" s="14">
        <v>0</v>
      </c>
      <c r="PR153" s="14">
        <v>0</v>
      </c>
      <c r="PS153" s="14">
        <v>2000</v>
      </c>
      <c r="PT153" s="14">
        <v>1100</v>
      </c>
      <c r="PU153" s="14">
        <v>550</v>
      </c>
      <c r="PZ153" s="14">
        <v>1650</v>
      </c>
      <c r="QB153" s="14">
        <v>350</v>
      </c>
      <c r="QG153" s="14">
        <v>350</v>
      </c>
      <c r="QN153" s="14">
        <v>0</v>
      </c>
      <c r="QU153" s="14">
        <v>0</v>
      </c>
      <c r="RB153" s="14">
        <v>0</v>
      </c>
      <c r="RC153" s="14">
        <v>1100</v>
      </c>
      <c r="RD153" s="14">
        <v>900</v>
      </c>
      <c r="RE153" s="14">
        <v>0</v>
      </c>
      <c r="RF153" s="14">
        <v>0</v>
      </c>
      <c r="RG153" s="14">
        <v>0</v>
      </c>
      <c r="RH153" s="14">
        <v>0</v>
      </c>
      <c r="RI153" s="14">
        <v>2000</v>
      </c>
      <c r="RJ153" s="14" t="s">
        <v>602</v>
      </c>
      <c r="VM153" s="14" t="s">
        <v>603</v>
      </c>
      <c r="ZP153" s="14" t="s">
        <v>604</v>
      </c>
      <c r="ADS153" s="14" t="s">
        <v>605</v>
      </c>
    </row>
    <row r="154" spans="1:799" x14ac:dyDescent="0.25">
      <c r="A154" s="14">
        <v>139</v>
      </c>
      <c r="B154" s="14" t="s">
        <v>889</v>
      </c>
      <c r="C154" s="16">
        <v>42766.425694444442</v>
      </c>
      <c r="D154" s="14" t="s">
        <v>1367</v>
      </c>
      <c r="E154" s="14" t="s">
        <v>1368</v>
      </c>
      <c r="F154" s="14" t="str">
        <f>VLOOKUP(MID(H154,SEARCH("@",H154,1),LEN(H154)-SEARCH("@",H154,1)+1),[2]Sheet1!$D:$F,3,FALSE)</f>
        <v>M662</v>
      </c>
      <c r="G154" s="14" t="s">
        <v>825</v>
      </c>
      <c r="H154" s="14" t="s">
        <v>1369</v>
      </c>
      <c r="I154" s="14">
        <v>78123251306</v>
      </c>
      <c r="J154" s="14" t="s">
        <v>1370</v>
      </c>
      <c r="K154" s="14" t="s">
        <v>596</v>
      </c>
      <c r="M154" s="14">
        <v>2</v>
      </c>
      <c r="N154" s="14">
        <v>6</v>
      </c>
      <c r="O154" s="14" t="s">
        <v>1371</v>
      </c>
      <c r="V154" s="14">
        <v>0</v>
      </c>
      <c r="AC154" s="14">
        <v>0</v>
      </c>
      <c r="AJ154" s="14">
        <v>0</v>
      </c>
      <c r="AQ154" s="14">
        <v>0</v>
      </c>
      <c r="AX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S154" s="14">
        <v>0</v>
      </c>
      <c r="BZ154" s="14">
        <v>0</v>
      </c>
      <c r="CG154" s="14">
        <v>0</v>
      </c>
      <c r="CN154" s="14">
        <v>0</v>
      </c>
      <c r="CU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 t="s">
        <v>598</v>
      </c>
      <c r="DK154" s="14" t="s">
        <v>598</v>
      </c>
      <c r="DL154" s="14" t="s">
        <v>598</v>
      </c>
      <c r="DM154" s="14" t="s">
        <v>598</v>
      </c>
      <c r="DN154" s="14" t="s">
        <v>598</v>
      </c>
      <c r="DO154" s="14" t="s">
        <v>598</v>
      </c>
      <c r="DP154" s="14" t="s">
        <v>598</v>
      </c>
      <c r="DQ154" s="14" t="s">
        <v>598</v>
      </c>
      <c r="DR154" s="14" t="s">
        <v>598</v>
      </c>
      <c r="DS154" s="14" t="s">
        <v>598</v>
      </c>
      <c r="DT154" s="14" t="s">
        <v>598</v>
      </c>
      <c r="DU154" s="14" t="s">
        <v>598</v>
      </c>
      <c r="DV154" s="14" t="s">
        <v>598</v>
      </c>
      <c r="DW154" s="14" t="s">
        <v>598</v>
      </c>
      <c r="DX154" s="14" t="s">
        <v>598</v>
      </c>
      <c r="DY154" s="14" t="s">
        <v>598</v>
      </c>
      <c r="DZ154" s="14" t="s">
        <v>598</v>
      </c>
      <c r="EA154" s="14" t="s">
        <v>598</v>
      </c>
      <c r="EB154" s="14" t="s">
        <v>598</v>
      </c>
      <c r="EC154" s="14" t="s">
        <v>598</v>
      </c>
      <c r="ED154" s="14" t="s">
        <v>598</v>
      </c>
      <c r="EE154" s="14" t="s">
        <v>598</v>
      </c>
      <c r="EF154" s="14" t="s">
        <v>598</v>
      </c>
      <c r="EG154" s="14" t="s">
        <v>598</v>
      </c>
      <c r="EH154" s="14" t="s">
        <v>598</v>
      </c>
      <c r="EI154" s="14" t="s">
        <v>598</v>
      </c>
      <c r="EJ154" s="14" t="s">
        <v>598</v>
      </c>
      <c r="EK154" s="14" t="s">
        <v>598</v>
      </c>
      <c r="EL154" s="14" t="s">
        <v>598</v>
      </c>
      <c r="EM154" s="14" t="s">
        <v>598</v>
      </c>
      <c r="EN154" s="14" t="s">
        <v>598</v>
      </c>
      <c r="EO154" s="14" t="s">
        <v>598</v>
      </c>
      <c r="EP154" s="14" t="s">
        <v>598</v>
      </c>
      <c r="EQ154" s="14" t="s">
        <v>598</v>
      </c>
      <c r="ER154" s="14" t="s">
        <v>598</v>
      </c>
      <c r="ES154" s="14" t="s">
        <v>598</v>
      </c>
      <c r="EZ154" s="14">
        <v>0</v>
      </c>
      <c r="FG154" s="14">
        <v>0</v>
      </c>
      <c r="FN154" s="14">
        <v>0</v>
      </c>
      <c r="FU154" s="14">
        <v>0</v>
      </c>
      <c r="GB154" s="14">
        <v>0</v>
      </c>
      <c r="GI154" s="14">
        <v>0</v>
      </c>
      <c r="GP154" s="14">
        <v>0</v>
      </c>
      <c r="GX154" s="14">
        <v>0</v>
      </c>
      <c r="GY154" s="14">
        <v>0</v>
      </c>
      <c r="GZ154" s="14">
        <v>0</v>
      </c>
      <c r="HA154" s="14">
        <v>0</v>
      </c>
      <c r="HB154" s="14">
        <v>0</v>
      </c>
      <c r="HC154" s="14">
        <v>0</v>
      </c>
      <c r="HD154" s="14">
        <v>0</v>
      </c>
      <c r="HE154" s="14">
        <v>0</v>
      </c>
      <c r="HL154" s="14">
        <v>0</v>
      </c>
      <c r="HS154" s="14">
        <v>0</v>
      </c>
      <c r="HZ154" s="14">
        <v>0</v>
      </c>
      <c r="IG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0</v>
      </c>
      <c r="IS154" s="14">
        <v>0</v>
      </c>
      <c r="IT154" s="14">
        <v>0</v>
      </c>
      <c r="IU154" s="14">
        <v>0</v>
      </c>
      <c r="JA154" s="14">
        <v>1</v>
      </c>
      <c r="JB154" s="14">
        <v>2</v>
      </c>
      <c r="JC154" s="14">
        <v>1</v>
      </c>
      <c r="JD154" s="14" t="s">
        <v>600</v>
      </c>
      <c r="NG154" s="14" t="s">
        <v>601</v>
      </c>
      <c r="RJ154" s="14" t="s">
        <v>602</v>
      </c>
      <c r="VM154" s="14" t="s">
        <v>603</v>
      </c>
      <c r="ZP154" s="14" t="s">
        <v>604</v>
      </c>
      <c r="ADS154" s="14" t="s">
        <v>605</v>
      </c>
    </row>
    <row r="155" spans="1:799" x14ac:dyDescent="0.25">
      <c r="A155" s="14">
        <v>155</v>
      </c>
      <c r="B155" s="14" t="s">
        <v>889</v>
      </c>
      <c r="C155" s="16">
        <v>42767.690972222219</v>
      </c>
      <c r="D155" s="14" t="s">
        <v>1372</v>
      </c>
      <c r="E155" s="14" t="s">
        <v>1373</v>
      </c>
      <c r="F155" s="14" t="str">
        <f>VLOOKUP(MID(H155,SEARCH("@",H155,1),LEN(H155)-SEARCH("@",H155,1)+1),[2]Sheet1!$D:$F,3,FALSE)</f>
        <v>M021</v>
      </c>
      <c r="G155" s="14" t="s">
        <v>1374</v>
      </c>
      <c r="H155" s="14" t="s">
        <v>1375</v>
      </c>
      <c r="I155" s="14" t="s">
        <v>1376</v>
      </c>
      <c r="J155" s="14" t="s">
        <v>979</v>
      </c>
      <c r="K155" s="14" t="s">
        <v>732</v>
      </c>
      <c r="M155" s="14">
        <v>1</v>
      </c>
      <c r="V155" s="14">
        <v>0</v>
      </c>
      <c r="W155" s="14">
        <v>100.4</v>
      </c>
      <c r="AC155" s="14">
        <v>100.4</v>
      </c>
      <c r="AJ155" s="14">
        <v>0</v>
      </c>
      <c r="AQ155" s="14">
        <v>0</v>
      </c>
      <c r="AX155" s="14">
        <v>0</v>
      </c>
      <c r="BE155" s="14">
        <v>0</v>
      </c>
      <c r="BF155" s="14">
        <v>100.4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100.4</v>
      </c>
      <c r="BS155" s="14">
        <v>0</v>
      </c>
      <c r="BT155" s="14">
        <v>3</v>
      </c>
      <c r="BZ155" s="14">
        <v>3</v>
      </c>
      <c r="CG155" s="14">
        <v>0</v>
      </c>
      <c r="CN155" s="14">
        <v>0</v>
      </c>
      <c r="CU155" s="14">
        <v>0</v>
      </c>
      <c r="DB155" s="14">
        <v>0</v>
      </c>
      <c r="DC155" s="14">
        <v>3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3</v>
      </c>
      <c r="DJ155" s="14" t="s">
        <v>598</v>
      </c>
      <c r="DK155" s="14" t="s">
        <v>598</v>
      </c>
      <c r="DL155" s="14" t="s">
        <v>598</v>
      </c>
      <c r="DM155" s="14" t="s">
        <v>598</v>
      </c>
      <c r="DN155" s="14" t="s">
        <v>598</v>
      </c>
      <c r="DO155" s="14" t="s">
        <v>598</v>
      </c>
      <c r="DP155" s="14" t="s">
        <v>597</v>
      </c>
      <c r="DQ155" s="14" t="s">
        <v>598</v>
      </c>
      <c r="DR155" s="14" t="s">
        <v>598</v>
      </c>
      <c r="DS155" s="14" t="s">
        <v>598</v>
      </c>
      <c r="DT155" s="14" t="s">
        <v>598</v>
      </c>
      <c r="DU155" s="14" t="s">
        <v>598</v>
      </c>
      <c r="DV155" s="14" t="s">
        <v>598</v>
      </c>
      <c r="DW155" s="14" t="s">
        <v>598</v>
      </c>
      <c r="DX155" s="14" t="s">
        <v>598</v>
      </c>
      <c r="DY155" s="14" t="s">
        <v>598</v>
      </c>
      <c r="DZ155" s="14" t="s">
        <v>598</v>
      </c>
      <c r="EA155" s="14" t="s">
        <v>598</v>
      </c>
      <c r="EB155" s="14" t="s">
        <v>598</v>
      </c>
      <c r="EC155" s="14" t="s">
        <v>598</v>
      </c>
      <c r="ED155" s="14" t="s">
        <v>598</v>
      </c>
      <c r="EE155" s="14" t="s">
        <v>598</v>
      </c>
      <c r="EF155" s="14" t="s">
        <v>598</v>
      </c>
      <c r="EG155" s="14" t="s">
        <v>598</v>
      </c>
      <c r="EH155" s="14" t="s">
        <v>598</v>
      </c>
      <c r="EI155" s="14" t="s">
        <v>598</v>
      </c>
      <c r="EJ155" s="14" t="s">
        <v>598</v>
      </c>
      <c r="EK155" s="14" t="s">
        <v>598</v>
      </c>
      <c r="EL155" s="14" t="s">
        <v>598</v>
      </c>
      <c r="EM155" s="14" t="s">
        <v>598</v>
      </c>
      <c r="EN155" s="14" t="s">
        <v>598</v>
      </c>
      <c r="EO155" s="14" t="s">
        <v>598</v>
      </c>
      <c r="EP155" s="14" t="s">
        <v>598</v>
      </c>
      <c r="EQ155" s="14" t="s">
        <v>598</v>
      </c>
      <c r="ER155" s="14" t="s">
        <v>598</v>
      </c>
      <c r="ES155" s="14" t="s">
        <v>598</v>
      </c>
      <c r="ET155" s="14">
        <v>100.4</v>
      </c>
      <c r="EZ155" s="14">
        <v>100.4</v>
      </c>
      <c r="FG155" s="14">
        <v>0</v>
      </c>
      <c r="FN155" s="14">
        <v>0</v>
      </c>
      <c r="FU155" s="14">
        <v>0</v>
      </c>
      <c r="GB155" s="14">
        <v>0</v>
      </c>
      <c r="GI155" s="14">
        <v>0</v>
      </c>
      <c r="GP155" s="14">
        <v>0</v>
      </c>
      <c r="GX155" s="14">
        <v>0</v>
      </c>
      <c r="GY155" s="14">
        <v>100.4</v>
      </c>
      <c r="GZ155" s="14">
        <v>0</v>
      </c>
      <c r="HA155" s="14">
        <v>0</v>
      </c>
      <c r="HB155" s="14">
        <v>0</v>
      </c>
      <c r="HC155" s="14">
        <v>0</v>
      </c>
      <c r="HD155" s="14">
        <v>0</v>
      </c>
      <c r="HE155" s="14">
        <v>100.4</v>
      </c>
      <c r="HL155" s="14">
        <v>0</v>
      </c>
      <c r="HM155" s="14">
        <v>100.4</v>
      </c>
      <c r="HS155" s="14">
        <v>100.4</v>
      </c>
      <c r="HZ155" s="14">
        <v>0</v>
      </c>
      <c r="IG155" s="14">
        <v>0</v>
      </c>
      <c r="IN155" s="14">
        <v>0</v>
      </c>
      <c r="IO155" s="14">
        <v>100.4</v>
      </c>
      <c r="IP155" s="14">
        <v>0</v>
      </c>
      <c r="IQ155" s="14">
        <v>0</v>
      </c>
      <c r="IR155" s="14">
        <v>0</v>
      </c>
      <c r="IS155" s="14">
        <v>0</v>
      </c>
      <c r="IT155" s="14">
        <v>0</v>
      </c>
      <c r="IU155" s="14">
        <v>100.4</v>
      </c>
      <c r="IV155" s="14">
        <v>40</v>
      </c>
      <c r="IW155" s="14">
        <v>60</v>
      </c>
      <c r="JA155" s="14">
        <v>1</v>
      </c>
      <c r="JB155" s="14">
        <v>3</v>
      </c>
      <c r="JC155" s="14">
        <v>1</v>
      </c>
      <c r="JD155" s="14" t="s">
        <v>600</v>
      </c>
      <c r="NG155" s="14" t="s">
        <v>601</v>
      </c>
      <c r="NH155" s="14">
        <v>100.4</v>
      </c>
      <c r="NN155" s="14">
        <v>100.4</v>
      </c>
      <c r="NU155" s="14">
        <v>0</v>
      </c>
      <c r="OB155" s="14">
        <v>0</v>
      </c>
      <c r="OI155" s="14">
        <v>0</v>
      </c>
      <c r="OP155" s="14">
        <v>0</v>
      </c>
      <c r="OW155" s="14">
        <v>0</v>
      </c>
      <c r="PD155" s="14">
        <v>0</v>
      </c>
      <c r="PL155" s="14">
        <v>0</v>
      </c>
      <c r="PM155" s="14">
        <v>100.4</v>
      </c>
      <c r="PN155" s="14">
        <v>0</v>
      </c>
      <c r="PO155" s="14">
        <v>0</v>
      </c>
      <c r="PP155" s="14">
        <v>0</v>
      </c>
      <c r="PQ155" s="14">
        <v>0</v>
      </c>
      <c r="PR155" s="14">
        <v>0</v>
      </c>
      <c r="PS155" s="14">
        <v>100.4</v>
      </c>
      <c r="PT155" s="14">
        <v>100.4</v>
      </c>
      <c r="PZ155" s="14">
        <v>100.4</v>
      </c>
      <c r="QG155" s="14">
        <v>0</v>
      </c>
      <c r="QN155" s="14">
        <v>0</v>
      </c>
      <c r="QU155" s="14">
        <v>0</v>
      </c>
      <c r="RB155" s="14">
        <v>0</v>
      </c>
      <c r="RC155" s="14">
        <v>100.4</v>
      </c>
      <c r="RD155" s="14">
        <v>0</v>
      </c>
      <c r="RE155" s="14">
        <v>0</v>
      </c>
      <c r="RF155" s="14">
        <v>0</v>
      </c>
      <c r="RG155" s="14">
        <v>0</v>
      </c>
      <c r="RH155" s="14">
        <v>0</v>
      </c>
      <c r="RI155" s="14">
        <v>100.4</v>
      </c>
      <c r="RJ155" s="14" t="s">
        <v>602</v>
      </c>
      <c r="VM155" s="14" t="s">
        <v>603</v>
      </c>
      <c r="ZP155" s="14" t="s">
        <v>604</v>
      </c>
      <c r="ADS155" s="14" t="s">
        <v>605</v>
      </c>
    </row>
    <row r="156" spans="1:799" x14ac:dyDescent="0.25">
      <c r="A156" s="14">
        <v>103</v>
      </c>
      <c r="B156" s="14" t="s">
        <v>889</v>
      </c>
      <c r="C156" s="16">
        <v>42752.595138888886</v>
      </c>
      <c r="D156" s="14" t="s">
        <v>1377</v>
      </c>
      <c r="E156" s="14" t="s">
        <v>1378</v>
      </c>
      <c r="F156" s="14" t="str">
        <f>VLOOKUP(MID(H156,SEARCH("@",H156,1),LEN(H156)-SEARCH("@",H156,1)+1),[2]Sheet1!$D:$F,3,FALSE)</f>
        <v>M209</v>
      </c>
      <c r="G156" s="14" t="s">
        <v>880</v>
      </c>
      <c r="H156" s="14" t="s">
        <v>1379</v>
      </c>
      <c r="I156" s="14">
        <v>4790556483</v>
      </c>
      <c r="J156" s="14" t="s">
        <v>1152</v>
      </c>
      <c r="K156" s="14" t="s">
        <v>1153</v>
      </c>
      <c r="M156" s="14">
        <v>1</v>
      </c>
      <c r="V156" s="14">
        <v>0</v>
      </c>
      <c r="X156" s="14">
        <v>1500</v>
      </c>
      <c r="AC156" s="14">
        <v>1500</v>
      </c>
      <c r="AJ156" s="14">
        <v>0</v>
      </c>
      <c r="AQ156" s="14">
        <v>0</v>
      </c>
      <c r="AX156" s="14">
        <v>0</v>
      </c>
      <c r="BE156" s="14">
        <v>0</v>
      </c>
      <c r="BF156" s="14">
        <v>0</v>
      </c>
      <c r="BG156" s="14">
        <v>1500</v>
      </c>
      <c r="BH156" s="14">
        <v>0</v>
      </c>
      <c r="BI156" s="14">
        <v>0</v>
      </c>
      <c r="BJ156" s="14">
        <v>0</v>
      </c>
      <c r="BK156" s="14">
        <v>0</v>
      </c>
      <c r="BL156" s="14">
        <v>1500</v>
      </c>
      <c r="BS156" s="14">
        <v>0</v>
      </c>
      <c r="BU156" s="14">
        <v>1</v>
      </c>
      <c r="BZ156" s="14">
        <v>1</v>
      </c>
      <c r="CG156" s="14">
        <v>0</v>
      </c>
      <c r="CN156" s="14">
        <v>0</v>
      </c>
      <c r="CU156" s="14">
        <v>0</v>
      </c>
      <c r="DB156" s="14">
        <v>0</v>
      </c>
      <c r="DC156" s="14">
        <v>0</v>
      </c>
      <c r="DD156" s="14">
        <v>1</v>
      </c>
      <c r="DE156" s="14">
        <v>0</v>
      </c>
      <c r="DF156" s="14">
        <v>0</v>
      </c>
      <c r="DG156" s="14">
        <v>0</v>
      </c>
      <c r="DH156" s="14">
        <v>0</v>
      </c>
      <c r="DI156" s="14">
        <v>1</v>
      </c>
      <c r="DJ156" s="14" t="s">
        <v>598</v>
      </c>
      <c r="DK156" s="14" t="s">
        <v>598</v>
      </c>
      <c r="DL156" s="14" t="s">
        <v>598</v>
      </c>
      <c r="DM156" s="14" t="s">
        <v>598</v>
      </c>
      <c r="DN156" s="14" t="s">
        <v>598</v>
      </c>
      <c r="DO156" s="14" t="s">
        <v>598</v>
      </c>
      <c r="DP156" s="14" t="s">
        <v>598</v>
      </c>
      <c r="DQ156" s="14" t="s">
        <v>597</v>
      </c>
      <c r="DR156" s="14" t="s">
        <v>598</v>
      </c>
      <c r="DS156" s="14" t="s">
        <v>598</v>
      </c>
      <c r="DT156" s="14" t="s">
        <v>598</v>
      </c>
      <c r="DU156" s="14" t="s">
        <v>598</v>
      </c>
      <c r="DV156" s="14" t="s">
        <v>598</v>
      </c>
      <c r="DW156" s="14" t="s">
        <v>598</v>
      </c>
      <c r="DX156" s="14" t="s">
        <v>598</v>
      </c>
      <c r="DY156" s="14" t="s">
        <v>598</v>
      </c>
      <c r="DZ156" s="14" t="s">
        <v>598</v>
      </c>
      <c r="EA156" s="14" t="s">
        <v>598</v>
      </c>
      <c r="EB156" s="14" t="s">
        <v>598</v>
      </c>
      <c r="EC156" s="14" t="s">
        <v>598</v>
      </c>
      <c r="ED156" s="14" t="s">
        <v>598</v>
      </c>
      <c r="EE156" s="14" t="s">
        <v>598</v>
      </c>
      <c r="EF156" s="14" t="s">
        <v>598</v>
      </c>
      <c r="EG156" s="14" t="s">
        <v>598</v>
      </c>
      <c r="EH156" s="14" t="s">
        <v>598</v>
      </c>
      <c r="EI156" s="14" t="s">
        <v>598</v>
      </c>
      <c r="EJ156" s="14" t="s">
        <v>598</v>
      </c>
      <c r="EK156" s="14" t="s">
        <v>598</v>
      </c>
      <c r="EL156" s="14" t="s">
        <v>598</v>
      </c>
      <c r="EM156" s="14" t="s">
        <v>598</v>
      </c>
      <c r="EN156" s="14" t="s">
        <v>598</v>
      </c>
      <c r="EO156" s="14" t="s">
        <v>598</v>
      </c>
      <c r="EP156" s="14" t="s">
        <v>598</v>
      </c>
      <c r="EQ156" s="14" t="s">
        <v>598</v>
      </c>
      <c r="ER156" s="14" t="s">
        <v>598</v>
      </c>
      <c r="ES156" s="14" t="s">
        <v>598</v>
      </c>
      <c r="EU156" s="14">
        <v>1500</v>
      </c>
      <c r="EZ156" s="14">
        <v>1500</v>
      </c>
      <c r="FG156" s="14">
        <v>0</v>
      </c>
      <c r="FN156" s="14">
        <v>0</v>
      </c>
      <c r="FU156" s="14">
        <v>0</v>
      </c>
      <c r="GB156" s="14">
        <v>0</v>
      </c>
      <c r="GI156" s="14">
        <v>0</v>
      </c>
      <c r="GP156" s="14">
        <v>0</v>
      </c>
      <c r="GX156" s="14">
        <v>0</v>
      </c>
      <c r="GY156" s="14">
        <v>0</v>
      </c>
      <c r="GZ156" s="14">
        <v>1500</v>
      </c>
      <c r="HA156" s="14">
        <v>0</v>
      </c>
      <c r="HB156" s="14">
        <v>0</v>
      </c>
      <c r="HC156" s="14">
        <v>0</v>
      </c>
      <c r="HD156" s="14">
        <v>0</v>
      </c>
      <c r="HE156" s="14">
        <v>1500</v>
      </c>
      <c r="HL156" s="14">
        <v>0</v>
      </c>
      <c r="HN156" s="14">
        <v>1500</v>
      </c>
      <c r="HS156" s="14">
        <v>1500</v>
      </c>
      <c r="HZ156" s="14">
        <v>0</v>
      </c>
      <c r="IG156" s="14">
        <v>0</v>
      </c>
      <c r="IN156" s="14">
        <v>0</v>
      </c>
      <c r="IO156" s="14">
        <v>0</v>
      </c>
      <c r="IP156" s="14">
        <v>1500</v>
      </c>
      <c r="IQ156" s="14">
        <v>0</v>
      </c>
      <c r="IR156" s="14">
        <v>0</v>
      </c>
      <c r="IS156" s="14">
        <v>0</v>
      </c>
      <c r="IT156" s="14">
        <v>0</v>
      </c>
      <c r="IU156" s="14">
        <v>1500</v>
      </c>
      <c r="IX156" s="14">
        <v>100</v>
      </c>
      <c r="JA156" s="14">
        <v>1</v>
      </c>
      <c r="JB156" s="14">
        <v>2</v>
      </c>
      <c r="JC156" s="14">
        <v>1</v>
      </c>
      <c r="JD156" s="14" t="s">
        <v>600</v>
      </c>
      <c r="NG156" s="14" t="s">
        <v>601</v>
      </c>
      <c r="RJ156" s="14" t="s">
        <v>602</v>
      </c>
      <c r="VM156" s="14" t="s">
        <v>603</v>
      </c>
      <c r="ZP156" s="14" t="s">
        <v>604</v>
      </c>
      <c r="ADS156" s="14" t="s">
        <v>605</v>
      </c>
    </row>
    <row r="157" spans="1:799" x14ac:dyDescent="0.25">
      <c r="A157" s="14">
        <v>59</v>
      </c>
      <c r="B157" s="14" t="s">
        <v>889</v>
      </c>
      <c r="C157" s="16">
        <v>42746.446527777778</v>
      </c>
      <c r="D157" s="14" t="s">
        <v>1380</v>
      </c>
      <c r="E157" s="14" t="s">
        <v>1381</v>
      </c>
      <c r="F157" s="14" t="str">
        <f>VLOOKUP(MID(H157,SEARCH("@",H157,1),LEN(H157)-SEARCH("@",H157,1)+1),[2]Sheet1!$D:$F,3,FALSE)</f>
        <v>M616</v>
      </c>
      <c r="G157" s="14" t="s">
        <v>825</v>
      </c>
      <c r="H157" s="14" t="s">
        <v>1382</v>
      </c>
      <c r="I157" s="14" t="s">
        <v>1383</v>
      </c>
      <c r="J157" s="14" t="s">
        <v>731</v>
      </c>
      <c r="K157" s="14" t="s">
        <v>732</v>
      </c>
      <c r="M157" s="14">
        <v>2</v>
      </c>
      <c r="N157" s="14">
        <v>6</v>
      </c>
      <c r="O157" s="14" t="s">
        <v>1384</v>
      </c>
      <c r="V157" s="14">
        <v>0</v>
      </c>
      <c r="AC157" s="14">
        <v>0</v>
      </c>
      <c r="AJ157" s="14">
        <v>0</v>
      </c>
      <c r="AQ157" s="14">
        <v>0</v>
      </c>
      <c r="AX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S157" s="14">
        <v>0</v>
      </c>
      <c r="BZ157" s="14">
        <v>0</v>
      </c>
      <c r="CG157" s="14">
        <v>0</v>
      </c>
      <c r="CN157" s="14">
        <v>0</v>
      </c>
      <c r="CU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 t="s">
        <v>598</v>
      </c>
      <c r="DK157" s="14" t="s">
        <v>598</v>
      </c>
      <c r="DL157" s="14" t="s">
        <v>598</v>
      </c>
      <c r="DM157" s="14" t="s">
        <v>598</v>
      </c>
      <c r="DN157" s="14" t="s">
        <v>598</v>
      </c>
      <c r="DO157" s="14" t="s">
        <v>598</v>
      </c>
      <c r="DP157" s="14" t="s">
        <v>598</v>
      </c>
      <c r="DQ157" s="14" t="s">
        <v>598</v>
      </c>
      <c r="DR157" s="14" t="s">
        <v>598</v>
      </c>
      <c r="DS157" s="14" t="s">
        <v>598</v>
      </c>
      <c r="DT157" s="14" t="s">
        <v>598</v>
      </c>
      <c r="DU157" s="14" t="s">
        <v>598</v>
      </c>
      <c r="DV157" s="14" t="s">
        <v>598</v>
      </c>
      <c r="DW157" s="14" t="s">
        <v>598</v>
      </c>
      <c r="DX157" s="14" t="s">
        <v>598</v>
      </c>
      <c r="DY157" s="14" t="s">
        <v>598</v>
      </c>
      <c r="DZ157" s="14" t="s">
        <v>598</v>
      </c>
      <c r="EA157" s="14" t="s">
        <v>598</v>
      </c>
      <c r="EB157" s="14" t="s">
        <v>598</v>
      </c>
      <c r="EC157" s="14" t="s">
        <v>598</v>
      </c>
      <c r="ED157" s="14" t="s">
        <v>598</v>
      </c>
      <c r="EE157" s="14" t="s">
        <v>598</v>
      </c>
      <c r="EF157" s="14" t="s">
        <v>598</v>
      </c>
      <c r="EG157" s="14" t="s">
        <v>598</v>
      </c>
      <c r="EH157" s="14" t="s">
        <v>598</v>
      </c>
      <c r="EI157" s="14" t="s">
        <v>598</v>
      </c>
      <c r="EJ157" s="14" t="s">
        <v>598</v>
      </c>
      <c r="EK157" s="14" t="s">
        <v>598</v>
      </c>
      <c r="EL157" s="14" t="s">
        <v>598</v>
      </c>
      <c r="EM157" s="14" t="s">
        <v>598</v>
      </c>
      <c r="EN157" s="14" t="s">
        <v>598</v>
      </c>
      <c r="EO157" s="14" t="s">
        <v>598</v>
      </c>
      <c r="EP157" s="14" t="s">
        <v>598</v>
      </c>
      <c r="EQ157" s="14" t="s">
        <v>598</v>
      </c>
      <c r="ER157" s="14" t="s">
        <v>598</v>
      </c>
      <c r="ES157" s="14" t="s">
        <v>598</v>
      </c>
      <c r="EZ157" s="14">
        <v>0</v>
      </c>
      <c r="FG157" s="14">
        <v>0</v>
      </c>
      <c r="FN157" s="14">
        <v>0</v>
      </c>
      <c r="FU157" s="14">
        <v>0</v>
      </c>
      <c r="GB157" s="14">
        <v>0</v>
      </c>
      <c r="GI157" s="14">
        <v>0</v>
      </c>
      <c r="GP157" s="14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4">
        <v>0</v>
      </c>
      <c r="HD157" s="14">
        <v>0</v>
      </c>
      <c r="HE157" s="14">
        <v>0</v>
      </c>
      <c r="HL157" s="14">
        <v>0</v>
      </c>
      <c r="HS157" s="14">
        <v>0</v>
      </c>
      <c r="HZ157" s="14">
        <v>0</v>
      </c>
      <c r="IG157" s="14">
        <v>0</v>
      </c>
      <c r="IN157" s="14">
        <v>0</v>
      </c>
      <c r="IO157" s="14">
        <v>0</v>
      </c>
      <c r="IP157" s="14">
        <v>0</v>
      </c>
      <c r="IQ157" s="14">
        <v>0</v>
      </c>
      <c r="IR157" s="14">
        <v>0</v>
      </c>
      <c r="IS157" s="14">
        <v>0</v>
      </c>
      <c r="IT157" s="14">
        <v>0</v>
      </c>
      <c r="IU157" s="14">
        <v>0</v>
      </c>
      <c r="JA157" s="14">
        <v>1</v>
      </c>
      <c r="JB157" s="14">
        <v>1</v>
      </c>
      <c r="JC157" s="14">
        <v>1</v>
      </c>
      <c r="JD157" s="14" t="s">
        <v>600</v>
      </c>
      <c r="NG157" s="14" t="s">
        <v>601</v>
      </c>
      <c r="RJ157" s="14" t="s">
        <v>602</v>
      </c>
      <c r="VM157" s="14" t="s">
        <v>603</v>
      </c>
      <c r="ZP157" s="14" t="s">
        <v>604</v>
      </c>
      <c r="ADS157" s="14" t="s">
        <v>605</v>
      </c>
    </row>
    <row r="158" spans="1:799" x14ac:dyDescent="0.25">
      <c r="A158" s="14">
        <v>58</v>
      </c>
      <c r="B158" s="14" t="s">
        <v>889</v>
      </c>
      <c r="C158" s="16">
        <v>42780</v>
      </c>
      <c r="D158" s="14" t="s">
        <v>1385</v>
      </c>
      <c r="E158" s="14" t="s">
        <v>1386</v>
      </c>
      <c r="F158" s="14" t="str">
        <f>VLOOKUP(MID(H158,SEARCH("@",H158,1),LEN(H158)-SEARCH("@",H158,1)+1),[2]Sheet1!$D:$F,3,FALSE)</f>
        <v>M079</v>
      </c>
      <c r="G158" s="14" t="s">
        <v>775</v>
      </c>
      <c r="H158" s="14" t="s">
        <v>1387</v>
      </c>
      <c r="I158" s="14" t="s">
        <v>1388</v>
      </c>
      <c r="J158" s="14" t="s">
        <v>731</v>
      </c>
      <c r="K158" s="14" t="s">
        <v>732</v>
      </c>
      <c r="M158" s="14">
        <v>1</v>
      </c>
      <c r="P158" s="14">
        <v>28</v>
      </c>
      <c r="Q158" s="14">
        <v>18</v>
      </c>
      <c r="V158" s="14">
        <v>46</v>
      </c>
      <c r="W158" s="14">
        <v>355</v>
      </c>
      <c r="X158" s="14">
        <v>1249</v>
      </c>
      <c r="AC158" s="14">
        <v>1604</v>
      </c>
      <c r="AJ158" s="14">
        <v>0</v>
      </c>
      <c r="AQ158" s="14">
        <v>0</v>
      </c>
      <c r="AX158" s="14">
        <v>0</v>
      </c>
      <c r="BE158" s="14">
        <v>0</v>
      </c>
      <c r="BF158" s="14">
        <v>383</v>
      </c>
      <c r="BG158" s="14">
        <v>1267</v>
      </c>
      <c r="BH158" s="14">
        <v>0</v>
      </c>
      <c r="BI158" s="14">
        <v>0</v>
      </c>
      <c r="BJ158" s="14">
        <v>0</v>
      </c>
      <c r="BK158" s="14">
        <v>0</v>
      </c>
      <c r="BL158" s="14">
        <v>1650</v>
      </c>
      <c r="BM158" s="14">
        <v>1</v>
      </c>
      <c r="BN158" s="14">
        <v>1</v>
      </c>
      <c r="BS158" s="14">
        <v>2</v>
      </c>
      <c r="BT158" s="14">
        <v>9</v>
      </c>
      <c r="BU158" s="14">
        <v>9</v>
      </c>
      <c r="BZ158" s="14">
        <v>18</v>
      </c>
      <c r="CG158" s="14">
        <v>0</v>
      </c>
      <c r="CN158" s="14">
        <v>0</v>
      </c>
      <c r="CU158" s="14">
        <v>0</v>
      </c>
      <c r="DB158" s="14">
        <v>0</v>
      </c>
      <c r="DC158" s="14">
        <v>10</v>
      </c>
      <c r="DD158" s="14">
        <v>10</v>
      </c>
      <c r="DE158" s="14">
        <v>0</v>
      </c>
      <c r="DF158" s="14">
        <v>0</v>
      </c>
      <c r="DG158" s="14">
        <v>0</v>
      </c>
      <c r="DH158" s="14">
        <v>0</v>
      </c>
      <c r="DI158" s="14">
        <v>20</v>
      </c>
      <c r="DJ158" s="14" t="s">
        <v>597</v>
      </c>
      <c r="DK158" s="14" t="s">
        <v>597</v>
      </c>
      <c r="DL158" s="14" t="s">
        <v>598</v>
      </c>
      <c r="DM158" s="14" t="s">
        <v>598</v>
      </c>
      <c r="DN158" s="14" t="s">
        <v>598</v>
      </c>
      <c r="DO158" s="14" t="s">
        <v>598</v>
      </c>
      <c r="DP158" s="14" t="s">
        <v>597</v>
      </c>
      <c r="DQ158" s="14" t="s">
        <v>597</v>
      </c>
      <c r="DR158" s="14" t="s">
        <v>598</v>
      </c>
      <c r="DS158" s="14" t="s">
        <v>598</v>
      </c>
      <c r="DT158" s="14" t="s">
        <v>598</v>
      </c>
      <c r="DU158" s="14" t="s">
        <v>598</v>
      </c>
      <c r="DV158" s="14" t="s">
        <v>598</v>
      </c>
      <c r="DW158" s="14" t="s">
        <v>598</v>
      </c>
      <c r="DX158" s="14" t="s">
        <v>598</v>
      </c>
      <c r="DY158" s="14" t="s">
        <v>598</v>
      </c>
      <c r="DZ158" s="14" t="s">
        <v>598</v>
      </c>
      <c r="EA158" s="14" t="s">
        <v>598</v>
      </c>
      <c r="EB158" s="14" t="s">
        <v>598</v>
      </c>
      <c r="EC158" s="14" t="s">
        <v>598</v>
      </c>
      <c r="ED158" s="14" t="s">
        <v>598</v>
      </c>
      <c r="EE158" s="14" t="s">
        <v>598</v>
      </c>
      <c r="EF158" s="14" t="s">
        <v>598</v>
      </c>
      <c r="EG158" s="14" t="s">
        <v>598</v>
      </c>
      <c r="EH158" s="14" t="s">
        <v>598</v>
      </c>
      <c r="EI158" s="14" t="s">
        <v>598</v>
      </c>
      <c r="EJ158" s="14" t="s">
        <v>598</v>
      </c>
      <c r="EK158" s="14" t="s">
        <v>598</v>
      </c>
      <c r="EL158" s="14" t="s">
        <v>598</v>
      </c>
      <c r="EM158" s="14" t="s">
        <v>598</v>
      </c>
      <c r="EN158" s="14" t="s">
        <v>598</v>
      </c>
      <c r="EO158" s="14" t="s">
        <v>598</v>
      </c>
      <c r="EP158" s="14" t="s">
        <v>598</v>
      </c>
      <c r="EQ158" s="14" t="s">
        <v>598</v>
      </c>
      <c r="ER158" s="14" t="s">
        <v>598</v>
      </c>
      <c r="ES158" s="14" t="s">
        <v>598</v>
      </c>
      <c r="ET158" s="14">
        <v>105</v>
      </c>
      <c r="EU158" s="14">
        <v>448</v>
      </c>
      <c r="EZ158" s="14">
        <v>553</v>
      </c>
      <c r="FA158" s="14">
        <v>184</v>
      </c>
      <c r="FB158" s="14">
        <v>137</v>
      </c>
      <c r="FG158" s="14">
        <v>321</v>
      </c>
      <c r="FN158" s="14">
        <v>0</v>
      </c>
      <c r="FP158" s="14">
        <v>19</v>
      </c>
      <c r="FU158" s="14">
        <v>19</v>
      </c>
      <c r="FV158" s="14">
        <v>49</v>
      </c>
      <c r="GB158" s="14">
        <v>49</v>
      </c>
      <c r="GC158" s="14">
        <v>7</v>
      </c>
      <c r="GI158" s="14">
        <v>7</v>
      </c>
      <c r="GJ158" s="14">
        <v>9</v>
      </c>
      <c r="GP158" s="14">
        <v>9</v>
      </c>
      <c r="GQ158" s="14" t="s">
        <v>1389</v>
      </c>
      <c r="GR158" s="14">
        <v>29</v>
      </c>
      <c r="GS158" s="14">
        <v>663</v>
      </c>
      <c r="GX158" s="14">
        <v>692</v>
      </c>
      <c r="GY158" s="14">
        <v>383</v>
      </c>
      <c r="GZ158" s="14">
        <v>1267</v>
      </c>
      <c r="HA158" s="14">
        <v>0</v>
      </c>
      <c r="HB158" s="14">
        <v>0</v>
      </c>
      <c r="HC158" s="14">
        <v>0</v>
      </c>
      <c r="HD158" s="14">
        <v>0</v>
      </c>
      <c r="HE158" s="14">
        <v>1650</v>
      </c>
      <c r="HF158" s="14">
        <v>19</v>
      </c>
      <c r="HG158" s="14">
        <v>387</v>
      </c>
      <c r="HL158" s="14">
        <v>406</v>
      </c>
      <c r="HM158" s="14">
        <v>364</v>
      </c>
      <c r="HN158" s="14">
        <v>755</v>
      </c>
      <c r="HS158" s="14">
        <v>1119</v>
      </c>
      <c r="HU158" s="14">
        <v>125</v>
      </c>
      <c r="HZ158" s="14">
        <v>125</v>
      </c>
      <c r="IG158" s="14">
        <v>0</v>
      </c>
      <c r="IN158" s="14">
        <v>0</v>
      </c>
      <c r="IO158" s="14">
        <v>383</v>
      </c>
      <c r="IP158" s="14">
        <v>1267</v>
      </c>
      <c r="IQ158" s="14">
        <v>0</v>
      </c>
      <c r="IR158" s="14">
        <v>0</v>
      </c>
      <c r="IS158" s="14">
        <v>0</v>
      </c>
      <c r="IT158" s="14">
        <v>0</v>
      </c>
      <c r="IU158" s="14">
        <v>1650</v>
      </c>
      <c r="IV158" s="14">
        <v>1</v>
      </c>
      <c r="IW158" s="14">
        <v>44</v>
      </c>
      <c r="IX158" s="14">
        <v>55</v>
      </c>
      <c r="JA158" s="14">
        <v>1</v>
      </c>
      <c r="JB158" s="14">
        <v>3</v>
      </c>
      <c r="JC158" s="14">
        <v>1</v>
      </c>
      <c r="JD158" s="14" t="s">
        <v>600</v>
      </c>
      <c r="JK158" s="14">
        <v>0</v>
      </c>
      <c r="JR158" s="14">
        <v>0</v>
      </c>
      <c r="JY158" s="14">
        <v>0</v>
      </c>
      <c r="KF158" s="14">
        <v>0</v>
      </c>
      <c r="KM158" s="14">
        <v>0</v>
      </c>
      <c r="KT158" s="14">
        <v>0</v>
      </c>
      <c r="KU158" s="14">
        <v>9</v>
      </c>
      <c r="LA158" s="14">
        <v>9</v>
      </c>
      <c r="LC158" s="14">
        <v>19</v>
      </c>
      <c r="LD158" s="14">
        <v>18</v>
      </c>
      <c r="LI158" s="14">
        <v>37</v>
      </c>
      <c r="LJ158" s="14">
        <v>28</v>
      </c>
      <c r="LK158" s="14">
        <v>18</v>
      </c>
      <c r="LL158" s="14">
        <v>0</v>
      </c>
      <c r="LM158" s="14">
        <v>0</v>
      </c>
      <c r="LN158" s="14">
        <v>0</v>
      </c>
      <c r="LO158" s="14">
        <v>0</v>
      </c>
      <c r="LP158" s="14">
        <v>46</v>
      </c>
      <c r="LQ158" s="14">
        <v>9</v>
      </c>
      <c r="LW158" s="14">
        <v>9</v>
      </c>
      <c r="LX158" s="14">
        <v>19</v>
      </c>
      <c r="MD158" s="14">
        <v>19</v>
      </c>
      <c r="MF158" s="14">
        <v>18</v>
      </c>
      <c r="MK158" s="14">
        <v>18</v>
      </c>
      <c r="MR158" s="14">
        <v>0</v>
      </c>
      <c r="MY158" s="14">
        <v>0</v>
      </c>
      <c r="MZ158" s="14">
        <v>28</v>
      </c>
      <c r="NA158" s="14">
        <v>18</v>
      </c>
      <c r="NB158" s="14">
        <v>0</v>
      </c>
      <c r="NC158" s="14">
        <v>0</v>
      </c>
      <c r="ND158" s="14">
        <v>0</v>
      </c>
      <c r="NE158" s="14">
        <v>0</v>
      </c>
      <c r="NF158" s="14">
        <v>46</v>
      </c>
      <c r="NG158" s="14" t="s">
        <v>601</v>
      </c>
      <c r="NH158" s="14">
        <v>105</v>
      </c>
      <c r="NI158" s="14">
        <v>448</v>
      </c>
      <c r="NN158" s="14">
        <v>553</v>
      </c>
      <c r="NO158" s="14">
        <v>184</v>
      </c>
      <c r="NP158" s="14">
        <v>137</v>
      </c>
      <c r="NU158" s="14">
        <v>321</v>
      </c>
      <c r="OB158" s="14">
        <v>0</v>
      </c>
      <c r="OD158" s="14">
        <v>19</v>
      </c>
      <c r="OI158" s="14">
        <v>19</v>
      </c>
      <c r="OJ158" s="14">
        <v>49</v>
      </c>
      <c r="OP158" s="14">
        <v>49</v>
      </c>
      <c r="OQ158" s="14">
        <v>7</v>
      </c>
      <c r="OW158" s="14">
        <v>7</v>
      </c>
      <c r="PD158" s="14">
        <v>0</v>
      </c>
      <c r="PF158" s="14">
        <v>10</v>
      </c>
      <c r="PG158" s="14">
        <v>645</v>
      </c>
      <c r="PL158" s="14">
        <v>655</v>
      </c>
      <c r="PM158" s="14">
        <v>355</v>
      </c>
      <c r="PN158" s="14">
        <v>1249</v>
      </c>
      <c r="PO158" s="14">
        <v>0</v>
      </c>
      <c r="PP158" s="14">
        <v>0</v>
      </c>
      <c r="PQ158" s="14">
        <v>0</v>
      </c>
      <c r="PR158" s="14">
        <v>0</v>
      </c>
      <c r="PS158" s="14">
        <v>1604</v>
      </c>
      <c r="PT158" s="14">
        <v>355</v>
      </c>
      <c r="PU158" s="14">
        <v>755</v>
      </c>
      <c r="PZ158" s="14">
        <v>1110</v>
      </c>
      <c r="QB158" s="14">
        <v>386</v>
      </c>
      <c r="QG158" s="14">
        <v>386</v>
      </c>
      <c r="QI158" s="14">
        <v>108</v>
      </c>
      <c r="QN158" s="14">
        <v>108</v>
      </c>
      <c r="QU158" s="14">
        <v>0</v>
      </c>
      <c r="RB158" s="14">
        <v>0</v>
      </c>
      <c r="RC158" s="14">
        <v>355</v>
      </c>
      <c r="RD158" s="14">
        <v>1249</v>
      </c>
      <c r="RE158" s="14">
        <v>0</v>
      </c>
      <c r="RF158" s="14">
        <v>0</v>
      </c>
      <c r="RG158" s="14">
        <v>0</v>
      </c>
      <c r="RH158" s="14">
        <v>0</v>
      </c>
      <c r="RI158" s="14">
        <v>1604</v>
      </c>
      <c r="RJ158" s="14" t="s">
        <v>602</v>
      </c>
      <c r="VM158" s="14" t="s">
        <v>603</v>
      </c>
      <c r="ZP158" s="14" t="s">
        <v>604</v>
      </c>
      <c r="ADS158" s="14" t="s">
        <v>605</v>
      </c>
    </row>
    <row r="159" spans="1:799" x14ac:dyDescent="0.25">
      <c r="A159" s="14">
        <v>166</v>
      </c>
      <c r="B159" s="14" t="s">
        <v>889</v>
      </c>
      <c r="C159" s="16">
        <v>42770.480555555558</v>
      </c>
      <c r="D159" s="14" t="s">
        <v>1390</v>
      </c>
      <c r="E159" s="14" t="s">
        <v>1391</v>
      </c>
      <c r="F159" s="14" t="str">
        <f>VLOOKUP(MID(H159,SEARCH("@",H159,1),LEN(H159)-SEARCH("@",H159,1)+1),[2]Sheet1!$D:$F,3,FALSE)</f>
        <v>M063</v>
      </c>
      <c r="G159" s="14" t="s">
        <v>1392</v>
      </c>
      <c r="H159" s="14" t="s">
        <v>1393</v>
      </c>
      <c r="I159" s="14" t="s">
        <v>1394</v>
      </c>
      <c r="J159" s="14" t="s">
        <v>950</v>
      </c>
      <c r="K159" s="14" t="s">
        <v>732</v>
      </c>
      <c r="M159" s="14">
        <v>1</v>
      </c>
      <c r="V159" s="14">
        <v>0</v>
      </c>
      <c r="X159" s="14">
        <v>190</v>
      </c>
      <c r="AC159" s="14">
        <v>190</v>
      </c>
      <c r="AJ159" s="14">
        <v>0</v>
      </c>
      <c r="AQ159" s="14">
        <v>0</v>
      </c>
      <c r="AX159" s="14">
        <v>0</v>
      </c>
      <c r="BE159" s="14">
        <v>0</v>
      </c>
      <c r="BF159" s="14">
        <v>0</v>
      </c>
      <c r="BG159" s="14">
        <v>190</v>
      </c>
      <c r="BH159" s="14">
        <v>0</v>
      </c>
      <c r="BI159" s="14">
        <v>0</v>
      </c>
      <c r="BJ159" s="14">
        <v>0</v>
      </c>
      <c r="BK159" s="14">
        <v>0</v>
      </c>
      <c r="BL159" s="14">
        <v>190</v>
      </c>
      <c r="BS159" s="14">
        <v>0</v>
      </c>
      <c r="BU159" s="14">
        <v>3</v>
      </c>
      <c r="BZ159" s="14">
        <v>3</v>
      </c>
      <c r="CG159" s="14">
        <v>0</v>
      </c>
      <c r="CN159" s="14">
        <v>0</v>
      </c>
      <c r="CU159" s="14">
        <v>0</v>
      </c>
      <c r="DB159" s="14">
        <v>0</v>
      </c>
      <c r="DC159" s="14">
        <v>0</v>
      </c>
      <c r="DD159" s="14">
        <v>3</v>
      </c>
      <c r="DE159" s="14">
        <v>0</v>
      </c>
      <c r="DF159" s="14">
        <v>0</v>
      </c>
      <c r="DG159" s="14">
        <v>0</v>
      </c>
      <c r="DH159" s="14">
        <v>0</v>
      </c>
      <c r="DI159" s="14">
        <v>3</v>
      </c>
      <c r="DJ159" s="14" t="s">
        <v>598</v>
      </c>
      <c r="DK159" s="14" t="s">
        <v>598</v>
      </c>
      <c r="DL159" s="14" t="s">
        <v>598</v>
      </c>
      <c r="DM159" s="14" t="s">
        <v>598</v>
      </c>
      <c r="DN159" s="14" t="s">
        <v>598</v>
      </c>
      <c r="DO159" s="14" t="s">
        <v>598</v>
      </c>
      <c r="DP159" s="14" t="s">
        <v>598</v>
      </c>
      <c r="DQ159" s="14" t="s">
        <v>597</v>
      </c>
      <c r="DR159" s="14" t="s">
        <v>598</v>
      </c>
      <c r="DS159" s="14" t="s">
        <v>598</v>
      </c>
      <c r="DT159" s="14" t="s">
        <v>598</v>
      </c>
      <c r="DU159" s="14" t="s">
        <v>598</v>
      </c>
      <c r="DV159" s="14" t="s">
        <v>598</v>
      </c>
      <c r="DW159" s="14" t="s">
        <v>598</v>
      </c>
      <c r="DX159" s="14" t="s">
        <v>598</v>
      </c>
      <c r="DY159" s="14" t="s">
        <v>598</v>
      </c>
      <c r="DZ159" s="14" t="s">
        <v>598</v>
      </c>
      <c r="EA159" s="14" t="s">
        <v>598</v>
      </c>
      <c r="EB159" s="14" t="s">
        <v>598</v>
      </c>
      <c r="EC159" s="14" t="s">
        <v>598</v>
      </c>
      <c r="ED159" s="14" t="s">
        <v>598</v>
      </c>
      <c r="EE159" s="14" t="s">
        <v>598</v>
      </c>
      <c r="EF159" s="14" t="s">
        <v>598</v>
      </c>
      <c r="EG159" s="14" t="s">
        <v>598</v>
      </c>
      <c r="EH159" s="14" t="s">
        <v>598</v>
      </c>
      <c r="EI159" s="14" t="s">
        <v>598</v>
      </c>
      <c r="EJ159" s="14" t="s">
        <v>598</v>
      </c>
      <c r="EK159" s="14" t="s">
        <v>598</v>
      </c>
      <c r="EL159" s="14" t="s">
        <v>598</v>
      </c>
      <c r="EM159" s="14" t="s">
        <v>598</v>
      </c>
      <c r="EN159" s="14" t="s">
        <v>598</v>
      </c>
      <c r="EO159" s="14" t="s">
        <v>598</v>
      </c>
      <c r="EP159" s="14" t="s">
        <v>598</v>
      </c>
      <c r="EQ159" s="14" t="s">
        <v>598</v>
      </c>
      <c r="ER159" s="14" t="s">
        <v>598</v>
      </c>
      <c r="ES159" s="14" t="s">
        <v>598</v>
      </c>
      <c r="EU159" s="14">
        <v>140</v>
      </c>
      <c r="EZ159" s="14">
        <v>140</v>
      </c>
      <c r="FB159" s="14">
        <v>25</v>
      </c>
      <c r="FG159" s="14">
        <v>25</v>
      </c>
      <c r="FN159" s="14">
        <v>0</v>
      </c>
      <c r="FU159" s="14">
        <v>0</v>
      </c>
      <c r="FW159" s="14">
        <v>25</v>
      </c>
      <c r="GB159" s="14">
        <v>25</v>
      </c>
      <c r="GI159" s="14">
        <v>0</v>
      </c>
      <c r="GP159" s="14">
        <v>0</v>
      </c>
      <c r="GX159" s="14">
        <v>0</v>
      </c>
      <c r="GY159" s="14">
        <v>0</v>
      </c>
      <c r="GZ159" s="14">
        <v>190</v>
      </c>
      <c r="HA159" s="14">
        <v>0</v>
      </c>
      <c r="HB159" s="14">
        <v>0</v>
      </c>
      <c r="HC159" s="14">
        <v>0</v>
      </c>
      <c r="HD159" s="14">
        <v>0</v>
      </c>
      <c r="HE159" s="14">
        <v>190</v>
      </c>
      <c r="HL159" s="14">
        <v>0</v>
      </c>
      <c r="HN159" s="14">
        <v>190</v>
      </c>
      <c r="HS159" s="14">
        <v>190</v>
      </c>
      <c r="HZ159" s="14">
        <v>0</v>
      </c>
      <c r="IG159" s="14">
        <v>0</v>
      </c>
      <c r="IN159" s="14">
        <v>0</v>
      </c>
      <c r="IO159" s="14">
        <v>0</v>
      </c>
      <c r="IP159" s="14">
        <v>190</v>
      </c>
      <c r="IQ159" s="14">
        <v>0</v>
      </c>
      <c r="IR159" s="14">
        <v>0</v>
      </c>
      <c r="IS159" s="14">
        <v>0</v>
      </c>
      <c r="IT159" s="14">
        <v>0</v>
      </c>
      <c r="IU159" s="14">
        <v>190</v>
      </c>
      <c r="IV159" s="14">
        <v>5</v>
      </c>
      <c r="IW159" s="14">
        <v>15</v>
      </c>
      <c r="IX159" s="14">
        <v>80</v>
      </c>
      <c r="JA159" s="14">
        <v>1</v>
      </c>
      <c r="JB159" s="14">
        <v>1</v>
      </c>
      <c r="JC159" s="14">
        <v>1</v>
      </c>
      <c r="JD159" s="14" t="s">
        <v>600</v>
      </c>
      <c r="NG159" s="14" t="s">
        <v>601</v>
      </c>
      <c r="NI159" s="14">
        <v>140</v>
      </c>
      <c r="NN159" s="14">
        <v>140</v>
      </c>
      <c r="NP159" s="14">
        <v>25</v>
      </c>
      <c r="NU159" s="14">
        <v>25</v>
      </c>
      <c r="OB159" s="14">
        <v>0</v>
      </c>
      <c r="OI159" s="14">
        <v>0</v>
      </c>
      <c r="OK159" s="14">
        <v>25</v>
      </c>
      <c r="OP159" s="14">
        <v>25</v>
      </c>
      <c r="OW159" s="14">
        <v>0</v>
      </c>
      <c r="PD159" s="14">
        <v>0</v>
      </c>
      <c r="PL159" s="14">
        <v>0</v>
      </c>
      <c r="PM159" s="14">
        <v>0</v>
      </c>
      <c r="PN159" s="14">
        <v>190</v>
      </c>
      <c r="PO159" s="14">
        <v>0</v>
      </c>
      <c r="PP159" s="14">
        <v>0</v>
      </c>
      <c r="PQ159" s="14">
        <v>0</v>
      </c>
      <c r="PR159" s="14">
        <v>0</v>
      </c>
      <c r="PS159" s="14">
        <v>190</v>
      </c>
      <c r="PU159" s="14">
        <v>190</v>
      </c>
      <c r="PZ159" s="14">
        <v>190</v>
      </c>
      <c r="QG159" s="14">
        <v>0</v>
      </c>
      <c r="QN159" s="14">
        <v>0</v>
      </c>
      <c r="QU159" s="14">
        <v>0</v>
      </c>
      <c r="RB159" s="14">
        <v>0</v>
      </c>
      <c r="RC159" s="14">
        <v>0</v>
      </c>
      <c r="RD159" s="14">
        <v>190</v>
      </c>
      <c r="RE159" s="14">
        <v>0</v>
      </c>
      <c r="RF159" s="14">
        <v>0</v>
      </c>
      <c r="RG159" s="14">
        <v>0</v>
      </c>
      <c r="RH159" s="14">
        <v>0</v>
      </c>
      <c r="RI159" s="14">
        <v>190</v>
      </c>
      <c r="RJ159" s="14" t="s">
        <v>602</v>
      </c>
      <c r="VM159" s="14" t="s">
        <v>603</v>
      </c>
      <c r="ZP159" s="14" t="s">
        <v>604</v>
      </c>
      <c r="ADS159" s="14" t="s">
        <v>605</v>
      </c>
    </row>
    <row r="160" spans="1:799" x14ac:dyDescent="0.25">
      <c r="A160" s="14">
        <v>41</v>
      </c>
      <c r="B160" s="14" t="s">
        <v>889</v>
      </c>
      <c r="C160" s="16">
        <v>42745.556944444441</v>
      </c>
      <c r="D160" s="14" t="s">
        <v>1395</v>
      </c>
      <c r="E160" s="14" t="s">
        <v>1396</v>
      </c>
      <c r="F160" s="14" t="str">
        <f>VLOOKUP(MID(H160,SEARCH("@",H160,1),LEN(H160)-SEARCH("@",H160,1)+1),[2]Sheet1!$D:$F,3,FALSE)</f>
        <v>M015</v>
      </c>
      <c r="G160" s="14" t="s">
        <v>1374</v>
      </c>
      <c r="H160" s="14" t="s">
        <v>1397</v>
      </c>
      <c r="I160" s="14" t="s">
        <v>1398</v>
      </c>
      <c r="J160" s="14" t="s">
        <v>979</v>
      </c>
      <c r="K160" s="14" t="s">
        <v>732</v>
      </c>
      <c r="M160" s="14">
        <v>1</v>
      </c>
      <c r="V160" s="14">
        <v>0</v>
      </c>
      <c r="W160" s="14">
        <v>592</v>
      </c>
      <c r="X160" s="14">
        <v>316</v>
      </c>
      <c r="AC160" s="14">
        <v>908</v>
      </c>
      <c r="AJ160" s="14">
        <v>0</v>
      </c>
      <c r="AQ160" s="14">
        <v>0</v>
      </c>
      <c r="AX160" s="14">
        <v>0</v>
      </c>
      <c r="BE160" s="14">
        <v>0</v>
      </c>
      <c r="BF160" s="14">
        <v>592</v>
      </c>
      <c r="BG160" s="14">
        <v>316</v>
      </c>
      <c r="BH160" s="14">
        <v>0</v>
      </c>
      <c r="BI160" s="14">
        <v>0</v>
      </c>
      <c r="BJ160" s="14">
        <v>0</v>
      </c>
      <c r="BK160" s="14">
        <v>0</v>
      </c>
      <c r="BL160" s="14">
        <v>908</v>
      </c>
      <c r="BS160" s="14">
        <v>0</v>
      </c>
      <c r="BT160" s="14">
        <v>1</v>
      </c>
      <c r="BU160" s="14">
        <v>1</v>
      </c>
      <c r="BZ160" s="14">
        <v>2</v>
      </c>
      <c r="CG160" s="14">
        <v>0</v>
      </c>
      <c r="CN160" s="14">
        <v>0</v>
      </c>
      <c r="CU160" s="14">
        <v>0</v>
      </c>
      <c r="DB160" s="14">
        <v>0</v>
      </c>
      <c r="DC160" s="14">
        <v>1</v>
      </c>
      <c r="DD160" s="14">
        <v>1</v>
      </c>
      <c r="DE160" s="14">
        <v>0</v>
      </c>
      <c r="DF160" s="14">
        <v>0</v>
      </c>
      <c r="DG160" s="14">
        <v>0</v>
      </c>
      <c r="DH160" s="14">
        <v>0</v>
      </c>
      <c r="DI160" s="14">
        <v>2</v>
      </c>
      <c r="DJ160" s="14" t="s">
        <v>598</v>
      </c>
      <c r="DK160" s="14" t="s">
        <v>598</v>
      </c>
      <c r="DL160" s="14" t="s">
        <v>598</v>
      </c>
      <c r="DM160" s="14" t="s">
        <v>598</v>
      </c>
      <c r="DN160" s="14" t="s">
        <v>598</v>
      </c>
      <c r="DO160" s="14" t="s">
        <v>598</v>
      </c>
      <c r="DP160" s="14" t="s">
        <v>597</v>
      </c>
      <c r="DQ160" s="14" t="s">
        <v>597</v>
      </c>
      <c r="DR160" s="14" t="s">
        <v>598</v>
      </c>
      <c r="DS160" s="14" t="s">
        <v>598</v>
      </c>
      <c r="DT160" s="14" t="s">
        <v>598</v>
      </c>
      <c r="DU160" s="14" t="s">
        <v>598</v>
      </c>
      <c r="DV160" s="14" t="s">
        <v>598</v>
      </c>
      <c r="DW160" s="14" t="s">
        <v>598</v>
      </c>
      <c r="DX160" s="14" t="s">
        <v>598</v>
      </c>
      <c r="DY160" s="14" t="s">
        <v>598</v>
      </c>
      <c r="DZ160" s="14" t="s">
        <v>598</v>
      </c>
      <c r="EA160" s="14" t="s">
        <v>598</v>
      </c>
      <c r="EB160" s="14" t="s">
        <v>598</v>
      </c>
      <c r="EC160" s="14" t="s">
        <v>598</v>
      </c>
      <c r="ED160" s="14" t="s">
        <v>598</v>
      </c>
      <c r="EE160" s="14" t="s">
        <v>598</v>
      </c>
      <c r="EF160" s="14" t="s">
        <v>598</v>
      </c>
      <c r="EG160" s="14" t="s">
        <v>598</v>
      </c>
      <c r="EH160" s="14" t="s">
        <v>598</v>
      </c>
      <c r="EI160" s="14" t="s">
        <v>598</v>
      </c>
      <c r="EJ160" s="14" t="s">
        <v>598</v>
      </c>
      <c r="EK160" s="14" t="s">
        <v>598</v>
      </c>
      <c r="EL160" s="14" t="s">
        <v>598</v>
      </c>
      <c r="EM160" s="14" t="s">
        <v>598</v>
      </c>
      <c r="EN160" s="14" t="s">
        <v>598</v>
      </c>
      <c r="EO160" s="14" t="s">
        <v>598</v>
      </c>
      <c r="EP160" s="14" t="s">
        <v>598</v>
      </c>
      <c r="EQ160" s="14" t="s">
        <v>598</v>
      </c>
      <c r="ER160" s="14" t="s">
        <v>598</v>
      </c>
      <c r="ES160" s="14" t="s">
        <v>598</v>
      </c>
      <c r="ET160" s="14">
        <v>127</v>
      </c>
      <c r="EZ160" s="14">
        <v>127</v>
      </c>
      <c r="FA160" s="14">
        <v>455</v>
      </c>
      <c r="FB160" s="14">
        <v>316</v>
      </c>
      <c r="FG160" s="14">
        <v>771</v>
      </c>
      <c r="FN160" s="14">
        <v>0</v>
      </c>
      <c r="FU160" s="14">
        <v>0</v>
      </c>
      <c r="FV160" s="14">
        <v>10</v>
      </c>
      <c r="GB160" s="14">
        <v>10</v>
      </c>
      <c r="GI160" s="14">
        <v>0</v>
      </c>
      <c r="GP160" s="14">
        <v>0</v>
      </c>
      <c r="GX160" s="14">
        <v>0</v>
      </c>
      <c r="GY160" s="14">
        <v>592</v>
      </c>
      <c r="GZ160" s="14">
        <v>316</v>
      </c>
      <c r="HA160" s="14">
        <v>0</v>
      </c>
      <c r="HB160" s="14">
        <v>0</v>
      </c>
      <c r="HC160" s="14">
        <v>0</v>
      </c>
      <c r="HD160" s="14">
        <v>0</v>
      </c>
      <c r="HE160" s="14">
        <v>908</v>
      </c>
      <c r="HL160" s="14">
        <v>0</v>
      </c>
      <c r="HM160" s="14">
        <v>592</v>
      </c>
      <c r="HN160" s="14">
        <v>316</v>
      </c>
      <c r="HS160" s="14">
        <v>908</v>
      </c>
      <c r="HZ160" s="14">
        <v>0</v>
      </c>
      <c r="IG160" s="14">
        <v>0</v>
      </c>
      <c r="IN160" s="14">
        <v>0</v>
      </c>
      <c r="IO160" s="14">
        <v>592</v>
      </c>
      <c r="IP160" s="14">
        <v>316</v>
      </c>
      <c r="IQ160" s="14">
        <v>0</v>
      </c>
      <c r="IR160" s="14">
        <v>0</v>
      </c>
      <c r="IS160" s="14">
        <v>0</v>
      </c>
      <c r="IT160" s="14">
        <v>0</v>
      </c>
      <c r="IU160" s="14">
        <v>908</v>
      </c>
      <c r="IV160" s="14">
        <v>17</v>
      </c>
      <c r="IW160" s="14">
        <v>5</v>
      </c>
      <c r="IX160" s="14">
        <v>78</v>
      </c>
      <c r="JA160" s="14">
        <v>2</v>
      </c>
      <c r="JB160" s="14">
        <v>3</v>
      </c>
      <c r="JC160" s="14">
        <v>1</v>
      </c>
      <c r="JD160" s="14" t="s">
        <v>600</v>
      </c>
      <c r="NG160" s="14" t="s">
        <v>601</v>
      </c>
      <c r="NH160" s="14">
        <v>127</v>
      </c>
      <c r="NN160" s="14">
        <v>127</v>
      </c>
      <c r="NO160" s="14">
        <v>455</v>
      </c>
      <c r="NP160" s="14">
        <v>316</v>
      </c>
      <c r="NU160" s="14">
        <v>771</v>
      </c>
      <c r="OB160" s="14">
        <v>0</v>
      </c>
      <c r="OI160" s="14">
        <v>0</v>
      </c>
      <c r="OJ160" s="14">
        <v>10</v>
      </c>
      <c r="OP160" s="14">
        <v>10</v>
      </c>
      <c r="OW160" s="14">
        <v>0</v>
      </c>
      <c r="PD160" s="14">
        <v>0</v>
      </c>
      <c r="PL160" s="14">
        <v>0</v>
      </c>
      <c r="PM160" s="14">
        <v>592</v>
      </c>
      <c r="PN160" s="14">
        <v>316</v>
      </c>
      <c r="PO160" s="14">
        <v>0</v>
      </c>
      <c r="PP160" s="14">
        <v>0</v>
      </c>
      <c r="PQ160" s="14">
        <v>0</v>
      </c>
      <c r="PR160" s="14">
        <v>0</v>
      </c>
      <c r="PS160" s="14">
        <v>908</v>
      </c>
      <c r="PT160" s="14">
        <v>592</v>
      </c>
      <c r="PU160" s="14">
        <v>316</v>
      </c>
      <c r="PZ160" s="14">
        <v>908</v>
      </c>
      <c r="QG160" s="14">
        <v>0</v>
      </c>
      <c r="QN160" s="14">
        <v>0</v>
      </c>
      <c r="QU160" s="14">
        <v>0</v>
      </c>
      <c r="RB160" s="14">
        <v>0</v>
      </c>
      <c r="RC160" s="14">
        <v>592</v>
      </c>
      <c r="RD160" s="14">
        <v>316</v>
      </c>
      <c r="RE160" s="14">
        <v>0</v>
      </c>
      <c r="RF160" s="14">
        <v>0</v>
      </c>
      <c r="RG160" s="14">
        <v>0</v>
      </c>
      <c r="RH160" s="14">
        <v>0</v>
      </c>
      <c r="RI160" s="14">
        <v>908</v>
      </c>
      <c r="RJ160" s="14" t="s">
        <v>602</v>
      </c>
      <c r="VM160" s="14" t="s">
        <v>603</v>
      </c>
      <c r="ZP160" s="14" t="s">
        <v>604</v>
      </c>
      <c r="ADS160" s="14" t="s">
        <v>605</v>
      </c>
    </row>
    <row r="161" spans="1:799" x14ac:dyDescent="0.25">
      <c r="A161" s="14">
        <v>194</v>
      </c>
      <c r="B161" s="14" t="s">
        <v>889</v>
      </c>
      <c r="C161" s="16">
        <v>42775.370833333334</v>
      </c>
      <c r="D161" s="14" t="s">
        <v>1399</v>
      </c>
      <c r="E161" s="14" t="s">
        <v>1400</v>
      </c>
      <c r="F161" s="14" t="str">
        <f>VLOOKUP(MID(H161,SEARCH("@",H161,1),LEN(H161)-SEARCH("@",H161,1)+1),[2]Sheet1!$D:$F,3,FALSE)</f>
        <v>M757</v>
      </c>
      <c r="G161" s="14" t="s">
        <v>825</v>
      </c>
      <c r="H161" s="14" t="s">
        <v>1401</v>
      </c>
      <c r="I161" s="14">
        <v>-5426079</v>
      </c>
      <c r="J161" s="14" t="s">
        <v>1402</v>
      </c>
      <c r="K161" s="14" t="s">
        <v>732</v>
      </c>
      <c r="M161" s="14">
        <v>1</v>
      </c>
      <c r="V161" s="14">
        <v>0</v>
      </c>
      <c r="W161" s="14">
        <v>235.01</v>
      </c>
      <c r="AC161" s="14">
        <v>235.01</v>
      </c>
      <c r="AJ161" s="14">
        <v>0</v>
      </c>
      <c r="AQ161" s="14">
        <v>0</v>
      </c>
      <c r="AX161" s="14">
        <v>0</v>
      </c>
      <c r="BE161" s="14">
        <v>0</v>
      </c>
      <c r="BF161" s="14">
        <v>235.01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235.01</v>
      </c>
      <c r="BS161" s="14">
        <v>0</v>
      </c>
      <c r="BT161" s="14">
        <v>1</v>
      </c>
      <c r="BZ161" s="14">
        <v>1</v>
      </c>
      <c r="CG161" s="14">
        <v>0</v>
      </c>
      <c r="CN161" s="14">
        <v>0</v>
      </c>
      <c r="CU161" s="14">
        <v>0</v>
      </c>
      <c r="DB161" s="14">
        <v>0</v>
      </c>
      <c r="DC161" s="14">
        <v>1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1</v>
      </c>
      <c r="DJ161" s="14" t="s">
        <v>598</v>
      </c>
      <c r="DK161" s="14" t="s">
        <v>598</v>
      </c>
      <c r="DL161" s="14" t="s">
        <v>598</v>
      </c>
      <c r="DM161" s="14" t="s">
        <v>598</v>
      </c>
      <c r="DN161" s="14" t="s">
        <v>598</v>
      </c>
      <c r="DO161" s="14" t="s">
        <v>598</v>
      </c>
      <c r="DP161" s="14" t="s">
        <v>597</v>
      </c>
      <c r="DQ161" s="14" t="s">
        <v>598</v>
      </c>
      <c r="DR161" s="14" t="s">
        <v>598</v>
      </c>
      <c r="DS161" s="14" t="s">
        <v>598</v>
      </c>
      <c r="DT161" s="14" t="s">
        <v>598</v>
      </c>
      <c r="DU161" s="14" t="s">
        <v>598</v>
      </c>
      <c r="DV161" s="14" t="s">
        <v>598</v>
      </c>
      <c r="DW161" s="14" t="s">
        <v>598</v>
      </c>
      <c r="DX161" s="14" t="s">
        <v>598</v>
      </c>
      <c r="DY161" s="14" t="s">
        <v>598</v>
      </c>
      <c r="DZ161" s="14" t="s">
        <v>598</v>
      </c>
      <c r="EA161" s="14" t="s">
        <v>598</v>
      </c>
      <c r="EB161" s="14" t="s">
        <v>598</v>
      </c>
      <c r="EC161" s="14" t="s">
        <v>598</v>
      </c>
      <c r="ED161" s="14" t="s">
        <v>598</v>
      </c>
      <c r="EE161" s="14" t="s">
        <v>598</v>
      </c>
      <c r="EF161" s="14" t="s">
        <v>598</v>
      </c>
      <c r="EG161" s="14" t="s">
        <v>598</v>
      </c>
      <c r="EH161" s="14" t="s">
        <v>598</v>
      </c>
      <c r="EI161" s="14" t="s">
        <v>598</v>
      </c>
      <c r="EJ161" s="14" t="s">
        <v>598</v>
      </c>
      <c r="EK161" s="14" t="s">
        <v>598</v>
      </c>
      <c r="EL161" s="14" t="s">
        <v>598</v>
      </c>
      <c r="EM161" s="14" t="s">
        <v>598</v>
      </c>
      <c r="EN161" s="14" t="s">
        <v>598</v>
      </c>
      <c r="EO161" s="14" t="s">
        <v>598</v>
      </c>
      <c r="EP161" s="14" t="s">
        <v>598</v>
      </c>
      <c r="EQ161" s="14" t="s">
        <v>598</v>
      </c>
      <c r="ER161" s="14" t="s">
        <v>598</v>
      </c>
      <c r="ES161" s="14" t="s">
        <v>598</v>
      </c>
      <c r="ET161" s="14">
        <v>18</v>
      </c>
      <c r="EZ161" s="14">
        <v>18</v>
      </c>
      <c r="FG161" s="14">
        <v>0</v>
      </c>
      <c r="FN161" s="14">
        <v>0</v>
      </c>
      <c r="FU161" s="14">
        <v>0</v>
      </c>
      <c r="GB161" s="14">
        <v>0</v>
      </c>
      <c r="GC161" s="14">
        <v>217.01</v>
      </c>
      <c r="GI161" s="14">
        <v>217.01</v>
      </c>
      <c r="GP161" s="14">
        <v>0</v>
      </c>
      <c r="GX161" s="14">
        <v>0</v>
      </c>
      <c r="GY161" s="14">
        <v>235.01</v>
      </c>
      <c r="GZ161" s="14">
        <v>0</v>
      </c>
      <c r="HA161" s="14">
        <v>0</v>
      </c>
      <c r="HB161" s="14">
        <v>0</v>
      </c>
      <c r="HC161" s="14">
        <v>0</v>
      </c>
      <c r="HD161" s="14">
        <v>0</v>
      </c>
      <c r="HE161" s="14">
        <v>235.01</v>
      </c>
      <c r="HL161" s="14">
        <v>0</v>
      </c>
      <c r="HM161" s="14">
        <v>170</v>
      </c>
      <c r="HS161" s="14">
        <v>170</v>
      </c>
      <c r="HT161" s="14">
        <v>65.010000000000005</v>
      </c>
      <c r="HZ161" s="14">
        <v>65.010000000000005</v>
      </c>
      <c r="IG161" s="14">
        <v>0</v>
      </c>
      <c r="IN161" s="14">
        <v>0</v>
      </c>
      <c r="IO161" s="14">
        <v>235.01</v>
      </c>
      <c r="IP161" s="14">
        <v>0</v>
      </c>
      <c r="IQ161" s="14">
        <v>0</v>
      </c>
      <c r="IR161" s="14">
        <v>0</v>
      </c>
      <c r="IS161" s="14">
        <v>0</v>
      </c>
      <c r="IT161" s="14">
        <v>0</v>
      </c>
      <c r="IU161" s="14">
        <v>235.01</v>
      </c>
      <c r="IV161" s="14">
        <v>0</v>
      </c>
      <c r="IW161" s="14">
        <v>50</v>
      </c>
      <c r="IX161" s="14">
        <v>50</v>
      </c>
      <c r="JA161" s="14">
        <v>1</v>
      </c>
      <c r="JB161" s="14">
        <v>2</v>
      </c>
      <c r="JC161" s="14">
        <v>2</v>
      </c>
      <c r="JD161" s="14" t="s">
        <v>600</v>
      </c>
      <c r="NG161" s="14" t="s">
        <v>601</v>
      </c>
      <c r="NH161" s="14">
        <v>18</v>
      </c>
      <c r="NN161" s="14">
        <v>18</v>
      </c>
      <c r="NU161" s="14">
        <v>0</v>
      </c>
      <c r="OB161" s="14">
        <v>0</v>
      </c>
      <c r="OI161" s="14">
        <v>0</v>
      </c>
      <c r="OP161" s="14">
        <v>0</v>
      </c>
      <c r="OQ161" s="14">
        <v>217.01</v>
      </c>
      <c r="OW161" s="14">
        <v>217.01</v>
      </c>
      <c r="PD161" s="14">
        <v>0</v>
      </c>
      <c r="PL161" s="14">
        <v>0</v>
      </c>
      <c r="PM161" s="14">
        <v>235.01</v>
      </c>
      <c r="PN161" s="14">
        <v>0</v>
      </c>
      <c r="PO161" s="14">
        <v>0</v>
      </c>
      <c r="PP161" s="14">
        <v>0</v>
      </c>
      <c r="PQ161" s="14">
        <v>0</v>
      </c>
      <c r="PR161" s="14">
        <v>0</v>
      </c>
      <c r="PS161" s="14">
        <v>235.01</v>
      </c>
      <c r="PT161" s="14">
        <v>170</v>
      </c>
      <c r="PZ161" s="14">
        <v>170</v>
      </c>
      <c r="QG161" s="14">
        <v>0</v>
      </c>
      <c r="QH161" s="14">
        <v>65.010000000000005</v>
      </c>
      <c r="QN161" s="14">
        <v>65.010000000000005</v>
      </c>
      <c r="QU161" s="14">
        <v>0</v>
      </c>
      <c r="RB161" s="14">
        <v>0</v>
      </c>
      <c r="RC161" s="14">
        <v>235.01</v>
      </c>
      <c r="RD161" s="14">
        <v>0</v>
      </c>
      <c r="RE161" s="14">
        <v>0</v>
      </c>
      <c r="RF161" s="14">
        <v>0</v>
      </c>
      <c r="RG161" s="14">
        <v>0</v>
      </c>
      <c r="RH161" s="14">
        <v>0</v>
      </c>
      <c r="RI161" s="14">
        <v>235.01</v>
      </c>
      <c r="RJ161" s="14" t="s">
        <v>602</v>
      </c>
      <c r="VM161" s="14" t="s">
        <v>603</v>
      </c>
      <c r="ZP161" s="14" t="s">
        <v>604</v>
      </c>
      <c r="ADS161" s="14" t="s">
        <v>605</v>
      </c>
    </row>
    <row r="162" spans="1:799" x14ac:dyDescent="0.25">
      <c r="A162" s="14">
        <v>238</v>
      </c>
      <c r="B162" s="14" t="s">
        <v>889</v>
      </c>
      <c r="C162" s="16">
        <v>42780</v>
      </c>
      <c r="D162" s="14" t="s">
        <v>1403</v>
      </c>
      <c r="E162" s="14" t="s">
        <v>1404</v>
      </c>
      <c r="F162" s="14" t="str">
        <f>VLOOKUP(MID(H162,SEARCH("@",H162,1),LEN(H162)-SEARCH("@",H162,1)+1),[2]Sheet1!$D:$F,3,FALSE)</f>
        <v>M707</v>
      </c>
      <c r="G162" s="14" t="s">
        <v>1405</v>
      </c>
      <c r="H162" s="14" t="s">
        <v>1406</v>
      </c>
      <c r="I162" s="14" t="s">
        <v>1407</v>
      </c>
      <c r="J162" s="14" t="s">
        <v>1188</v>
      </c>
      <c r="K162" s="14" t="s">
        <v>732</v>
      </c>
      <c r="M162" s="14">
        <v>1</v>
      </c>
      <c r="V162" s="14">
        <v>0</v>
      </c>
      <c r="W162" s="14">
        <v>110</v>
      </c>
      <c r="AC162" s="14">
        <v>110</v>
      </c>
      <c r="AJ162" s="14">
        <v>0</v>
      </c>
      <c r="AQ162" s="14">
        <v>0</v>
      </c>
      <c r="AX162" s="14">
        <v>0</v>
      </c>
      <c r="BE162" s="14">
        <v>0</v>
      </c>
      <c r="BF162" s="14">
        <v>110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110</v>
      </c>
      <c r="BS162" s="14">
        <v>0</v>
      </c>
      <c r="BT162" s="14">
        <v>1</v>
      </c>
      <c r="BZ162" s="14">
        <v>1</v>
      </c>
      <c r="CG162" s="14">
        <v>0</v>
      </c>
      <c r="CN162" s="14">
        <v>0</v>
      </c>
      <c r="CU162" s="14">
        <v>0</v>
      </c>
      <c r="DB162" s="14">
        <v>0</v>
      </c>
      <c r="DC162" s="14">
        <v>1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1</v>
      </c>
      <c r="DJ162" s="14" t="s">
        <v>598</v>
      </c>
      <c r="DK162" s="14" t="s">
        <v>598</v>
      </c>
      <c r="DL162" s="14" t="s">
        <v>598</v>
      </c>
      <c r="DM162" s="14" t="s">
        <v>598</v>
      </c>
      <c r="DN162" s="14" t="s">
        <v>598</v>
      </c>
      <c r="DO162" s="14" t="s">
        <v>598</v>
      </c>
      <c r="DP162" s="14" t="s">
        <v>597</v>
      </c>
      <c r="DQ162" s="14" t="s">
        <v>598</v>
      </c>
      <c r="DR162" s="14" t="s">
        <v>598</v>
      </c>
      <c r="DS162" s="14" t="s">
        <v>598</v>
      </c>
      <c r="DT162" s="14" t="s">
        <v>598</v>
      </c>
      <c r="DU162" s="14" t="s">
        <v>598</v>
      </c>
      <c r="DV162" s="14" t="s">
        <v>598</v>
      </c>
      <c r="DW162" s="14" t="s">
        <v>598</v>
      </c>
      <c r="DX162" s="14" t="s">
        <v>598</v>
      </c>
      <c r="DY162" s="14" t="s">
        <v>598</v>
      </c>
      <c r="DZ162" s="14" t="s">
        <v>598</v>
      </c>
      <c r="EA162" s="14" t="s">
        <v>598</v>
      </c>
      <c r="EB162" s="14" t="s">
        <v>598</v>
      </c>
      <c r="EC162" s="14" t="s">
        <v>598</v>
      </c>
      <c r="ED162" s="14" t="s">
        <v>598</v>
      </c>
      <c r="EE162" s="14" t="s">
        <v>598</v>
      </c>
      <c r="EF162" s="14" t="s">
        <v>598</v>
      </c>
      <c r="EG162" s="14" t="s">
        <v>598</v>
      </c>
      <c r="EH162" s="14" t="s">
        <v>598</v>
      </c>
      <c r="EI162" s="14" t="s">
        <v>598</v>
      </c>
      <c r="EJ162" s="14" t="s">
        <v>598</v>
      </c>
      <c r="EK162" s="14" t="s">
        <v>598</v>
      </c>
      <c r="EL162" s="14" t="s">
        <v>598</v>
      </c>
      <c r="EM162" s="14" t="s">
        <v>598</v>
      </c>
      <c r="EN162" s="14" t="s">
        <v>598</v>
      </c>
      <c r="EO162" s="14" t="s">
        <v>598</v>
      </c>
      <c r="EP162" s="14" t="s">
        <v>598</v>
      </c>
      <c r="EQ162" s="14" t="s">
        <v>598</v>
      </c>
      <c r="ER162" s="14" t="s">
        <v>598</v>
      </c>
      <c r="ES162" s="14" t="s">
        <v>598</v>
      </c>
      <c r="EZ162" s="14">
        <v>0</v>
      </c>
      <c r="FG162" s="14">
        <v>0</v>
      </c>
      <c r="FN162" s="14">
        <v>0</v>
      </c>
      <c r="FU162" s="14">
        <v>0</v>
      </c>
      <c r="GB162" s="14">
        <v>0</v>
      </c>
      <c r="GC162" s="14">
        <v>110</v>
      </c>
      <c r="GI162" s="14">
        <v>110</v>
      </c>
      <c r="GP162" s="14">
        <v>0</v>
      </c>
      <c r="GX162" s="14">
        <v>0</v>
      </c>
      <c r="GY162" s="14">
        <v>110</v>
      </c>
      <c r="GZ162" s="14">
        <v>0</v>
      </c>
      <c r="HA162" s="14">
        <v>0</v>
      </c>
      <c r="HB162" s="14">
        <v>0</v>
      </c>
      <c r="HC162" s="14">
        <v>0</v>
      </c>
      <c r="HD162" s="14">
        <v>0</v>
      </c>
      <c r="HE162" s="14">
        <v>110</v>
      </c>
      <c r="HL162" s="14">
        <v>0</v>
      </c>
      <c r="HS162" s="14">
        <v>0</v>
      </c>
      <c r="HT162" s="14">
        <v>110</v>
      </c>
      <c r="HZ162" s="14">
        <v>110</v>
      </c>
      <c r="IG162" s="14">
        <v>0</v>
      </c>
      <c r="IN162" s="14">
        <v>0</v>
      </c>
      <c r="IO162" s="14">
        <v>110</v>
      </c>
      <c r="IP162" s="14">
        <v>0</v>
      </c>
      <c r="IQ162" s="14">
        <v>0</v>
      </c>
      <c r="IR162" s="14">
        <v>0</v>
      </c>
      <c r="IS162" s="14">
        <v>0</v>
      </c>
      <c r="IT162" s="14">
        <v>0</v>
      </c>
      <c r="IU162" s="14">
        <v>110</v>
      </c>
      <c r="IX162" s="14">
        <v>100</v>
      </c>
      <c r="JA162" s="14">
        <v>1</v>
      </c>
      <c r="JB162" s="14">
        <v>1</v>
      </c>
      <c r="JC162" s="14">
        <v>1</v>
      </c>
      <c r="JD162" s="14" t="s">
        <v>600</v>
      </c>
      <c r="NG162" s="14" t="s">
        <v>601</v>
      </c>
      <c r="NN162" s="14">
        <v>0</v>
      </c>
      <c r="NU162" s="14">
        <v>0</v>
      </c>
      <c r="OB162" s="14">
        <v>0</v>
      </c>
      <c r="OI162" s="14">
        <v>0</v>
      </c>
      <c r="OP162" s="14">
        <v>0</v>
      </c>
      <c r="OQ162" s="14">
        <v>110</v>
      </c>
      <c r="OW162" s="14">
        <v>110</v>
      </c>
      <c r="PD162" s="14">
        <v>0</v>
      </c>
      <c r="PL162" s="14">
        <v>0</v>
      </c>
      <c r="PM162" s="14">
        <v>110</v>
      </c>
      <c r="PN162" s="14">
        <v>0</v>
      </c>
      <c r="PO162" s="14">
        <v>0</v>
      </c>
      <c r="PP162" s="14">
        <v>0</v>
      </c>
      <c r="PQ162" s="14">
        <v>0</v>
      </c>
      <c r="PR162" s="14">
        <v>0</v>
      </c>
      <c r="PS162" s="14">
        <v>110</v>
      </c>
      <c r="PZ162" s="14">
        <v>0</v>
      </c>
      <c r="QG162" s="14">
        <v>0</v>
      </c>
      <c r="QH162" s="14">
        <v>110</v>
      </c>
      <c r="QN162" s="14">
        <v>110</v>
      </c>
      <c r="QU162" s="14">
        <v>0</v>
      </c>
      <c r="RB162" s="14">
        <v>0</v>
      </c>
      <c r="RC162" s="14">
        <v>110</v>
      </c>
      <c r="RD162" s="14">
        <v>0</v>
      </c>
      <c r="RE162" s="14">
        <v>0</v>
      </c>
      <c r="RF162" s="14">
        <v>0</v>
      </c>
      <c r="RG162" s="14">
        <v>0</v>
      </c>
      <c r="RH162" s="14">
        <v>0</v>
      </c>
      <c r="RI162" s="14">
        <v>110</v>
      </c>
      <c r="RJ162" s="14" t="s">
        <v>602</v>
      </c>
      <c r="VM162" s="14" t="s">
        <v>603</v>
      </c>
      <c r="ZP162" s="14" t="s">
        <v>604</v>
      </c>
      <c r="ADS162" s="14" t="s">
        <v>605</v>
      </c>
    </row>
    <row r="163" spans="1:799" x14ac:dyDescent="0.25">
      <c r="A163" s="14">
        <v>157</v>
      </c>
      <c r="B163" s="14" t="s">
        <v>889</v>
      </c>
      <c r="C163" s="16">
        <v>42767.498611111114</v>
      </c>
      <c r="D163" s="14" t="s">
        <v>1408</v>
      </c>
      <c r="E163" s="14" t="s">
        <v>1409</v>
      </c>
      <c r="F163" s="14" t="str">
        <f>VLOOKUP(MID(H163,SEARCH("@",H163,1),LEN(H163)-SEARCH("@",H163,1)+1),[2]Sheet1!$D:$F,3,FALSE)</f>
        <v>M582</v>
      </c>
      <c r="G163" s="14" t="s">
        <v>1350</v>
      </c>
      <c r="H163" s="14" t="s">
        <v>1410</v>
      </c>
      <c r="I163" s="14" t="s">
        <v>1411</v>
      </c>
      <c r="J163" s="14" t="s">
        <v>731</v>
      </c>
      <c r="K163" s="14" t="s">
        <v>945</v>
      </c>
      <c r="M163" s="14">
        <v>1</v>
      </c>
      <c r="V163" s="14">
        <v>0</v>
      </c>
      <c r="X163" s="14">
        <v>358</v>
      </c>
      <c r="Y163" s="14">
        <v>75</v>
      </c>
      <c r="AC163" s="14">
        <v>433</v>
      </c>
      <c r="AJ163" s="14">
        <v>0</v>
      </c>
      <c r="AQ163" s="14">
        <v>0</v>
      </c>
      <c r="AX163" s="14">
        <v>0</v>
      </c>
      <c r="BE163" s="14">
        <v>0</v>
      </c>
      <c r="BF163" s="14">
        <v>0</v>
      </c>
      <c r="BG163" s="14">
        <v>358</v>
      </c>
      <c r="BH163" s="14">
        <v>75</v>
      </c>
      <c r="BI163" s="14">
        <v>0</v>
      </c>
      <c r="BJ163" s="14">
        <v>0</v>
      </c>
      <c r="BK163" s="14">
        <v>0</v>
      </c>
      <c r="BL163" s="14">
        <v>433</v>
      </c>
      <c r="BS163" s="14">
        <v>0</v>
      </c>
      <c r="BU163" s="14">
        <v>2</v>
      </c>
      <c r="BV163" s="14">
        <v>1</v>
      </c>
      <c r="BZ163" s="14">
        <v>3</v>
      </c>
      <c r="CG163" s="14">
        <v>0</v>
      </c>
      <c r="CN163" s="14">
        <v>0</v>
      </c>
      <c r="CU163" s="14">
        <v>0</v>
      </c>
      <c r="DB163" s="14">
        <v>0</v>
      </c>
      <c r="DC163" s="14">
        <v>0</v>
      </c>
      <c r="DD163" s="14">
        <v>2</v>
      </c>
      <c r="DE163" s="14">
        <v>1</v>
      </c>
      <c r="DF163" s="14">
        <v>0</v>
      </c>
      <c r="DG163" s="14">
        <v>0</v>
      </c>
      <c r="DH163" s="14">
        <v>0</v>
      </c>
      <c r="DI163" s="14">
        <v>3</v>
      </c>
      <c r="DJ163" s="14" t="s">
        <v>598</v>
      </c>
      <c r="DK163" s="14" t="s">
        <v>598</v>
      </c>
      <c r="DL163" s="14" t="s">
        <v>598</v>
      </c>
      <c r="DM163" s="14" t="s">
        <v>598</v>
      </c>
      <c r="DN163" s="14" t="s">
        <v>598</v>
      </c>
      <c r="DO163" s="14" t="s">
        <v>598</v>
      </c>
      <c r="DP163" s="14" t="s">
        <v>598</v>
      </c>
      <c r="DQ163" s="14" t="s">
        <v>597</v>
      </c>
      <c r="DR163" s="14" t="s">
        <v>597</v>
      </c>
      <c r="DS163" s="14" t="s">
        <v>598</v>
      </c>
      <c r="DT163" s="14" t="s">
        <v>598</v>
      </c>
      <c r="DU163" s="14" t="s">
        <v>598</v>
      </c>
      <c r="DV163" s="14" t="s">
        <v>598</v>
      </c>
      <c r="DW163" s="14" t="s">
        <v>598</v>
      </c>
      <c r="DX163" s="14" t="s">
        <v>598</v>
      </c>
      <c r="DY163" s="14" t="s">
        <v>598</v>
      </c>
      <c r="DZ163" s="14" t="s">
        <v>598</v>
      </c>
      <c r="EA163" s="14" t="s">
        <v>598</v>
      </c>
      <c r="EB163" s="14" t="s">
        <v>598</v>
      </c>
      <c r="EC163" s="14" t="s">
        <v>598</v>
      </c>
      <c r="ED163" s="14" t="s">
        <v>598</v>
      </c>
      <c r="EE163" s="14" t="s">
        <v>598</v>
      </c>
      <c r="EF163" s="14" t="s">
        <v>598</v>
      </c>
      <c r="EG163" s="14" t="s">
        <v>598</v>
      </c>
      <c r="EH163" s="14" t="s">
        <v>598</v>
      </c>
      <c r="EI163" s="14" t="s">
        <v>598</v>
      </c>
      <c r="EJ163" s="14" t="s">
        <v>598</v>
      </c>
      <c r="EK163" s="14" t="s">
        <v>598</v>
      </c>
      <c r="EL163" s="14" t="s">
        <v>598</v>
      </c>
      <c r="EM163" s="14" t="s">
        <v>598</v>
      </c>
      <c r="EN163" s="14" t="s">
        <v>598</v>
      </c>
      <c r="EO163" s="14" t="s">
        <v>598</v>
      </c>
      <c r="EP163" s="14" t="s">
        <v>598</v>
      </c>
      <c r="EQ163" s="14" t="s">
        <v>598</v>
      </c>
      <c r="ER163" s="14" t="s">
        <v>598</v>
      </c>
      <c r="ES163" s="14" t="s">
        <v>598</v>
      </c>
      <c r="EU163" s="14">
        <v>358</v>
      </c>
      <c r="EZ163" s="14">
        <v>358</v>
      </c>
      <c r="FG163" s="14">
        <v>0</v>
      </c>
      <c r="FJ163" s="14">
        <v>75</v>
      </c>
      <c r="FN163" s="14">
        <v>75</v>
      </c>
      <c r="FU163" s="14">
        <v>0</v>
      </c>
      <c r="GB163" s="14">
        <v>0</v>
      </c>
      <c r="GI163" s="14">
        <v>0</v>
      </c>
      <c r="GP163" s="14">
        <v>0</v>
      </c>
      <c r="GX163" s="14">
        <v>0</v>
      </c>
      <c r="GY163" s="14">
        <v>0</v>
      </c>
      <c r="GZ163" s="14">
        <v>358</v>
      </c>
      <c r="HA163" s="14">
        <v>75</v>
      </c>
      <c r="HB163" s="14">
        <v>0</v>
      </c>
      <c r="HC163" s="14">
        <v>0</v>
      </c>
      <c r="HD163" s="14">
        <v>0</v>
      </c>
      <c r="HE163" s="14">
        <v>433</v>
      </c>
      <c r="HH163" s="14">
        <v>75</v>
      </c>
      <c r="HL163" s="14">
        <v>75</v>
      </c>
      <c r="HN163" s="14">
        <v>358</v>
      </c>
      <c r="HS163" s="14">
        <v>358</v>
      </c>
      <c r="HZ163" s="14">
        <v>0</v>
      </c>
      <c r="IG163" s="14">
        <v>0</v>
      </c>
      <c r="IN163" s="14">
        <v>0</v>
      </c>
      <c r="IO163" s="14">
        <v>0</v>
      </c>
      <c r="IP163" s="14">
        <v>358</v>
      </c>
      <c r="IQ163" s="14">
        <v>75</v>
      </c>
      <c r="IR163" s="14">
        <v>0</v>
      </c>
      <c r="IS163" s="14">
        <v>0</v>
      </c>
      <c r="IT163" s="14">
        <v>0</v>
      </c>
      <c r="IU163" s="14">
        <v>433</v>
      </c>
      <c r="IX163" s="14">
        <v>100</v>
      </c>
      <c r="JA163" s="14">
        <v>1</v>
      </c>
      <c r="JB163" s="14">
        <v>2</v>
      </c>
      <c r="JC163" s="14">
        <v>1</v>
      </c>
      <c r="JD163" s="14" t="s">
        <v>600</v>
      </c>
      <c r="NG163" s="14" t="s">
        <v>601</v>
      </c>
      <c r="RJ163" s="14" t="s">
        <v>602</v>
      </c>
      <c r="VM163" s="14" t="s">
        <v>603</v>
      </c>
      <c r="ZP163" s="14" t="s">
        <v>604</v>
      </c>
      <c r="ADS163" s="14" t="s">
        <v>605</v>
      </c>
    </row>
  </sheetData>
  <autoFilter ref="A1:AHU163" xr:uid="{FA572770-3347-41F0-95BE-63FDEB2A3D0C}"/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B117-701A-4EA0-9DBC-014B5D169030}">
  <sheetPr>
    <tabColor theme="9" tint="-0.249977111117893"/>
  </sheetPr>
  <dimension ref="A1:L915"/>
  <sheetViews>
    <sheetView tabSelected="1" topLeftCell="A76" workbookViewId="0">
      <selection activeCell="E98" sqref="E98"/>
    </sheetView>
  </sheetViews>
  <sheetFormatPr defaultRowHeight="15" x14ac:dyDescent="0.25"/>
  <cols>
    <col min="1" max="1" width="43.85546875" bestFit="1" customWidth="1"/>
    <col min="2" max="2" width="10.28515625" bestFit="1" customWidth="1"/>
    <col min="3" max="3" width="81.140625" bestFit="1" customWidth="1"/>
    <col min="4" max="4" width="9.42578125" bestFit="1" customWidth="1"/>
    <col min="5" max="5" width="74.5703125" bestFit="1" customWidth="1"/>
    <col min="6" max="6" width="30.140625" bestFit="1" customWidth="1"/>
    <col min="7" max="7" width="81.140625" bestFit="1" customWidth="1"/>
    <col min="8" max="8" width="9.7109375" bestFit="1" customWidth="1"/>
    <col min="9" max="9" width="20.5703125" bestFit="1" customWidth="1"/>
    <col min="10" max="10" width="32.85546875" bestFit="1" customWidth="1"/>
    <col min="11" max="11" width="11.42578125" bestFit="1" customWidth="1"/>
    <col min="12" max="12" width="11.7109375" bestFit="1" customWidth="1"/>
  </cols>
  <sheetData>
    <row r="1" spans="1:12" x14ac:dyDescent="0.25">
      <c r="A1" t="s">
        <v>0</v>
      </c>
      <c r="B1" t="s">
        <v>3</v>
      </c>
      <c r="C1" t="s">
        <v>4</v>
      </c>
      <c r="D1" t="s">
        <v>2056</v>
      </c>
      <c r="E1" t="s">
        <v>3028</v>
      </c>
      <c r="F1" t="s">
        <v>3029</v>
      </c>
      <c r="G1" t="s">
        <v>3030</v>
      </c>
      <c r="H1" t="s">
        <v>3031</v>
      </c>
      <c r="I1" t="s">
        <v>3032</v>
      </c>
      <c r="J1" t="s">
        <v>3033</v>
      </c>
      <c r="K1" t="s">
        <v>2966</v>
      </c>
      <c r="L1" t="s">
        <v>3034</v>
      </c>
    </row>
    <row r="2" spans="1:12" x14ac:dyDescent="0.25">
      <c r="A2" t="s">
        <v>5</v>
      </c>
      <c r="B2" t="s">
        <v>38</v>
      </c>
      <c r="C2" t="s">
        <v>5</v>
      </c>
      <c r="D2" t="s">
        <v>4920</v>
      </c>
    </row>
    <row r="3" spans="1:12" x14ac:dyDescent="0.25">
      <c r="A3" t="s">
        <v>7</v>
      </c>
      <c r="B3" t="s">
        <v>38</v>
      </c>
      <c r="C3" t="s">
        <v>8</v>
      </c>
      <c r="D3" t="s">
        <v>4923</v>
      </c>
    </row>
    <row r="4" spans="1:12" x14ac:dyDescent="0.25">
      <c r="A4" t="s">
        <v>9</v>
      </c>
      <c r="B4" t="s">
        <v>38</v>
      </c>
      <c r="C4" t="s">
        <v>10</v>
      </c>
      <c r="D4" t="s">
        <v>4924</v>
      </c>
    </row>
    <row r="5" spans="1:12" x14ac:dyDescent="0.25">
      <c r="A5" t="s">
        <v>11</v>
      </c>
      <c r="B5" t="s">
        <v>38</v>
      </c>
      <c r="C5" t="s">
        <v>13</v>
      </c>
      <c r="D5" t="s">
        <v>4925</v>
      </c>
    </row>
    <row r="6" spans="1:12" x14ac:dyDescent="0.25">
      <c r="A6" t="s">
        <v>14</v>
      </c>
      <c r="B6" t="s">
        <v>38</v>
      </c>
      <c r="C6" t="s">
        <v>14</v>
      </c>
      <c r="D6" t="s">
        <v>4926</v>
      </c>
    </row>
    <row r="7" spans="1:12" x14ac:dyDescent="0.25">
      <c r="A7" t="s">
        <v>11</v>
      </c>
      <c r="B7" t="s">
        <v>38</v>
      </c>
      <c r="C7" t="s">
        <v>13</v>
      </c>
      <c r="D7" t="s">
        <v>4927</v>
      </c>
    </row>
    <row r="8" spans="1:12" x14ac:dyDescent="0.25">
      <c r="A8" t="s">
        <v>15</v>
      </c>
      <c r="B8" t="s">
        <v>38</v>
      </c>
      <c r="C8" t="s">
        <v>15</v>
      </c>
      <c r="D8" t="s">
        <v>4928</v>
      </c>
    </row>
    <row r="9" spans="1:12" x14ac:dyDescent="0.25">
      <c r="A9" t="s">
        <v>11</v>
      </c>
      <c r="B9" t="s">
        <v>38</v>
      </c>
      <c r="C9" t="s">
        <v>13</v>
      </c>
      <c r="D9" t="s">
        <v>4929</v>
      </c>
    </row>
    <row r="10" spans="1:12" x14ac:dyDescent="0.25">
      <c r="A10" t="s">
        <v>16</v>
      </c>
      <c r="B10" t="s">
        <v>38</v>
      </c>
      <c r="C10" t="s">
        <v>16</v>
      </c>
      <c r="D10" t="s">
        <v>4930</v>
      </c>
    </row>
    <row r="11" spans="1:12" x14ac:dyDescent="0.25">
      <c r="A11" t="s">
        <v>11</v>
      </c>
      <c r="B11" t="s">
        <v>38</v>
      </c>
      <c r="C11" t="s">
        <v>13</v>
      </c>
      <c r="D11" t="s">
        <v>4931</v>
      </c>
    </row>
    <row r="12" spans="1:12" x14ac:dyDescent="0.25">
      <c r="A12" t="s">
        <v>17</v>
      </c>
      <c r="B12" t="s">
        <v>38</v>
      </c>
      <c r="C12" t="s">
        <v>17</v>
      </c>
      <c r="D12" t="s">
        <v>4932</v>
      </c>
    </row>
    <row r="13" spans="1:12" x14ac:dyDescent="0.25">
      <c r="A13" t="s">
        <v>11</v>
      </c>
      <c r="B13" t="s">
        <v>38</v>
      </c>
      <c r="C13" t="s">
        <v>13</v>
      </c>
      <c r="D13" t="s">
        <v>4933</v>
      </c>
    </row>
    <row r="14" spans="1:12" x14ac:dyDescent="0.25">
      <c r="A14" t="s">
        <v>18</v>
      </c>
      <c r="B14" t="s">
        <v>38</v>
      </c>
      <c r="C14" t="s">
        <v>18</v>
      </c>
      <c r="D14" t="s">
        <v>4934</v>
      </c>
    </row>
    <row r="15" spans="1:12" x14ac:dyDescent="0.25">
      <c r="A15" t="s">
        <v>11</v>
      </c>
      <c r="B15" t="s">
        <v>38</v>
      </c>
      <c r="C15" t="s">
        <v>13</v>
      </c>
      <c r="D15" t="s">
        <v>4935</v>
      </c>
    </row>
    <row r="16" spans="1:12" x14ac:dyDescent="0.25">
      <c r="A16" t="s">
        <v>19</v>
      </c>
      <c r="B16" t="s">
        <v>38</v>
      </c>
      <c r="C16" t="s">
        <v>19</v>
      </c>
      <c r="D16" t="s">
        <v>4936</v>
      </c>
    </row>
    <row r="17" spans="1:4" x14ac:dyDescent="0.25">
      <c r="A17" t="s">
        <v>20</v>
      </c>
      <c r="B17" t="s">
        <v>38</v>
      </c>
      <c r="C17" t="s">
        <v>20</v>
      </c>
      <c r="D17" t="s">
        <v>4937</v>
      </c>
    </row>
    <row r="18" spans="1:4" x14ac:dyDescent="0.25">
      <c r="A18" t="s">
        <v>21</v>
      </c>
      <c r="B18" t="s">
        <v>38</v>
      </c>
      <c r="C18" t="s">
        <v>21</v>
      </c>
      <c r="D18" t="s">
        <v>4938</v>
      </c>
    </row>
    <row r="19" spans="1:4" x14ac:dyDescent="0.25">
      <c r="A19" t="s">
        <v>22</v>
      </c>
      <c r="B19" t="s">
        <v>38</v>
      </c>
      <c r="C19" t="s">
        <v>22</v>
      </c>
      <c r="D19" t="s">
        <v>4939</v>
      </c>
    </row>
    <row r="20" spans="1:4" x14ac:dyDescent="0.25">
      <c r="A20" t="s">
        <v>23</v>
      </c>
      <c r="B20" t="s">
        <v>38</v>
      </c>
      <c r="C20" t="s">
        <v>23</v>
      </c>
      <c r="D20" t="s">
        <v>4940</v>
      </c>
    </row>
    <row r="21" spans="1:4" x14ac:dyDescent="0.25">
      <c r="A21" t="s">
        <v>24</v>
      </c>
      <c r="B21" t="s">
        <v>38</v>
      </c>
      <c r="C21" t="s">
        <v>24</v>
      </c>
      <c r="D21" t="s">
        <v>4941</v>
      </c>
    </row>
    <row r="22" spans="1:4" x14ac:dyDescent="0.25">
      <c r="A22" t="s">
        <v>25</v>
      </c>
      <c r="B22" t="s">
        <v>38</v>
      </c>
      <c r="C22" t="s">
        <v>25</v>
      </c>
      <c r="D22" t="s">
        <v>4942</v>
      </c>
    </row>
    <row r="23" spans="1:4" x14ac:dyDescent="0.25">
      <c r="A23" t="s">
        <v>26</v>
      </c>
      <c r="B23" t="s">
        <v>38</v>
      </c>
      <c r="C23" t="s">
        <v>26</v>
      </c>
      <c r="D23" t="s">
        <v>4943</v>
      </c>
    </row>
    <row r="24" spans="1:4" x14ac:dyDescent="0.25">
      <c r="A24" t="s">
        <v>5</v>
      </c>
      <c r="B24" t="s">
        <v>38</v>
      </c>
      <c r="C24" t="s">
        <v>5</v>
      </c>
      <c r="D24" t="s">
        <v>4944</v>
      </c>
    </row>
    <row r="25" spans="1:4" x14ac:dyDescent="0.25">
      <c r="A25" t="s">
        <v>28</v>
      </c>
      <c r="B25" t="s">
        <v>38</v>
      </c>
      <c r="C25" t="s">
        <v>28</v>
      </c>
      <c r="D25" t="s">
        <v>4945</v>
      </c>
    </row>
    <row r="26" spans="1:4" x14ac:dyDescent="0.25">
      <c r="A26" t="s">
        <v>29</v>
      </c>
      <c r="B26" t="s">
        <v>38</v>
      </c>
      <c r="C26" t="s">
        <v>29</v>
      </c>
      <c r="D26" t="s">
        <v>4946</v>
      </c>
    </row>
    <row r="27" spans="1:4" x14ac:dyDescent="0.25">
      <c r="A27" t="s">
        <v>30</v>
      </c>
      <c r="B27" t="s">
        <v>38</v>
      </c>
      <c r="C27" t="s">
        <v>30</v>
      </c>
      <c r="D27" t="s">
        <v>4947</v>
      </c>
    </row>
    <row r="28" spans="1:4" x14ac:dyDescent="0.25">
      <c r="A28" t="s">
        <v>31</v>
      </c>
      <c r="B28" t="s">
        <v>38</v>
      </c>
      <c r="C28" t="s">
        <v>31</v>
      </c>
      <c r="D28" t="s">
        <v>4948</v>
      </c>
    </row>
    <row r="29" spans="1:4" x14ac:dyDescent="0.25">
      <c r="A29" t="s">
        <v>32</v>
      </c>
      <c r="B29" t="s">
        <v>38</v>
      </c>
      <c r="C29" t="s">
        <v>32</v>
      </c>
      <c r="D29" t="s">
        <v>4949</v>
      </c>
    </row>
    <row r="30" spans="1:4" x14ac:dyDescent="0.25">
      <c r="A30" t="s">
        <v>33</v>
      </c>
      <c r="B30" t="s">
        <v>38</v>
      </c>
      <c r="C30" t="s">
        <v>33</v>
      </c>
      <c r="D30" t="s">
        <v>4950</v>
      </c>
    </row>
    <row r="31" spans="1:4" x14ac:dyDescent="0.25">
      <c r="A31" t="s">
        <v>34</v>
      </c>
      <c r="B31" t="s">
        <v>38</v>
      </c>
      <c r="C31" t="s">
        <v>34</v>
      </c>
      <c r="D31" t="s">
        <v>4951</v>
      </c>
    </row>
    <row r="32" spans="1:4" x14ac:dyDescent="0.25">
      <c r="A32" t="s">
        <v>35</v>
      </c>
      <c r="B32" t="s">
        <v>38</v>
      </c>
      <c r="C32" t="s">
        <v>36</v>
      </c>
      <c r="D32" t="s">
        <v>4952</v>
      </c>
    </row>
    <row r="33" spans="1:11" x14ac:dyDescent="0.25">
      <c r="A33" t="s">
        <v>37</v>
      </c>
      <c r="B33" t="s">
        <v>38</v>
      </c>
      <c r="C33" t="s">
        <v>39</v>
      </c>
      <c r="D33" t="s">
        <v>4953</v>
      </c>
    </row>
    <row r="34" spans="1:11" x14ac:dyDescent="0.25">
      <c r="A34" t="s">
        <v>40</v>
      </c>
      <c r="B34" t="s">
        <v>38</v>
      </c>
      <c r="C34" t="s">
        <v>41</v>
      </c>
      <c r="D34" t="s">
        <v>4954</v>
      </c>
    </row>
    <row r="35" spans="1:11" x14ac:dyDescent="0.25">
      <c r="A35" t="s">
        <v>4922</v>
      </c>
      <c r="B35" t="s">
        <v>38</v>
      </c>
      <c r="C35" t="s">
        <v>4921</v>
      </c>
      <c r="D35" t="s">
        <v>4955</v>
      </c>
    </row>
    <row r="36" spans="1:11" x14ac:dyDescent="0.25">
      <c r="A36" t="s">
        <v>42</v>
      </c>
      <c r="B36" t="s">
        <v>38</v>
      </c>
      <c r="C36" t="s">
        <v>43</v>
      </c>
      <c r="D36" t="s">
        <v>4956</v>
      </c>
    </row>
    <row r="37" spans="1:11" x14ac:dyDescent="0.25">
      <c r="A37" t="s">
        <v>44</v>
      </c>
      <c r="B37" t="s">
        <v>38</v>
      </c>
      <c r="C37" t="s">
        <v>45</v>
      </c>
      <c r="D37" t="s">
        <v>4957</v>
      </c>
    </row>
    <row r="38" spans="1:11" x14ac:dyDescent="0.25">
      <c r="A38" t="s">
        <v>46</v>
      </c>
      <c r="B38" t="s">
        <v>38</v>
      </c>
      <c r="C38" t="s">
        <v>47</v>
      </c>
      <c r="D38" t="s">
        <v>4958</v>
      </c>
    </row>
    <row r="39" spans="1:11" x14ac:dyDescent="0.25">
      <c r="A39" t="s">
        <v>48</v>
      </c>
      <c r="B39" t="s">
        <v>38</v>
      </c>
      <c r="C39" t="s">
        <v>49</v>
      </c>
      <c r="D39" t="s">
        <v>4959</v>
      </c>
    </row>
    <row r="40" spans="1:11" x14ac:dyDescent="0.25">
      <c r="A40" t="s">
        <v>50</v>
      </c>
      <c r="B40" t="s">
        <v>38</v>
      </c>
      <c r="C40" t="s">
        <v>52</v>
      </c>
      <c r="D40" t="s">
        <v>4960</v>
      </c>
    </row>
    <row r="41" spans="1:11" x14ac:dyDescent="0.25">
      <c r="A41" t="s">
        <v>53</v>
      </c>
      <c r="B41" t="s">
        <v>38</v>
      </c>
      <c r="C41" t="s">
        <v>54</v>
      </c>
      <c r="D41" t="s">
        <v>4961</v>
      </c>
    </row>
    <row r="42" spans="1:11" x14ac:dyDescent="0.25">
      <c r="A42" t="s">
        <v>55</v>
      </c>
      <c r="B42" t="s">
        <v>56</v>
      </c>
      <c r="C42" t="s">
        <v>2942</v>
      </c>
      <c r="D42" t="s">
        <v>3007</v>
      </c>
      <c r="E42" t="s">
        <v>3036</v>
      </c>
      <c r="F42" t="s">
        <v>3037</v>
      </c>
      <c r="G42" t="s">
        <v>3038</v>
      </c>
      <c r="H42" t="s">
        <v>3035</v>
      </c>
      <c r="I42" t="s">
        <v>3039</v>
      </c>
      <c r="K42" t="s">
        <v>55</v>
      </c>
    </row>
    <row r="43" spans="1:11" x14ac:dyDescent="0.25">
      <c r="A43" t="s">
        <v>57</v>
      </c>
      <c r="B43" t="s">
        <v>56</v>
      </c>
      <c r="C43" t="s">
        <v>58</v>
      </c>
      <c r="D43" t="s">
        <v>3009</v>
      </c>
      <c r="E43" t="s">
        <v>3040</v>
      </c>
      <c r="F43" t="s">
        <v>3041</v>
      </c>
      <c r="G43" t="s">
        <v>3042</v>
      </c>
      <c r="H43" t="s">
        <v>3035</v>
      </c>
      <c r="I43" t="s">
        <v>3039</v>
      </c>
      <c r="K43" t="s">
        <v>57</v>
      </c>
    </row>
    <row r="44" spans="1:11" x14ac:dyDescent="0.25">
      <c r="A44" t="s">
        <v>59</v>
      </c>
      <c r="B44" t="s">
        <v>38</v>
      </c>
      <c r="C44" t="s">
        <v>60</v>
      </c>
      <c r="D44" t="s">
        <v>3013</v>
      </c>
      <c r="E44" t="s">
        <v>3043</v>
      </c>
      <c r="F44" t="s">
        <v>3044</v>
      </c>
      <c r="G44" t="s">
        <v>3045</v>
      </c>
      <c r="H44" t="s">
        <v>3035</v>
      </c>
      <c r="I44" t="s">
        <v>3039</v>
      </c>
      <c r="K44" t="s">
        <v>3046</v>
      </c>
    </row>
    <row r="45" spans="1:11" x14ac:dyDescent="0.25">
      <c r="A45" t="s">
        <v>3035</v>
      </c>
      <c r="B45" t="s">
        <v>3035</v>
      </c>
      <c r="C45" t="s">
        <v>2943</v>
      </c>
      <c r="D45" t="s">
        <v>3015</v>
      </c>
      <c r="H45" t="s">
        <v>3035</v>
      </c>
      <c r="I45" t="s">
        <v>3035</v>
      </c>
      <c r="K45" t="s">
        <v>3047</v>
      </c>
    </row>
    <row r="46" spans="1:11" x14ac:dyDescent="0.25">
      <c r="A46" t="s">
        <v>61</v>
      </c>
      <c r="B46" t="s">
        <v>62</v>
      </c>
      <c r="C46" t="s">
        <v>63</v>
      </c>
      <c r="D46" t="s">
        <v>2057</v>
      </c>
      <c r="E46" t="s">
        <v>3048</v>
      </c>
      <c r="F46" t="s">
        <v>3049</v>
      </c>
      <c r="G46" t="s">
        <v>3050</v>
      </c>
      <c r="H46" t="s">
        <v>3035</v>
      </c>
      <c r="I46" t="s">
        <v>3051</v>
      </c>
      <c r="K46" t="s">
        <v>3047</v>
      </c>
    </row>
    <row r="47" spans="1:11" x14ac:dyDescent="0.25">
      <c r="A47" t="s">
        <v>64</v>
      </c>
      <c r="B47" t="s">
        <v>62</v>
      </c>
      <c r="C47" t="s">
        <v>65</v>
      </c>
      <c r="D47" t="s">
        <v>2058</v>
      </c>
      <c r="E47" t="s">
        <v>3052</v>
      </c>
      <c r="F47" t="s">
        <v>3053</v>
      </c>
      <c r="G47" t="s">
        <v>4963</v>
      </c>
      <c r="H47" t="s">
        <v>3035</v>
      </c>
      <c r="I47" t="s">
        <v>3051</v>
      </c>
      <c r="K47" t="s">
        <v>3047</v>
      </c>
    </row>
    <row r="48" spans="1:11" x14ac:dyDescent="0.25">
      <c r="A48" t="s">
        <v>3035</v>
      </c>
      <c r="B48" t="s">
        <v>3035</v>
      </c>
      <c r="C48" t="s">
        <v>2944</v>
      </c>
      <c r="D48" t="s">
        <v>3017</v>
      </c>
      <c r="H48" t="s">
        <v>3035</v>
      </c>
      <c r="I48" t="s">
        <v>3035</v>
      </c>
      <c r="K48" t="s">
        <v>3054</v>
      </c>
    </row>
    <row r="49" spans="1:11" x14ac:dyDescent="0.25">
      <c r="A49" t="s">
        <v>66</v>
      </c>
      <c r="B49" t="s">
        <v>62</v>
      </c>
      <c r="C49" t="s">
        <v>63</v>
      </c>
      <c r="D49" t="s">
        <v>2059</v>
      </c>
      <c r="E49" t="s">
        <v>3055</v>
      </c>
      <c r="F49" t="s">
        <v>3056</v>
      </c>
      <c r="G49" t="s">
        <v>3050</v>
      </c>
      <c r="H49" t="s">
        <v>3035</v>
      </c>
      <c r="I49" t="s">
        <v>3057</v>
      </c>
      <c r="K49" t="s">
        <v>3054</v>
      </c>
    </row>
    <row r="50" spans="1:11" x14ac:dyDescent="0.25">
      <c r="A50" t="s">
        <v>67</v>
      </c>
      <c r="B50" t="s">
        <v>62</v>
      </c>
      <c r="C50" t="s">
        <v>68</v>
      </c>
      <c r="D50" t="s">
        <v>2060</v>
      </c>
      <c r="E50" t="s">
        <v>3058</v>
      </c>
      <c r="F50" t="s">
        <v>3059</v>
      </c>
      <c r="G50" s="17" t="s">
        <v>4964</v>
      </c>
      <c r="H50" t="s">
        <v>3035</v>
      </c>
      <c r="I50" t="s">
        <v>3057</v>
      </c>
      <c r="K50" t="s">
        <v>3054</v>
      </c>
    </row>
    <row r="51" spans="1:11" x14ac:dyDescent="0.25">
      <c r="A51" t="s">
        <v>3035</v>
      </c>
      <c r="B51" t="s">
        <v>3035</v>
      </c>
      <c r="C51" t="s">
        <v>2945</v>
      </c>
      <c r="D51" t="s">
        <v>3019</v>
      </c>
      <c r="H51" t="s">
        <v>3035</v>
      </c>
      <c r="I51" t="s">
        <v>3035</v>
      </c>
      <c r="K51" t="s">
        <v>3060</v>
      </c>
    </row>
    <row r="52" spans="1:11" x14ac:dyDescent="0.25">
      <c r="A52" t="s">
        <v>69</v>
      </c>
      <c r="B52" t="s">
        <v>62</v>
      </c>
      <c r="C52" t="s">
        <v>70</v>
      </c>
      <c r="D52" t="s">
        <v>2061</v>
      </c>
      <c r="E52" t="s">
        <v>3061</v>
      </c>
      <c r="F52" t="s">
        <v>3062</v>
      </c>
      <c r="G52" t="s">
        <v>3063</v>
      </c>
      <c r="I52" t="s">
        <v>3051</v>
      </c>
      <c r="J52" t="s">
        <v>3064</v>
      </c>
      <c r="K52" t="s">
        <v>3060</v>
      </c>
    </row>
    <row r="53" spans="1:11" x14ac:dyDescent="0.25">
      <c r="A53" t="s">
        <v>71</v>
      </c>
      <c r="B53" t="s">
        <v>62</v>
      </c>
      <c r="C53" t="s">
        <v>72</v>
      </c>
      <c r="D53" t="s">
        <v>2062</v>
      </c>
      <c r="E53" t="s">
        <v>3065</v>
      </c>
      <c r="F53" t="s">
        <v>3066</v>
      </c>
      <c r="G53" t="s">
        <v>3067</v>
      </c>
      <c r="I53" t="s">
        <v>3051</v>
      </c>
      <c r="J53" t="s">
        <v>3064</v>
      </c>
      <c r="K53" t="s">
        <v>3060</v>
      </c>
    </row>
    <row r="54" spans="1:11" x14ac:dyDescent="0.25">
      <c r="A54" t="s">
        <v>73</v>
      </c>
      <c r="B54" t="s">
        <v>62</v>
      </c>
      <c r="C54" t="s">
        <v>74</v>
      </c>
      <c r="D54" t="s">
        <v>2063</v>
      </c>
      <c r="E54" t="s">
        <v>3068</v>
      </c>
      <c r="F54" t="s">
        <v>3069</v>
      </c>
      <c r="G54" t="s">
        <v>3070</v>
      </c>
      <c r="I54" t="s">
        <v>3051</v>
      </c>
      <c r="J54" t="s">
        <v>3064</v>
      </c>
      <c r="K54" t="s">
        <v>3060</v>
      </c>
    </row>
    <row r="55" spans="1:11" x14ac:dyDescent="0.25">
      <c r="A55" t="s">
        <v>75</v>
      </c>
      <c r="B55" t="s">
        <v>62</v>
      </c>
      <c r="C55" t="s">
        <v>76</v>
      </c>
      <c r="D55" t="s">
        <v>2064</v>
      </c>
      <c r="E55" t="s">
        <v>3071</v>
      </c>
      <c r="F55" t="s">
        <v>3072</v>
      </c>
      <c r="G55" t="s">
        <v>380</v>
      </c>
      <c r="I55" t="s">
        <v>3051</v>
      </c>
      <c r="J55" t="s">
        <v>3064</v>
      </c>
      <c r="K55" t="s">
        <v>3060</v>
      </c>
    </row>
    <row r="56" spans="1:11" x14ac:dyDescent="0.25">
      <c r="A56" t="s">
        <v>77</v>
      </c>
      <c r="B56" t="s">
        <v>62</v>
      </c>
      <c r="C56" t="s">
        <v>78</v>
      </c>
      <c r="D56" t="s">
        <v>2065</v>
      </c>
      <c r="E56" t="s">
        <v>3073</v>
      </c>
      <c r="F56" t="s">
        <v>3074</v>
      </c>
      <c r="G56" t="s">
        <v>382</v>
      </c>
      <c r="I56" t="s">
        <v>3051</v>
      </c>
      <c r="J56" t="s">
        <v>3064</v>
      </c>
      <c r="K56" t="s">
        <v>3060</v>
      </c>
    </row>
    <row r="57" spans="1:11" x14ac:dyDescent="0.25">
      <c r="A57" t="s">
        <v>79</v>
      </c>
      <c r="B57" t="s">
        <v>62</v>
      </c>
      <c r="C57" t="s">
        <v>80</v>
      </c>
      <c r="D57" t="s">
        <v>2066</v>
      </c>
      <c r="E57" t="s">
        <v>3075</v>
      </c>
      <c r="F57" t="s">
        <v>3076</v>
      </c>
      <c r="G57" t="s">
        <v>3077</v>
      </c>
      <c r="I57" t="s">
        <v>3051</v>
      </c>
      <c r="J57" t="s">
        <v>3064</v>
      </c>
      <c r="K57" t="s">
        <v>3060</v>
      </c>
    </row>
    <row r="58" spans="1:11" x14ac:dyDescent="0.25">
      <c r="A58" t="s">
        <v>81</v>
      </c>
      <c r="B58" t="s">
        <v>62</v>
      </c>
      <c r="C58" t="s">
        <v>82</v>
      </c>
      <c r="D58" t="s">
        <v>2067</v>
      </c>
      <c r="E58" t="s">
        <v>3078</v>
      </c>
      <c r="F58" t="s">
        <v>3079</v>
      </c>
      <c r="G58" t="s">
        <v>3080</v>
      </c>
      <c r="I58" t="s">
        <v>3051</v>
      </c>
      <c r="J58" t="s">
        <v>3064</v>
      </c>
      <c r="K58" t="s">
        <v>3060</v>
      </c>
    </row>
    <row r="59" spans="1:11" x14ac:dyDescent="0.25">
      <c r="A59" t="s">
        <v>83</v>
      </c>
      <c r="B59" t="s">
        <v>62</v>
      </c>
      <c r="C59" t="s">
        <v>84</v>
      </c>
      <c r="D59" t="s">
        <v>2068</v>
      </c>
      <c r="E59" t="s">
        <v>3081</v>
      </c>
      <c r="F59" t="s">
        <v>3082</v>
      </c>
      <c r="G59" t="s">
        <v>3083</v>
      </c>
      <c r="I59" t="s">
        <v>3051</v>
      </c>
      <c r="J59" t="s">
        <v>3064</v>
      </c>
      <c r="K59" t="s">
        <v>3060</v>
      </c>
    </row>
    <row r="60" spans="1:11" x14ac:dyDescent="0.25">
      <c r="A60" t="s">
        <v>85</v>
      </c>
      <c r="B60" t="s">
        <v>62</v>
      </c>
      <c r="C60" t="s">
        <v>86</v>
      </c>
      <c r="D60" t="s">
        <v>2069</v>
      </c>
      <c r="E60" t="s">
        <v>3084</v>
      </c>
      <c r="F60" t="s">
        <v>3085</v>
      </c>
      <c r="G60" t="s">
        <v>3086</v>
      </c>
      <c r="I60" t="s">
        <v>3051</v>
      </c>
      <c r="J60" t="s">
        <v>3064</v>
      </c>
      <c r="K60" t="s">
        <v>3060</v>
      </c>
    </row>
    <row r="61" spans="1:11" x14ac:dyDescent="0.25">
      <c r="A61" t="s">
        <v>87</v>
      </c>
      <c r="B61" t="s">
        <v>62</v>
      </c>
      <c r="C61" t="s">
        <v>88</v>
      </c>
      <c r="D61" t="s">
        <v>2070</v>
      </c>
      <c r="E61" t="s">
        <v>3087</v>
      </c>
      <c r="F61" t="s">
        <v>3088</v>
      </c>
      <c r="G61" t="s">
        <v>3089</v>
      </c>
      <c r="I61" t="s">
        <v>3051</v>
      </c>
      <c r="J61" t="s">
        <v>3064</v>
      </c>
      <c r="K61" t="s">
        <v>3060</v>
      </c>
    </row>
    <row r="62" spans="1:11" x14ac:dyDescent="0.25">
      <c r="A62" t="s">
        <v>89</v>
      </c>
      <c r="B62" t="s">
        <v>62</v>
      </c>
      <c r="C62" t="s">
        <v>90</v>
      </c>
      <c r="D62" t="s">
        <v>2071</v>
      </c>
      <c r="E62" t="s">
        <v>3090</v>
      </c>
      <c r="F62" t="s">
        <v>3091</v>
      </c>
      <c r="G62" t="s">
        <v>3092</v>
      </c>
      <c r="I62" t="s">
        <v>3051</v>
      </c>
      <c r="J62" t="s">
        <v>3064</v>
      </c>
      <c r="K62" t="s">
        <v>3060</v>
      </c>
    </row>
    <row r="63" spans="1:11" x14ac:dyDescent="0.25">
      <c r="A63" t="s">
        <v>91</v>
      </c>
      <c r="B63" t="s">
        <v>62</v>
      </c>
      <c r="C63" t="s">
        <v>92</v>
      </c>
      <c r="D63" t="s">
        <v>2072</v>
      </c>
      <c r="E63" t="s">
        <v>3093</v>
      </c>
      <c r="F63" t="s">
        <v>3094</v>
      </c>
      <c r="G63" t="s">
        <v>396</v>
      </c>
      <c r="I63" t="s">
        <v>3051</v>
      </c>
      <c r="J63" t="s">
        <v>3064</v>
      </c>
      <c r="K63" t="s">
        <v>3060</v>
      </c>
    </row>
    <row r="64" spans="1:11" x14ac:dyDescent="0.25">
      <c r="A64" t="s">
        <v>93</v>
      </c>
      <c r="B64" t="s">
        <v>62</v>
      </c>
      <c r="C64" t="s">
        <v>94</v>
      </c>
      <c r="D64" t="s">
        <v>2073</v>
      </c>
      <c r="E64" t="s">
        <v>3095</v>
      </c>
      <c r="F64" t="s">
        <v>3096</v>
      </c>
      <c r="G64" t="s">
        <v>3097</v>
      </c>
      <c r="I64" t="s">
        <v>3051</v>
      </c>
      <c r="J64" t="s">
        <v>3064</v>
      </c>
      <c r="K64" t="s">
        <v>3060</v>
      </c>
    </row>
    <row r="65" spans="1:11" x14ac:dyDescent="0.25">
      <c r="A65" t="s">
        <v>95</v>
      </c>
      <c r="B65" t="s">
        <v>62</v>
      </c>
      <c r="C65" t="s">
        <v>96</v>
      </c>
      <c r="D65" t="s">
        <v>2074</v>
      </c>
      <c r="E65" t="s">
        <v>3098</v>
      </c>
      <c r="F65" t="s">
        <v>3099</v>
      </c>
      <c r="G65" t="s">
        <v>3100</v>
      </c>
      <c r="I65" t="s">
        <v>3051</v>
      </c>
      <c r="J65" t="s">
        <v>3064</v>
      </c>
      <c r="K65" t="s">
        <v>3060</v>
      </c>
    </row>
    <row r="66" spans="1:11" x14ac:dyDescent="0.25">
      <c r="A66" t="s">
        <v>97</v>
      </c>
      <c r="B66" t="s">
        <v>62</v>
      </c>
      <c r="C66" t="s">
        <v>98</v>
      </c>
      <c r="D66" t="s">
        <v>2075</v>
      </c>
      <c r="E66" t="s">
        <v>3101</v>
      </c>
      <c r="F66" t="s">
        <v>3102</v>
      </c>
      <c r="G66" t="s">
        <v>3103</v>
      </c>
      <c r="I66" t="s">
        <v>3051</v>
      </c>
      <c r="J66" t="s">
        <v>3064</v>
      </c>
      <c r="K66" t="s">
        <v>3060</v>
      </c>
    </row>
    <row r="67" spans="1:11" x14ac:dyDescent="0.25">
      <c r="A67" t="s">
        <v>99</v>
      </c>
      <c r="B67" t="s">
        <v>62</v>
      </c>
      <c r="C67" t="s">
        <v>100</v>
      </c>
      <c r="D67" t="s">
        <v>2076</v>
      </c>
      <c r="E67" t="s">
        <v>3104</v>
      </c>
      <c r="F67" t="s">
        <v>3105</v>
      </c>
      <c r="G67" t="s">
        <v>3106</v>
      </c>
      <c r="I67" t="s">
        <v>3051</v>
      </c>
      <c r="J67" t="s">
        <v>3064</v>
      </c>
      <c r="K67" t="s">
        <v>3060</v>
      </c>
    </row>
    <row r="68" spans="1:11" x14ac:dyDescent="0.25">
      <c r="A68" t="s">
        <v>101</v>
      </c>
      <c r="B68" t="s">
        <v>62</v>
      </c>
      <c r="C68" t="s">
        <v>102</v>
      </c>
      <c r="D68" t="s">
        <v>2077</v>
      </c>
      <c r="E68" t="s">
        <v>3107</v>
      </c>
      <c r="F68" t="s">
        <v>3108</v>
      </c>
      <c r="G68" t="s">
        <v>3109</v>
      </c>
      <c r="I68" t="s">
        <v>3051</v>
      </c>
      <c r="J68" t="s">
        <v>3064</v>
      </c>
      <c r="K68" t="s">
        <v>3060</v>
      </c>
    </row>
    <row r="69" spans="1:11" x14ac:dyDescent="0.25">
      <c r="A69" t="s">
        <v>103</v>
      </c>
      <c r="B69" t="s">
        <v>62</v>
      </c>
      <c r="C69" t="s">
        <v>104</v>
      </c>
      <c r="D69" t="s">
        <v>2078</v>
      </c>
      <c r="E69" t="s">
        <v>3110</v>
      </c>
      <c r="F69" t="s">
        <v>3111</v>
      </c>
      <c r="G69" t="s">
        <v>3112</v>
      </c>
      <c r="I69" t="s">
        <v>3051</v>
      </c>
      <c r="J69" t="s">
        <v>3064</v>
      </c>
      <c r="K69" t="s">
        <v>3060</v>
      </c>
    </row>
    <row r="70" spans="1:11" x14ac:dyDescent="0.25">
      <c r="A70" t="s">
        <v>105</v>
      </c>
      <c r="B70" t="s">
        <v>62</v>
      </c>
      <c r="C70" t="s">
        <v>106</v>
      </c>
      <c r="D70" t="s">
        <v>2079</v>
      </c>
      <c r="E70" t="s">
        <v>3113</v>
      </c>
      <c r="F70" t="s">
        <v>3114</v>
      </c>
      <c r="G70" t="s">
        <v>410</v>
      </c>
      <c r="I70" t="s">
        <v>3051</v>
      </c>
      <c r="J70" t="s">
        <v>3064</v>
      </c>
      <c r="K70" t="s">
        <v>3060</v>
      </c>
    </row>
    <row r="71" spans="1:11" x14ac:dyDescent="0.25">
      <c r="A71" t="s">
        <v>107</v>
      </c>
      <c r="B71" t="s">
        <v>62</v>
      </c>
      <c r="C71" t="s">
        <v>108</v>
      </c>
      <c r="D71" t="s">
        <v>2080</v>
      </c>
      <c r="E71" t="s">
        <v>3115</v>
      </c>
      <c r="F71" t="s">
        <v>3116</v>
      </c>
      <c r="G71" t="s">
        <v>3117</v>
      </c>
      <c r="I71" t="s">
        <v>3051</v>
      </c>
      <c r="J71" t="s">
        <v>3064</v>
      </c>
      <c r="K71" t="s">
        <v>3060</v>
      </c>
    </row>
    <row r="72" spans="1:11" x14ac:dyDescent="0.25">
      <c r="A72" t="s">
        <v>109</v>
      </c>
      <c r="B72" t="s">
        <v>62</v>
      </c>
      <c r="C72" t="s">
        <v>110</v>
      </c>
      <c r="D72" t="s">
        <v>2081</v>
      </c>
      <c r="E72" t="s">
        <v>3118</v>
      </c>
      <c r="F72" t="s">
        <v>3119</v>
      </c>
      <c r="G72" t="s">
        <v>3120</v>
      </c>
      <c r="I72" t="s">
        <v>3051</v>
      </c>
      <c r="J72" t="s">
        <v>3064</v>
      </c>
      <c r="K72" t="s">
        <v>3060</v>
      </c>
    </row>
    <row r="73" spans="1:11" x14ac:dyDescent="0.25">
      <c r="A73" t="s">
        <v>111</v>
      </c>
      <c r="B73" t="s">
        <v>62</v>
      </c>
      <c r="C73" t="s">
        <v>112</v>
      </c>
      <c r="D73" t="s">
        <v>2082</v>
      </c>
      <c r="E73" t="s">
        <v>3121</v>
      </c>
      <c r="F73" t="s">
        <v>3122</v>
      </c>
      <c r="G73" t="s">
        <v>3123</v>
      </c>
      <c r="I73" t="s">
        <v>3051</v>
      </c>
      <c r="J73" t="s">
        <v>3064</v>
      </c>
      <c r="K73" t="s">
        <v>3060</v>
      </c>
    </row>
    <row r="74" spans="1:11" x14ac:dyDescent="0.25">
      <c r="A74" t="s">
        <v>113</v>
      </c>
      <c r="B74" t="s">
        <v>62</v>
      </c>
      <c r="C74" t="s">
        <v>114</v>
      </c>
      <c r="D74" t="s">
        <v>2083</v>
      </c>
      <c r="E74" t="s">
        <v>3124</v>
      </c>
      <c r="F74" t="s">
        <v>3125</v>
      </c>
      <c r="G74" t="s">
        <v>3126</v>
      </c>
      <c r="I74" t="s">
        <v>3051</v>
      </c>
      <c r="J74" t="s">
        <v>3064</v>
      </c>
      <c r="K74" t="s">
        <v>3060</v>
      </c>
    </row>
    <row r="75" spans="1:11" x14ac:dyDescent="0.25">
      <c r="A75" t="s">
        <v>115</v>
      </c>
      <c r="B75" t="s">
        <v>62</v>
      </c>
      <c r="C75" t="s">
        <v>116</v>
      </c>
      <c r="D75" t="s">
        <v>2084</v>
      </c>
      <c r="E75" t="s">
        <v>3127</v>
      </c>
      <c r="F75" t="s">
        <v>3128</v>
      </c>
      <c r="G75" t="s">
        <v>3129</v>
      </c>
      <c r="I75" t="s">
        <v>3051</v>
      </c>
      <c r="J75" t="s">
        <v>3064</v>
      </c>
      <c r="K75" t="s">
        <v>3060</v>
      </c>
    </row>
    <row r="76" spans="1:11" x14ac:dyDescent="0.25">
      <c r="A76" t="s">
        <v>117</v>
      </c>
      <c r="B76" t="s">
        <v>62</v>
      </c>
      <c r="C76" t="s">
        <v>118</v>
      </c>
      <c r="D76" t="s">
        <v>2085</v>
      </c>
      <c r="E76" t="s">
        <v>3130</v>
      </c>
      <c r="F76" t="s">
        <v>3131</v>
      </c>
      <c r="G76" t="s">
        <v>3132</v>
      </c>
      <c r="I76" t="s">
        <v>3051</v>
      </c>
      <c r="J76" t="s">
        <v>3064</v>
      </c>
      <c r="K76" t="s">
        <v>3060</v>
      </c>
    </row>
    <row r="77" spans="1:11" x14ac:dyDescent="0.25">
      <c r="A77" t="s">
        <v>119</v>
      </c>
      <c r="B77" t="s">
        <v>62</v>
      </c>
      <c r="C77" t="s">
        <v>120</v>
      </c>
      <c r="D77" t="s">
        <v>2086</v>
      </c>
      <c r="E77" t="s">
        <v>3133</v>
      </c>
      <c r="F77" t="s">
        <v>3134</v>
      </c>
      <c r="G77" t="s">
        <v>3135</v>
      </c>
      <c r="I77" t="s">
        <v>3051</v>
      </c>
      <c r="J77" t="s">
        <v>3064</v>
      </c>
      <c r="K77" t="s">
        <v>3060</v>
      </c>
    </row>
    <row r="78" spans="1:11" x14ac:dyDescent="0.25">
      <c r="A78" t="s">
        <v>121</v>
      </c>
      <c r="B78" t="s">
        <v>62</v>
      </c>
      <c r="C78" t="s">
        <v>122</v>
      </c>
      <c r="D78" t="s">
        <v>2087</v>
      </c>
      <c r="E78" t="s">
        <v>3136</v>
      </c>
      <c r="F78" t="s">
        <v>3137</v>
      </c>
      <c r="G78" t="s">
        <v>3138</v>
      </c>
      <c r="I78" t="s">
        <v>3051</v>
      </c>
      <c r="J78" t="s">
        <v>3064</v>
      </c>
      <c r="K78" t="s">
        <v>3060</v>
      </c>
    </row>
    <row r="79" spans="1:11" x14ac:dyDescent="0.25">
      <c r="A79" t="s">
        <v>123</v>
      </c>
      <c r="B79" t="s">
        <v>62</v>
      </c>
      <c r="C79" t="s">
        <v>124</v>
      </c>
      <c r="D79" t="s">
        <v>2088</v>
      </c>
      <c r="E79" t="s">
        <v>3139</v>
      </c>
      <c r="F79" t="s">
        <v>3140</v>
      </c>
      <c r="G79" t="s">
        <v>3141</v>
      </c>
      <c r="I79" t="s">
        <v>3051</v>
      </c>
      <c r="J79" t="s">
        <v>3064</v>
      </c>
      <c r="K79" t="s">
        <v>3060</v>
      </c>
    </row>
    <row r="80" spans="1:11" x14ac:dyDescent="0.25">
      <c r="A80" t="s">
        <v>125</v>
      </c>
      <c r="B80" t="s">
        <v>62</v>
      </c>
      <c r="C80" t="s">
        <v>126</v>
      </c>
      <c r="D80" t="s">
        <v>2089</v>
      </c>
      <c r="E80" t="s">
        <v>3142</v>
      </c>
      <c r="F80" t="s">
        <v>3143</v>
      </c>
      <c r="G80" t="s">
        <v>3144</v>
      </c>
      <c r="I80" t="s">
        <v>3051</v>
      </c>
      <c r="J80" t="s">
        <v>3064</v>
      </c>
      <c r="K80" t="s">
        <v>3060</v>
      </c>
    </row>
    <row r="81" spans="1:11" x14ac:dyDescent="0.25">
      <c r="A81" t="s">
        <v>127</v>
      </c>
      <c r="B81" t="s">
        <v>62</v>
      </c>
      <c r="C81" t="s">
        <v>128</v>
      </c>
      <c r="D81" t="s">
        <v>2090</v>
      </c>
      <c r="E81" t="s">
        <v>3145</v>
      </c>
      <c r="F81" t="s">
        <v>3146</v>
      </c>
      <c r="G81" t="s">
        <v>3147</v>
      </c>
      <c r="I81" t="s">
        <v>3051</v>
      </c>
      <c r="J81" t="s">
        <v>3064</v>
      </c>
      <c r="K81" t="s">
        <v>3060</v>
      </c>
    </row>
    <row r="82" spans="1:11" x14ac:dyDescent="0.25">
      <c r="A82" t="s">
        <v>129</v>
      </c>
      <c r="B82" t="s">
        <v>62</v>
      </c>
      <c r="C82" t="s">
        <v>130</v>
      </c>
      <c r="D82" t="s">
        <v>2091</v>
      </c>
      <c r="E82" t="s">
        <v>3148</v>
      </c>
      <c r="F82" t="s">
        <v>3149</v>
      </c>
      <c r="G82" t="s">
        <v>3150</v>
      </c>
      <c r="I82" t="s">
        <v>3051</v>
      </c>
      <c r="J82" t="s">
        <v>3064</v>
      </c>
      <c r="K82" t="s">
        <v>3060</v>
      </c>
    </row>
    <row r="83" spans="1:11" x14ac:dyDescent="0.25">
      <c r="A83" t="s">
        <v>131</v>
      </c>
      <c r="B83" t="s">
        <v>62</v>
      </c>
      <c r="C83" t="s">
        <v>132</v>
      </c>
      <c r="D83" t="s">
        <v>2092</v>
      </c>
      <c r="E83" t="s">
        <v>3151</v>
      </c>
      <c r="F83" t="s">
        <v>3152</v>
      </c>
      <c r="G83" t="s">
        <v>3153</v>
      </c>
      <c r="I83" t="s">
        <v>3051</v>
      </c>
      <c r="J83" t="s">
        <v>3064</v>
      </c>
      <c r="K83" t="s">
        <v>3060</v>
      </c>
    </row>
    <row r="84" spans="1:11" x14ac:dyDescent="0.25">
      <c r="A84" t="s">
        <v>133</v>
      </c>
      <c r="B84" t="s">
        <v>62</v>
      </c>
      <c r="C84" t="s">
        <v>134</v>
      </c>
      <c r="D84" t="s">
        <v>2093</v>
      </c>
      <c r="E84" t="s">
        <v>3154</v>
      </c>
      <c r="F84" t="s">
        <v>3155</v>
      </c>
      <c r="G84" t="s">
        <v>424</v>
      </c>
      <c r="I84" t="s">
        <v>3051</v>
      </c>
      <c r="J84" t="s">
        <v>3064</v>
      </c>
      <c r="K84" t="s">
        <v>3060</v>
      </c>
    </row>
    <row r="85" spans="1:11" x14ac:dyDescent="0.25">
      <c r="A85" t="s">
        <v>135</v>
      </c>
      <c r="B85" t="s">
        <v>62</v>
      </c>
      <c r="C85" t="s">
        <v>136</v>
      </c>
      <c r="D85" t="s">
        <v>2094</v>
      </c>
      <c r="E85" t="s">
        <v>3156</v>
      </c>
      <c r="F85" t="s">
        <v>3157</v>
      </c>
      <c r="G85" t="s">
        <v>3158</v>
      </c>
      <c r="I85" t="s">
        <v>3051</v>
      </c>
      <c r="J85" t="s">
        <v>3064</v>
      </c>
      <c r="K85" t="s">
        <v>3060</v>
      </c>
    </row>
    <row r="86" spans="1:11" x14ac:dyDescent="0.25">
      <c r="A86" t="s">
        <v>137</v>
      </c>
      <c r="B86" t="s">
        <v>62</v>
      </c>
      <c r="C86" t="s">
        <v>138</v>
      </c>
      <c r="D86" t="s">
        <v>2095</v>
      </c>
      <c r="E86" t="s">
        <v>3159</v>
      </c>
      <c r="F86" t="s">
        <v>3160</v>
      </c>
      <c r="G86" t="s">
        <v>3161</v>
      </c>
      <c r="I86" t="s">
        <v>3051</v>
      </c>
      <c r="J86" t="s">
        <v>3064</v>
      </c>
      <c r="K86" t="s">
        <v>3060</v>
      </c>
    </row>
    <row r="87" spans="1:11" x14ac:dyDescent="0.25">
      <c r="A87" t="s">
        <v>139</v>
      </c>
      <c r="B87" t="s">
        <v>62</v>
      </c>
      <c r="C87" t="s">
        <v>140</v>
      </c>
      <c r="D87" t="s">
        <v>2096</v>
      </c>
      <c r="E87" t="s">
        <v>3162</v>
      </c>
      <c r="F87" t="s">
        <v>3163</v>
      </c>
      <c r="G87" t="s">
        <v>3164</v>
      </c>
      <c r="I87" t="s">
        <v>3051</v>
      </c>
      <c r="J87" t="s">
        <v>3064</v>
      </c>
      <c r="K87" t="s">
        <v>3060</v>
      </c>
    </row>
    <row r="88" spans="1:11" x14ac:dyDescent="0.25">
      <c r="A88" t="s">
        <v>141</v>
      </c>
      <c r="B88" t="s">
        <v>62</v>
      </c>
      <c r="C88" t="s">
        <v>142</v>
      </c>
      <c r="D88" t="s">
        <v>2097</v>
      </c>
      <c r="E88" t="s">
        <v>3165</v>
      </c>
      <c r="F88" t="s">
        <v>3166</v>
      </c>
      <c r="G88" t="s">
        <v>3167</v>
      </c>
      <c r="I88" t="s">
        <v>3051</v>
      </c>
      <c r="J88" t="s">
        <v>3064</v>
      </c>
      <c r="K88" t="s">
        <v>3060</v>
      </c>
    </row>
    <row r="89" spans="1:11" x14ac:dyDescent="0.25">
      <c r="A89" t="s">
        <v>143</v>
      </c>
      <c r="B89" t="s">
        <v>62</v>
      </c>
      <c r="C89" t="s">
        <v>144</v>
      </c>
      <c r="D89" t="s">
        <v>2098</v>
      </c>
      <c r="E89" t="s">
        <v>3168</v>
      </c>
      <c r="F89" t="s">
        <v>3169</v>
      </c>
      <c r="G89" t="s">
        <v>3170</v>
      </c>
      <c r="I89" t="s">
        <v>3051</v>
      </c>
      <c r="J89" t="s">
        <v>3064</v>
      </c>
      <c r="K89" t="s">
        <v>3060</v>
      </c>
    </row>
    <row r="90" spans="1:11" x14ac:dyDescent="0.25">
      <c r="A90" t="s">
        <v>145</v>
      </c>
      <c r="B90" t="s">
        <v>62</v>
      </c>
      <c r="C90" t="s">
        <v>146</v>
      </c>
      <c r="D90" t="s">
        <v>2099</v>
      </c>
      <c r="E90" t="s">
        <v>3171</v>
      </c>
      <c r="F90" t="s">
        <v>3172</v>
      </c>
      <c r="G90" t="s">
        <v>3173</v>
      </c>
      <c r="I90" t="s">
        <v>3051</v>
      </c>
      <c r="J90" t="s">
        <v>3064</v>
      </c>
      <c r="K90" t="s">
        <v>3060</v>
      </c>
    </row>
    <row r="91" spans="1:11" x14ac:dyDescent="0.25">
      <c r="A91" t="s">
        <v>147</v>
      </c>
      <c r="B91" t="s">
        <v>62</v>
      </c>
      <c r="C91" t="s">
        <v>148</v>
      </c>
      <c r="D91" t="s">
        <v>2100</v>
      </c>
      <c r="E91" t="s">
        <v>3174</v>
      </c>
      <c r="F91" t="s">
        <v>3175</v>
      </c>
      <c r="G91" t="s">
        <v>438</v>
      </c>
      <c r="I91" t="s">
        <v>3051</v>
      </c>
      <c r="J91" t="s">
        <v>3064</v>
      </c>
      <c r="K91" t="s">
        <v>3060</v>
      </c>
    </row>
    <row r="92" spans="1:11" x14ac:dyDescent="0.25">
      <c r="A92" t="s">
        <v>149</v>
      </c>
      <c r="B92" t="s">
        <v>62</v>
      </c>
      <c r="C92" t="s">
        <v>150</v>
      </c>
      <c r="D92" t="s">
        <v>2101</v>
      </c>
      <c r="E92" t="s">
        <v>3176</v>
      </c>
      <c r="F92" t="s">
        <v>3177</v>
      </c>
      <c r="G92" t="s">
        <v>3178</v>
      </c>
      <c r="I92" t="s">
        <v>3051</v>
      </c>
      <c r="J92" t="s">
        <v>3064</v>
      </c>
      <c r="K92" t="s">
        <v>3060</v>
      </c>
    </row>
    <row r="93" spans="1:11" x14ac:dyDescent="0.25">
      <c r="A93" t="s">
        <v>151</v>
      </c>
      <c r="B93" t="s">
        <v>62</v>
      </c>
      <c r="C93" t="s">
        <v>152</v>
      </c>
      <c r="D93" t="s">
        <v>2102</v>
      </c>
      <c r="E93" t="s">
        <v>3179</v>
      </c>
      <c r="F93" t="s">
        <v>3180</v>
      </c>
      <c r="G93" t="s">
        <v>3181</v>
      </c>
      <c r="I93" t="s">
        <v>3051</v>
      </c>
      <c r="J93" t="s">
        <v>3064</v>
      </c>
      <c r="K93" t="s">
        <v>3060</v>
      </c>
    </row>
    <row r="94" spans="1:11" x14ac:dyDescent="0.25">
      <c r="A94" t="s">
        <v>153</v>
      </c>
      <c r="B94" t="s">
        <v>62</v>
      </c>
      <c r="C94" t="s">
        <v>154</v>
      </c>
      <c r="D94" t="s">
        <v>2103</v>
      </c>
      <c r="E94" t="s">
        <v>3182</v>
      </c>
      <c r="F94" t="s">
        <v>3183</v>
      </c>
      <c r="G94" t="s">
        <v>3184</v>
      </c>
      <c r="I94" t="s">
        <v>3051</v>
      </c>
      <c r="J94" t="s">
        <v>3064</v>
      </c>
      <c r="K94" t="s">
        <v>3060</v>
      </c>
    </row>
    <row r="95" spans="1:11" x14ac:dyDescent="0.25">
      <c r="A95" t="s">
        <v>155</v>
      </c>
      <c r="B95" t="s">
        <v>62</v>
      </c>
      <c r="C95" t="s">
        <v>156</v>
      </c>
      <c r="D95" t="s">
        <v>2104</v>
      </c>
      <c r="E95" t="s">
        <v>3185</v>
      </c>
      <c r="F95" t="s">
        <v>3186</v>
      </c>
      <c r="G95" t="s">
        <v>3187</v>
      </c>
      <c r="I95" t="s">
        <v>3051</v>
      </c>
      <c r="J95" t="s">
        <v>3064</v>
      </c>
      <c r="K95" t="s">
        <v>3060</v>
      </c>
    </row>
    <row r="96" spans="1:11" x14ac:dyDescent="0.25">
      <c r="A96" t="s">
        <v>157</v>
      </c>
      <c r="B96" t="s">
        <v>62</v>
      </c>
      <c r="C96" t="s">
        <v>158</v>
      </c>
      <c r="D96" t="s">
        <v>2105</v>
      </c>
      <c r="E96" t="s">
        <v>3188</v>
      </c>
      <c r="F96" t="s">
        <v>3189</v>
      </c>
      <c r="G96" t="s">
        <v>3190</v>
      </c>
      <c r="I96" t="s">
        <v>3051</v>
      </c>
      <c r="J96" t="s">
        <v>3064</v>
      </c>
      <c r="K96" t="s">
        <v>3060</v>
      </c>
    </row>
    <row r="97" spans="1:11" x14ac:dyDescent="0.25">
      <c r="A97" t="s">
        <v>159</v>
      </c>
      <c r="B97" t="s">
        <v>62</v>
      </c>
      <c r="C97" t="s">
        <v>160</v>
      </c>
      <c r="D97" t="s">
        <v>2106</v>
      </c>
      <c r="E97" t="s">
        <v>3191</v>
      </c>
      <c r="F97" t="s">
        <v>3192</v>
      </c>
      <c r="G97" t="s">
        <v>3193</v>
      </c>
      <c r="I97" t="s">
        <v>3051</v>
      </c>
      <c r="J97" t="s">
        <v>3064</v>
      </c>
      <c r="K97" t="s">
        <v>3060</v>
      </c>
    </row>
    <row r="98" spans="1:11" x14ac:dyDescent="0.25">
      <c r="A98" t="s">
        <v>161</v>
      </c>
      <c r="B98" t="s">
        <v>62</v>
      </c>
      <c r="C98" t="s">
        <v>162</v>
      </c>
      <c r="D98" t="s">
        <v>2107</v>
      </c>
      <c r="E98" t="s">
        <v>3194</v>
      </c>
      <c r="F98" t="s">
        <v>3195</v>
      </c>
      <c r="G98" t="s">
        <v>3196</v>
      </c>
      <c r="I98" t="s">
        <v>3051</v>
      </c>
      <c r="J98" t="s">
        <v>3064</v>
      </c>
      <c r="K98" t="s">
        <v>3060</v>
      </c>
    </row>
    <row r="99" spans="1:11" x14ac:dyDescent="0.25">
      <c r="A99" t="s">
        <v>163</v>
      </c>
      <c r="B99" t="s">
        <v>62</v>
      </c>
      <c r="C99" t="s">
        <v>164</v>
      </c>
      <c r="D99" t="s">
        <v>2108</v>
      </c>
      <c r="E99" t="s">
        <v>3197</v>
      </c>
      <c r="F99" t="s">
        <v>3198</v>
      </c>
      <c r="G99" t="s">
        <v>3199</v>
      </c>
      <c r="I99" t="s">
        <v>3051</v>
      </c>
      <c r="J99" t="s">
        <v>3064</v>
      </c>
      <c r="K99" t="s">
        <v>3060</v>
      </c>
    </row>
    <row r="100" spans="1:11" x14ac:dyDescent="0.25">
      <c r="A100" t="s">
        <v>165</v>
      </c>
      <c r="B100" t="s">
        <v>62</v>
      </c>
      <c r="C100" t="s">
        <v>2962</v>
      </c>
      <c r="D100" t="s">
        <v>2109</v>
      </c>
      <c r="E100" t="s">
        <v>3200</v>
      </c>
      <c r="F100" t="s">
        <v>3201</v>
      </c>
      <c r="G100" t="s">
        <v>3202</v>
      </c>
      <c r="I100" t="s">
        <v>3051</v>
      </c>
      <c r="J100" t="s">
        <v>3064</v>
      </c>
      <c r="K100" t="s">
        <v>3060</v>
      </c>
    </row>
    <row r="101" spans="1:11" x14ac:dyDescent="0.25">
      <c r="A101" t="s">
        <v>3035</v>
      </c>
      <c r="B101" t="s">
        <v>3035</v>
      </c>
      <c r="C101" t="s">
        <v>2946</v>
      </c>
      <c r="D101" t="s">
        <v>3203</v>
      </c>
      <c r="I101" t="s">
        <v>3035</v>
      </c>
      <c r="J101" t="s">
        <v>3035</v>
      </c>
      <c r="K101" t="s">
        <v>3204</v>
      </c>
    </row>
    <row r="102" spans="1:11" x14ac:dyDescent="0.25">
      <c r="A102" t="s">
        <v>166</v>
      </c>
      <c r="B102" t="s">
        <v>167</v>
      </c>
      <c r="C102" t="s">
        <v>70</v>
      </c>
      <c r="D102" t="s">
        <v>2110</v>
      </c>
      <c r="E102" t="s">
        <v>3205</v>
      </c>
      <c r="F102" t="s">
        <v>3206</v>
      </c>
      <c r="G102" t="s">
        <v>3063</v>
      </c>
      <c r="I102" t="s">
        <v>3207</v>
      </c>
      <c r="J102" t="s">
        <v>3064</v>
      </c>
      <c r="K102" t="s">
        <v>3204</v>
      </c>
    </row>
    <row r="103" spans="1:11" x14ac:dyDescent="0.25">
      <c r="A103" t="s">
        <v>168</v>
      </c>
      <c r="B103" t="s">
        <v>167</v>
      </c>
      <c r="C103" t="s">
        <v>72</v>
      </c>
      <c r="D103" t="s">
        <v>2111</v>
      </c>
      <c r="E103" t="s">
        <v>3208</v>
      </c>
      <c r="F103" t="s">
        <v>3209</v>
      </c>
      <c r="G103" t="s">
        <v>3067</v>
      </c>
      <c r="I103" t="s">
        <v>3207</v>
      </c>
      <c r="J103" t="s">
        <v>3064</v>
      </c>
      <c r="K103" t="s">
        <v>3204</v>
      </c>
    </row>
    <row r="104" spans="1:11" x14ac:dyDescent="0.25">
      <c r="A104" t="s">
        <v>169</v>
      </c>
      <c r="B104" t="s">
        <v>167</v>
      </c>
      <c r="C104" t="s">
        <v>74</v>
      </c>
      <c r="D104" t="s">
        <v>2112</v>
      </c>
      <c r="E104" t="s">
        <v>3210</v>
      </c>
      <c r="F104" t="s">
        <v>3211</v>
      </c>
      <c r="G104" t="s">
        <v>3070</v>
      </c>
      <c r="I104" t="s">
        <v>3207</v>
      </c>
      <c r="J104" t="s">
        <v>3064</v>
      </c>
      <c r="K104" t="s">
        <v>3204</v>
      </c>
    </row>
    <row r="105" spans="1:11" x14ac:dyDescent="0.25">
      <c r="A105" t="s">
        <v>170</v>
      </c>
      <c r="B105" t="s">
        <v>167</v>
      </c>
      <c r="C105" t="s">
        <v>76</v>
      </c>
      <c r="D105" t="s">
        <v>2113</v>
      </c>
      <c r="E105" t="s">
        <v>3212</v>
      </c>
      <c r="F105" t="s">
        <v>3213</v>
      </c>
      <c r="G105" t="s">
        <v>380</v>
      </c>
      <c r="I105" t="s">
        <v>3207</v>
      </c>
      <c r="J105" t="s">
        <v>3064</v>
      </c>
      <c r="K105" t="s">
        <v>3204</v>
      </c>
    </row>
    <row r="106" spans="1:11" x14ac:dyDescent="0.25">
      <c r="A106" t="s">
        <v>171</v>
      </c>
      <c r="B106" t="s">
        <v>167</v>
      </c>
      <c r="C106" t="s">
        <v>78</v>
      </c>
      <c r="D106" t="s">
        <v>2114</v>
      </c>
      <c r="E106" t="s">
        <v>3214</v>
      </c>
      <c r="F106" t="s">
        <v>3215</v>
      </c>
      <c r="G106" t="s">
        <v>382</v>
      </c>
      <c r="I106" t="s">
        <v>3207</v>
      </c>
      <c r="J106" t="s">
        <v>3064</v>
      </c>
      <c r="K106" t="s">
        <v>3204</v>
      </c>
    </row>
    <row r="107" spans="1:11" x14ac:dyDescent="0.25">
      <c r="A107" t="s">
        <v>172</v>
      </c>
      <c r="B107" t="s">
        <v>167</v>
      </c>
      <c r="C107" t="s">
        <v>80</v>
      </c>
      <c r="D107" t="s">
        <v>2115</v>
      </c>
      <c r="E107" t="s">
        <v>3216</v>
      </c>
      <c r="F107" t="s">
        <v>3217</v>
      </c>
      <c r="G107" t="s">
        <v>3077</v>
      </c>
      <c r="I107" t="s">
        <v>3207</v>
      </c>
      <c r="J107" t="s">
        <v>3064</v>
      </c>
      <c r="K107" t="s">
        <v>3204</v>
      </c>
    </row>
    <row r="108" spans="1:11" x14ac:dyDescent="0.25">
      <c r="A108" t="s">
        <v>173</v>
      </c>
      <c r="B108" t="s">
        <v>167</v>
      </c>
      <c r="C108" t="s">
        <v>82</v>
      </c>
      <c r="D108" t="s">
        <v>2116</v>
      </c>
      <c r="E108" t="s">
        <v>3218</v>
      </c>
      <c r="F108" t="s">
        <v>3219</v>
      </c>
      <c r="G108" t="s">
        <v>3080</v>
      </c>
      <c r="I108" t="s">
        <v>3207</v>
      </c>
      <c r="J108" t="s">
        <v>3064</v>
      </c>
      <c r="K108" t="s">
        <v>3204</v>
      </c>
    </row>
    <row r="109" spans="1:11" x14ac:dyDescent="0.25">
      <c r="A109" t="s">
        <v>174</v>
      </c>
      <c r="B109" t="s">
        <v>167</v>
      </c>
      <c r="C109" t="s">
        <v>84</v>
      </c>
      <c r="D109" t="s">
        <v>2117</v>
      </c>
      <c r="E109" t="s">
        <v>3220</v>
      </c>
      <c r="F109" t="s">
        <v>3221</v>
      </c>
      <c r="G109" t="s">
        <v>3083</v>
      </c>
      <c r="I109" t="s">
        <v>3207</v>
      </c>
      <c r="J109" t="s">
        <v>3064</v>
      </c>
      <c r="K109" t="s">
        <v>3204</v>
      </c>
    </row>
    <row r="110" spans="1:11" x14ac:dyDescent="0.25">
      <c r="A110" t="s">
        <v>175</v>
      </c>
      <c r="B110" t="s">
        <v>167</v>
      </c>
      <c r="C110" t="s">
        <v>86</v>
      </c>
      <c r="D110" t="s">
        <v>2118</v>
      </c>
      <c r="E110" t="s">
        <v>3222</v>
      </c>
      <c r="F110" t="s">
        <v>3223</v>
      </c>
      <c r="G110" t="s">
        <v>3086</v>
      </c>
      <c r="I110" t="s">
        <v>3207</v>
      </c>
      <c r="J110" t="s">
        <v>3064</v>
      </c>
      <c r="K110" t="s">
        <v>3204</v>
      </c>
    </row>
    <row r="111" spans="1:11" x14ac:dyDescent="0.25">
      <c r="A111" t="s">
        <v>176</v>
      </c>
      <c r="B111" t="s">
        <v>167</v>
      </c>
      <c r="C111" t="s">
        <v>88</v>
      </c>
      <c r="D111" t="s">
        <v>2119</v>
      </c>
      <c r="E111" t="s">
        <v>3224</v>
      </c>
      <c r="F111" t="s">
        <v>3225</v>
      </c>
      <c r="G111" t="s">
        <v>3089</v>
      </c>
      <c r="I111" t="s">
        <v>3207</v>
      </c>
      <c r="J111" t="s">
        <v>3064</v>
      </c>
      <c r="K111" t="s">
        <v>3204</v>
      </c>
    </row>
    <row r="112" spans="1:11" x14ac:dyDescent="0.25">
      <c r="A112" t="s">
        <v>177</v>
      </c>
      <c r="B112" t="s">
        <v>167</v>
      </c>
      <c r="C112" t="s">
        <v>90</v>
      </c>
      <c r="D112" t="s">
        <v>2120</v>
      </c>
      <c r="E112" t="s">
        <v>3226</v>
      </c>
      <c r="F112" t="s">
        <v>3227</v>
      </c>
      <c r="G112" t="s">
        <v>3092</v>
      </c>
      <c r="I112" t="s">
        <v>3207</v>
      </c>
      <c r="J112" t="s">
        <v>3064</v>
      </c>
      <c r="K112" t="s">
        <v>3204</v>
      </c>
    </row>
    <row r="113" spans="1:11" x14ac:dyDescent="0.25">
      <c r="A113" t="s">
        <v>178</v>
      </c>
      <c r="B113" t="s">
        <v>167</v>
      </c>
      <c r="C113" t="s">
        <v>92</v>
      </c>
      <c r="D113" t="s">
        <v>2121</v>
      </c>
      <c r="E113" t="s">
        <v>3228</v>
      </c>
      <c r="F113" t="s">
        <v>3229</v>
      </c>
      <c r="G113" t="s">
        <v>396</v>
      </c>
      <c r="I113" t="s">
        <v>3207</v>
      </c>
      <c r="J113" t="s">
        <v>3064</v>
      </c>
      <c r="K113" t="s">
        <v>3204</v>
      </c>
    </row>
    <row r="114" spans="1:11" x14ac:dyDescent="0.25">
      <c r="A114" t="s">
        <v>179</v>
      </c>
      <c r="B114" t="s">
        <v>167</v>
      </c>
      <c r="C114" t="s">
        <v>94</v>
      </c>
      <c r="D114" t="s">
        <v>2122</v>
      </c>
      <c r="E114" t="s">
        <v>3230</v>
      </c>
      <c r="F114" t="s">
        <v>3231</v>
      </c>
      <c r="G114" t="s">
        <v>3097</v>
      </c>
      <c r="I114" t="s">
        <v>3207</v>
      </c>
      <c r="J114" t="s">
        <v>3064</v>
      </c>
      <c r="K114" t="s">
        <v>3204</v>
      </c>
    </row>
    <row r="115" spans="1:11" x14ac:dyDescent="0.25">
      <c r="A115" t="s">
        <v>180</v>
      </c>
      <c r="B115" t="s">
        <v>167</v>
      </c>
      <c r="C115" t="s">
        <v>96</v>
      </c>
      <c r="D115" t="s">
        <v>2123</v>
      </c>
      <c r="E115" t="s">
        <v>3232</v>
      </c>
      <c r="F115" t="s">
        <v>3233</v>
      </c>
      <c r="G115" t="s">
        <v>3100</v>
      </c>
      <c r="I115" t="s">
        <v>3207</v>
      </c>
      <c r="J115" t="s">
        <v>3064</v>
      </c>
      <c r="K115" t="s">
        <v>3204</v>
      </c>
    </row>
    <row r="116" spans="1:11" x14ac:dyDescent="0.25">
      <c r="A116" t="s">
        <v>181</v>
      </c>
      <c r="B116" t="s">
        <v>167</v>
      </c>
      <c r="C116" t="s">
        <v>98</v>
      </c>
      <c r="D116" t="s">
        <v>2124</v>
      </c>
      <c r="E116" t="s">
        <v>3234</v>
      </c>
      <c r="F116" t="s">
        <v>3235</v>
      </c>
      <c r="G116" t="s">
        <v>3103</v>
      </c>
      <c r="I116" t="s">
        <v>3207</v>
      </c>
      <c r="J116" t="s">
        <v>3064</v>
      </c>
      <c r="K116" t="s">
        <v>3204</v>
      </c>
    </row>
    <row r="117" spans="1:11" x14ac:dyDescent="0.25">
      <c r="A117" t="s">
        <v>182</v>
      </c>
      <c r="B117" t="s">
        <v>167</v>
      </c>
      <c r="C117" t="s">
        <v>100</v>
      </c>
      <c r="D117" t="s">
        <v>2125</v>
      </c>
      <c r="E117" t="s">
        <v>3236</v>
      </c>
      <c r="F117" t="s">
        <v>3237</v>
      </c>
      <c r="G117" t="s">
        <v>3106</v>
      </c>
      <c r="I117" t="s">
        <v>3207</v>
      </c>
      <c r="J117" t="s">
        <v>3064</v>
      </c>
      <c r="K117" t="s">
        <v>3204</v>
      </c>
    </row>
    <row r="118" spans="1:11" x14ac:dyDescent="0.25">
      <c r="A118" t="s">
        <v>183</v>
      </c>
      <c r="B118" t="s">
        <v>167</v>
      </c>
      <c r="C118" t="s">
        <v>102</v>
      </c>
      <c r="D118" t="s">
        <v>2126</v>
      </c>
      <c r="E118" t="s">
        <v>3238</v>
      </c>
      <c r="F118" t="s">
        <v>3239</v>
      </c>
      <c r="G118" t="s">
        <v>3109</v>
      </c>
      <c r="I118" t="s">
        <v>3207</v>
      </c>
      <c r="J118" t="s">
        <v>3064</v>
      </c>
      <c r="K118" t="s">
        <v>3204</v>
      </c>
    </row>
    <row r="119" spans="1:11" x14ac:dyDescent="0.25">
      <c r="A119" t="s">
        <v>184</v>
      </c>
      <c r="B119" t="s">
        <v>167</v>
      </c>
      <c r="C119" t="s">
        <v>104</v>
      </c>
      <c r="D119" t="s">
        <v>2127</v>
      </c>
      <c r="E119" t="s">
        <v>3240</v>
      </c>
      <c r="F119" t="s">
        <v>3241</v>
      </c>
      <c r="G119" t="s">
        <v>3112</v>
      </c>
      <c r="I119" t="s">
        <v>3207</v>
      </c>
      <c r="J119" t="s">
        <v>3064</v>
      </c>
      <c r="K119" t="s">
        <v>3204</v>
      </c>
    </row>
    <row r="120" spans="1:11" x14ac:dyDescent="0.25">
      <c r="A120" t="s">
        <v>185</v>
      </c>
      <c r="B120" t="s">
        <v>167</v>
      </c>
      <c r="C120" t="s">
        <v>106</v>
      </c>
      <c r="D120" t="s">
        <v>2128</v>
      </c>
      <c r="E120" t="s">
        <v>3242</v>
      </c>
      <c r="F120" t="s">
        <v>3243</v>
      </c>
      <c r="G120" t="s">
        <v>410</v>
      </c>
      <c r="I120" t="s">
        <v>3207</v>
      </c>
      <c r="J120" t="s">
        <v>3064</v>
      </c>
      <c r="K120" t="s">
        <v>3204</v>
      </c>
    </row>
    <row r="121" spans="1:11" x14ac:dyDescent="0.25">
      <c r="A121" t="s">
        <v>186</v>
      </c>
      <c r="B121" t="s">
        <v>167</v>
      </c>
      <c r="C121" t="s">
        <v>108</v>
      </c>
      <c r="D121" t="s">
        <v>2129</v>
      </c>
      <c r="E121" t="s">
        <v>3244</v>
      </c>
      <c r="F121" t="s">
        <v>3245</v>
      </c>
      <c r="G121" t="s">
        <v>3117</v>
      </c>
      <c r="I121" t="s">
        <v>3207</v>
      </c>
      <c r="J121" t="s">
        <v>3064</v>
      </c>
      <c r="K121" t="s">
        <v>3204</v>
      </c>
    </row>
    <row r="122" spans="1:11" x14ac:dyDescent="0.25">
      <c r="A122" t="s">
        <v>187</v>
      </c>
      <c r="B122" t="s">
        <v>167</v>
      </c>
      <c r="C122" t="s">
        <v>110</v>
      </c>
      <c r="D122" t="s">
        <v>2130</v>
      </c>
      <c r="E122" t="s">
        <v>3246</v>
      </c>
      <c r="F122" t="s">
        <v>3247</v>
      </c>
      <c r="G122" t="s">
        <v>3120</v>
      </c>
      <c r="I122" t="s">
        <v>3207</v>
      </c>
      <c r="J122" t="s">
        <v>3064</v>
      </c>
      <c r="K122" t="s">
        <v>3204</v>
      </c>
    </row>
    <row r="123" spans="1:11" x14ac:dyDescent="0.25">
      <c r="A123" t="s">
        <v>188</v>
      </c>
      <c r="B123" t="s">
        <v>167</v>
      </c>
      <c r="C123" t="s">
        <v>112</v>
      </c>
      <c r="D123" t="s">
        <v>2131</v>
      </c>
      <c r="E123" t="s">
        <v>3248</v>
      </c>
      <c r="F123" t="s">
        <v>3249</v>
      </c>
      <c r="G123" t="s">
        <v>3123</v>
      </c>
      <c r="I123" t="s">
        <v>3207</v>
      </c>
      <c r="J123" t="s">
        <v>3064</v>
      </c>
      <c r="K123" t="s">
        <v>3204</v>
      </c>
    </row>
    <row r="124" spans="1:11" x14ac:dyDescent="0.25">
      <c r="A124" t="s">
        <v>189</v>
      </c>
      <c r="B124" t="s">
        <v>167</v>
      </c>
      <c r="C124" t="s">
        <v>114</v>
      </c>
      <c r="D124" t="s">
        <v>2132</v>
      </c>
      <c r="E124" t="s">
        <v>3250</v>
      </c>
      <c r="F124" t="s">
        <v>3251</v>
      </c>
      <c r="G124" t="s">
        <v>3126</v>
      </c>
      <c r="I124" t="s">
        <v>3207</v>
      </c>
      <c r="J124" t="s">
        <v>3064</v>
      </c>
      <c r="K124" t="s">
        <v>3204</v>
      </c>
    </row>
    <row r="125" spans="1:11" x14ac:dyDescent="0.25">
      <c r="A125" t="s">
        <v>190</v>
      </c>
      <c r="B125" t="s">
        <v>167</v>
      </c>
      <c r="C125" t="s">
        <v>116</v>
      </c>
      <c r="D125" t="s">
        <v>2133</v>
      </c>
      <c r="E125" t="s">
        <v>3252</v>
      </c>
      <c r="F125" t="s">
        <v>3253</v>
      </c>
      <c r="G125" t="s">
        <v>3129</v>
      </c>
      <c r="I125" t="s">
        <v>3207</v>
      </c>
      <c r="J125" t="s">
        <v>3064</v>
      </c>
      <c r="K125" t="s">
        <v>3204</v>
      </c>
    </row>
    <row r="126" spans="1:11" x14ac:dyDescent="0.25">
      <c r="A126" t="s">
        <v>191</v>
      </c>
      <c r="B126" t="s">
        <v>167</v>
      </c>
      <c r="C126" t="s">
        <v>118</v>
      </c>
      <c r="D126" t="s">
        <v>2134</v>
      </c>
      <c r="E126" t="s">
        <v>3254</v>
      </c>
      <c r="F126" t="s">
        <v>3255</v>
      </c>
      <c r="G126" t="s">
        <v>3132</v>
      </c>
      <c r="I126" t="s">
        <v>3207</v>
      </c>
      <c r="J126" t="s">
        <v>3064</v>
      </c>
      <c r="K126" t="s">
        <v>3204</v>
      </c>
    </row>
    <row r="127" spans="1:11" x14ac:dyDescent="0.25">
      <c r="A127" t="s">
        <v>192</v>
      </c>
      <c r="B127" t="s">
        <v>167</v>
      </c>
      <c r="C127" t="s">
        <v>120</v>
      </c>
      <c r="D127" t="s">
        <v>2135</v>
      </c>
      <c r="E127" t="s">
        <v>3256</v>
      </c>
      <c r="F127" t="s">
        <v>3257</v>
      </c>
      <c r="G127" t="s">
        <v>3135</v>
      </c>
      <c r="I127" t="s">
        <v>3207</v>
      </c>
      <c r="J127" t="s">
        <v>3064</v>
      </c>
      <c r="K127" t="s">
        <v>3204</v>
      </c>
    </row>
    <row r="128" spans="1:11" x14ac:dyDescent="0.25">
      <c r="A128" t="s">
        <v>193</v>
      </c>
      <c r="B128" t="s">
        <v>167</v>
      </c>
      <c r="C128" t="s">
        <v>122</v>
      </c>
      <c r="D128" t="s">
        <v>2136</v>
      </c>
      <c r="E128" t="s">
        <v>3258</v>
      </c>
      <c r="F128" t="s">
        <v>3259</v>
      </c>
      <c r="G128" t="s">
        <v>3138</v>
      </c>
      <c r="I128" t="s">
        <v>3207</v>
      </c>
      <c r="J128" t="s">
        <v>3064</v>
      </c>
      <c r="K128" t="s">
        <v>3204</v>
      </c>
    </row>
    <row r="129" spans="1:11" x14ac:dyDescent="0.25">
      <c r="A129" t="s">
        <v>194</v>
      </c>
      <c r="B129" t="s">
        <v>167</v>
      </c>
      <c r="C129" t="s">
        <v>124</v>
      </c>
      <c r="D129" t="s">
        <v>2137</v>
      </c>
      <c r="E129" t="s">
        <v>3260</v>
      </c>
      <c r="F129" t="s">
        <v>3261</v>
      </c>
      <c r="G129" t="s">
        <v>3141</v>
      </c>
      <c r="I129" t="s">
        <v>3207</v>
      </c>
      <c r="J129" t="s">
        <v>3064</v>
      </c>
      <c r="K129" t="s">
        <v>3204</v>
      </c>
    </row>
    <row r="130" spans="1:11" x14ac:dyDescent="0.25">
      <c r="A130" t="s">
        <v>195</v>
      </c>
      <c r="B130" t="s">
        <v>167</v>
      </c>
      <c r="C130" t="s">
        <v>126</v>
      </c>
      <c r="D130" t="s">
        <v>2138</v>
      </c>
      <c r="E130" t="s">
        <v>3262</v>
      </c>
      <c r="F130" t="s">
        <v>3263</v>
      </c>
      <c r="G130" t="s">
        <v>3144</v>
      </c>
      <c r="I130" t="s">
        <v>3207</v>
      </c>
      <c r="J130" t="s">
        <v>3064</v>
      </c>
      <c r="K130" t="s">
        <v>3204</v>
      </c>
    </row>
    <row r="131" spans="1:11" x14ac:dyDescent="0.25">
      <c r="A131" t="s">
        <v>196</v>
      </c>
      <c r="B131" t="s">
        <v>167</v>
      </c>
      <c r="C131" t="s">
        <v>128</v>
      </c>
      <c r="D131" t="s">
        <v>2139</v>
      </c>
      <c r="E131" t="s">
        <v>3264</v>
      </c>
      <c r="F131" t="s">
        <v>3265</v>
      </c>
      <c r="G131" t="s">
        <v>3147</v>
      </c>
      <c r="I131" t="s">
        <v>3207</v>
      </c>
      <c r="J131" t="s">
        <v>3064</v>
      </c>
      <c r="K131" t="s">
        <v>3204</v>
      </c>
    </row>
    <row r="132" spans="1:11" x14ac:dyDescent="0.25">
      <c r="A132" t="s">
        <v>197</v>
      </c>
      <c r="B132" t="s">
        <v>167</v>
      </c>
      <c r="C132" t="s">
        <v>130</v>
      </c>
      <c r="D132" t="s">
        <v>2140</v>
      </c>
      <c r="E132" t="s">
        <v>3266</v>
      </c>
      <c r="F132" t="s">
        <v>3267</v>
      </c>
      <c r="G132" t="s">
        <v>3150</v>
      </c>
      <c r="I132" t="s">
        <v>3207</v>
      </c>
      <c r="J132" t="s">
        <v>3064</v>
      </c>
      <c r="K132" t="s">
        <v>3204</v>
      </c>
    </row>
    <row r="133" spans="1:11" x14ac:dyDescent="0.25">
      <c r="A133" t="s">
        <v>198</v>
      </c>
      <c r="B133" t="s">
        <v>167</v>
      </c>
      <c r="C133" t="s">
        <v>132</v>
      </c>
      <c r="D133" t="s">
        <v>2141</v>
      </c>
      <c r="E133" t="s">
        <v>3268</v>
      </c>
      <c r="F133" t="s">
        <v>3269</v>
      </c>
      <c r="G133" t="s">
        <v>3153</v>
      </c>
      <c r="I133" t="s">
        <v>3207</v>
      </c>
      <c r="J133" t="s">
        <v>3064</v>
      </c>
      <c r="K133" t="s">
        <v>3204</v>
      </c>
    </row>
    <row r="134" spans="1:11" x14ac:dyDescent="0.25">
      <c r="A134" t="s">
        <v>199</v>
      </c>
      <c r="B134" t="s">
        <v>167</v>
      </c>
      <c r="C134" t="s">
        <v>134</v>
      </c>
      <c r="D134" t="s">
        <v>2142</v>
      </c>
      <c r="E134" t="s">
        <v>3270</v>
      </c>
      <c r="F134" t="s">
        <v>3271</v>
      </c>
      <c r="G134" t="s">
        <v>424</v>
      </c>
      <c r="I134" t="s">
        <v>3207</v>
      </c>
      <c r="J134" t="s">
        <v>3064</v>
      </c>
      <c r="K134" t="s">
        <v>3204</v>
      </c>
    </row>
    <row r="135" spans="1:11" x14ac:dyDescent="0.25">
      <c r="A135" t="s">
        <v>200</v>
      </c>
      <c r="B135" t="s">
        <v>167</v>
      </c>
      <c r="C135" t="s">
        <v>136</v>
      </c>
      <c r="D135" t="s">
        <v>2143</v>
      </c>
      <c r="E135" t="s">
        <v>3272</v>
      </c>
      <c r="F135" t="s">
        <v>3273</v>
      </c>
      <c r="G135" t="s">
        <v>3158</v>
      </c>
      <c r="I135" t="s">
        <v>3207</v>
      </c>
      <c r="J135" t="s">
        <v>3064</v>
      </c>
      <c r="K135" t="s">
        <v>3204</v>
      </c>
    </row>
    <row r="136" spans="1:11" x14ac:dyDescent="0.25">
      <c r="A136" t="s">
        <v>201</v>
      </c>
      <c r="B136" t="s">
        <v>167</v>
      </c>
      <c r="C136" t="s">
        <v>138</v>
      </c>
      <c r="D136" t="s">
        <v>2144</v>
      </c>
      <c r="E136" t="s">
        <v>3274</v>
      </c>
      <c r="F136" t="s">
        <v>3275</v>
      </c>
      <c r="G136" t="s">
        <v>3161</v>
      </c>
      <c r="I136" t="s">
        <v>3207</v>
      </c>
      <c r="J136" t="s">
        <v>3064</v>
      </c>
      <c r="K136" t="s">
        <v>3204</v>
      </c>
    </row>
    <row r="137" spans="1:11" x14ac:dyDescent="0.25">
      <c r="A137" t="s">
        <v>202</v>
      </c>
      <c r="B137" t="s">
        <v>167</v>
      </c>
      <c r="C137" t="s">
        <v>140</v>
      </c>
      <c r="D137" t="s">
        <v>2145</v>
      </c>
      <c r="E137" t="s">
        <v>3276</v>
      </c>
      <c r="F137" t="s">
        <v>3277</v>
      </c>
      <c r="G137" t="s">
        <v>3164</v>
      </c>
      <c r="I137" t="s">
        <v>3207</v>
      </c>
      <c r="J137" t="s">
        <v>3064</v>
      </c>
      <c r="K137" t="s">
        <v>3204</v>
      </c>
    </row>
    <row r="138" spans="1:11" x14ac:dyDescent="0.25">
      <c r="A138" t="s">
        <v>203</v>
      </c>
      <c r="B138" t="s">
        <v>167</v>
      </c>
      <c r="C138" t="s">
        <v>142</v>
      </c>
      <c r="D138" t="s">
        <v>2146</v>
      </c>
      <c r="E138" t="s">
        <v>3278</v>
      </c>
      <c r="F138" t="s">
        <v>3279</v>
      </c>
      <c r="G138" t="s">
        <v>3167</v>
      </c>
      <c r="I138" t="s">
        <v>3207</v>
      </c>
      <c r="J138" t="s">
        <v>3064</v>
      </c>
      <c r="K138" t="s">
        <v>3204</v>
      </c>
    </row>
    <row r="139" spans="1:11" x14ac:dyDescent="0.25">
      <c r="A139" t="s">
        <v>204</v>
      </c>
      <c r="B139" t="s">
        <v>167</v>
      </c>
      <c r="C139" t="s">
        <v>144</v>
      </c>
      <c r="D139" t="s">
        <v>2147</v>
      </c>
      <c r="E139" t="s">
        <v>3280</v>
      </c>
      <c r="F139" t="s">
        <v>3281</v>
      </c>
      <c r="G139" t="s">
        <v>3170</v>
      </c>
      <c r="I139" t="s">
        <v>3207</v>
      </c>
      <c r="J139" t="s">
        <v>3064</v>
      </c>
      <c r="K139" t="s">
        <v>3204</v>
      </c>
    </row>
    <row r="140" spans="1:11" x14ac:dyDescent="0.25">
      <c r="A140" t="s">
        <v>205</v>
      </c>
      <c r="B140" t="s">
        <v>167</v>
      </c>
      <c r="C140" t="s">
        <v>146</v>
      </c>
      <c r="D140" t="s">
        <v>2148</v>
      </c>
      <c r="E140" t="s">
        <v>3282</v>
      </c>
      <c r="F140" t="s">
        <v>3283</v>
      </c>
      <c r="G140" t="s">
        <v>3173</v>
      </c>
      <c r="I140" t="s">
        <v>3207</v>
      </c>
      <c r="J140" t="s">
        <v>3064</v>
      </c>
      <c r="K140" t="s">
        <v>3204</v>
      </c>
    </row>
    <row r="141" spans="1:11" x14ac:dyDescent="0.25">
      <c r="A141" t="s">
        <v>206</v>
      </c>
      <c r="B141" t="s">
        <v>167</v>
      </c>
      <c r="C141" t="s">
        <v>148</v>
      </c>
      <c r="D141" t="s">
        <v>2149</v>
      </c>
      <c r="E141" t="s">
        <v>3284</v>
      </c>
      <c r="F141" t="s">
        <v>3285</v>
      </c>
      <c r="G141" t="s">
        <v>438</v>
      </c>
      <c r="I141" t="s">
        <v>3207</v>
      </c>
      <c r="J141" t="s">
        <v>3064</v>
      </c>
      <c r="K141" t="s">
        <v>3204</v>
      </c>
    </row>
    <row r="142" spans="1:11" x14ac:dyDescent="0.25">
      <c r="A142" t="s">
        <v>207</v>
      </c>
      <c r="B142" t="s">
        <v>167</v>
      </c>
      <c r="C142" t="s">
        <v>150</v>
      </c>
      <c r="D142" t="s">
        <v>2150</v>
      </c>
      <c r="E142" t="s">
        <v>3286</v>
      </c>
      <c r="F142" t="s">
        <v>3287</v>
      </c>
      <c r="G142" t="s">
        <v>3178</v>
      </c>
      <c r="I142" t="s">
        <v>3207</v>
      </c>
      <c r="J142" t="s">
        <v>3064</v>
      </c>
      <c r="K142" t="s">
        <v>3204</v>
      </c>
    </row>
    <row r="143" spans="1:11" x14ac:dyDescent="0.25">
      <c r="A143" t="s">
        <v>208</v>
      </c>
      <c r="B143" t="s">
        <v>167</v>
      </c>
      <c r="C143" t="s">
        <v>152</v>
      </c>
      <c r="D143" t="s">
        <v>2151</v>
      </c>
      <c r="E143" t="s">
        <v>3288</v>
      </c>
      <c r="F143" t="s">
        <v>3289</v>
      </c>
      <c r="G143" t="s">
        <v>3181</v>
      </c>
      <c r="I143" t="s">
        <v>3207</v>
      </c>
      <c r="J143" t="s">
        <v>3064</v>
      </c>
      <c r="K143" t="s">
        <v>3204</v>
      </c>
    </row>
    <row r="144" spans="1:11" x14ac:dyDescent="0.25">
      <c r="A144" t="s">
        <v>209</v>
      </c>
      <c r="B144" t="s">
        <v>167</v>
      </c>
      <c r="C144" t="s">
        <v>154</v>
      </c>
      <c r="D144" t="s">
        <v>2152</v>
      </c>
      <c r="E144" t="s">
        <v>3290</v>
      </c>
      <c r="F144" t="s">
        <v>3291</v>
      </c>
      <c r="G144" t="s">
        <v>3184</v>
      </c>
      <c r="I144" t="s">
        <v>3207</v>
      </c>
      <c r="J144" t="s">
        <v>3064</v>
      </c>
      <c r="K144" t="s">
        <v>3204</v>
      </c>
    </row>
    <row r="145" spans="1:11" x14ac:dyDescent="0.25">
      <c r="A145" t="s">
        <v>210</v>
      </c>
      <c r="B145" t="s">
        <v>167</v>
      </c>
      <c r="C145" t="s">
        <v>156</v>
      </c>
      <c r="D145" t="s">
        <v>2153</v>
      </c>
      <c r="E145" t="s">
        <v>3292</v>
      </c>
      <c r="F145" t="s">
        <v>3293</v>
      </c>
      <c r="G145" t="s">
        <v>3187</v>
      </c>
      <c r="I145" t="s">
        <v>3207</v>
      </c>
      <c r="J145" t="s">
        <v>3064</v>
      </c>
      <c r="K145" t="s">
        <v>3204</v>
      </c>
    </row>
    <row r="146" spans="1:11" x14ac:dyDescent="0.25">
      <c r="A146" t="s">
        <v>211</v>
      </c>
      <c r="B146" t="s">
        <v>167</v>
      </c>
      <c r="C146" t="s">
        <v>158</v>
      </c>
      <c r="D146" t="s">
        <v>2154</v>
      </c>
      <c r="E146" t="s">
        <v>3294</v>
      </c>
      <c r="F146" t="s">
        <v>3295</v>
      </c>
      <c r="G146" t="s">
        <v>3190</v>
      </c>
      <c r="I146" t="s">
        <v>3207</v>
      </c>
      <c r="J146" t="s">
        <v>3064</v>
      </c>
      <c r="K146" t="s">
        <v>3204</v>
      </c>
    </row>
    <row r="147" spans="1:11" x14ac:dyDescent="0.25">
      <c r="A147" t="s">
        <v>212</v>
      </c>
      <c r="B147" t="s">
        <v>167</v>
      </c>
      <c r="C147" t="s">
        <v>160</v>
      </c>
      <c r="D147" t="s">
        <v>2155</v>
      </c>
      <c r="E147" t="s">
        <v>3296</v>
      </c>
      <c r="F147" t="s">
        <v>3297</v>
      </c>
      <c r="G147" t="s">
        <v>3193</v>
      </c>
      <c r="I147" t="s">
        <v>3207</v>
      </c>
      <c r="J147" t="s">
        <v>3064</v>
      </c>
      <c r="K147" t="s">
        <v>3204</v>
      </c>
    </row>
    <row r="148" spans="1:11" x14ac:dyDescent="0.25">
      <c r="A148" t="s">
        <v>213</v>
      </c>
      <c r="B148" t="s">
        <v>167</v>
      </c>
      <c r="C148" t="s">
        <v>162</v>
      </c>
      <c r="D148" t="s">
        <v>2156</v>
      </c>
      <c r="E148" t="s">
        <v>3298</v>
      </c>
      <c r="F148" t="s">
        <v>3299</v>
      </c>
      <c r="G148" t="s">
        <v>3196</v>
      </c>
      <c r="I148" t="s">
        <v>3207</v>
      </c>
      <c r="J148" t="s">
        <v>3064</v>
      </c>
      <c r="K148" t="s">
        <v>3204</v>
      </c>
    </row>
    <row r="149" spans="1:11" x14ac:dyDescent="0.25">
      <c r="A149" t="s">
        <v>214</v>
      </c>
      <c r="B149" t="s">
        <v>167</v>
      </c>
      <c r="C149" t="s">
        <v>164</v>
      </c>
      <c r="D149" t="s">
        <v>2157</v>
      </c>
      <c r="E149" t="s">
        <v>3300</v>
      </c>
      <c r="F149" t="s">
        <v>3301</v>
      </c>
      <c r="G149" t="s">
        <v>3199</v>
      </c>
      <c r="I149" t="s">
        <v>3207</v>
      </c>
      <c r="J149" t="s">
        <v>3064</v>
      </c>
      <c r="K149" t="s">
        <v>3204</v>
      </c>
    </row>
    <row r="150" spans="1:11" x14ac:dyDescent="0.25">
      <c r="A150" t="s">
        <v>215</v>
      </c>
      <c r="B150" t="s">
        <v>167</v>
      </c>
      <c r="C150" t="s">
        <v>2964</v>
      </c>
      <c r="D150" t="s">
        <v>2158</v>
      </c>
      <c r="E150" t="s">
        <v>3302</v>
      </c>
      <c r="F150" t="s">
        <v>3303</v>
      </c>
      <c r="G150" t="s">
        <v>3202</v>
      </c>
      <c r="I150" t="s">
        <v>3207</v>
      </c>
      <c r="J150" t="s">
        <v>3064</v>
      </c>
      <c r="K150" t="s">
        <v>3204</v>
      </c>
    </row>
    <row r="151" spans="1:11" x14ac:dyDescent="0.25">
      <c r="A151" t="s">
        <v>3035</v>
      </c>
      <c r="B151" t="s">
        <v>3035</v>
      </c>
      <c r="C151" t="s">
        <v>2947</v>
      </c>
      <c r="D151" t="s">
        <v>3304</v>
      </c>
      <c r="I151" t="s">
        <v>3035</v>
      </c>
      <c r="J151" t="s">
        <v>3035</v>
      </c>
      <c r="K151" t="s">
        <v>461</v>
      </c>
    </row>
    <row r="152" spans="1:11" x14ac:dyDescent="0.25">
      <c r="A152" t="s">
        <v>253</v>
      </c>
      <c r="B152" t="s">
        <v>62</v>
      </c>
      <c r="C152" t="s">
        <v>254</v>
      </c>
      <c r="D152" t="s">
        <v>2195</v>
      </c>
      <c r="E152" t="s">
        <v>3305</v>
      </c>
      <c r="F152" t="s">
        <v>3306</v>
      </c>
      <c r="G152" t="s">
        <v>3307</v>
      </c>
      <c r="I152" t="s">
        <v>3051</v>
      </c>
      <c r="J152" t="s">
        <v>3308</v>
      </c>
      <c r="K152" t="s">
        <v>461</v>
      </c>
    </row>
    <row r="153" spans="1:11" x14ac:dyDescent="0.25">
      <c r="A153" t="s">
        <v>255</v>
      </c>
      <c r="B153" t="s">
        <v>62</v>
      </c>
      <c r="C153" t="s">
        <v>256</v>
      </c>
      <c r="D153" t="s">
        <v>2196</v>
      </c>
      <c r="E153" t="s">
        <v>3309</v>
      </c>
      <c r="F153" t="s">
        <v>3310</v>
      </c>
      <c r="G153" t="s">
        <v>3311</v>
      </c>
      <c r="I153" t="s">
        <v>3051</v>
      </c>
      <c r="J153" t="s">
        <v>3308</v>
      </c>
      <c r="K153" t="s">
        <v>461</v>
      </c>
    </row>
    <row r="154" spans="1:11" x14ac:dyDescent="0.25">
      <c r="A154" t="s">
        <v>257</v>
      </c>
      <c r="B154" t="s">
        <v>62</v>
      </c>
      <c r="C154" t="s">
        <v>258</v>
      </c>
      <c r="D154" t="s">
        <v>2197</v>
      </c>
      <c r="E154" t="s">
        <v>3312</v>
      </c>
      <c r="F154" t="s">
        <v>3313</v>
      </c>
      <c r="G154" t="s">
        <v>3314</v>
      </c>
      <c r="I154" t="s">
        <v>3051</v>
      </c>
      <c r="J154" t="s">
        <v>3308</v>
      </c>
      <c r="K154" t="s">
        <v>461</v>
      </c>
    </row>
    <row r="155" spans="1:11" x14ac:dyDescent="0.25">
      <c r="A155" t="s">
        <v>259</v>
      </c>
      <c r="B155" t="s">
        <v>62</v>
      </c>
      <c r="C155" t="s">
        <v>260</v>
      </c>
      <c r="D155" t="s">
        <v>2198</v>
      </c>
      <c r="E155" t="s">
        <v>3315</v>
      </c>
      <c r="F155" t="s">
        <v>3316</v>
      </c>
      <c r="G155" t="s">
        <v>260</v>
      </c>
      <c r="I155" t="s">
        <v>3051</v>
      </c>
      <c r="J155" t="s">
        <v>3308</v>
      </c>
      <c r="K155" t="s">
        <v>461</v>
      </c>
    </row>
    <row r="156" spans="1:11" x14ac:dyDescent="0.25">
      <c r="A156" t="s">
        <v>261</v>
      </c>
      <c r="B156" t="s">
        <v>62</v>
      </c>
      <c r="C156" t="s">
        <v>262</v>
      </c>
      <c r="D156" t="s">
        <v>2199</v>
      </c>
      <c r="E156" t="s">
        <v>3317</v>
      </c>
      <c r="F156" t="s">
        <v>3318</v>
      </c>
      <c r="G156" t="s">
        <v>262</v>
      </c>
      <c r="I156" t="s">
        <v>3051</v>
      </c>
      <c r="J156" t="s">
        <v>3308</v>
      </c>
      <c r="K156" t="s">
        <v>461</v>
      </c>
    </row>
    <row r="157" spans="1:11" x14ac:dyDescent="0.25">
      <c r="A157" t="s">
        <v>263</v>
      </c>
      <c r="B157" t="s">
        <v>62</v>
      </c>
      <c r="C157" t="s">
        <v>264</v>
      </c>
      <c r="D157" t="s">
        <v>2200</v>
      </c>
      <c r="E157" t="s">
        <v>3319</v>
      </c>
      <c r="F157" t="s">
        <v>3320</v>
      </c>
      <c r="G157" t="s">
        <v>264</v>
      </c>
      <c r="I157" t="s">
        <v>3051</v>
      </c>
      <c r="J157" t="s">
        <v>3308</v>
      </c>
      <c r="K157" t="s">
        <v>461</v>
      </c>
    </row>
    <row r="158" spans="1:11" x14ac:dyDescent="0.25">
      <c r="A158" t="s">
        <v>265</v>
      </c>
      <c r="B158" t="s">
        <v>62</v>
      </c>
      <c r="C158" t="s">
        <v>266</v>
      </c>
      <c r="D158" t="s">
        <v>2201</v>
      </c>
      <c r="E158" t="s">
        <v>3321</v>
      </c>
      <c r="F158" t="s">
        <v>3322</v>
      </c>
      <c r="G158" t="s">
        <v>3323</v>
      </c>
      <c r="I158" t="s">
        <v>3051</v>
      </c>
      <c r="J158" t="s">
        <v>3308</v>
      </c>
      <c r="K158" t="s">
        <v>461</v>
      </c>
    </row>
    <row r="159" spans="1:11" x14ac:dyDescent="0.25">
      <c r="A159" t="s">
        <v>267</v>
      </c>
      <c r="B159" t="s">
        <v>62</v>
      </c>
      <c r="C159" t="s">
        <v>268</v>
      </c>
      <c r="D159" t="s">
        <v>2202</v>
      </c>
      <c r="E159" t="s">
        <v>3324</v>
      </c>
      <c r="F159" t="s">
        <v>3325</v>
      </c>
      <c r="G159" t="s">
        <v>3326</v>
      </c>
      <c r="I159" t="s">
        <v>3051</v>
      </c>
      <c r="J159" t="s">
        <v>3308</v>
      </c>
      <c r="K159" t="s">
        <v>461</v>
      </c>
    </row>
    <row r="160" spans="1:11" x14ac:dyDescent="0.25">
      <c r="A160" t="s">
        <v>269</v>
      </c>
      <c r="B160" t="s">
        <v>62</v>
      </c>
      <c r="C160" t="s">
        <v>270</v>
      </c>
      <c r="D160" t="s">
        <v>2203</v>
      </c>
      <c r="E160" t="s">
        <v>3327</v>
      </c>
      <c r="F160" t="s">
        <v>3328</v>
      </c>
      <c r="G160" t="s">
        <v>3329</v>
      </c>
      <c r="I160" t="s">
        <v>3051</v>
      </c>
      <c r="J160" t="s">
        <v>3308</v>
      </c>
      <c r="K160" t="s">
        <v>461</v>
      </c>
    </row>
    <row r="161" spans="1:11" x14ac:dyDescent="0.25">
      <c r="A161" t="s">
        <v>271</v>
      </c>
      <c r="B161" t="s">
        <v>62</v>
      </c>
      <c r="C161" t="s">
        <v>272</v>
      </c>
      <c r="D161" t="s">
        <v>2204</v>
      </c>
      <c r="E161" t="s">
        <v>3330</v>
      </c>
      <c r="F161" t="s">
        <v>3331</v>
      </c>
      <c r="G161" t="s">
        <v>3332</v>
      </c>
      <c r="I161" t="s">
        <v>3051</v>
      </c>
      <c r="J161" t="s">
        <v>3308</v>
      </c>
      <c r="K161" t="s">
        <v>461</v>
      </c>
    </row>
    <row r="162" spans="1:11" x14ac:dyDescent="0.25">
      <c r="A162" t="s">
        <v>273</v>
      </c>
      <c r="B162" t="s">
        <v>62</v>
      </c>
      <c r="C162" t="s">
        <v>274</v>
      </c>
      <c r="D162" t="s">
        <v>2205</v>
      </c>
      <c r="E162" t="s">
        <v>3333</v>
      </c>
      <c r="F162" t="s">
        <v>3334</v>
      </c>
      <c r="G162" t="s">
        <v>274</v>
      </c>
      <c r="I162" t="s">
        <v>3051</v>
      </c>
      <c r="J162" t="s">
        <v>3308</v>
      </c>
      <c r="K162" t="s">
        <v>461</v>
      </c>
    </row>
    <row r="163" spans="1:11" x14ac:dyDescent="0.25">
      <c r="A163" t="s">
        <v>275</v>
      </c>
      <c r="B163" t="s">
        <v>62</v>
      </c>
      <c r="C163" t="s">
        <v>276</v>
      </c>
      <c r="D163" t="s">
        <v>2206</v>
      </c>
      <c r="E163" t="s">
        <v>3335</v>
      </c>
      <c r="F163" t="s">
        <v>3336</v>
      </c>
      <c r="G163" t="s">
        <v>276</v>
      </c>
      <c r="I163" t="s">
        <v>3051</v>
      </c>
      <c r="J163" t="s">
        <v>3308</v>
      </c>
      <c r="K163" t="s">
        <v>461</v>
      </c>
    </row>
    <row r="164" spans="1:11" x14ac:dyDescent="0.25">
      <c r="A164" t="s">
        <v>277</v>
      </c>
      <c r="B164" t="s">
        <v>62</v>
      </c>
      <c r="C164" t="s">
        <v>278</v>
      </c>
      <c r="D164" t="s">
        <v>2207</v>
      </c>
      <c r="E164" t="s">
        <v>3337</v>
      </c>
      <c r="F164" t="s">
        <v>3338</v>
      </c>
      <c r="G164" t="s">
        <v>278</v>
      </c>
      <c r="I164" t="s">
        <v>3051</v>
      </c>
      <c r="J164" t="s">
        <v>3308</v>
      </c>
      <c r="K164" t="s">
        <v>461</v>
      </c>
    </row>
    <row r="165" spans="1:11" x14ac:dyDescent="0.25">
      <c r="A165" t="s">
        <v>279</v>
      </c>
      <c r="B165" t="s">
        <v>62</v>
      </c>
      <c r="C165" t="s">
        <v>280</v>
      </c>
      <c r="D165" t="s">
        <v>2208</v>
      </c>
      <c r="E165" t="s">
        <v>3339</v>
      </c>
      <c r="F165" t="s">
        <v>3340</v>
      </c>
      <c r="G165" t="s">
        <v>3341</v>
      </c>
      <c r="I165" t="s">
        <v>3051</v>
      </c>
      <c r="J165" t="s">
        <v>3308</v>
      </c>
      <c r="K165" t="s">
        <v>461</v>
      </c>
    </row>
    <row r="166" spans="1:11" x14ac:dyDescent="0.25">
      <c r="A166" t="s">
        <v>281</v>
      </c>
      <c r="B166" t="s">
        <v>62</v>
      </c>
      <c r="C166" t="s">
        <v>282</v>
      </c>
      <c r="D166" t="s">
        <v>2209</v>
      </c>
      <c r="E166" t="s">
        <v>3342</v>
      </c>
      <c r="F166" t="s">
        <v>3343</v>
      </c>
      <c r="G166" t="s">
        <v>3344</v>
      </c>
      <c r="I166" t="s">
        <v>3051</v>
      </c>
      <c r="J166" t="s">
        <v>3308</v>
      </c>
      <c r="K166" t="s">
        <v>461</v>
      </c>
    </row>
    <row r="167" spans="1:11" x14ac:dyDescent="0.25">
      <c r="A167" t="s">
        <v>283</v>
      </c>
      <c r="B167" t="s">
        <v>62</v>
      </c>
      <c r="C167" t="s">
        <v>284</v>
      </c>
      <c r="D167" t="s">
        <v>2210</v>
      </c>
      <c r="E167" t="s">
        <v>3345</v>
      </c>
      <c r="F167" t="s">
        <v>3346</v>
      </c>
      <c r="G167" t="s">
        <v>3347</v>
      </c>
      <c r="I167" t="s">
        <v>3051</v>
      </c>
      <c r="J167" t="s">
        <v>3308</v>
      </c>
      <c r="K167" t="s">
        <v>461</v>
      </c>
    </row>
    <row r="168" spans="1:11" x14ac:dyDescent="0.25">
      <c r="A168" t="s">
        <v>285</v>
      </c>
      <c r="B168" t="s">
        <v>62</v>
      </c>
      <c r="C168" t="s">
        <v>286</v>
      </c>
      <c r="D168" t="s">
        <v>2211</v>
      </c>
      <c r="E168" t="s">
        <v>3348</v>
      </c>
      <c r="F168" t="s">
        <v>3349</v>
      </c>
      <c r="G168" t="s">
        <v>3350</v>
      </c>
      <c r="I168" t="s">
        <v>3051</v>
      </c>
      <c r="J168" t="s">
        <v>3308</v>
      </c>
      <c r="K168" t="s">
        <v>461</v>
      </c>
    </row>
    <row r="169" spans="1:11" x14ac:dyDescent="0.25">
      <c r="A169" t="s">
        <v>287</v>
      </c>
      <c r="B169" t="s">
        <v>62</v>
      </c>
      <c r="C169" t="s">
        <v>288</v>
      </c>
      <c r="D169" t="s">
        <v>2212</v>
      </c>
      <c r="E169" t="s">
        <v>3351</v>
      </c>
      <c r="F169" t="s">
        <v>3352</v>
      </c>
      <c r="G169" t="s">
        <v>288</v>
      </c>
      <c r="I169" t="s">
        <v>3051</v>
      </c>
      <c r="J169" t="s">
        <v>3308</v>
      </c>
      <c r="K169" t="s">
        <v>461</v>
      </c>
    </row>
    <row r="170" spans="1:11" x14ac:dyDescent="0.25">
      <c r="A170" t="s">
        <v>289</v>
      </c>
      <c r="B170" t="s">
        <v>62</v>
      </c>
      <c r="C170" t="s">
        <v>290</v>
      </c>
      <c r="D170" t="s">
        <v>2213</v>
      </c>
      <c r="E170" t="s">
        <v>3353</v>
      </c>
      <c r="F170" t="s">
        <v>3354</v>
      </c>
      <c r="G170" t="s">
        <v>290</v>
      </c>
      <c r="I170" t="s">
        <v>3051</v>
      </c>
      <c r="J170" t="s">
        <v>3308</v>
      </c>
      <c r="K170" t="s">
        <v>461</v>
      </c>
    </row>
    <row r="171" spans="1:11" x14ac:dyDescent="0.25">
      <c r="A171" t="s">
        <v>291</v>
      </c>
      <c r="B171" t="s">
        <v>62</v>
      </c>
      <c r="C171" t="s">
        <v>292</v>
      </c>
      <c r="D171" t="s">
        <v>2214</v>
      </c>
      <c r="E171" t="s">
        <v>3355</v>
      </c>
      <c r="F171" t="s">
        <v>3356</v>
      </c>
      <c r="G171" t="s">
        <v>292</v>
      </c>
      <c r="I171" t="s">
        <v>3051</v>
      </c>
      <c r="J171" t="s">
        <v>3308</v>
      </c>
      <c r="K171" t="s">
        <v>461</v>
      </c>
    </row>
    <row r="172" spans="1:11" x14ac:dyDescent="0.25">
      <c r="A172" t="s">
        <v>293</v>
      </c>
      <c r="B172" t="s">
        <v>62</v>
      </c>
      <c r="C172" t="s">
        <v>294</v>
      </c>
      <c r="D172" t="s">
        <v>2215</v>
      </c>
      <c r="E172" t="s">
        <v>3357</v>
      </c>
      <c r="F172" t="s">
        <v>3358</v>
      </c>
      <c r="G172" t="s">
        <v>3359</v>
      </c>
      <c r="I172" t="s">
        <v>3051</v>
      </c>
      <c r="J172" t="s">
        <v>3308</v>
      </c>
      <c r="K172" t="s">
        <v>461</v>
      </c>
    </row>
    <row r="173" spans="1:11" x14ac:dyDescent="0.25">
      <c r="A173" t="s">
        <v>295</v>
      </c>
      <c r="B173" t="s">
        <v>62</v>
      </c>
      <c r="C173" t="s">
        <v>296</v>
      </c>
      <c r="D173" t="s">
        <v>2216</v>
      </c>
      <c r="E173" t="s">
        <v>3360</v>
      </c>
      <c r="F173" t="s">
        <v>3361</v>
      </c>
      <c r="G173" t="s">
        <v>3362</v>
      </c>
      <c r="I173" t="s">
        <v>3051</v>
      </c>
      <c r="J173" t="s">
        <v>3308</v>
      </c>
      <c r="K173" t="s">
        <v>461</v>
      </c>
    </row>
    <row r="174" spans="1:11" x14ac:dyDescent="0.25">
      <c r="A174" t="s">
        <v>297</v>
      </c>
      <c r="B174" t="s">
        <v>62</v>
      </c>
      <c r="C174" t="s">
        <v>298</v>
      </c>
      <c r="D174" t="s">
        <v>2217</v>
      </c>
      <c r="E174" t="s">
        <v>3363</v>
      </c>
      <c r="F174" t="s">
        <v>3364</v>
      </c>
      <c r="G174" t="s">
        <v>3365</v>
      </c>
      <c r="I174" t="s">
        <v>3051</v>
      </c>
      <c r="J174" t="s">
        <v>3308</v>
      </c>
      <c r="K174" t="s">
        <v>461</v>
      </c>
    </row>
    <row r="175" spans="1:11" x14ac:dyDescent="0.25">
      <c r="A175" t="s">
        <v>299</v>
      </c>
      <c r="B175" t="s">
        <v>62</v>
      </c>
      <c r="C175" t="s">
        <v>300</v>
      </c>
      <c r="D175" t="s">
        <v>2218</v>
      </c>
      <c r="E175" t="s">
        <v>3366</v>
      </c>
      <c r="F175" t="s">
        <v>3367</v>
      </c>
      <c r="G175" t="s">
        <v>3368</v>
      </c>
      <c r="I175" t="s">
        <v>3051</v>
      </c>
      <c r="J175" t="s">
        <v>3308</v>
      </c>
      <c r="K175" t="s">
        <v>461</v>
      </c>
    </row>
    <row r="176" spans="1:11" x14ac:dyDescent="0.25">
      <c r="A176" t="s">
        <v>301</v>
      </c>
      <c r="B176" t="s">
        <v>62</v>
      </c>
      <c r="C176" t="s">
        <v>302</v>
      </c>
      <c r="D176" t="s">
        <v>2219</v>
      </c>
      <c r="E176" t="s">
        <v>3369</v>
      </c>
      <c r="F176" t="s">
        <v>3370</v>
      </c>
      <c r="G176" t="s">
        <v>302</v>
      </c>
      <c r="I176" t="s">
        <v>3051</v>
      </c>
      <c r="J176" t="s">
        <v>3308</v>
      </c>
      <c r="K176" t="s">
        <v>461</v>
      </c>
    </row>
    <row r="177" spans="1:11" x14ac:dyDescent="0.25">
      <c r="A177" t="s">
        <v>303</v>
      </c>
      <c r="B177" t="s">
        <v>62</v>
      </c>
      <c r="C177" t="s">
        <v>304</v>
      </c>
      <c r="D177" t="s">
        <v>2220</v>
      </c>
      <c r="E177" t="s">
        <v>3371</v>
      </c>
      <c r="F177" t="s">
        <v>3372</v>
      </c>
      <c r="G177" t="s">
        <v>304</v>
      </c>
      <c r="I177" t="s">
        <v>3051</v>
      </c>
      <c r="J177" t="s">
        <v>3308</v>
      </c>
      <c r="K177" t="s">
        <v>461</v>
      </c>
    </row>
    <row r="178" spans="1:11" x14ac:dyDescent="0.25">
      <c r="A178" t="s">
        <v>305</v>
      </c>
      <c r="B178" t="s">
        <v>62</v>
      </c>
      <c r="C178" t="s">
        <v>306</v>
      </c>
      <c r="D178" t="s">
        <v>2221</v>
      </c>
      <c r="E178" t="s">
        <v>3373</v>
      </c>
      <c r="F178" t="s">
        <v>3374</v>
      </c>
      <c r="G178" t="s">
        <v>306</v>
      </c>
      <c r="I178" t="s">
        <v>3051</v>
      </c>
      <c r="J178" t="s">
        <v>3308</v>
      </c>
      <c r="K178" t="s">
        <v>461</v>
      </c>
    </row>
    <row r="179" spans="1:11" x14ac:dyDescent="0.25">
      <c r="A179" t="s">
        <v>307</v>
      </c>
      <c r="B179" t="s">
        <v>62</v>
      </c>
      <c r="C179" t="s">
        <v>308</v>
      </c>
      <c r="D179" t="s">
        <v>2222</v>
      </c>
      <c r="E179" t="s">
        <v>3375</v>
      </c>
      <c r="F179" t="s">
        <v>3376</v>
      </c>
      <c r="G179" t="s">
        <v>3377</v>
      </c>
      <c r="I179" t="s">
        <v>3051</v>
      </c>
      <c r="J179" t="s">
        <v>3308</v>
      </c>
      <c r="K179" t="s">
        <v>461</v>
      </c>
    </row>
    <row r="180" spans="1:11" x14ac:dyDescent="0.25">
      <c r="A180" t="s">
        <v>309</v>
      </c>
      <c r="B180" t="s">
        <v>62</v>
      </c>
      <c r="C180" t="s">
        <v>310</v>
      </c>
      <c r="D180" t="s">
        <v>2223</v>
      </c>
      <c r="E180" t="s">
        <v>3378</v>
      </c>
      <c r="F180" t="s">
        <v>3379</v>
      </c>
      <c r="G180" t="s">
        <v>3380</v>
      </c>
      <c r="I180" t="s">
        <v>3051</v>
      </c>
      <c r="J180" t="s">
        <v>3308</v>
      </c>
      <c r="K180" t="s">
        <v>461</v>
      </c>
    </row>
    <row r="181" spans="1:11" x14ac:dyDescent="0.25">
      <c r="A181" t="s">
        <v>311</v>
      </c>
      <c r="B181" t="s">
        <v>62</v>
      </c>
      <c r="C181" t="s">
        <v>312</v>
      </c>
      <c r="D181" t="s">
        <v>2224</v>
      </c>
      <c r="E181" t="s">
        <v>3381</v>
      </c>
      <c r="F181" t="s">
        <v>3382</v>
      </c>
      <c r="G181" t="s">
        <v>3383</v>
      </c>
      <c r="I181" t="s">
        <v>3051</v>
      </c>
      <c r="J181" t="s">
        <v>3308</v>
      </c>
      <c r="K181" t="s">
        <v>461</v>
      </c>
    </row>
    <row r="182" spans="1:11" x14ac:dyDescent="0.25">
      <c r="A182" t="s">
        <v>313</v>
      </c>
      <c r="B182" t="s">
        <v>62</v>
      </c>
      <c r="C182" t="s">
        <v>314</v>
      </c>
      <c r="D182" t="s">
        <v>2225</v>
      </c>
      <c r="E182" t="s">
        <v>3384</v>
      </c>
      <c r="F182" t="s">
        <v>3385</v>
      </c>
      <c r="G182" t="s">
        <v>3386</v>
      </c>
      <c r="I182" t="s">
        <v>3051</v>
      </c>
      <c r="J182" t="s">
        <v>3308</v>
      </c>
      <c r="K182" t="s">
        <v>461</v>
      </c>
    </row>
    <row r="183" spans="1:11" x14ac:dyDescent="0.25">
      <c r="A183" t="s">
        <v>315</v>
      </c>
      <c r="B183" t="s">
        <v>62</v>
      </c>
      <c r="C183" t="s">
        <v>316</v>
      </c>
      <c r="D183" t="s">
        <v>2226</v>
      </c>
      <c r="E183" t="s">
        <v>3387</v>
      </c>
      <c r="F183" t="s">
        <v>3388</v>
      </c>
      <c r="G183" t="s">
        <v>3389</v>
      </c>
      <c r="I183" t="s">
        <v>3051</v>
      </c>
      <c r="J183" t="s">
        <v>3308</v>
      </c>
      <c r="K183" t="s">
        <v>461</v>
      </c>
    </row>
    <row r="184" spans="1:11" x14ac:dyDescent="0.25">
      <c r="A184" t="s">
        <v>317</v>
      </c>
      <c r="B184" t="s">
        <v>62</v>
      </c>
      <c r="C184" t="s">
        <v>318</v>
      </c>
      <c r="D184" t="s">
        <v>2227</v>
      </c>
      <c r="E184" t="s">
        <v>3390</v>
      </c>
      <c r="F184" t="s">
        <v>3391</v>
      </c>
      <c r="G184" t="s">
        <v>3392</v>
      </c>
      <c r="I184" t="s">
        <v>3051</v>
      </c>
      <c r="J184" t="s">
        <v>3308</v>
      </c>
      <c r="K184" t="s">
        <v>461</v>
      </c>
    </row>
    <row r="185" spans="1:11" x14ac:dyDescent="0.25">
      <c r="A185" t="s">
        <v>319</v>
      </c>
      <c r="B185" t="s">
        <v>62</v>
      </c>
      <c r="C185" t="s">
        <v>320</v>
      </c>
      <c r="D185" t="s">
        <v>2228</v>
      </c>
      <c r="E185" t="s">
        <v>3393</v>
      </c>
      <c r="F185" t="s">
        <v>3394</v>
      </c>
      <c r="G185" t="s">
        <v>3395</v>
      </c>
      <c r="I185" t="s">
        <v>3051</v>
      </c>
      <c r="J185" t="s">
        <v>3308</v>
      </c>
      <c r="K185" t="s">
        <v>461</v>
      </c>
    </row>
    <row r="186" spans="1:11" x14ac:dyDescent="0.25">
      <c r="A186" t="s">
        <v>321</v>
      </c>
      <c r="B186" t="s">
        <v>62</v>
      </c>
      <c r="C186" t="s">
        <v>322</v>
      </c>
      <c r="D186" t="s">
        <v>2229</v>
      </c>
      <c r="E186" t="s">
        <v>3396</v>
      </c>
      <c r="F186" t="s">
        <v>3397</v>
      </c>
      <c r="G186" t="s">
        <v>3398</v>
      </c>
      <c r="I186" t="s">
        <v>3051</v>
      </c>
      <c r="J186" t="s">
        <v>3308</v>
      </c>
      <c r="K186" t="s">
        <v>461</v>
      </c>
    </row>
    <row r="187" spans="1:11" x14ac:dyDescent="0.25">
      <c r="A187" t="s">
        <v>323</v>
      </c>
      <c r="B187" t="s">
        <v>62</v>
      </c>
      <c r="C187" t="s">
        <v>324</v>
      </c>
      <c r="D187" t="s">
        <v>2230</v>
      </c>
      <c r="E187" t="s">
        <v>3399</v>
      </c>
      <c r="F187" t="s">
        <v>3400</v>
      </c>
      <c r="G187" t="s">
        <v>3401</v>
      </c>
      <c r="I187" t="s">
        <v>3051</v>
      </c>
      <c r="J187" t="s">
        <v>3308</v>
      </c>
      <c r="K187" t="s">
        <v>461</v>
      </c>
    </row>
    <row r="188" spans="1:11" x14ac:dyDescent="0.25">
      <c r="A188" t="s">
        <v>325</v>
      </c>
      <c r="B188" t="s">
        <v>62</v>
      </c>
      <c r="C188" t="s">
        <v>326</v>
      </c>
      <c r="D188" t="s">
        <v>2231</v>
      </c>
      <c r="E188" t="s">
        <v>3402</v>
      </c>
      <c r="F188" t="s">
        <v>3403</v>
      </c>
      <c r="G188" t="s">
        <v>3404</v>
      </c>
      <c r="I188" t="s">
        <v>3051</v>
      </c>
      <c r="J188" t="s">
        <v>3308</v>
      </c>
      <c r="K188" t="s">
        <v>461</v>
      </c>
    </row>
    <row r="189" spans="1:11" x14ac:dyDescent="0.25">
      <c r="A189" t="s">
        <v>327</v>
      </c>
      <c r="B189" t="s">
        <v>62</v>
      </c>
      <c r="C189" t="s">
        <v>328</v>
      </c>
      <c r="D189" t="s">
        <v>2232</v>
      </c>
      <c r="E189" t="s">
        <v>3405</v>
      </c>
      <c r="F189" t="s">
        <v>3406</v>
      </c>
      <c r="G189" t="s">
        <v>3407</v>
      </c>
      <c r="I189" t="s">
        <v>3051</v>
      </c>
      <c r="J189" t="s">
        <v>3308</v>
      </c>
      <c r="K189" t="s">
        <v>461</v>
      </c>
    </row>
    <row r="190" spans="1:11" x14ac:dyDescent="0.25">
      <c r="A190" t="s">
        <v>329</v>
      </c>
      <c r="B190" t="s">
        <v>62</v>
      </c>
      <c r="C190" t="s">
        <v>330</v>
      </c>
      <c r="D190" t="s">
        <v>2233</v>
      </c>
      <c r="E190" t="s">
        <v>3408</v>
      </c>
      <c r="F190" t="s">
        <v>3409</v>
      </c>
      <c r="G190" t="s">
        <v>330</v>
      </c>
      <c r="I190" t="s">
        <v>3051</v>
      </c>
      <c r="J190" t="s">
        <v>3308</v>
      </c>
      <c r="K190" t="s">
        <v>461</v>
      </c>
    </row>
    <row r="191" spans="1:11" x14ac:dyDescent="0.25">
      <c r="A191" t="s">
        <v>331</v>
      </c>
      <c r="B191" t="s">
        <v>62</v>
      </c>
      <c r="C191" t="s">
        <v>332</v>
      </c>
      <c r="D191" t="s">
        <v>2234</v>
      </c>
      <c r="E191" t="s">
        <v>3410</v>
      </c>
      <c r="F191" t="s">
        <v>3411</v>
      </c>
      <c r="G191" t="s">
        <v>332</v>
      </c>
      <c r="I191" t="s">
        <v>3051</v>
      </c>
      <c r="J191" t="s">
        <v>3308</v>
      </c>
      <c r="K191" t="s">
        <v>461</v>
      </c>
    </row>
    <row r="192" spans="1:11" x14ac:dyDescent="0.25">
      <c r="A192" t="s">
        <v>333</v>
      </c>
      <c r="B192" t="s">
        <v>62</v>
      </c>
      <c r="C192" t="s">
        <v>334</v>
      </c>
      <c r="D192" t="s">
        <v>2235</v>
      </c>
      <c r="E192" t="s">
        <v>3412</v>
      </c>
      <c r="F192" t="s">
        <v>3413</v>
      </c>
      <c r="G192" t="s">
        <v>334</v>
      </c>
      <c r="I192" t="s">
        <v>3051</v>
      </c>
      <c r="J192" t="s">
        <v>3308</v>
      </c>
      <c r="K192" t="s">
        <v>461</v>
      </c>
    </row>
    <row r="193" spans="1:11" x14ac:dyDescent="0.25">
      <c r="A193" t="s">
        <v>335</v>
      </c>
      <c r="B193" t="s">
        <v>62</v>
      </c>
      <c r="C193" t="s">
        <v>162</v>
      </c>
      <c r="D193" t="s">
        <v>2236</v>
      </c>
      <c r="E193" t="s">
        <v>3414</v>
      </c>
      <c r="F193" t="s">
        <v>3415</v>
      </c>
      <c r="G193" t="s">
        <v>3416</v>
      </c>
      <c r="I193" t="s">
        <v>3051</v>
      </c>
      <c r="J193" t="s">
        <v>3308</v>
      </c>
      <c r="K193" t="s">
        <v>461</v>
      </c>
    </row>
    <row r="194" spans="1:11" x14ac:dyDescent="0.25">
      <c r="A194" t="s">
        <v>336</v>
      </c>
      <c r="B194" t="s">
        <v>62</v>
      </c>
      <c r="C194" t="s">
        <v>337</v>
      </c>
      <c r="D194" t="s">
        <v>2237</v>
      </c>
      <c r="E194" t="s">
        <v>3417</v>
      </c>
      <c r="F194" t="s">
        <v>3418</v>
      </c>
      <c r="G194" t="s">
        <v>3419</v>
      </c>
      <c r="I194" t="s">
        <v>3051</v>
      </c>
      <c r="J194" t="s">
        <v>3308</v>
      </c>
      <c r="K194" t="s">
        <v>461</v>
      </c>
    </row>
    <row r="195" spans="1:11" x14ac:dyDescent="0.25">
      <c r="A195" t="s">
        <v>338</v>
      </c>
      <c r="B195" t="s">
        <v>62</v>
      </c>
      <c r="C195" t="s">
        <v>339</v>
      </c>
      <c r="D195" t="s">
        <v>2238</v>
      </c>
      <c r="E195" t="s">
        <v>3420</v>
      </c>
      <c r="F195" t="s">
        <v>3421</v>
      </c>
      <c r="G195" t="s">
        <v>3422</v>
      </c>
      <c r="I195" t="s">
        <v>3051</v>
      </c>
      <c r="J195" t="s">
        <v>3308</v>
      </c>
      <c r="K195" t="s">
        <v>461</v>
      </c>
    </row>
    <row r="196" spans="1:11" x14ac:dyDescent="0.25">
      <c r="A196" t="s">
        <v>340</v>
      </c>
      <c r="B196" t="s">
        <v>62</v>
      </c>
      <c r="C196" t="s">
        <v>341</v>
      </c>
      <c r="D196" t="s">
        <v>2239</v>
      </c>
      <c r="E196" t="s">
        <v>3423</v>
      </c>
      <c r="F196" t="s">
        <v>3424</v>
      </c>
      <c r="G196" t="s">
        <v>3425</v>
      </c>
      <c r="I196" t="s">
        <v>3051</v>
      </c>
      <c r="J196" t="s">
        <v>3308</v>
      </c>
      <c r="K196" t="s">
        <v>461</v>
      </c>
    </row>
    <row r="197" spans="1:11" x14ac:dyDescent="0.25">
      <c r="A197" t="s">
        <v>342</v>
      </c>
      <c r="B197" t="s">
        <v>62</v>
      </c>
      <c r="C197" t="s">
        <v>343</v>
      </c>
      <c r="D197" t="s">
        <v>2240</v>
      </c>
      <c r="E197" t="s">
        <v>3426</v>
      </c>
      <c r="F197" t="s">
        <v>3427</v>
      </c>
      <c r="G197" t="s">
        <v>3428</v>
      </c>
      <c r="I197" t="s">
        <v>3051</v>
      </c>
      <c r="J197" t="s">
        <v>3308</v>
      </c>
      <c r="K197" t="s">
        <v>461</v>
      </c>
    </row>
    <row r="198" spans="1:11" x14ac:dyDescent="0.25">
      <c r="A198" t="s">
        <v>344</v>
      </c>
      <c r="B198" t="s">
        <v>62</v>
      </c>
      <c r="C198" t="s">
        <v>345</v>
      </c>
      <c r="D198" t="s">
        <v>2241</v>
      </c>
      <c r="E198" t="s">
        <v>3429</v>
      </c>
      <c r="F198" t="s">
        <v>3430</v>
      </c>
      <c r="G198" t="s">
        <v>3431</v>
      </c>
      <c r="I198" t="s">
        <v>3051</v>
      </c>
      <c r="J198" t="s">
        <v>3308</v>
      </c>
      <c r="K198" t="s">
        <v>461</v>
      </c>
    </row>
    <row r="199" spans="1:11" x14ac:dyDescent="0.25">
      <c r="A199" t="s">
        <v>346</v>
      </c>
      <c r="B199" t="s">
        <v>62</v>
      </c>
      <c r="C199" t="s">
        <v>347</v>
      </c>
      <c r="D199" t="s">
        <v>2242</v>
      </c>
      <c r="E199" t="s">
        <v>3432</v>
      </c>
      <c r="F199" t="s">
        <v>3433</v>
      </c>
      <c r="G199" t="s">
        <v>3434</v>
      </c>
      <c r="I199" t="s">
        <v>3051</v>
      </c>
      <c r="J199" t="s">
        <v>3308</v>
      </c>
      <c r="K199" t="s">
        <v>461</v>
      </c>
    </row>
    <row r="200" spans="1:11" x14ac:dyDescent="0.25">
      <c r="A200" t="s">
        <v>348</v>
      </c>
      <c r="B200" t="s">
        <v>62</v>
      </c>
      <c r="C200" t="s">
        <v>349</v>
      </c>
      <c r="D200" t="s">
        <v>2243</v>
      </c>
      <c r="E200" t="s">
        <v>3435</v>
      </c>
      <c r="F200" t="s">
        <v>3436</v>
      </c>
      <c r="G200" t="s">
        <v>3437</v>
      </c>
      <c r="I200" t="s">
        <v>3051</v>
      </c>
      <c r="J200" t="s">
        <v>3308</v>
      </c>
      <c r="K200" t="s">
        <v>461</v>
      </c>
    </row>
    <row r="201" spans="1:11" x14ac:dyDescent="0.25">
      <c r="A201" t="s">
        <v>350</v>
      </c>
      <c r="B201" t="s">
        <v>38</v>
      </c>
      <c r="C201" t="s">
        <v>351</v>
      </c>
      <c r="D201" t="s">
        <v>2244</v>
      </c>
      <c r="E201" t="s">
        <v>3438</v>
      </c>
      <c r="F201" t="s">
        <v>3439</v>
      </c>
      <c r="G201" t="s">
        <v>3440</v>
      </c>
      <c r="I201" t="s">
        <v>3051</v>
      </c>
      <c r="J201" t="s">
        <v>3308</v>
      </c>
      <c r="K201" t="s">
        <v>461</v>
      </c>
    </row>
    <row r="202" spans="1:11" x14ac:dyDescent="0.25">
      <c r="A202" t="s">
        <v>352</v>
      </c>
      <c r="B202" t="s">
        <v>62</v>
      </c>
      <c r="C202" t="s">
        <v>353</v>
      </c>
      <c r="D202" t="s">
        <v>2245</v>
      </c>
      <c r="E202" t="s">
        <v>3441</v>
      </c>
      <c r="F202" t="s">
        <v>3442</v>
      </c>
      <c r="G202" t="s">
        <v>3443</v>
      </c>
      <c r="I202" t="s">
        <v>3051</v>
      </c>
      <c r="J202" t="s">
        <v>3308</v>
      </c>
      <c r="K202" t="s">
        <v>461</v>
      </c>
    </row>
    <row r="203" spans="1:11" x14ac:dyDescent="0.25">
      <c r="A203" t="s">
        <v>354</v>
      </c>
      <c r="B203" t="s">
        <v>62</v>
      </c>
      <c r="C203" t="s">
        <v>355</v>
      </c>
      <c r="D203" t="s">
        <v>2246</v>
      </c>
      <c r="E203" t="s">
        <v>3444</v>
      </c>
      <c r="F203" t="s">
        <v>3445</v>
      </c>
      <c r="G203" t="s">
        <v>3446</v>
      </c>
      <c r="I203" t="s">
        <v>3051</v>
      </c>
      <c r="J203" t="s">
        <v>3308</v>
      </c>
      <c r="K203" t="s">
        <v>461</v>
      </c>
    </row>
    <row r="204" spans="1:11" x14ac:dyDescent="0.25">
      <c r="A204" t="s">
        <v>356</v>
      </c>
      <c r="B204" t="s">
        <v>62</v>
      </c>
      <c r="C204" t="s">
        <v>357</v>
      </c>
      <c r="D204" t="s">
        <v>2247</v>
      </c>
      <c r="E204" t="s">
        <v>3447</v>
      </c>
      <c r="F204" t="s">
        <v>3448</v>
      </c>
      <c r="G204" t="s">
        <v>3449</v>
      </c>
      <c r="I204" t="s">
        <v>3051</v>
      </c>
      <c r="J204" t="s">
        <v>3308</v>
      </c>
      <c r="K204" t="s">
        <v>461</v>
      </c>
    </row>
    <row r="205" spans="1:11" x14ac:dyDescent="0.25">
      <c r="A205" t="s">
        <v>358</v>
      </c>
      <c r="B205" t="s">
        <v>62</v>
      </c>
      <c r="C205" t="s">
        <v>359</v>
      </c>
      <c r="D205" t="s">
        <v>2248</v>
      </c>
      <c r="E205" t="s">
        <v>3450</v>
      </c>
      <c r="F205" t="s">
        <v>3451</v>
      </c>
      <c r="G205" t="s">
        <v>3452</v>
      </c>
      <c r="I205" t="s">
        <v>3051</v>
      </c>
      <c r="J205" t="s">
        <v>3308</v>
      </c>
      <c r="K205" t="s">
        <v>461</v>
      </c>
    </row>
    <row r="206" spans="1:11" x14ac:dyDescent="0.25">
      <c r="A206" t="s">
        <v>360</v>
      </c>
      <c r="B206" t="s">
        <v>62</v>
      </c>
      <c r="C206" t="s">
        <v>361</v>
      </c>
      <c r="D206" t="s">
        <v>2249</v>
      </c>
      <c r="E206" t="s">
        <v>3453</v>
      </c>
      <c r="F206" t="s">
        <v>3454</v>
      </c>
      <c r="G206" t="s">
        <v>3455</v>
      </c>
      <c r="I206" t="s">
        <v>3051</v>
      </c>
      <c r="J206" t="s">
        <v>3308</v>
      </c>
      <c r="K206" t="s">
        <v>461</v>
      </c>
    </row>
    <row r="207" spans="1:11" x14ac:dyDescent="0.25">
      <c r="A207" t="s">
        <v>362</v>
      </c>
      <c r="B207" t="s">
        <v>62</v>
      </c>
      <c r="C207" t="s">
        <v>363</v>
      </c>
      <c r="D207" t="s">
        <v>2250</v>
      </c>
      <c r="E207" t="s">
        <v>3456</v>
      </c>
      <c r="F207" t="s">
        <v>3457</v>
      </c>
      <c r="G207" t="s">
        <v>3458</v>
      </c>
      <c r="I207" t="s">
        <v>3051</v>
      </c>
      <c r="J207" t="s">
        <v>3308</v>
      </c>
      <c r="K207" t="s">
        <v>461</v>
      </c>
    </row>
    <row r="208" spans="1:11" x14ac:dyDescent="0.25">
      <c r="A208" t="s">
        <v>364</v>
      </c>
      <c r="B208" t="s">
        <v>62</v>
      </c>
      <c r="C208" t="s">
        <v>365</v>
      </c>
      <c r="D208" t="s">
        <v>2251</v>
      </c>
      <c r="E208" t="s">
        <v>3459</v>
      </c>
      <c r="F208" t="s">
        <v>3460</v>
      </c>
      <c r="G208" t="s">
        <v>3461</v>
      </c>
      <c r="I208" t="s">
        <v>3051</v>
      </c>
      <c r="J208" t="s">
        <v>3308</v>
      </c>
      <c r="K208" t="s">
        <v>461</v>
      </c>
    </row>
    <row r="209" spans="1:11" x14ac:dyDescent="0.25">
      <c r="A209" t="s">
        <v>366</v>
      </c>
      <c r="B209" t="s">
        <v>62</v>
      </c>
      <c r="C209" t="s">
        <v>154</v>
      </c>
      <c r="D209" t="s">
        <v>2252</v>
      </c>
      <c r="E209" t="s">
        <v>3462</v>
      </c>
      <c r="F209" t="s">
        <v>3463</v>
      </c>
      <c r="G209" t="s">
        <v>3464</v>
      </c>
      <c r="I209" t="s">
        <v>3051</v>
      </c>
      <c r="J209" t="s">
        <v>3308</v>
      </c>
      <c r="K209" t="s">
        <v>461</v>
      </c>
    </row>
    <row r="210" spans="1:11" x14ac:dyDescent="0.25">
      <c r="A210" t="s">
        <v>367</v>
      </c>
      <c r="B210" t="s">
        <v>62</v>
      </c>
      <c r="C210" t="s">
        <v>156</v>
      </c>
      <c r="D210" t="s">
        <v>2253</v>
      </c>
      <c r="E210" t="s">
        <v>3465</v>
      </c>
      <c r="F210" t="s">
        <v>3466</v>
      </c>
      <c r="G210" t="s">
        <v>3467</v>
      </c>
      <c r="I210" t="s">
        <v>3051</v>
      </c>
      <c r="J210" t="s">
        <v>3308</v>
      </c>
      <c r="K210" t="s">
        <v>461</v>
      </c>
    </row>
    <row r="211" spans="1:11" x14ac:dyDescent="0.25">
      <c r="A211" t="s">
        <v>368</v>
      </c>
      <c r="B211" t="s">
        <v>62</v>
      </c>
      <c r="C211" t="s">
        <v>158</v>
      </c>
      <c r="D211" t="s">
        <v>2254</v>
      </c>
      <c r="E211" t="s">
        <v>3468</v>
      </c>
      <c r="F211" t="s">
        <v>3469</v>
      </c>
      <c r="G211" t="s">
        <v>3470</v>
      </c>
      <c r="I211" t="s">
        <v>3051</v>
      </c>
      <c r="J211" t="s">
        <v>3308</v>
      </c>
      <c r="K211" t="s">
        <v>461</v>
      </c>
    </row>
    <row r="212" spans="1:11" x14ac:dyDescent="0.25">
      <c r="A212" t="s">
        <v>369</v>
      </c>
      <c r="B212" t="s">
        <v>62</v>
      </c>
      <c r="C212" t="s">
        <v>160</v>
      </c>
      <c r="D212" t="s">
        <v>2255</v>
      </c>
      <c r="E212" t="s">
        <v>3471</v>
      </c>
      <c r="F212" t="s">
        <v>3472</v>
      </c>
      <c r="G212" t="s">
        <v>3473</v>
      </c>
      <c r="I212" t="s">
        <v>3051</v>
      </c>
      <c r="J212" t="s">
        <v>3308</v>
      </c>
      <c r="K212" t="s">
        <v>461</v>
      </c>
    </row>
    <row r="213" spans="1:11" x14ac:dyDescent="0.25">
      <c r="A213" t="s">
        <v>370</v>
      </c>
      <c r="B213" t="s">
        <v>62</v>
      </c>
      <c r="C213" t="s">
        <v>162</v>
      </c>
      <c r="D213" t="s">
        <v>2256</v>
      </c>
      <c r="E213" t="s">
        <v>3474</v>
      </c>
      <c r="F213" t="s">
        <v>3475</v>
      </c>
      <c r="G213" t="s">
        <v>3476</v>
      </c>
      <c r="I213" t="s">
        <v>3051</v>
      </c>
      <c r="J213" t="s">
        <v>3308</v>
      </c>
      <c r="K213" t="s">
        <v>461</v>
      </c>
    </row>
    <row r="214" spans="1:11" x14ac:dyDescent="0.25">
      <c r="A214" t="s">
        <v>371</v>
      </c>
      <c r="B214" t="s">
        <v>62</v>
      </c>
      <c r="C214" t="s">
        <v>164</v>
      </c>
      <c r="D214" t="s">
        <v>2257</v>
      </c>
      <c r="E214" t="s">
        <v>3477</v>
      </c>
      <c r="F214" t="s">
        <v>3478</v>
      </c>
      <c r="G214" t="s">
        <v>3479</v>
      </c>
      <c r="I214" t="s">
        <v>3051</v>
      </c>
      <c r="J214" t="s">
        <v>3308</v>
      </c>
      <c r="K214" t="s">
        <v>461</v>
      </c>
    </row>
    <row r="215" spans="1:11" x14ac:dyDescent="0.25">
      <c r="A215" t="s">
        <v>372</v>
      </c>
      <c r="B215" t="s">
        <v>62</v>
      </c>
      <c r="C215" t="s">
        <v>2963</v>
      </c>
      <c r="D215" t="s">
        <v>2258</v>
      </c>
      <c r="E215" t="s">
        <v>3480</v>
      </c>
      <c r="F215" t="s">
        <v>3481</v>
      </c>
      <c r="G215" t="s">
        <v>3482</v>
      </c>
      <c r="I215" t="s">
        <v>3051</v>
      </c>
      <c r="J215" t="s">
        <v>3308</v>
      </c>
      <c r="K215" t="s">
        <v>461</v>
      </c>
    </row>
    <row r="216" spans="1:11" x14ac:dyDescent="0.25">
      <c r="A216" t="s">
        <v>3035</v>
      </c>
      <c r="B216" t="s">
        <v>3035</v>
      </c>
      <c r="C216" t="s">
        <v>2948</v>
      </c>
      <c r="D216" t="s">
        <v>3483</v>
      </c>
      <c r="I216" t="s">
        <v>3035</v>
      </c>
      <c r="J216" t="s">
        <v>3035</v>
      </c>
      <c r="K216" t="s">
        <v>463</v>
      </c>
    </row>
    <row r="217" spans="1:11" x14ac:dyDescent="0.25">
      <c r="A217" t="s">
        <v>373</v>
      </c>
      <c r="B217" t="s">
        <v>62</v>
      </c>
      <c r="C217" t="s">
        <v>374</v>
      </c>
      <c r="D217" t="s">
        <v>2259</v>
      </c>
      <c r="E217" t="s">
        <v>3484</v>
      </c>
      <c r="F217" t="s">
        <v>3485</v>
      </c>
      <c r="G217" t="s">
        <v>3063</v>
      </c>
      <c r="I217" t="s">
        <v>3051</v>
      </c>
      <c r="J217" t="s">
        <v>3486</v>
      </c>
      <c r="K217" t="s">
        <v>463</v>
      </c>
    </row>
    <row r="218" spans="1:11" x14ac:dyDescent="0.25">
      <c r="A218" t="s">
        <v>375</v>
      </c>
      <c r="B218" t="s">
        <v>62</v>
      </c>
      <c r="C218" t="s">
        <v>376</v>
      </c>
      <c r="D218" t="s">
        <v>2260</v>
      </c>
      <c r="E218" t="s">
        <v>3487</v>
      </c>
      <c r="F218" t="s">
        <v>3488</v>
      </c>
      <c r="G218" t="s">
        <v>3489</v>
      </c>
      <c r="I218" t="s">
        <v>3051</v>
      </c>
      <c r="J218" t="s">
        <v>3486</v>
      </c>
      <c r="K218" t="s">
        <v>463</v>
      </c>
    </row>
    <row r="219" spans="1:11" x14ac:dyDescent="0.25">
      <c r="A219" t="s">
        <v>377</v>
      </c>
      <c r="B219" t="s">
        <v>62</v>
      </c>
      <c r="C219" t="s">
        <v>378</v>
      </c>
      <c r="D219" t="s">
        <v>2261</v>
      </c>
      <c r="E219" t="s">
        <v>3490</v>
      </c>
      <c r="F219" t="s">
        <v>3491</v>
      </c>
      <c r="G219" t="s">
        <v>3492</v>
      </c>
      <c r="I219" t="s">
        <v>3051</v>
      </c>
      <c r="J219" t="s">
        <v>3486</v>
      </c>
      <c r="K219" t="s">
        <v>463</v>
      </c>
    </row>
    <row r="220" spans="1:11" x14ac:dyDescent="0.25">
      <c r="A220" t="s">
        <v>379</v>
      </c>
      <c r="B220" t="s">
        <v>62</v>
      </c>
      <c r="C220" t="s">
        <v>380</v>
      </c>
      <c r="D220" t="s">
        <v>2262</v>
      </c>
      <c r="E220" t="s">
        <v>3493</v>
      </c>
      <c r="F220" t="s">
        <v>3494</v>
      </c>
      <c r="G220" t="s">
        <v>380</v>
      </c>
      <c r="I220" t="s">
        <v>3051</v>
      </c>
      <c r="J220" t="s">
        <v>3486</v>
      </c>
      <c r="K220" t="s">
        <v>463</v>
      </c>
    </row>
    <row r="221" spans="1:11" x14ac:dyDescent="0.25">
      <c r="A221" t="s">
        <v>381</v>
      </c>
      <c r="B221" t="s">
        <v>62</v>
      </c>
      <c r="C221" t="s">
        <v>382</v>
      </c>
      <c r="D221" t="s">
        <v>2263</v>
      </c>
      <c r="E221" t="s">
        <v>3495</v>
      </c>
      <c r="F221" t="s">
        <v>3496</v>
      </c>
      <c r="G221" t="s">
        <v>382</v>
      </c>
      <c r="I221" t="s">
        <v>3051</v>
      </c>
      <c r="J221" t="s">
        <v>3486</v>
      </c>
      <c r="K221" t="s">
        <v>463</v>
      </c>
    </row>
    <row r="222" spans="1:11" x14ac:dyDescent="0.25">
      <c r="A222" t="s">
        <v>383</v>
      </c>
      <c r="B222" t="s">
        <v>62</v>
      </c>
      <c r="C222" t="s">
        <v>384</v>
      </c>
      <c r="D222" t="s">
        <v>2264</v>
      </c>
      <c r="E222" t="s">
        <v>3497</v>
      </c>
      <c r="F222" t="s">
        <v>3498</v>
      </c>
      <c r="G222" t="s">
        <v>3077</v>
      </c>
      <c r="I222" t="s">
        <v>3051</v>
      </c>
      <c r="J222" t="s">
        <v>3486</v>
      </c>
      <c r="K222" t="s">
        <v>463</v>
      </c>
    </row>
    <row r="223" spans="1:11" x14ac:dyDescent="0.25">
      <c r="A223" t="s">
        <v>385</v>
      </c>
      <c r="B223" t="s">
        <v>62</v>
      </c>
      <c r="C223" t="s">
        <v>386</v>
      </c>
      <c r="D223" t="s">
        <v>2265</v>
      </c>
      <c r="E223" t="s">
        <v>3499</v>
      </c>
      <c r="F223" t="s">
        <v>3500</v>
      </c>
      <c r="G223" t="s">
        <v>3080</v>
      </c>
      <c r="I223" t="s">
        <v>3051</v>
      </c>
      <c r="J223" t="s">
        <v>3486</v>
      </c>
      <c r="K223" t="s">
        <v>463</v>
      </c>
    </row>
    <row r="224" spans="1:11" x14ac:dyDescent="0.25">
      <c r="A224" t="s">
        <v>387</v>
      </c>
      <c r="B224" t="s">
        <v>62</v>
      </c>
      <c r="C224" t="s">
        <v>388</v>
      </c>
      <c r="D224" t="s">
        <v>2266</v>
      </c>
      <c r="E224" t="s">
        <v>3501</v>
      </c>
      <c r="F224" t="s">
        <v>3502</v>
      </c>
      <c r="G224" t="s">
        <v>3083</v>
      </c>
      <c r="I224" t="s">
        <v>3051</v>
      </c>
      <c r="J224" t="s">
        <v>3486</v>
      </c>
      <c r="K224" t="s">
        <v>463</v>
      </c>
    </row>
    <row r="225" spans="1:11" x14ac:dyDescent="0.25">
      <c r="A225" t="s">
        <v>389</v>
      </c>
      <c r="B225" t="s">
        <v>62</v>
      </c>
      <c r="C225" t="s">
        <v>390</v>
      </c>
      <c r="D225" t="s">
        <v>2267</v>
      </c>
      <c r="E225" t="s">
        <v>3503</v>
      </c>
      <c r="F225" t="s">
        <v>3504</v>
      </c>
      <c r="G225" t="s">
        <v>3505</v>
      </c>
      <c r="I225" t="s">
        <v>3051</v>
      </c>
      <c r="J225" t="s">
        <v>3486</v>
      </c>
      <c r="K225" t="s">
        <v>463</v>
      </c>
    </row>
    <row r="226" spans="1:11" x14ac:dyDescent="0.25">
      <c r="A226" t="s">
        <v>391</v>
      </c>
      <c r="B226" t="s">
        <v>62</v>
      </c>
      <c r="C226" t="s">
        <v>392</v>
      </c>
      <c r="D226" t="s">
        <v>2268</v>
      </c>
      <c r="E226" t="s">
        <v>3506</v>
      </c>
      <c r="F226" t="s">
        <v>3507</v>
      </c>
      <c r="G226" t="s">
        <v>3508</v>
      </c>
      <c r="I226" t="s">
        <v>3051</v>
      </c>
      <c r="J226" t="s">
        <v>3486</v>
      </c>
      <c r="K226" t="s">
        <v>463</v>
      </c>
    </row>
    <row r="227" spans="1:11" x14ac:dyDescent="0.25">
      <c r="A227" t="s">
        <v>393</v>
      </c>
      <c r="B227" t="s">
        <v>62</v>
      </c>
      <c r="C227" t="s">
        <v>394</v>
      </c>
      <c r="D227" t="s">
        <v>2269</v>
      </c>
      <c r="E227" t="s">
        <v>3509</v>
      </c>
      <c r="F227" t="s">
        <v>3510</v>
      </c>
      <c r="G227" t="s">
        <v>3092</v>
      </c>
      <c r="I227" t="s">
        <v>3051</v>
      </c>
      <c r="J227" t="s">
        <v>3486</v>
      </c>
      <c r="K227" t="s">
        <v>463</v>
      </c>
    </row>
    <row r="228" spans="1:11" x14ac:dyDescent="0.25">
      <c r="A228" t="s">
        <v>395</v>
      </c>
      <c r="B228" t="s">
        <v>62</v>
      </c>
      <c r="C228" t="s">
        <v>396</v>
      </c>
      <c r="D228" t="s">
        <v>2270</v>
      </c>
      <c r="E228" t="s">
        <v>3511</v>
      </c>
      <c r="F228" t="s">
        <v>3512</v>
      </c>
      <c r="G228" t="s">
        <v>396</v>
      </c>
      <c r="I228" t="s">
        <v>3051</v>
      </c>
      <c r="J228" t="s">
        <v>3486</v>
      </c>
      <c r="K228" t="s">
        <v>463</v>
      </c>
    </row>
    <row r="229" spans="1:11" x14ac:dyDescent="0.25">
      <c r="A229" t="s">
        <v>397</v>
      </c>
      <c r="B229" t="s">
        <v>62</v>
      </c>
      <c r="C229" t="s">
        <v>398</v>
      </c>
      <c r="D229" t="s">
        <v>2271</v>
      </c>
      <c r="E229" t="s">
        <v>3513</v>
      </c>
      <c r="F229" t="s">
        <v>3514</v>
      </c>
      <c r="G229" t="s">
        <v>3097</v>
      </c>
      <c r="I229" t="s">
        <v>3051</v>
      </c>
      <c r="J229" t="s">
        <v>3486</v>
      </c>
      <c r="K229" t="s">
        <v>463</v>
      </c>
    </row>
    <row r="230" spans="1:11" x14ac:dyDescent="0.25">
      <c r="A230" t="s">
        <v>399</v>
      </c>
      <c r="B230" t="s">
        <v>62</v>
      </c>
      <c r="C230" t="s">
        <v>400</v>
      </c>
      <c r="D230" t="s">
        <v>2272</v>
      </c>
      <c r="E230" t="s">
        <v>3515</v>
      </c>
      <c r="F230" t="s">
        <v>3516</v>
      </c>
      <c r="G230" t="s">
        <v>3100</v>
      </c>
      <c r="I230" t="s">
        <v>3051</v>
      </c>
      <c r="J230" t="s">
        <v>3486</v>
      </c>
      <c r="K230" t="s">
        <v>463</v>
      </c>
    </row>
    <row r="231" spans="1:11" x14ac:dyDescent="0.25">
      <c r="A231" t="s">
        <v>401</v>
      </c>
      <c r="B231" t="s">
        <v>62</v>
      </c>
      <c r="C231" t="s">
        <v>402</v>
      </c>
      <c r="D231" t="s">
        <v>2273</v>
      </c>
      <c r="E231" t="s">
        <v>3517</v>
      </c>
      <c r="F231" t="s">
        <v>3518</v>
      </c>
      <c r="G231" t="s">
        <v>3103</v>
      </c>
      <c r="I231" t="s">
        <v>3051</v>
      </c>
      <c r="J231" t="s">
        <v>3486</v>
      </c>
      <c r="K231" t="s">
        <v>463</v>
      </c>
    </row>
    <row r="232" spans="1:11" x14ac:dyDescent="0.25">
      <c r="A232" t="s">
        <v>403</v>
      </c>
      <c r="B232" t="s">
        <v>62</v>
      </c>
      <c r="C232" t="s">
        <v>404</v>
      </c>
      <c r="D232" t="s">
        <v>2274</v>
      </c>
      <c r="E232" t="s">
        <v>3519</v>
      </c>
      <c r="F232" t="s">
        <v>3520</v>
      </c>
      <c r="G232" t="s">
        <v>3521</v>
      </c>
      <c r="I232" t="s">
        <v>3051</v>
      </c>
      <c r="J232" t="s">
        <v>3486</v>
      </c>
      <c r="K232" t="s">
        <v>463</v>
      </c>
    </row>
    <row r="233" spans="1:11" x14ac:dyDescent="0.25">
      <c r="A233" t="s">
        <v>405</v>
      </c>
      <c r="B233" t="s">
        <v>62</v>
      </c>
      <c r="C233" t="s">
        <v>406</v>
      </c>
      <c r="D233" t="s">
        <v>2275</v>
      </c>
      <c r="E233" t="s">
        <v>3522</v>
      </c>
      <c r="F233" t="s">
        <v>3523</v>
      </c>
      <c r="G233" t="s">
        <v>3524</v>
      </c>
      <c r="I233" t="s">
        <v>3051</v>
      </c>
      <c r="J233" t="s">
        <v>3486</v>
      </c>
      <c r="K233" t="s">
        <v>463</v>
      </c>
    </row>
    <row r="234" spans="1:11" x14ac:dyDescent="0.25">
      <c r="A234" t="s">
        <v>407</v>
      </c>
      <c r="B234" t="s">
        <v>62</v>
      </c>
      <c r="C234" t="s">
        <v>408</v>
      </c>
      <c r="D234" t="s">
        <v>2276</v>
      </c>
      <c r="E234" t="s">
        <v>3525</v>
      </c>
      <c r="F234" t="s">
        <v>3526</v>
      </c>
      <c r="G234" t="s">
        <v>3112</v>
      </c>
      <c r="I234" t="s">
        <v>3051</v>
      </c>
      <c r="J234" t="s">
        <v>3486</v>
      </c>
      <c r="K234" t="s">
        <v>463</v>
      </c>
    </row>
    <row r="235" spans="1:11" x14ac:dyDescent="0.25">
      <c r="A235" t="s">
        <v>409</v>
      </c>
      <c r="B235" t="s">
        <v>62</v>
      </c>
      <c r="C235" t="s">
        <v>410</v>
      </c>
      <c r="D235" t="s">
        <v>2277</v>
      </c>
      <c r="E235" t="s">
        <v>3527</v>
      </c>
      <c r="F235" t="s">
        <v>3528</v>
      </c>
      <c r="G235" t="s">
        <v>410</v>
      </c>
      <c r="I235" t="s">
        <v>3051</v>
      </c>
      <c r="J235" t="s">
        <v>3486</v>
      </c>
      <c r="K235" t="s">
        <v>463</v>
      </c>
    </row>
    <row r="236" spans="1:11" x14ac:dyDescent="0.25">
      <c r="A236" t="s">
        <v>411</v>
      </c>
      <c r="B236" t="s">
        <v>62</v>
      </c>
      <c r="C236" t="s">
        <v>412</v>
      </c>
      <c r="D236" t="s">
        <v>2278</v>
      </c>
      <c r="E236" t="s">
        <v>3529</v>
      </c>
      <c r="F236" t="s">
        <v>3530</v>
      </c>
      <c r="G236" t="s">
        <v>3117</v>
      </c>
      <c r="I236" t="s">
        <v>3051</v>
      </c>
      <c r="J236" t="s">
        <v>3486</v>
      </c>
      <c r="K236" t="s">
        <v>463</v>
      </c>
    </row>
    <row r="237" spans="1:11" x14ac:dyDescent="0.25">
      <c r="A237" t="s">
        <v>413</v>
      </c>
      <c r="B237" t="s">
        <v>62</v>
      </c>
      <c r="C237" t="s">
        <v>414</v>
      </c>
      <c r="D237" t="s">
        <v>2279</v>
      </c>
      <c r="E237" t="s">
        <v>3531</v>
      </c>
      <c r="F237" t="s">
        <v>3532</v>
      </c>
      <c r="G237" t="s">
        <v>3120</v>
      </c>
      <c r="I237" t="s">
        <v>3051</v>
      </c>
      <c r="J237" t="s">
        <v>3486</v>
      </c>
      <c r="K237" t="s">
        <v>463</v>
      </c>
    </row>
    <row r="238" spans="1:11" x14ac:dyDescent="0.25">
      <c r="A238" t="s">
        <v>415</v>
      </c>
      <c r="B238" t="s">
        <v>62</v>
      </c>
      <c r="C238" t="s">
        <v>416</v>
      </c>
      <c r="D238" t="s">
        <v>2280</v>
      </c>
      <c r="E238" t="s">
        <v>3533</v>
      </c>
      <c r="F238" t="s">
        <v>3534</v>
      </c>
      <c r="G238" t="s">
        <v>3144</v>
      </c>
      <c r="I238" t="s">
        <v>3051</v>
      </c>
      <c r="J238" t="s">
        <v>3486</v>
      </c>
      <c r="K238" t="s">
        <v>463</v>
      </c>
    </row>
    <row r="239" spans="1:11" x14ac:dyDescent="0.25">
      <c r="A239" t="s">
        <v>417</v>
      </c>
      <c r="B239" t="s">
        <v>62</v>
      </c>
      <c r="C239" t="s">
        <v>418</v>
      </c>
      <c r="D239" t="s">
        <v>2281</v>
      </c>
      <c r="E239" t="s">
        <v>3535</v>
      </c>
      <c r="F239" t="s">
        <v>3536</v>
      </c>
      <c r="G239" t="s">
        <v>3537</v>
      </c>
      <c r="I239" t="s">
        <v>3051</v>
      </c>
      <c r="J239" t="s">
        <v>3486</v>
      </c>
      <c r="K239" t="s">
        <v>463</v>
      </c>
    </row>
    <row r="240" spans="1:11" x14ac:dyDescent="0.25">
      <c r="A240" t="s">
        <v>419</v>
      </c>
      <c r="B240" t="s">
        <v>62</v>
      </c>
      <c r="C240" t="s">
        <v>420</v>
      </c>
      <c r="D240" t="s">
        <v>2282</v>
      </c>
      <c r="E240" t="s">
        <v>3538</v>
      </c>
      <c r="F240" t="s">
        <v>3539</v>
      </c>
      <c r="G240" t="s">
        <v>3540</v>
      </c>
      <c r="I240" t="s">
        <v>3051</v>
      </c>
      <c r="J240" t="s">
        <v>3486</v>
      </c>
      <c r="K240" t="s">
        <v>463</v>
      </c>
    </row>
    <row r="241" spans="1:11" x14ac:dyDescent="0.25">
      <c r="A241" t="s">
        <v>421</v>
      </c>
      <c r="B241" t="s">
        <v>62</v>
      </c>
      <c r="C241" t="s">
        <v>422</v>
      </c>
      <c r="D241" t="s">
        <v>2283</v>
      </c>
      <c r="E241" t="s">
        <v>3541</v>
      </c>
      <c r="F241" t="s">
        <v>3542</v>
      </c>
      <c r="G241" t="s">
        <v>3153</v>
      </c>
      <c r="I241" t="s">
        <v>3051</v>
      </c>
      <c r="J241" t="s">
        <v>3486</v>
      </c>
      <c r="K241" t="s">
        <v>463</v>
      </c>
    </row>
    <row r="242" spans="1:11" x14ac:dyDescent="0.25">
      <c r="A242" t="s">
        <v>423</v>
      </c>
      <c r="B242" t="s">
        <v>62</v>
      </c>
      <c r="C242" t="s">
        <v>424</v>
      </c>
      <c r="D242" t="s">
        <v>2284</v>
      </c>
      <c r="E242" t="s">
        <v>3543</v>
      </c>
      <c r="F242" t="s">
        <v>3544</v>
      </c>
      <c r="G242" t="s">
        <v>424</v>
      </c>
      <c r="I242" t="s">
        <v>3051</v>
      </c>
      <c r="J242" t="s">
        <v>3486</v>
      </c>
      <c r="K242" t="s">
        <v>463</v>
      </c>
    </row>
    <row r="243" spans="1:11" x14ac:dyDescent="0.25">
      <c r="A243" t="s">
        <v>425</v>
      </c>
      <c r="B243" t="s">
        <v>62</v>
      </c>
      <c r="C243" t="s">
        <v>426</v>
      </c>
      <c r="D243" t="s">
        <v>2285</v>
      </c>
      <c r="E243" t="s">
        <v>3545</v>
      </c>
      <c r="F243" t="s">
        <v>3546</v>
      </c>
      <c r="G243" t="s">
        <v>3158</v>
      </c>
      <c r="I243" t="s">
        <v>3051</v>
      </c>
      <c r="J243" t="s">
        <v>3486</v>
      </c>
      <c r="K243" t="s">
        <v>463</v>
      </c>
    </row>
    <row r="244" spans="1:11" x14ac:dyDescent="0.25">
      <c r="A244" t="s">
        <v>427</v>
      </c>
      <c r="B244" t="s">
        <v>62</v>
      </c>
      <c r="C244" t="s">
        <v>428</v>
      </c>
      <c r="D244" t="s">
        <v>2286</v>
      </c>
      <c r="E244" t="s">
        <v>3547</v>
      </c>
      <c r="F244" t="s">
        <v>3548</v>
      </c>
      <c r="G244" t="s">
        <v>3161</v>
      </c>
      <c r="I244" t="s">
        <v>3051</v>
      </c>
      <c r="J244" t="s">
        <v>3486</v>
      </c>
      <c r="K244" t="s">
        <v>463</v>
      </c>
    </row>
    <row r="245" spans="1:11" x14ac:dyDescent="0.25">
      <c r="A245" t="s">
        <v>429</v>
      </c>
      <c r="B245" t="s">
        <v>62</v>
      </c>
      <c r="C245" t="s">
        <v>430</v>
      </c>
      <c r="D245" t="s">
        <v>2287</v>
      </c>
      <c r="E245" t="s">
        <v>3549</v>
      </c>
      <c r="F245" t="s">
        <v>3550</v>
      </c>
      <c r="G245" t="s">
        <v>3164</v>
      </c>
      <c r="I245" t="s">
        <v>3051</v>
      </c>
      <c r="J245" t="s">
        <v>3486</v>
      </c>
      <c r="K245" t="s">
        <v>463</v>
      </c>
    </row>
    <row r="246" spans="1:11" x14ac:dyDescent="0.25">
      <c r="A246" t="s">
        <v>431</v>
      </c>
      <c r="B246" t="s">
        <v>62</v>
      </c>
      <c r="C246" t="s">
        <v>432</v>
      </c>
      <c r="D246" t="s">
        <v>2288</v>
      </c>
      <c r="E246" t="s">
        <v>3551</v>
      </c>
      <c r="F246" t="s">
        <v>3552</v>
      </c>
      <c r="G246" t="s">
        <v>3553</v>
      </c>
      <c r="I246" t="s">
        <v>3051</v>
      </c>
      <c r="J246" t="s">
        <v>3486</v>
      </c>
      <c r="K246" t="s">
        <v>463</v>
      </c>
    </row>
    <row r="247" spans="1:11" x14ac:dyDescent="0.25">
      <c r="A247" t="s">
        <v>433</v>
      </c>
      <c r="B247" t="s">
        <v>62</v>
      </c>
      <c r="C247" t="s">
        <v>434</v>
      </c>
      <c r="D247" t="s">
        <v>2289</v>
      </c>
      <c r="E247" t="s">
        <v>3554</v>
      </c>
      <c r="F247" t="s">
        <v>3555</v>
      </c>
      <c r="G247" t="s">
        <v>3556</v>
      </c>
      <c r="I247" t="s">
        <v>3051</v>
      </c>
      <c r="J247" t="s">
        <v>3486</v>
      </c>
      <c r="K247" t="s">
        <v>463</v>
      </c>
    </row>
    <row r="248" spans="1:11" x14ac:dyDescent="0.25">
      <c r="A248" t="s">
        <v>435</v>
      </c>
      <c r="B248" t="s">
        <v>62</v>
      </c>
      <c r="C248" t="s">
        <v>436</v>
      </c>
      <c r="D248" t="s">
        <v>2290</v>
      </c>
      <c r="E248" t="s">
        <v>3557</v>
      </c>
      <c r="F248" t="s">
        <v>3558</v>
      </c>
      <c r="G248" t="s">
        <v>3173</v>
      </c>
      <c r="I248" t="s">
        <v>3051</v>
      </c>
      <c r="J248" t="s">
        <v>3486</v>
      </c>
      <c r="K248" t="s">
        <v>463</v>
      </c>
    </row>
    <row r="249" spans="1:11" x14ac:dyDescent="0.25">
      <c r="A249" t="s">
        <v>437</v>
      </c>
      <c r="B249" t="s">
        <v>62</v>
      </c>
      <c r="C249" t="s">
        <v>438</v>
      </c>
      <c r="D249" t="s">
        <v>2291</v>
      </c>
      <c r="E249" t="s">
        <v>3559</v>
      </c>
      <c r="F249" t="s">
        <v>3560</v>
      </c>
      <c r="G249" t="s">
        <v>438</v>
      </c>
      <c r="I249" t="s">
        <v>3051</v>
      </c>
      <c r="J249" t="s">
        <v>3486</v>
      </c>
      <c r="K249" t="s">
        <v>463</v>
      </c>
    </row>
    <row r="250" spans="1:11" x14ac:dyDescent="0.25">
      <c r="A250" t="s">
        <v>439</v>
      </c>
      <c r="B250" t="s">
        <v>62</v>
      </c>
      <c r="C250" t="s">
        <v>440</v>
      </c>
      <c r="D250" t="s">
        <v>2292</v>
      </c>
      <c r="E250" t="s">
        <v>3561</v>
      </c>
      <c r="F250" t="s">
        <v>3562</v>
      </c>
      <c r="G250" t="s">
        <v>3178</v>
      </c>
      <c r="I250" t="s">
        <v>3051</v>
      </c>
      <c r="J250" t="s">
        <v>3486</v>
      </c>
      <c r="K250" t="s">
        <v>463</v>
      </c>
    </row>
    <row r="251" spans="1:11" x14ac:dyDescent="0.25">
      <c r="A251" t="s">
        <v>441</v>
      </c>
      <c r="B251" t="s">
        <v>62</v>
      </c>
      <c r="C251" t="s">
        <v>442</v>
      </c>
      <c r="D251" t="s">
        <v>2293</v>
      </c>
      <c r="E251" t="s">
        <v>3563</v>
      </c>
      <c r="F251" t="s">
        <v>3564</v>
      </c>
      <c r="G251" t="s">
        <v>3181</v>
      </c>
      <c r="I251" t="s">
        <v>3051</v>
      </c>
      <c r="J251" t="s">
        <v>3486</v>
      </c>
      <c r="K251" t="s">
        <v>463</v>
      </c>
    </row>
    <row r="252" spans="1:11" x14ac:dyDescent="0.25">
      <c r="A252" t="s">
        <v>443</v>
      </c>
      <c r="B252" t="s">
        <v>62</v>
      </c>
      <c r="C252" t="s">
        <v>154</v>
      </c>
      <c r="D252" t="s">
        <v>2294</v>
      </c>
      <c r="E252" t="s">
        <v>3565</v>
      </c>
      <c r="F252" t="s">
        <v>3566</v>
      </c>
      <c r="G252" t="s">
        <v>3184</v>
      </c>
      <c r="I252" t="s">
        <v>3051</v>
      </c>
      <c r="J252" t="s">
        <v>3486</v>
      </c>
      <c r="K252" t="s">
        <v>463</v>
      </c>
    </row>
    <row r="253" spans="1:11" x14ac:dyDescent="0.25">
      <c r="A253" t="s">
        <v>444</v>
      </c>
      <c r="B253" t="s">
        <v>62</v>
      </c>
      <c r="C253" t="s">
        <v>156</v>
      </c>
      <c r="D253" t="s">
        <v>2295</v>
      </c>
      <c r="E253" t="s">
        <v>3567</v>
      </c>
      <c r="F253" t="s">
        <v>3568</v>
      </c>
      <c r="G253" t="s">
        <v>3187</v>
      </c>
      <c r="I253" t="s">
        <v>3051</v>
      </c>
      <c r="J253" t="s">
        <v>3486</v>
      </c>
      <c r="K253" t="s">
        <v>463</v>
      </c>
    </row>
    <row r="254" spans="1:11" x14ac:dyDescent="0.25">
      <c r="A254" t="s">
        <v>445</v>
      </c>
      <c r="B254" t="s">
        <v>62</v>
      </c>
      <c r="C254" t="s">
        <v>158</v>
      </c>
      <c r="D254" t="s">
        <v>2296</v>
      </c>
      <c r="E254" t="s">
        <v>3569</v>
      </c>
      <c r="F254" t="s">
        <v>3570</v>
      </c>
      <c r="G254" t="s">
        <v>3571</v>
      </c>
      <c r="I254" t="s">
        <v>3051</v>
      </c>
      <c r="J254" t="s">
        <v>3486</v>
      </c>
      <c r="K254" t="s">
        <v>463</v>
      </c>
    </row>
    <row r="255" spans="1:11" x14ac:dyDescent="0.25">
      <c r="A255" t="s">
        <v>446</v>
      </c>
      <c r="B255" t="s">
        <v>62</v>
      </c>
      <c r="C255" t="s">
        <v>160</v>
      </c>
      <c r="D255" t="s">
        <v>2297</v>
      </c>
      <c r="E255" t="s">
        <v>3572</v>
      </c>
      <c r="F255" t="s">
        <v>3573</v>
      </c>
      <c r="G255" t="s">
        <v>3193</v>
      </c>
      <c r="I255" t="s">
        <v>3051</v>
      </c>
      <c r="J255" t="s">
        <v>3486</v>
      </c>
      <c r="K255" t="s">
        <v>463</v>
      </c>
    </row>
    <row r="256" spans="1:11" x14ac:dyDescent="0.25">
      <c r="A256" t="s">
        <v>447</v>
      </c>
      <c r="B256" t="s">
        <v>62</v>
      </c>
      <c r="C256" t="s">
        <v>162</v>
      </c>
      <c r="D256" t="s">
        <v>2298</v>
      </c>
      <c r="E256" t="s">
        <v>3574</v>
      </c>
      <c r="F256" t="s">
        <v>3575</v>
      </c>
      <c r="G256" t="s">
        <v>3196</v>
      </c>
      <c r="I256" t="s">
        <v>3051</v>
      </c>
      <c r="J256" t="s">
        <v>3486</v>
      </c>
      <c r="K256" t="s">
        <v>463</v>
      </c>
    </row>
    <row r="257" spans="1:11" x14ac:dyDescent="0.25">
      <c r="A257" t="s">
        <v>448</v>
      </c>
      <c r="B257" t="s">
        <v>62</v>
      </c>
      <c r="C257" t="s">
        <v>164</v>
      </c>
      <c r="D257" t="s">
        <v>2299</v>
      </c>
      <c r="E257" t="s">
        <v>3576</v>
      </c>
      <c r="F257" t="s">
        <v>3577</v>
      </c>
      <c r="G257" t="s">
        <v>3199</v>
      </c>
      <c r="I257" t="s">
        <v>3051</v>
      </c>
      <c r="J257" t="s">
        <v>3486</v>
      </c>
      <c r="K257" t="s">
        <v>463</v>
      </c>
    </row>
    <row r="258" spans="1:11" x14ac:dyDescent="0.25">
      <c r="A258" t="s">
        <v>449</v>
      </c>
      <c r="B258" t="s">
        <v>62</v>
      </c>
      <c r="C258" t="s">
        <v>2949</v>
      </c>
      <c r="D258" t="s">
        <v>2300</v>
      </c>
      <c r="E258" t="s">
        <v>3578</v>
      </c>
      <c r="F258" t="s">
        <v>3579</v>
      </c>
      <c r="G258" t="s">
        <v>3202</v>
      </c>
      <c r="I258" t="s">
        <v>3051</v>
      </c>
      <c r="J258" t="s">
        <v>3486</v>
      </c>
      <c r="K258" t="s">
        <v>463</v>
      </c>
    </row>
    <row r="259" spans="1:11" x14ac:dyDescent="0.25">
      <c r="A259" t="s">
        <v>3035</v>
      </c>
      <c r="B259" t="s">
        <v>3035</v>
      </c>
      <c r="C259" t="s">
        <v>450</v>
      </c>
      <c r="D259" t="s">
        <v>3580</v>
      </c>
      <c r="K259" t="s">
        <v>3581</v>
      </c>
    </row>
    <row r="260" spans="1:11" x14ac:dyDescent="0.25">
      <c r="A260" t="s">
        <v>451</v>
      </c>
      <c r="B260" t="s">
        <v>3027</v>
      </c>
      <c r="C260" t="s">
        <v>453</v>
      </c>
      <c r="D260" t="s">
        <v>2301</v>
      </c>
      <c r="E260" t="s">
        <v>3582</v>
      </c>
      <c r="F260" t="s">
        <v>3583</v>
      </c>
      <c r="G260" t="s">
        <v>453</v>
      </c>
      <c r="I260" t="s">
        <v>3051</v>
      </c>
      <c r="J260" t="s">
        <v>3584</v>
      </c>
      <c r="K260" t="s">
        <v>3581</v>
      </c>
    </row>
    <row r="261" spans="1:11" x14ac:dyDescent="0.25">
      <c r="A261" t="s">
        <v>454</v>
      </c>
      <c r="B261" t="s">
        <v>3027</v>
      </c>
      <c r="C261" t="s">
        <v>455</v>
      </c>
      <c r="D261" t="s">
        <v>2302</v>
      </c>
      <c r="E261" t="s">
        <v>3585</v>
      </c>
      <c r="F261" t="s">
        <v>3586</v>
      </c>
      <c r="G261" t="s">
        <v>3587</v>
      </c>
      <c r="I261" t="s">
        <v>3051</v>
      </c>
      <c r="J261" t="s">
        <v>3584</v>
      </c>
      <c r="K261" t="s">
        <v>3581</v>
      </c>
    </row>
    <row r="262" spans="1:11" x14ac:dyDescent="0.25">
      <c r="A262" t="s">
        <v>456</v>
      </c>
      <c r="B262" t="s">
        <v>3027</v>
      </c>
      <c r="C262" t="s">
        <v>457</v>
      </c>
      <c r="D262" t="s">
        <v>2303</v>
      </c>
      <c r="E262" t="s">
        <v>3588</v>
      </c>
      <c r="F262" t="s">
        <v>3589</v>
      </c>
      <c r="G262" t="s">
        <v>3590</v>
      </c>
      <c r="I262" t="s">
        <v>3051</v>
      </c>
      <c r="J262" t="s">
        <v>3584</v>
      </c>
      <c r="K262" t="s">
        <v>3581</v>
      </c>
    </row>
    <row r="263" spans="1:11" x14ac:dyDescent="0.25">
      <c r="A263" t="s">
        <v>458</v>
      </c>
      <c r="B263" t="s">
        <v>38</v>
      </c>
      <c r="C263" t="s">
        <v>351</v>
      </c>
      <c r="D263" t="s">
        <v>2304</v>
      </c>
      <c r="E263" t="s">
        <v>3591</v>
      </c>
      <c r="F263" t="s">
        <v>3592</v>
      </c>
      <c r="G263" t="s">
        <v>3593</v>
      </c>
      <c r="I263" t="s">
        <v>3051</v>
      </c>
      <c r="J263" t="s">
        <v>3584</v>
      </c>
      <c r="K263" t="s">
        <v>3581</v>
      </c>
    </row>
    <row r="264" spans="1:11" x14ac:dyDescent="0.25">
      <c r="A264" t="s">
        <v>459</v>
      </c>
      <c r="B264" t="s">
        <v>3027</v>
      </c>
      <c r="C264" t="s">
        <v>460</v>
      </c>
      <c r="D264" t="s">
        <v>2305</v>
      </c>
      <c r="E264" t="s">
        <v>3594</v>
      </c>
      <c r="F264" t="s">
        <v>3595</v>
      </c>
      <c r="G264" t="s">
        <v>3596</v>
      </c>
      <c r="I264" t="s">
        <v>3051</v>
      </c>
      <c r="J264" t="s">
        <v>3584</v>
      </c>
      <c r="K264" t="s">
        <v>3581</v>
      </c>
    </row>
    <row r="265" spans="1:11" x14ac:dyDescent="0.25">
      <c r="A265" t="s">
        <v>461</v>
      </c>
      <c r="B265" t="s">
        <v>56</v>
      </c>
      <c r="C265" t="s">
        <v>462</v>
      </c>
      <c r="D265" t="s">
        <v>3597</v>
      </c>
      <c r="E265" t="s">
        <v>3598</v>
      </c>
      <c r="F265" t="s">
        <v>3599</v>
      </c>
      <c r="I265" t="s">
        <v>3051</v>
      </c>
      <c r="J265" t="s">
        <v>3584</v>
      </c>
      <c r="K265" t="s">
        <v>3600</v>
      </c>
    </row>
    <row r="266" spans="1:11" x14ac:dyDescent="0.25">
      <c r="A266" t="s">
        <v>463</v>
      </c>
      <c r="B266" t="s">
        <v>56</v>
      </c>
      <c r="C266" t="s">
        <v>464</v>
      </c>
      <c r="D266" t="s">
        <v>3601</v>
      </c>
      <c r="E266" t="s">
        <v>3602</v>
      </c>
      <c r="F266" t="s">
        <v>3603</v>
      </c>
      <c r="I266" t="s">
        <v>3051</v>
      </c>
      <c r="J266" t="s">
        <v>3584</v>
      </c>
      <c r="K266" t="s">
        <v>3604</v>
      </c>
    </row>
    <row r="267" spans="1:11" x14ac:dyDescent="0.25">
      <c r="A267" t="s">
        <v>465</v>
      </c>
      <c r="B267" t="s">
        <v>56</v>
      </c>
      <c r="C267" t="s">
        <v>466</v>
      </c>
      <c r="D267" t="s">
        <v>3605</v>
      </c>
      <c r="E267" t="s">
        <v>3606</v>
      </c>
      <c r="F267" t="s">
        <v>3607</v>
      </c>
      <c r="I267" t="s">
        <v>3608</v>
      </c>
      <c r="J267" t="s">
        <v>3608</v>
      </c>
      <c r="K267" t="s">
        <v>3609</v>
      </c>
    </row>
    <row r="268" spans="1:11" x14ac:dyDescent="0.25">
      <c r="A268" t="s">
        <v>1414</v>
      </c>
      <c r="B268" t="s">
        <v>3035</v>
      </c>
      <c r="C268" t="s">
        <v>2950</v>
      </c>
      <c r="D268" t="s">
        <v>3610</v>
      </c>
      <c r="I268" t="s">
        <v>3611</v>
      </c>
      <c r="J268" t="s">
        <v>3308</v>
      </c>
      <c r="K268" t="s">
        <v>3612</v>
      </c>
    </row>
    <row r="269" spans="1:11" x14ac:dyDescent="0.25">
      <c r="A269" t="s">
        <v>1415</v>
      </c>
      <c r="B269" t="s">
        <v>62</v>
      </c>
      <c r="C269" t="s">
        <v>254</v>
      </c>
      <c r="D269" t="s">
        <v>2306</v>
      </c>
      <c r="E269" t="s">
        <v>3613</v>
      </c>
      <c r="F269" t="s">
        <v>3614</v>
      </c>
      <c r="G269" t="s">
        <v>3307</v>
      </c>
      <c r="I269" t="s">
        <v>3611</v>
      </c>
      <c r="J269" t="s">
        <v>3308</v>
      </c>
      <c r="K269" t="s">
        <v>3612</v>
      </c>
    </row>
    <row r="270" spans="1:11" x14ac:dyDescent="0.25">
      <c r="A270" t="s">
        <v>1416</v>
      </c>
      <c r="B270" t="s">
        <v>62</v>
      </c>
      <c r="C270" t="s">
        <v>256</v>
      </c>
      <c r="D270" t="s">
        <v>2307</v>
      </c>
      <c r="E270" t="s">
        <v>3615</v>
      </c>
      <c r="F270" t="s">
        <v>3616</v>
      </c>
      <c r="G270" t="s">
        <v>3311</v>
      </c>
      <c r="I270" t="s">
        <v>3611</v>
      </c>
      <c r="J270" t="s">
        <v>3308</v>
      </c>
      <c r="K270" t="s">
        <v>3612</v>
      </c>
    </row>
    <row r="271" spans="1:11" x14ac:dyDescent="0.25">
      <c r="A271" t="s">
        <v>1417</v>
      </c>
      <c r="B271" t="s">
        <v>62</v>
      </c>
      <c r="C271" t="s">
        <v>258</v>
      </c>
      <c r="D271" t="s">
        <v>2308</v>
      </c>
      <c r="E271" t="s">
        <v>3617</v>
      </c>
      <c r="F271" t="s">
        <v>3618</v>
      </c>
      <c r="G271" t="s">
        <v>3314</v>
      </c>
      <c r="I271" t="s">
        <v>3611</v>
      </c>
      <c r="J271" t="s">
        <v>3308</v>
      </c>
      <c r="K271" t="s">
        <v>3612</v>
      </c>
    </row>
    <row r="272" spans="1:11" x14ac:dyDescent="0.25">
      <c r="A272" t="s">
        <v>1418</v>
      </c>
      <c r="B272" t="s">
        <v>62</v>
      </c>
      <c r="C272" t="s">
        <v>260</v>
      </c>
      <c r="D272" t="s">
        <v>2309</v>
      </c>
      <c r="E272" t="s">
        <v>3619</v>
      </c>
      <c r="F272" t="s">
        <v>3620</v>
      </c>
      <c r="G272" t="s">
        <v>260</v>
      </c>
      <c r="I272" t="s">
        <v>3611</v>
      </c>
      <c r="J272" t="s">
        <v>3308</v>
      </c>
      <c r="K272" t="s">
        <v>3612</v>
      </c>
    </row>
    <row r="273" spans="1:11" x14ac:dyDescent="0.25">
      <c r="A273" t="s">
        <v>1419</v>
      </c>
      <c r="B273" t="s">
        <v>62</v>
      </c>
      <c r="C273" t="s">
        <v>262</v>
      </c>
      <c r="D273" t="s">
        <v>2310</v>
      </c>
      <c r="E273" t="s">
        <v>3621</v>
      </c>
      <c r="F273" t="s">
        <v>3622</v>
      </c>
      <c r="G273" t="s">
        <v>262</v>
      </c>
      <c r="I273" t="s">
        <v>3611</v>
      </c>
      <c r="J273" t="s">
        <v>3308</v>
      </c>
      <c r="K273" t="s">
        <v>3612</v>
      </c>
    </row>
    <row r="274" spans="1:11" x14ac:dyDescent="0.25">
      <c r="A274" t="s">
        <v>1420</v>
      </c>
      <c r="B274" t="s">
        <v>62</v>
      </c>
      <c r="C274" t="s">
        <v>264</v>
      </c>
      <c r="D274" t="s">
        <v>2311</v>
      </c>
      <c r="E274" t="s">
        <v>3623</v>
      </c>
      <c r="F274" t="s">
        <v>3624</v>
      </c>
      <c r="G274" t="s">
        <v>264</v>
      </c>
      <c r="I274" t="s">
        <v>3611</v>
      </c>
      <c r="J274" t="s">
        <v>3308</v>
      </c>
      <c r="K274" t="s">
        <v>3612</v>
      </c>
    </row>
    <row r="275" spans="1:11" x14ac:dyDescent="0.25">
      <c r="A275" t="s">
        <v>1421</v>
      </c>
      <c r="B275" t="s">
        <v>62</v>
      </c>
      <c r="C275" t="s">
        <v>266</v>
      </c>
      <c r="D275" t="s">
        <v>2312</v>
      </c>
      <c r="E275" t="s">
        <v>3625</v>
      </c>
      <c r="F275" t="s">
        <v>3626</v>
      </c>
      <c r="G275" t="s">
        <v>3323</v>
      </c>
      <c r="I275" t="s">
        <v>3611</v>
      </c>
      <c r="J275" t="s">
        <v>3308</v>
      </c>
      <c r="K275" t="s">
        <v>3612</v>
      </c>
    </row>
    <row r="276" spans="1:11" x14ac:dyDescent="0.25">
      <c r="A276" t="s">
        <v>1422</v>
      </c>
      <c r="B276" t="s">
        <v>62</v>
      </c>
      <c r="C276" t="s">
        <v>268</v>
      </c>
      <c r="D276" t="s">
        <v>2313</v>
      </c>
      <c r="E276" t="s">
        <v>3627</v>
      </c>
      <c r="F276" t="s">
        <v>3628</v>
      </c>
      <c r="G276" t="s">
        <v>3326</v>
      </c>
      <c r="I276" t="s">
        <v>3611</v>
      </c>
      <c r="J276" t="s">
        <v>3308</v>
      </c>
      <c r="K276" t="s">
        <v>3612</v>
      </c>
    </row>
    <row r="277" spans="1:11" x14ac:dyDescent="0.25">
      <c r="A277" t="s">
        <v>1423</v>
      </c>
      <c r="B277" t="s">
        <v>62</v>
      </c>
      <c r="C277" t="s">
        <v>270</v>
      </c>
      <c r="D277" t="s">
        <v>2314</v>
      </c>
      <c r="E277" t="s">
        <v>3629</v>
      </c>
      <c r="F277" t="s">
        <v>3630</v>
      </c>
      <c r="G277" t="s">
        <v>3329</v>
      </c>
      <c r="I277" t="s">
        <v>3611</v>
      </c>
      <c r="J277" t="s">
        <v>3308</v>
      </c>
      <c r="K277" t="s">
        <v>3612</v>
      </c>
    </row>
    <row r="278" spans="1:11" x14ac:dyDescent="0.25">
      <c r="A278" t="s">
        <v>1424</v>
      </c>
      <c r="B278" t="s">
        <v>62</v>
      </c>
      <c r="C278" t="s">
        <v>272</v>
      </c>
      <c r="D278" t="s">
        <v>2315</v>
      </c>
      <c r="E278" t="s">
        <v>3631</v>
      </c>
      <c r="F278" t="s">
        <v>3632</v>
      </c>
      <c r="G278" t="s">
        <v>3332</v>
      </c>
      <c r="I278" t="s">
        <v>3611</v>
      </c>
      <c r="J278" t="s">
        <v>3308</v>
      </c>
      <c r="K278" t="s">
        <v>3612</v>
      </c>
    </row>
    <row r="279" spans="1:11" x14ac:dyDescent="0.25">
      <c r="A279" t="s">
        <v>1425</v>
      </c>
      <c r="B279" t="s">
        <v>62</v>
      </c>
      <c r="C279" t="s">
        <v>274</v>
      </c>
      <c r="D279" t="s">
        <v>2316</v>
      </c>
      <c r="E279" t="s">
        <v>3633</v>
      </c>
      <c r="F279" t="s">
        <v>3634</v>
      </c>
      <c r="G279" t="s">
        <v>274</v>
      </c>
      <c r="I279" t="s">
        <v>3611</v>
      </c>
      <c r="J279" t="s">
        <v>3308</v>
      </c>
      <c r="K279" t="s">
        <v>3612</v>
      </c>
    </row>
    <row r="280" spans="1:11" x14ac:dyDescent="0.25">
      <c r="A280" t="s">
        <v>1426</v>
      </c>
      <c r="B280" t="s">
        <v>62</v>
      </c>
      <c r="C280" t="s">
        <v>276</v>
      </c>
      <c r="D280" t="s">
        <v>2317</v>
      </c>
      <c r="E280" t="s">
        <v>3635</v>
      </c>
      <c r="F280" t="s">
        <v>3636</v>
      </c>
      <c r="G280" t="s">
        <v>276</v>
      </c>
      <c r="I280" t="s">
        <v>3611</v>
      </c>
      <c r="J280" t="s">
        <v>3308</v>
      </c>
      <c r="K280" t="s">
        <v>3612</v>
      </c>
    </row>
    <row r="281" spans="1:11" x14ac:dyDescent="0.25">
      <c r="A281" t="s">
        <v>1427</v>
      </c>
      <c r="B281" t="s">
        <v>62</v>
      </c>
      <c r="C281" t="s">
        <v>278</v>
      </c>
      <c r="D281" t="s">
        <v>2318</v>
      </c>
      <c r="E281" t="s">
        <v>3637</v>
      </c>
      <c r="F281" t="s">
        <v>3638</v>
      </c>
      <c r="G281" t="s">
        <v>278</v>
      </c>
      <c r="I281" t="s">
        <v>3611</v>
      </c>
      <c r="J281" t="s">
        <v>3308</v>
      </c>
      <c r="K281" t="s">
        <v>3612</v>
      </c>
    </row>
    <row r="282" spans="1:11" x14ac:dyDescent="0.25">
      <c r="A282" t="s">
        <v>1428</v>
      </c>
      <c r="B282" t="s">
        <v>62</v>
      </c>
      <c r="C282" t="s">
        <v>280</v>
      </c>
      <c r="D282" t="s">
        <v>2319</v>
      </c>
      <c r="E282" t="s">
        <v>3639</v>
      </c>
      <c r="F282" t="s">
        <v>3640</v>
      </c>
      <c r="G282" t="s">
        <v>3341</v>
      </c>
      <c r="I282" t="s">
        <v>3611</v>
      </c>
      <c r="J282" t="s">
        <v>3308</v>
      </c>
      <c r="K282" t="s">
        <v>3612</v>
      </c>
    </row>
    <row r="283" spans="1:11" x14ac:dyDescent="0.25">
      <c r="A283" t="s">
        <v>1429</v>
      </c>
      <c r="B283" t="s">
        <v>62</v>
      </c>
      <c r="C283" t="s">
        <v>282</v>
      </c>
      <c r="D283" t="s">
        <v>2320</v>
      </c>
      <c r="E283" t="s">
        <v>3641</v>
      </c>
      <c r="F283" t="s">
        <v>3642</v>
      </c>
      <c r="G283" t="s">
        <v>3344</v>
      </c>
      <c r="I283" t="s">
        <v>3611</v>
      </c>
      <c r="J283" t="s">
        <v>3308</v>
      </c>
      <c r="K283" t="s">
        <v>3612</v>
      </c>
    </row>
    <row r="284" spans="1:11" x14ac:dyDescent="0.25">
      <c r="A284" t="s">
        <v>1430</v>
      </c>
      <c r="B284" t="s">
        <v>62</v>
      </c>
      <c r="C284" t="s">
        <v>284</v>
      </c>
      <c r="D284" t="s">
        <v>2321</v>
      </c>
      <c r="E284" t="s">
        <v>3643</v>
      </c>
      <c r="F284" t="s">
        <v>3644</v>
      </c>
      <c r="G284" t="s">
        <v>3347</v>
      </c>
      <c r="I284" t="s">
        <v>3611</v>
      </c>
      <c r="J284" t="s">
        <v>3308</v>
      </c>
      <c r="K284" t="s">
        <v>3612</v>
      </c>
    </row>
    <row r="285" spans="1:11" x14ac:dyDescent="0.25">
      <c r="A285" t="s">
        <v>1431</v>
      </c>
      <c r="B285" t="s">
        <v>62</v>
      </c>
      <c r="C285" t="s">
        <v>286</v>
      </c>
      <c r="D285" t="s">
        <v>2322</v>
      </c>
      <c r="E285" t="s">
        <v>3645</v>
      </c>
      <c r="F285" t="s">
        <v>3646</v>
      </c>
      <c r="G285" t="s">
        <v>3350</v>
      </c>
      <c r="I285" t="s">
        <v>3611</v>
      </c>
      <c r="J285" t="s">
        <v>3308</v>
      </c>
      <c r="K285" t="s">
        <v>3612</v>
      </c>
    </row>
    <row r="286" spans="1:11" x14ac:dyDescent="0.25">
      <c r="A286" t="s">
        <v>1432</v>
      </c>
      <c r="B286" t="s">
        <v>62</v>
      </c>
      <c r="C286" t="s">
        <v>288</v>
      </c>
      <c r="D286" t="s">
        <v>2323</v>
      </c>
      <c r="E286" t="s">
        <v>3647</v>
      </c>
      <c r="F286" t="s">
        <v>3648</v>
      </c>
      <c r="G286" t="s">
        <v>288</v>
      </c>
      <c r="I286" t="s">
        <v>3611</v>
      </c>
      <c r="J286" t="s">
        <v>3308</v>
      </c>
      <c r="K286" t="s">
        <v>3612</v>
      </c>
    </row>
    <row r="287" spans="1:11" x14ac:dyDescent="0.25">
      <c r="A287" t="s">
        <v>1433</v>
      </c>
      <c r="B287" t="s">
        <v>62</v>
      </c>
      <c r="C287" t="s">
        <v>290</v>
      </c>
      <c r="D287" t="s">
        <v>2324</v>
      </c>
      <c r="E287" t="s">
        <v>3649</v>
      </c>
      <c r="F287" t="s">
        <v>3650</v>
      </c>
      <c r="G287" t="s">
        <v>290</v>
      </c>
      <c r="I287" t="s">
        <v>3611</v>
      </c>
      <c r="J287" t="s">
        <v>3308</v>
      </c>
      <c r="K287" t="s">
        <v>3612</v>
      </c>
    </row>
    <row r="288" spans="1:11" x14ac:dyDescent="0.25">
      <c r="A288" t="s">
        <v>1434</v>
      </c>
      <c r="B288" t="s">
        <v>62</v>
      </c>
      <c r="C288" t="s">
        <v>292</v>
      </c>
      <c r="D288" t="s">
        <v>2325</v>
      </c>
      <c r="E288" t="s">
        <v>3651</v>
      </c>
      <c r="F288" t="s">
        <v>3652</v>
      </c>
      <c r="G288" t="s">
        <v>292</v>
      </c>
      <c r="I288" t="s">
        <v>3611</v>
      </c>
      <c r="J288" t="s">
        <v>3308</v>
      </c>
      <c r="K288" t="s">
        <v>3612</v>
      </c>
    </row>
    <row r="289" spans="1:11" x14ac:dyDescent="0.25">
      <c r="A289" t="s">
        <v>1435</v>
      </c>
      <c r="B289" t="s">
        <v>62</v>
      </c>
      <c r="C289" t="s">
        <v>294</v>
      </c>
      <c r="D289" t="s">
        <v>2326</v>
      </c>
      <c r="E289" t="s">
        <v>3653</v>
      </c>
      <c r="F289" t="s">
        <v>3654</v>
      </c>
      <c r="G289" t="s">
        <v>3359</v>
      </c>
      <c r="I289" t="s">
        <v>3611</v>
      </c>
      <c r="J289" t="s">
        <v>3308</v>
      </c>
      <c r="K289" t="s">
        <v>3612</v>
      </c>
    </row>
    <row r="290" spans="1:11" x14ac:dyDescent="0.25">
      <c r="A290" t="s">
        <v>1436</v>
      </c>
      <c r="B290" t="s">
        <v>62</v>
      </c>
      <c r="C290" t="s">
        <v>296</v>
      </c>
      <c r="D290" t="s">
        <v>2327</v>
      </c>
      <c r="E290" t="s">
        <v>3655</v>
      </c>
      <c r="F290" t="s">
        <v>3656</v>
      </c>
      <c r="G290" t="s">
        <v>3362</v>
      </c>
      <c r="I290" t="s">
        <v>3611</v>
      </c>
      <c r="J290" t="s">
        <v>3308</v>
      </c>
      <c r="K290" t="s">
        <v>3612</v>
      </c>
    </row>
    <row r="291" spans="1:11" x14ac:dyDescent="0.25">
      <c r="A291" t="s">
        <v>1437</v>
      </c>
      <c r="B291" t="s">
        <v>62</v>
      </c>
      <c r="C291" t="s">
        <v>298</v>
      </c>
      <c r="D291" t="s">
        <v>2328</v>
      </c>
      <c r="E291" t="s">
        <v>3657</v>
      </c>
      <c r="F291" t="s">
        <v>3658</v>
      </c>
      <c r="G291" t="s">
        <v>3365</v>
      </c>
      <c r="I291" t="s">
        <v>3611</v>
      </c>
      <c r="J291" t="s">
        <v>3308</v>
      </c>
      <c r="K291" t="s">
        <v>3612</v>
      </c>
    </row>
    <row r="292" spans="1:11" x14ac:dyDescent="0.25">
      <c r="A292" t="s">
        <v>1438</v>
      </c>
      <c r="B292" t="s">
        <v>62</v>
      </c>
      <c r="C292" t="s">
        <v>300</v>
      </c>
      <c r="D292" t="s">
        <v>2329</v>
      </c>
      <c r="E292" t="s">
        <v>3659</v>
      </c>
      <c r="F292" t="s">
        <v>3660</v>
      </c>
      <c r="G292" t="s">
        <v>3368</v>
      </c>
      <c r="I292" t="s">
        <v>3611</v>
      </c>
      <c r="J292" t="s">
        <v>3308</v>
      </c>
      <c r="K292" t="s">
        <v>3612</v>
      </c>
    </row>
    <row r="293" spans="1:11" x14ac:dyDescent="0.25">
      <c r="A293" t="s">
        <v>1439</v>
      </c>
      <c r="B293" t="s">
        <v>62</v>
      </c>
      <c r="C293" t="s">
        <v>302</v>
      </c>
      <c r="D293" t="s">
        <v>2330</v>
      </c>
      <c r="E293" t="s">
        <v>3661</v>
      </c>
      <c r="F293" t="s">
        <v>3662</v>
      </c>
      <c r="G293" t="s">
        <v>302</v>
      </c>
      <c r="I293" t="s">
        <v>3611</v>
      </c>
      <c r="J293" t="s">
        <v>3308</v>
      </c>
      <c r="K293" t="s">
        <v>3612</v>
      </c>
    </row>
    <row r="294" spans="1:11" x14ac:dyDescent="0.25">
      <c r="A294" t="s">
        <v>1440</v>
      </c>
      <c r="B294" t="s">
        <v>62</v>
      </c>
      <c r="C294" t="s">
        <v>304</v>
      </c>
      <c r="D294" t="s">
        <v>2331</v>
      </c>
      <c r="E294" t="s">
        <v>3663</v>
      </c>
      <c r="F294" t="s">
        <v>3664</v>
      </c>
      <c r="G294" t="s">
        <v>304</v>
      </c>
      <c r="I294" t="s">
        <v>3611</v>
      </c>
      <c r="J294" t="s">
        <v>3308</v>
      </c>
      <c r="K294" t="s">
        <v>3612</v>
      </c>
    </row>
    <row r="295" spans="1:11" x14ac:dyDescent="0.25">
      <c r="A295" t="s">
        <v>1441</v>
      </c>
      <c r="B295" t="s">
        <v>62</v>
      </c>
      <c r="C295" t="s">
        <v>306</v>
      </c>
      <c r="D295" t="s">
        <v>2332</v>
      </c>
      <c r="E295" t="s">
        <v>3665</v>
      </c>
      <c r="F295" t="s">
        <v>3666</v>
      </c>
      <c r="G295" t="s">
        <v>306</v>
      </c>
      <c r="I295" t="s">
        <v>3611</v>
      </c>
      <c r="J295" t="s">
        <v>3308</v>
      </c>
      <c r="K295" t="s">
        <v>3612</v>
      </c>
    </row>
    <row r="296" spans="1:11" x14ac:dyDescent="0.25">
      <c r="A296" t="s">
        <v>1442</v>
      </c>
      <c r="B296" t="s">
        <v>62</v>
      </c>
      <c r="C296" t="s">
        <v>308</v>
      </c>
      <c r="D296" t="s">
        <v>2333</v>
      </c>
      <c r="E296" t="s">
        <v>3667</v>
      </c>
      <c r="F296" t="s">
        <v>3668</v>
      </c>
      <c r="G296" t="s">
        <v>3377</v>
      </c>
      <c r="I296" t="s">
        <v>3611</v>
      </c>
      <c r="J296" t="s">
        <v>3308</v>
      </c>
      <c r="K296" t="s">
        <v>3612</v>
      </c>
    </row>
    <row r="297" spans="1:11" x14ac:dyDescent="0.25">
      <c r="A297" t="s">
        <v>1443</v>
      </c>
      <c r="B297" t="s">
        <v>62</v>
      </c>
      <c r="C297" t="s">
        <v>310</v>
      </c>
      <c r="D297" t="s">
        <v>2334</v>
      </c>
      <c r="E297" t="s">
        <v>3669</v>
      </c>
      <c r="F297" t="s">
        <v>3670</v>
      </c>
      <c r="G297" t="s">
        <v>3380</v>
      </c>
      <c r="I297" t="s">
        <v>3611</v>
      </c>
      <c r="J297" t="s">
        <v>3308</v>
      </c>
      <c r="K297" t="s">
        <v>3612</v>
      </c>
    </row>
    <row r="298" spans="1:11" x14ac:dyDescent="0.25">
      <c r="A298" t="s">
        <v>1444</v>
      </c>
      <c r="B298" t="s">
        <v>62</v>
      </c>
      <c r="C298" t="s">
        <v>312</v>
      </c>
      <c r="D298" t="s">
        <v>2335</v>
      </c>
      <c r="E298" t="s">
        <v>3671</v>
      </c>
      <c r="F298" t="s">
        <v>3672</v>
      </c>
      <c r="G298" t="s">
        <v>3383</v>
      </c>
      <c r="I298" t="s">
        <v>3611</v>
      </c>
      <c r="J298" t="s">
        <v>3308</v>
      </c>
      <c r="K298" t="s">
        <v>3612</v>
      </c>
    </row>
    <row r="299" spans="1:11" x14ac:dyDescent="0.25">
      <c r="A299" t="s">
        <v>1445</v>
      </c>
      <c r="B299" t="s">
        <v>62</v>
      </c>
      <c r="C299" t="s">
        <v>314</v>
      </c>
      <c r="D299" t="s">
        <v>2336</v>
      </c>
      <c r="E299" t="s">
        <v>3673</v>
      </c>
      <c r="F299" t="s">
        <v>3674</v>
      </c>
      <c r="G299" t="s">
        <v>3386</v>
      </c>
      <c r="I299" t="s">
        <v>3611</v>
      </c>
      <c r="J299" t="s">
        <v>3308</v>
      </c>
      <c r="K299" t="s">
        <v>3612</v>
      </c>
    </row>
    <row r="300" spans="1:11" x14ac:dyDescent="0.25">
      <c r="A300" t="s">
        <v>1446</v>
      </c>
      <c r="B300" t="s">
        <v>62</v>
      </c>
      <c r="C300" t="s">
        <v>316</v>
      </c>
      <c r="D300" t="s">
        <v>2337</v>
      </c>
      <c r="E300" t="s">
        <v>3675</v>
      </c>
      <c r="F300" t="s">
        <v>3676</v>
      </c>
      <c r="G300" t="s">
        <v>3389</v>
      </c>
      <c r="I300" t="s">
        <v>3611</v>
      </c>
      <c r="J300" t="s">
        <v>3308</v>
      </c>
      <c r="K300" t="s">
        <v>3612</v>
      </c>
    </row>
    <row r="301" spans="1:11" x14ac:dyDescent="0.25">
      <c r="A301" t="s">
        <v>1447</v>
      </c>
      <c r="B301" t="s">
        <v>62</v>
      </c>
      <c r="C301" t="s">
        <v>318</v>
      </c>
      <c r="D301" t="s">
        <v>2338</v>
      </c>
      <c r="E301" t="s">
        <v>3677</v>
      </c>
      <c r="F301" t="s">
        <v>3678</v>
      </c>
      <c r="G301" t="s">
        <v>3392</v>
      </c>
      <c r="I301" t="s">
        <v>3611</v>
      </c>
      <c r="J301" t="s">
        <v>3308</v>
      </c>
      <c r="K301" t="s">
        <v>3612</v>
      </c>
    </row>
    <row r="302" spans="1:11" x14ac:dyDescent="0.25">
      <c r="A302" t="s">
        <v>1448</v>
      </c>
      <c r="B302" t="s">
        <v>62</v>
      </c>
      <c r="C302" t="s">
        <v>320</v>
      </c>
      <c r="D302" t="s">
        <v>2339</v>
      </c>
      <c r="E302" t="s">
        <v>3679</v>
      </c>
      <c r="F302" t="s">
        <v>3680</v>
      </c>
      <c r="G302" t="s">
        <v>3395</v>
      </c>
      <c r="I302" t="s">
        <v>3611</v>
      </c>
      <c r="J302" t="s">
        <v>3308</v>
      </c>
      <c r="K302" t="s">
        <v>3612</v>
      </c>
    </row>
    <row r="303" spans="1:11" x14ac:dyDescent="0.25">
      <c r="A303" t="s">
        <v>1449</v>
      </c>
      <c r="B303" t="s">
        <v>62</v>
      </c>
      <c r="C303" t="s">
        <v>322</v>
      </c>
      <c r="D303" t="s">
        <v>2340</v>
      </c>
      <c r="E303" t="s">
        <v>3681</v>
      </c>
      <c r="F303" t="s">
        <v>3682</v>
      </c>
      <c r="G303" t="s">
        <v>3398</v>
      </c>
      <c r="I303" t="s">
        <v>3611</v>
      </c>
      <c r="J303" t="s">
        <v>3308</v>
      </c>
      <c r="K303" t="s">
        <v>3612</v>
      </c>
    </row>
    <row r="304" spans="1:11" x14ac:dyDescent="0.25">
      <c r="A304" t="s">
        <v>1450</v>
      </c>
      <c r="B304" t="s">
        <v>62</v>
      </c>
      <c r="C304" t="s">
        <v>324</v>
      </c>
      <c r="D304" t="s">
        <v>2341</v>
      </c>
      <c r="E304" t="s">
        <v>3683</v>
      </c>
      <c r="F304" t="s">
        <v>3684</v>
      </c>
      <c r="G304" t="s">
        <v>3401</v>
      </c>
      <c r="I304" t="s">
        <v>3611</v>
      </c>
      <c r="J304" t="s">
        <v>3308</v>
      </c>
      <c r="K304" t="s">
        <v>3612</v>
      </c>
    </row>
    <row r="305" spans="1:11" x14ac:dyDescent="0.25">
      <c r="A305" t="s">
        <v>1451</v>
      </c>
      <c r="B305" t="s">
        <v>62</v>
      </c>
      <c r="C305" t="s">
        <v>326</v>
      </c>
      <c r="D305" t="s">
        <v>2342</v>
      </c>
      <c r="E305" t="s">
        <v>3685</v>
      </c>
      <c r="F305" t="s">
        <v>3686</v>
      </c>
      <c r="G305" t="s">
        <v>3404</v>
      </c>
      <c r="I305" t="s">
        <v>3611</v>
      </c>
      <c r="J305" t="s">
        <v>3308</v>
      </c>
      <c r="K305" t="s">
        <v>3612</v>
      </c>
    </row>
    <row r="306" spans="1:11" x14ac:dyDescent="0.25">
      <c r="A306" t="s">
        <v>1452</v>
      </c>
      <c r="B306" t="s">
        <v>62</v>
      </c>
      <c r="C306" t="s">
        <v>328</v>
      </c>
      <c r="D306" t="s">
        <v>2343</v>
      </c>
      <c r="E306" t="s">
        <v>3687</v>
      </c>
      <c r="F306" t="s">
        <v>3688</v>
      </c>
      <c r="G306" t="s">
        <v>3407</v>
      </c>
      <c r="I306" t="s">
        <v>3611</v>
      </c>
      <c r="J306" t="s">
        <v>3308</v>
      </c>
      <c r="K306" t="s">
        <v>3612</v>
      </c>
    </row>
    <row r="307" spans="1:11" x14ac:dyDescent="0.25">
      <c r="A307" t="s">
        <v>1453</v>
      </c>
      <c r="B307" t="s">
        <v>62</v>
      </c>
      <c r="C307" t="s">
        <v>330</v>
      </c>
      <c r="D307" t="s">
        <v>2344</v>
      </c>
      <c r="E307" t="s">
        <v>3689</v>
      </c>
      <c r="F307" t="s">
        <v>3690</v>
      </c>
      <c r="G307" t="s">
        <v>330</v>
      </c>
      <c r="I307" t="s">
        <v>3611</v>
      </c>
      <c r="J307" t="s">
        <v>3308</v>
      </c>
      <c r="K307" t="s">
        <v>3612</v>
      </c>
    </row>
    <row r="308" spans="1:11" x14ac:dyDescent="0.25">
      <c r="A308" t="s">
        <v>1454</v>
      </c>
      <c r="B308" t="s">
        <v>62</v>
      </c>
      <c r="C308" t="s">
        <v>332</v>
      </c>
      <c r="D308" t="s">
        <v>2345</v>
      </c>
      <c r="E308" t="s">
        <v>3691</v>
      </c>
      <c r="F308" t="s">
        <v>3692</v>
      </c>
      <c r="G308" t="s">
        <v>332</v>
      </c>
      <c r="I308" t="s">
        <v>3611</v>
      </c>
      <c r="J308" t="s">
        <v>3308</v>
      </c>
      <c r="K308" t="s">
        <v>3612</v>
      </c>
    </row>
    <row r="309" spans="1:11" x14ac:dyDescent="0.25">
      <c r="A309" t="s">
        <v>1455</v>
      </c>
      <c r="B309" t="s">
        <v>62</v>
      </c>
      <c r="C309" t="s">
        <v>334</v>
      </c>
      <c r="D309" t="s">
        <v>2346</v>
      </c>
      <c r="E309" t="s">
        <v>3693</v>
      </c>
      <c r="F309" t="s">
        <v>3694</v>
      </c>
      <c r="G309" t="s">
        <v>334</v>
      </c>
      <c r="I309" t="s">
        <v>3611</v>
      </c>
      <c r="J309" t="s">
        <v>3308</v>
      </c>
      <c r="K309" t="s">
        <v>3612</v>
      </c>
    </row>
    <row r="310" spans="1:11" x14ac:dyDescent="0.25">
      <c r="A310" t="s">
        <v>1456</v>
      </c>
      <c r="B310" t="s">
        <v>62</v>
      </c>
      <c r="C310" t="s">
        <v>162</v>
      </c>
      <c r="D310" t="s">
        <v>2347</v>
      </c>
      <c r="E310" t="s">
        <v>3695</v>
      </c>
      <c r="F310" t="s">
        <v>3696</v>
      </c>
      <c r="G310" t="s">
        <v>3416</v>
      </c>
      <c r="I310" t="s">
        <v>3611</v>
      </c>
      <c r="J310" t="s">
        <v>3308</v>
      </c>
      <c r="K310" t="s">
        <v>3612</v>
      </c>
    </row>
    <row r="311" spans="1:11" x14ac:dyDescent="0.25">
      <c r="A311" t="s">
        <v>1457</v>
      </c>
      <c r="B311" t="s">
        <v>62</v>
      </c>
      <c r="C311" t="s">
        <v>337</v>
      </c>
      <c r="D311" t="s">
        <v>2348</v>
      </c>
      <c r="E311" t="s">
        <v>3697</v>
      </c>
      <c r="F311" t="s">
        <v>3698</v>
      </c>
      <c r="G311" t="s">
        <v>3419</v>
      </c>
      <c r="I311" t="s">
        <v>3611</v>
      </c>
      <c r="J311" t="s">
        <v>3308</v>
      </c>
      <c r="K311" t="s">
        <v>3612</v>
      </c>
    </row>
    <row r="312" spans="1:11" x14ac:dyDescent="0.25">
      <c r="A312" t="s">
        <v>1458</v>
      </c>
      <c r="B312" t="s">
        <v>62</v>
      </c>
      <c r="C312" t="s">
        <v>339</v>
      </c>
      <c r="D312" t="s">
        <v>2349</v>
      </c>
      <c r="E312" t="s">
        <v>3699</v>
      </c>
      <c r="F312" t="s">
        <v>3700</v>
      </c>
      <c r="G312" t="s">
        <v>3422</v>
      </c>
      <c r="I312" t="s">
        <v>3611</v>
      </c>
      <c r="J312" t="s">
        <v>3308</v>
      </c>
      <c r="K312" t="s">
        <v>3612</v>
      </c>
    </row>
    <row r="313" spans="1:11" x14ac:dyDescent="0.25">
      <c r="A313" t="s">
        <v>1459</v>
      </c>
      <c r="B313" t="s">
        <v>62</v>
      </c>
      <c r="C313" t="s">
        <v>341</v>
      </c>
      <c r="D313" t="s">
        <v>2350</v>
      </c>
      <c r="E313" t="s">
        <v>3701</v>
      </c>
      <c r="F313" t="s">
        <v>3702</v>
      </c>
      <c r="G313" t="s">
        <v>3425</v>
      </c>
      <c r="I313" t="s">
        <v>3611</v>
      </c>
      <c r="J313" t="s">
        <v>3308</v>
      </c>
      <c r="K313" t="s">
        <v>3612</v>
      </c>
    </row>
    <row r="314" spans="1:11" x14ac:dyDescent="0.25">
      <c r="A314" t="s">
        <v>1460</v>
      </c>
      <c r="B314" t="s">
        <v>62</v>
      </c>
      <c r="C314" t="s">
        <v>343</v>
      </c>
      <c r="D314" t="s">
        <v>2351</v>
      </c>
      <c r="E314" t="s">
        <v>3703</v>
      </c>
      <c r="F314" t="s">
        <v>3704</v>
      </c>
      <c r="G314" t="s">
        <v>3428</v>
      </c>
      <c r="I314" t="s">
        <v>3611</v>
      </c>
      <c r="J314" t="s">
        <v>3308</v>
      </c>
      <c r="K314" t="s">
        <v>3612</v>
      </c>
    </row>
    <row r="315" spans="1:11" x14ac:dyDescent="0.25">
      <c r="A315" t="s">
        <v>1461</v>
      </c>
      <c r="B315" t="s">
        <v>62</v>
      </c>
      <c r="C315" t="s">
        <v>345</v>
      </c>
      <c r="D315" t="s">
        <v>2352</v>
      </c>
      <c r="E315" t="s">
        <v>3705</v>
      </c>
      <c r="F315" t="s">
        <v>3706</v>
      </c>
      <c r="G315" t="s">
        <v>3431</v>
      </c>
      <c r="I315" t="s">
        <v>3611</v>
      </c>
      <c r="J315" t="s">
        <v>3308</v>
      </c>
      <c r="K315" t="s">
        <v>3612</v>
      </c>
    </row>
    <row r="316" spans="1:11" x14ac:dyDescent="0.25">
      <c r="A316" t="s">
        <v>1462</v>
      </c>
      <c r="B316" t="s">
        <v>62</v>
      </c>
      <c r="C316" t="s">
        <v>347</v>
      </c>
      <c r="D316" t="s">
        <v>2353</v>
      </c>
      <c r="E316" t="s">
        <v>3707</v>
      </c>
      <c r="F316" t="s">
        <v>3708</v>
      </c>
      <c r="G316" t="s">
        <v>3434</v>
      </c>
      <c r="I316" t="s">
        <v>3611</v>
      </c>
      <c r="J316" t="s">
        <v>3308</v>
      </c>
      <c r="K316" t="s">
        <v>3612</v>
      </c>
    </row>
    <row r="317" spans="1:11" x14ac:dyDescent="0.25">
      <c r="A317" t="s">
        <v>1463</v>
      </c>
      <c r="B317" t="s">
        <v>62</v>
      </c>
      <c r="C317" t="s">
        <v>349</v>
      </c>
      <c r="D317" t="s">
        <v>2354</v>
      </c>
      <c r="E317" t="s">
        <v>3709</v>
      </c>
      <c r="F317" t="s">
        <v>3710</v>
      </c>
      <c r="G317" t="s">
        <v>3437</v>
      </c>
      <c r="I317" t="s">
        <v>3611</v>
      </c>
      <c r="J317" t="s">
        <v>3308</v>
      </c>
      <c r="K317" t="s">
        <v>3612</v>
      </c>
    </row>
    <row r="318" spans="1:11" x14ac:dyDescent="0.25">
      <c r="A318" t="s">
        <v>1464</v>
      </c>
      <c r="B318" t="s">
        <v>38</v>
      </c>
      <c r="C318" t="s">
        <v>351</v>
      </c>
      <c r="D318" t="s">
        <v>2355</v>
      </c>
      <c r="E318" t="s">
        <v>3711</v>
      </c>
      <c r="F318" t="s">
        <v>3712</v>
      </c>
      <c r="G318" t="s">
        <v>3440</v>
      </c>
      <c r="I318" t="s">
        <v>3611</v>
      </c>
      <c r="J318" t="s">
        <v>3308</v>
      </c>
      <c r="K318" t="s">
        <v>3612</v>
      </c>
    </row>
    <row r="319" spans="1:11" x14ac:dyDescent="0.25">
      <c r="A319" t="s">
        <v>1465</v>
      </c>
      <c r="B319" t="s">
        <v>62</v>
      </c>
      <c r="C319" t="s">
        <v>353</v>
      </c>
      <c r="D319" t="s">
        <v>2356</v>
      </c>
      <c r="E319" t="s">
        <v>3713</v>
      </c>
      <c r="F319" t="s">
        <v>3714</v>
      </c>
      <c r="G319" t="s">
        <v>3443</v>
      </c>
      <c r="I319" t="s">
        <v>3611</v>
      </c>
      <c r="J319" t="s">
        <v>3308</v>
      </c>
      <c r="K319" t="s">
        <v>3612</v>
      </c>
    </row>
    <row r="320" spans="1:11" x14ac:dyDescent="0.25">
      <c r="A320" t="s">
        <v>1466</v>
      </c>
      <c r="B320" t="s">
        <v>62</v>
      </c>
      <c r="C320" t="s">
        <v>355</v>
      </c>
      <c r="D320" t="s">
        <v>2357</v>
      </c>
      <c r="E320" t="s">
        <v>3715</v>
      </c>
      <c r="F320" t="s">
        <v>3716</v>
      </c>
      <c r="G320" t="s">
        <v>3446</v>
      </c>
      <c r="I320" t="s">
        <v>3611</v>
      </c>
      <c r="J320" t="s">
        <v>3308</v>
      </c>
      <c r="K320" t="s">
        <v>3612</v>
      </c>
    </row>
    <row r="321" spans="1:11" x14ac:dyDescent="0.25">
      <c r="A321" t="s">
        <v>1467</v>
      </c>
      <c r="B321" t="s">
        <v>62</v>
      </c>
      <c r="C321" t="s">
        <v>357</v>
      </c>
      <c r="D321" t="s">
        <v>2358</v>
      </c>
      <c r="E321" t="s">
        <v>3717</v>
      </c>
      <c r="F321" t="s">
        <v>3718</v>
      </c>
      <c r="G321" t="s">
        <v>3449</v>
      </c>
      <c r="I321" t="s">
        <v>3611</v>
      </c>
      <c r="J321" t="s">
        <v>3308</v>
      </c>
      <c r="K321" t="s">
        <v>3612</v>
      </c>
    </row>
    <row r="322" spans="1:11" x14ac:dyDescent="0.25">
      <c r="A322" t="s">
        <v>1468</v>
      </c>
      <c r="B322" t="s">
        <v>62</v>
      </c>
      <c r="C322" t="s">
        <v>359</v>
      </c>
      <c r="D322" t="s">
        <v>2359</v>
      </c>
      <c r="E322" t="s">
        <v>3719</v>
      </c>
      <c r="F322" t="s">
        <v>3720</v>
      </c>
      <c r="G322" t="s">
        <v>3452</v>
      </c>
      <c r="I322" t="s">
        <v>3611</v>
      </c>
      <c r="J322" t="s">
        <v>3308</v>
      </c>
      <c r="K322" t="s">
        <v>3612</v>
      </c>
    </row>
    <row r="323" spans="1:11" x14ac:dyDescent="0.25">
      <c r="A323" t="s">
        <v>1469</v>
      </c>
      <c r="B323" t="s">
        <v>62</v>
      </c>
      <c r="C323" t="s">
        <v>361</v>
      </c>
      <c r="D323" t="s">
        <v>2360</v>
      </c>
      <c r="E323" t="s">
        <v>3721</v>
      </c>
      <c r="F323" t="s">
        <v>3722</v>
      </c>
      <c r="G323" t="s">
        <v>3455</v>
      </c>
      <c r="I323" t="s">
        <v>3611</v>
      </c>
      <c r="J323" t="s">
        <v>3308</v>
      </c>
      <c r="K323" t="s">
        <v>3612</v>
      </c>
    </row>
    <row r="324" spans="1:11" x14ac:dyDescent="0.25">
      <c r="A324" t="s">
        <v>1470</v>
      </c>
      <c r="B324" t="s">
        <v>62</v>
      </c>
      <c r="C324" t="s">
        <v>363</v>
      </c>
      <c r="D324" t="s">
        <v>2361</v>
      </c>
      <c r="E324" t="s">
        <v>3723</v>
      </c>
      <c r="F324" t="s">
        <v>3724</v>
      </c>
      <c r="G324" t="s">
        <v>3458</v>
      </c>
      <c r="I324" t="s">
        <v>3611</v>
      </c>
      <c r="J324" t="s">
        <v>3308</v>
      </c>
      <c r="K324" t="s">
        <v>3612</v>
      </c>
    </row>
    <row r="325" spans="1:11" x14ac:dyDescent="0.25">
      <c r="A325" t="s">
        <v>1471</v>
      </c>
      <c r="B325" t="s">
        <v>62</v>
      </c>
      <c r="C325" t="s">
        <v>365</v>
      </c>
      <c r="D325" t="s">
        <v>2362</v>
      </c>
      <c r="E325" t="s">
        <v>3725</v>
      </c>
      <c r="F325" t="s">
        <v>3726</v>
      </c>
      <c r="G325" t="s">
        <v>3461</v>
      </c>
      <c r="I325" t="s">
        <v>3611</v>
      </c>
      <c r="J325" t="s">
        <v>3308</v>
      </c>
      <c r="K325" t="s">
        <v>3612</v>
      </c>
    </row>
    <row r="326" spans="1:11" x14ac:dyDescent="0.25">
      <c r="A326" t="s">
        <v>1472</v>
      </c>
      <c r="B326" t="s">
        <v>62</v>
      </c>
      <c r="C326" t="s">
        <v>154</v>
      </c>
      <c r="D326" t="s">
        <v>2363</v>
      </c>
      <c r="E326" t="s">
        <v>3727</v>
      </c>
      <c r="F326" t="s">
        <v>3728</v>
      </c>
      <c r="G326" t="s">
        <v>3464</v>
      </c>
      <c r="I326" t="s">
        <v>3611</v>
      </c>
      <c r="J326" t="s">
        <v>3308</v>
      </c>
      <c r="K326" t="s">
        <v>3612</v>
      </c>
    </row>
    <row r="327" spans="1:11" x14ac:dyDescent="0.25">
      <c r="A327" t="s">
        <v>1473</v>
      </c>
      <c r="B327" t="s">
        <v>62</v>
      </c>
      <c r="C327" t="s">
        <v>156</v>
      </c>
      <c r="D327" t="s">
        <v>2364</v>
      </c>
      <c r="E327" t="s">
        <v>3729</v>
      </c>
      <c r="F327" t="s">
        <v>3730</v>
      </c>
      <c r="G327" t="s">
        <v>3467</v>
      </c>
      <c r="I327" t="s">
        <v>3611</v>
      </c>
      <c r="J327" t="s">
        <v>3308</v>
      </c>
      <c r="K327" t="s">
        <v>3612</v>
      </c>
    </row>
    <row r="328" spans="1:11" x14ac:dyDescent="0.25">
      <c r="A328" t="s">
        <v>1474</v>
      </c>
      <c r="B328" t="s">
        <v>62</v>
      </c>
      <c r="C328" t="s">
        <v>158</v>
      </c>
      <c r="D328" t="s">
        <v>2365</v>
      </c>
      <c r="E328" t="s">
        <v>3731</v>
      </c>
      <c r="F328" t="s">
        <v>3732</v>
      </c>
      <c r="G328" t="s">
        <v>3470</v>
      </c>
      <c r="I328" t="s">
        <v>3611</v>
      </c>
      <c r="J328" t="s">
        <v>3308</v>
      </c>
      <c r="K328" t="s">
        <v>3612</v>
      </c>
    </row>
    <row r="329" spans="1:11" x14ac:dyDescent="0.25">
      <c r="A329" t="s">
        <v>1475</v>
      </c>
      <c r="B329" t="s">
        <v>62</v>
      </c>
      <c r="C329" t="s">
        <v>160</v>
      </c>
      <c r="D329" t="s">
        <v>2366</v>
      </c>
      <c r="E329" t="s">
        <v>3733</v>
      </c>
      <c r="F329" t="s">
        <v>3734</v>
      </c>
      <c r="G329" t="s">
        <v>3473</v>
      </c>
      <c r="I329" t="s">
        <v>3611</v>
      </c>
      <c r="J329" t="s">
        <v>3308</v>
      </c>
      <c r="K329" t="s">
        <v>3612</v>
      </c>
    </row>
    <row r="330" spans="1:11" x14ac:dyDescent="0.25">
      <c r="A330" t="s">
        <v>1476</v>
      </c>
      <c r="B330" t="s">
        <v>62</v>
      </c>
      <c r="C330" t="s">
        <v>162</v>
      </c>
      <c r="D330" t="s">
        <v>2367</v>
      </c>
      <c r="E330" t="s">
        <v>3735</v>
      </c>
      <c r="F330" t="s">
        <v>3736</v>
      </c>
      <c r="G330" t="s">
        <v>3476</v>
      </c>
      <c r="I330" t="s">
        <v>3611</v>
      </c>
      <c r="J330" t="s">
        <v>3308</v>
      </c>
      <c r="K330" t="s">
        <v>3612</v>
      </c>
    </row>
    <row r="331" spans="1:11" x14ac:dyDescent="0.25">
      <c r="A331" t="s">
        <v>1477</v>
      </c>
      <c r="B331" t="s">
        <v>62</v>
      </c>
      <c r="C331" t="s">
        <v>164</v>
      </c>
      <c r="D331" t="s">
        <v>2368</v>
      </c>
      <c r="E331" t="s">
        <v>3737</v>
      </c>
      <c r="F331" t="s">
        <v>3738</v>
      </c>
      <c r="G331" t="s">
        <v>3479</v>
      </c>
      <c r="I331" t="s">
        <v>3611</v>
      </c>
      <c r="J331" t="s">
        <v>3308</v>
      </c>
      <c r="K331" t="s">
        <v>3612</v>
      </c>
    </row>
    <row r="332" spans="1:11" x14ac:dyDescent="0.25">
      <c r="A332" t="s">
        <v>1478</v>
      </c>
      <c r="B332" t="s">
        <v>62</v>
      </c>
      <c r="C332" t="s">
        <v>533</v>
      </c>
      <c r="D332" t="s">
        <v>2369</v>
      </c>
      <c r="E332" t="s">
        <v>3739</v>
      </c>
      <c r="F332" t="s">
        <v>3740</v>
      </c>
      <c r="G332" t="s">
        <v>3482</v>
      </c>
      <c r="I332" t="s">
        <v>3611</v>
      </c>
      <c r="J332" t="s">
        <v>3308</v>
      </c>
      <c r="K332" t="s">
        <v>3612</v>
      </c>
    </row>
    <row r="333" spans="1:11" x14ac:dyDescent="0.25">
      <c r="A333" t="s">
        <v>467</v>
      </c>
      <c r="B333" t="s">
        <v>3035</v>
      </c>
      <c r="C333" t="s">
        <v>2951</v>
      </c>
      <c r="D333" t="s">
        <v>3741</v>
      </c>
      <c r="I333" t="s">
        <v>3611</v>
      </c>
      <c r="J333" t="s">
        <v>3486</v>
      </c>
      <c r="K333" t="s">
        <v>3742</v>
      </c>
    </row>
    <row r="334" spans="1:11" x14ac:dyDescent="0.25">
      <c r="A334" t="s">
        <v>1479</v>
      </c>
      <c r="B334" t="s">
        <v>62</v>
      </c>
      <c r="C334" t="s">
        <v>388</v>
      </c>
      <c r="D334" t="s">
        <v>2370</v>
      </c>
      <c r="E334" t="s">
        <v>3743</v>
      </c>
      <c r="F334" t="s">
        <v>3744</v>
      </c>
      <c r="G334" t="s">
        <v>3083</v>
      </c>
      <c r="I334" t="s">
        <v>3611</v>
      </c>
      <c r="J334" t="s">
        <v>3486</v>
      </c>
      <c r="K334" t="s">
        <v>3742</v>
      </c>
    </row>
    <row r="335" spans="1:11" x14ac:dyDescent="0.25">
      <c r="A335" t="s">
        <v>1480</v>
      </c>
      <c r="B335" t="s">
        <v>62</v>
      </c>
      <c r="C335" t="s">
        <v>390</v>
      </c>
      <c r="D335" t="s">
        <v>2371</v>
      </c>
      <c r="E335" t="s">
        <v>3746</v>
      </c>
      <c r="F335" t="s">
        <v>3747</v>
      </c>
      <c r="G335" t="s">
        <v>3086</v>
      </c>
      <c r="I335" t="s">
        <v>3611</v>
      </c>
      <c r="J335" t="s">
        <v>3486</v>
      </c>
      <c r="K335" t="s">
        <v>3742</v>
      </c>
    </row>
    <row r="336" spans="1:11" x14ac:dyDescent="0.25">
      <c r="A336" t="s">
        <v>1481</v>
      </c>
      <c r="B336" t="s">
        <v>62</v>
      </c>
      <c r="C336" t="s">
        <v>392</v>
      </c>
      <c r="D336" t="s">
        <v>2372</v>
      </c>
      <c r="E336" t="s">
        <v>3748</v>
      </c>
      <c r="F336" t="s">
        <v>3749</v>
      </c>
      <c r="G336" t="s">
        <v>3089</v>
      </c>
      <c r="I336" t="s">
        <v>3611</v>
      </c>
      <c r="J336" t="s">
        <v>3486</v>
      </c>
      <c r="K336" t="s">
        <v>3742</v>
      </c>
    </row>
    <row r="337" spans="1:11" x14ac:dyDescent="0.25">
      <c r="A337" t="s">
        <v>1482</v>
      </c>
      <c r="B337" t="s">
        <v>62</v>
      </c>
      <c r="C337" t="s">
        <v>394</v>
      </c>
      <c r="D337" t="s">
        <v>2373</v>
      </c>
      <c r="E337" t="s">
        <v>3750</v>
      </c>
      <c r="F337" t="s">
        <v>3751</v>
      </c>
      <c r="G337" t="s">
        <v>394</v>
      </c>
      <c r="I337" t="s">
        <v>3611</v>
      </c>
      <c r="J337" t="s">
        <v>3486</v>
      </c>
      <c r="K337" t="s">
        <v>3742</v>
      </c>
    </row>
    <row r="338" spans="1:11" x14ac:dyDescent="0.25">
      <c r="A338" t="s">
        <v>1483</v>
      </c>
      <c r="B338" t="s">
        <v>62</v>
      </c>
      <c r="C338" t="s">
        <v>396</v>
      </c>
      <c r="D338" t="s">
        <v>2374</v>
      </c>
      <c r="E338" t="s">
        <v>3752</v>
      </c>
      <c r="F338" t="s">
        <v>3753</v>
      </c>
      <c r="G338" t="s">
        <v>396</v>
      </c>
      <c r="I338" t="s">
        <v>3611</v>
      </c>
      <c r="J338" t="s">
        <v>3486</v>
      </c>
      <c r="K338" t="s">
        <v>3742</v>
      </c>
    </row>
    <row r="339" spans="1:11" x14ac:dyDescent="0.25">
      <c r="A339" t="s">
        <v>1484</v>
      </c>
      <c r="B339" t="s">
        <v>62</v>
      </c>
      <c r="C339" t="s">
        <v>398</v>
      </c>
      <c r="D339" t="s">
        <v>2375</v>
      </c>
      <c r="E339" t="s">
        <v>3754</v>
      </c>
      <c r="F339" t="s">
        <v>3755</v>
      </c>
      <c r="G339" t="s">
        <v>398</v>
      </c>
      <c r="I339" t="s">
        <v>3611</v>
      </c>
      <c r="J339" t="s">
        <v>3486</v>
      </c>
      <c r="K339" t="s">
        <v>3742</v>
      </c>
    </row>
    <row r="340" spans="1:11" x14ac:dyDescent="0.25">
      <c r="A340" t="s">
        <v>1485</v>
      </c>
      <c r="B340" t="s">
        <v>62</v>
      </c>
      <c r="C340" t="s">
        <v>541</v>
      </c>
      <c r="D340" t="s">
        <v>2376</v>
      </c>
      <c r="E340" t="s">
        <v>3756</v>
      </c>
      <c r="F340" t="s">
        <v>3757</v>
      </c>
      <c r="G340" t="s">
        <v>3100</v>
      </c>
      <c r="I340" t="s">
        <v>3611</v>
      </c>
      <c r="J340" t="s">
        <v>3486</v>
      </c>
      <c r="K340" t="s">
        <v>3742</v>
      </c>
    </row>
    <row r="341" spans="1:11" x14ac:dyDescent="0.25">
      <c r="A341" t="s">
        <v>1486</v>
      </c>
      <c r="B341" t="s">
        <v>62</v>
      </c>
      <c r="C341" t="s">
        <v>374</v>
      </c>
      <c r="D341" t="s">
        <v>2377</v>
      </c>
      <c r="E341" t="s">
        <v>3758</v>
      </c>
      <c r="F341" t="s">
        <v>3759</v>
      </c>
      <c r="G341" t="s">
        <v>3745</v>
      </c>
      <c r="I341" t="s">
        <v>3611</v>
      </c>
      <c r="J341" t="s">
        <v>3486</v>
      </c>
      <c r="K341" t="s">
        <v>3742</v>
      </c>
    </row>
    <row r="342" spans="1:11" x14ac:dyDescent="0.25">
      <c r="A342" t="s">
        <v>1487</v>
      </c>
      <c r="B342" t="s">
        <v>62</v>
      </c>
      <c r="C342" t="s">
        <v>376</v>
      </c>
      <c r="D342" t="s">
        <v>2378</v>
      </c>
      <c r="E342" t="s">
        <v>3760</v>
      </c>
      <c r="F342" t="s">
        <v>3761</v>
      </c>
      <c r="G342" t="s">
        <v>3067</v>
      </c>
      <c r="I342" t="s">
        <v>3611</v>
      </c>
      <c r="J342" t="s">
        <v>3486</v>
      </c>
      <c r="K342" t="s">
        <v>3742</v>
      </c>
    </row>
    <row r="343" spans="1:11" x14ac:dyDescent="0.25">
      <c r="A343" t="s">
        <v>1488</v>
      </c>
      <c r="B343" t="s">
        <v>62</v>
      </c>
      <c r="C343" t="s">
        <v>378</v>
      </c>
      <c r="D343" t="s">
        <v>2379</v>
      </c>
      <c r="E343" t="s">
        <v>3762</v>
      </c>
      <c r="F343" t="s">
        <v>3763</v>
      </c>
      <c r="G343" t="s">
        <v>3070</v>
      </c>
      <c r="I343" t="s">
        <v>3611</v>
      </c>
      <c r="J343" t="s">
        <v>3486</v>
      </c>
      <c r="K343" t="s">
        <v>3742</v>
      </c>
    </row>
    <row r="344" spans="1:11" x14ac:dyDescent="0.25">
      <c r="A344" t="s">
        <v>1489</v>
      </c>
      <c r="B344" t="s">
        <v>62</v>
      </c>
      <c r="C344" t="s">
        <v>380</v>
      </c>
      <c r="D344" t="s">
        <v>2380</v>
      </c>
      <c r="E344" t="s">
        <v>3764</v>
      </c>
      <c r="F344" t="s">
        <v>3765</v>
      </c>
      <c r="G344" t="s">
        <v>380</v>
      </c>
      <c r="I344" t="s">
        <v>3611</v>
      </c>
      <c r="J344" t="s">
        <v>3486</v>
      </c>
      <c r="K344" t="s">
        <v>3742</v>
      </c>
    </row>
    <row r="345" spans="1:11" x14ac:dyDescent="0.25">
      <c r="A345" t="s">
        <v>1490</v>
      </c>
      <c r="B345" t="s">
        <v>62</v>
      </c>
      <c r="C345" t="s">
        <v>382</v>
      </c>
      <c r="D345" t="s">
        <v>2381</v>
      </c>
      <c r="E345" t="s">
        <v>3766</v>
      </c>
      <c r="F345" t="s">
        <v>3767</v>
      </c>
      <c r="G345" t="s">
        <v>382</v>
      </c>
      <c r="I345" t="s">
        <v>3611</v>
      </c>
      <c r="J345" t="s">
        <v>3486</v>
      </c>
      <c r="K345" t="s">
        <v>3742</v>
      </c>
    </row>
    <row r="346" spans="1:11" x14ac:dyDescent="0.25">
      <c r="A346" t="s">
        <v>1491</v>
      </c>
      <c r="B346" t="s">
        <v>62</v>
      </c>
      <c r="C346" t="s">
        <v>384</v>
      </c>
      <c r="D346" t="s">
        <v>2382</v>
      </c>
      <c r="E346" t="s">
        <v>3768</v>
      </c>
      <c r="F346" t="s">
        <v>3769</v>
      </c>
      <c r="G346" t="s">
        <v>384</v>
      </c>
      <c r="I346" t="s">
        <v>3611</v>
      </c>
      <c r="J346" t="s">
        <v>3486</v>
      </c>
      <c r="K346" t="s">
        <v>3742</v>
      </c>
    </row>
    <row r="347" spans="1:11" x14ac:dyDescent="0.25">
      <c r="A347" t="s">
        <v>1492</v>
      </c>
      <c r="B347" t="s">
        <v>62</v>
      </c>
      <c r="C347" t="s">
        <v>549</v>
      </c>
      <c r="D347" t="s">
        <v>2383</v>
      </c>
      <c r="E347" t="s">
        <v>3770</v>
      </c>
      <c r="F347" t="s">
        <v>3771</v>
      </c>
      <c r="G347" t="s">
        <v>3080</v>
      </c>
      <c r="I347" t="s">
        <v>3611</v>
      </c>
      <c r="J347" t="s">
        <v>3486</v>
      </c>
      <c r="K347" t="s">
        <v>3742</v>
      </c>
    </row>
    <row r="348" spans="1:11" x14ac:dyDescent="0.25">
      <c r="A348" t="s">
        <v>1493</v>
      </c>
      <c r="B348" t="s">
        <v>62</v>
      </c>
      <c r="C348" t="s">
        <v>402</v>
      </c>
      <c r="D348" t="s">
        <v>2384</v>
      </c>
      <c r="E348" t="s">
        <v>3772</v>
      </c>
      <c r="F348" t="s">
        <v>3773</v>
      </c>
      <c r="G348" t="s">
        <v>3103</v>
      </c>
      <c r="I348" t="s">
        <v>3611</v>
      </c>
      <c r="J348" t="s">
        <v>3486</v>
      </c>
      <c r="K348" t="s">
        <v>3742</v>
      </c>
    </row>
    <row r="349" spans="1:11" x14ac:dyDescent="0.25">
      <c r="A349" t="s">
        <v>1494</v>
      </c>
      <c r="B349" t="s">
        <v>62</v>
      </c>
      <c r="C349" t="s">
        <v>404</v>
      </c>
      <c r="D349" t="s">
        <v>2385</v>
      </c>
      <c r="E349" t="s">
        <v>3774</v>
      </c>
      <c r="F349" t="s">
        <v>3775</v>
      </c>
      <c r="G349" t="s">
        <v>3106</v>
      </c>
      <c r="I349" t="s">
        <v>3611</v>
      </c>
      <c r="J349" t="s">
        <v>3486</v>
      </c>
      <c r="K349" t="s">
        <v>3742</v>
      </c>
    </row>
    <row r="350" spans="1:11" x14ac:dyDescent="0.25">
      <c r="A350" t="s">
        <v>1495</v>
      </c>
      <c r="B350" t="s">
        <v>62</v>
      </c>
      <c r="C350" t="s">
        <v>406</v>
      </c>
      <c r="D350" t="s">
        <v>2386</v>
      </c>
      <c r="E350" t="s">
        <v>3776</v>
      </c>
      <c r="F350" t="s">
        <v>3777</v>
      </c>
      <c r="G350" t="s">
        <v>3109</v>
      </c>
      <c r="I350" t="s">
        <v>3611</v>
      </c>
      <c r="J350" t="s">
        <v>3486</v>
      </c>
      <c r="K350" t="s">
        <v>3742</v>
      </c>
    </row>
    <row r="351" spans="1:11" x14ac:dyDescent="0.25">
      <c r="A351" t="s">
        <v>1496</v>
      </c>
      <c r="B351" t="s">
        <v>62</v>
      </c>
      <c r="C351" t="s">
        <v>408</v>
      </c>
      <c r="D351" t="s">
        <v>2387</v>
      </c>
      <c r="E351" t="s">
        <v>3778</v>
      </c>
      <c r="F351" t="s">
        <v>3779</v>
      </c>
      <c r="G351" t="s">
        <v>408</v>
      </c>
      <c r="I351" t="s">
        <v>3611</v>
      </c>
      <c r="J351" t="s">
        <v>3486</v>
      </c>
      <c r="K351" t="s">
        <v>3742</v>
      </c>
    </row>
    <row r="352" spans="1:11" x14ac:dyDescent="0.25">
      <c r="A352" t="s">
        <v>1497</v>
      </c>
      <c r="B352" t="s">
        <v>62</v>
      </c>
      <c r="C352" t="s">
        <v>410</v>
      </c>
      <c r="D352" t="s">
        <v>2388</v>
      </c>
      <c r="E352" t="s">
        <v>3780</v>
      </c>
      <c r="F352" t="s">
        <v>3781</v>
      </c>
      <c r="G352" t="s">
        <v>410</v>
      </c>
      <c r="I352" t="s">
        <v>3611</v>
      </c>
      <c r="J352" t="s">
        <v>3486</v>
      </c>
      <c r="K352" t="s">
        <v>3742</v>
      </c>
    </row>
    <row r="353" spans="1:11" x14ac:dyDescent="0.25">
      <c r="A353" t="s">
        <v>1498</v>
      </c>
      <c r="B353" t="s">
        <v>62</v>
      </c>
      <c r="C353" t="s">
        <v>412</v>
      </c>
      <c r="D353" t="s">
        <v>2389</v>
      </c>
      <c r="E353" t="s">
        <v>3782</v>
      </c>
      <c r="F353" t="s">
        <v>3783</v>
      </c>
      <c r="G353" t="s">
        <v>412</v>
      </c>
      <c r="I353" t="s">
        <v>3611</v>
      </c>
      <c r="J353" t="s">
        <v>3486</v>
      </c>
      <c r="K353" t="s">
        <v>3742</v>
      </c>
    </row>
    <row r="354" spans="1:11" x14ac:dyDescent="0.25">
      <c r="A354" t="s">
        <v>1499</v>
      </c>
      <c r="B354" t="s">
        <v>62</v>
      </c>
      <c r="C354" t="s">
        <v>557</v>
      </c>
      <c r="D354" t="s">
        <v>2390</v>
      </c>
      <c r="E354" t="s">
        <v>3784</v>
      </c>
      <c r="F354" t="s">
        <v>3785</v>
      </c>
      <c r="G354" t="s">
        <v>3120</v>
      </c>
      <c r="I354" t="s">
        <v>3611</v>
      </c>
      <c r="J354" t="s">
        <v>3486</v>
      </c>
      <c r="K354" t="s">
        <v>3742</v>
      </c>
    </row>
    <row r="355" spans="1:11" x14ac:dyDescent="0.25">
      <c r="A355" t="s">
        <v>1500</v>
      </c>
      <c r="B355" t="s">
        <v>62</v>
      </c>
      <c r="C355" t="s">
        <v>416</v>
      </c>
      <c r="D355" t="s">
        <v>2391</v>
      </c>
      <c r="E355" t="s">
        <v>3786</v>
      </c>
      <c r="F355" t="s">
        <v>3787</v>
      </c>
      <c r="G355" t="s">
        <v>3144</v>
      </c>
      <c r="I355" t="s">
        <v>3611</v>
      </c>
      <c r="J355" t="s">
        <v>3486</v>
      </c>
      <c r="K355" t="s">
        <v>3742</v>
      </c>
    </row>
    <row r="356" spans="1:11" x14ac:dyDescent="0.25">
      <c r="A356" t="s">
        <v>1501</v>
      </c>
      <c r="B356" t="s">
        <v>62</v>
      </c>
      <c r="C356" t="s">
        <v>418</v>
      </c>
      <c r="D356" t="s">
        <v>2392</v>
      </c>
      <c r="E356" t="s">
        <v>3788</v>
      </c>
      <c r="F356" t="s">
        <v>3789</v>
      </c>
      <c r="G356" t="s">
        <v>3147</v>
      </c>
      <c r="I356" t="s">
        <v>3611</v>
      </c>
      <c r="J356" t="s">
        <v>3486</v>
      </c>
      <c r="K356" t="s">
        <v>3742</v>
      </c>
    </row>
    <row r="357" spans="1:11" x14ac:dyDescent="0.25">
      <c r="A357" t="s">
        <v>1502</v>
      </c>
      <c r="B357" t="s">
        <v>62</v>
      </c>
      <c r="C357" t="s">
        <v>420</v>
      </c>
      <c r="D357" t="s">
        <v>2393</v>
      </c>
      <c r="E357" t="s">
        <v>3790</v>
      </c>
      <c r="F357" t="s">
        <v>3791</v>
      </c>
      <c r="G357" t="s">
        <v>3150</v>
      </c>
      <c r="I357" t="s">
        <v>3611</v>
      </c>
      <c r="J357" t="s">
        <v>3486</v>
      </c>
      <c r="K357" t="s">
        <v>3742</v>
      </c>
    </row>
    <row r="358" spans="1:11" x14ac:dyDescent="0.25">
      <c r="A358" t="s">
        <v>1503</v>
      </c>
      <c r="B358" t="s">
        <v>62</v>
      </c>
      <c r="C358" t="s">
        <v>422</v>
      </c>
      <c r="D358" t="s">
        <v>2394</v>
      </c>
      <c r="E358" t="s">
        <v>3792</v>
      </c>
      <c r="F358" t="s">
        <v>3793</v>
      </c>
      <c r="G358" t="s">
        <v>422</v>
      </c>
      <c r="I358" t="s">
        <v>3611</v>
      </c>
      <c r="J358" t="s">
        <v>3486</v>
      </c>
      <c r="K358" t="s">
        <v>3742</v>
      </c>
    </row>
    <row r="359" spans="1:11" x14ac:dyDescent="0.25">
      <c r="A359" t="s">
        <v>1504</v>
      </c>
      <c r="B359" t="s">
        <v>62</v>
      </c>
      <c r="C359" t="s">
        <v>424</v>
      </c>
      <c r="D359" t="s">
        <v>2395</v>
      </c>
      <c r="E359" t="s">
        <v>3794</v>
      </c>
      <c r="F359" t="s">
        <v>3795</v>
      </c>
      <c r="G359" t="s">
        <v>424</v>
      </c>
      <c r="I359" t="s">
        <v>3611</v>
      </c>
      <c r="J359" t="s">
        <v>3486</v>
      </c>
      <c r="K359" t="s">
        <v>3742</v>
      </c>
    </row>
    <row r="360" spans="1:11" x14ac:dyDescent="0.25">
      <c r="A360" t="s">
        <v>1505</v>
      </c>
      <c r="B360" t="s">
        <v>62</v>
      </c>
      <c r="C360" t="s">
        <v>426</v>
      </c>
      <c r="D360" t="s">
        <v>2396</v>
      </c>
      <c r="E360" t="s">
        <v>3796</v>
      </c>
      <c r="F360" t="s">
        <v>3797</v>
      </c>
      <c r="G360" t="s">
        <v>426</v>
      </c>
      <c r="I360" t="s">
        <v>3611</v>
      </c>
      <c r="J360" t="s">
        <v>3486</v>
      </c>
      <c r="K360" t="s">
        <v>3742</v>
      </c>
    </row>
    <row r="361" spans="1:11" x14ac:dyDescent="0.25">
      <c r="A361" t="s">
        <v>1506</v>
      </c>
      <c r="B361" t="s">
        <v>62</v>
      </c>
      <c r="C361" t="s">
        <v>565</v>
      </c>
      <c r="D361" t="s">
        <v>2397</v>
      </c>
      <c r="E361" t="s">
        <v>3798</v>
      </c>
      <c r="F361" t="s">
        <v>3799</v>
      </c>
      <c r="G361" t="s">
        <v>3161</v>
      </c>
      <c r="I361" t="s">
        <v>3611</v>
      </c>
      <c r="J361" t="s">
        <v>3486</v>
      </c>
      <c r="K361" t="s">
        <v>3742</v>
      </c>
    </row>
    <row r="362" spans="1:11" x14ac:dyDescent="0.25">
      <c r="A362" t="s">
        <v>1507</v>
      </c>
      <c r="B362" t="s">
        <v>62</v>
      </c>
      <c r="C362" t="s">
        <v>430</v>
      </c>
      <c r="D362" t="s">
        <v>2398</v>
      </c>
      <c r="E362" t="s">
        <v>3800</v>
      </c>
      <c r="F362" t="s">
        <v>3801</v>
      </c>
      <c r="G362" t="s">
        <v>3164</v>
      </c>
      <c r="I362" t="s">
        <v>3611</v>
      </c>
      <c r="J362" t="s">
        <v>3486</v>
      </c>
      <c r="K362" t="s">
        <v>3742</v>
      </c>
    </row>
    <row r="363" spans="1:11" x14ac:dyDescent="0.25">
      <c r="A363" t="s">
        <v>1508</v>
      </c>
      <c r="B363" t="s">
        <v>62</v>
      </c>
      <c r="C363" t="s">
        <v>432</v>
      </c>
      <c r="D363" t="s">
        <v>2399</v>
      </c>
      <c r="E363" t="s">
        <v>3802</v>
      </c>
      <c r="F363" t="s">
        <v>3803</v>
      </c>
      <c r="G363" t="s">
        <v>3167</v>
      </c>
      <c r="I363" t="s">
        <v>3611</v>
      </c>
      <c r="J363" t="s">
        <v>3486</v>
      </c>
      <c r="K363" t="s">
        <v>3742</v>
      </c>
    </row>
    <row r="364" spans="1:11" x14ac:dyDescent="0.25">
      <c r="A364" t="s">
        <v>1509</v>
      </c>
      <c r="B364" t="s">
        <v>62</v>
      </c>
      <c r="C364" t="s">
        <v>434</v>
      </c>
      <c r="D364" t="s">
        <v>2400</v>
      </c>
      <c r="E364" t="s">
        <v>3804</v>
      </c>
      <c r="F364" t="s">
        <v>3805</v>
      </c>
      <c r="G364" t="s">
        <v>3170</v>
      </c>
      <c r="I364" t="s">
        <v>3611</v>
      </c>
      <c r="J364" t="s">
        <v>3486</v>
      </c>
      <c r="K364" t="s">
        <v>3742</v>
      </c>
    </row>
    <row r="365" spans="1:11" x14ac:dyDescent="0.25">
      <c r="A365" t="s">
        <v>1510</v>
      </c>
      <c r="B365" t="s">
        <v>62</v>
      </c>
      <c r="C365" t="s">
        <v>436</v>
      </c>
      <c r="D365" t="s">
        <v>2401</v>
      </c>
      <c r="E365" t="s">
        <v>3806</v>
      </c>
      <c r="F365" t="s">
        <v>3807</v>
      </c>
      <c r="G365" t="s">
        <v>436</v>
      </c>
      <c r="I365" t="s">
        <v>3611</v>
      </c>
      <c r="J365" t="s">
        <v>3486</v>
      </c>
      <c r="K365" t="s">
        <v>3742</v>
      </c>
    </row>
    <row r="366" spans="1:11" x14ac:dyDescent="0.25">
      <c r="A366" t="s">
        <v>1511</v>
      </c>
      <c r="B366" t="s">
        <v>62</v>
      </c>
      <c r="C366" t="s">
        <v>438</v>
      </c>
      <c r="D366" t="s">
        <v>2402</v>
      </c>
      <c r="E366" t="s">
        <v>3808</v>
      </c>
      <c r="F366" t="s">
        <v>3809</v>
      </c>
      <c r="G366" t="s">
        <v>438</v>
      </c>
      <c r="I366" t="s">
        <v>3611</v>
      </c>
      <c r="J366" t="s">
        <v>3486</v>
      </c>
      <c r="K366" t="s">
        <v>3742</v>
      </c>
    </row>
    <row r="367" spans="1:11" x14ac:dyDescent="0.25">
      <c r="A367" t="s">
        <v>1512</v>
      </c>
      <c r="B367" t="s">
        <v>62</v>
      </c>
      <c r="C367" t="s">
        <v>440</v>
      </c>
      <c r="D367" t="s">
        <v>2403</v>
      </c>
      <c r="E367" t="s">
        <v>3810</v>
      </c>
      <c r="F367" t="s">
        <v>3811</v>
      </c>
      <c r="G367" t="s">
        <v>440</v>
      </c>
      <c r="I367" t="s">
        <v>3611</v>
      </c>
      <c r="J367" t="s">
        <v>3486</v>
      </c>
      <c r="K367" t="s">
        <v>3742</v>
      </c>
    </row>
    <row r="368" spans="1:11" x14ac:dyDescent="0.25">
      <c r="A368" t="s">
        <v>1513</v>
      </c>
      <c r="B368" t="s">
        <v>62</v>
      </c>
      <c r="C368" t="s">
        <v>442</v>
      </c>
      <c r="D368" t="s">
        <v>2404</v>
      </c>
      <c r="E368" t="s">
        <v>3812</v>
      </c>
      <c r="F368" t="s">
        <v>3813</v>
      </c>
      <c r="G368" t="s">
        <v>3181</v>
      </c>
      <c r="I368" t="s">
        <v>3611</v>
      </c>
      <c r="J368" t="s">
        <v>3486</v>
      </c>
      <c r="K368" t="s">
        <v>3742</v>
      </c>
    </row>
    <row r="369" spans="1:11" x14ac:dyDescent="0.25">
      <c r="A369" t="s">
        <v>1514</v>
      </c>
      <c r="B369" t="s">
        <v>62</v>
      </c>
      <c r="C369" t="s">
        <v>154</v>
      </c>
      <c r="D369" t="s">
        <v>2405</v>
      </c>
      <c r="E369" t="s">
        <v>3814</v>
      </c>
      <c r="F369" t="s">
        <v>3815</v>
      </c>
      <c r="G369" t="s">
        <v>3816</v>
      </c>
      <c r="I369" t="s">
        <v>3611</v>
      </c>
      <c r="J369" t="s">
        <v>3486</v>
      </c>
      <c r="K369" t="s">
        <v>3742</v>
      </c>
    </row>
    <row r="370" spans="1:11" x14ac:dyDescent="0.25">
      <c r="A370" t="s">
        <v>1515</v>
      </c>
      <c r="B370" t="s">
        <v>62</v>
      </c>
      <c r="C370" t="s">
        <v>156</v>
      </c>
      <c r="D370" t="s">
        <v>2406</v>
      </c>
      <c r="E370" t="s">
        <v>3817</v>
      </c>
      <c r="F370" t="s">
        <v>3818</v>
      </c>
      <c r="G370" t="s">
        <v>3819</v>
      </c>
      <c r="I370" t="s">
        <v>3611</v>
      </c>
      <c r="J370" t="s">
        <v>3486</v>
      </c>
      <c r="K370" t="s">
        <v>3742</v>
      </c>
    </row>
    <row r="371" spans="1:11" x14ac:dyDescent="0.25">
      <c r="A371" t="s">
        <v>1516</v>
      </c>
      <c r="B371" t="s">
        <v>62</v>
      </c>
      <c r="C371" t="s">
        <v>158</v>
      </c>
      <c r="D371" t="s">
        <v>2407</v>
      </c>
      <c r="E371" t="s">
        <v>3820</v>
      </c>
      <c r="F371" t="s">
        <v>3821</v>
      </c>
      <c r="G371" t="s">
        <v>3822</v>
      </c>
      <c r="I371" t="s">
        <v>3611</v>
      </c>
      <c r="J371" t="s">
        <v>3486</v>
      </c>
      <c r="K371" t="s">
        <v>3742</v>
      </c>
    </row>
    <row r="372" spans="1:11" x14ac:dyDescent="0.25">
      <c r="A372" t="s">
        <v>1517</v>
      </c>
      <c r="B372" t="s">
        <v>62</v>
      </c>
      <c r="C372" t="s">
        <v>160</v>
      </c>
      <c r="D372" t="s">
        <v>2408</v>
      </c>
      <c r="E372" t="s">
        <v>3823</v>
      </c>
      <c r="F372" t="s">
        <v>3824</v>
      </c>
      <c r="G372" t="s">
        <v>3825</v>
      </c>
      <c r="I372" t="s">
        <v>3611</v>
      </c>
      <c r="J372" t="s">
        <v>3486</v>
      </c>
      <c r="K372" t="s">
        <v>3742</v>
      </c>
    </row>
    <row r="373" spans="1:11" x14ac:dyDescent="0.25">
      <c r="A373" t="s">
        <v>1518</v>
      </c>
      <c r="B373" t="s">
        <v>62</v>
      </c>
      <c r="C373" t="s">
        <v>162</v>
      </c>
      <c r="D373" t="s">
        <v>2409</v>
      </c>
      <c r="E373" t="s">
        <v>3826</v>
      </c>
      <c r="F373" t="s">
        <v>3827</v>
      </c>
      <c r="G373" t="s">
        <v>3828</v>
      </c>
      <c r="I373" t="s">
        <v>3611</v>
      </c>
      <c r="J373" t="s">
        <v>3486</v>
      </c>
      <c r="K373" t="s">
        <v>3742</v>
      </c>
    </row>
    <row r="374" spans="1:11" x14ac:dyDescent="0.25">
      <c r="A374" t="s">
        <v>1519</v>
      </c>
      <c r="B374" t="s">
        <v>62</v>
      </c>
      <c r="C374" t="s">
        <v>164</v>
      </c>
      <c r="D374" t="s">
        <v>2410</v>
      </c>
      <c r="E374" t="s">
        <v>3829</v>
      </c>
      <c r="F374" t="s">
        <v>3830</v>
      </c>
      <c r="G374" t="s">
        <v>3831</v>
      </c>
      <c r="I374" t="s">
        <v>3611</v>
      </c>
      <c r="J374" t="s">
        <v>3486</v>
      </c>
      <c r="K374" t="s">
        <v>3742</v>
      </c>
    </row>
    <row r="375" spans="1:11" x14ac:dyDescent="0.25">
      <c r="A375" t="s">
        <v>1520</v>
      </c>
      <c r="B375" t="s">
        <v>62</v>
      </c>
      <c r="C375" t="s">
        <v>580</v>
      </c>
      <c r="D375" t="s">
        <v>2411</v>
      </c>
      <c r="E375" t="s">
        <v>3832</v>
      </c>
      <c r="F375" t="s">
        <v>3833</v>
      </c>
      <c r="G375" t="s">
        <v>3834</v>
      </c>
      <c r="I375" t="s">
        <v>3611</v>
      </c>
      <c r="J375" t="s">
        <v>3486</v>
      </c>
      <c r="K375" t="s">
        <v>3742</v>
      </c>
    </row>
    <row r="376" spans="1:11" x14ac:dyDescent="0.25">
      <c r="A376" t="s">
        <v>1521</v>
      </c>
      <c r="B376" t="s">
        <v>3035</v>
      </c>
      <c r="C376" t="s">
        <v>2952</v>
      </c>
      <c r="D376" t="s">
        <v>3835</v>
      </c>
      <c r="I376" t="s">
        <v>3836</v>
      </c>
      <c r="J376" t="s">
        <v>3308</v>
      </c>
      <c r="K376" t="s">
        <v>3837</v>
      </c>
    </row>
    <row r="377" spans="1:11" x14ac:dyDescent="0.25">
      <c r="A377" t="s">
        <v>1522</v>
      </c>
      <c r="B377" t="s">
        <v>62</v>
      </c>
      <c r="C377" t="s">
        <v>254</v>
      </c>
      <c r="D377" t="s">
        <v>2412</v>
      </c>
      <c r="E377" t="s">
        <v>3838</v>
      </c>
      <c r="F377" t="s">
        <v>3839</v>
      </c>
      <c r="G377" t="s">
        <v>3307</v>
      </c>
      <c r="I377" t="s">
        <v>3836</v>
      </c>
      <c r="J377" t="s">
        <v>3308</v>
      </c>
      <c r="K377" t="s">
        <v>3837</v>
      </c>
    </row>
    <row r="378" spans="1:11" x14ac:dyDescent="0.25">
      <c r="A378" t="s">
        <v>1523</v>
      </c>
      <c r="B378" t="s">
        <v>62</v>
      </c>
      <c r="C378" t="s">
        <v>256</v>
      </c>
      <c r="D378" t="s">
        <v>2413</v>
      </c>
      <c r="E378" t="s">
        <v>3840</v>
      </c>
      <c r="F378" t="s">
        <v>3841</v>
      </c>
      <c r="G378" t="s">
        <v>3311</v>
      </c>
      <c r="I378" t="s">
        <v>3836</v>
      </c>
      <c r="J378" t="s">
        <v>3308</v>
      </c>
      <c r="K378" t="s">
        <v>3837</v>
      </c>
    </row>
    <row r="379" spans="1:11" x14ac:dyDescent="0.25">
      <c r="A379" t="s">
        <v>1524</v>
      </c>
      <c r="B379" t="s">
        <v>62</v>
      </c>
      <c r="C379" t="s">
        <v>258</v>
      </c>
      <c r="D379" t="s">
        <v>2414</v>
      </c>
      <c r="E379" t="s">
        <v>3842</v>
      </c>
      <c r="F379" t="s">
        <v>3843</v>
      </c>
      <c r="G379" t="s">
        <v>3314</v>
      </c>
      <c r="I379" t="s">
        <v>3836</v>
      </c>
      <c r="J379" t="s">
        <v>3308</v>
      </c>
      <c r="K379" t="s">
        <v>3837</v>
      </c>
    </row>
    <row r="380" spans="1:11" x14ac:dyDescent="0.25">
      <c r="A380" t="s">
        <v>1525</v>
      </c>
      <c r="B380" t="s">
        <v>62</v>
      </c>
      <c r="C380" t="s">
        <v>260</v>
      </c>
      <c r="D380" t="s">
        <v>2415</v>
      </c>
      <c r="E380" t="s">
        <v>3844</v>
      </c>
      <c r="F380" t="s">
        <v>3845</v>
      </c>
      <c r="G380" t="s">
        <v>260</v>
      </c>
      <c r="I380" t="s">
        <v>3836</v>
      </c>
      <c r="J380" t="s">
        <v>3308</v>
      </c>
      <c r="K380" t="s">
        <v>3837</v>
      </c>
    </row>
    <row r="381" spans="1:11" x14ac:dyDescent="0.25">
      <c r="A381" t="s">
        <v>1526</v>
      </c>
      <c r="B381" t="s">
        <v>62</v>
      </c>
      <c r="C381" t="s">
        <v>262</v>
      </c>
      <c r="D381" t="s">
        <v>2416</v>
      </c>
      <c r="E381" t="s">
        <v>3846</v>
      </c>
      <c r="F381" t="s">
        <v>3847</v>
      </c>
      <c r="G381" t="s">
        <v>262</v>
      </c>
      <c r="I381" t="s">
        <v>3836</v>
      </c>
      <c r="J381" t="s">
        <v>3308</v>
      </c>
      <c r="K381" t="s">
        <v>3837</v>
      </c>
    </row>
    <row r="382" spans="1:11" x14ac:dyDescent="0.25">
      <c r="A382" t="s">
        <v>1527</v>
      </c>
      <c r="B382" t="s">
        <v>62</v>
      </c>
      <c r="C382" t="s">
        <v>264</v>
      </c>
      <c r="D382" t="s">
        <v>2417</v>
      </c>
      <c r="E382" t="s">
        <v>3848</v>
      </c>
      <c r="F382" t="s">
        <v>3849</v>
      </c>
      <c r="G382" t="s">
        <v>264</v>
      </c>
      <c r="I382" t="s">
        <v>3836</v>
      </c>
      <c r="J382" t="s">
        <v>3308</v>
      </c>
      <c r="K382" t="s">
        <v>3837</v>
      </c>
    </row>
    <row r="383" spans="1:11" x14ac:dyDescent="0.25">
      <c r="A383" t="s">
        <v>1528</v>
      </c>
      <c r="B383" t="s">
        <v>62</v>
      </c>
      <c r="C383" t="s">
        <v>266</v>
      </c>
      <c r="D383" t="s">
        <v>2418</v>
      </c>
      <c r="E383" t="s">
        <v>3850</v>
      </c>
      <c r="F383" t="s">
        <v>3851</v>
      </c>
      <c r="G383" t="s">
        <v>3323</v>
      </c>
      <c r="I383" t="s">
        <v>3836</v>
      </c>
      <c r="J383" t="s">
        <v>3308</v>
      </c>
      <c r="K383" t="s">
        <v>3837</v>
      </c>
    </row>
    <row r="384" spans="1:11" x14ac:dyDescent="0.25">
      <c r="A384" t="s">
        <v>1529</v>
      </c>
      <c r="B384" t="s">
        <v>62</v>
      </c>
      <c r="C384" t="s">
        <v>268</v>
      </c>
      <c r="D384" t="s">
        <v>2419</v>
      </c>
      <c r="E384" t="s">
        <v>3852</v>
      </c>
      <c r="F384" t="s">
        <v>3853</v>
      </c>
      <c r="G384" t="s">
        <v>3326</v>
      </c>
      <c r="I384" t="s">
        <v>3836</v>
      </c>
      <c r="J384" t="s">
        <v>3308</v>
      </c>
      <c r="K384" t="s">
        <v>3837</v>
      </c>
    </row>
    <row r="385" spans="1:11" x14ac:dyDescent="0.25">
      <c r="A385" t="s">
        <v>1530</v>
      </c>
      <c r="B385" t="s">
        <v>62</v>
      </c>
      <c r="C385" t="s">
        <v>270</v>
      </c>
      <c r="D385" t="s">
        <v>2420</v>
      </c>
      <c r="E385" t="s">
        <v>3854</v>
      </c>
      <c r="F385" t="s">
        <v>3855</v>
      </c>
      <c r="G385" t="s">
        <v>3329</v>
      </c>
      <c r="I385" t="s">
        <v>3836</v>
      </c>
      <c r="J385" t="s">
        <v>3308</v>
      </c>
      <c r="K385" t="s">
        <v>3837</v>
      </c>
    </row>
    <row r="386" spans="1:11" x14ac:dyDescent="0.25">
      <c r="A386" t="s">
        <v>1531</v>
      </c>
      <c r="B386" t="s">
        <v>62</v>
      </c>
      <c r="C386" t="s">
        <v>272</v>
      </c>
      <c r="D386" t="s">
        <v>2421</v>
      </c>
      <c r="E386" t="s">
        <v>3856</v>
      </c>
      <c r="F386" t="s">
        <v>3857</v>
      </c>
      <c r="G386" t="s">
        <v>3332</v>
      </c>
      <c r="I386" t="s">
        <v>3836</v>
      </c>
      <c r="J386" t="s">
        <v>3308</v>
      </c>
      <c r="K386" t="s">
        <v>3837</v>
      </c>
    </row>
    <row r="387" spans="1:11" x14ac:dyDescent="0.25">
      <c r="A387" t="s">
        <v>1532</v>
      </c>
      <c r="B387" t="s">
        <v>62</v>
      </c>
      <c r="C387" t="s">
        <v>274</v>
      </c>
      <c r="D387" t="s">
        <v>2422</v>
      </c>
      <c r="E387" t="s">
        <v>3858</v>
      </c>
      <c r="F387" t="s">
        <v>3859</v>
      </c>
      <c r="G387" t="s">
        <v>274</v>
      </c>
      <c r="I387" t="s">
        <v>3836</v>
      </c>
      <c r="J387" t="s">
        <v>3308</v>
      </c>
      <c r="K387" t="s">
        <v>3837</v>
      </c>
    </row>
    <row r="388" spans="1:11" x14ac:dyDescent="0.25">
      <c r="A388" t="s">
        <v>1533</v>
      </c>
      <c r="B388" t="s">
        <v>62</v>
      </c>
      <c r="C388" t="s">
        <v>276</v>
      </c>
      <c r="D388" t="s">
        <v>2423</v>
      </c>
      <c r="E388" t="s">
        <v>3860</v>
      </c>
      <c r="F388" t="s">
        <v>3861</v>
      </c>
      <c r="G388" t="s">
        <v>276</v>
      </c>
      <c r="I388" t="s">
        <v>3836</v>
      </c>
      <c r="J388" t="s">
        <v>3308</v>
      </c>
      <c r="K388" t="s">
        <v>3837</v>
      </c>
    </row>
    <row r="389" spans="1:11" x14ac:dyDescent="0.25">
      <c r="A389" t="s">
        <v>1534</v>
      </c>
      <c r="B389" t="s">
        <v>62</v>
      </c>
      <c r="C389" t="s">
        <v>278</v>
      </c>
      <c r="D389" t="s">
        <v>2424</v>
      </c>
      <c r="E389" t="s">
        <v>3862</v>
      </c>
      <c r="F389" t="s">
        <v>3863</v>
      </c>
      <c r="G389" t="s">
        <v>278</v>
      </c>
      <c r="I389" t="s">
        <v>3836</v>
      </c>
      <c r="J389" t="s">
        <v>3308</v>
      </c>
      <c r="K389" t="s">
        <v>3837</v>
      </c>
    </row>
    <row r="390" spans="1:11" x14ac:dyDescent="0.25">
      <c r="A390" t="s">
        <v>1535</v>
      </c>
      <c r="B390" t="s">
        <v>62</v>
      </c>
      <c r="C390" t="s">
        <v>280</v>
      </c>
      <c r="D390" t="s">
        <v>2425</v>
      </c>
      <c r="E390" t="s">
        <v>3864</v>
      </c>
      <c r="F390" t="s">
        <v>3865</v>
      </c>
      <c r="G390" t="s">
        <v>3341</v>
      </c>
      <c r="I390" t="s">
        <v>3836</v>
      </c>
      <c r="J390" t="s">
        <v>3308</v>
      </c>
      <c r="K390" t="s">
        <v>3837</v>
      </c>
    </row>
    <row r="391" spans="1:11" x14ac:dyDescent="0.25">
      <c r="A391" t="s">
        <v>1536</v>
      </c>
      <c r="B391" t="s">
        <v>62</v>
      </c>
      <c r="C391" t="s">
        <v>282</v>
      </c>
      <c r="D391" t="s">
        <v>2426</v>
      </c>
      <c r="E391" t="s">
        <v>3866</v>
      </c>
      <c r="F391" t="s">
        <v>3867</v>
      </c>
      <c r="G391" t="s">
        <v>3344</v>
      </c>
      <c r="I391" t="s">
        <v>3836</v>
      </c>
      <c r="J391" t="s">
        <v>3308</v>
      </c>
      <c r="K391" t="s">
        <v>3837</v>
      </c>
    </row>
    <row r="392" spans="1:11" x14ac:dyDescent="0.25">
      <c r="A392" t="s">
        <v>1537</v>
      </c>
      <c r="B392" t="s">
        <v>62</v>
      </c>
      <c r="C392" t="s">
        <v>284</v>
      </c>
      <c r="D392" t="s">
        <v>2427</v>
      </c>
      <c r="E392" t="s">
        <v>3868</v>
      </c>
      <c r="F392" t="s">
        <v>3869</v>
      </c>
      <c r="G392" t="s">
        <v>3347</v>
      </c>
      <c r="I392" t="s">
        <v>3836</v>
      </c>
      <c r="J392" t="s">
        <v>3308</v>
      </c>
      <c r="K392" t="s">
        <v>3837</v>
      </c>
    </row>
    <row r="393" spans="1:11" x14ac:dyDescent="0.25">
      <c r="A393" t="s">
        <v>1538</v>
      </c>
      <c r="B393" t="s">
        <v>62</v>
      </c>
      <c r="C393" t="s">
        <v>286</v>
      </c>
      <c r="D393" t="s">
        <v>2428</v>
      </c>
      <c r="E393" t="s">
        <v>3870</v>
      </c>
      <c r="F393" t="s">
        <v>3871</v>
      </c>
      <c r="G393" t="s">
        <v>3350</v>
      </c>
      <c r="I393" t="s">
        <v>3836</v>
      </c>
      <c r="J393" t="s">
        <v>3308</v>
      </c>
      <c r="K393" t="s">
        <v>3837</v>
      </c>
    </row>
    <row r="394" spans="1:11" x14ac:dyDescent="0.25">
      <c r="A394" t="s">
        <v>1539</v>
      </c>
      <c r="B394" t="s">
        <v>62</v>
      </c>
      <c r="C394" t="s">
        <v>288</v>
      </c>
      <c r="D394" t="s">
        <v>2429</v>
      </c>
      <c r="E394" t="s">
        <v>3872</v>
      </c>
      <c r="F394" t="s">
        <v>3873</v>
      </c>
      <c r="G394" t="s">
        <v>288</v>
      </c>
      <c r="I394" t="s">
        <v>3836</v>
      </c>
      <c r="J394" t="s">
        <v>3308</v>
      </c>
      <c r="K394" t="s">
        <v>3837</v>
      </c>
    </row>
    <row r="395" spans="1:11" x14ac:dyDescent="0.25">
      <c r="A395" t="s">
        <v>1540</v>
      </c>
      <c r="B395" t="s">
        <v>62</v>
      </c>
      <c r="C395" t="s">
        <v>290</v>
      </c>
      <c r="D395" t="s">
        <v>2430</v>
      </c>
      <c r="E395" t="s">
        <v>3874</v>
      </c>
      <c r="F395" t="s">
        <v>3875</v>
      </c>
      <c r="G395" t="s">
        <v>290</v>
      </c>
      <c r="I395" t="s">
        <v>3836</v>
      </c>
      <c r="J395" t="s">
        <v>3308</v>
      </c>
      <c r="K395" t="s">
        <v>3837</v>
      </c>
    </row>
    <row r="396" spans="1:11" x14ac:dyDescent="0.25">
      <c r="A396" t="s">
        <v>1541</v>
      </c>
      <c r="B396" t="s">
        <v>62</v>
      </c>
      <c r="C396" t="s">
        <v>292</v>
      </c>
      <c r="D396" t="s">
        <v>2431</v>
      </c>
      <c r="E396" t="s">
        <v>3876</v>
      </c>
      <c r="F396" t="s">
        <v>3877</v>
      </c>
      <c r="G396" t="s">
        <v>292</v>
      </c>
      <c r="I396" t="s">
        <v>3836</v>
      </c>
      <c r="J396" t="s">
        <v>3308</v>
      </c>
      <c r="K396" t="s">
        <v>3837</v>
      </c>
    </row>
    <row r="397" spans="1:11" x14ac:dyDescent="0.25">
      <c r="A397" t="s">
        <v>1542</v>
      </c>
      <c r="B397" t="s">
        <v>62</v>
      </c>
      <c r="C397" t="s">
        <v>294</v>
      </c>
      <c r="D397" t="s">
        <v>2432</v>
      </c>
      <c r="E397" t="s">
        <v>3878</v>
      </c>
      <c r="F397" t="s">
        <v>3879</v>
      </c>
      <c r="G397" t="s">
        <v>3359</v>
      </c>
      <c r="I397" t="s">
        <v>3836</v>
      </c>
      <c r="J397" t="s">
        <v>3308</v>
      </c>
      <c r="K397" t="s">
        <v>3837</v>
      </c>
    </row>
    <row r="398" spans="1:11" x14ac:dyDescent="0.25">
      <c r="A398" t="s">
        <v>1543</v>
      </c>
      <c r="B398" t="s">
        <v>62</v>
      </c>
      <c r="C398" t="s">
        <v>296</v>
      </c>
      <c r="D398" t="s">
        <v>2433</v>
      </c>
      <c r="E398" t="s">
        <v>3880</v>
      </c>
      <c r="F398" t="s">
        <v>3881</v>
      </c>
      <c r="G398" t="s">
        <v>3362</v>
      </c>
      <c r="I398" t="s">
        <v>3836</v>
      </c>
      <c r="J398" t="s">
        <v>3308</v>
      </c>
      <c r="K398" t="s">
        <v>3837</v>
      </c>
    </row>
    <row r="399" spans="1:11" x14ac:dyDescent="0.25">
      <c r="A399" t="s">
        <v>1544</v>
      </c>
      <c r="B399" t="s">
        <v>62</v>
      </c>
      <c r="C399" t="s">
        <v>298</v>
      </c>
      <c r="D399" t="s">
        <v>2434</v>
      </c>
      <c r="E399" t="s">
        <v>3882</v>
      </c>
      <c r="F399" t="s">
        <v>3883</v>
      </c>
      <c r="G399" t="s">
        <v>3365</v>
      </c>
      <c r="I399" t="s">
        <v>3836</v>
      </c>
      <c r="J399" t="s">
        <v>3308</v>
      </c>
      <c r="K399" t="s">
        <v>3837</v>
      </c>
    </row>
    <row r="400" spans="1:11" x14ac:dyDescent="0.25">
      <c r="A400" t="s">
        <v>1545</v>
      </c>
      <c r="B400" t="s">
        <v>62</v>
      </c>
      <c r="C400" t="s">
        <v>300</v>
      </c>
      <c r="D400" t="s">
        <v>2435</v>
      </c>
      <c r="E400" t="s">
        <v>3884</v>
      </c>
      <c r="F400" t="s">
        <v>3885</v>
      </c>
      <c r="G400" t="s">
        <v>3368</v>
      </c>
      <c r="I400" t="s">
        <v>3836</v>
      </c>
      <c r="J400" t="s">
        <v>3308</v>
      </c>
      <c r="K400" t="s">
        <v>3837</v>
      </c>
    </row>
    <row r="401" spans="1:11" x14ac:dyDescent="0.25">
      <c r="A401" t="s">
        <v>1546</v>
      </c>
      <c r="B401" t="s">
        <v>62</v>
      </c>
      <c r="C401" t="s">
        <v>302</v>
      </c>
      <c r="D401" t="s">
        <v>2436</v>
      </c>
      <c r="E401" t="s">
        <v>3886</v>
      </c>
      <c r="F401" t="s">
        <v>3887</v>
      </c>
      <c r="G401" t="s">
        <v>302</v>
      </c>
      <c r="I401" t="s">
        <v>3836</v>
      </c>
      <c r="J401" t="s">
        <v>3308</v>
      </c>
      <c r="K401" t="s">
        <v>3837</v>
      </c>
    </row>
    <row r="402" spans="1:11" x14ac:dyDescent="0.25">
      <c r="A402" t="s">
        <v>1547</v>
      </c>
      <c r="B402" t="s">
        <v>62</v>
      </c>
      <c r="C402" t="s">
        <v>304</v>
      </c>
      <c r="D402" t="s">
        <v>2437</v>
      </c>
      <c r="E402" t="s">
        <v>3888</v>
      </c>
      <c r="F402" t="s">
        <v>3889</v>
      </c>
      <c r="G402" t="s">
        <v>304</v>
      </c>
      <c r="I402" t="s">
        <v>3836</v>
      </c>
      <c r="J402" t="s">
        <v>3308</v>
      </c>
      <c r="K402" t="s">
        <v>3837</v>
      </c>
    </row>
    <row r="403" spans="1:11" x14ac:dyDescent="0.25">
      <c r="A403" t="s">
        <v>1548</v>
      </c>
      <c r="B403" t="s">
        <v>62</v>
      </c>
      <c r="C403" t="s">
        <v>306</v>
      </c>
      <c r="D403" t="s">
        <v>2438</v>
      </c>
      <c r="E403" t="s">
        <v>3890</v>
      </c>
      <c r="F403" t="s">
        <v>3891</v>
      </c>
      <c r="G403" t="s">
        <v>306</v>
      </c>
      <c r="I403" t="s">
        <v>3836</v>
      </c>
      <c r="J403" t="s">
        <v>3308</v>
      </c>
      <c r="K403" t="s">
        <v>3837</v>
      </c>
    </row>
    <row r="404" spans="1:11" x14ac:dyDescent="0.25">
      <c r="A404" t="s">
        <v>1549</v>
      </c>
      <c r="B404" t="s">
        <v>62</v>
      </c>
      <c r="C404" t="s">
        <v>308</v>
      </c>
      <c r="D404" t="s">
        <v>2439</v>
      </c>
      <c r="E404" t="s">
        <v>3892</v>
      </c>
      <c r="F404" t="s">
        <v>3893</v>
      </c>
      <c r="G404" t="s">
        <v>3377</v>
      </c>
      <c r="I404" t="s">
        <v>3836</v>
      </c>
      <c r="J404" t="s">
        <v>3308</v>
      </c>
      <c r="K404" t="s">
        <v>3837</v>
      </c>
    </row>
    <row r="405" spans="1:11" x14ac:dyDescent="0.25">
      <c r="A405" t="s">
        <v>1550</v>
      </c>
      <c r="B405" t="s">
        <v>62</v>
      </c>
      <c r="C405" t="s">
        <v>310</v>
      </c>
      <c r="D405" t="s">
        <v>2440</v>
      </c>
      <c r="E405" t="s">
        <v>3894</v>
      </c>
      <c r="F405" t="s">
        <v>3895</v>
      </c>
      <c r="G405" t="s">
        <v>3380</v>
      </c>
      <c r="I405" t="s">
        <v>3836</v>
      </c>
      <c r="J405" t="s">
        <v>3308</v>
      </c>
      <c r="K405" t="s">
        <v>3837</v>
      </c>
    </row>
    <row r="406" spans="1:11" x14ac:dyDescent="0.25">
      <c r="A406" t="s">
        <v>1551</v>
      </c>
      <c r="B406" t="s">
        <v>62</v>
      </c>
      <c r="C406" t="s">
        <v>312</v>
      </c>
      <c r="D406" t="s">
        <v>2441</v>
      </c>
      <c r="E406" t="s">
        <v>3896</v>
      </c>
      <c r="F406" t="s">
        <v>3897</v>
      </c>
      <c r="G406" t="s">
        <v>3383</v>
      </c>
      <c r="I406" t="s">
        <v>3836</v>
      </c>
      <c r="J406" t="s">
        <v>3308</v>
      </c>
      <c r="K406" t="s">
        <v>3837</v>
      </c>
    </row>
    <row r="407" spans="1:11" x14ac:dyDescent="0.25">
      <c r="A407" t="s">
        <v>1552</v>
      </c>
      <c r="B407" t="s">
        <v>62</v>
      </c>
      <c r="C407" t="s">
        <v>314</v>
      </c>
      <c r="D407" t="s">
        <v>2442</v>
      </c>
      <c r="E407" t="s">
        <v>3898</v>
      </c>
      <c r="F407" t="s">
        <v>3899</v>
      </c>
      <c r="G407" t="s">
        <v>3386</v>
      </c>
      <c r="I407" t="s">
        <v>3836</v>
      </c>
      <c r="J407" t="s">
        <v>3308</v>
      </c>
      <c r="K407" t="s">
        <v>3837</v>
      </c>
    </row>
    <row r="408" spans="1:11" x14ac:dyDescent="0.25">
      <c r="A408" t="s">
        <v>1553</v>
      </c>
      <c r="B408" t="s">
        <v>62</v>
      </c>
      <c r="C408" t="s">
        <v>316</v>
      </c>
      <c r="D408" t="s">
        <v>2443</v>
      </c>
      <c r="E408" t="s">
        <v>3900</v>
      </c>
      <c r="F408" t="s">
        <v>3901</v>
      </c>
      <c r="G408" t="s">
        <v>3389</v>
      </c>
      <c r="I408" t="s">
        <v>3836</v>
      </c>
      <c r="J408" t="s">
        <v>3308</v>
      </c>
      <c r="K408" t="s">
        <v>3837</v>
      </c>
    </row>
    <row r="409" spans="1:11" x14ac:dyDescent="0.25">
      <c r="A409" t="s">
        <v>1554</v>
      </c>
      <c r="B409" t="s">
        <v>62</v>
      </c>
      <c r="C409" t="s">
        <v>318</v>
      </c>
      <c r="D409" t="s">
        <v>2444</v>
      </c>
      <c r="E409" t="s">
        <v>3902</v>
      </c>
      <c r="F409" t="s">
        <v>3903</v>
      </c>
      <c r="G409" t="s">
        <v>3392</v>
      </c>
      <c r="I409" t="s">
        <v>3836</v>
      </c>
      <c r="J409" t="s">
        <v>3308</v>
      </c>
      <c r="K409" t="s">
        <v>3837</v>
      </c>
    </row>
    <row r="410" spans="1:11" x14ac:dyDescent="0.25">
      <c r="A410" t="s">
        <v>1555</v>
      </c>
      <c r="B410" t="s">
        <v>62</v>
      </c>
      <c r="C410" t="s">
        <v>320</v>
      </c>
      <c r="D410" t="s">
        <v>2445</v>
      </c>
      <c r="E410" t="s">
        <v>3904</v>
      </c>
      <c r="F410" t="s">
        <v>3905</v>
      </c>
      <c r="G410" t="s">
        <v>3395</v>
      </c>
      <c r="I410" t="s">
        <v>3836</v>
      </c>
      <c r="J410" t="s">
        <v>3308</v>
      </c>
      <c r="K410" t="s">
        <v>3837</v>
      </c>
    </row>
    <row r="411" spans="1:11" x14ac:dyDescent="0.25">
      <c r="A411" t="s">
        <v>1556</v>
      </c>
      <c r="B411" t="s">
        <v>62</v>
      </c>
      <c r="C411" t="s">
        <v>322</v>
      </c>
      <c r="D411" t="s">
        <v>2446</v>
      </c>
      <c r="E411" t="s">
        <v>3906</v>
      </c>
      <c r="F411" t="s">
        <v>3907</v>
      </c>
      <c r="G411" t="s">
        <v>3398</v>
      </c>
      <c r="I411" t="s">
        <v>3836</v>
      </c>
      <c r="J411" t="s">
        <v>3308</v>
      </c>
      <c r="K411" t="s">
        <v>3837</v>
      </c>
    </row>
    <row r="412" spans="1:11" x14ac:dyDescent="0.25">
      <c r="A412" t="s">
        <v>1557</v>
      </c>
      <c r="B412" t="s">
        <v>62</v>
      </c>
      <c r="C412" t="s">
        <v>324</v>
      </c>
      <c r="D412" t="s">
        <v>2447</v>
      </c>
      <c r="E412" t="s">
        <v>3908</v>
      </c>
      <c r="F412" t="s">
        <v>3909</v>
      </c>
      <c r="G412" t="s">
        <v>3401</v>
      </c>
      <c r="I412" t="s">
        <v>3836</v>
      </c>
      <c r="J412" t="s">
        <v>3308</v>
      </c>
      <c r="K412" t="s">
        <v>3837</v>
      </c>
    </row>
    <row r="413" spans="1:11" x14ac:dyDescent="0.25">
      <c r="A413" t="s">
        <v>1558</v>
      </c>
      <c r="B413" t="s">
        <v>62</v>
      </c>
      <c r="C413" t="s">
        <v>326</v>
      </c>
      <c r="D413" t="s">
        <v>2448</v>
      </c>
      <c r="E413" t="s">
        <v>3910</v>
      </c>
      <c r="F413" t="s">
        <v>3911</v>
      </c>
      <c r="G413" t="s">
        <v>3404</v>
      </c>
      <c r="I413" t="s">
        <v>3836</v>
      </c>
      <c r="J413" t="s">
        <v>3308</v>
      </c>
      <c r="K413" t="s">
        <v>3837</v>
      </c>
    </row>
    <row r="414" spans="1:11" x14ac:dyDescent="0.25">
      <c r="A414" t="s">
        <v>1559</v>
      </c>
      <c r="B414" t="s">
        <v>62</v>
      </c>
      <c r="C414" t="s">
        <v>328</v>
      </c>
      <c r="D414" t="s">
        <v>2449</v>
      </c>
      <c r="E414" t="s">
        <v>3912</v>
      </c>
      <c r="F414" t="s">
        <v>3913</v>
      </c>
      <c r="G414" t="s">
        <v>3407</v>
      </c>
      <c r="I414" t="s">
        <v>3836</v>
      </c>
      <c r="J414" t="s">
        <v>3308</v>
      </c>
      <c r="K414" t="s">
        <v>3837</v>
      </c>
    </row>
    <row r="415" spans="1:11" x14ac:dyDescent="0.25">
      <c r="A415" t="s">
        <v>1560</v>
      </c>
      <c r="B415" t="s">
        <v>62</v>
      </c>
      <c r="C415" t="s">
        <v>330</v>
      </c>
      <c r="D415" t="s">
        <v>2450</v>
      </c>
      <c r="E415" t="s">
        <v>3914</v>
      </c>
      <c r="F415" t="s">
        <v>3915</v>
      </c>
      <c r="G415" t="s">
        <v>330</v>
      </c>
      <c r="I415" t="s">
        <v>3836</v>
      </c>
      <c r="J415" t="s">
        <v>3308</v>
      </c>
      <c r="K415" t="s">
        <v>3837</v>
      </c>
    </row>
    <row r="416" spans="1:11" x14ac:dyDescent="0.25">
      <c r="A416" t="s">
        <v>1561</v>
      </c>
      <c r="B416" t="s">
        <v>62</v>
      </c>
      <c r="C416" t="s">
        <v>332</v>
      </c>
      <c r="D416" t="s">
        <v>2451</v>
      </c>
      <c r="E416" t="s">
        <v>3916</v>
      </c>
      <c r="F416" t="s">
        <v>3917</v>
      </c>
      <c r="G416" t="s">
        <v>332</v>
      </c>
      <c r="I416" t="s">
        <v>3836</v>
      </c>
      <c r="J416" t="s">
        <v>3308</v>
      </c>
      <c r="K416" t="s">
        <v>3837</v>
      </c>
    </row>
    <row r="417" spans="1:11" x14ac:dyDescent="0.25">
      <c r="A417" t="s">
        <v>1562</v>
      </c>
      <c r="B417" t="s">
        <v>62</v>
      </c>
      <c r="C417" t="s">
        <v>334</v>
      </c>
      <c r="D417" t="s">
        <v>2452</v>
      </c>
      <c r="E417" t="s">
        <v>3918</v>
      </c>
      <c r="F417" t="s">
        <v>3919</v>
      </c>
      <c r="G417" t="s">
        <v>334</v>
      </c>
      <c r="I417" t="s">
        <v>3836</v>
      </c>
      <c r="J417" t="s">
        <v>3308</v>
      </c>
      <c r="K417" t="s">
        <v>3837</v>
      </c>
    </row>
    <row r="418" spans="1:11" x14ac:dyDescent="0.25">
      <c r="A418" t="s">
        <v>1563</v>
      </c>
      <c r="B418" t="s">
        <v>62</v>
      </c>
      <c r="C418" t="s">
        <v>162</v>
      </c>
      <c r="D418" t="s">
        <v>2453</v>
      </c>
      <c r="E418" t="s">
        <v>3920</v>
      </c>
      <c r="F418" t="s">
        <v>3921</v>
      </c>
      <c r="G418" t="s">
        <v>3416</v>
      </c>
      <c r="I418" t="s">
        <v>3836</v>
      </c>
      <c r="J418" t="s">
        <v>3308</v>
      </c>
      <c r="K418" t="s">
        <v>3837</v>
      </c>
    </row>
    <row r="419" spans="1:11" x14ac:dyDescent="0.25">
      <c r="A419" t="s">
        <v>1564</v>
      </c>
      <c r="B419" t="s">
        <v>62</v>
      </c>
      <c r="C419" t="s">
        <v>337</v>
      </c>
      <c r="D419" t="s">
        <v>2454</v>
      </c>
      <c r="E419" t="s">
        <v>3922</v>
      </c>
      <c r="F419" t="s">
        <v>3923</v>
      </c>
      <c r="G419" t="s">
        <v>3419</v>
      </c>
      <c r="I419" t="s">
        <v>3836</v>
      </c>
      <c r="J419" t="s">
        <v>3308</v>
      </c>
      <c r="K419" t="s">
        <v>3837</v>
      </c>
    </row>
    <row r="420" spans="1:11" x14ac:dyDescent="0.25">
      <c r="A420" t="s">
        <v>1565</v>
      </c>
      <c r="B420" t="s">
        <v>62</v>
      </c>
      <c r="C420" t="s">
        <v>339</v>
      </c>
      <c r="D420" t="s">
        <v>2455</v>
      </c>
      <c r="E420" t="s">
        <v>3924</v>
      </c>
      <c r="F420" t="s">
        <v>3925</v>
      </c>
      <c r="G420" t="s">
        <v>3422</v>
      </c>
      <c r="I420" t="s">
        <v>3836</v>
      </c>
      <c r="J420" t="s">
        <v>3308</v>
      </c>
      <c r="K420" t="s">
        <v>3837</v>
      </c>
    </row>
    <row r="421" spans="1:11" x14ac:dyDescent="0.25">
      <c r="A421" t="s">
        <v>1566</v>
      </c>
      <c r="B421" t="s">
        <v>62</v>
      </c>
      <c r="C421" t="s">
        <v>341</v>
      </c>
      <c r="D421" t="s">
        <v>2456</v>
      </c>
      <c r="E421" t="s">
        <v>3926</v>
      </c>
      <c r="F421" t="s">
        <v>3927</v>
      </c>
      <c r="G421" t="s">
        <v>3425</v>
      </c>
      <c r="I421" t="s">
        <v>3836</v>
      </c>
      <c r="J421" t="s">
        <v>3308</v>
      </c>
      <c r="K421" t="s">
        <v>3837</v>
      </c>
    </row>
    <row r="422" spans="1:11" x14ac:dyDescent="0.25">
      <c r="A422" t="s">
        <v>1567</v>
      </c>
      <c r="B422" t="s">
        <v>62</v>
      </c>
      <c r="C422" t="s">
        <v>343</v>
      </c>
      <c r="D422" t="s">
        <v>2457</v>
      </c>
      <c r="E422" t="s">
        <v>3928</v>
      </c>
      <c r="F422" t="s">
        <v>3929</v>
      </c>
      <c r="G422" t="s">
        <v>3428</v>
      </c>
      <c r="I422" t="s">
        <v>3836</v>
      </c>
      <c r="J422" t="s">
        <v>3308</v>
      </c>
      <c r="K422" t="s">
        <v>3837</v>
      </c>
    </row>
    <row r="423" spans="1:11" x14ac:dyDescent="0.25">
      <c r="A423" t="s">
        <v>1568</v>
      </c>
      <c r="B423" t="s">
        <v>62</v>
      </c>
      <c r="C423" t="s">
        <v>345</v>
      </c>
      <c r="D423" t="s">
        <v>2458</v>
      </c>
      <c r="E423" t="s">
        <v>3930</v>
      </c>
      <c r="F423" t="s">
        <v>3931</v>
      </c>
      <c r="G423" t="s">
        <v>3431</v>
      </c>
      <c r="I423" t="s">
        <v>3836</v>
      </c>
      <c r="J423" t="s">
        <v>3308</v>
      </c>
      <c r="K423" t="s">
        <v>3837</v>
      </c>
    </row>
    <row r="424" spans="1:11" x14ac:dyDescent="0.25">
      <c r="A424" t="s">
        <v>1569</v>
      </c>
      <c r="B424" t="s">
        <v>62</v>
      </c>
      <c r="C424" t="s">
        <v>347</v>
      </c>
      <c r="D424" t="s">
        <v>2459</v>
      </c>
      <c r="E424" t="s">
        <v>3932</v>
      </c>
      <c r="F424" t="s">
        <v>3933</v>
      </c>
      <c r="G424" t="s">
        <v>3434</v>
      </c>
      <c r="I424" t="s">
        <v>3836</v>
      </c>
      <c r="J424" t="s">
        <v>3308</v>
      </c>
      <c r="K424" t="s">
        <v>3837</v>
      </c>
    </row>
    <row r="425" spans="1:11" x14ac:dyDescent="0.25">
      <c r="A425" t="s">
        <v>1570</v>
      </c>
      <c r="B425" t="s">
        <v>62</v>
      </c>
      <c r="C425" t="s">
        <v>349</v>
      </c>
      <c r="D425" t="s">
        <v>2460</v>
      </c>
      <c r="E425" t="s">
        <v>3934</v>
      </c>
      <c r="F425" t="s">
        <v>3935</v>
      </c>
      <c r="G425" t="s">
        <v>3437</v>
      </c>
      <c r="I425" t="s">
        <v>3836</v>
      </c>
      <c r="J425" t="s">
        <v>3308</v>
      </c>
      <c r="K425" t="s">
        <v>3837</v>
      </c>
    </row>
    <row r="426" spans="1:11" x14ac:dyDescent="0.25">
      <c r="A426" t="s">
        <v>1571</v>
      </c>
      <c r="B426" t="s">
        <v>38</v>
      </c>
      <c r="C426" t="s">
        <v>351</v>
      </c>
      <c r="D426" t="s">
        <v>2461</v>
      </c>
      <c r="E426" t="s">
        <v>3936</v>
      </c>
      <c r="F426" t="s">
        <v>3937</v>
      </c>
      <c r="G426" t="s">
        <v>3440</v>
      </c>
      <c r="I426" t="s">
        <v>3836</v>
      </c>
      <c r="J426" t="s">
        <v>3308</v>
      </c>
      <c r="K426" t="s">
        <v>3837</v>
      </c>
    </row>
    <row r="427" spans="1:11" x14ac:dyDescent="0.25">
      <c r="A427" t="s">
        <v>1572</v>
      </c>
      <c r="B427" t="s">
        <v>62</v>
      </c>
      <c r="C427" t="s">
        <v>353</v>
      </c>
      <c r="D427" t="s">
        <v>2462</v>
      </c>
      <c r="E427" t="s">
        <v>3938</v>
      </c>
      <c r="F427" t="s">
        <v>3939</v>
      </c>
      <c r="G427" t="s">
        <v>3443</v>
      </c>
      <c r="I427" t="s">
        <v>3836</v>
      </c>
      <c r="J427" t="s">
        <v>3308</v>
      </c>
      <c r="K427" t="s">
        <v>3837</v>
      </c>
    </row>
    <row r="428" spans="1:11" x14ac:dyDescent="0.25">
      <c r="A428" t="s">
        <v>1573</v>
      </c>
      <c r="B428" t="s">
        <v>62</v>
      </c>
      <c r="C428" t="s">
        <v>355</v>
      </c>
      <c r="D428" t="s">
        <v>2463</v>
      </c>
      <c r="E428" t="s">
        <v>3940</v>
      </c>
      <c r="F428" t="s">
        <v>3941</v>
      </c>
      <c r="G428" t="s">
        <v>3446</v>
      </c>
      <c r="I428" t="s">
        <v>3836</v>
      </c>
      <c r="J428" t="s">
        <v>3308</v>
      </c>
      <c r="K428" t="s">
        <v>3837</v>
      </c>
    </row>
    <row r="429" spans="1:11" x14ac:dyDescent="0.25">
      <c r="A429" t="s">
        <v>1574</v>
      </c>
      <c r="B429" t="s">
        <v>62</v>
      </c>
      <c r="C429" t="s">
        <v>357</v>
      </c>
      <c r="D429" t="s">
        <v>2464</v>
      </c>
      <c r="E429" t="s">
        <v>3942</v>
      </c>
      <c r="F429" t="s">
        <v>3943</v>
      </c>
      <c r="G429" t="s">
        <v>3449</v>
      </c>
      <c r="I429" t="s">
        <v>3836</v>
      </c>
      <c r="J429" t="s">
        <v>3308</v>
      </c>
      <c r="K429" t="s">
        <v>3837</v>
      </c>
    </row>
    <row r="430" spans="1:11" x14ac:dyDescent="0.25">
      <c r="A430" t="s">
        <v>1575</v>
      </c>
      <c r="B430" t="s">
        <v>62</v>
      </c>
      <c r="C430" t="s">
        <v>359</v>
      </c>
      <c r="D430" t="s">
        <v>2465</v>
      </c>
      <c r="E430" t="s">
        <v>3944</v>
      </c>
      <c r="F430" t="s">
        <v>3945</v>
      </c>
      <c r="G430" t="s">
        <v>3452</v>
      </c>
      <c r="I430" t="s">
        <v>3836</v>
      </c>
      <c r="J430" t="s">
        <v>3308</v>
      </c>
      <c r="K430" t="s">
        <v>3837</v>
      </c>
    </row>
    <row r="431" spans="1:11" x14ac:dyDescent="0.25">
      <c r="A431" t="s">
        <v>1576</v>
      </c>
      <c r="B431" t="s">
        <v>62</v>
      </c>
      <c r="C431" t="s">
        <v>361</v>
      </c>
      <c r="D431" t="s">
        <v>2466</v>
      </c>
      <c r="E431" t="s">
        <v>3946</v>
      </c>
      <c r="F431" t="s">
        <v>3947</v>
      </c>
      <c r="G431" t="s">
        <v>3455</v>
      </c>
      <c r="I431" t="s">
        <v>3836</v>
      </c>
      <c r="J431" t="s">
        <v>3308</v>
      </c>
      <c r="K431" t="s">
        <v>3837</v>
      </c>
    </row>
    <row r="432" spans="1:11" x14ac:dyDescent="0.25">
      <c r="A432" t="s">
        <v>1577</v>
      </c>
      <c r="B432" t="s">
        <v>62</v>
      </c>
      <c r="C432" t="s">
        <v>363</v>
      </c>
      <c r="D432" t="s">
        <v>2467</v>
      </c>
      <c r="E432" t="s">
        <v>3948</v>
      </c>
      <c r="F432" t="s">
        <v>3949</v>
      </c>
      <c r="G432" t="s">
        <v>3458</v>
      </c>
      <c r="I432" t="s">
        <v>3836</v>
      </c>
      <c r="J432" t="s">
        <v>3308</v>
      </c>
      <c r="K432" t="s">
        <v>3837</v>
      </c>
    </row>
    <row r="433" spans="1:11" x14ac:dyDescent="0.25">
      <c r="A433" t="s">
        <v>1578</v>
      </c>
      <c r="B433" t="s">
        <v>62</v>
      </c>
      <c r="C433" t="s">
        <v>365</v>
      </c>
      <c r="D433" t="s">
        <v>2468</v>
      </c>
      <c r="E433" t="s">
        <v>3950</v>
      </c>
      <c r="F433" t="s">
        <v>3951</v>
      </c>
      <c r="G433" t="s">
        <v>3461</v>
      </c>
      <c r="I433" t="s">
        <v>3836</v>
      </c>
      <c r="J433" t="s">
        <v>3308</v>
      </c>
      <c r="K433" t="s">
        <v>3837</v>
      </c>
    </row>
    <row r="434" spans="1:11" x14ac:dyDescent="0.25">
      <c r="A434" t="s">
        <v>1579</v>
      </c>
      <c r="B434" t="s">
        <v>62</v>
      </c>
      <c r="C434" t="s">
        <v>154</v>
      </c>
      <c r="D434" t="s">
        <v>2469</v>
      </c>
      <c r="E434" t="s">
        <v>3952</v>
      </c>
      <c r="F434" t="s">
        <v>3953</v>
      </c>
      <c r="G434" t="s">
        <v>3464</v>
      </c>
      <c r="I434" t="s">
        <v>3836</v>
      </c>
      <c r="J434" t="s">
        <v>3308</v>
      </c>
      <c r="K434" t="s">
        <v>3837</v>
      </c>
    </row>
    <row r="435" spans="1:11" x14ac:dyDescent="0.25">
      <c r="A435" t="s">
        <v>1580</v>
      </c>
      <c r="B435" t="s">
        <v>62</v>
      </c>
      <c r="C435" t="s">
        <v>156</v>
      </c>
      <c r="D435" t="s">
        <v>2470</v>
      </c>
      <c r="E435" t="s">
        <v>3954</v>
      </c>
      <c r="F435" t="s">
        <v>3955</v>
      </c>
      <c r="G435" t="s">
        <v>3467</v>
      </c>
      <c r="I435" t="s">
        <v>3836</v>
      </c>
      <c r="J435" t="s">
        <v>3308</v>
      </c>
      <c r="K435" t="s">
        <v>3837</v>
      </c>
    </row>
    <row r="436" spans="1:11" x14ac:dyDescent="0.25">
      <c r="A436" t="s">
        <v>1581</v>
      </c>
      <c r="B436" t="s">
        <v>62</v>
      </c>
      <c r="C436" t="s">
        <v>158</v>
      </c>
      <c r="D436" t="s">
        <v>2471</v>
      </c>
      <c r="E436" t="s">
        <v>3956</v>
      </c>
      <c r="F436" t="s">
        <v>3957</v>
      </c>
      <c r="G436" t="s">
        <v>3470</v>
      </c>
      <c r="I436" t="s">
        <v>3836</v>
      </c>
      <c r="J436" t="s">
        <v>3308</v>
      </c>
      <c r="K436" t="s">
        <v>3837</v>
      </c>
    </row>
    <row r="437" spans="1:11" x14ac:dyDescent="0.25">
      <c r="A437" t="s">
        <v>1582</v>
      </c>
      <c r="B437" t="s">
        <v>62</v>
      </c>
      <c r="C437" t="s">
        <v>160</v>
      </c>
      <c r="D437" t="s">
        <v>2472</v>
      </c>
      <c r="E437" t="s">
        <v>3958</v>
      </c>
      <c r="F437" t="s">
        <v>3959</v>
      </c>
      <c r="G437" t="s">
        <v>3473</v>
      </c>
      <c r="I437" t="s">
        <v>3836</v>
      </c>
      <c r="J437" t="s">
        <v>3308</v>
      </c>
      <c r="K437" t="s">
        <v>3837</v>
      </c>
    </row>
    <row r="438" spans="1:11" x14ac:dyDescent="0.25">
      <c r="A438" t="s">
        <v>1583</v>
      </c>
      <c r="B438" t="s">
        <v>62</v>
      </c>
      <c r="C438" t="s">
        <v>162</v>
      </c>
      <c r="D438" t="s">
        <v>2473</v>
      </c>
      <c r="E438" t="s">
        <v>3960</v>
      </c>
      <c r="F438" t="s">
        <v>3961</v>
      </c>
      <c r="G438" t="s">
        <v>3476</v>
      </c>
      <c r="I438" t="s">
        <v>3836</v>
      </c>
      <c r="J438" t="s">
        <v>3308</v>
      </c>
      <c r="K438" t="s">
        <v>3837</v>
      </c>
    </row>
    <row r="439" spans="1:11" x14ac:dyDescent="0.25">
      <c r="A439" t="s">
        <v>1584</v>
      </c>
      <c r="B439" t="s">
        <v>62</v>
      </c>
      <c r="C439" t="s">
        <v>164</v>
      </c>
      <c r="D439" t="s">
        <v>2474</v>
      </c>
      <c r="E439" t="s">
        <v>3962</v>
      </c>
      <c r="F439" t="s">
        <v>3963</v>
      </c>
      <c r="G439" t="s">
        <v>3479</v>
      </c>
      <c r="I439" t="s">
        <v>3836</v>
      </c>
      <c r="J439" t="s">
        <v>3308</v>
      </c>
      <c r="K439" t="s">
        <v>3837</v>
      </c>
    </row>
    <row r="440" spans="1:11" x14ac:dyDescent="0.25">
      <c r="A440" t="s">
        <v>1585</v>
      </c>
      <c r="B440" t="s">
        <v>62</v>
      </c>
      <c r="C440" t="s">
        <v>533</v>
      </c>
      <c r="D440" t="s">
        <v>2475</v>
      </c>
      <c r="E440" t="s">
        <v>3964</v>
      </c>
      <c r="F440" t="s">
        <v>3965</v>
      </c>
      <c r="G440" t="s">
        <v>3482</v>
      </c>
      <c r="I440" t="s">
        <v>3836</v>
      </c>
      <c r="J440" t="s">
        <v>3308</v>
      </c>
      <c r="K440" t="s">
        <v>3837</v>
      </c>
    </row>
    <row r="441" spans="1:11" x14ac:dyDescent="0.25">
      <c r="A441" t="s">
        <v>581</v>
      </c>
      <c r="B441" t="s">
        <v>3035</v>
      </c>
      <c r="C441" t="s">
        <v>2953</v>
      </c>
      <c r="D441" t="s">
        <v>3966</v>
      </c>
      <c r="I441" t="s">
        <v>3836</v>
      </c>
      <c r="J441" t="s">
        <v>3486</v>
      </c>
      <c r="K441" t="s">
        <v>3968</v>
      </c>
    </row>
    <row r="442" spans="1:11" x14ac:dyDescent="0.25">
      <c r="A442" t="s">
        <v>1586</v>
      </c>
      <c r="B442" t="s">
        <v>62</v>
      </c>
      <c r="C442" t="s">
        <v>388</v>
      </c>
      <c r="D442" t="s">
        <v>2476</v>
      </c>
      <c r="E442" t="s">
        <v>3969</v>
      </c>
      <c r="F442" t="s">
        <v>3970</v>
      </c>
      <c r="G442" t="s">
        <v>3083</v>
      </c>
      <c r="I442" t="s">
        <v>3836</v>
      </c>
      <c r="J442" t="s">
        <v>3486</v>
      </c>
      <c r="K442" t="s">
        <v>3968</v>
      </c>
    </row>
    <row r="443" spans="1:11" x14ac:dyDescent="0.25">
      <c r="A443" t="s">
        <v>1587</v>
      </c>
      <c r="B443" t="s">
        <v>62</v>
      </c>
      <c r="C443" t="s">
        <v>390</v>
      </c>
      <c r="D443" t="s">
        <v>2477</v>
      </c>
      <c r="E443" t="s">
        <v>3971</v>
      </c>
      <c r="F443" t="s">
        <v>3972</v>
      </c>
      <c r="G443" t="s">
        <v>3086</v>
      </c>
      <c r="I443" t="s">
        <v>3836</v>
      </c>
      <c r="J443" t="s">
        <v>3486</v>
      </c>
      <c r="K443" t="s">
        <v>3968</v>
      </c>
    </row>
    <row r="444" spans="1:11" x14ac:dyDescent="0.25">
      <c r="A444" t="s">
        <v>1588</v>
      </c>
      <c r="B444" t="s">
        <v>62</v>
      </c>
      <c r="C444" t="s">
        <v>392</v>
      </c>
      <c r="D444" t="s">
        <v>2478</v>
      </c>
      <c r="E444" t="s">
        <v>3973</v>
      </c>
      <c r="F444" t="s">
        <v>3974</v>
      </c>
      <c r="G444" t="s">
        <v>3089</v>
      </c>
      <c r="I444" t="s">
        <v>3836</v>
      </c>
      <c r="J444" t="s">
        <v>3486</v>
      </c>
      <c r="K444" t="s">
        <v>3968</v>
      </c>
    </row>
    <row r="445" spans="1:11" x14ac:dyDescent="0.25">
      <c r="A445" t="s">
        <v>1589</v>
      </c>
      <c r="B445" t="s">
        <v>62</v>
      </c>
      <c r="C445" t="s">
        <v>394</v>
      </c>
      <c r="D445" t="s">
        <v>2479</v>
      </c>
      <c r="E445" t="s">
        <v>3975</v>
      </c>
      <c r="F445" t="s">
        <v>3976</v>
      </c>
      <c r="G445" t="s">
        <v>394</v>
      </c>
      <c r="I445" t="s">
        <v>3836</v>
      </c>
      <c r="J445" t="s">
        <v>3486</v>
      </c>
      <c r="K445" t="s">
        <v>3968</v>
      </c>
    </row>
    <row r="446" spans="1:11" x14ac:dyDescent="0.25">
      <c r="A446" t="s">
        <v>1590</v>
      </c>
      <c r="B446" t="s">
        <v>62</v>
      </c>
      <c r="C446" t="s">
        <v>396</v>
      </c>
      <c r="D446" t="s">
        <v>2480</v>
      </c>
      <c r="E446" t="s">
        <v>3977</v>
      </c>
      <c r="F446" t="s">
        <v>3978</v>
      </c>
      <c r="G446" t="s">
        <v>396</v>
      </c>
      <c r="I446" t="s">
        <v>3836</v>
      </c>
      <c r="J446" t="s">
        <v>3486</v>
      </c>
      <c r="K446" t="s">
        <v>3968</v>
      </c>
    </row>
    <row r="447" spans="1:11" x14ac:dyDescent="0.25">
      <c r="A447" t="s">
        <v>1591</v>
      </c>
      <c r="B447" t="s">
        <v>62</v>
      </c>
      <c r="C447" t="s">
        <v>398</v>
      </c>
      <c r="D447" t="s">
        <v>2481</v>
      </c>
      <c r="E447" t="s">
        <v>3979</v>
      </c>
      <c r="F447" t="s">
        <v>3980</v>
      </c>
      <c r="G447" t="s">
        <v>398</v>
      </c>
      <c r="I447" t="s">
        <v>3836</v>
      </c>
      <c r="J447" t="s">
        <v>3486</v>
      </c>
      <c r="K447" t="s">
        <v>3968</v>
      </c>
    </row>
    <row r="448" spans="1:11" x14ac:dyDescent="0.25">
      <c r="A448" t="s">
        <v>1592</v>
      </c>
      <c r="B448" t="s">
        <v>62</v>
      </c>
      <c r="C448" t="s">
        <v>541</v>
      </c>
      <c r="D448" t="s">
        <v>2482</v>
      </c>
      <c r="E448" t="s">
        <v>3981</v>
      </c>
      <c r="F448" t="s">
        <v>3982</v>
      </c>
      <c r="G448" t="s">
        <v>3100</v>
      </c>
      <c r="I448" t="s">
        <v>3836</v>
      </c>
      <c r="J448" t="s">
        <v>3486</v>
      </c>
      <c r="K448" t="s">
        <v>3968</v>
      </c>
    </row>
    <row r="449" spans="1:11" x14ac:dyDescent="0.25">
      <c r="A449" t="s">
        <v>1593</v>
      </c>
      <c r="B449" t="s">
        <v>62</v>
      </c>
      <c r="C449" t="s">
        <v>374</v>
      </c>
      <c r="D449" t="s">
        <v>2483</v>
      </c>
      <c r="E449" t="s">
        <v>3983</v>
      </c>
      <c r="F449" t="s">
        <v>3984</v>
      </c>
      <c r="G449" t="s">
        <v>3745</v>
      </c>
      <c r="I449" t="s">
        <v>3836</v>
      </c>
      <c r="J449" t="s">
        <v>3486</v>
      </c>
      <c r="K449" t="s">
        <v>3968</v>
      </c>
    </row>
    <row r="450" spans="1:11" x14ac:dyDescent="0.25">
      <c r="A450" t="s">
        <v>1594</v>
      </c>
      <c r="B450" t="s">
        <v>62</v>
      </c>
      <c r="C450" t="s">
        <v>376</v>
      </c>
      <c r="D450" t="s">
        <v>2484</v>
      </c>
      <c r="E450" t="s">
        <v>3985</v>
      </c>
      <c r="F450" t="s">
        <v>3986</v>
      </c>
      <c r="G450" t="s">
        <v>3067</v>
      </c>
      <c r="I450" t="s">
        <v>3836</v>
      </c>
      <c r="J450" t="s">
        <v>3486</v>
      </c>
      <c r="K450" t="s">
        <v>3968</v>
      </c>
    </row>
    <row r="451" spans="1:11" x14ac:dyDescent="0.25">
      <c r="A451" t="s">
        <v>1595</v>
      </c>
      <c r="B451" t="s">
        <v>62</v>
      </c>
      <c r="C451" t="s">
        <v>378</v>
      </c>
      <c r="D451" t="s">
        <v>2485</v>
      </c>
      <c r="E451" t="s">
        <v>3987</v>
      </c>
      <c r="F451" t="s">
        <v>3988</v>
      </c>
      <c r="G451" t="s">
        <v>3070</v>
      </c>
      <c r="I451" t="s">
        <v>3836</v>
      </c>
      <c r="J451" t="s">
        <v>3486</v>
      </c>
      <c r="K451" t="s">
        <v>3968</v>
      </c>
    </row>
    <row r="452" spans="1:11" x14ac:dyDescent="0.25">
      <c r="A452" t="s">
        <v>1596</v>
      </c>
      <c r="B452" t="s">
        <v>62</v>
      </c>
      <c r="C452" t="s">
        <v>380</v>
      </c>
      <c r="D452" t="s">
        <v>2486</v>
      </c>
      <c r="E452" t="s">
        <v>3989</v>
      </c>
      <c r="F452" t="s">
        <v>3990</v>
      </c>
      <c r="G452" t="s">
        <v>380</v>
      </c>
      <c r="I452" t="s">
        <v>3836</v>
      </c>
      <c r="J452" t="s">
        <v>3486</v>
      </c>
      <c r="K452" t="s">
        <v>3968</v>
      </c>
    </row>
    <row r="453" spans="1:11" x14ac:dyDescent="0.25">
      <c r="A453" t="s">
        <v>1597</v>
      </c>
      <c r="B453" t="s">
        <v>62</v>
      </c>
      <c r="C453" t="s">
        <v>382</v>
      </c>
      <c r="D453" t="s">
        <v>2487</v>
      </c>
      <c r="E453" t="s">
        <v>3991</v>
      </c>
      <c r="F453" t="s">
        <v>3992</v>
      </c>
      <c r="G453" t="s">
        <v>382</v>
      </c>
      <c r="I453" t="s">
        <v>3836</v>
      </c>
      <c r="J453" t="s">
        <v>3486</v>
      </c>
      <c r="K453" t="s">
        <v>3968</v>
      </c>
    </row>
    <row r="454" spans="1:11" x14ac:dyDescent="0.25">
      <c r="A454" t="s">
        <v>1598</v>
      </c>
      <c r="B454" t="s">
        <v>62</v>
      </c>
      <c r="C454" t="s">
        <v>384</v>
      </c>
      <c r="D454" t="s">
        <v>2488</v>
      </c>
      <c r="E454" t="s">
        <v>3993</v>
      </c>
      <c r="F454" t="s">
        <v>3994</v>
      </c>
      <c r="G454" t="s">
        <v>384</v>
      </c>
      <c r="I454" t="s">
        <v>3836</v>
      </c>
      <c r="J454" t="s">
        <v>3486</v>
      </c>
      <c r="K454" t="s">
        <v>3968</v>
      </c>
    </row>
    <row r="455" spans="1:11" x14ac:dyDescent="0.25">
      <c r="A455" t="s">
        <v>1599</v>
      </c>
      <c r="B455" t="s">
        <v>62</v>
      </c>
      <c r="C455" t="s">
        <v>549</v>
      </c>
      <c r="D455" t="s">
        <v>2489</v>
      </c>
      <c r="E455" t="s">
        <v>3995</v>
      </c>
      <c r="F455" t="s">
        <v>3996</v>
      </c>
      <c r="G455" t="s">
        <v>3080</v>
      </c>
      <c r="I455" t="s">
        <v>3836</v>
      </c>
      <c r="J455" t="s">
        <v>3486</v>
      </c>
      <c r="K455" t="s">
        <v>3968</v>
      </c>
    </row>
    <row r="456" spans="1:11" x14ac:dyDescent="0.25">
      <c r="A456" t="s">
        <v>1600</v>
      </c>
      <c r="B456" t="s">
        <v>62</v>
      </c>
      <c r="C456" t="s">
        <v>402</v>
      </c>
      <c r="D456" t="s">
        <v>2490</v>
      </c>
      <c r="E456" t="s">
        <v>3997</v>
      </c>
      <c r="F456" t="s">
        <v>3998</v>
      </c>
      <c r="G456" t="s">
        <v>3103</v>
      </c>
      <c r="I456" t="s">
        <v>3836</v>
      </c>
      <c r="J456" t="s">
        <v>3486</v>
      </c>
      <c r="K456" t="s">
        <v>3968</v>
      </c>
    </row>
    <row r="457" spans="1:11" x14ac:dyDescent="0.25">
      <c r="A457" t="s">
        <v>1601</v>
      </c>
      <c r="B457" t="s">
        <v>62</v>
      </c>
      <c r="C457" t="s">
        <v>404</v>
      </c>
      <c r="D457" t="s">
        <v>2491</v>
      </c>
      <c r="E457" t="s">
        <v>3999</v>
      </c>
      <c r="F457" t="s">
        <v>4000</v>
      </c>
      <c r="G457" t="s">
        <v>3106</v>
      </c>
      <c r="I457" t="s">
        <v>3836</v>
      </c>
      <c r="J457" t="s">
        <v>3486</v>
      </c>
      <c r="K457" t="s">
        <v>3968</v>
      </c>
    </row>
    <row r="458" spans="1:11" x14ac:dyDescent="0.25">
      <c r="A458" t="s">
        <v>1602</v>
      </c>
      <c r="B458" t="s">
        <v>62</v>
      </c>
      <c r="C458" t="s">
        <v>406</v>
      </c>
      <c r="D458" t="s">
        <v>2492</v>
      </c>
      <c r="E458" t="s">
        <v>4001</v>
      </c>
      <c r="F458" t="s">
        <v>4002</v>
      </c>
      <c r="G458" t="s">
        <v>3109</v>
      </c>
      <c r="I458" t="s">
        <v>3836</v>
      </c>
      <c r="J458" t="s">
        <v>3486</v>
      </c>
      <c r="K458" t="s">
        <v>3968</v>
      </c>
    </row>
    <row r="459" spans="1:11" x14ac:dyDescent="0.25">
      <c r="A459" t="s">
        <v>1603</v>
      </c>
      <c r="B459" t="s">
        <v>62</v>
      </c>
      <c r="C459" t="s">
        <v>408</v>
      </c>
      <c r="D459" t="s">
        <v>2493</v>
      </c>
      <c r="E459" t="s">
        <v>4003</v>
      </c>
      <c r="F459" t="s">
        <v>4004</v>
      </c>
      <c r="G459" t="s">
        <v>408</v>
      </c>
      <c r="I459" t="s">
        <v>3836</v>
      </c>
      <c r="J459" t="s">
        <v>3486</v>
      </c>
      <c r="K459" t="s">
        <v>3968</v>
      </c>
    </row>
    <row r="460" spans="1:11" x14ac:dyDescent="0.25">
      <c r="A460" t="s">
        <v>1604</v>
      </c>
      <c r="B460" t="s">
        <v>62</v>
      </c>
      <c r="C460" t="s">
        <v>410</v>
      </c>
      <c r="D460" t="s">
        <v>2494</v>
      </c>
      <c r="E460" t="s">
        <v>4005</v>
      </c>
      <c r="F460" t="s">
        <v>4006</v>
      </c>
      <c r="G460" t="s">
        <v>410</v>
      </c>
      <c r="I460" t="s">
        <v>3836</v>
      </c>
      <c r="J460" t="s">
        <v>3486</v>
      </c>
      <c r="K460" t="s">
        <v>3968</v>
      </c>
    </row>
    <row r="461" spans="1:11" x14ac:dyDescent="0.25">
      <c r="A461" t="s">
        <v>1605</v>
      </c>
      <c r="B461" t="s">
        <v>62</v>
      </c>
      <c r="C461" t="s">
        <v>412</v>
      </c>
      <c r="D461" t="s">
        <v>2495</v>
      </c>
      <c r="E461" t="s">
        <v>4007</v>
      </c>
      <c r="F461" t="s">
        <v>4008</v>
      </c>
      <c r="G461" t="s">
        <v>412</v>
      </c>
      <c r="I461" t="s">
        <v>3836</v>
      </c>
      <c r="J461" t="s">
        <v>3486</v>
      </c>
      <c r="K461" t="s">
        <v>3968</v>
      </c>
    </row>
    <row r="462" spans="1:11" x14ac:dyDescent="0.25">
      <c r="A462" t="s">
        <v>1606</v>
      </c>
      <c r="B462" t="s">
        <v>62</v>
      </c>
      <c r="C462" t="s">
        <v>557</v>
      </c>
      <c r="D462" t="s">
        <v>2496</v>
      </c>
      <c r="E462" t="s">
        <v>4009</v>
      </c>
      <c r="F462" t="s">
        <v>4010</v>
      </c>
      <c r="G462" t="s">
        <v>3120</v>
      </c>
      <c r="I462" t="s">
        <v>3836</v>
      </c>
      <c r="J462" t="s">
        <v>3486</v>
      </c>
      <c r="K462" t="s">
        <v>3968</v>
      </c>
    </row>
    <row r="463" spans="1:11" x14ac:dyDescent="0.25">
      <c r="A463" t="s">
        <v>1607</v>
      </c>
      <c r="B463" t="s">
        <v>62</v>
      </c>
      <c r="C463" t="s">
        <v>416</v>
      </c>
      <c r="D463" t="s">
        <v>2497</v>
      </c>
      <c r="E463" t="s">
        <v>4011</v>
      </c>
      <c r="F463" t="s">
        <v>4012</v>
      </c>
      <c r="G463" t="s">
        <v>3144</v>
      </c>
      <c r="I463" t="s">
        <v>3836</v>
      </c>
      <c r="J463" t="s">
        <v>3486</v>
      </c>
      <c r="K463" t="s">
        <v>3968</v>
      </c>
    </row>
    <row r="464" spans="1:11" x14ac:dyDescent="0.25">
      <c r="A464" t="s">
        <v>1608</v>
      </c>
      <c r="B464" t="s">
        <v>62</v>
      </c>
      <c r="C464" t="s">
        <v>418</v>
      </c>
      <c r="D464" t="s">
        <v>2498</v>
      </c>
      <c r="E464" t="s">
        <v>4013</v>
      </c>
      <c r="F464" t="s">
        <v>4014</v>
      </c>
      <c r="G464" t="s">
        <v>3147</v>
      </c>
      <c r="I464" t="s">
        <v>3836</v>
      </c>
      <c r="J464" t="s">
        <v>3486</v>
      </c>
      <c r="K464" t="s">
        <v>3968</v>
      </c>
    </row>
    <row r="465" spans="1:11" x14ac:dyDescent="0.25">
      <c r="A465" t="s">
        <v>1609</v>
      </c>
      <c r="B465" t="s">
        <v>62</v>
      </c>
      <c r="C465" t="s">
        <v>420</v>
      </c>
      <c r="D465" t="s">
        <v>2499</v>
      </c>
      <c r="E465" t="s">
        <v>4015</v>
      </c>
      <c r="F465" t="s">
        <v>4016</v>
      </c>
      <c r="G465" t="s">
        <v>3150</v>
      </c>
      <c r="I465" t="s">
        <v>3836</v>
      </c>
      <c r="J465" t="s">
        <v>3486</v>
      </c>
      <c r="K465" t="s">
        <v>3968</v>
      </c>
    </row>
    <row r="466" spans="1:11" x14ac:dyDescent="0.25">
      <c r="A466" t="s">
        <v>1610</v>
      </c>
      <c r="B466" t="s">
        <v>62</v>
      </c>
      <c r="C466" t="s">
        <v>422</v>
      </c>
      <c r="D466" t="s">
        <v>2500</v>
      </c>
      <c r="E466" t="s">
        <v>4017</v>
      </c>
      <c r="F466" t="s">
        <v>4018</v>
      </c>
      <c r="G466" t="s">
        <v>422</v>
      </c>
      <c r="I466" t="s">
        <v>3836</v>
      </c>
      <c r="J466" t="s">
        <v>3486</v>
      </c>
      <c r="K466" t="s">
        <v>3968</v>
      </c>
    </row>
    <row r="467" spans="1:11" x14ac:dyDescent="0.25">
      <c r="A467" t="s">
        <v>1611</v>
      </c>
      <c r="B467" t="s">
        <v>62</v>
      </c>
      <c r="C467" t="s">
        <v>424</v>
      </c>
      <c r="D467" t="s">
        <v>2501</v>
      </c>
      <c r="E467" t="s">
        <v>4019</v>
      </c>
      <c r="F467" t="s">
        <v>4020</v>
      </c>
      <c r="G467" t="s">
        <v>424</v>
      </c>
      <c r="I467" t="s">
        <v>3836</v>
      </c>
      <c r="J467" t="s">
        <v>3486</v>
      </c>
      <c r="K467" t="s">
        <v>3968</v>
      </c>
    </row>
    <row r="468" spans="1:11" x14ac:dyDescent="0.25">
      <c r="A468" t="s">
        <v>1612</v>
      </c>
      <c r="B468" t="s">
        <v>62</v>
      </c>
      <c r="C468" t="s">
        <v>426</v>
      </c>
      <c r="D468" t="s">
        <v>2502</v>
      </c>
      <c r="E468" t="s">
        <v>4021</v>
      </c>
      <c r="F468" t="s">
        <v>4022</v>
      </c>
      <c r="G468" t="s">
        <v>426</v>
      </c>
      <c r="I468" t="s">
        <v>3836</v>
      </c>
      <c r="J468" t="s">
        <v>3486</v>
      </c>
      <c r="K468" t="s">
        <v>3968</v>
      </c>
    </row>
    <row r="469" spans="1:11" x14ac:dyDescent="0.25">
      <c r="A469" t="s">
        <v>1613</v>
      </c>
      <c r="B469" t="s">
        <v>62</v>
      </c>
      <c r="C469" t="s">
        <v>565</v>
      </c>
      <c r="D469" t="s">
        <v>2503</v>
      </c>
      <c r="E469" t="s">
        <v>4023</v>
      </c>
      <c r="F469" t="s">
        <v>4024</v>
      </c>
      <c r="G469" t="s">
        <v>3161</v>
      </c>
      <c r="I469" t="s">
        <v>3836</v>
      </c>
      <c r="J469" t="s">
        <v>3486</v>
      </c>
      <c r="K469" t="s">
        <v>3968</v>
      </c>
    </row>
    <row r="470" spans="1:11" x14ac:dyDescent="0.25">
      <c r="A470" t="s">
        <v>1614</v>
      </c>
      <c r="B470" t="s">
        <v>62</v>
      </c>
      <c r="C470" t="s">
        <v>430</v>
      </c>
      <c r="D470" t="s">
        <v>2504</v>
      </c>
      <c r="E470" t="s">
        <v>4025</v>
      </c>
      <c r="F470" t="s">
        <v>4026</v>
      </c>
      <c r="G470" t="s">
        <v>3164</v>
      </c>
      <c r="I470" t="s">
        <v>3836</v>
      </c>
      <c r="J470" t="s">
        <v>3486</v>
      </c>
      <c r="K470" t="s">
        <v>3968</v>
      </c>
    </row>
    <row r="471" spans="1:11" x14ac:dyDescent="0.25">
      <c r="A471" t="s">
        <v>1615</v>
      </c>
      <c r="B471" t="s">
        <v>62</v>
      </c>
      <c r="C471" t="s">
        <v>432</v>
      </c>
      <c r="D471" t="s">
        <v>2505</v>
      </c>
      <c r="E471" t="s">
        <v>4027</v>
      </c>
      <c r="F471" t="s">
        <v>4028</v>
      </c>
      <c r="G471" t="s">
        <v>3167</v>
      </c>
      <c r="I471" t="s">
        <v>3836</v>
      </c>
      <c r="J471" t="s">
        <v>3486</v>
      </c>
      <c r="K471" t="s">
        <v>3968</v>
      </c>
    </row>
    <row r="472" spans="1:11" x14ac:dyDescent="0.25">
      <c r="A472" t="s">
        <v>1616</v>
      </c>
      <c r="B472" t="s">
        <v>62</v>
      </c>
      <c r="C472" t="s">
        <v>434</v>
      </c>
      <c r="D472" t="s">
        <v>2506</v>
      </c>
      <c r="E472" t="s">
        <v>4029</v>
      </c>
      <c r="F472" t="s">
        <v>4030</v>
      </c>
      <c r="G472" t="s">
        <v>3170</v>
      </c>
      <c r="I472" t="s">
        <v>3836</v>
      </c>
      <c r="J472" t="s">
        <v>3486</v>
      </c>
      <c r="K472" t="s">
        <v>3968</v>
      </c>
    </row>
    <row r="473" spans="1:11" x14ac:dyDescent="0.25">
      <c r="A473" t="s">
        <v>1617</v>
      </c>
      <c r="B473" t="s">
        <v>62</v>
      </c>
      <c r="C473" t="s">
        <v>436</v>
      </c>
      <c r="D473" t="s">
        <v>2507</v>
      </c>
      <c r="E473" t="s">
        <v>4031</v>
      </c>
      <c r="F473" t="s">
        <v>4032</v>
      </c>
      <c r="G473" t="s">
        <v>436</v>
      </c>
      <c r="I473" t="s">
        <v>3836</v>
      </c>
      <c r="J473" t="s">
        <v>3486</v>
      </c>
      <c r="K473" t="s">
        <v>3968</v>
      </c>
    </row>
    <row r="474" spans="1:11" x14ac:dyDescent="0.25">
      <c r="A474" t="s">
        <v>1618</v>
      </c>
      <c r="B474" t="s">
        <v>62</v>
      </c>
      <c r="C474" t="s">
        <v>438</v>
      </c>
      <c r="D474" t="s">
        <v>2508</v>
      </c>
      <c r="E474" t="s">
        <v>4033</v>
      </c>
      <c r="F474" t="s">
        <v>4034</v>
      </c>
      <c r="G474" t="s">
        <v>438</v>
      </c>
      <c r="I474" t="s">
        <v>3836</v>
      </c>
      <c r="J474" t="s">
        <v>3486</v>
      </c>
      <c r="K474" t="s">
        <v>3968</v>
      </c>
    </row>
    <row r="475" spans="1:11" x14ac:dyDescent="0.25">
      <c r="A475" t="s">
        <v>1619</v>
      </c>
      <c r="B475" t="s">
        <v>62</v>
      </c>
      <c r="C475" t="s">
        <v>440</v>
      </c>
      <c r="D475" t="s">
        <v>2509</v>
      </c>
      <c r="E475" t="s">
        <v>4035</v>
      </c>
      <c r="F475" t="s">
        <v>4036</v>
      </c>
      <c r="G475" t="s">
        <v>440</v>
      </c>
      <c r="I475" t="s">
        <v>3836</v>
      </c>
      <c r="J475" t="s">
        <v>3486</v>
      </c>
      <c r="K475" t="s">
        <v>3968</v>
      </c>
    </row>
    <row r="476" spans="1:11" x14ac:dyDescent="0.25">
      <c r="A476" t="s">
        <v>1620</v>
      </c>
      <c r="B476" t="s">
        <v>62</v>
      </c>
      <c r="C476" t="s">
        <v>442</v>
      </c>
      <c r="D476" t="s">
        <v>2510</v>
      </c>
      <c r="E476" t="s">
        <v>4037</v>
      </c>
      <c r="F476" t="s">
        <v>4038</v>
      </c>
      <c r="G476" t="s">
        <v>3181</v>
      </c>
      <c r="I476" t="s">
        <v>3836</v>
      </c>
      <c r="J476" t="s">
        <v>3486</v>
      </c>
      <c r="K476" t="s">
        <v>3968</v>
      </c>
    </row>
    <row r="477" spans="1:11" x14ac:dyDescent="0.25">
      <c r="A477" t="s">
        <v>1621</v>
      </c>
      <c r="B477" t="s">
        <v>62</v>
      </c>
      <c r="C477" t="s">
        <v>154</v>
      </c>
      <c r="D477" t="s">
        <v>2511</v>
      </c>
      <c r="E477" t="s">
        <v>4039</v>
      </c>
      <c r="F477" t="s">
        <v>4040</v>
      </c>
      <c r="G477" t="s">
        <v>3816</v>
      </c>
      <c r="I477" t="s">
        <v>3836</v>
      </c>
      <c r="J477" t="s">
        <v>3486</v>
      </c>
      <c r="K477" t="s">
        <v>3968</v>
      </c>
    </row>
    <row r="478" spans="1:11" x14ac:dyDescent="0.25">
      <c r="A478" t="s">
        <v>1622</v>
      </c>
      <c r="B478" t="s">
        <v>62</v>
      </c>
      <c r="C478" t="s">
        <v>156</v>
      </c>
      <c r="D478" t="s">
        <v>2512</v>
      </c>
      <c r="E478" t="s">
        <v>4041</v>
      </c>
      <c r="F478" t="s">
        <v>4042</v>
      </c>
      <c r="G478" t="s">
        <v>3819</v>
      </c>
      <c r="I478" t="s">
        <v>3836</v>
      </c>
      <c r="J478" t="s">
        <v>3486</v>
      </c>
      <c r="K478" t="s">
        <v>3968</v>
      </c>
    </row>
    <row r="479" spans="1:11" x14ac:dyDescent="0.25">
      <c r="A479" t="s">
        <v>1623</v>
      </c>
      <c r="B479" t="s">
        <v>62</v>
      </c>
      <c r="C479" t="s">
        <v>158</v>
      </c>
      <c r="D479" t="s">
        <v>2513</v>
      </c>
      <c r="E479" t="s">
        <v>4043</v>
      </c>
      <c r="F479" t="s">
        <v>4044</v>
      </c>
      <c r="G479" t="s">
        <v>3822</v>
      </c>
      <c r="I479" t="s">
        <v>3836</v>
      </c>
      <c r="J479" t="s">
        <v>3486</v>
      </c>
      <c r="K479" t="s">
        <v>3968</v>
      </c>
    </row>
    <row r="480" spans="1:11" x14ac:dyDescent="0.25">
      <c r="A480" t="s">
        <v>1624</v>
      </c>
      <c r="B480" t="s">
        <v>62</v>
      </c>
      <c r="C480" t="s">
        <v>160</v>
      </c>
      <c r="D480" t="s">
        <v>2514</v>
      </c>
      <c r="E480" t="s">
        <v>4045</v>
      </c>
      <c r="F480" t="s">
        <v>4046</v>
      </c>
      <c r="G480" t="s">
        <v>3825</v>
      </c>
      <c r="I480" t="s">
        <v>3836</v>
      </c>
      <c r="J480" t="s">
        <v>3486</v>
      </c>
      <c r="K480" t="s">
        <v>3968</v>
      </c>
    </row>
    <row r="481" spans="1:11" x14ac:dyDescent="0.25">
      <c r="A481" t="s">
        <v>1625</v>
      </c>
      <c r="B481" t="s">
        <v>62</v>
      </c>
      <c r="C481" t="s">
        <v>162</v>
      </c>
      <c r="D481" t="s">
        <v>2515</v>
      </c>
      <c r="E481" t="s">
        <v>4047</v>
      </c>
      <c r="F481" t="s">
        <v>4048</v>
      </c>
      <c r="G481" t="s">
        <v>3828</v>
      </c>
      <c r="I481" t="s">
        <v>3836</v>
      </c>
      <c r="J481" t="s">
        <v>3486</v>
      </c>
      <c r="K481" t="s">
        <v>3968</v>
      </c>
    </row>
    <row r="482" spans="1:11" x14ac:dyDescent="0.25">
      <c r="A482" t="s">
        <v>1626</v>
      </c>
      <c r="B482" t="s">
        <v>62</v>
      </c>
      <c r="C482" t="s">
        <v>164</v>
      </c>
      <c r="D482" t="s">
        <v>2516</v>
      </c>
      <c r="E482" t="s">
        <v>4049</v>
      </c>
      <c r="F482" t="s">
        <v>4050</v>
      </c>
      <c r="G482" t="s">
        <v>3831</v>
      </c>
      <c r="I482" t="s">
        <v>3836</v>
      </c>
      <c r="J482" t="s">
        <v>3486</v>
      </c>
      <c r="K482" t="s">
        <v>3968</v>
      </c>
    </row>
    <row r="483" spans="1:11" x14ac:dyDescent="0.25">
      <c r="A483" t="s">
        <v>1627</v>
      </c>
      <c r="B483" t="s">
        <v>62</v>
      </c>
      <c r="C483" t="s">
        <v>580</v>
      </c>
      <c r="D483" t="s">
        <v>2517</v>
      </c>
      <c r="E483" t="s">
        <v>4051</v>
      </c>
      <c r="F483" t="s">
        <v>4052</v>
      </c>
      <c r="G483" t="s">
        <v>3834</v>
      </c>
      <c r="I483" t="s">
        <v>3836</v>
      </c>
      <c r="J483" t="s">
        <v>3486</v>
      </c>
      <c r="K483" t="s">
        <v>3968</v>
      </c>
    </row>
    <row r="484" spans="1:11" x14ac:dyDescent="0.25">
      <c r="A484" t="s">
        <v>1628</v>
      </c>
      <c r="B484" t="s">
        <v>3035</v>
      </c>
      <c r="C484" t="s">
        <v>2954</v>
      </c>
      <c r="D484" t="s">
        <v>4053</v>
      </c>
      <c r="I484" t="s">
        <v>4054</v>
      </c>
      <c r="J484" t="s">
        <v>3308</v>
      </c>
      <c r="K484" t="s">
        <v>4055</v>
      </c>
    </row>
    <row r="485" spans="1:11" x14ac:dyDescent="0.25">
      <c r="A485" t="s">
        <v>1629</v>
      </c>
      <c r="B485" t="s">
        <v>62</v>
      </c>
      <c r="C485" t="s">
        <v>254</v>
      </c>
      <c r="D485" t="s">
        <v>2518</v>
      </c>
      <c r="E485" t="s">
        <v>4056</v>
      </c>
      <c r="F485" t="s">
        <v>4057</v>
      </c>
      <c r="G485" t="s">
        <v>3307</v>
      </c>
      <c r="I485" t="s">
        <v>4054</v>
      </c>
      <c r="J485" t="s">
        <v>3308</v>
      </c>
      <c r="K485" t="s">
        <v>4055</v>
      </c>
    </row>
    <row r="486" spans="1:11" x14ac:dyDescent="0.25">
      <c r="A486" t="s">
        <v>1630</v>
      </c>
      <c r="B486" t="s">
        <v>62</v>
      </c>
      <c r="C486" t="s">
        <v>256</v>
      </c>
      <c r="D486" t="s">
        <v>2519</v>
      </c>
      <c r="E486" t="s">
        <v>4058</v>
      </c>
      <c r="F486" t="s">
        <v>4059</v>
      </c>
      <c r="G486" t="s">
        <v>3311</v>
      </c>
      <c r="I486" t="s">
        <v>4054</v>
      </c>
      <c r="J486" t="s">
        <v>3308</v>
      </c>
      <c r="K486" t="s">
        <v>4055</v>
      </c>
    </row>
    <row r="487" spans="1:11" x14ac:dyDescent="0.25">
      <c r="A487" t="s">
        <v>1631</v>
      </c>
      <c r="B487" t="s">
        <v>62</v>
      </c>
      <c r="C487" t="s">
        <v>258</v>
      </c>
      <c r="D487" t="s">
        <v>2520</v>
      </c>
      <c r="E487" t="s">
        <v>4060</v>
      </c>
      <c r="F487" t="s">
        <v>4061</v>
      </c>
      <c r="G487" t="s">
        <v>3314</v>
      </c>
      <c r="I487" t="s">
        <v>4054</v>
      </c>
      <c r="J487" t="s">
        <v>3308</v>
      </c>
      <c r="K487" t="s">
        <v>4055</v>
      </c>
    </row>
    <row r="488" spans="1:11" x14ac:dyDescent="0.25">
      <c r="A488" t="s">
        <v>1632</v>
      </c>
      <c r="B488" t="s">
        <v>62</v>
      </c>
      <c r="C488" t="s">
        <v>260</v>
      </c>
      <c r="D488" t="s">
        <v>2521</v>
      </c>
      <c r="E488" t="s">
        <v>4062</v>
      </c>
      <c r="F488" t="s">
        <v>4063</v>
      </c>
      <c r="G488" t="s">
        <v>260</v>
      </c>
      <c r="I488" t="s">
        <v>4054</v>
      </c>
      <c r="J488" t="s">
        <v>3308</v>
      </c>
      <c r="K488" t="s">
        <v>4055</v>
      </c>
    </row>
    <row r="489" spans="1:11" x14ac:dyDescent="0.25">
      <c r="A489" t="s">
        <v>1633</v>
      </c>
      <c r="B489" t="s">
        <v>62</v>
      </c>
      <c r="C489" t="s">
        <v>262</v>
      </c>
      <c r="D489" t="s">
        <v>2522</v>
      </c>
      <c r="E489" t="s">
        <v>4064</v>
      </c>
      <c r="F489" t="s">
        <v>4065</v>
      </c>
      <c r="G489" t="s">
        <v>262</v>
      </c>
      <c r="I489" t="s">
        <v>4054</v>
      </c>
      <c r="J489" t="s">
        <v>3308</v>
      </c>
      <c r="K489" t="s">
        <v>4055</v>
      </c>
    </row>
    <row r="490" spans="1:11" x14ac:dyDescent="0.25">
      <c r="A490" t="s">
        <v>1634</v>
      </c>
      <c r="B490" t="s">
        <v>62</v>
      </c>
      <c r="C490" t="s">
        <v>264</v>
      </c>
      <c r="D490" t="s">
        <v>2523</v>
      </c>
      <c r="E490" t="s">
        <v>4066</v>
      </c>
      <c r="F490" t="s">
        <v>4067</v>
      </c>
      <c r="G490" t="s">
        <v>264</v>
      </c>
      <c r="I490" t="s">
        <v>4054</v>
      </c>
      <c r="J490" t="s">
        <v>3308</v>
      </c>
      <c r="K490" t="s">
        <v>4055</v>
      </c>
    </row>
    <row r="491" spans="1:11" x14ac:dyDescent="0.25">
      <c r="A491" t="s">
        <v>1635</v>
      </c>
      <c r="B491" t="s">
        <v>62</v>
      </c>
      <c r="C491" t="s">
        <v>266</v>
      </c>
      <c r="D491" t="s">
        <v>2524</v>
      </c>
      <c r="E491" t="s">
        <v>4068</v>
      </c>
      <c r="F491" t="s">
        <v>4069</v>
      </c>
      <c r="G491" t="s">
        <v>3323</v>
      </c>
      <c r="I491" t="s">
        <v>4054</v>
      </c>
      <c r="J491" t="s">
        <v>3308</v>
      </c>
      <c r="K491" t="s">
        <v>4055</v>
      </c>
    </row>
    <row r="492" spans="1:11" x14ac:dyDescent="0.25">
      <c r="A492" t="s">
        <v>1636</v>
      </c>
      <c r="B492" t="s">
        <v>62</v>
      </c>
      <c r="C492" t="s">
        <v>268</v>
      </c>
      <c r="D492" t="s">
        <v>2525</v>
      </c>
      <c r="E492" t="s">
        <v>4070</v>
      </c>
      <c r="F492" t="s">
        <v>4071</v>
      </c>
      <c r="G492" t="s">
        <v>3326</v>
      </c>
      <c r="I492" t="s">
        <v>4054</v>
      </c>
      <c r="J492" t="s">
        <v>3308</v>
      </c>
      <c r="K492" t="s">
        <v>4055</v>
      </c>
    </row>
    <row r="493" spans="1:11" x14ac:dyDescent="0.25">
      <c r="A493" t="s">
        <v>1637</v>
      </c>
      <c r="B493" t="s">
        <v>62</v>
      </c>
      <c r="C493" t="s">
        <v>270</v>
      </c>
      <c r="D493" t="s">
        <v>2526</v>
      </c>
      <c r="E493" t="s">
        <v>4072</v>
      </c>
      <c r="F493" t="s">
        <v>4073</v>
      </c>
      <c r="G493" t="s">
        <v>3329</v>
      </c>
      <c r="I493" t="s">
        <v>4054</v>
      </c>
      <c r="J493" t="s">
        <v>3308</v>
      </c>
      <c r="K493" t="s">
        <v>4055</v>
      </c>
    </row>
    <row r="494" spans="1:11" x14ac:dyDescent="0.25">
      <c r="A494" t="s">
        <v>1638</v>
      </c>
      <c r="B494" t="s">
        <v>62</v>
      </c>
      <c r="C494" t="s">
        <v>272</v>
      </c>
      <c r="D494" t="s">
        <v>2527</v>
      </c>
      <c r="E494" t="s">
        <v>4074</v>
      </c>
      <c r="F494" t="s">
        <v>4075</v>
      </c>
      <c r="G494" t="s">
        <v>3332</v>
      </c>
      <c r="I494" t="s">
        <v>4054</v>
      </c>
      <c r="J494" t="s">
        <v>3308</v>
      </c>
      <c r="K494" t="s">
        <v>4055</v>
      </c>
    </row>
    <row r="495" spans="1:11" x14ac:dyDescent="0.25">
      <c r="A495" t="s">
        <v>1639</v>
      </c>
      <c r="B495" t="s">
        <v>62</v>
      </c>
      <c r="C495" t="s">
        <v>274</v>
      </c>
      <c r="D495" t="s">
        <v>2528</v>
      </c>
      <c r="E495" t="s">
        <v>4076</v>
      </c>
      <c r="F495" t="s">
        <v>4077</v>
      </c>
      <c r="G495" t="s">
        <v>274</v>
      </c>
      <c r="I495" t="s">
        <v>4054</v>
      </c>
      <c r="J495" t="s">
        <v>3308</v>
      </c>
      <c r="K495" t="s">
        <v>4055</v>
      </c>
    </row>
    <row r="496" spans="1:11" x14ac:dyDescent="0.25">
      <c r="A496" t="s">
        <v>1640</v>
      </c>
      <c r="B496" t="s">
        <v>62</v>
      </c>
      <c r="C496" t="s">
        <v>276</v>
      </c>
      <c r="D496" t="s">
        <v>2529</v>
      </c>
      <c r="E496" t="s">
        <v>4078</v>
      </c>
      <c r="F496" t="s">
        <v>4079</v>
      </c>
      <c r="G496" t="s">
        <v>276</v>
      </c>
      <c r="I496" t="s">
        <v>4054</v>
      </c>
      <c r="J496" t="s">
        <v>3308</v>
      </c>
      <c r="K496" t="s">
        <v>4055</v>
      </c>
    </row>
    <row r="497" spans="1:11" x14ac:dyDescent="0.25">
      <c r="A497" t="s">
        <v>1641</v>
      </c>
      <c r="B497" t="s">
        <v>62</v>
      </c>
      <c r="C497" t="s">
        <v>278</v>
      </c>
      <c r="D497" t="s">
        <v>2530</v>
      </c>
      <c r="E497" t="s">
        <v>4080</v>
      </c>
      <c r="F497" t="s">
        <v>4081</v>
      </c>
      <c r="G497" t="s">
        <v>278</v>
      </c>
      <c r="I497" t="s">
        <v>4054</v>
      </c>
      <c r="J497" t="s">
        <v>3308</v>
      </c>
      <c r="K497" t="s">
        <v>4055</v>
      </c>
    </row>
    <row r="498" spans="1:11" x14ac:dyDescent="0.25">
      <c r="A498" t="s">
        <v>1642</v>
      </c>
      <c r="B498" t="s">
        <v>62</v>
      </c>
      <c r="C498" t="s">
        <v>280</v>
      </c>
      <c r="D498" t="s">
        <v>2531</v>
      </c>
      <c r="E498" t="s">
        <v>4082</v>
      </c>
      <c r="F498" t="s">
        <v>4083</v>
      </c>
      <c r="G498" t="s">
        <v>3341</v>
      </c>
      <c r="I498" t="s">
        <v>4054</v>
      </c>
      <c r="J498" t="s">
        <v>3308</v>
      </c>
      <c r="K498" t="s">
        <v>4055</v>
      </c>
    </row>
    <row r="499" spans="1:11" x14ac:dyDescent="0.25">
      <c r="A499" t="s">
        <v>1643</v>
      </c>
      <c r="B499" t="s">
        <v>62</v>
      </c>
      <c r="C499" t="s">
        <v>282</v>
      </c>
      <c r="D499" t="s">
        <v>2532</v>
      </c>
      <c r="E499" t="s">
        <v>4084</v>
      </c>
      <c r="F499" t="s">
        <v>4085</v>
      </c>
      <c r="G499" t="s">
        <v>3344</v>
      </c>
      <c r="I499" t="s">
        <v>4054</v>
      </c>
      <c r="J499" t="s">
        <v>3308</v>
      </c>
      <c r="K499" t="s">
        <v>4055</v>
      </c>
    </row>
    <row r="500" spans="1:11" x14ac:dyDescent="0.25">
      <c r="A500" t="s">
        <v>1644</v>
      </c>
      <c r="B500" t="s">
        <v>62</v>
      </c>
      <c r="C500" t="s">
        <v>284</v>
      </c>
      <c r="D500" t="s">
        <v>2533</v>
      </c>
      <c r="E500" t="s">
        <v>4086</v>
      </c>
      <c r="F500" t="s">
        <v>4087</v>
      </c>
      <c r="G500" t="s">
        <v>3347</v>
      </c>
      <c r="I500" t="s">
        <v>4054</v>
      </c>
      <c r="J500" t="s">
        <v>3308</v>
      </c>
      <c r="K500" t="s">
        <v>4055</v>
      </c>
    </row>
    <row r="501" spans="1:11" x14ac:dyDescent="0.25">
      <c r="A501" t="s">
        <v>1645</v>
      </c>
      <c r="B501" t="s">
        <v>62</v>
      </c>
      <c r="C501" t="s">
        <v>286</v>
      </c>
      <c r="D501" t="s">
        <v>2534</v>
      </c>
      <c r="E501" t="s">
        <v>4088</v>
      </c>
      <c r="F501" t="s">
        <v>4089</v>
      </c>
      <c r="G501" t="s">
        <v>3350</v>
      </c>
      <c r="I501" t="s">
        <v>4054</v>
      </c>
      <c r="J501" t="s">
        <v>3308</v>
      </c>
      <c r="K501" t="s">
        <v>4055</v>
      </c>
    </row>
    <row r="502" spans="1:11" x14ac:dyDescent="0.25">
      <c r="A502" t="s">
        <v>1646</v>
      </c>
      <c r="B502" t="s">
        <v>62</v>
      </c>
      <c r="C502" t="s">
        <v>288</v>
      </c>
      <c r="D502" t="s">
        <v>2535</v>
      </c>
      <c r="E502" t="s">
        <v>4090</v>
      </c>
      <c r="F502" t="s">
        <v>4091</v>
      </c>
      <c r="G502" t="s">
        <v>288</v>
      </c>
      <c r="I502" t="s">
        <v>4054</v>
      </c>
      <c r="J502" t="s">
        <v>3308</v>
      </c>
      <c r="K502" t="s">
        <v>4055</v>
      </c>
    </row>
    <row r="503" spans="1:11" x14ac:dyDescent="0.25">
      <c r="A503" t="s">
        <v>1647</v>
      </c>
      <c r="B503" t="s">
        <v>62</v>
      </c>
      <c r="C503" t="s">
        <v>290</v>
      </c>
      <c r="D503" t="s">
        <v>2536</v>
      </c>
      <c r="E503" t="s">
        <v>4092</v>
      </c>
      <c r="F503" t="s">
        <v>4093</v>
      </c>
      <c r="G503" t="s">
        <v>290</v>
      </c>
      <c r="I503" t="s">
        <v>4054</v>
      </c>
      <c r="J503" t="s">
        <v>3308</v>
      </c>
      <c r="K503" t="s">
        <v>4055</v>
      </c>
    </row>
    <row r="504" spans="1:11" x14ac:dyDescent="0.25">
      <c r="A504" t="s">
        <v>1648</v>
      </c>
      <c r="B504" t="s">
        <v>62</v>
      </c>
      <c r="C504" t="s">
        <v>292</v>
      </c>
      <c r="D504" t="s">
        <v>2537</v>
      </c>
      <c r="E504" t="s">
        <v>4094</v>
      </c>
      <c r="F504" t="s">
        <v>4095</v>
      </c>
      <c r="G504" t="s">
        <v>292</v>
      </c>
      <c r="I504" t="s">
        <v>4054</v>
      </c>
      <c r="J504" t="s">
        <v>3308</v>
      </c>
      <c r="K504" t="s">
        <v>4055</v>
      </c>
    </row>
    <row r="505" spans="1:11" x14ac:dyDescent="0.25">
      <c r="A505" t="s">
        <v>1649</v>
      </c>
      <c r="B505" t="s">
        <v>62</v>
      </c>
      <c r="C505" t="s">
        <v>294</v>
      </c>
      <c r="D505" t="s">
        <v>2538</v>
      </c>
      <c r="E505" t="s">
        <v>4096</v>
      </c>
      <c r="F505" t="s">
        <v>4097</v>
      </c>
      <c r="G505" t="s">
        <v>3359</v>
      </c>
      <c r="I505" t="s">
        <v>4054</v>
      </c>
      <c r="J505" t="s">
        <v>3308</v>
      </c>
      <c r="K505" t="s">
        <v>4055</v>
      </c>
    </row>
    <row r="506" spans="1:11" x14ac:dyDescent="0.25">
      <c r="A506" t="s">
        <v>1650</v>
      </c>
      <c r="B506" t="s">
        <v>62</v>
      </c>
      <c r="C506" t="s">
        <v>296</v>
      </c>
      <c r="D506" t="s">
        <v>2539</v>
      </c>
      <c r="E506" t="s">
        <v>4098</v>
      </c>
      <c r="F506" t="s">
        <v>4099</v>
      </c>
      <c r="G506" t="s">
        <v>3362</v>
      </c>
      <c r="I506" t="s">
        <v>4054</v>
      </c>
      <c r="J506" t="s">
        <v>3308</v>
      </c>
      <c r="K506" t="s">
        <v>4055</v>
      </c>
    </row>
    <row r="507" spans="1:11" x14ac:dyDescent="0.25">
      <c r="A507" t="s">
        <v>1651</v>
      </c>
      <c r="B507" t="s">
        <v>62</v>
      </c>
      <c r="C507" t="s">
        <v>298</v>
      </c>
      <c r="D507" t="s">
        <v>2540</v>
      </c>
      <c r="E507" t="s">
        <v>4100</v>
      </c>
      <c r="F507" t="s">
        <v>4101</v>
      </c>
      <c r="G507" t="s">
        <v>3365</v>
      </c>
      <c r="I507" t="s">
        <v>4054</v>
      </c>
      <c r="J507" t="s">
        <v>3308</v>
      </c>
      <c r="K507" t="s">
        <v>4055</v>
      </c>
    </row>
    <row r="508" spans="1:11" x14ac:dyDescent="0.25">
      <c r="A508" t="s">
        <v>1652</v>
      </c>
      <c r="B508" t="s">
        <v>62</v>
      </c>
      <c r="C508" t="s">
        <v>300</v>
      </c>
      <c r="D508" t="s">
        <v>2541</v>
      </c>
      <c r="E508" t="s">
        <v>4102</v>
      </c>
      <c r="F508" t="s">
        <v>4103</v>
      </c>
      <c r="G508" t="s">
        <v>3368</v>
      </c>
      <c r="I508" t="s">
        <v>4054</v>
      </c>
      <c r="J508" t="s">
        <v>3308</v>
      </c>
      <c r="K508" t="s">
        <v>4055</v>
      </c>
    </row>
    <row r="509" spans="1:11" x14ac:dyDescent="0.25">
      <c r="A509" t="s">
        <v>1653</v>
      </c>
      <c r="B509" t="s">
        <v>62</v>
      </c>
      <c r="C509" t="s">
        <v>302</v>
      </c>
      <c r="D509" t="s">
        <v>2542</v>
      </c>
      <c r="E509" t="s">
        <v>4104</v>
      </c>
      <c r="F509" t="s">
        <v>4105</v>
      </c>
      <c r="G509" t="s">
        <v>302</v>
      </c>
      <c r="I509" t="s">
        <v>4054</v>
      </c>
      <c r="J509" t="s">
        <v>3308</v>
      </c>
      <c r="K509" t="s">
        <v>4055</v>
      </c>
    </row>
    <row r="510" spans="1:11" x14ac:dyDescent="0.25">
      <c r="A510" t="s">
        <v>1654</v>
      </c>
      <c r="B510" t="s">
        <v>62</v>
      </c>
      <c r="C510" t="s">
        <v>304</v>
      </c>
      <c r="D510" t="s">
        <v>2543</v>
      </c>
      <c r="E510" t="s">
        <v>4106</v>
      </c>
      <c r="F510" t="s">
        <v>4107</v>
      </c>
      <c r="G510" t="s">
        <v>304</v>
      </c>
      <c r="I510" t="s">
        <v>4054</v>
      </c>
      <c r="J510" t="s">
        <v>3308</v>
      </c>
      <c r="K510" t="s">
        <v>4055</v>
      </c>
    </row>
    <row r="511" spans="1:11" x14ac:dyDescent="0.25">
      <c r="A511" t="s">
        <v>1655</v>
      </c>
      <c r="B511" t="s">
        <v>62</v>
      </c>
      <c r="C511" t="s">
        <v>306</v>
      </c>
      <c r="D511" t="s">
        <v>2544</v>
      </c>
      <c r="E511" t="s">
        <v>4108</v>
      </c>
      <c r="F511" t="s">
        <v>4109</v>
      </c>
      <c r="G511" t="s">
        <v>306</v>
      </c>
      <c r="I511" t="s">
        <v>4054</v>
      </c>
      <c r="J511" t="s">
        <v>3308</v>
      </c>
      <c r="K511" t="s">
        <v>4055</v>
      </c>
    </row>
    <row r="512" spans="1:11" x14ac:dyDescent="0.25">
      <c r="A512" t="s">
        <v>1656</v>
      </c>
      <c r="B512" t="s">
        <v>62</v>
      </c>
      <c r="C512" t="s">
        <v>308</v>
      </c>
      <c r="D512" t="s">
        <v>2545</v>
      </c>
      <c r="E512" t="s">
        <v>4110</v>
      </c>
      <c r="F512" t="s">
        <v>4111</v>
      </c>
      <c r="G512" t="s">
        <v>3377</v>
      </c>
      <c r="I512" t="s">
        <v>4054</v>
      </c>
      <c r="J512" t="s">
        <v>3308</v>
      </c>
      <c r="K512" t="s">
        <v>4055</v>
      </c>
    </row>
    <row r="513" spans="1:11" x14ac:dyDescent="0.25">
      <c r="A513" t="s">
        <v>1657</v>
      </c>
      <c r="B513" t="s">
        <v>62</v>
      </c>
      <c r="C513" t="s">
        <v>310</v>
      </c>
      <c r="D513" t="s">
        <v>2546</v>
      </c>
      <c r="E513" t="s">
        <v>4112</v>
      </c>
      <c r="F513" t="s">
        <v>4113</v>
      </c>
      <c r="G513" t="s">
        <v>3380</v>
      </c>
      <c r="I513" t="s">
        <v>4054</v>
      </c>
      <c r="J513" t="s">
        <v>3308</v>
      </c>
      <c r="K513" t="s">
        <v>4055</v>
      </c>
    </row>
    <row r="514" spans="1:11" x14ac:dyDescent="0.25">
      <c r="A514" t="s">
        <v>1658</v>
      </c>
      <c r="B514" t="s">
        <v>62</v>
      </c>
      <c r="C514" t="s">
        <v>312</v>
      </c>
      <c r="D514" t="s">
        <v>2547</v>
      </c>
      <c r="E514" t="s">
        <v>4114</v>
      </c>
      <c r="F514" t="s">
        <v>4115</v>
      </c>
      <c r="G514" t="s">
        <v>3383</v>
      </c>
      <c r="I514" t="s">
        <v>4054</v>
      </c>
      <c r="J514" t="s">
        <v>3308</v>
      </c>
      <c r="K514" t="s">
        <v>4055</v>
      </c>
    </row>
    <row r="515" spans="1:11" x14ac:dyDescent="0.25">
      <c r="A515" t="s">
        <v>1659</v>
      </c>
      <c r="B515" t="s">
        <v>62</v>
      </c>
      <c r="C515" t="s">
        <v>314</v>
      </c>
      <c r="D515" t="s">
        <v>2548</v>
      </c>
      <c r="E515" t="s">
        <v>4116</v>
      </c>
      <c r="F515" t="s">
        <v>4117</v>
      </c>
      <c r="G515" t="s">
        <v>3386</v>
      </c>
      <c r="I515" t="s">
        <v>4054</v>
      </c>
      <c r="J515" t="s">
        <v>3308</v>
      </c>
      <c r="K515" t="s">
        <v>4055</v>
      </c>
    </row>
    <row r="516" spans="1:11" x14ac:dyDescent="0.25">
      <c r="A516" t="s">
        <v>1660</v>
      </c>
      <c r="B516" t="s">
        <v>62</v>
      </c>
      <c r="C516" t="s">
        <v>316</v>
      </c>
      <c r="D516" t="s">
        <v>2549</v>
      </c>
      <c r="E516" t="s">
        <v>4118</v>
      </c>
      <c r="F516" t="s">
        <v>4119</v>
      </c>
      <c r="G516" t="s">
        <v>3389</v>
      </c>
      <c r="I516" t="s">
        <v>4054</v>
      </c>
      <c r="J516" t="s">
        <v>3308</v>
      </c>
      <c r="K516" t="s">
        <v>4055</v>
      </c>
    </row>
    <row r="517" spans="1:11" x14ac:dyDescent="0.25">
      <c r="A517" t="s">
        <v>1661</v>
      </c>
      <c r="B517" t="s">
        <v>62</v>
      </c>
      <c r="C517" t="s">
        <v>318</v>
      </c>
      <c r="D517" t="s">
        <v>2550</v>
      </c>
      <c r="E517" t="s">
        <v>4120</v>
      </c>
      <c r="F517" t="s">
        <v>4121</v>
      </c>
      <c r="G517" t="s">
        <v>3392</v>
      </c>
      <c r="I517" t="s">
        <v>4054</v>
      </c>
      <c r="J517" t="s">
        <v>3308</v>
      </c>
      <c r="K517" t="s">
        <v>4055</v>
      </c>
    </row>
    <row r="518" spans="1:11" x14ac:dyDescent="0.25">
      <c r="A518" t="s">
        <v>1662</v>
      </c>
      <c r="B518" t="s">
        <v>62</v>
      </c>
      <c r="C518" t="s">
        <v>320</v>
      </c>
      <c r="D518" t="s">
        <v>2551</v>
      </c>
      <c r="E518" t="s">
        <v>4122</v>
      </c>
      <c r="F518" t="s">
        <v>4123</v>
      </c>
      <c r="G518" t="s">
        <v>3395</v>
      </c>
      <c r="I518" t="s">
        <v>4054</v>
      </c>
      <c r="J518" t="s">
        <v>3308</v>
      </c>
      <c r="K518" t="s">
        <v>4055</v>
      </c>
    </row>
    <row r="519" spans="1:11" x14ac:dyDescent="0.25">
      <c r="A519" t="s">
        <v>1663</v>
      </c>
      <c r="B519" t="s">
        <v>62</v>
      </c>
      <c r="C519" t="s">
        <v>322</v>
      </c>
      <c r="D519" t="s">
        <v>2552</v>
      </c>
      <c r="E519" t="s">
        <v>4124</v>
      </c>
      <c r="F519" t="s">
        <v>4125</v>
      </c>
      <c r="G519" t="s">
        <v>3398</v>
      </c>
      <c r="I519" t="s">
        <v>4054</v>
      </c>
      <c r="J519" t="s">
        <v>3308</v>
      </c>
      <c r="K519" t="s">
        <v>4055</v>
      </c>
    </row>
    <row r="520" spans="1:11" x14ac:dyDescent="0.25">
      <c r="A520" t="s">
        <v>1664</v>
      </c>
      <c r="B520" t="s">
        <v>62</v>
      </c>
      <c r="C520" t="s">
        <v>324</v>
      </c>
      <c r="D520" t="s">
        <v>2553</v>
      </c>
      <c r="E520" t="s">
        <v>4126</v>
      </c>
      <c r="F520" t="s">
        <v>4127</v>
      </c>
      <c r="G520" t="s">
        <v>3401</v>
      </c>
      <c r="I520" t="s">
        <v>4054</v>
      </c>
      <c r="J520" t="s">
        <v>3308</v>
      </c>
      <c r="K520" t="s">
        <v>4055</v>
      </c>
    </row>
    <row r="521" spans="1:11" x14ac:dyDescent="0.25">
      <c r="A521" t="s">
        <v>1665</v>
      </c>
      <c r="B521" t="s">
        <v>62</v>
      </c>
      <c r="C521" t="s">
        <v>326</v>
      </c>
      <c r="D521" t="s">
        <v>2554</v>
      </c>
      <c r="E521" t="s">
        <v>4128</v>
      </c>
      <c r="F521" t="s">
        <v>4129</v>
      </c>
      <c r="G521" t="s">
        <v>3404</v>
      </c>
      <c r="I521" t="s">
        <v>4054</v>
      </c>
      <c r="J521" t="s">
        <v>3308</v>
      </c>
      <c r="K521" t="s">
        <v>4055</v>
      </c>
    </row>
    <row r="522" spans="1:11" x14ac:dyDescent="0.25">
      <c r="A522" t="s">
        <v>1666</v>
      </c>
      <c r="B522" t="s">
        <v>62</v>
      </c>
      <c r="C522" t="s">
        <v>328</v>
      </c>
      <c r="D522" t="s">
        <v>2555</v>
      </c>
      <c r="E522" t="s">
        <v>4130</v>
      </c>
      <c r="F522" t="s">
        <v>4131</v>
      </c>
      <c r="G522" t="s">
        <v>3407</v>
      </c>
      <c r="I522" t="s">
        <v>4054</v>
      </c>
      <c r="J522" t="s">
        <v>3308</v>
      </c>
      <c r="K522" t="s">
        <v>4055</v>
      </c>
    </row>
    <row r="523" spans="1:11" x14ac:dyDescent="0.25">
      <c r="A523" t="s">
        <v>1667</v>
      </c>
      <c r="B523" t="s">
        <v>62</v>
      </c>
      <c r="C523" t="s">
        <v>330</v>
      </c>
      <c r="D523" t="s">
        <v>2556</v>
      </c>
      <c r="E523" t="s">
        <v>4132</v>
      </c>
      <c r="F523" t="s">
        <v>4133</v>
      </c>
      <c r="G523" t="s">
        <v>330</v>
      </c>
      <c r="I523" t="s">
        <v>4054</v>
      </c>
      <c r="J523" t="s">
        <v>3308</v>
      </c>
      <c r="K523" t="s">
        <v>4055</v>
      </c>
    </row>
    <row r="524" spans="1:11" x14ac:dyDescent="0.25">
      <c r="A524" t="s">
        <v>1668</v>
      </c>
      <c r="B524" t="s">
        <v>62</v>
      </c>
      <c r="C524" t="s">
        <v>332</v>
      </c>
      <c r="D524" t="s">
        <v>2557</v>
      </c>
      <c r="E524" t="s">
        <v>4134</v>
      </c>
      <c r="F524" t="s">
        <v>4135</v>
      </c>
      <c r="G524" t="s">
        <v>332</v>
      </c>
      <c r="I524" t="s">
        <v>4054</v>
      </c>
      <c r="J524" t="s">
        <v>3308</v>
      </c>
      <c r="K524" t="s">
        <v>4055</v>
      </c>
    </row>
    <row r="525" spans="1:11" x14ac:dyDescent="0.25">
      <c r="A525" t="s">
        <v>1669</v>
      </c>
      <c r="B525" t="s">
        <v>62</v>
      </c>
      <c r="C525" t="s">
        <v>334</v>
      </c>
      <c r="D525" t="s">
        <v>2558</v>
      </c>
      <c r="E525" t="s">
        <v>4136</v>
      </c>
      <c r="F525" t="s">
        <v>4137</v>
      </c>
      <c r="G525" t="s">
        <v>334</v>
      </c>
      <c r="I525" t="s">
        <v>4054</v>
      </c>
      <c r="J525" t="s">
        <v>3308</v>
      </c>
      <c r="K525" t="s">
        <v>4055</v>
      </c>
    </row>
    <row r="526" spans="1:11" x14ac:dyDescent="0.25">
      <c r="A526" t="s">
        <v>1670</v>
      </c>
      <c r="B526" t="s">
        <v>62</v>
      </c>
      <c r="C526" t="s">
        <v>162</v>
      </c>
      <c r="D526" t="s">
        <v>2559</v>
      </c>
      <c r="E526" t="s">
        <v>4138</v>
      </c>
      <c r="F526" t="s">
        <v>4139</v>
      </c>
      <c r="G526" t="s">
        <v>3416</v>
      </c>
      <c r="I526" t="s">
        <v>4054</v>
      </c>
      <c r="J526" t="s">
        <v>3308</v>
      </c>
      <c r="K526" t="s">
        <v>4055</v>
      </c>
    </row>
    <row r="527" spans="1:11" x14ac:dyDescent="0.25">
      <c r="A527" t="s">
        <v>1671</v>
      </c>
      <c r="B527" t="s">
        <v>62</v>
      </c>
      <c r="C527" t="s">
        <v>337</v>
      </c>
      <c r="D527" t="s">
        <v>2560</v>
      </c>
      <c r="E527" t="s">
        <v>4140</v>
      </c>
      <c r="F527" t="s">
        <v>4141</v>
      </c>
      <c r="G527" t="s">
        <v>3419</v>
      </c>
      <c r="I527" t="s">
        <v>4054</v>
      </c>
      <c r="J527" t="s">
        <v>3308</v>
      </c>
      <c r="K527" t="s">
        <v>4055</v>
      </c>
    </row>
    <row r="528" spans="1:11" x14ac:dyDescent="0.25">
      <c r="A528" t="s">
        <v>1672</v>
      </c>
      <c r="B528" t="s">
        <v>62</v>
      </c>
      <c r="C528" t="s">
        <v>339</v>
      </c>
      <c r="D528" t="s">
        <v>2561</v>
      </c>
      <c r="E528" t="s">
        <v>4142</v>
      </c>
      <c r="F528" t="s">
        <v>4143</v>
      </c>
      <c r="G528" t="s">
        <v>3422</v>
      </c>
      <c r="I528" t="s">
        <v>4054</v>
      </c>
      <c r="J528" t="s">
        <v>3308</v>
      </c>
      <c r="K528" t="s">
        <v>4055</v>
      </c>
    </row>
    <row r="529" spans="1:11" x14ac:dyDescent="0.25">
      <c r="A529" t="s">
        <v>1673</v>
      </c>
      <c r="B529" t="s">
        <v>62</v>
      </c>
      <c r="C529" t="s">
        <v>341</v>
      </c>
      <c r="D529" t="s">
        <v>2562</v>
      </c>
      <c r="E529" t="s">
        <v>4144</v>
      </c>
      <c r="F529" t="s">
        <v>4145</v>
      </c>
      <c r="G529" t="s">
        <v>3425</v>
      </c>
      <c r="I529" t="s">
        <v>4054</v>
      </c>
      <c r="J529" t="s">
        <v>3308</v>
      </c>
      <c r="K529" t="s">
        <v>4055</v>
      </c>
    </row>
    <row r="530" spans="1:11" x14ac:dyDescent="0.25">
      <c r="A530" t="s">
        <v>1674</v>
      </c>
      <c r="B530" t="s">
        <v>62</v>
      </c>
      <c r="C530" t="s">
        <v>343</v>
      </c>
      <c r="D530" t="s">
        <v>2563</v>
      </c>
      <c r="E530" t="s">
        <v>4146</v>
      </c>
      <c r="F530" t="s">
        <v>4147</v>
      </c>
      <c r="G530" t="s">
        <v>3428</v>
      </c>
      <c r="I530" t="s">
        <v>4054</v>
      </c>
      <c r="J530" t="s">
        <v>3308</v>
      </c>
      <c r="K530" t="s">
        <v>4055</v>
      </c>
    </row>
    <row r="531" spans="1:11" x14ac:dyDescent="0.25">
      <c r="A531" t="s">
        <v>1675</v>
      </c>
      <c r="B531" t="s">
        <v>62</v>
      </c>
      <c r="C531" t="s">
        <v>345</v>
      </c>
      <c r="D531" t="s">
        <v>2564</v>
      </c>
      <c r="E531" t="s">
        <v>4148</v>
      </c>
      <c r="F531" t="s">
        <v>4149</v>
      </c>
      <c r="G531" t="s">
        <v>3431</v>
      </c>
      <c r="I531" t="s">
        <v>4054</v>
      </c>
      <c r="J531" t="s">
        <v>3308</v>
      </c>
      <c r="K531" t="s">
        <v>4055</v>
      </c>
    </row>
    <row r="532" spans="1:11" x14ac:dyDescent="0.25">
      <c r="A532" t="s">
        <v>1676</v>
      </c>
      <c r="B532" t="s">
        <v>62</v>
      </c>
      <c r="C532" t="s">
        <v>347</v>
      </c>
      <c r="D532" t="s">
        <v>2565</v>
      </c>
      <c r="E532" t="s">
        <v>4150</v>
      </c>
      <c r="F532" t="s">
        <v>4151</v>
      </c>
      <c r="G532" t="s">
        <v>3434</v>
      </c>
      <c r="I532" t="s">
        <v>4054</v>
      </c>
      <c r="J532" t="s">
        <v>3308</v>
      </c>
      <c r="K532" t="s">
        <v>4055</v>
      </c>
    </row>
    <row r="533" spans="1:11" x14ac:dyDescent="0.25">
      <c r="A533" t="s">
        <v>1677</v>
      </c>
      <c r="B533" t="s">
        <v>62</v>
      </c>
      <c r="C533" t="s">
        <v>349</v>
      </c>
      <c r="D533" t="s">
        <v>2566</v>
      </c>
      <c r="E533" t="s">
        <v>4152</v>
      </c>
      <c r="F533" t="s">
        <v>4153</v>
      </c>
      <c r="G533" t="s">
        <v>3437</v>
      </c>
      <c r="I533" t="s">
        <v>4054</v>
      </c>
      <c r="J533" t="s">
        <v>3308</v>
      </c>
      <c r="K533" t="s">
        <v>4055</v>
      </c>
    </row>
    <row r="534" spans="1:11" x14ac:dyDescent="0.25">
      <c r="A534" t="s">
        <v>1678</v>
      </c>
      <c r="B534" t="s">
        <v>38</v>
      </c>
      <c r="C534" t="s">
        <v>351</v>
      </c>
      <c r="D534" t="s">
        <v>2567</v>
      </c>
      <c r="E534" t="s">
        <v>4154</v>
      </c>
      <c r="F534" t="s">
        <v>4155</v>
      </c>
      <c r="G534" t="s">
        <v>3440</v>
      </c>
      <c r="I534" t="s">
        <v>4054</v>
      </c>
      <c r="J534" t="s">
        <v>3308</v>
      </c>
      <c r="K534" t="s">
        <v>4055</v>
      </c>
    </row>
    <row r="535" spans="1:11" x14ac:dyDescent="0.25">
      <c r="A535" t="s">
        <v>1679</v>
      </c>
      <c r="B535" t="s">
        <v>62</v>
      </c>
      <c r="C535" t="s">
        <v>353</v>
      </c>
      <c r="D535" t="s">
        <v>2568</v>
      </c>
      <c r="E535" t="s">
        <v>4156</v>
      </c>
      <c r="F535" t="s">
        <v>4157</v>
      </c>
      <c r="G535" t="s">
        <v>3443</v>
      </c>
      <c r="I535" t="s">
        <v>4054</v>
      </c>
      <c r="J535" t="s">
        <v>3308</v>
      </c>
      <c r="K535" t="s">
        <v>4055</v>
      </c>
    </row>
    <row r="536" spans="1:11" x14ac:dyDescent="0.25">
      <c r="A536" t="s">
        <v>1680</v>
      </c>
      <c r="B536" t="s">
        <v>62</v>
      </c>
      <c r="C536" t="s">
        <v>355</v>
      </c>
      <c r="D536" t="s">
        <v>2569</v>
      </c>
      <c r="E536" t="s">
        <v>4158</v>
      </c>
      <c r="F536" t="s">
        <v>4159</v>
      </c>
      <c r="G536" t="s">
        <v>3446</v>
      </c>
      <c r="I536" t="s">
        <v>4054</v>
      </c>
      <c r="J536" t="s">
        <v>3308</v>
      </c>
      <c r="K536" t="s">
        <v>4055</v>
      </c>
    </row>
    <row r="537" spans="1:11" x14ac:dyDescent="0.25">
      <c r="A537" t="s">
        <v>1681</v>
      </c>
      <c r="B537" t="s">
        <v>62</v>
      </c>
      <c r="C537" t="s">
        <v>357</v>
      </c>
      <c r="D537" t="s">
        <v>2570</v>
      </c>
      <c r="E537" t="s">
        <v>4160</v>
      </c>
      <c r="F537" t="s">
        <v>4161</v>
      </c>
      <c r="G537" t="s">
        <v>3449</v>
      </c>
      <c r="I537" t="s">
        <v>4054</v>
      </c>
      <c r="J537" t="s">
        <v>3308</v>
      </c>
      <c r="K537" t="s">
        <v>4055</v>
      </c>
    </row>
    <row r="538" spans="1:11" x14ac:dyDescent="0.25">
      <c r="A538" t="s">
        <v>1682</v>
      </c>
      <c r="B538" t="s">
        <v>62</v>
      </c>
      <c r="C538" t="s">
        <v>359</v>
      </c>
      <c r="D538" t="s">
        <v>2571</v>
      </c>
      <c r="E538" t="s">
        <v>4162</v>
      </c>
      <c r="F538" t="s">
        <v>4163</v>
      </c>
      <c r="G538" t="s">
        <v>3452</v>
      </c>
      <c r="I538" t="s">
        <v>4054</v>
      </c>
      <c r="J538" t="s">
        <v>3308</v>
      </c>
      <c r="K538" t="s">
        <v>4055</v>
      </c>
    </row>
    <row r="539" spans="1:11" x14ac:dyDescent="0.25">
      <c r="A539" t="s">
        <v>1683</v>
      </c>
      <c r="B539" t="s">
        <v>62</v>
      </c>
      <c r="C539" t="s">
        <v>361</v>
      </c>
      <c r="D539" t="s">
        <v>2572</v>
      </c>
      <c r="E539" t="s">
        <v>4164</v>
      </c>
      <c r="F539" t="s">
        <v>4165</v>
      </c>
      <c r="G539" t="s">
        <v>3455</v>
      </c>
      <c r="I539" t="s">
        <v>4054</v>
      </c>
      <c r="J539" t="s">
        <v>3308</v>
      </c>
      <c r="K539" t="s">
        <v>4055</v>
      </c>
    </row>
    <row r="540" spans="1:11" x14ac:dyDescent="0.25">
      <c r="A540" t="s">
        <v>1684</v>
      </c>
      <c r="B540" t="s">
        <v>62</v>
      </c>
      <c r="C540" t="s">
        <v>363</v>
      </c>
      <c r="D540" t="s">
        <v>2573</v>
      </c>
      <c r="E540" t="s">
        <v>4166</v>
      </c>
      <c r="F540" t="s">
        <v>4167</v>
      </c>
      <c r="G540" t="s">
        <v>3458</v>
      </c>
      <c r="I540" t="s">
        <v>4054</v>
      </c>
      <c r="J540" t="s">
        <v>3308</v>
      </c>
      <c r="K540" t="s">
        <v>4055</v>
      </c>
    </row>
    <row r="541" spans="1:11" x14ac:dyDescent="0.25">
      <c r="A541" t="s">
        <v>1685</v>
      </c>
      <c r="B541" t="s">
        <v>62</v>
      </c>
      <c r="C541" t="s">
        <v>365</v>
      </c>
      <c r="D541" t="s">
        <v>2574</v>
      </c>
      <c r="E541" t="s">
        <v>4168</v>
      </c>
      <c r="F541" t="s">
        <v>4169</v>
      </c>
      <c r="G541" t="s">
        <v>3461</v>
      </c>
      <c r="I541" t="s">
        <v>4054</v>
      </c>
      <c r="J541" t="s">
        <v>3308</v>
      </c>
      <c r="K541" t="s">
        <v>4055</v>
      </c>
    </row>
    <row r="542" spans="1:11" x14ac:dyDescent="0.25">
      <c r="A542" t="s">
        <v>1686</v>
      </c>
      <c r="B542" t="s">
        <v>62</v>
      </c>
      <c r="C542" t="s">
        <v>154</v>
      </c>
      <c r="D542" t="s">
        <v>2575</v>
      </c>
      <c r="E542" t="s">
        <v>4170</v>
      </c>
      <c r="F542" t="s">
        <v>4171</v>
      </c>
      <c r="G542" t="s">
        <v>3464</v>
      </c>
      <c r="I542" t="s">
        <v>4054</v>
      </c>
      <c r="J542" t="s">
        <v>3308</v>
      </c>
      <c r="K542" t="s">
        <v>4055</v>
      </c>
    </row>
    <row r="543" spans="1:11" x14ac:dyDescent="0.25">
      <c r="A543" t="s">
        <v>1687</v>
      </c>
      <c r="B543" t="s">
        <v>62</v>
      </c>
      <c r="C543" t="s">
        <v>156</v>
      </c>
      <c r="D543" t="s">
        <v>2576</v>
      </c>
      <c r="E543" t="s">
        <v>4172</v>
      </c>
      <c r="F543" t="s">
        <v>4173</v>
      </c>
      <c r="G543" t="s">
        <v>3467</v>
      </c>
      <c r="I543" t="s">
        <v>4054</v>
      </c>
      <c r="J543" t="s">
        <v>3308</v>
      </c>
      <c r="K543" t="s">
        <v>4055</v>
      </c>
    </row>
    <row r="544" spans="1:11" x14ac:dyDescent="0.25">
      <c r="A544" t="s">
        <v>1688</v>
      </c>
      <c r="B544" t="s">
        <v>62</v>
      </c>
      <c r="C544" t="s">
        <v>158</v>
      </c>
      <c r="D544" t="s">
        <v>2577</v>
      </c>
      <c r="E544" t="s">
        <v>4174</v>
      </c>
      <c r="F544" t="s">
        <v>4175</v>
      </c>
      <c r="G544" t="s">
        <v>3470</v>
      </c>
      <c r="I544" t="s">
        <v>4054</v>
      </c>
      <c r="J544" t="s">
        <v>3308</v>
      </c>
      <c r="K544" t="s">
        <v>4055</v>
      </c>
    </row>
    <row r="545" spans="1:11" x14ac:dyDescent="0.25">
      <c r="A545" t="s">
        <v>1689</v>
      </c>
      <c r="B545" t="s">
        <v>62</v>
      </c>
      <c r="C545" t="s">
        <v>160</v>
      </c>
      <c r="D545" t="s">
        <v>2578</v>
      </c>
      <c r="E545" t="s">
        <v>4176</v>
      </c>
      <c r="F545" t="s">
        <v>4177</v>
      </c>
      <c r="G545" t="s">
        <v>3473</v>
      </c>
      <c r="I545" t="s">
        <v>4054</v>
      </c>
      <c r="J545" t="s">
        <v>3308</v>
      </c>
      <c r="K545" t="s">
        <v>4055</v>
      </c>
    </row>
    <row r="546" spans="1:11" x14ac:dyDescent="0.25">
      <c r="A546" t="s">
        <v>1690</v>
      </c>
      <c r="B546" t="s">
        <v>62</v>
      </c>
      <c r="C546" t="s">
        <v>162</v>
      </c>
      <c r="D546" t="s">
        <v>2579</v>
      </c>
      <c r="E546" t="s">
        <v>4178</v>
      </c>
      <c r="F546" t="s">
        <v>4179</v>
      </c>
      <c r="G546" t="s">
        <v>3476</v>
      </c>
      <c r="I546" t="s">
        <v>4054</v>
      </c>
      <c r="J546" t="s">
        <v>3308</v>
      </c>
      <c r="K546" t="s">
        <v>4055</v>
      </c>
    </row>
    <row r="547" spans="1:11" x14ac:dyDescent="0.25">
      <c r="A547" t="s">
        <v>1691</v>
      </c>
      <c r="B547" t="s">
        <v>62</v>
      </c>
      <c r="C547" t="s">
        <v>164</v>
      </c>
      <c r="D547" t="s">
        <v>2580</v>
      </c>
      <c r="E547" t="s">
        <v>4180</v>
      </c>
      <c r="F547" t="s">
        <v>4181</v>
      </c>
      <c r="G547" t="s">
        <v>3479</v>
      </c>
      <c r="I547" t="s">
        <v>4054</v>
      </c>
      <c r="J547" t="s">
        <v>3308</v>
      </c>
      <c r="K547" t="s">
        <v>4055</v>
      </c>
    </row>
    <row r="548" spans="1:11" x14ac:dyDescent="0.25">
      <c r="A548" t="s">
        <v>1692</v>
      </c>
      <c r="B548" t="s">
        <v>62</v>
      </c>
      <c r="C548" t="s">
        <v>533</v>
      </c>
      <c r="D548" t="s">
        <v>2581</v>
      </c>
      <c r="E548" t="s">
        <v>4182</v>
      </c>
      <c r="F548" t="s">
        <v>4183</v>
      </c>
      <c r="G548" t="s">
        <v>3482</v>
      </c>
      <c r="I548" t="s">
        <v>4054</v>
      </c>
      <c r="J548" t="s">
        <v>3308</v>
      </c>
      <c r="K548" t="s">
        <v>4055</v>
      </c>
    </row>
    <row r="549" spans="1:11" x14ac:dyDescent="0.25">
      <c r="A549" t="s">
        <v>1413</v>
      </c>
      <c r="B549" t="s">
        <v>3035</v>
      </c>
      <c r="C549" t="s">
        <v>2955</v>
      </c>
      <c r="D549" t="s">
        <v>4184</v>
      </c>
      <c r="J549" t="s">
        <v>3035</v>
      </c>
      <c r="K549" t="s">
        <v>4185</v>
      </c>
    </row>
    <row r="550" spans="1:11" x14ac:dyDescent="0.25">
      <c r="A550" t="s">
        <v>1693</v>
      </c>
      <c r="B550" t="s">
        <v>62</v>
      </c>
      <c r="C550" t="s">
        <v>388</v>
      </c>
      <c r="D550" t="s">
        <v>2582</v>
      </c>
      <c r="E550" t="s">
        <v>4186</v>
      </c>
      <c r="F550" t="s">
        <v>4187</v>
      </c>
      <c r="G550" t="s">
        <v>3083</v>
      </c>
      <c r="I550" t="s">
        <v>4054</v>
      </c>
      <c r="J550" t="s">
        <v>3486</v>
      </c>
      <c r="K550" t="s">
        <v>4185</v>
      </c>
    </row>
    <row r="551" spans="1:11" x14ac:dyDescent="0.25">
      <c r="A551" t="s">
        <v>1694</v>
      </c>
      <c r="B551" t="s">
        <v>62</v>
      </c>
      <c r="C551" t="s">
        <v>390</v>
      </c>
      <c r="D551" t="s">
        <v>2583</v>
      </c>
      <c r="E551" t="s">
        <v>4188</v>
      </c>
      <c r="F551" t="s">
        <v>4189</v>
      </c>
      <c r="G551" t="s">
        <v>3086</v>
      </c>
      <c r="I551" t="s">
        <v>4054</v>
      </c>
      <c r="J551" t="s">
        <v>3486</v>
      </c>
      <c r="K551" t="s">
        <v>4185</v>
      </c>
    </row>
    <row r="552" spans="1:11" x14ac:dyDescent="0.25">
      <c r="A552" t="s">
        <v>1695</v>
      </c>
      <c r="B552" t="s">
        <v>62</v>
      </c>
      <c r="C552" t="s">
        <v>392</v>
      </c>
      <c r="D552" t="s">
        <v>2584</v>
      </c>
      <c r="E552" t="s">
        <v>4190</v>
      </c>
      <c r="F552" t="s">
        <v>4191</v>
      </c>
      <c r="G552" t="s">
        <v>3089</v>
      </c>
      <c r="I552" t="s">
        <v>4054</v>
      </c>
      <c r="J552" t="s">
        <v>3486</v>
      </c>
      <c r="K552" t="s">
        <v>4185</v>
      </c>
    </row>
    <row r="553" spans="1:11" x14ac:dyDescent="0.25">
      <c r="A553" t="s">
        <v>1696</v>
      </c>
      <c r="B553" t="s">
        <v>62</v>
      </c>
      <c r="C553" t="s">
        <v>394</v>
      </c>
      <c r="D553" t="s">
        <v>2585</v>
      </c>
      <c r="E553" t="s">
        <v>4192</v>
      </c>
      <c r="F553" t="s">
        <v>4193</v>
      </c>
      <c r="G553" t="s">
        <v>394</v>
      </c>
      <c r="I553" t="s">
        <v>4054</v>
      </c>
      <c r="J553" t="s">
        <v>3486</v>
      </c>
      <c r="K553" t="s">
        <v>4185</v>
      </c>
    </row>
    <row r="554" spans="1:11" x14ac:dyDescent="0.25">
      <c r="A554" t="s">
        <v>1697</v>
      </c>
      <c r="B554" t="s">
        <v>62</v>
      </c>
      <c r="C554" t="s">
        <v>396</v>
      </c>
      <c r="D554" t="s">
        <v>2586</v>
      </c>
      <c r="E554" t="s">
        <v>4194</v>
      </c>
      <c r="F554" t="s">
        <v>4195</v>
      </c>
      <c r="G554" t="s">
        <v>396</v>
      </c>
      <c r="I554" t="s">
        <v>4054</v>
      </c>
      <c r="J554" t="s">
        <v>3486</v>
      </c>
      <c r="K554" t="s">
        <v>4185</v>
      </c>
    </row>
    <row r="555" spans="1:11" x14ac:dyDescent="0.25">
      <c r="A555" t="s">
        <v>1698</v>
      </c>
      <c r="B555" t="s">
        <v>62</v>
      </c>
      <c r="C555" t="s">
        <v>398</v>
      </c>
      <c r="D555" t="s">
        <v>2587</v>
      </c>
      <c r="E555" t="s">
        <v>4196</v>
      </c>
      <c r="F555" t="s">
        <v>4197</v>
      </c>
      <c r="G555" t="s">
        <v>398</v>
      </c>
      <c r="I555" t="s">
        <v>4054</v>
      </c>
      <c r="J555" t="s">
        <v>3486</v>
      </c>
      <c r="K555" t="s">
        <v>4185</v>
      </c>
    </row>
    <row r="556" spans="1:11" x14ac:dyDescent="0.25">
      <c r="A556" t="s">
        <v>1699</v>
      </c>
      <c r="B556" t="s">
        <v>62</v>
      </c>
      <c r="C556" t="s">
        <v>541</v>
      </c>
      <c r="D556" t="s">
        <v>2588</v>
      </c>
      <c r="E556" t="s">
        <v>4198</v>
      </c>
      <c r="F556" t="s">
        <v>4199</v>
      </c>
      <c r="G556" t="s">
        <v>3100</v>
      </c>
      <c r="I556" t="s">
        <v>4054</v>
      </c>
      <c r="J556" t="s">
        <v>3486</v>
      </c>
      <c r="K556" t="s">
        <v>4185</v>
      </c>
    </row>
    <row r="557" spans="1:11" x14ac:dyDescent="0.25">
      <c r="A557" t="s">
        <v>1700</v>
      </c>
      <c r="B557" t="s">
        <v>62</v>
      </c>
      <c r="C557" t="s">
        <v>374</v>
      </c>
      <c r="D557" t="s">
        <v>2589</v>
      </c>
      <c r="E557" t="s">
        <v>4200</v>
      </c>
      <c r="F557" t="s">
        <v>4201</v>
      </c>
      <c r="G557" t="s">
        <v>3745</v>
      </c>
      <c r="I557" t="s">
        <v>4054</v>
      </c>
      <c r="J557" t="s">
        <v>3486</v>
      </c>
      <c r="K557" t="s">
        <v>4185</v>
      </c>
    </row>
    <row r="558" spans="1:11" x14ac:dyDescent="0.25">
      <c r="A558" t="s">
        <v>1701</v>
      </c>
      <c r="B558" t="s">
        <v>62</v>
      </c>
      <c r="C558" t="s">
        <v>376</v>
      </c>
      <c r="D558" t="s">
        <v>2590</v>
      </c>
      <c r="E558" t="s">
        <v>4202</v>
      </c>
      <c r="F558" t="s">
        <v>4203</v>
      </c>
      <c r="G558" t="s">
        <v>3067</v>
      </c>
      <c r="I558" t="s">
        <v>4054</v>
      </c>
      <c r="J558" t="s">
        <v>3486</v>
      </c>
      <c r="K558" t="s">
        <v>4185</v>
      </c>
    </row>
    <row r="559" spans="1:11" x14ac:dyDescent="0.25">
      <c r="A559" t="s">
        <v>1702</v>
      </c>
      <c r="B559" t="s">
        <v>62</v>
      </c>
      <c r="C559" t="s">
        <v>378</v>
      </c>
      <c r="D559" t="s">
        <v>2591</v>
      </c>
      <c r="E559" t="s">
        <v>4204</v>
      </c>
      <c r="F559" t="s">
        <v>4205</v>
      </c>
      <c r="G559" t="s">
        <v>3070</v>
      </c>
      <c r="I559" t="s">
        <v>4054</v>
      </c>
      <c r="J559" t="s">
        <v>3486</v>
      </c>
      <c r="K559" t="s">
        <v>4185</v>
      </c>
    </row>
    <row r="560" spans="1:11" x14ac:dyDescent="0.25">
      <c r="A560" t="s">
        <v>1703</v>
      </c>
      <c r="B560" t="s">
        <v>62</v>
      </c>
      <c r="C560" t="s">
        <v>380</v>
      </c>
      <c r="D560" t="s">
        <v>2592</v>
      </c>
      <c r="E560" t="s">
        <v>4206</v>
      </c>
      <c r="F560" t="s">
        <v>4207</v>
      </c>
      <c r="G560" t="s">
        <v>380</v>
      </c>
      <c r="I560" t="s">
        <v>4054</v>
      </c>
      <c r="J560" t="s">
        <v>3486</v>
      </c>
      <c r="K560" t="s">
        <v>4185</v>
      </c>
    </row>
    <row r="561" spans="1:11" x14ac:dyDescent="0.25">
      <c r="A561" t="s">
        <v>1704</v>
      </c>
      <c r="B561" t="s">
        <v>62</v>
      </c>
      <c r="C561" t="s">
        <v>382</v>
      </c>
      <c r="D561" t="s">
        <v>2593</v>
      </c>
      <c r="E561" t="s">
        <v>4208</v>
      </c>
      <c r="F561" t="s">
        <v>4209</v>
      </c>
      <c r="G561" t="s">
        <v>382</v>
      </c>
      <c r="I561" t="s">
        <v>4054</v>
      </c>
      <c r="J561" t="s">
        <v>3486</v>
      </c>
      <c r="K561" t="s">
        <v>4185</v>
      </c>
    </row>
    <row r="562" spans="1:11" x14ac:dyDescent="0.25">
      <c r="A562" t="s">
        <v>1705</v>
      </c>
      <c r="B562" t="s">
        <v>62</v>
      </c>
      <c r="C562" t="s">
        <v>384</v>
      </c>
      <c r="D562" t="s">
        <v>2594</v>
      </c>
      <c r="E562" t="s">
        <v>4210</v>
      </c>
      <c r="F562" t="s">
        <v>4211</v>
      </c>
      <c r="G562" t="s">
        <v>384</v>
      </c>
      <c r="I562" t="s">
        <v>4054</v>
      </c>
      <c r="J562" t="s">
        <v>3486</v>
      </c>
      <c r="K562" t="s">
        <v>4185</v>
      </c>
    </row>
    <row r="563" spans="1:11" x14ac:dyDescent="0.25">
      <c r="A563" t="s">
        <v>1706</v>
      </c>
      <c r="B563" t="s">
        <v>62</v>
      </c>
      <c r="C563" t="s">
        <v>549</v>
      </c>
      <c r="D563" t="s">
        <v>2595</v>
      </c>
      <c r="E563" t="s">
        <v>4212</v>
      </c>
      <c r="F563" t="s">
        <v>4213</v>
      </c>
      <c r="G563" t="s">
        <v>3080</v>
      </c>
      <c r="I563" t="s">
        <v>4054</v>
      </c>
      <c r="J563" t="s">
        <v>3486</v>
      </c>
      <c r="K563" t="s">
        <v>4185</v>
      </c>
    </row>
    <row r="564" spans="1:11" x14ac:dyDescent="0.25">
      <c r="A564" t="s">
        <v>1707</v>
      </c>
      <c r="B564" t="s">
        <v>62</v>
      </c>
      <c r="C564" t="s">
        <v>402</v>
      </c>
      <c r="D564" t="s">
        <v>2596</v>
      </c>
      <c r="E564" t="s">
        <v>4214</v>
      </c>
      <c r="F564" t="s">
        <v>4215</v>
      </c>
      <c r="G564" t="s">
        <v>3103</v>
      </c>
      <c r="I564" t="s">
        <v>4054</v>
      </c>
      <c r="J564" t="s">
        <v>3486</v>
      </c>
      <c r="K564" t="s">
        <v>4185</v>
      </c>
    </row>
    <row r="565" spans="1:11" x14ac:dyDescent="0.25">
      <c r="A565" t="s">
        <v>1708</v>
      </c>
      <c r="B565" t="s">
        <v>62</v>
      </c>
      <c r="C565" t="s">
        <v>404</v>
      </c>
      <c r="D565" t="s">
        <v>2597</v>
      </c>
      <c r="E565" t="s">
        <v>4216</v>
      </c>
      <c r="F565" t="s">
        <v>4217</v>
      </c>
      <c r="G565" t="s">
        <v>3106</v>
      </c>
      <c r="I565" t="s">
        <v>4054</v>
      </c>
      <c r="J565" t="s">
        <v>3486</v>
      </c>
      <c r="K565" t="s">
        <v>4185</v>
      </c>
    </row>
    <row r="566" spans="1:11" x14ac:dyDescent="0.25">
      <c r="A566" t="s">
        <v>1709</v>
      </c>
      <c r="B566" t="s">
        <v>62</v>
      </c>
      <c r="C566" t="s">
        <v>406</v>
      </c>
      <c r="D566" t="s">
        <v>2598</v>
      </c>
      <c r="E566" t="s">
        <v>4218</v>
      </c>
      <c r="F566" t="s">
        <v>4219</v>
      </c>
      <c r="G566" t="s">
        <v>3109</v>
      </c>
      <c r="I566" t="s">
        <v>4054</v>
      </c>
      <c r="J566" t="s">
        <v>3486</v>
      </c>
      <c r="K566" t="s">
        <v>4185</v>
      </c>
    </row>
    <row r="567" spans="1:11" x14ac:dyDescent="0.25">
      <c r="A567" t="s">
        <v>1710</v>
      </c>
      <c r="B567" t="s">
        <v>62</v>
      </c>
      <c r="C567" t="s">
        <v>408</v>
      </c>
      <c r="D567" t="s">
        <v>2599</v>
      </c>
      <c r="E567" t="s">
        <v>4220</v>
      </c>
      <c r="F567" t="s">
        <v>4221</v>
      </c>
      <c r="G567" t="s">
        <v>408</v>
      </c>
      <c r="I567" t="s">
        <v>4054</v>
      </c>
      <c r="J567" t="s">
        <v>3486</v>
      </c>
      <c r="K567" t="s">
        <v>4185</v>
      </c>
    </row>
    <row r="568" spans="1:11" x14ac:dyDescent="0.25">
      <c r="A568" t="s">
        <v>1711</v>
      </c>
      <c r="B568" t="s">
        <v>62</v>
      </c>
      <c r="C568" t="s">
        <v>410</v>
      </c>
      <c r="D568" t="s">
        <v>2600</v>
      </c>
      <c r="E568" t="s">
        <v>4222</v>
      </c>
      <c r="F568" t="s">
        <v>4223</v>
      </c>
      <c r="G568" t="s">
        <v>410</v>
      </c>
      <c r="I568" t="s">
        <v>4054</v>
      </c>
      <c r="J568" t="s">
        <v>3486</v>
      </c>
      <c r="K568" t="s">
        <v>4185</v>
      </c>
    </row>
    <row r="569" spans="1:11" x14ac:dyDescent="0.25">
      <c r="A569" t="s">
        <v>1712</v>
      </c>
      <c r="B569" t="s">
        <v>62</v>
      </c>
      <c r="C569" t="s">
        <v>412</v>
      </c>
      <c r="D569" t="s">
        <v>2601</v>
      </c>
      <c r="E569" t="s">
        <v>4224</v>
      </c>
      <c r="F569" t="s">
        <v>4225</v>
      </c>
      <c r="G569" t="s">
        <v>412</v>
      </c>
      <c r="I569" t="s">
        <v>4054</v>
      </c>
      <c r="J569" t="s">
        <v>3486</v>
      </c>
      <c r="K569" t="s">
        <v>4185</v>
      </c>
    </row>
    <row r="570" spans="1:11" x14ac:dyDescent="0.25">
      <c r="A570" t="s">
        <v>1713</v>
      </c>
      <c r="B570" t="s">
        <v>62</v>
      </c>
      <c r="C570" t="s">
        <v>557</v>
      </c>
      <c r="D570" t="s">
        <v>2602</v>
      </c>
      <c r="E570" t="s">
        <v>4226</v>
      </c>
      <c r="F570" t="s">
        <v>4227</v>
      </c>
      <c r="G570" t="s">
        <v>3120</v>
      </c>
      <c r="I570" t="s">
        <v>4054</v>
      </c>
      <c r="J570" t="s">
        <v>3486</v>
      </c>
      <c r="K570" t="s">
        <v>4185</v>
      </c>
    </row>
    <row r="571" spans="1:11" x14ac:dyDescent="0.25">
      <c r="A571" t="s">
        <v>1714</v>
      </c>
      <c r="B571" t="s">
        <v>62</v>
      </c>
      <c r="C571" t="s">
        <v>416</v>
      </c>
      <c r="D571" t="s">
        <v>2603</v>
      </c>
      <c r="E571" t="s">
        <v>4228</v>
      </c>
      <c r="F571" t="s">
        <v>4229</v>
      </c>
      <c r="G571" t="s">
        <v>3144</v>
      </c>
      <c r="I571" t="s">
        <v>4054</v>
      </c>
      <c r="J571" t="s">
        <v>3486</v>
      </c>
      <c r="K571" t="s">
        <v>4185</v>
      </c>
    </row>
    <row r="572" spans="1:11" x14ac:dyDescent="0.25">
      <c r="A572" t="s">
        <v>1715</v>
      </c>
      <c r="B572" t="s">
        <v>62</v>
      </c>
      <c r="C572" t="s">
        <v>418</v>
      </c>
      <c r="D572" t="s">
        <v>2604</v>
      </c>
      <c r="E572" t="s">
        <v>4230</v>
      </c>
      <c r="F572" t="s">
        <v>4231</v>
      </c>
      <c r="G572" t="s">
        <v>3147</v>
      </c>
      <c r="I572" t="s">
        <v>4054</v>
      </c>
      <c r="J572" t="s">
        <v>3486</v>
      </c>
      <c r="K572" t="s">
        <v>4185</v>
      </c>
    </row>
    <row r="573" spans="1:11" x14ac:dyDescent="0.25">
      <c r="A573" t="s">
        <v>1716</v>
      </c>
      <c r="B573" t="s">
        <v>62</v>
      </c>
      <c r="C573" t="s">
        <v>420</v>
      </c>
      <c r="D573" t="s">
        <v>2605</v>
      </c>
      <c r="E573" t="s">
        <v>4232</v>
      </c>
      <c r="F573" t="s">
        <v>4233</v>
      </c>
      <c r="G573" t="s">
        <v>3150</v>
      </c>
      <c r="I573" t="s">
        <v>4054</v>
      </c>
      <c r="J573" t="s">
        <v>3486</v>
      </c>
      <c r="K573" t="s">
        <v>4185</v>
      </c>
    </row>
    <row r="574" spans="1:11" x14ac:dyDescent="0.25">
      <c r="A574" t="s">
        <v>1717</v>
      </c>
      <c r="B574" t="s">
        <v>62</v>
      </c>
      <c r="C574" t="s">
        <v>422</v>
      </c>
      <c r="D574" t="s">
        <v>2606</v>
      </c>
      <c r="E574" t="s">
        <v>4234</v>
      </c>
      <c r="F574" t="s">
        <v>4235</v>
      </c>
      <c r="G574" t="s">
        <v>422</v>
      </c>
      <c r="I574" t="s">
        <v>4054</v>
      </c>
      <c r="J574" t="s">
        <v>3486</v>
      </c>
      <c r="K574" t="s">
        <v>4185</v>
      </c>
    </row>
    <row r="575" spans="1:11" x14ac:dyDescent="0.25">
      <c r="A575" t="s">
        <v>1718</v>
      </c>
      <c r="B575" t="s">
        <v>62</v>
      </c>
      <c r="C575" t="s">
        <v>424</v>
      </c>
      <c r="D575" t="s">
        <v>2607</v>
      </c>
      <c r="E575" t="s">
        <v>4236</v>
      </c>
      <c r="F575" t="s">
        <v>4237</v>
      </c>
      <c r="G575" t="s">
        <v>424</v>
      </c>
      <c r="I575" t="s">
        <v>4054</v>
      </c>
      <c r="J575" t="s">
        <v>3486</v>
      </c>
      <c r="K575" t="s">
        <v>4185</v>
      </c>
    </row>
    <row r="576" spans="1:11" x14ac:dyDescent="0.25">
      <c r="A576" t="s">
        <v>1719</v>
      </c>
      <c r="B576" t="s">
        <v>62</v>
      </c>
      <c r="C576" t="s">
        <v>426</v>
      </c>
      <c r="D576" t="s">
        <v>2608</v>
      </c>
      <c r="E576" t="s">
        <v>4238</v>
      </c>
      <c r="F576" t="s">
        <v>4239</v>
      </c>
      <c r="G576" t="s">
        <v>426</v>
      </c>
      <c r="I576" t="s">
        <v>4054</v>
      </c>
      <c r="J576" t="s">
        <v>3486</v>
      </c>
      <c r="K576" t="s">
        <v>4185</v>
      </c>
    </row>
    <row r="577" spans="1:11" x14ac:dyDescent="0.25">
      <c r="A577" t="s">
        <v>1720</v>
      </c>
      <c r="B577" t="s">
        <v>62</v>
      </c>
      <c r="C577" t="s">
        <v>565</v>
      </c>
      <c r="D577" t="s">
        <v>2609</v>
      </c>
      <c r="E577" t="s">
        <v>4240</v>
      </c>
      <c r="F577" t="s">
        <v>4241</v>
      </c>
      <c r="G577" t="s">
        <v>3161</v>
      </c>
      <c r="I577" t="s">
        <v>4054</v>
      </c>
      <c r="J577" t="s">
        <v>3486</v>
      </c>
      <c r="K577" t="s">
        <v>4185</v>
      </c>
    </row>
    <row r="578" spans="1:11" x14ac:dyDescent="0.25">
      <c r="A578" t="s">
        <v>1721</v>
      </c>
      <c r="B578" t="s">
        <v>62</v>
      </c>
      <c r="C578" t="s">
        <v>430</v>
      </c>
      <c r="D578" t="s">
        <v>2610</v>
      </c>
      <c r="E578" t="s">
        <v>4242</v>
      </c>
      <c r="F578" t="s">
        <v>4243</v>
      </c>
      <c r="G578" t="s">
        <v>3164</v>
      </c>
      <c r="I578" t="s">
        <v>4054</v>
      </c>
      <c r="J578" t="s">
        <v>3486</v>
      </c>
      <c r="K578" t="s">
        <v>4185</v>
      </c>
    </row>
    <row r="579" spans="1:11" x14ac:dyDescent="0.25">
      <c r="A579" t="s">
        <v>1722</v>
      </c>
      <c r="B579" t="s">
        <v>62</v>
      </c>
      <c r="C579" t="s">
        <v>432</v>
      </c>
      <c r="D579" t="s">
        <v>2611</v>
      </c>
      <c r="E579" t="s">
        <v>4244</v>
      </c>
      <c r="F579" t="s">
        <v>4245</v>
      </c>
      <c r="G579" t="s">
        <v>3167</v>
      </c>
      <c r="I579" t="s">
        <v>4054</v>
      </c>
      <c r="J579" t="s">
        <v>3486</v>
      </c>
      <c r="K579" t="s">
        <v>4185</v>
      </c>
    </row>
    <row r="580" spans="1:11" x14ac:dyDescent="0.25">
      <c r="A580" t="s">
        <v>1723</v>
      </c>
      <c r="B580" t="s">
        <v>62</v>
      </c>
      <c r="C580" t="s">
        <v>434</v>
      </c>
      <c r="D580" t="s">
        <v>2612</v>
      </c>
      <c r="E580" t="s">
        <v>4246</v>
      </c>
      <c r="F580" t="s">
        <v>4247</v>
      </c>
      <c r="G580" t="s">
        <v>3170</v>
      </c>
      <c r="I580" t="s">
        <v>4054</v>
      </c>
      <c r="J580" t="s">
        <v>3486</v>
      </c>
      <c r="K580" t="s">
        <v>4185</v>
      </c>
    </row>
    <row r="581" spans="1:11" x14ac:dyDescent="0.25">
      <c r="A581" t="s">
        <v>1724</v>
      </c>
      <c r="B581" t="s">
        <v>62</v>
      </c>
      <c r="C581" t="s">
        <v>436</v>
      </c>
      <c r="D581" t="s">
        <v>2613</v>
      </c>
      <c r="E581" t="s">
        <v>4248</v>
      </c>
      <c r="F581" t="s">
        <v>4249</v>
      </c>
      <c r="G581" t="s">
        <v>436</v>
      </c>
      <c r="I581" t="s">
        <v>4054</v>
      </c>
      <c r="J581" t="s">
        <v>3486</v>
      </c>
      <c r="K581" t="s">
        <v>4185</v>
      </c>
    </row>
    <row r="582" spans="1:11" x14ac:dyDescent="0.25">
      <c r="A582" t="s">
        <v>1725</v>
      </c>
      <c r="B582" t="s">
        <v>62</v>
      </c>
      <c r="C582" t="s">
        <v>438</v>
      </c>
      <c r="D582" t="s">
        <v>2614</v>
      </c>
      <c r="E582" t="s">
        <v>4250</v>
      </c>
      <c r="F582" t="s">
        <v>4251</v>
      </c>
      <c r="G582" t="s">
        <v>438</v>
      </c>
      <c r="I582" t="s">
        <v>4054</v>
      </c>
      <c r="J582" t="s">
        <v>3486</v>
      </c>
      <c r="K582" t="s">
        <v>4185</v>
      </c>
    </row>
    <row r="583" spans="1:11" x14ac:dyDescent="0.25">
      <c r="A583" t="s">
        <v>1726</v>
      </c>
      <c r="B583" t="s">
        <v>62</v>
      </c>
      <c r="C583" t="s">
        <v>440</v>
      </c>
      <c r="D583" t="s">
        <v>2615</v>
      </c>
      <c r="E583" t="s">
        <v>4252</v>
      </c>
      <c r="F583" t="s">
        <v>4253</v>
      </c>
      <c r="G583" t="s">
        <v>440</v>
      </c>
      <c r="I583" t="s">
        <v>4054</v>
      </c>
      <c r="J583" t="s">
        <v>3486</v>
      </c>
      <c r="K583" t="s">
        <v>4185</v>
      </c>
    </row>
    <row r="584" spans="1:11" x14ac:dyDescent="0.25">
      <c r="A584" t="s">
        <v>1727</v>
      </c>
      <c r="B584" t="s">
        <v>62</v>
      </c>
      <c r="C584" t="s">
        <v>442</v>
      </c>
      <c r="D584" t="s">
        <v>2616</v>
      </c>
      <c r="E584" t="s">
        <v>4254</v>
      </c>
      <c r="F584" t="s">
        <v>4255</v>
      </c>
      <c r="G584" t="s">
        <v>3181</v>
      </c>
      <c r="I584" t="s">
        <v>4054</v>
      </c>
      <c r="J584" t="s">
        <v>3486</v>
      </c>
      <c r="K584" t="s">
        <v>4185</v>
      </c>
    </row>
    <row r="585" spans="1:11" x14ac:dyDescent="0.25">
      <c r="A585" t="s">
        <v>1728</v>
      </c>
      <c r="B585" t="s">
        <v>62</v>
      </c>
      <c r="C585" t="s">
        <v>154</v>
      </c>
      <c r="D585" t="s">
        <v>2617</v>
      </c>
      <c r="E585" t="s">
        <v>4256</v>
      </c>
      <c r="F585" t="s">
        <v>4257</v>
      </c>
      <c r="G585" t="s">
        <v>3816</v>
      </c>
      <c r="I585" t="s">
        <v>4054</v>
      </c>
      <c r="J585" t="s">
        <v>3486</v>
      </c>
      <c r="K585" t="s">
        <v>4185</v>
      </c>
    </row>
    <row r="586" spans="1:11" x14ac:dyDescent="0.25">
      <c r="A586" t="s">
        <v>1729</v>
      </c>
      <c r="B586" t="s">
        <v>62</v>
      </c>
      <c r="C586" t="s">
        <v>156</v>
      </c>
      <c r="D586" t="s">
        <v>2618</v>
      </c>
      <c r="E586" t="s">
        <v>4258</v>
      </c>
      <c r="F586" t="s">
        <v>4259</v>
      </c>
      <c r="G586" t="s">
        <v>3819</v>
      </c>
      <c r="I586" t="s">
        <v>4054</v>
      </c>
      <c r="J586" t="s">
        <v>3486</v>
      </c>
      <c r="K586" t="s">
        <v>4185</v>
      </c>
    </row>
    <row r="587" spans="1:11" x14ac:dyDescent="0.25">
      <c r="A587" t="s">
        <v>1730</v>
      </c>
      <c r="B587" t="s">
        <v>62</v>
      </c>
      <c r="C587" t="s">
        <v>158</v>
      </c>
      <c r="D587" t="s">
        <v>2619</v>
      </c>
      <c r="E587" t="s">
        <v>4260</v>
      </c>
      <c r="F587" t="s">
        <v>4261</v>
      </c>
      <c r="G587" t="s">
        <v>3822</v>
      </c>
      <c r="I587" t="s">
        <v>4054</v>
      </c>
      <c r="J587" t="s">
        <v>3486</v>
      </c>
      <c r="K587" t="s">
        <v>4185</v>
      </c>
    </row>
    <row r="588" spans="1:11" x14ac:dyDescent="0.25">
      <c r="A588" t="s">
        <v>1731</v>
      </c>
      <c r="B588" t="s">
        <v>62</v>
      </c>
      <c r="C588" t="s">
        <v>160</v>
      </c>
      <c r="D588" t="s">
        <v>2620</v>
      </c>
      <c r="E588" t="s">
        <v>4262</v>
      </c>
      <c r="F588" t="s">
        <v>4263</v>
      </c>
      <c r="G588" t="s">
        <v>3825</v>
      </c>
      <c r="I588" t="s">
        <v>4054</v>
      </c>
      <c r="J588" t="s">
        <v>3486</v>
      </c>
      <c r="K588" t="s">
        <v>4185</v>
      </c>
    </row>
    <row r="589" spans="1:11" x14ac:dyDescent="0.25">
      <c r="A589" t="s">
        <v>1732</v>
      </c>
      <c r="B589" t="s">
        <v>62</v>
      </c>
      <c r="C589" t="s">
        <v>162</v>
      </c>
      <c r="D589" t="s">
        <v>2621</v>
      </c>
      <c r="E589" t="s">
        <v>4264</v>
      </c>
      <c r="F589" t="s">
        <v>4265</v>
      </c>
      <c r="G589" t="s">
        <v>3828</v>
      </c>
      <c r="I589" t="s">
        <v>4054</v>
      </c>
      <c r="J589" t="s">
        <v>3486</v>
      </c>
      <c r="K589" t="s">
        <v>4185</v>
      </c>
    </row>
    <row r="590" spans="1:11" x14ac:dyDescent="0.25">
      <c r="A590" t="s">
        <v>1733</v>
      </c>
      <c r="B590" t="s">
        <v>62</v>
      </c>
      <c r="C590" t="s">
        <v>164</v>
      </c>
      <c r="D590" t="s">
        <v>2622</v>
      </c>
      <c r="E590" t="s">
        <v>4266</v>
      </c>
      <c r="F590" t="s">
        <v>4267</v>
      </c>
      <c r="G590" t="s">
        <v>3831</v>
      </c>
      <c r="I590" t="s">
        <v>4054</v>
      </c>
      <c r="J590" t="s">
        <v>3486</v>
      </c>
      <c r="K590" t="s">
        <v>4185</v>
      </c>
    </row>
    <row r="591" spans="1:11" x14ac:dyDescent="0.25">
      <c r="A591" t="s">
        <v>1734</v>
      </c>
      <c r="B591" t="s">
        <v>62</v>
      </c>
      <c r="C591" t="s">
        <v>580</v>
      </c>
      <c r="D591" t="s">
        <v>2623</v>
      </c>
      <c r="E591" t="s">
        <v>4268</v>
      </c>
      <c r="F591" t="s">
        <v>4269</v>
      </c>
      <c r="G591" t="s">
        <v>3834</v>
      </c>
      <c r="I591" t="s">
        <v>4054</v>
      </c>
      <c r="J591" t="s">
        <v>3486</v>
      </c>
      <c r="K591" t="s">
        <v>4185</v>
      </c>
    </row>
    <row r="592" spans="1:11" x14ac:dyDescent="0.25">
      <c r="A592" t="s">
        <v>1735</v>
      </c>
      <c r="B592" t="s">
        <v>3035</v>
      </c>
      <c r="C592" t="s">
        <v>2956</v>
      </c>
      <c r="D592" t="s">
        <v>4270</v>
      </c>
      <c r="I592" t="s">
        <v>4271</v>
      </c>
      <c r="J592" t="s">
        <v>3308</v>
      </c>
      <c r="K592" t="s">
        <v>4272</v>
      </c>
    </row>
    <row r="593" spans="1:11" x14ac:dyDescent="0.25">
      <c r="A593" t="s">
        <v>1736</v>
      </c>
      <c r="B593" t="s">
        <v>62</v>
      </c>
      <c r="C593" t="s">
        <v>254</v>
      </c>
      <c r="D593" t="s">
        <v>2624</v>
      </c>
      <c r="E593" t="s">
        <v>4273</v>
      </c>
      <c r="F593" t="s">
        <v>4274</v>
      </c>
      <c r="G593" t="s">
        <v>3307</v>
      </c>
      <c r="I593" t="s">
        <v>4271</v>
      </c>
      <c r="J593" t="s">
        <v>3308</v>
      </c>
      <c r="K593" t="s">
        <v>4272</v>
      </c>
    </row>
    <row r="594" spans="1:11" x14ac:dyDescent="0.25">
      <c r="A594" t="s">
        <v>1737</v>
      </c>
      <c r="B594" t="s">
        <v>62</v>
      </c>
      <c r="C594" t="s">
        <v>256</v>
      </c>
      <c r="D594" t="s">
        <v>2625</v>
      </c>
      <c r="E594" t="s">
        <v>4275</v>
      </c>
      <c r="F594" t="s">
        <v>4276</v>
      </c>
      <c r="G594" t="s">
        <v>3311</v>
      </c>
      <c r="I594" t="s">
        <v>4271</v>
      </c>
      <c r="J594" t="s">
        <v>3308</v>
      </c>
      <c r="K594" t="s">
        <v>4272</v>
      </c>
    </row>
    <row r="595" spans="1:11" x14ac:dyDescent="0.25">
      <c r="A595" t="s">
        <v>1738</v>
      </c>
      <c r="B595" t="s">
        <v>62</v>
      </c>
      <c r="C595" t="s">
        <v>258</v>
      </c>
      <c r="D595" t="s">
        <v>2626</v>
      </c>
      <c r="E595" t="s">
        <v>4277</v>
      </c>
      <c r="F595" t="s">
        <v>4278</v>
      </c>
      <c r="G595" t="s">
        <v>3314</v>
      </c>
      <c r="I595" t="s">
        <v>4271</v>
      </c>
      <c r="J595" t="s">
        <v>3308</v>
      </c>
      <c r="K595" t="s">
        <v>4272</v>
      </c>
    </row>
    <row r="596" spans="1:11" x14ac:dyDescent="0.25">
      <c r="A596" t="s">
        <v>1739</v>
      </c>
      <c r="B596" t="s">
        <v>62</v>
      </c>
      <c r="C596" t="s">
        <v>260</v>
      </c>
      <c r="D596" t="s">
        <v>2627</v>
      </c>
      <c r="E596" t="s">
        <v>4279</v>
      </c>
      <c r="F596" t="s">
        <v>4280</v>
      </c>
      <c r="G596" t="s">
        <v>260</v>
      </c>
      <c r="I596" t="s">
        <v>4271</v>
      </c>
      <c r="J596" t="s">
        <v>3308</v>
      </c>
      <c r="K596" t="s">
        <v>4272</v>
      </c>
    </row>
    <row r="597" spans="1:11" x14ac:dyDescent="0.25">
      <c r="A597" t="s">
        <v>1740</v>
      </c>
      <c r="B597" t="s">
        <v>62</v>
      </c>
      <c r="C597" t="s">
        <v>262</v>
      </c>
      <c r="D597" t="s">
        <v>2628</v>
      </c>
      <c r="E597" t="s">
        <v>4281</v>
      </c>
      <c r="F597" t="s">
        <v>4282</v>
      </c>
      <c r="G597" t="s">
        <v>262</v>
      </c>
      <c r="I597" t="s">
        <v>4271</v>
      </c>
      <c r="J597" t="s">
        <v>3308</v>
      </c>
      <c r="K597" t="s">
        <v>4272</v>
      </c>
    </row>
    <row r="598" spans="1:11" x14ac:dyDescent="0.25">
      <c r="A598" t="s">
        <v>1741</v>
      </c>
      <c r="B598" t="s">
        <v>62</v>
      </c>
      <c r="C598" t="s">
        <v>264</v>
      </c>
      <c r="D598" t="s">
        <v>2629</v>
      </c>
      <c r="E598" t="s">
        <v>4283</v>
      </c>
      <c r="F598" t="s">
        <v>4284</v>
      </c>
      <c r="G598" t="s">
        <v>264</v>
      </c>
      <c r="I598" t="s">
        <v>4271</v>
      </c>
      <c r="J598" t="s">
        <v>3308</v>
      </c>
      <c r="K598" t="s">
        <v>4272</v>
      </c>
    </row>
    <row r="599" spans="1:11" x14ac:dyDescent="0.25">
      <c r="A599" t="s">
        <v>1742</v>
      </c>
      <c r="B599" t="s">
        <v>62</v>
      </c>
      <c r="C599" t="s">
        <v>266</v>
      </c>
      <c r="D599" t="s">
        <v>2630</v>
      </c>
      <c r="E599" t="s">
        <v>4285</v>
      </c>
      <c r="F599" t="s">
        <v>4286</v>
      </c>
      <c r="G599" t="s">
        <v>3323</v>
      </c>
      <c r="I599" t="s">
        <v>4271</v>
      </c>
      <c r="J599" t="s">
        <v>3308</v>
      </c>
      <c r="K599" t="s">
        <v>4272</v>
      </c>
    </row>
    <row r="600" spans="1:11" x14ac:dyDescent="0.25">
      <c r="A600" t="s">
        <v>1743</v>
      </c>
      <c r="B600" t="s">
        <v>62</v>
      </c>
      <c r="C600" t="s">
        <v>268</v>
      </c>
      <c r="D600" t="s">
        <v>2631</v>
      </c>
      <c r="E600" t="s">
        <v>4287</v>
      </c>
      <c r="F600" t="s">
        <v>4288</v>
      </c>
      <c r="G600" t="s">
        <v>3326</v>
      </c>
      <c r="I600" t="s">
        <v>4271</v>
      </c>
      <c r="J600" t="s">
        <v>3308</v>
      </c>
      <c r="K600" t="s">
        <v>4272</v>
      </c>
    </row>
    <row r="601" spans="1:11" x14ac:dyDescent="0.25">
      <c r="A601" t="s">
        <v>1744</v>
      </c>
      <c r="B601" t="s">
        <v>62</v>
      </c>
      <c r="C601" t="s">
        <v>270</v>
      </c>
      <c r="D601" t="s">
        <v>2632</v>
      </c>
      <c r="E601" t="s">
        <v>4289</v>
      </c>
      <c r="F601" t="s">
        <v>4290</v>
      </c>
      <c r="G601" t="s">
        <v>3329</v>
      </c>
      <c r="I601" t="s">
        <v>4271</v>
      </c>
      <c r="J601" t="s">
        <v>3308</v>
      </c>
      <c r="K601" t="s">
        <v>4272</v>
      </c>
    </row>
    <row r="602" spans="1:11" x14ac:dyDescent="0.25">
      <c r="A602" t="s">
        <v>1745</v>
      </c>
      <c r="B602" t="s">
        <v>62</v>
      </c>
      <c r="C602" t="s">
        <v>272</v>
      </c>
      <c r="D602" t="s">
        <v>2633</v>
      </c>
      <c r="E602" t="s">
        <v>4291</v>
      </c>
      <c r="F602" t="s">
        <v>4292</v>
      </c>
      <c r="G602" t="s">
        <v>3332</v>
      </c>
      <c r="I602" t="s">
        <v>4271</v>
      </c>
      <c r="J602" t="s">
        <v>3308</v>
      </c>
      <c r="K602" t="s">
        <v>4272</v>
      </c>
    </row>
    <row r="603" spans="1:11" x14ac:dyDescent="0.25">
      <c r="A603" t="s">
        <v>1746</v>
      </c>
      <c r="B603" t="s">
        <v>62</v>
      </c>
      <c r="C603" t="s">
        <v>274</v>
      </c>
      <c r="D603" t="s">
        <v>2634</v>
      </c>
      <c r="E603" t="s">
        <v>4293</v>
      </c>
      <c r="F603" t="s">
        <v>4294</v>
      </c>
      <c r="G603" t="s">
        <v>274</v>
      </c>
      <c r="I603" t="s">
        <v>4271</v>
      </c>
      <c r="J603" t="s">
        <v>3308</v>
      </c>
      <c r="K603" t="s">
        <v>4272</v>
      </c>
    </row>
    <row r="604" spans="1:11" x14ac:dyDescent="0.25">
      <c r="A604" t="s">
        <v>1747</v>
      </c>
      <c r="B604" t="s">
        <v>62</v>
      </c>
      <c r="C604" t="s">
        <v>276</v>
      </c>
      <c r="D604" t="s">
        <v>2635</v>
      </c>
      <c r="E604" t="s">
        <v>4295</v>
      </c>
      <c r="F604" t="s">
        <v>4296</v>
      </c>
      <c r="G604" t="s">
        <v>276</v>
      </c>
      <c r="I604" t="s">
        <v>4271</v>
      </c>
      <c r="J604" t="s">
        <v>3308</v>
      </c>
      <c r="K604" t="s">
        <v>4272</v>
      </c>
    </row>
    <row r="605" spans="1:11" x14ac:dyDescent="0.25">
      <c r="A605" t="s">
        <v>1748</v>
      </c>
      <c r="B605" t="s">
        <v>62</v>
      </c>
      <c r="C605" t="s">
        <v>278</v>
      </c>
      <c r="D605" t="s">
        <v>2636</v>
      </c>
      <c r="E605" t="s">
        <v>4297</v>
      </c>
      <c r="F605" t="s">
        <v>4298</v>
      </c>
      <c r="G605" t="s">
        <v>278</v>
      </c>
      <c r="I605" t="s">
        <v>4271</v>
      </c>
      <c r="J605" t="s">
        <v>3308</v>
      </c>
      <c r="K605" t="s">
        <v>4272</v>
      </c>
    </row>
    <row r="606" spans="1:11" x14ac:dyDescent="0.25">
      <c r="A606" t="s">
        <v>1749</v>
      </c>
      <c r="B606" t="s">
        <v>62</v>
      </c>
      <c r="C606" t="s">
        <v>280</v>
      </c>
      <c r="D606" t="s">
        <v>2637</v>
      </c>
      <c r="E606" t="s">
        <v>4299</v>
      </c>
      <c r="F606" t="s">
        <v>4300</v>
      </c>
      <c r="G606" t="s">
        <v>3341</v>
      </c>
      <c r="I606" t="s">
        <v>4271</v>
      </c>
      <c r="J606" t="s">
        <v>3308</v>
      </c>
      <c r="K606" t="s">
        <v>4272</v>
      </c>
    </row>
    <row r="607" spans="1:11" x14ac:dyDescent="0.25">
      <c r="A607" t="s">
        <v>1750</v>
      </c>
      <c r="B607" t="s">
        <v>62</v>
      </c>
      <c r="C607" t="s">
        <v>282</v>
      </c>
      <c r="D607" t="s">
        <v>2638</v>
      </c>
      <c r="E607" t="s">
        <v>4301</v>
      </c>
      <c r="F607" t="s">
        <v>4302</v>
      </c>
      <c r="G607" t="s">
        <v>3344</v>
      </c>
      <c r="I607" t="s">
        <v>4271</v>
      </c>
      <c r="J607" t="s">
        <v>3308</v>
      </c>
      <c r="K607" t="s">
        <v>4272</v>
      </c>
    </row>
    <row r="608" spans="1:11" x14ac:dyDescent="0.25">
      <c r="A608" t="s">
        <v>1751</v>
      </c>
      <c r="B608" t="s">
        <v>62</v>
      </c>
      <c r="C608" t="s">
        <v>284</v>
      </c>
      <c r="D608" t="s">
        <v>2639</v>
      </c>
      <c r="E608" t="s">
        <v>4303</v>
      </c>
      <c r="F608" t="s">
        <v>4304</v>
      </c>
      <c r="G608" t="s">
        <v>3347</v>
      </c>
      <c r="I608" t="s">
        <v>4271</v>
      </c>
      <c r="J608" t="s">
        <v>3308</v>
      </c>
      <c r="K608" t="s">
        <v>4272</v>
      </c>
    </row>
    <row r="609" spans="1:11" x14ac:dyDescent="0.25">
      <c r="A609" t="s">
        <v>1752</v>
      </c>
      <c r="B609" t="s">
        <v>62</v>
      </c>
      <c r="C609" t="s">
        <v>286</v>
      </c>
      <c r="D609" t="s">
        <v>2640</v>
      </c>
      <c r="E609" t="s">
        <v>4305</v>
      </c>
      <c r="F609" t="s">
        <v>4306</v>
      </c>
      <c r="G609" t="s">
        <v>3350</v>
      </c>
      <c r="I609" t="s">
        <v>4271</v>
      </c>
      <c r="J609" t="s">
        <v>3308</v>
      </c>
      <c r="K609" t="s">
        <v>4272</v>
      </c>
    </row>
    <row r="610" spans="1:11" x14ac:dyDescent="0.25">
      <c r="A610" t="s">
        <v>1753</v>
      </c>
      <c r="B610" t="s">
        <v>62</v>
      </c>
      <c r="C610" t="s">
        <v>288</v>
      </c>
      <c r="D610" t="s">
        <v>2641</v>
      </c>
      <c r="E610" t="s">
        <v>4307</v>
      </c>
      <c r="F610" t="s">
        <v>4308</v>
      </c>
      <c r="G610" t="s">
        <v>288</v>
      </c>
      <c r="I610" t="s">
        <v>4271</v>
      </c>
      <c r="J610" t="s">
        <v>3308</v>
      </c>
      <c r="K610" t="s">
        <v>4272</v>
      </c>
    </row>
    <row r="611" spans="1:11" x14ac:dyDescent="0.25">
      <c r="A611" t="s">
        <v>1754</v>
      </c>
      <c r="B611" t="s">
        <v>62</v>
      </c>
      <c r="C611" t="s">
        <v>290</v>
      </c>
      <c r="D611" t="s">
        <v>2642</v>
      </c>
      <c r="E611" t="s">
        <v>4309</v>
      </c>
      <c r="F611" t="s">
        <v>4310</v>
      </c>
      <c r="G611" t="s">
        <v>290</v>
      </c>
      <c r="I611" t="s">
        <v>4271</v>
      </c>
      <c r="J611" t="s">
        <v>3308</v>
      </c>
      <c r="K611" t="s">
        <v>4272</v>
      </c>
    </row>
    <row r="612" spans="1:11" x14ac:dyDescent="0.25">
      <c r="A612" t="s">
        <v>1755</v>
      </c>
      <c r="B612" t="s">
        <v>62</v>
      </c>
      <c r="C612" t="s">
        <v>292</v>
      </c>
      <c r="D612" t="s">
        <v>2643</v>
      </c>
      <c r="E612" t="s">
        <v>4311</v>
      </c>
      <c r="F612" t="s">
        <v>4312</v>
      </c>
      <c r="G612" t="s">
        <v>292</v>
      </c>
      <c r="I612" t="s">
        <v>4271</v>
      </c>
      <c r="J612" t="s">
        <v>3308</v>
      </c>
      <c r="K612" t="s">
        <v>4272</v>
      </c>
    </row>
    <row r="613" spans="1:11" x14ac:dyDescent="0.25">
      <c r="A613" t="s">
        <v>1756</v>
      </c>
      <c r="B613" t="s">
        <v>62</v>
      </c>
      <c r="C613" t="s">
        <v>294</v>
      </c>
      <c r="D613" t="s">
        <v>2644</v>
      </c>
      <c r="E613" t="s">
        <v>4313</v>
      </c>
      <c r="F613" t="s">
        <v>4314</v>
      </c>
      <c r="G613" t="s">
        <v>3359</v>
      </c>
      <c r="I613" t="s">
        <v>4271</v>
      </c>
      <c r="J613" t="s">
        <v>3308</v>
      </c>
      <c r="K613" t="s">
        <v>4272</v>
      </c>
    </row>
    <row r="614" spans="1:11" x14ac:dyDescent="0.25">
      <c r="A614" t="s">
        <v>1757</v>
      </c>
      <c r="B614" t="s">
        <v>62</v>
      </c>
      <c r="C614" t="s">
        <v>296</v>
      </c>
      <c r="D614" t="s">
        <v>2645</v>
      </c>
      <c r="E614" t="s">
        <v>4315</v>
      </c>
      <c r="F614" t="s">
        <v>4316</v>
      </c>
      <c r="G614" t="s">
        <v>3362</v>
      </c>
      <c r="I614" t="s">
        <v>4271</v>
      </c>
      <c r="J614" t="s">
        <v>3308</v>
      </c>
      <c r="K614" t="s">
        <v>4272</v>
      </c>
    </row>
    <row r="615" spans="1:11" x14ac:dyDescent="0.25">
      <c r="A615" t="s">
        <v>1758</v>
      </c>
      <c r="B615" t="s">
        <v>62</v>
      </c>
      <c r="C615" t="s">
        <v>298</v>
      </c>
      <c r="D615" t="s">
        <v>2646</v>
      </c>
      <c r="E615" t="s">
        <v>4317</v>
      </c>
      <c r="F615" t="s">
        <v>4318</v>
      </c>
      <c r="G615" t="s">
        <v>3365</v>
      </c>
      <c r="I615" t="s">
        <v>4271</v>
      </c>
      <c r="J615" t="s">
        <v>3308</v>
      </c>
      <c r="K615" t="s">
        <v>4272</v>
      </c>
    </row>
    <row r="616" spans="1:11" x14ac:dyDescent="0.25">
      <c r="A616" t="s">
        <v>1759</v>
      </c>
      <c r="B616" t="s">
        <v>62</v>
      </c>
      <c r="C616" t="s">
        <v>300</v>
      </c>
      <c r="D616" t="s">
        <v>2647</v>
      </c>
      <c r="E616" t="s">
        <v>4319</v>
      </c>
      <c r="F616" t="s">
        <v>4320</v>
      </c>
      <c r="G616" t="s">
        <v>3368</v>
      </c>
      <c r="I616" t="s">
        <v>4271</v>
      </c>
      <c r="J616" t="s">
        <v>3308</v>
      </c>
      <c r="K616" t="s">
        <v>4272</v>
      </c>
    </row>
    <row r="617" spans="1:11" x14ac:dyDescent="0.25">
      <c r="A617" t="s">
        <v>1760</v>
      </c>
      <c r="B617" t="s">
        <v>62</v>
      </c>
      <c r="C617" t="s">
        <v>302</v>
      </c>
      <c r="D617" t="s">
        <v>2648</v>
      </c>
      <c r="E617" t="s">
        <v>4321</v>
      </c>
      <c r="F617" t="s">
        <v>4322</v>
      </c>
      <c r="G617" t="s">
        <v>302</v>
      </c>
      <c r="I617" t="s">
        <v>4271</v>
      </c>
      <c r="J617" t="s">
        <v>3308</v>
      </c>
      <c r="K617" t="s">
        <v>4272</v>
      </c>
    </row>
    <row r="618" spans="1:11" x14ac:dyDescent="0.25">
      <c r="A618" t="s">
        <v>1761</v>
      </c>
      <c r="B618" t="s">
        <v>62</v>
      </c>
      <c r="C618" t="s">
        <v>304</v>
      </c>
      <c r="D618" t="s">
        <v>2649</v>
      </c>
      <c r="E618" t="s">
        <v>4323</v>
      </c>
      <c r="F618" t="s">
        <v>4324</v>
      </c>
      <c r="G618" t="s">
        <v>304</v>
      </c>
      <c r="I618" t="s">
        <v>4271</v>
      </c>
      <c r="J618" t="s">
        <v>3308</v>
      </c>
      <c r="K618" t="s">
        <v>4272</v>
      </c>
    </row>
    <row r="619" spans="1:11" x14ac:dyDescent="0.25">
      <c r="A619" t="s">
        <v>1762</v>
      </c>
      <c r="B619" t="s">
        <v>62</v>
      </c>
      <c r="C619" t="s">
        <v>306</v>
      </c>
      <c r="D619" t="s">
        <v>2650</v>
      </c>
      <c r="E619" t="s">
        <v>4325</v>
      </c>
      <c r="F619" t="s">
        <v>4326</v>
      </c>
      <c r="G619" t="s">
        <v>306</v>
      </c>
      <c r="I619" t="s">
        <v>4271</v>
      </c>
      <c r="J619" t="s">
        <v>3308</v>
      </c>
      <c r="K619" t="s">
        <v>4272</v>
      </c>
    </row>
    <row r="620" spans="1:11" x14ac:dyDescent="0.25">
      <c r="A620" t="s">
        <v>1763</v>
      </c>
      <c r="B620" t="s">
        <v>62</v>
      </c>
      <c r="C620" t="s">
        <v>308</v>
      </c>
      <c r="D620" t="s">
        <v>2651</v>
      </c>
      <c r="E620" t="s">
        <v>4327</v>
      </c>
      <c r="F620" t="s">
        <v>4328</v>
      </c>
      <c r="G620" t="s">
        <v>3377</v>
      </c>
      <c r="I620" t="s">
        <v>4271</v>
      </c>
      <c r="J620" t="s">
        <v>3308</v>
      </c>
      <c r="K620" t="s">
        <v>4272</v>
      </c>
    </row>
    <row r="621" spans="1:11" x14ac:dyDescent="0.25">
      <c r="A621" t="s">
        <v>1764</v>
      </c>
      <c r="B621" t="s">
        <v>62</v>
      </c>
      <c r="C621" t="s">
        <v>310</v>
      </c>
      <c r="D621" t="s">
        <v>2652</v>
      </c>
      <c r="E621" t="s">
        <v>4329</v>
      </c>
      <c r="F621" t="s">
        <v>4330</v>
      </c>
      <c r="G621" t="s">
        <v>3380</v>
      </c>
      <c r="I621" t="s">
        <v>4271</v>
      </c>
      <c r="J621" t="s">
        <v>3308</v>
      </c>
      <c r="K621" t="s">
        <v>4272</v>
      </c>
    </row>
    <row r="622" spans="1:11" x14ac:dyDescent="0.25">
      <c r="A622" t="s">
        <v>1765</v>
      </c>
      <c r="B622" t="s">
        <v>62</v>
      </c>
      <c r="C622" t="s">
        <v>312</v>
      </c>
      <c r="D622" t="s">
        <v>2653</v>
      </c>
      <c r="E622" t="s">
        <v>4331</v>
      </c>
      <c r="F622" t="s">
        <v>4332</v>
      </c>
      <c r="G622" t="s">
        <v>3383</v>
      </c>
      <c r="I622" t="s">
        <v>4271</v>
      </c>
      <c r="J622" t="s">
        <v>3308</v>
      </c>
      <c r="K622" t="s">
        <v>4272</v>
      </c>
    </row>
    <row r="623" spans="1:11" x14ac:dyDescent="0.25">
      <c r="A623" t="s">
        <v>1766</v>
      </c>
      <c r="B623" t="s">
        <v>62</v>
      </c>
      <c r="C623" t="s">
        <v>314</v>
      </c>
      <c r="D623" t="s">
        <v>2654</v>
      </c>
      <c r="E623" t="s">
        <v>4333</v>
      </c>
      <c r="F623" t="s">
        <v>4334</v>
      </c>
      <c r="G623" t="s">
        <v>3386</v>
      </c>
      <c r="I623" t="s">
        <v>4271</v>
      </c>
      <c r="J623" t="s">
        <v>3308</v>
      </c>
      <c r="K623" t="s">
        <v>4272</v>
      </c>
    </row>
    <row r="624" spans="1:11" x14ac:dyDescent="0.25">
      <c r="A624" t="s">
        <v>1767</v>
      </c>
      <c r="B624" t="s">
        <v>62</v>
      </c>
      <c r="C624" t="s">
        <v>316</v>
      </c>
      <c r="D624" t="s">
        <v>2655</v>
      </c>
      <c r="E624" t="s">
        <v>4335</v>
      </c>
      <c r="F624" t="s">
        <v>4336</v>
      </c>
      <c r="G624" t="s">
        <v>3389</v>
      </c>
      <c r="I624" t="s">
        <v>4271</v>
      </c>
      <c r="J624" t="s">
        <v>3308</v>
      </c>
      <c r="K624" t="s">
        <v>4272</v>
      </c>
    </row>
    <row r="625" spans="1:11" x14ac:dyDescent="0.25">
      <c r="A625" t="s">
        <v>1768</v>
      </c>
      <c r="B625" t="s">
        <v>62</v>
      </c>
      <c r="C625" t="s">
        <v>318</v>
      </c>
      <c r="D625" t="s">
        <v>2656</v>
      </c>
      <c r="E625" t="s">
        <v>4337</v>
      </c>
      <c r="F625" t="s">
        <v>4338</v>
      </c>
      <c r="G625" t="s">
        <v>3392</v>
      </c>
      <c r="I625" t="s">
        <v>4271</v>
      </c>
      <c r="J625" t="s">
        <v>3308</v>
      </c>
      <c r="K625" t="s">
        <v>4272</v>
      </c>
    </row>
    <row r="626" spans="1:11" x14ac:dyDescent="0.25">
      <c r="A626" t="s">
        <v>1769</v>
      </c>
      <c r="B626" t="s">
        <v>62</v>
      </c>
      <c r="C626" t="s">
        <v>320</v>
      </c>
      <c r="D626" t="s">
        <v>2657</v>
      </c>
      <c r="E626" t="s">
        <v>4339</v>
      </c>
      <c r="F626" t="s">
        <v>4340</v>
      </c>
      <c r="G626" t="s">
        <v>3395</v>
      </c>
      <c r="I626" t="s">
        <v>4271</v>
      </c>
      <c r="J626" t="s">
        <v>3308</v>
      </c>
      <c r="K626" t="s">
        <v>4272</v>
      </c>
    </row>
    <row r="627" spans="1:11" x14ac:dyDescent="0.25">
      <c r="A627" t="s">
        <v>1770</v>
      </c>
      <c r="B627" t="s">
        <v>62</v>
      </c>
      <c r="C627" t="s">
        <v>322</v>
      </c>
      <c r="D627" t="s">
        <v>2658</v>
      </c>
      <c r="E627" t="s">
        <v>4341</v>
      </c>
      <c r="F627" t="s">
        <v>4342</v>
      </c>
      <c r="G627" t="s">
        <v>3398</v>
      </c>
      <c r="I627" t="s">
        <v>4271</v>
      </c>
      <c r="J627" t="s">
        <v>3308</v>
      </c>
      <c r="K627" t="s">
        <v>4272</v>
      </c>
    </row>
    <row r="628" spans="1:11" x14ac:dyDescent="0.25">
      <c r="A628" t="s">
        <v>1771</v>
      </c>
      <c r="B628" t="s">
        <v>62</v>
      </c>
      <c r="C628" t="s">
        <v>324</v>
      </c>
      <c r="D628" t="s">
        <v>2659</v>
      </c>
      <c r="E628" t="s">
        <v>4343</v>
      </c>
      <c r="F628" t="s">
        <v>4344</v>
      </c>
      <c r="G628" t="s">
        <v>3401</v>
      </c>
      <c r="I628" t="s">
        <v>4271</v>
      </c>
      <c r="J628" t="s">
        <v>3308</v>
      </c>
      <c r="K628" t="s">
        <v>4272</v>
      </c>
    </row>
    <row r="629" spans="1:11" x14ac:dyDescent="0.25">
      <c r="A629" t="s">
        <v>1772</v>
      </c>
      <c r="B629" t="s">
        <v>62</v>
      </c>
      <c r="C629" t="s">
        <v>326</v>
      </c>
      <c r="D629" t="s">
        <v>2660</v>
      </c>
      <c r="E629" t="s">
        <v>4345</v>
      </c>
      <c r="F629" t="s">
        <v>4346</v>
      </c>
      <c r="G629" t="s">
        <v>3404</v>
      </c>
      <c r="I629" t="s">
        <v>4271</v>
      </c>
      <c r="J629" t="s">
        <v>3308</v>
      </c>
      <c r="K629" t="s">
        <v>4272</v>
      </c>
    </row>
    <row r="630" spans="1:11" x14ac:dyDescent="0.25">
      <c r="A630" t="s">
        <v>1773</v>
      </c>
      <c r="B630" t="s">
        <v>62</v>
      </c>
      <c r="C630" t="s">
        <v>328</v>
      </c>
      <c r="D630" t="s">
        <v>2661</v>
      </c>
      <c r="E630" t="s">
        <v>4347</v>
      </c>
      <c r="F630" t="s">
        <v>4348</v>
      </c>
      <c r="G630" t="s">
        <v>3407</v>
      </c>
      <c r="I630" t="s">
        <v>4271</v>
      </c>
      <c r="J630" t="s">
        <v>3308</v>
      </c>
      <c r="K630" t="s">
        <v>4272</v>
      </c>
    </row>
    <row r="631" spans="1:11" x14ac:dyDescent="0.25">
      <c r="A631" t="s">
        <v>1774</v>
      </c>
      <c r="B631" t="s">
        <v>62</v>
      </c>
      <c r="C631" t="s">
        <v>330</v>
      </c>
      <c r="D631" t="s">
        <v>2662</v>
      </c>
      <c r="E631" t="s">
        <v>4349</v>
      </c>
      <c r="F631" t="s">
        <v>4350</v>
      </c>
      <c r="G631" t="s">
        <v>330</v>
      </c>
      <c r="I631" t="s">
        <v>4271</v>
      </c>
      <c r="J631" t="s">
        <v>3308</v>
      </c>
      <c r="K631" t="s">
        <v>4272</v>
      </c>
    </row>
    <row r="632" spans="1:11" x14ac:dyDescent="0.25">
      <c r="A632" t="s">
        <v>1775</v>
      </c>
      <c r="B632" t="s">
        <v>62</v>
      </c>
      <c r="C632" t="s">
        <v>332</v>
      </c>
      <c r="D632" t="s">
        <v>2663</v>
      </c>
      <c r="E632" t="s">
        <v>4351</v>
      </c>
      <c r="F632" t="s">
        <v>4352</v>
      </c>
      <c r="G632" t="s">
        <v>332</v>
      </c>
      <c r="I632" t="s">
        <v>4271</v>
      </c>
      <c r="J632" t="s">
        <v>3308</v>
      </c>
      <c r="K632" t="s">
        <v>4272</v>
      </c>
    </row>
    <row r="633" spans="1:11" x14ac:dyDescent="0.25">
      <c r="A633" t="s">
        <v>1776</v>
      </c>
      <c r="B633" t="s">
        <v>62</v>
      </c>
      <c r="C633" t="s">
        <v>334</v>
      </c>
      <c r="D633" t="s">
        <v>2664</v>
      </c>
      <c r="E633" t="s">
        <v>4353</v>
      </c>
      <c r="F633" t="s">
        <v>4354</v>
      </c>
      <c r="G633" t="s">
        <v>334</v>
      </c>
      <c r="I633" t="s">
        <v>4271</v>
      </c>
      <c r="J633" t="s">
        <v>3308</v>
      </c>
      <c r="K633" t="s">
        <v>4272</v>
      </c>
    </row>
    <row r="634" spans="1:11" x14ac:dyDescent="0.25">
      <c r="A634" t="s">
        <v>1777</v>
      </c>
      <c r="B634" t="s">
        <v>62</v>
      </c>
      <c r="C634" t="s">
        <v>162</v>
      </c>
      <c r="D634" t="s">
        <v>2665</v>
      </c>
      <c r="E634" t="s">
        <v>4355</v>
      </c>
      <c r="F634" t="s">
        <v>4356</v>
      </c>
      <c r="G634" t="s">
        <v>3416</v>
      </c>
      <c r="I634" t="s">
        <v>4271</v>
      </c>
      <c r="J634" t="s">
        <v>3308</v>
      </c>
      <c r="K634" t="s">
        <v>4272</v>
      </c>
    </row>
    <row r="635" spans="1:11" x14ac:dyDescent="0.25">
      <c r="A635" t="s">
        <v>1778</v>
      </c>
      <c r="B635" t="s">
        <v>62</v>
      </c>
      <c r="C635" t="s">
        <v>337</v>
      </c>
      <c r="D635" t="s">
        <v>2666</v>
      </c>
      <c r="E635" t="s">
        <v>4357</v>
      </c>
      <c r="F635" t="s">
        <v>4358</v>
      </c>
      <c r="G635" t="s">
        <v>3419</v>
      </c>
      <c r="I635" t="s">
        <v>4271</v>
      </c>
      <c r="J635" t="s">
        <v>3308</v>
      </c>
      <c r="K635" t="s">
        <v>4272</v>
      </c>
    </row>
    <row r="636" spans="1:11" x14ac:dyDescent="0.25">
      <c r="A636" t="s">
        <v>1779</v>
      </c>
      <c r="B636" t="s">
        <v>62</v>
      </c>
      <c r="C636" t="s">
        <v>339</v>
      </c>
      <c r="D636" t="s">
        <v>2667</v>
      </c>
      <c r="E636" t="s">
        <v>4359</v>
      </c>
      <c r="F636" t="s">
        <v>4360</v>
      </c>
      <c r="G636" t="s">
        <v>3422</v>
      </c>
      <c r="I636" t="s">
        <v>4271</v>
      </c>
      <c r="J636" t="s">
        <v>3308</v>
      </c>
      <c r="K636" t="s">
        <v>4272</v>
      </c>
    </row>
    <row r="637" spans="1:11" x14ac:dyDescent="0.25">
      <c r="A637" t="s">
        <v>1780</v>
      </c>
      <c r="B637" t="s">
        <v>62</v>
      </c>
      <c r="C637" t="s">
        <v>341</v>
      </c>
      <c r="D637" t="s">
        <v>2668</v>
      </c>
      <c r="E637" t="s">
        <v>4361</v>
      </c>
      <c r="F637" t="s">
        <v>4362</v>
      </c>
      <c r="G637" t="s">
        <v>3425</v>
      </c>
      <c r="I637" t="s">
        <v>4271</v>
      </c>
      <c r="J637" t="s">
        <v>3308</v>
      </c>
      <c r="K637" t="s">
        <v>4272</v>
      </c>
    </row>
    <row r="638" spans="1:11" x14ac:dyDescent="0.25">
      <c r="A638" t="s">
        <v>1781</v>
      </c>
      <c r="B638" t="s">
        <v>62</v>
      </c>
      <c r="C638" t="s">
        <v>343</v>
      </c>
      <c r="D638" t="s">
        <v>2669</v>
      </c>
      <c r="E638" t="s">
        <v>4363</v>
      </c>
      <c r="F638" t="s">
        <v>4364</v>
      </c>
      <c r="G638" t="s">
        <v>3428</v>
      </c>
      <c r="I638" t="s">
        <v>4271</v>
      </c>
      <c r="J638" t="s">
        <v>3308</v>
      </c>
      <c r="K638" t="s">
        <v>4272</v>
      </c>
    </row>
    <row r="639" spans="1:11" x14ac:dyDescent="0.25">
      <c r="A639" t="s">
        <v>1782</v>
      </c>
      <c r="B639" t="s">
        <v>62</v>
      </c>
      <c r="C639" t="s">
        <v>345</v>
      </c>
      <c r="D639" t="s">
        <v>2670</v>
      </c>
      <c r="E639" t="s">
        <v>4365</v>
      </c>
      <c r="F639" t="s">
        <v>4366</v>
      </c>
      <c r="G639" t="s">
        <v>3431</v>
      </c>
      <c r="I639" t="s">
        <v>4271</v>
      </c>
      <c r="J639" t="s">
        <v>3308</v>
      </c>
      <c r="K639" t="s">
        <v>4272</v>
      </c>
    </row>
    <row r="640" spans="1:11" x14ac:dyDescent="0.25">
      <c r="A640" t="s">
        <v>1783</v>
      </c>
      <c r="B640" t="s">
        <v>62</v>
      </c>
      <c r="C640" t="s">
        <v>347</v>
      </c>
      <c r="D640" t="s">
        <v>2671</v>
      </c>
      <c r="E640" t="s">
        <v>4367</v>
      </c>
      <c r="F640" t="s">
        <v>4368</v>
      </c>
      <c r="G640" t="s">
        <v>3434</v>
      </c>
      <c r="I640" t="s">
        <v>4271</v>
      </c>
      <c r="J640" t="s">
        <v>3308</v>
      </c>
      <c r="K640" t="s">
        <v>4272</v>
      </c>
    </row>
    <row r="641" spans="1:11" x14ac:dyDescent="0.25">
      <c r="A641" t="s">
        <v>1784</v>
      </c>
      <c r="B641" t="s">
        <v>62</v>
      </c>
      <c r="C641" t="s">
        <v>349</v>
      </c>
      <c r="D641" t="s">
        <v>2672</v>
      </c>
      <c r="E641" t="s">
        <v>4369</v>
      </c>
      <c r="F641" t="s">
        <v>4370</v>
      </c>
      <c r="G641" t="s">
        <v>3437</v>
      </c>
      <c r="I641" t="s">
        <v>4271</v>
      </c>
      <c r="J641" t="s">
        <v>3308</v>
      </c>
      <c r="K641" t="s">
        <v>4272</v>
      </c>
    </row>
    <row r="642" spans="1:11" x14ac:dyDescent="0.25">
      <c r="A642" t="s">
        <v>1785</v>
      </c>
      <c r="B642" t="s">
        <v>38</v>
      </c>
      <c r="C642" t="s">
        <v>351</v>
      </c>
      <c r="D642" t="s">
        <v>2673</v>
      </c>
      <c r="E642" t="s">
        <v>4371</v>
      </c>
      <c r="F642" t="s">
        <v>4372</v>
      </c>
      <c r="G642" t="s">
        <v>3440</v>
      </c>
      <c r="I642" t="s">
        <v>4271</v>
      </c>
      <c r="J642" t="s">
        <v>3308</v>
      </c>
      <c r="K642" t="s">
        <v>4272</v>
      </c>
    </row>
    <row r="643" spans="1:11" x14ac:dyDescent="0.25">
      <c r="A643" t="s">
        <v>1786</v>
      </c>
      <c r="B643" t="s">
        <v>62</v>
      </c>
      <c r="C643" t="s">
        <v>353</v>
      </c>
      <c r="D643" t="s">
        <v>2674</v>
      </c>
      <c r="E643" t="s">
        <v>4373</v>
      </c>
      <c r="F643" t="s">
        <v>4374</v>
      </c>
      <c r="G643" t="s">
        <v>3443</v>
      </c>
      <c r="I643" t="s">
        <v>4271</v>
      </c>
      <c r="J643" t="s">
        <v>3308</v>
      </c>
      <c r="K643" t="s">
        <v>4272</v>
      </c>
    </row>
    <row r="644" spans="1:11" x14ac:dyDescent="0.25">
      <c r="A644" t="s">
        <v>1787</v>
      </c>
      <c r="B644" t="s">
        <v>62</v>
      </c>
      <c r="C644" t="s">
        <v>355</v>
      </c>
      <c r="D644" t="s">
        <v>2675</v>
      </c>
      <c r="E644" t="s">
        <v>4375</v>
      </c>
      <c r="F644" t="s">
        <v>4376</v>
      </c>
      <c r="G644" t="s">
        <v>3446</v>
      </c>
      <c r="I644" t="s">
        <v>4271</v>
      </c>
      <c r="J644" t="s">
        <v>3308</v>
      </c>
      <c r="K644" t="s">
        <v>4272</v>
      </c>
    </row>
    <row r="645" spans="1:11" x14ac:dyDescent="0.25">
      <c r="A645" t="s">
        <v>1788</v>
      </c>
      <c r="B645" t="s">
        <v>62</v>
      </c>
      <c r="C645" t="s">
        <v>357</v>
      </c>
      <c r="D645" t="s">
        <v>2676</v>
      </c>
      <c r="E645" t="s">
        <v>4377</v>
      </c>
      <c r="F645" t="s">
        <v>4378</v>
      </c>
      <c r="G645" t="s">
        <v>3449</v>
      </c>
      <c r="I645" t="s">
        <v>4271</v>
      </c>
      <c r="J645" t="s">
        <v>3308</v>
      </c>
      <c r="K645" t="s">
        <v>4272</v>
      </c>
    </row>
    <row r="646" spans="1:11" x14ac:dyDescent="0.25">
      <c r="A646" t="s">
        <v>1789</v>
      </c>
      <c r="B646" t="s">
        <v>62</v>
      </c>
      <c r="C646" t="s">
        <v>359</v>
      </c>
      <c r="D646" t="s">
        <v>2677</v>
      </c>
      <c r="E646" t="s">
        <v>4379</v>
      </c>
      <c r="F646" t="s">
        <v>4380</v>
      </c>
      <c r="G646" t="s">
        <v>3452</v>
      </c>
      <c r="I646" t="s">
        <v>4271</v>
      </c>
      <c r="J646" t="s">
        <v>3308</v>
      </c>
      <c r="K646" t="s">
        <v>4272</v>
      </c>
    </row>
    <row r="647" spans="1:11" x14ac:dyDescent="0.25">
      <c r="A647" t="s">
        <v>1790</v>
      </c>
      <c r="B647" t="s">
        <v>62</v>
      </c>
      <c r="C647" t="s">
        <v>361</v>
      </c>
      <c r="D647" t="s">
        <v>2678</v>
      </c>
      <c r="E647" t="s">
        <v>4381</v>
      </c>
      <c r="F647" t="s">
        <v>4382</v>
      </c>
      <c r="G647" t="s">
        <v>3455</v>
      </c>
      <c r="I647" t="s">
        <v>4271</v>
      </c>
      <c r="J647" t="s">
        <v>3308</v>
      </c>
      <c r="K647" t="s">
        <v>4272</v>
      </c>
    </row>
    <row r="648" spans="1:11" x14ac:dyDescent="0.25">
      <c r="A648" t="s">
        <v>1791</v>
      </c>
      <c r="B648" t="s">
        <v>62</v>
      </c>
      <c r="C648" t="s">
        <v>363</v>
      </c>
      <c r="D648" t="s">
        <v>2679</v>
      </c>
      <c r="E648" t="s">
        <v>4383</v>
      </c>
      <c r="F648" t="s">
        <v>4384</v>
      </c>
      <c r="G648" t="s">
        <v>3458</v>
      </c>
      <c r="I648" t="s">
        <v>4271</v>
      </c>
      <c r="J648" t="s">
        <v>3308</v>
      </c>
      <c r="K648" t="s">
        <v>4272</v>
      </c>
    </row>
    <row r="649" spans="1:11" x14ac:dyDescent="0.25">
      <c r="A649" t="s">
        <v>1792</v>
      </c>
      <c r="B649" t="s">
        <v>62</v>
      </c>
      <c r="C649" t="s">
        <v>365</v>
      </c>
      <c r="D649" t="s">
        <v>2680</v>
      </c>
      <c r="E649" t="s">
        <v>4385</v>
      </c>
      <c r="F649" t="s">
        <v>4386</v>
      </c>
      <c r="G649" t="s">
        <v>3461</v>
      </c>
      <c r="I649" t="s">
        <v>4271</v>
      </c>
      <c r="J649" t="s">
        <v>3308</v>
      </c>
      <c r="K649" t="s">
        <v>4272</v>
      </c>
    </row>
    <row r="650" spans="1:11" x14ac:dyDescent="0.25">
      <c r="A650" t="s">
        <v>1793</v>
      </c>
      <c r="B650" t="s">
        <v>62</v>
      </c>
      <c r="C650" t="s">
        <v>154</v>
      </c>
      <c r="D650" t="s">
        <v>2681</v>
      </c>
      <c r="E650" t="s">
        <v>4387</v>
      </c>
      <c r="F650" t="s">
        <v>4388</v>
      </c>
      <c r="G650" t="s">
        <v>3464</v>
      </c>
      <c r="I650" t="s">
        <v>4271</v>
      </c>
      <c r="J650" t="s">
        <v>3308</v>
      </c>
      <c r="K650" t="s">
        <v>4272</v>
      </c>
    </row>
    <row r="651" spans="1:11" x14ac:dyDescent="0.25">
      <c r="A651" t="s">
        <v>1794</v>
      </c>
      <c r="B651" t="s">
        <v>62</v>
      </c>
      <c r="C651" t="s">
        <v>156</v>
      </c>
      <c r="D651" t="s">
        <v>2682</v>
      </c>
      <c r="E651" t="s">
        <v>4389</v>
      </c>
      <c r="F651" t="s">
        <v>4390</v>
      </c>
      <c r="G651" t="s">
        <v>3467</v>
      </c>
      <c r="I651" t="s">
        <v>4271</v>
      </c>
      <c r="J651" t="s">
        <v>3308</v>
      </c>
      <c r="K651" t="s">
        <v>4272</v>
      </c>
    </row>
    <row r="652" spans="1:11" x14ac:dyDescent="0.25">
      <c r="A652" t="s">
        <v>1795</v>
      </c>
      <c r="B652" t="s">
        <v>62</v>
      </c>
      <c r="C652" t="s">
        <v>158</v>
      </c>
      <c r="D652" t="s">
        <v>2683</v>
      </c>
      <c r="E652" t="s">
        <v>4391</v>
      </c>
      <c r="F652" t="s">
        <v>4392</v>
      </c>
      <c r="G652" t="s">
        <v>3470</v>
      </c>
      <c r="I652" t="s">
        <v>4271</v>
      </c>
      <c r="J652" t="s">
        <v>3308</v>
      </c>
      <c r="K652" t="s">
        <v>4272</v>
      </c>
    </row>
    <row r="653" spans="1:11" x14ac:dyDescent="0.25">
      <c r="A653" t="s">
        <v>1796</v>
      </c>
      <c r="B653" t="s">
        <v>62</v>
      </c>
      <c r="C653" t="s">
        <v>160</v>
      </c>
      <c r="D653" t="s">
        <v>2684</v>
      </c>
      <c r="E653" t="s">
        <v>4393</v>
      </c>
      <c r="F653" t="s">
        <v>4394</v>
      </c>
      <c r="G653" t="s">
        <v>3473</v>
      </c>
      <c r="I653" t="s">
        <v>4271</v>
      </c>
      <c r="J653" t="s">
        <v>3308</v>
      </c>
      <c r="K653" t="s">
        <v>4272</v>
      </c>
    </row>
    <row r="654" spans="1:11" x14ac:dyDescent="0.25">
      <c r="A654" t="s">
        <v>1797</v>
      </c>
      <c r="B654" t="s">
        <v>62</v>
      </c>
      <c r="C654" t="s">
        <v>162</v>
      </c>
      <c r="D654" t="s">
        <v>2685</v>
      </c>
      <c r="E654" t="s">
        <v>4395</v>
      </c>
      <c r="F654" t="s">
        <v>4396</v>
      </c>
      <c r="G654" t="s">
        <v>3476</v>
      </c>
      <c r="I654" t="s">
        <v>4271</v>
      </c>
      <c r="J654" t="s">
        <v>3308</v>
      </c>
      <c r="K654" t="s">
        <v>4272</v>
      </c>
    </row>
    <row r="655" spans="1:11" x14ac:dyDescent="0.25">
      <c r="A655" t="s">
        <v>1798</v>
      </c>
      <c r="B655" t="s">
        <v>62</v>
      </c>
      <c r="C655" t="s">
        <v>164</v>
      </c>
      <c r="D655" t="s">
        <v>2686</v>
      </c>
      <c r="E655" t="s">
        <v>4397</v>
      </c>
      <c r="F655" t="s">
        <v>4398</v>
      </c>
      <c r="G655" t="s">
        <v>3479</v>
      </c>
      <c r="I655" t="s">
        <v>4271</v>
      </c>
      <c r="J655" t="s">
        <v>3308</v>
      </c>
      <c r="K655" t="s">
        <v>4272</v>
      </c>
    </row>
    <row r="656" spans="1:11" x14ac:dyDescent="0.25">
      <c r="A656" t="s">
        <v>1799</v>
      </c>
      <c r="B656" t="s">
        <v>62</v>
      </c>
      <c r="C656" t="s">
        <v>533</v>
      </c>
      <c r="D656" t="s">
        <v>2687</v>
      </c>
      <c r="E656" t="s">
        <v>4399</v>
      </c>
      <c r="F656" t="s">
        <v>4400</v>
      </c>
      <c r="G656" t="s">
        <v>3482</v>
      </c>
      <c r="I656" t="s">
        <v>4271</v>
      </c>
      <c r="J656" t="s">
        <v>3308</v>
      </c>
      <c r="K656" t="s">
        <v>4272</v>
      </c>
    </row>
    <row r="657" spans="1:11" x14ac:dyDescent="0.25">
      <c r="A657" t="s">
        <v>584</v>
      </c>
      <c r="B657" t="s">
        <v>3035</v>
      </c>
      <c r="C657" t="s">
        <v>2957</v>
      </c>
      <c r="D657" t="s">
        <v>3967</v>
      </c>
      <c r="I657" t="s">
        <v>4271</v>
      </c>
      <c r="J657" t="s">
        <v>3486</v>
      </c>
      <c r="K657" t="s">
        <v>4401</v>
      </c>
    </row>
    <row r="658" spans="1:11" x14ac:dyDescent="0.25">
      <c r="A658" t="s">
        <v>1800</v>
      </c>
      <c r="B658" t="s">
        <v>62</v>
      </c>
      <c r="C658" t="s">
        <v>388</v>
      </c>
      <c r="D658" t="s">
        <v>2688</v>
      </c>
      <c r="E658" t="s">
        <v>4402</v>
      </c>
      <c r="F658" t="s">
        <v>4403</v>
      </c>
      <c r="G658" t="s">
        <v>3083</v>
      </c>
      <c r="I658" t="s">
        <v>4271</v>
      </c>
      <c r="J658" t="s">
        <v>3486</v>
      </c>
      <c r="K658" t="s">
        <v>4401</v>
      </c>
    </row>
    <row r="659" spans="1:11" x14ac:dyDescent="0.25">
      <c r="A659" t="s">
        <v>1801</v>
      </c>
      <c r="B659" t="s">
        <v>62</v>
      </c>
      <c r="C659" t="s">
        <v>390</v>
      </c>
      <c r="D659" t="s">
        <v>2689</v>
      </c>
      <c r="E659" t="s">
        <v>4404</v>
      </c>
      <c r="F659" t="s">
        <v>4405</v>
      </c>
      <c r="G659" t="s">
        <v>3086</v>
      </c>
      <c r="I659" t="s">
        <v>4271</v>
      </c>
      <c r="J659" t="s">
        <v>3486</v>
      </c>
      <c r="K659" t="s">
        <v>4401</v>
      </c>
    </row>
    <row r="660" spans="1:11" x14ac:dyDescent="0.25">
      <c r="A660" t="s">
        <v>1802</v>
      </c>
      <c r="B660" t="s">
        <v>62</v>
      </c>
      <c r="C660" t="s">
        <v>392</v>
      </c>
      <c r="D660" t="s">
        <v>2690</v>
      </c>
      <c r="E660" t="s">
        <v>4406</v>
      </c>
      <c r="F660" t="s">
        <v>4407</v>
      </c>
      <c r="G660" t="s">
        <v>3089</v>
      </c>
      <c r="I660" t="s">
        <v>4271</v>
      </c>
      <c r="J660" t="s">
        <v>3486</v>
      </c>
      <c r="K660" t="s">
        <v>4401</v>
      </c>
    </row>
    <row r="661" spans="1:11" x14ac:dyDescent="0.25">
      <c r="A661" t="s">
        <v>1803</v>
      </c>
      <c r="B661" t="s">
        <v>62</v>
      </c>
      <c r="C661" t="s">
        <v>394</v>
      </c>
      <c r="D661" t="s">
        <v>2691</v>
      </c>
      <c r="E661" t="s">
        <v>4408</v>
      </c>
      <c r="F661" t="s">
        <v>4409</v>
      </c>
      <c r="G661" t="s">
        <v>394</v>
      </c>
      <c r="I661" t="s">
        <v>4271</v>
      </c>
      <c r="J661" t="s">
        <v>3486</v>
      </c>
      <c r="K661" t="s">
        <v>4401</v>
      </c>
    </row>
    <row r="662" spans="1:11" x14ac:dyDescent="0.25">
      <c r="A662" t="s">
        <v>1804</v>
      </c>
      <c r="B662" t="s">
        <v>62</v>
      </c>
      <c r="C662" t="s">
        <v>396</v>
      </c>
      <c r="D662" t="s">
        <v>2692</v>
      </c>
      <c r="E662" t="s">
        <v>4410</v>
      </c>
      <c r="F662" t="s">
        <v>4411</v>
      </c>
      <c r="G662" t="s">
        <v>396</v>
      </c>
      <c r="I662" t="s">
        <v>4271</v>
      </c>
      <c r="J662" t="s">
        <v>3486</v>
      </c>
      <c r="K662" t="s">
        <v>4401</v>
      </c>
    </row>
    <row r="663" spans="1:11" x14ac:dyDescent="0.25">
      <c r="A663" t="s">
        <v>1805</v>
      </c>
      <c r="B663" t="s">
        <v>62</v>
      </c>
      <c r="C663" t="s">
        <v>398</v>
      </c>
      <c r="D663" t="s">
        <v>2693</v>
      </c>
      <c r="E663" t="s">
        <v>4412</v>
      </c>
      <c r="F663" t="s">
        <v>4413</v>
      </c>
      <c r="G663" t="s">
        <v>398</v>
      </c>
      <c r="I663" t="s">
        <v>4271</v>
      </c>
      <c r="J663" t="s">
        <v>3486</v>
      </c>
      <c r="K663" t="s">
        <v>4401</v>
      </c>
    </row>
    <row r="664" spans="1:11" x14ac:dyDescent="0.25">
      <c r="A664" t="s">
        <v>1806</v>
      </c>
      <c r="B664" t="s">
        <v>62</v>
      </c>
      <c r="C664" t="s">
        <v>541</v>
      </c>
      <c r="D664" t="s">
        <v>2694</v>
      </c>
      <c r="E664" t="s">
        <v>4414</v>
      </c>
      <c r="F664" t="s">
        <v>4415</v>
      </c>
      <c r="G664" t="s">
        <v>3100</v>
      </c>
      <c r="I664" t="s">
        <v>4271</v>
      </c>
      <c r="J664" t="s">
        <v>3486</v>
      </c>
      <c r="K664" t="s">
        <v>4401</v>
      </c>
    </row>
    <row r="665" spans="1:11" x14ac:dyDescent="0.25">
      <c r="A665" t="s">
        <v>1807</v>
      </c>
      <c r="B665" t="s">
        <v>62</v>
      </c>
      <c r="C665" t="s">
        <v>374</v>
      </c>
      <c r="D665" t="s">
        <v>2695</v>
      </c>
      <c r="E665" t="s">
        <v>4416</v>
      </c>
      <c r="F665" t="s">
        <v>4417</v>
      </c>
      <c r="G665" t="s">
        <v>3745</v>
      </c>
      <c r="I665" t="s">
        <v>4271</v>
      </c>
      <c r="J665" t="s">
        <v>3486</v>
      </c>
      <c r="K665" t="s">
        <v>4401</v>
      </c>
    </row>
    <row r="666" spans="1:11" x14ac:dyDescent="0.25">
      <c r="A666" t="s">
        <v>1808</v>
      </c>
      <c r="B666" t="s">
        <v>62</v>
      </c>
      <c r="C666" t="s">
        <v>376</v>
      </c>
      <c r="D666" t="s">
        <v>2696</v>
      </c>
      <c r="E666" t="s">
        <v>4418</v>
      </c>
      <c r="F666" t="s">
        <v>4419</v>
      </c>
      <c r="G666" t="s">
        <v>3067</v>
      </c>
      <c r="I666" t="s">
        <v>4271</v>
      </c>
      <c r="J666" t="s">
        <v>3486</v>
      </c>
      <c r="K666" t="s">
        <v>4401</v>
      </c>
    </row>
    <row r="667" spans="1:11" x14ac:dyDescent="0.25">
      <c r="A667" t="s">
        <v>1809</v>
      </c>
      <c r="B667" t="s">
        <v>62</v>
      </c>
      <c r="C667" t="s">
        <v>378</v>
      </c>
      <c r="D667" t="s">
        <v>2697</v>
      </c>
      <c r="E667" t="s">
        <v>4420</v>
      </c>
      <c r="F667" t="s">
        <v>4421</v>
      </c>
      <c r="G667" t="s">
        <v>3070</v>
      </c>
      <c r="I667" t="s">
        <v>4271</v>
      </c>
      <c r="J667" t="s">
        <v>3486</v>
      </c>
      <c r="K667" t="s">
        <v>4401</v>
      </c>
    </row>
    <row r="668" spans="1:11" x14ac:dyDescent="0.25">
      <c r="A668" t="s">
        <v>1810</v>
      </c>
      <c r="B668" t="s">
        <v>62</v>
      </c>
      <c r="C668" t="s">
        <v>380</v>
      </c>
      <c r="D668" t="s">
        <v>2698</v>
      </c>
      <c r="E668" t="s">
        <v>4422</v>
      </c>
      <c r="F668" t="s">
        <v>4423</v>
      </c>
      <c r="G668" t="s">
        <v>380</v>
      </c>
      <c r="I668" t="s">
        <v>4271</v>
      </c>
      <c r="J668" t="s">
        <v>3486</v>
      </c>
      <c r="K668" t="s">
        <v>4401</v>
      </c>
    </row>
    <row r="669" spans="1:11" x14ac:dyDescent="0.25">
      <c r="A669" t="s">
        <v>1811</v>
      </c>
      <c r="B669" t="s">
        <v>62</v>
      </c>
      <c r="C669" t="s">
        <v>382</v>
      </c>
      <c r="D669" t="s">
        <v>2699</v>
      </c>
      <c r="E669" t="s">
        <v>4424</v>
      </c>
      <c r="F669" t="s">
        <v>4425</v>
      </c>
      <c r="G669" t="s">
        <v>382</v>
      </c>
      <c r="I669" t="s">
        <v>4271</v>
      </c>
      <c r="J669" t="s">
        <v>3486</v>
      </c>
      <c r="K669" t="s">
        <v>4401</v>
      </c>
    </row>
    <row r="670" spans="1:11" x14ac:dyDescent="0.25">
      <c r="A670" t="s">
        <v>1812</v>
      </c>
      <c r="B670" t="s">
        <v>62</v>
      </c>
      <c r="C670" t="s">
        <v>384</v>
      </c>
      <c r="D670" t="s">
        <v>2700</v>
      </c>
      <c r="E670" t="s">
        <v>4426</v>
      </c>
      <c r="F670" t="s">
        <v>4427</v>
      </c>
      <c r="G670" t="s">
        <v>384</v>
      </c>
      <c r="I670" t="s">
        <v>4271</v>
      </c>
      <c r="J670" t="s">
        <v>3486</v>
      </c>
      <c r="K670" t="s">
        <v>4401</v>
      </c>
    </row>
    <row r="671" spans="1:11" x14ac:dyDescent="0.25">
      <c r="A671" t="s">
        <v>1813</v>
      </c>
      <c r="B671" t="s">
        <v>62</v>
      </c>
      <c r="C671" t="s">
        <v>549</v>
      </c>
      <c r="D671" t="s">
        <v>2701</v>
      </c>
      <c r="E671" t="s">
        <v>4428</v>
      </c>
      <c r="F671" t="s">
        <v>4429</v>
      </c>
      <c r="G671" t="s">
        <v>3080</v>
      </c>
      <c r="I671" t="s">
        <v>4271</v>
      </c>
      <c r="J671" t="s">
        <v>3486</v>
      </c>
      <c r="K671" t="s">
        <v>4401</v>
      </c>
    </row>
    <row r="672" spans="1:11" x14ac:dyDescent="0.25">
      <c r="A672" t="s">
        <v>1814</v>
      </c>
      <c r="B672" t="s">
        <v>62</v>
      </c>
      <c r="C672" t="s">
        <v>402</v>
      </c>
      <c r="D672" t="s">
        <v>2702</v>
      </c>
      <c r="E672" t="s">
        <v>4430</v>
      </c>
      <c r="F672" t="s">
        <v>4431</v>
      </c>
      <c r="G672" t="s">
        <v>3103</v>
      </c>
      <c r="I672" t="s">
        <v>4271</v>
      </c>
      <c r="J672" t="s">
        <v>3486</v>
      </c>
      <c r="K672" t="s">
        <v>4401</v>
      </c>
    </row>
    <row r="673" spans="1:11" x14ac:dyDescent="0.25">
      <c r="A673" t="s">
        <v>1815</v>
      </c>
      <c r="B673" t="s">
        <v>62</v>
      </c>
      <c r="C673" t="s">
        <v>404</v>
      </c>
      <c r="D673" t="s">
        <v>2703</v>
      </c>
      <c r="E673" t="s">
        <v>4432</v>
      </c>
      <c r="F673" t="s">
        <v>4433</v>
      </c>
      <c r="G673" t="s">
        <v>3106</v>
      </c>
      <c r="I673" t="s">
        <v>4271</v>
      </c>
      <c r="J673" t="s">
        <v>3486</v>
      </c>
      <c r="K673" t="s">
        <v>4401</v>
      </c>
    </row>
    <row r="674" spans="1:11" x14ac:dyDescent="0.25">
      <c r="A674" t="s">
        <v>1816</v>
      </c>
      <c r="B674" t="s">
        <v>62</v>
      </c>
      <c r="C674" t="s">
        <v>406</v>
      </c>
      <c r="D674" t="s">
        <v>2704</v>
      </c>
      <c r="E674" t="s">
        <v>4434</v>
      </c>
      <c r="F674" t="s">
        <v>4435</v>
      </c>
      <c r="G674" t="s">
        <v>3109</v>
      </c>
      <c r="I674" t="s">
        <v>4271</v>
      </c>
      <c r="J674" t="s">
        <v>3486</v>
      </c>
      <c r="K674" t="s">
        <v>4401</v>
      </c>
    </row>
    <row r="675" spans="1:11" x14ac:dyDescent="0.25">
      <c r="A675" t="s">
        <v>1817</v>
      </c>
      <c r="B675" t="s">
        <v>62</v>
      </c>
      <c r="C675" t="s">
        <v>408</v>
      </c>
      <c r="D675" t="s">
        <v>2705</v>
      </c>
      <c r="E675" t="s">
        <v>4436</v>
      </c>
      <c r="F675" t="s">
        <v>4437</v>
      </c>
      <c r="G675" t="s">
        <v>408</v>
      </c>
      <c r="I675" t="s">
        <v>4271</v>
      </c>
      <c r="J675" t="s">
        <v>3486</v>
      </c>
      <c r="K675" t="s">
        <v>4401</v>
      </c>
    </row>
    <row r="676" spans="1:11" x14ac:dyDescent="0.25">
      <c r="A676" t="s">
        <v>1818</v>
      </c>
      <c r="B676" t="s">
        <v>62</v>
      </c>
      <c r="C676" t="s">
        <v>410</v>
      </c>
      <c r="D676" t="s">
        <v>2706</v>
      </c>
      <c r="E676" t="s">
        <v>4438</v>
      </c>
      <c r="F676" t="s">
        <v>4439</v>
      </c>
      <c r="G676" t="s">
        <v>410</v>
      </c>
      <c r="I676" t="s">
        <v>4271</v>
      </c>
      <c r="J676" t="s">
        <v>3486</v>
      </c>
      <c r="K676" t="s">
        <v>4401</v>
      </c>
    </row>
    <row r="677" spans="1:11" x14ac:dyDescent="0.25">
      <c r="A677" t="s">
        <v>1819</v>
      </c>
      <c r="B677" t="s">
        <v>62</v>
      </c>
      <c r="C677" t="s">
        <v>412</v>
      </c>
      <c r="D677" t="s">
        <v>2707</v>
      </c>
      <c r="E677" t="s">
        <v>4440</v>
      </c>
      <c r="F677" t="s">
        <v>4441</v>
      </c>
      <c r="G677" t="s">
        <v>412</v>
      </c>
      <c r="I677" t="s">
        <v>4271</v>
      </c>
      <c r="J677" t="s">
        <v>3486</v>
      </c>
      <c r="K677" t="s">
        <v>4401</v>
      </c>
    </row>
    <row r="678" spans="1:11" x14ac:dyDescent="0.25">
      <c r="A678" t="s">
        <v>1820</v>
      </c>
      <c r="B678" t="s">
        <v>62</v>
      </c>
      <c r="C678" t="s">
        <v>557</v>
      </c>
      <c r="D678" t="s">
        <v>2708</v>
      </c>
      <c r="E678" t="s">
        <v>4442</v>
      </c>
      <c r="F678" t="s">
        <v>4443</v>
      </c>
      <c r="G678" t="s">
        <v>3120</v>
      </c>
      <c r="I678" t="s">
        <v>4271</v>
      </c>
      <c r="J678" t="s">
        <v>3486</v>
      </c>
      <c r="K678" t="s">
        <v>4401</v>
      </c>
    </row>
    <row r="679" spans="1:11" x14ac:dyDescent="0.25">
      <c r="A679" t="s">
        <v>1821</v>
      </c>
      <c r="B679" t="s">
        <v>62</v>
      </c>
      <c r="C679" t="s">
        <v>416</v>
      </c>
      <c r="D679" t="s">
        <v>2709</v>
      </c>
      <c r="E679" t="s">
        <v>4444</v>
      </c>
      <c r="F679" t="s">
        <v>4445</v>
      </c>
      <c r="G679" t="s">
        <v>3144</v>
      </c>
      <c r="I679" t="s">
        <v>4271</v>
      </c>
      <c r="J679" t="s">
        <v>3486</v>
      </c>
      <c r="K679" t="s">
        <v>4401</v>
      </c>
    </row>
    <row r="680" spans="1:11" x14ac:dyDescent="0.25">
      <c r="A680" t="s">
        <v>1822</v>
      </c>
      <c r="B680" t="s">
        <v>62</v>
      </c>
      <c r="C680" t="s">
        <v>418</v>
      </c>
      <c r="D680" t="s">
        <v>2710</v>
      </c>
      <c r="E680" t="s">
        <v>4446</v>
      </c>
      <c r="F680" t="s">
        <v>4447</v>
      </c>
      <c r="G680" t="s">
        <v>3147</v>
      </c>
      <c r="I680" t="s">
        <v>4271</v>
      </c>
      <c r="J680" t="s">
        <v>3486</v>
      </c>
      <c r="K680" t="s">
        <v>4401</v>
      </c>
    </row>
    <row r="681" spans="1:11" x14ac:dyDescent="0.25">
      <c r="A681" t="s">
        <v>1823</v>
      </c>
      <c r="B681" t="s">
        <v>62</v>
      </c>
      <c r="C681" t="s">
        <v>420</v>
      </c>
      <c r="D681" t="s">
        <v>2711</v>
      </c>
      <c r="E681" t="s">
        <v>4448</v>
      </c>
      <c r="F681" t="s">
        <v>4449</v>
      </c>
      <c r="G681" t="s">
        <v>3150</v>
      </c>
      <c r="I681" t="s">
        <v>4271</v>
      </c>
      <c r="J681" t="s">
        <v>3486</v>
      </c>
      <c r="K681" t="s">
        <v>4401</v>
      </c>
    </row>
    <row r="682" spans="1:11" x14ac:dyDescent="0.25">
      <c r="A682" t="s">
        <v>1824</v>
      </c>
      <c r="B682" t="s">
        <v>62</v>
      </c>
      <c r="C682" t="s">
        <v>422</v>
      </c>
      <c r="D682" t="s">
        <v>2712</v>
      </c>
      <c r="E682" t="s">
        <v>4450</v>
      </c>
      <c r="F682" t="s">
        <v>4451</v>
      </c>
      <c r="G682" t="s">
        <v>422</v>
      </c>
      <c r="I682" t="s">
        <v>4271</v>
      </c>
      <c r="J682" t="s">
        <v>3486</v>
      </c>
      <c r="K682" t="s">
        <v>4401</v>
      </c>
    </row>
    <row r="683" spans="1:11" x14ac:dyDescent="0.25">
      <c r="A683" t="s">
        <v>1825</v>
      </c>
      <c r="B683" t="s">
        <v>62</v>
      </c>
      <c r="C683" t="s">
        <v>424</v>
      </c>
      <c r="D683" t="s">
        <v>2713</v>
      </c>
      <c r="E683" t="s">
        <v>4452</v>
      </c>
      <c r="F683" t="s">
        <v>4453</v>
      </c>
      <c r="G683" t="s">
        <v>424</v>
      </c>
      <c r="I683" t="s">
        <v>4271</v>
      </c>
      <c r="J683" t="s">
        <v>3486</v>
      </c>
      <c r="K683" t="s">
        <v>4401</v>
      </c>
    </row>
    <row r="684" spans="1:11" x14ac:dyDescent="0.25">
      <c r="A684" t="s">
        <v>1826</v>
      </c>
      <c r="B684" t="s">
        <v>62</v>
      </c>
      <c r="C684" t="s">
        <v>426</v>
      </c>
      <c r="D684" t="s">
        <v>2714</v>
      </c>
      <c r="E684" t="s">
        <v>4454</v>
      </c>
      <c r="F684" t="s">
        <v>4455</v>
      </c>
      <c r="G684" t="s">
        <v>426</v>
      </c>
      <c r="I684" t="s">
        <v>4271</v>
      </c>
      <c r="J684" t="s">
        <v>3486</v>
      </c>
      <c r="K684" t="s">
        <v>4401</v>
      </c>
    </row>
    <row r="685" spans="1:11" x14ac:dyDescent="0.25">
      <c r="A685" t="s">
        <v>1827</v>
      </c>
      <c r="B685" t="s">
        <v>62</v>
      </c>
      <c r="C685" t="s">
        <v>565</v>
      </c>
      <c r="D685" t="s">
        <v>2715</v>
      </c>
      <c r="E685" t="s">
        <v>4456</v>
      </c>
      <c r="F685" t="s">
        <v>4457</v>
      </c>
      <c r="G685" t="s">
        <v>3161</v>
      </c>
      <c r="I685" t="s">
        <v>4271</v>
      </c>
      <c r="J685" t="s">
        <v>3486</v>
      </c>
      <c r="K685" t="s">
        <v>4401</v>
      </c>
    </row>
    <row r="686" spans="1:11" x14ac:dyDescent="0.25">
      <c r="A686" t="s">
        <v>1828</v>
      </c>
      <c r="B686" t="s">
        <v>62</v>
      </c>
      <c r="C686" t="s">
        <v>430</v>
      </c>
      <c r="D686" t="s">
        <v>2716</v>
      </c>
      <c r="E686" t="s">
        <v>4458</v>
      </c>
      <c r="F686" t="s">
        <v>4459</v>
      </c>
      <c r="G686" t="s">
        <v>3164</v>
      </c>
      <c r="I686" t="s">
        <v>4271</v>
      </c>
      <c r="J686" t="s">
        <v>3486</v>
      </c>
      <c r="K686" t="s">
        <v>4401</v>
      </c>
    </row>
    <row r="687" spans="1:11" x14ac:dyDescent="0.25">
      <c r="A687" t="s">
        <v>1829</v>
      </c>
      <c r="B687" t="s">
        <v>62</v>
      </c>
      <c r="C687" t="s">
        <v>432</v>
      </c>
      <c r="D687" t="s">
        <v>2717</v>
      </c>
      <c r="E687" t="s">
        <v>4460</v>
      </c>
      <c r="F687" t="s">
        <v>4461</v>
      </c>
      <c r="G687" t="s">
        <v>3167</v>
      </c>
      <c r="I687" t="s">
        <v>4271</v>
      </c>
      <c r="J687" t="s">
        <v>3486</v>
      </c>
      <c r="K687" t="s">
        <v>4401</v>
      </c>
    </row>
    <row r="688" spans="1:11" x14ac:dyDescent="0.25">
      <c r="A688" t="s">
        <v>1830</v>
      </c>
      <c r="B688" t="s">
        <v>62</v>
      </c>
      <c r="C688" t="s">
        <v>434</v>
      </c>
      <c r="D688" t="s">
        <v>2718</v>
      </c>
      <c r="E688" t="s">
        <v>4462</v>
      </c>
      <c r="F688" t="s">
        <v>4463</v>
      </c>
      <c r="G688" t="s">
        <v>3170</v>
      </c>
      <c r="I688" t="s">
        <v>4271</v>
      </c>
      <c r="J688" t="s">
        <v>3486</v>
      </c>
      <c r="K688" t="s">
        <v>4401</v>
      </c>
    </row>
    <row r="689" spans="1:11" x14ac:dyDescent="0.25">
      <c r="A689" t="s">
        <v>1831</v>
      </c>
      <c r="B689" t="s">
        <v>62</v>
      </c>
      <c r="C689" t="s">
        <v>436</v>
      </c>
      <c r="D689" t="s">
        <v>2719</v>
      </c>
      <c r="E689" t="s">
        <v>4464</v>
      </c>
      <c r="F689" t="s">
        <v>4465</v>
      </c>
      <c r="G689" t="s">
        <v>436</v>
      </c>
      <c r="I689" t="s">
        <v>4271</v>
      </c>
      <c r="J689" t="s">
        <v>3486</v>
      </c>
      <c r="K689" t="s">
        <v>4401</v>
      </c>
    </row>
    <row r="690" spans="1:11" x14ac:dyDescent="0.25">
      <c r="A690" t="s">
        <v>1832</v>
      </c>
      <c r="B690" t="s">
        <v>62</v>
      </c>
      <c r="C690" t="s">
        <v>438</v>
      </c>
      <c r="D690" t="s">
        <v>2720</v>
      </c>
      <c r="E690" t="s">
        <v>4466</v>
      </c>
      <c r="F690" t="s">
        <v>4467</v>
      </c>
      <c r="G690" t="s">
        <v>438</v>
      </c>
      <c r="I690" t="s">
        <v>4271</v>
      </c>
      <c r="J690" t="s">
        <v>3486</v>
      </c>
      <c r="K690" t="s">
        <v>4401</v>
      </c>
    </row>
    <row r="691" spans="1:11" x14ac:dyDescent="0.25">
      <c r="A691" t="s">
        <v>1833</v>
      </c>
      <c r="B691" t="s">
        <v>62</v>
      </c>
      <c r="C691" t="s">
        <v>440</v>
      </c>
      <c r="D691" t="s">
        <v>2721</v>
      </c>
      <c r="E691" t="s">
        <v>4468</v>
      </c>
      <c r="F691" t="s">
        <v>4469</v>
      </c>
      <c r="G691" t="s">
        <v>440</v>
      </c>
      <c r="I691" t="s">
        <v>4271</v>
      </c>
      <c r="J691" t="s">
        <v>3486</v>
      </c>
      <c r="K691" t="s">
        <v>4401</v>
      </c>
    </row>
    <row r="692" spans="1:11" x14ac:dyDescent="0.25">
      <c r="A692" t="s">
        <v>1834</v>
      </c>
      <c r="B692" t="s">
        <v>62</v>
      </c>
      <c r="C692" t="s">
        <v>442</v>
      </c>
      <c r="D692" t="s">
        <v>2722</v>
      </c>
      <c r="E692" t="s">
        <v>4470</v>
      </c>
      <c r="F692" t="s">
        <v>4471</v>
      </c>
      <c r="G692" t="s">
        <v>3181</v>
      </c>
      <c r="I692" t="s">
        <v>4271</v>
      </c>
      <c r="J692" t="s">
        <v>3486</v>
      </c>
      <c r="K692" t="s">
        <v>4401</v>
      </c>
    </row>
    <row r="693" spans="1:11" x14ac:dyDescent="0.25">
      <c r="A693" t="s">
        <v>1835</v>
      </c>
      <c r="B693" t="s">
        <v>62</v>
      </c>
      <c r="C693" t="s">
        <v>154</v>
      </c>
      <c r="D693" t="s">
        <v>2723</v>
      </c>
      <c r="E693" t="s">
        <v>4472</v>
      </c>
      <c r="F693" t="s">
        <v>4473</v>
      </c>
      <c r="G693" t="s">
        <v>3816</v>
      </c>
      <c r="I693" t="s">
        <v>4271</v>
      </c>
      <c r="J693" t="s">
        <v>3486</v>
      </c>
      <c r="K693" t="s">
        <v>4401</v>
      </c>
    </row>
    <row r="694" spans="1:11" x14ac:dyDescent="0.25">
      <c r="A694" t="s">
        <v>1836</v>
      </c>
      <c r="B694" t="s">
        <v>62</v>
      </c>
      <c r="C694" t="s">
        <v>156</v>
      </c>
      <c r="D694" t="s">
        <v>2724</v>
      </c>
      <c r="E694" t="s">
        <v>4474</v>
      </c>
      <c r="F694" t="s">
        <v>4475</v>
      </c>
      <c r="G694" t="s">
        <v>3819</v>
      </c>
      <c r="I694" t="s">
        <v>4271</v>
      </c>
      <c r="J694" t="s">
        <v>3486</v>
      </c>
      <c r="K694" t="s">
        <v>4401</v>
      </c>
    </row>
    <row r="695" spans="1:11" x14ac:dyDescent="0.25">
      <c r="A695" t="s">
        <v>1837</v>
      </c>
      <c r="B695" t="s">
        <v>62</v>
      </c>
      <c r="C695" t="s">
        <v>158</v>
      </c>
      <c r="D695" t="s">
        <v>2725</v>
      </c>
      <c r="E695" t="s">
        <v>4476</v>
      </c>
      <c r="F695" t="s">
        <v>4477</v>
      </c>
      <c r="G695" t="s">
        <v>3822</v>
      </c>
      <c r="I695" t="s">
        <v>4271</v>
      </c>
      <c r="J695" t="s">
        <v>3486</v>
      </c>
      <c r="K695" t="s">
        <v>4401</v>
      </c>
    </row>
    <row r="696" spans="1:11" x14ac:dyDescent="0.25">
      <c r="A696" t="s">
        <v>1838</v>
      </c>
      <c r="B696" t="s">
        <v>62</v>
      </c>
      <c r="C696" t="s">
        <v>160</v>
      </c>
      <c r="D696" t="s">
        <v>2726</v>
      </c>
      <c r="E696" t="s">
        <v>4478</v>
      </c>
      <c r="F696" t="s">
        <v>4479</v>
      </c>
      <c r="G696" t="s">
        <v>3825</v>
      </c>
      <c r="I696" t="s">
        <v>4271</v>
      </c>
      <c r="J696" t="s">
        <v>3486</v>
      </c>
      <c r="K696" t="s">
        <v>4401</v>
      </c>
    </row>
    <row r="697" spans="1:11" x14ac:dyDescent="0.25">
      <c r="A697" t="s">
        <v>1839</v>
      </c>
      <c r="B697" t="s">
        <v>62</v>
      </c>
      <c r="C697" t="s">
        <v>162</v>
      </c>
      <c r="D697" t="s">
        <v>2727</v>
      </c>
      <c r="E697" t="s">
        <v>4480</v>
      </c>
      <c r="F697" t="s">
        <v>4481</v>
      </c>
      <c r="G697" t="s">
        <v>3828</v>
      </c>
      <c r="I697" t="s">
        <v>4271</v>
      </c>
      <c r="J697" t="s">
        <v>3486</v>
      </c>
      <c r="K697" t="s">
        <v>4401</v>
      </c>
    </row>
    <row r="698" spans="1:11" x14ac:dyDescent="0.25">
      <c r="A698" t="s">
        <v>1840</v>
      </c>
      <c r="B698" t="s">
        <v>62</v>
      </c>
      <c r="C698" t="s">
        <v>164</v>
      </c>
      <c r="D698" t="s">
        <v>2728</v>
      </c>
      <c r="E698" t="s">
        <v>4482</v>
      </c>
      <c r="F698" t="s">
        <v>4483</v>
      </c>
      <c r="G698" t="s">
        <v>3831</v>
      </c>
      <c r="I698" t="s">
        <v>4271</v>
      </c>
      <c r="J698" t="s">
        <v>3486</v>
      </c>
      <c r="K698" t="s">
        <v>4401</v>
      </c>
    </row>
    <row r="699" spans="1:11" x14ac:dyDescent="0.25">
      <c r="A699" t="s">
        <v>1841</v>
      </c>
      <c r="B699" t="s">
        <v>62</v>
      </c>
      <c r="C699" t="s">
        <v>580</v>
      </c>
      <c r="D699" t="s">
        <v>2729</v>
      </c>
      <c r="E699" t="s">
        <v>4484</v>
      </c>
      <c r="F699" t="s">
        <v>4485</v>
      </c>
      <c r="G699" t="s">
        <v>3834</v>
      </c>
      <c r="I699" t="s">
        <v>4271</v>
      </c>
      <c r="J699" t="s">
        <v>3486</v>
      </c>
      <c r="K699" t="s">
        <v>4401</v>
      </c>
    </row>
    <row r="700" spans="1:11" x14ac:dyDescent="0.25">
      <c r="A700" t="s">
        <v>1842</v>
      </c>
      <c r="B700" t="s">
        <v>3035</v>
      </c>
      <c r="C700" t="s">
        <v>2958</v>
      </c>
      <c r="D700" t="s">
        <v>4486</v>
      </c>
      <c r="I700" t="s">
        <v>4487</v>
      </c>
      <c r="J700" t="s">
        <v>3308</v>
      </c>
      <c r="K700" t="s">
        <v>4488</v>
      </c>
    </row>
    <row r="701" spans="1:11" x14ac:dyDescent="0.25">
      <c r="A701" t="s">
        <v>1843</v>
      </c>
      <c r="B701" t="s">
        <v>62</v>
      </c>
      <c r="C701" t="s">
        <v>254</v>
      </c>
      <c r="D701" t="s">
        <v>2730</v>
      </c>
      <c r="E701" t="s">
        <v>4489</v>
      </c>
      <c r="F701" t="s">
        <v>4490</v>
      </c>
      <c r="G701" t="s">
        <v>3307</v>
      </c>
      <c r="I701" t="s">
        <v>4487</v>
      </c>
      <c r="J701" t="s">
        <v>3308</v>
      </c>
      <c r="K701" t="s">
        <v>4488</v>
      </c>
    </row>
    <row r="702" spans="1:11" x14ac:dyDescent="0.25">
      <c r="A702" t="s">
        <v>1844</v>
      </c>
      <c r="B702" t="s">
        <v>62</v>
      </c>
      <c r="C702" t="s">
        <v>256</v>
      </c>
      <c r="D702" t="s">
        <v>2731</v>
      </c>
      <c r="E702" t="s">
        <v>4491</v>
      </c>
      <c r="F702" t="s">
        <v>4492</v>
      </c>
      <c r="G702" t="s">
        <v>3311</v>
      </c>
      <c r="I702" t="s">
        <v>4487</v>
      </c>
      <c r="J702" t="s">
        <v>3308</v>
      </c>
      <c r="K702" t="s">
        <v>4488</v>
      </c>
    </row>
    <row r="703" spans="1:11" x14ac:dyDescent="0.25">
      <c r="A703" t="s">
        <v>1845</v>
      </c>
      <c r="B703" t="s">
        <v>62</v>
      </c>
      <c r="C703" t="s">
        <v>258</v>
      </c>
      <c r="D703" t="s">
        <v>2732</v>
      </c>
      <c r="E703" t="s">
        <v>4493</v>
      </c>
      <c r="F703" t="s">
        <v>4494</v>
      </c>
      <c r="G703" t="s">
        <v>3314</v>
      </c>
      <c r="I703" t="s">
        <v>4487</v>
      </c>
      <c r="J703" t="s">
        <v>3308</v>
      </c>
      <c r="K703" t="s">
        <v>4488</v>
      </c>
    </row>
    <row r="704" spans="1:11" x14ac:dyDescent="0.25">
      <c r="A704" t="s">
        <v>1846</v>
      </c>
      <c r="B704" t="s">
        <v>62</v>
      </c>
      <c r="C704" t="s">
        <v>260</v>
      </c>
      <c r="D704" t="s">
        <v>2733</v>
      </c>
      <c r="E704" t="s">
        <v>4495</v>
      </c>
      <c r="F704" t="s">
        <v>4496</v>
      </c>
      <c r="G704" t="s">
        <v>260</v>
      </c>
      <c r="I704" t="s">
        <v>4487</v>
      </c>
      <c r="J704" t="s">
        <v>3308</v>
      </c>
      <c r="K704" t="s">
        <v>4488</v>
      </c>
    </row>
    <row r="705" spans="1:11" x14ac:dyDescent="0.25">
      <c r="A705" t="s">
        <v>1847</v>
      </c>
      <c r="B705" t="s">
        <v>62</v>
      </c>
      <c r="C705" t="s">
        <v>262</v>
      </c>
      <c r="D705" t="s">
        <v>2734</v>
      </c>
      <c r="E705" t="s">
        <v>4497</v>
      </c>
      <c r="F705" t="s">
        <v>4498</v>
      </c>
      <c r="G705" t="s">
        <v>262</v>
      </c>
      <c r="I705" t="s">
        <v>4487</v>
      </c>
      <c r="J705" t="s">
        <v>3308</v>
      </c>
      <c r="K705" t="s">
        <v>4488</v>
      </c>
    </row>
    <row r="706" spans="1:11" x14ac:dyDescent="0.25">
      <c r="A706" t="s">
        <v>1848</v>
      </c>
      <c r="B706" t="s">
        <v>62</v>
      </c>
      <c r="C706" t="s">
        <v>264</v>
      </c>
      <c r="D706" t="s">
        <v>2735</v>
      </c>
      <c r="E706" t="s">
        <v>4499</v>
      </c>
      <c r="F706" t="s">
        <v>4500</v>
      </c>
      <c r="G706" t="s">
        <v>264</v>
      </c>
      <c r="I706" t="s">
        <v>4487</v>
      </c>
      <c r="J706" t="s">
        <v>3308</v>
      </c>
      <c r="K706" t="s">
        <v>4488</v>
      </c>
    </row>
    <row r="707" spans="1:11" x14ac:dyDescent="0.25">
      <c r="A707" t="s">
        <v>1849</v>
      </c>
      <c r="B707" t="s">
        <v>62</v>
      </c>
      <c r="C707" t="s">
        <v>266</v>
      </c>
      <c r="D707" t="s">
        <v>2736</v>
      </c>
      <c r="E707" t="s">
        <v>4501</v>
      </c>
      <c r="F707" t="s">
        <v>4502</v>
      </c>
      <c r="G707" t="s">
        <v>3323</v>
      </c>
      <c r="I707" t="s">
        <v>4487</v>
      </c>
      <c r="J707" t="s">
        <v>3308</v>
      </c>
      <c r="K707" t="s">
        <v>4488</v>
      </c>
    </row>
    <row r="708" spans="1:11" x14ac:dyDescent="0.25">
      <c r="A708" t="s">
        <v>1850</v>
      </c>
      <c r="B708" t="s">
        <v>62</v>
      </c>
      <c r="C708" t="s">
        <v>268</v>
      </c>
      <c r="D708" t="s">
        <v>2737</v>
      </c>
      <c r="E708" t="s">
        <v>4503</v>
      </c>
      <c r="F708" t="s">
        <v>4504</v>
      </c>
      <c r="G708" t="s">
        <v>3326</v>
      </c>
      <c r="I708" t="s">
        <v>4487</v>
      </c>
      <c r="J708" t="s">
        <v>3308</v>
      </c>
      <c r="K708" t="s">
        <v>4488</v>
      </c>
    </row>
    <row r="709" spans="1:11" x14ac:dyDescent="0.25">
      <c r="A709" t="s">
        <v>1851</v>
      </c>
      <c r="B709" t="s">
        <v>62</v>
      </c>
      <c r="C709" t="s">
        <v>270</v>
      </c>
      <c r="D709" t="s">
        <v>2738</v>
      </c>
      <c r="E709" t="s">
        <v>4505</v>
      </c>
      <c r="F709" t="s">
        <v>4506</v>
      </c>
      <c r="G709" t="s">
        <v>3329</v>
      </c>
      <c r="I709" t="s">
        <v>4487</v>
      </c>
      <c r="J709" t="s">
        <v>3308</v>
      </c>
      <c r="K709" t="s">
        <v>4488</v>
      </c>
    </row>
    <row r="710" spans="1:11" x14ac:dyDescent="0.25">
      <c r="A710" t="s">
        <v>1852</v>
      </c>
      <c r="B710" t="s">
        <v>62</v>
      </c>
      <c r="C710" t="s">
        <v>272</v>
      </c>
      <c r="D710" t="s">
        <v>2739</v>
      </c>
      <c r="E710" t="s">
        <v>4507</v>
      </c>
      <c r="F710" t="s">
        <v>4508</v>
      </c>
      <c r="G710" t="s">
        <v>3332</v>
      </c>
      <c r="I710" t="s">
        <v>4487</v>
      </c>
      <c r="J710" t="s">
        <v>3308</v>
      </c>
      <c r="K710" t="s">
        <v>4488</v>
      </c>
    </row>
    <row r="711" spans="1:11" x14ac:dyDescent="0.25">
      <c r="A711" t="s">
        <v>1853</v>
      </c>
      <c r="B711" t="s">
        <v>62</v>
      </c>
      <c r="C711" t="s">
        <v>274</v>
      </c>
      <c r="D711" t="s">
        <v>2740</v>
      </c>
      <c r="E711" t="s">
        <v>4509</v>
      </c>
      <c r="F711" t="s">
        <v>4510</v>
      </c>
      <c r="G711" t="s">
        <v>274</v>
      </c>
      <c r="I711" t="s">
        <v>4487</v>
      </c>
      <c r="J711" t="s">
        <v>3308</v>
      </c>
      <c r="K711" t="s">
        <v>4488</v>
      </c>
    </row>
    <row r="712" spans="1:11" x14ac:dyDescent="0.25">
      <c r="A712" t="s">
        <v>1854</v>
      </c>
      <c r="B712" t="s">
        <v>62</v>
      </c>
      <c r="C712" t="s">
        <v>276</v>
      </c>
      <c r="D712" t="s">
        <v>2741</v>
      </c>
      <c r="E712" t="s">
        <v>4511</v>
      </c>
      <c r="F712" t="s">
        <v>4512</v>
      </c>
      <c r="G712" t="s">
        <v>276</v>
      </c>
      <c r="I712" t="s">
        <v>4487</v>
      </c>
      <c r="J712" t="s">
        <v>3308</v>
      </c>
      <c r="K712" t="s">
        <v>4488</v>
      </c>
    </row>
    <row r="713" spans="1:11" x14ac:dyDescent="0.25">
      <c r="A713" t="s">
        <v>1855</v>
      </c>
      <c r="B713" t="s">
        <v>62</v>
      </c>
      <c r="C713" t="s">
        <v>278</v>
      </c>
      <c r="D713" t="s">
        <v>2742</v>
      </c>
      <c r="E713" t="s">
        <v>4513</v>
      </c>
      <c r="F713" t="s">
        <v>4514</v>
      </c>
      <c r="G713" t="s">
        <v>278</v>
      </c>
      <c r="I713" t="s">
        <v>4487</v>
      </c>
      <c r="J713" t="s">
        <v>3308</v>
      </c>
      <c r="K713" t="s">
        <v>4488</v>
      </c>
    </row>
    <row r="714" spans="1:11" x14ac:dyDescent="0.25">
      <c r="A714" t="s">
        <v>1856</v>
      </c>
      <c r="B714" t="s">
        <v>62</v>
      </c>
      <c r="C714" t="s">
        <v>280</v>
      </c>
      <c r="D714" t="s">
        <v>2743</v>
      </c>
      <c r="E714" t="s">
        <v>4515</v>
      </c>
      <c r="F714" t="s">
        <v>4516</v>
      </c>
      <c r="G714" t="s">
        <v>3341</v>
      </c>
      <c r="I714" t="s">
        <v>4487</v>
      </c>
      <c r="J714" t="s">
        <v>3308</v>
      </c>
      <c r="K714" t="s">
        <v>4488</v>
      </c>
    </row>
    <row r="715" spans="1:11" x14ac:dyDescent="0.25">
      <c r="A715" t="s">
        <v>1857</v>
      </c>
      <c r="B715" t="s">
        <v>62</v>
      </c>
      <c r="C715" t="s">
        <v>282</v>
      </c>
      <c r="D715" t="s">
        <v>2744</v>
      </c>
      <c r="E715" t="s">
        <v>4517</v>
      </c>
      <c r="F715" t="s">
        <v>4518</v>
      </c>
      <c r="G715" t="s">
        <v>3344</v>
      </c>
      <c r="I715" t="s">
        <v>4487</v>
      </c>
      <c r="J715" t="s">
        <v>3308</v>
      </c>
      <c r="K715" t="s">
        <v>4488</v>
      </c>
    </row>
    <row r="716" spans="1:11" x14ac:dyDescent="0.25">
      <c r="A716" t="s">
        <v>1858</v>
      </c>
      <c r="B716" t="s">
        <v>62</v>
      </c>
      <c r="C716" t="s">
        <v>284</v>
      </c>
      <c r="D716" t="s">
        <v>2745</v>
      </c>
      <c r="E716" t="s">
        <v>4519</v>
      </c>
      <c r="F716" t="s">
        <v>4520</v>
      </c>
      <c r="G716" t="s">
        <v>3347</v>
      </c>
      <c r="I716" t="s">
        <v>4487</v>
      </c>
      <c r="J716" t="s">
        <v>3308</v>
      </c>
      <c r="K716" t="s">
        <v>4488</v>
      </c>
    </row>
    <row r="717" spans="1:11" x14ac:dyDescent="0.25">
      <c r="A717" t="s">
        <v>1859</v>
      </c>
      <c r="B717" t="s">
        <v>62</v>
      </c>
      <c r="C717" t="s">
        <v>286</v>
      </c>
      <c r="D717" t="s">
        <v>2746</v>
      </c>
      <c r="E717" t="s">
        <v>4521</v>
      </c>
      <c r="F717" t="s">
        <v>4522</v>
      </c>
      <c r="G717" t="s">
        <v>3350</v>
      </c>
      <c r="I717" t="s">
        <v>4487</v>
      </c>
      <c r="J717" t="s">
        <v>3308</v>
      </c>
      <c r="K717" t="s">
        <v>4488</v>
      </c>
    </row>
    <row r="718" spans="1:11" x14ac:dyDescent="0.25">
      <c r="A718" t="s">
        <v>1860</v>
      </c>
      <c r="B718" t="s">
        <v>62</v>
      </c>
      <c r="C718" t="s">
        <v>288</v>
      </c>
      <c r="D718" t="s">
        <v>2747</v>
      </c>
      <c r="E718" t="s">
        <v>4523</v>
      </c>
      <c r="F718" t="s">
        <v>4524</v>
      </c>
      <c r="G718" t="s">
        <v>288</v>
      </c>
      <c r="I718" t="s">
        <v>4487</v>
      </c>
      <c r="J718" t="s">
        <v>3308</v>
      </c>
      <c r="K718" t="s">
        <v>4488</v>
      </c>
    </row>
    <row r="719" spans="1:11" x14ac:dyDescent="0.25">
      <c r="A719" t="s">
        <v>1861</v>
      </c>
      <c r="B719" t="s">
        <v>62</v>
      </c>
      <c r="C719" t="s">
        <v>290</v>
      </c>
      <c r="D719" t="s">
        <v>2748</v>
      </c>
      <c r="E719" t="s">
        <v>4525</v>
      </c>
      <c r="F719" t="s">
        <v>4526</v>
      </c>
      <c r="G719" t="s">
        <v>290</v>
      </c>
      <c r="I719" t="s">
        <v>4487</v>
      </c>
      <c r="J719" t="s">
        <v>3308</v>
      </c>
      <c r="K719" t="s">
        <v>4488</v>
      </c>
    </row>
    <row r="720" spans="1:11" x14ac:dyDescent="0.25">
      <c r="A720" t="s">
        <v>1862</v>
      </c>
      <c r="B720" t="s">
        <v>62</v>
      </c>
      <c r="C720" t="s">
        <v>292</v>
      </c>
      <c r="D720" t="s">
        <v>2749</v>
      </c>
      <c r="E720" t="s">
        <v>4527</v>
      </c>
      <c r="F720" t="s">
        <v>4528</v>
      </c>
      <c r="G720" t="s">
        <v>292</v>
      </c>
      <c r="I720" t="s">
        <v>4487</v>
      </c>
      <c r="J720" t="s">
        <v>3308</v>
      </c>
      <c r="K720" t="s">
        <v>4488</v>
      </c>
    </row>
    <row r="721" spans="1:11" x14ac:dyDescent="0.25">
      <c r="A721" t="s">
        <v>1863</v>
      </c>
      <c r="B721" t="s">
        <v>62</v>
      </c>
      <c r="C721" t="s">
        <v>294</v>
      </c>
      <c r="D721" t="s">
        <v>2750</v>
      </c>
      <c r="E721" t="s">
        <v>4529</v>
      </c>
      <c r="F721" t="s">
        <v>4530</v>
      </c>
      <c r="G721" t="s">
        <v>3359</v>
      </c>
      <c r="I721" t="s">
        <v>4487</v>
      </c>
      <c r="J721" t="s">
        <v>3308</v>
      </c>
      <c r="K721" t="s">
        <v>4488</v>
      </c>
    </row>
    <row r="722" spans="1:11" x14ac:dyDescent="0.25">
      <c r="A722" t="s">
        <v>1864</v>
      </c>
      <c r="B722" t="s">
        <v>62</v>
      </c>
      <c r="C722" t="s">
        <v>296</v>
      </c>
      <c r="D722" t="s">
        <v>2751</v>
      </c>
      <c r="E722" t="s">
        <v>4531</v>
      </c>
      <c r="F722" t="s">
        <v>4532</v>
      </c>
      <c r="G722" t="s">
        <v>3362</v>
      </c>
      <c r="I722" t="s">
        <v>4487</v>
      </c>
      <c r="J722" t="s">
        <v>3308</v>
      </c>
      <c r="K722" t="s">
        <v>4488</v>
      </c>
    </row>
    <row r="723" spans="1:11" x14ac:dyDescent="0.25">
      <c r="A723" t="s">
        <v>1865</v>
      </c>
      <c r="B723" t="s">
        <v>62</v>
      </c>
      <c r="C723" t="s">
        <v>298</v>
      </c>
      <c r="D723" t="s">
        <v>2752</v>
      </c>
      <c r="E723" t="s">
        <v>4533</v>
      </c>
      <c r="F723" t="s">
        <v>4534</v>
      </c>
      <c r="G723" t="s">
        <v>3365</v>
      </c>
      <c r="I723" t="s">
        <v>4487</v>
      </c>
      <c r="J723" t="s">
        <v>3308</v>
      </c>
      <c r="K723" t="s">
        <v>4488</v>
      </c>
    </row>
    <row r="724" spans="1:11" x14ac:dyDescent="0.25">
      <c r="A724" t="s">
        <v>1866</v>
      </c>
      <c r="B724" t="s">
        <v>62</v>
      </c>
      <c r="C724" t="s">
        <v>300</v>
      </c>
      <c r="D724" t="s">
        <v>2753</v>
      </c>
      <c r="E724" t="s">
        <v>4535</v>
      </c>
      <c r="F724" t="s">
        <v>4536</v>
      </c>
      <c r="G724" t="s">
        <v>3368</v>
      </c>
      <c r="I724" t="s">
        <v>4487</v>
      </c>
      <c r="J724" t="s">
        <v>3308</v>
      </c>
      <c r="K724" t="s">
        <v>4488</v>
      </c>
    </row>
    <row r="725" spans="1:11" x14ac:dyDescent="0.25">
      <c r="A725" t="s">
        <v>1867</v>
      </c>
      <c r="B725" t="s">
        <v>62</v>
      </c>
      <c r="C725" t="s">
        <v>302</v>
      </c>
      <c r="D725" t="s">
        <v>2754</v>
      </c>
      <c r="E725" t="s">
        <v>4537</v>
      </c>
      <c r="F725" t="s">
        <v>4538</v>
      </c>
      <c r="G725" t="s">
        <v>302</v>
      </c>
      <c r="I725" t="s">
        <v>4487</v>
      </c>
      <c r="J725" t="s">
        <v>3308</v>
      </c>
      <c r="K725" t="s">
        <v>4488</v>
      </c>
    </row>
    <row r="726" spans="1:11" x14ac:dyDescent="0.25">
      <c r="A726" t="s">
        <v>1868</v>
      </c>
      <c r="B726" t="s">
        <v>62</v>
      </c>
      <c r="C726" t="s">
        <v>304</v>
      </c>
      <c r="D726" t="s">
        <v>2755</v>
      </c>
      <c r="E726" t="s">
        <v>4539</v>
      </c>
      <c r="F726" t="s">
        <v>4540</v>
      </c>
      <c r="G726" t="s">
        <v>304</v>
      </c>
      <c r="I726" t="s">
        <v>4487</v>
      </c>
      <c r="J726" t="s">
        <v>3308</v>
      </c>
      <c r="K726" t="s">
        <v>4488</v>
      </c>
    </row>
    <row r="727" spans="1:11" x14ac:dyDescent="0.25">
      <c r="A727" t="s">
        <v>1869</v>
      </c>
      <c r="B727" t="s">
        <v>62</v>
      </c>
      <c r="C727" t="s">
        <v>306</v>
      </c>
      <c r="D727" t="s">
        <v>2756</v>
      </c>
      <c r="E727" t="s">
        <v>4541</v>
      </c>
      <c r="F727" t="s">
        <v>4542</v>
      </c>
      <c r="G727" t="s">
        <v>306</v>
      </c>
      <c r="I727" t="s">
        <v>4487</v>
      </c>
      <c r="J727" t="s">
        <v>3308</v>
      </c>
      <c r="K727" t="s">
        <v>4488</v>
      </c>
    </row>
    <row r="728" spans="1:11" x14ac:dyDescent="0.25">
      <c r="A728" t="s">
        <v>1870</v>
      </c>
      <c r="B728" t="s">
        <v>62</v>
      </c>
      <c r="C728" t="s">
        <v>308</v>
      </c>
      <c r="D728" t="s">
        <v>2757</v>
      </c>
      <c r="E728" t="s">
        <v>4543</v>
      </c>
      <c r="F728" t="s">
        <v>4544</v>
      </c>
      <c r="G728" t="s">
        <v>3377</v>
      </c>
      <c r="I728" t="s">
        <v>4487</v>
      </c>
      <c r="J728" t="s">
        <v>3308</v>
      </c>
      <c r="K728" t="s">
        <v>4488</v>
      </c>
    </row>
    <row r="729" spans="1:11" x14ac:dyDescent="0.25">
      <c r="A729" t="s">
        <v>1871</v>
      </c>
      <c r="B729" t="s">
        <v>62</v>
      </c>
      <c r="C729" t="s">
        <v>310</v>
      </c>
      <c r="D729" t="s">
        <v>2758</v>
      </c>
      <c r="E729" t="s">
        <v>4545</v>
      </c>
      <c r="F729" t="s">
        <v>4546</v>
      </c>
      <c r="G729" t="s">
        <v>3380</v>
      </c>
      <c r="I729" t="s">
        <v>4487</v>
      </c>
      <c r="J729" t="s">
        <v>3308</v>
      </c>
      <c r="K729" t="s">
        <v>4488</v>
      </c>
    </row>
    <row r="730" spans="1:11" x14ac:dyDescent="0.25">
      <c r="A730" t="s">
        <v>1872</v>
      </c>
      <c r="B730" t="s">
        <v>62</v>
      </c>
      <c r="C730" t="s">
        <v>312</v>
      </c>
      <c r="D730" t="s">
        <v>2759</v>
      </c>
      <c r="E730" t="s">
        <v>4547</v>
      </c>
      <c r="F730" t="s">
        <v>4548</v>
      </c>
      <c r="G730" t="s">
        <v>3383</v>
      </c>
      <c r="I730" t="s">
        <v>4487</v>
      </c>
      <c r="J730" t="s">
        <v>3308</v>
      </c>
      <c r="K730" t="s">
        <v>4488</v>
      </c>
    </row>
    <row r="731" spans="1:11" x14ac:dyDescent="0.25">
      <c r="A731" t="s">
        <v>1873</v>
      </c>
      <c r="B731" t="s">
        <v>62</v>
      </c>
      <c r="C731" t="s">
        <v>314</v>
      </c>
      <c r="D731" t="s">
        <v>2760</v>
      </c>
      <c r="E731" t="s">
        <v>4549</v>
      </c>
      <c r="F731" t="s">
        <v>4550</v>
      </c>
      <c r="G731" t="s">
        <v>3386</v>
      </c>
      <c r="I731" t="s">
        <v>4487</v>
      </c>
      <c r="J731" t="s">
        <v>3308</v>
      </c>
      <c r="K731" t="s">
        <v>4488</v>
      </c>
    </row>
    <row r="732" spans="1:11" x14ac:dyDescent="0.25">
      <c r="A732" t="s">
        <v>1874</v>
      </c>
      <c r="B732" t="s">
        <v>62</v>
      </c>
      <c r="C732" t="s">
        <v>316</v>
      </c>
      <c r="D732" t="s">
        <v>2761</v>
      </c>
      <c r="E732" t="s">
        <v>4551</v>
      </c>
      <c r="F732" t="s">
        <v>4552</v>
      </c>
      <c r="G732" t="s">
        <v>3389</v>
      </c>
      <c r="I732" t="s">
        <v>4487</v>
      </c>
      <c r="J732" t="s">
        <v>3308</v>
      </c>
      <c r="K732" t="s">
        <v>4488</v>
      </c>
    </row>
    <row r="733" spans="1:11" x14ac:dyDescent="0.25">
      <c r="A733" t="s">
        <v>1875</v>
      </c>
      <c r="B733" t="s">
        <v>62</v>
      </c>
      <c r="C733" t="s">
        <v>318</v>
      </c>
      <c r="D733" t="s">
        <v>2762</v>
      </c>
      <c r="E733" t="s">
        <v>4553</v>
      </c>
      <c r="F733" t="s">
        <v>4554</v>
      </c>
      <c r="G733" t="s">
        <v>3392</v>
      </c>
      <c r="I733" t="s">
        <v>4487</v>
      </c>
      <c r="J733" t="s">
        <v>3308</v>
      </c>
      <c r="K733" t="s">
        <v>4488</v>
      </c>
    </row>
    <row r="734" spans="1:11" x14ac:dyDescent="0.25">
      <c r="A734" t="s">
        <v>1876</v>
      </c>
      <c r="B734" t="s">
        <v>62</v>
      </c>
      <c r="C734" t="s">
        <v>320</v>
      </c>
      <c r="D734" t="s">
        <v>2763</v>
      </c>
      <c r="E734" t="s">
        <v>4555</v>
      </c>
      <c r="F734" t="s">
        <v>4556</v>
      </c>
      <c r="G734" t="s">
        <v>3395</v>
      </c>
      <c r="I734" t="s">
        <v>4487</v>
      </c>
      <c r="J734" t="s">
        <v>3308</v>
      </c>
      <c r="K734" t="s">
        <v>4488</v>
      </c>
    </row>
    <row r="735" spans="1:11" x14ac:dyDescent="0.25">
      <c r="A735" t="s">
        <v>1877</v>
      </c>
      <c r="B735" t="s">
        <v>62</v>
      </c>
      <c r="C735" t="s">
        <v>322</v>
      </c>
      <c r="D735" t="s">
        <v>2764</v>
      </c>
      <c r="E735" t="s">
        <v>4557</v>
      </c>
      <c r="F735" t="s">
        <v>4558</v>
      </c>
      <c r="G735" t="s">
        <v>3398</v>
      </c>
      <c r="I735" t="s">
        <v>4487</v>
      </c>
      <c r="J735" t="s">
        <v>3308</v>
      </c>
      <c r="K735" t="s">
        <v>4488</v>
      </c>
    </row>
    <row r="736" spans="1:11" x14ac:dyDescent="0.25">
      <c r="A736" t="s">
        <v>1878</v>
      </c>
      <c r="B736" t="s">
        <v>62</v>
      </c>
      <c r="C736" t="s">
        <v>324</v>
      </c>
      <c r="D736" t="s">
        <v>2765</v>
      </c>
      <c r="E736" t="s">
        <v>4559</v>
      </c>
      <c r="F736" t="s">
        <v>4560</v>
      </c>
      <c r="G736" t="s">
        <v>3401</v>
      </c>
      <c r="I736" t="s">
        <v>4487</v>
      </c>
      <c r="J736" t="s">
        <v>3308</v>
      </c>
      <c r="K736" t="s">
        <v>4488</v>
      </c>
    </row>
    <row r="737" spans="1:11" x14ac:dyDescent="0.25">
      <c r="A737" t="s">
        <v>1879</v>
      </c>
      <c r="B737" t="s">
        <v>62</v>
      </c>
      <c r="C737" t="s">
        <v>326</v>
      </c>
      <c r="D737" t="s">
        <v>2766</v>
      </c>
      <c r="E737" t="s">
        <v>4561</v>
      </c>
      <c r="F737" t="s">
        <v>4562</v>
      </c>
      <c r="G737" t="s">
        <v>3404</v>
      </c>
      <c r="I737" t="s">
        <v>4487</v>
      </c>
      <c r="J737" t="s">
        <v>3308</v>
      </c>
      <c r="K737" t="s">
        <v>4488</v>
      </c>
    </row>
    <row r="738" spans="1:11" x14ac:dyDescent="0.25">
      <c r="A738" t="s">
        <v>1880</v>
      </c>
      <c r="B738" t="s">
        <v>62</v>
      </c>
      <c r="C738" t="s">
        <v>328</v>
      </c>
      <c r="D738" t="s">
        <v>2767</v>
      </c>
      <c r="E738" t="s">
        <v>4563</v>
      </c>
      <c r="F738" t="s">
        <v>4564</v>
      </c>
      <c r="G738" t="s">
        <v>3407</v>
      </c>
      <c r="I738" t="s">
        <v>4487</v>
      </c>
      <c r="J738" t="s">
        <v>3308</v>
      </c>
      <c r="K738" t="s">
        <v>4488</v>
      </c>
    </row>
    <row r="739" spans="1:11" x14ac:dyDescent="0.25">
      <c r="A739" t="s">
        <v>1881</v>
      </c>
      <c r="B739" t="s">
        <v>62</v>
      </c>
      <c r="C739" t="s">
        <v>330</v>
      </c>
      <c r="D739" t="s">
        <v>2768</v>
      </c>
      <c r="E739" t="s">
        <v>4565</v>
      </c>
      <c r="F739" t="s">
        <v>4566</v>
      </c>
      <c r="G739" t="s">
        <v>330</v>
      </c>
      <c r="I739" t="s">
        <v>4487</v>
      </c>
      <c r="J739" t="s">
        <v>3308</v>
      </c>
      <c r="K739" t="s">
        <v>4488</v>
      </c>
    </row>
    <row r="740" spans="1:11" x14ac:dyDescent="0.25">
      <c r="A740" t="s">
        <v>1882</v>
      </c>
      <c r="B740" t="s">
        <v>62</v>
      </c>
      <c r="C740" t="s">
        <v>332</v>
      </c>
      <c r="D740" t="s">
        <v>2769</v>
      </c>
      <c r="E740" t="s">
        <v>4567</v>
      </c>
      <c r="F740" t="s">
        <v>4568</v>
      </c>
      <c r="G740" t="s">
        <v>332</v>
      </c>
      <c r="I740" t="s">
        <v>4487</v>
      </c>
      <c r="J740" t="s">
        <v>3308</v>
      </c>
      <c r="K740" t="s">
        <v>4488</v>
      </c>
    </row>
    <row r="741" spans="1:11" x14ac:dyDescent="0.25">
      <c r="A741" t="s">
        <v>1883</v>
      </c>
      <c r="B741" t="s">
        <v>62</v>
      </c>
      <c r="C741" t="s">
        <v>334</v>
      </c>
      <c r="D741" t="s">
        <v>2770</v>
      </c>
      <c r="E741" t="s">
        <v>4569</v>
      </c>
      <c r="F741" t="s">
        <v>4570</v>
      </c>
      <c r="G741" t="s">
        <v>334</v>
      </c>
      <c r="I741" t="s">
        <v>4487</v>
      </c>
      <c r="J741" t="s">
        <v>3308</v>
      </c>
      <c r="K741" t="s">
        <v>4488</v>
      </c>
    </row>
    <row r="742" spans="1:11" x14ac:dyDescent="0.25">
      <c r="A742" t="s">
        <v>1884</v>
      </c>
      <c r="B742" t="s">
        <v>62</v>
      </c>
      <c r="C742" t="s">
        <v>162</v>
      </c>
      <c r="D742" t="s">
        <v>2771</v>
      </c>
      <c r="E742" t="s">
        <v>4571</v>
      </c>
      <c r="F742" t="s">
        <v>4572</v>
      </c>
      <c r="G742" t="s">
        <v>3416</v>
      </c>
      <c r="I742" t="s">
        <v>4487</v>
      </c>
      <c r="J742" t="s">
        <v>3308</v>
      </c>
      <c r="K742" t="s">
        <v>4488</v>
      </c>
    </row>
    <row r="743" spans="1:11" x14ac:dyDescent="0.25">
      <c r="A743" t="s">
        <v>1885</v>
      </c>
      <c r="B743" t="s">
        <v>62</v>
      </c>
      <c r="C743" t="s">
        <v>337</v>
      </c>
      <c r="D743" t="s">
        <v>2772</v>
      </c>
      <c r="E743" t="s">
        <v>4573</v>
      </c>
      <c r="F743" t="s">
        <v>4574</v>
      </c>
      <c r="G743" t="s">
        <v>3419</v>
      </c>
      <c r="I743" t="s">
        <v>4487</v>
      </c>
      <c r="J743" t="s">
        <v>3308</v>
      </c>
      <c r="K743" t="s">
        <v>4488</v>
      </c>
    </row>
    <row r="744" spans="1:11" x14ac:dyDescent="0.25">
      <c r="A744" t="s">
        <v>1886</v>
      </c>
      <c r="B744" t="s">
        <v>62</v>
      </c>
      <c r="C744" t="s">
        <v>339</v>
      </c>
      <c r="D744" t="s">
        <v>2773</v>
      </c>
      <c r="E744" t="s">
        <v>4575</v>
      </c>
      <c r="F744" t="s">
        <v>4576</v>
      </c>
      <c r="G744" t="s">
        <v>3422</v>
      </c>
      <c r="I744" t="s">
        <v>4487</v>
      </c>
      <c r="J744" t="s">
        <v>3308</v>
      </c>
      <c r="K744" t="s">
        <v>4488</v>
      </c>
    </row>
    <row r="745" spans="1:11" x14ac:dyDescent="0.25">
      <c r="A745" t="s">
        <v>1887</v>
      </c>
      <c r="B745" t="s">
        <v>62</v>
      </c>
      <c r="C745" t="s">
        <v>341</v>
      </c>
      <c r="D745" t="s">
        <v>2774</v>
      </c>
      <c r="E745" t="s">
        <v>4577</v>
      </c>
      <c r="F745" t="s">
        <v>4578</v>
      </c>
      <c r="G745" t="s">
        <v>3425</v>
      </c>
      <c r="I745" t="s">
        <v>4487</v>
      </c>
      <c r="J745" t="s">
        <v>3308</v>
      </c>
      <c r="K745" t="s">
        <v>4488</v>
      </c>
    </row>
    <row r="746" spans="1:11" x14ac:dyDescent="0.25">
      <c r="A746" t="s">
        <v>1888</v>
      </c>
      <c r="B746" t="s">
        <v>62</v>
      </c>
      <c r="C746" t="s">
        <v>343</v>
      </c>
      <c r="D746" t="s">
        <v>2775</v>
      </c>
      <c r="E746" t="s">
        <v>4579</v>
      </c>
      <c r="F746" t="s">
        <v>4580</v>
      </c>
      <c r="G746" t="s">
        <v>3428</v>
      </c>
      <c r="I746" t="s">
        <v>4487</v>
      </c>
      <c r="J746" t="s">
        <v>3308</v>
      </c>
      <c r="K746" t="s">
        <v>4488</v>
      </c>
    </row>
    <row r="747" spans="1:11" x14ac:dyDescent="0.25">
      <c r="A747" t="s">
        <v>1889</v>
      </c>
      <c r="B747" t="s">
        <v>62</v>
      </c>
      <c r="C747" t="s">
        <v>345</v>
      </c>
      <c r="D747" t="s">
        <v>2776</v>
      </c>
      <c r="E747" t="s">
        <v>4581</v>
      </c>
      <c r="F747" t="s">
        <v>4582</v>
      </c>
      <c r="G747" t="s">
        <v>3431</v>
      </c>
      <c r="I747" t="s">
        <v>4487</v>
      </c>
      <c r="J747" t="s">
        <v>3308</v>
      </c>
      <c r="K747" t="s">
        <v>4488</v>
      </c>
    </row>
    <row r="748" spans="1:11" x14ac:dyDescent="0.25">
      <c r="A748" t="s">
        <v>1890</v>
      </c>
      <c r="B748" t="s">
        <v>62</v>
      </c>
      <c r="C748" t="s">
        <v>347</v>
      </c>
      <c r="D748" t="s">
        <v>2777</v>
      </c>
      <c r="E748" t="s">
        <v>4583</v>
      </c>
      <c r="F748" t="s">
        <v>4584</v>
      </c>
      <c r="G748" t="s">
        <v>3434</v>
      </c>
      <c r="I748" t="s">
        <v>4487</v>
      </c>
      <c r="J748" t="s">
        <v>3308</v>
      </c>
      <c r="K748" t="s">
        <v>4488</v>
      </c>
    </row>
    <row r="749" spans="1:11" x14ac:dyDescent="0.25">
      <c r="A749" t="s">
        <v>1891</v>
      </c>
      <c r="B749" t="s">
        <v>62</v>
      </c>
      <c r="C749" t="s">
        <v>349</v>
      </c>
      <c r="D749" t="s">
        <v>2778</v>
      </c>
      <c r="E749" t="s">
        <v>4585</v>
      </c>
      <c r="F749" t="s">
        <v>4586</v>
      </c>
      <c r="G749" t="s">
        <v>3437</v>
      </c>
      <c r="I749" t="s">
        <v>4487</v>
      </c>
      <c r="J749" t="s">
        <v>3308</v>
      </c>
      <c r="K749" t="s">
        <v>4488</v>
      </c>
    </row>
    <row r="750" spans="1:11" x14ac:dyDescent="0.25">
      <c r="A750" t="s">
        <v>1892</v>
      </c>
      <c r="B750" t="s">
        <v>38</v>
      </c>
      <c r="C750" t="s">
        <v>351</v>
      </c>
      <c r="D750" t="s">
        <v>2779</v>
      </c>
      <c r="E750" t="s">
        <v>4587</v>
      </c>
      <c r="F750" t="s">
        <v>4588</v>
      </c>
      <c r="G750" t="s">
        <v>3440</v>
      </c>
      <c r="I750" t="s">
        <v>4487</v>
      </c>
      <c r="J750" t="s">
        <v>3308</v>
      </c>
      <c r="K750" t="s">
        <v>4488</v>
      </c>
    </row>
    <row r="751" spans="1:11" x14ac:dyDescent="0.25">
      <c r="A751" t="s">
        <v>1893</v>
      </c>
      <c r="B751" t="s">
        <v>62</v>
      </c>
      <c r="C751" t="s">
        <v>353</v>
      </c>
      <c r="D751" t="s">
        <v>2780</v>
      </c>
      <c r="E751" t="s">
        <v>4589</v>
      </c>
      <c r="F751" t="s">
        <v>4590</v>
      </c>
      <c r="G751" t="s">
        <v>3443</v>
      </c>
      <c r="I751" t="s">
        <v>4487</v>
      </c>
      <c r="J751" t="s">
        <v>3308</v>
      </c>
      <c r="K751" t="s">
        <v>4488</v>
      </c>
    </row>
    <row r="752" spans="1:11" x14ac:dyDescent="0.25">
      <c r="A752" t="s">
        <v>1894</v>
      </c>
      <c r="B752" t="s">
        <v>62</v>
      </c>
      <c r="C752" t="s">
        <v>355</v>
      </c>
      <c r="D752" t="s">
        <v>2781</v>
      </c>
      <c r="E752" t="s">
        <v>4591</v>
      </c>
      <c r="F752" t="s">
        <v>4592</v>
      </c>
      <c r="G752" t="s">
        <v>3446</v>
      </c>
      <c r="I752" t="s">
        <v>4487</v>
      </c>
      <c r="J752" t="s">
        <v>3308</v>
      </c>
      <c r="K752" t="s">
        <v>4488</v>
      </c>
    </row>
    <row r="753" spans="1:11" x14ac:dyDescent="0.25">
      <c r="A753" t="s">
        <v>1895</v>
      </c>
      <c r="B753" t="s">
        <v>62</v>
      </c>
      <c r="C753" t="s">
        <v>357</v>
      </c>
      <c r="D753" t="s">
        <v>2782</v>
      </c>
      <c r="E753" t="s">
        <v>4593</v>
      </c>
      <c r="F753" t="s">
        <v>4594</v>
      </c>
      <c r="G753" t="s">
        <v>3449</v>
      </c>
      <c r="I753" t="s">
        <v>4487</v>
      </c>
      <c r="J753" t="s">
        <v>3308</v>
      </c>
      <c r="K753" t="s">
        <v>4488</v>
      </c>
    </row>
    <row r="754" spans="1:11" x14ac:dyDescent="0.25">
      <c r="A754" t="s">
        <v>1896</v>
      </c>
      <c r="B754" t="s">
        <v>62</v>
      </c>
      <c r="C754" t="s">
        <v>359</v>
      </c>
      <c r="D754" t="s">
        <v>2783</v>
      </c>
      <c r="E754" t="s">
        <v>4595</v>
      </c>
      <c r="F754" t="s">
        <v>4596</v>
      </c>
      <c r="G754" t="s">
        <v>3452</v>
      </c>
      <c r="I754" t="s">
        <v>4487</v>
      </c>
      <c r="J754" t="s">
        <v>3308</v>
      </c>
      <c r="K754" t="s">
        <v>4488</v>
      </c>
    </row>
    <row r="755" spans="1:11" x14ac:dyDescent="0.25">
      <c r="A755" t="s">
        <v>1897</v>
      </c>
      <c r="B755" t="s">
        <v>62</v>
      </c>
      <c r="C755" t="s">
        <v>361</v>
      </c>
      <c r="D755" t="s">
        <v>2784</v>
      </c>
      <c r="E755" t="s">
        <v>4597</v>
      </c>
      <c r="F755" t="s">
        <v>4598</v>
      </c>
      <c r="G755" t="s">
        <v>3455</v>
      </c>
      <c r="I755" t="s">
        <v>4487</v>
      </c>
      <c r="J755" t="s">
        <v>3308</v>
      </c>
      <c r="K755" t="s">
        <v>4488</v>
      </c>
    </row>
    <row r="756" spans="1:11" x14ac:dyDescent="0.25">
      <c r="A756" t="s">
        <v>1898</v>
      </c>
      <c r="B756" t="s">
        <v>62</v>
      </c>
      <c r="C756" t="s">
        <v>363</v>
      </c>
      <c r="D756" t="s">
        <v>2785</v>
      </c>
      <c r="E756" t="s">
        <v>4599</v>
      </c>
      <c r="F756" t="s">
        <v>4600</v>
      </c>
      <c r="G756" t="s">
        <v>3458</v>
      </c>
      <c r="I756" t="s">
        <v>4487</v>
      </c>
      <c r="J756" t="s">
        <v>3308</v>
      </c>
      <c r="K756" t="s">
        <v>4488</v>
      </c>
    </row>
    <row r="757" spans="1:11" x14ac:dyDescent="0.25">
      <c r="A757" t="s">
        <v>1899</v>
      </c>
      <c r="B757" t="s">
        <v>62</v>
      </c>
      <c r="C757" t="s">
        <v>365</v>
      </c>
      <c r="D757" t="s">
        <v>2786</v>
      </c>
      <c r="E757" t="s">
        <v>4601</v>
      </c>
      <c r="F757" t="s">
        <v>4602</v>
      </c>
      <c r="G757" t="s">
        <v>3461</v>
      </c>
      <c r="I757" t="s">
        <v>4487</v>
      </c>
      <c r="J757" t="s">
        <v>3308</v>
      </c>
      <c r="K757" t="s">
        <v>4488</v>
      </c>
    </row>
    <row r="758" spans="1:11" x14ac:dyDescent="0.25">
      <c r="A758" t="s">
        <v>1900</v>
      </c>
      <c r="B758" t="s">
        <v>62</v>
      </c>
      <c r="C758" t="s">
        <v>154</v>
      </c>
      <c r="D758" t="s">
        <v>2787</v>
      </c>
      <c r="E758" t="s">
        <v>4603</v>
      </c>
      <c r="F758" t="s">
        <v>4604</v>
      </c>
      <c r="G758" t="s">
        <v>3464</v>
      </c>
      <c r="I758" t="s">
        <v>4487</v>
      </c>
      <c r="J758" t="s">
        <v>3308</v>
      </c>
      <c r="K758" t="s">
        <v>4488</v>
      </c>
    </row>
    <row r="759" spans="1:11" x14ac:dyDescent="0.25">
      <c r="A759" t="s">
        <v>1901</v>
      </c>
      <c r="B759" t="s">
        <v>62</v>
      </c>
      <c r="C759" t="s">
        <v>156</v>
      </c>
      <c r="D759" t="s">
        <v>2788</v>
      </c>
      <c r="E759" t="s">
        <v>4605</v>
      </c>
      <c r="F759" t="s">
        <v>4606</v>
      </c>
      <c r="G759" t="s">
        <v>3467</v>
      </c>
      <c r="I759" t="s">
        <v>4487</v>
      </c>
      <c r="J759" t="s">
        <v>3308</v>
      </c>
      <c r="K759" t="s">
        <v>4488</v>
      </c>
    </row>
    <row r="760" spans="1:11" x14ac:dyDescent="0.25">
      <c r="A760" t="s">
        <v>1902</v>
      </c>
      <c r="B760" t="s">
        <v>62</v>
      </c>
      <c r="C760" t="s">
        <v>158</v>
      </c>
      <c r="D760" t="s">
        <v>2789</v>
      </c>
      <c r="E760" t="s">
        <v>4607</v>
      </c>
      <c r="F760" t="s">
        <v>4608</v>
      </c>
      <c r="G760" t="s">
        <v>3470</v>
      </c>
      <c r="I760" t="s">
        <v>4487</v>
      </c>
      <c r="J760" t="s">
        <v>3308</v>
      </c>
      <c r="K760" t="s">
        <v>4488</v>
      </c>
    </row>
    <row r="761" spans="1:11" x14ac:dyDescent="0.25">
      <c r="A761" t="s">
        <v>1903</v>
      </c>
      <c r="B761" t="s">
        <v>62</v>
      </c>
      <c r="C761" t="s">
        <v>160</v>
      </c>
      <c r="D761" t="s">
        <v>2790</v>
      </c>
      <c r="E761" t="s">
        <v>4609</v>
      </c>
      <c r="F761" t="s">
        <v>4610</v>
      </c>
      <c r="G761" t="s">
        <v>3473</v>
      </c>
      <c r="I761" t="s">
        <v>4487</v>
      </c>
      <c r="J761" t="s">
        <v>3308</v>
      </c>
      <c r="K761" t="s">
        <v>4488</v>
      </c>
    </row>
    <row r="762" spans="1:11" x14ac:dyDescent="0.25">
      <c r="A762" t="s">
        <v>1904</v>
      </c>
      <c r="B762" t="s">
        <v>62</v>
      </c>
      <c r="C762" t="s">
        <v>162</v>
      </c>
      <c r="D762" t="s">
        <v>2791</v>
      </c>
      <c r="E762" t="s">
        <v>4611</v>
      </c>
      <c r="F762" t="s">
        <v>4612</v>
      </c>
      <c r="G762" t="s">
        <v>3476</v>
      </c>
      <c r="I762" t="s">
        <v>4487</v>
      </c>
      <c r="J762" t="s">
        <v>3308</v>
      </c>
      <c r="K762" t="s">
        <v>4488</v>
      </c>
    </row>
    <row r="763" spans="1:11" x14ac:dyDescent="0.25">
      <c r="A763" t="s">
        <v>1905</v>
      </c>
      <c r="B763" t="s">
        <v>62</v>
      </c>
      <c r="C763" t="s">
        <v>164</v>
      </c>
      <c r="D763" t="s">
        <v>2792</v>
      </c>
      <c r="E763" t="s">
        <v>4613</v>
      </c>
      <c r="F763" t="s">
        <v>4614</v>
      </c>
      <c r="G763" t="s">
        <v>3479</v>
      </c>
      <c r="I763" t="s">
        <v>4487</v>
      </c>
      <c r="J763" t="s">
        <v>3308</v>
      </c>
      <c r="K763" t="s">
        <v>4488</v>
      </c>
    </row>
    <row r="764" spans="1:11" x14ac:dyDescent="0.25">
      <c r="A764" t="s">
        <v>1906</v>
      </c>
      <c r="B764" t="s">
        <v>62</v>
      </c>
      <c r="C764" t="s">
        <v>533</v>
      </c>
      <c r="D764" t="s">
        <v>2793</v>
      </c>
      <c r="E764" t="s">
        <v>4615</v>
      </c>
      <c r="F764" t="s">
        <v>4616</v>
      </c>
      <c r="G764" t="s">
        <v>3482</v>
      </c>
      <c r="I764" t="s">
        <v>4487</v>
      </c>
      <c r="J764" t="s">
        <v>3308</v>
      </c>
      <c r="K764" t="s">
        <v>4488</v>
      </c>
    </row>
    <row r="765" spans="1:11" x14ac:dyDescent="0.25">
      <c r="A765" t="s">
        <v>586</v>
      </c>
      <c r="B765" t="s">
        <v>3035</v>
      </c>
      <c r="C765" t="s">
        <v>2959</v>
      </c>
      <c r="D765" t="s">
        <v>4617</v>
      </c>
    </row>
    <row r="766" spans="1:11" x14ac:dyDescent="0.25">
      <c r="A766" t="s">
        <v>1907</v>
      </c>
      <c r="B766" t="s">
        <v>62</v>
      </c>
      <c r="C766" t="s">
        <v>388</v>
      </c>
      <c r="D766" t="s">
        <v>2794</v>
      </c>
      <c r="E766" t="s">
        <v>4618</v>
      </c>
      <c r="F766" t="s">
        <v>4619</v>
      </c>
      <c r="G766" t="s">
        <v>3083</v>
      </c>
      <c r="I766" t="s">
        <v>4487</v>
      </c>
      <c r="J766" t="s">
        <v>3486</v>
      </c>
      <c r="K766" t="s">
        <v>4620</v>
      </c>
    </row>
    <row r="767" spans="1:11" x14ac:dyDescent="0.25">
      <c r="A767" t="s">
        <v>1908</v>
      </c>
      <c r="B767" t="s">
        <v>62</v>
      </c>
      <c r="C767" t="s">
        <v>390</v>
      </c>
      <c r="D767" t="s">
        <v>2795</v>
      </c>
      <c r="E767" t="s">
        <v>4621</v>
      </c>
      <c r="F767" t="s">
        <v>4622</v>
      </c>
      <c r="G767" t="s">
        <v>3086</v>
      </c>
      <c r="I767" t="s">
        <v>4487</v>
      </c>
      <c r="J767" t="s">
        <v>3486</v>
      </c>
      <c r="K767" t="s">
        <v>4620</v>
      </c>
    </row>
    <row r="768" spans="1:11" x14ac:dyDescent="0.25">
      <c r="A768" t="s">
        <v>1909</v>
      </c>
      <c r="B768" t="s">
        <v>62</v>
      </c>
      <c r="C768" t="s">
        <v>392</v>
      </c>
      <c r="D768" t="s">
        <v>2796</v>
      </c>
      <c r="E768" t="s">
        <v>4623</v>
      </c>
      <c r="F768" t="s">
        <v>4624</v>
      </c>
      <c r="G768" t="s">
        <v>3089</v>
      </c>
      <c r="I768" t="s">
        <v>4487</v>
      </c>
      <c r="J768" t="s">
        <v>3486</v>
      </c>
      <c r="K768" t="s">
        <v>4620</v>
      </c>
    </row>
    <row r="769" spans="1:11" x14ac:dyDescent="0.25">
      <c r="A769" t="s">
        <v>1910</v>
      </c>
      <c r="B769" t="s">
        <v>62</v>
      </c>
      <c r="C769" t="s">
        <v>394</v>
      </c>
      <c r="D769" t="s">
        <v>2797</v>
      </c>
      <c r="E769" t="s">
        <v>4625</v>
      </c>
      <c r="F769" t="s">
        <v>4626</v>
      </c>
      <c r="G769" t="s">
        <v>394</v>
      </c>
      <c r="I769" t="s">
        <v>4487</v>
      </c>
      <c r="J769" t="s">
        <v>3486</v>
      </c>
      <c r="K769" t="s">
        <v>4620</v>
      </c>
    </row>
    <row r="770" spans="1:11" x14ac:dyDescent="0.25">
      <c r="A770" t="s">
        <v>1911</v>
      </c>
      <c r="B770" t="s">
        <v>62</v>
      </c>
      <c r="C770" t="s">
        <v>396</v>
      </c>
      <c r="D770" t="s">
        <v>2798</v>
      </c>
      <c r="E770" t="s">
        <v>4627</v>
      </c>
      <c r="F770" t="s">
        <v>4628</v>
      </c>
      <c r="G770" t="s">
        <v>396</v>
      </c>
      <c r="I770" t="s">
        <v>4487</v>
      </c>
      <c r="J770" t="s">
        <v>3486</v>
      </c>
      <c r="K770" t="s">
        <v>4620</v>
      </c>
    </row>
    <row r="771" spans="1:11" x14ac:dyDescent="0.25">
      <c r="A771" t="s">
        <v>1912</v>
      </c>
      <c r="B771" t="s">
        <v>62</v>
      </c>
      <c r="C771" t="s">
        <v>398</v>
      </c>
      <c r="D771" t="s">
        <v>2799</v>
      </c>
      <c r="E771" t="s">
        <v>4629</v>
      </c>
      <c r="F771" t="s">
        <v>4630</v>
      </c>
      <c r="G771" t="s">
        <v>398</v>
      </c>
      <c r="I771" t="s">
        <v>4487</v>
      </c>
      <c r="J771" t="s">
        <v>3486</v>
      </c>
      <c r="K771" t="s">
        <v>4620</v>
      </c>
    </row>
    <row r="772" spans="1:11" x14ac:dyDescent="0.25">
      <c r="A772" t="s">
        <v>1913</v>
      </c>
      <c r="B772" t="s">
        <v>62</v>
      </c>
      <c r="C772" t="s">
        <v>541</v>
      </c>
      <c r="D772" t="s">
        <v>2800</v>
      </c>
      <c r="E772" t="s">
        <v>4631</v>
      </c>
      <c r="F772" t="s">
        <v>4632</v>
      </c>
      <c r="G772" t="s">
        <v>3100</v>
      </c>
      <c r="I772" t="s">
        <v>4487</v>
      </c>
      <c r="J772" t="s">
        <v>3486</v>
      </c>
      <c r="K772" t="s">
        <v>4620</v>
      </c>
    </row>
    <row r="773" spans="1:11" x14ac:dyDescent="0.25">
      <c r="A773" t="s">
        <v>1914</v>
      </c>
      <c r="B773" t="s">
        <v>62</v>
      </c>
      <c r="C773" t="s">
        <v>374</v>
      </c>
      <c r="D773" t="s">
        <v>2801</v>
      </c>
      <c r="E773" t="s">
        <v>4633</v>
      </c>
      <c r="F773" t="s">
        <v>4634</v>
      </c>
      <c r="G773" t="s">
        <v>3745</v>
      </c>
      <c r="I773" t="s">
        <v>4487</v>
      </c>
      <c r="J773" t="s">
        <v>3486</v>
      </c>
      <c r="K773" t="s">
        <v>4620</v>
      </c>
    </row>
    <row r="774" spans="1:11" x14ac:dyDescent="0.25">
      <c r="A774" t="s">
        <v>1915</v>
      </c>
      <c r="B774" t="s">
        <v>62</v>
      </c>
      <c r="C774" t="s">
        <v>376</v>
      </c>
      <c r="D774" t="s">
        <v>2802</v>
      </c>
      <c r="E774" t="s">
        <v>4635</v>
      </c>
      <c r="F774" t="s">
        <v>4636</v>
      </c>
      <c r="G774" t="s">
        <v>3067</v>
      </c>
      <c r="I774" t="s">
        <v>4487</v>
      </c>
      <c r="J774" t="s">
        <v>3486</v>
      </c>
      <c r="K774" t="s">
        <v>4620</v>
      </c>
    </row>
    <row r="775" spans="1:11" x14ac:dyDescent="0.25">
      <c r="A775" t="s">
        <v>1916</v>
      </c>
      <c r="B775" t="s">
        <v>62</v>
      </c>
      <c r="C775" t="s">
        <v>378</v>
      </c>
      <c r="D775" t="s">
        <v>2803</v>
      </c>
      <c r="E775" t="s">
        <v>4637</v>
      </c>
      <c r="F775" t="s">
        <v>4638</v>
      </c>
      <c r="G775" t="s">
        <v>3070</v>
      </c>
      <c r="I775" t="s">
        <v>4487</v>
      </c>
      <c r="J775" t="s">
        <v>3486</v>
      </c>
      <c r="K775" t="s">
        <v>4620</v>
      </c>
    </row>
    <row r="776" spans="1:11" x14ac:dyDescent="0.25">
      <c r="A776" t="s">
        <v>1917</v>
      </c>
      <c r="B776" t="s">
        <v>62</v>
      </c>
      <c r="C776" t="s">
        <v>380</v>
      </c>
      <c r="D776" t="s">
        <v>2804</v>
      </c>
      <c r="E776" t="s">
        <v>4639</v>
      </c>
      <c r="F776" t="s">
        <v>4640</v>
      </c>
      <c r="G776" t="s">
        <v>380</v>
      </c>
      <c r="I776" t="s">
        <v>4487</v>
      </c>
      <c r="J776" t="s">
        <v>3486</v>
      </c>
      <c r="K776" t="s">
        <v>4620</v>
      </c>
    </row>
    <row r="777" spans="1:11" x14ac:dyDescent="0.25">
      <c r="A777" t="s">
        <v>1918</v>
      </c>
      <c r="B777" t="s">
        <v>62</v>
      </c>
      <c r="C777" t="s">
        <v>382</v>
      </c>
      <c r="D777" t="s">
        <v>2805</v>
      </c>
      <c r="E777" t="s">
        <v>4641</v>
      </c>
      <c r="F777" t="s">
        <v>4642</v>
      </c>
      <c r="G777" t="s">
        <v>382</v>
      </c>
      <c r="I777" t="s">
        <v>4487</v>
      </c>
      <c r="J777" t="s">
        <v>3486</v>
      </c>
      <c r="K777" t="s">
        <v>4620</v>
      </c>
    </row>
    <row r="778" spans="1:11" x14ac:dyDescent="0.25">
      <c r="A778" t="s">
        <v>1919</v>
      </c>
      <c r="B778" t="s">
        <v>62</v>
      </c>
      <c r="C778" t="s">
        <v>384</v>
      </c>
      <c r="D778" t="s">
        <v>2806</v>
      </c>
      <c r="E778" t="s">
        <v>4643</v>
      </c>
      <c r="F778" t="s">
        <v>4644</v>
      </c>
      <c r="G778" t="s">
        <v>384</v>
      </c>
      <c r="I778" t="s">
        <v>4487</v>
      </c>
      <c r="J778" t="s">
        <v>3486</v>
      </c>
      <c r="K778" t="s">
        <v>4620</v>
      </c>
    </row>
    <row r="779" spans="1:11" x14ac:dyDescent="0.25">
      <c r="A779" t="s">
        <v>1920</v>
      </c>
      <c r="B779" t="s">
        <v>62</v>
      </c>
      <c r="C779" t="s">
        <v>549</v>
      </c>
      <c r="D779" t="s">
        <v>2807</v>
      </c>
      <c r="E779" t="s">
        <v>4645</v>
      </c>
      <c r="F779" t="s">
        <v>4646</v>
      </c>
      <c r="G779" t="s">
        <v>3080</v>
      </c>
      <c r="I779" t="s">
        <v>4487</v>
      </c>
      <c r="J779" t="s">
        <v>3486</v>
      </c>
      <c r="K779" t="s">
        <v>4620</v>
      </c>
    </row>
    <row r="780" spans="1:11" x14ac:dyDescent="0.25">
      <c r="A780" t="s">
        <v>1921</v>
      </c>
      <c r="B780" t="s">
        <v>62</v>
      </c>
      <c r="C780" t="s">
        <v>402</v>
      </c>
      <c r="D780" t="s">
        <v>2808</v>
      </c>
      <c r="E780" t="s">
        <v>4647</v>
      </c>
      <c r="F780" t="s">
        <v>4648</v>
      </c>
      <c r="G780" t="s">
        <v>3103</v>
      </c>
      <c r="I780" t="s">
        <v>4487</v>
      </c>
      <c r="J780" t="s">
        <v>3486</v>
      </c>
      <c r="K780" t="s">
        <v>4620</v>
      </c>
    </row>
    <row r="781" spans="1:11" x14ac:dyDescent="0.25">
      <c r="A781" t="s">
        <v>1922</v>
      </c>
      <c r="B781" t="s">
        <v>62</v>
      </c>
      <c r="C781" t="s">
        <v>404</v>
      </c>
      <c r="D781" t="s">
        <v>2809</v>
      </c>
      <c r="E781" t="s">
        <v>4649</v>
      </c>
      <c r="F781" t="s">
        <v>4650</v>
      </c>
      <c r="G781" t="s">
        <v>3106</v>
      </c>
      <c r="I781" t="s">
        <v>4487</v>
      </c>
      <c r="J781" t="s">
        <v>3486</v>
      </c>
      <c r="K781" t="s">
        <v>4620</v>
      </c>
    </row>
    <row r="782" spans="1:11" x14ac:dyDescent="0.25">
      <c r="A782" t="s">
        <v>1923</v>
      </c>
      <c r="B782" t="s">
        <v>62</v>
      </c>
      <c r="C782" t="s">
        <v>406</v>
      </c>
      <c r="D782" t="s">
        <v>2810</v>
      </c>
      <c r="E782" t="s">
        <v>4651</v>
      </c>
      <c r="F782" t="s">
        <v>4652</v>
      </c>
      <c r="G782" t="s">
        <v>3109</v>
      </c>
      <c r="I782" t="s">
        <v>4487</v>
      </c>
      <c r="J782" t="s">
        <v>3486</v>
      </c>
      <c r="K782" t="s">
        <v>4620</v>
      </c>
    </row>
    <row r="783" spans="1:11" x14ac:dyDescent="0.25">
      <c r="A783" t="s">
        <v>1924</v>
      </c>
      <c r="B783" t="s">
        <v>62</v>
      </c>
      <c r="C783" t="s">
        <v>408</v>
      </c>
      <c r="D783" t="s">
        <v>2811</v>
      </c>
      <c r="E783" t="s">
        <v>4653</v>
      </c>
      <c r="F783" t="s">
        <v>4654</v>
      </c>
      <c r="G783" t="s">
        <v>408</v>
      </c>
      <c r="I783" t="s">
        <v>4487</v>
      </c>
      <c r="J783" t="s">
        <v>3486</v>
      </c>
      <c r="K783" t="s">
        <v>4620</v>
      </c>
    </row>
    <row r="784" spans="1:11" x14ac:dyDescent="0.25">
      <c r="A784" t="s">
        <v>1925</v>
      </c>
      <c r="B784" t="s">
        <v>62</v>
      </c>
      <c r="C784" t="s">
        <v>410</v>
      </c>
      <c r="D784" t="s">
        <v>2812</v>
      </c>
      <c r="E784" t="s">
        <v>4655</v>
      </c>
      <c r="F784" t="s">
        <v>4656</v>
      </c>
      <c r="G784" t="s">
        <v>410</v>
      </c>
      <c r="I784" t="s">
        <v>4487</v>
      </c>
      <c r="J784" t="s">
        <v>3486</v>
      </c>
      <c r="K784" t="s">
        <v>4620</v>
      </c>
    </row>
    <row r="785" spans="1:11" x14ac:dyDescent="0.25">
      <c r="A785" t="s">
        <v>1926</v>
      </c>
      <c r="B785" t="s">
        <v>62</v>
      </c>
      <c r="C785" t="s">
        <v>412</v>
      </c>
      <c r="D785" t="s">
        <v>2813</v>
      </c>
      <c r="E785" t="s">
        <v>4657</v>
      </c>
      <c r="F785" t="s">
        <v>4658</v>
      </c>
      <c r="G785" t="s">
        <v>412</v>
      </c>
      <c r="I785" t="s">
        <v>4487</v>
      </c>
      <c r="J785" t="s">
        <v>3486</v>
      </c>
      <c r="K785" t="s">
        <v>4620</v>
      </c>
    </row>
    <row r="786" spans="1:11" x14ac:dyDescent="0.25">
      <c r="A786" t="s">
        <v>1927</v>
      </c>
      <c r="B786" t="s">
        <v>62</v>
      </c>
      <c r="C786" t="s">
        <v>557</v>
      </c>
      <c r="D786" t="s">
        <v>2814</v>
      </c>
      <c r="E786" t="s">
        <v>4659</v>
      </c>
      <c r="F786" t="s">
        <v>4660</v>
      </c>
      <c r="G786" t="s">
        <v>3120</v>
      </c>
      <c r="I786" t="s">
        <v>4487</v>
      </c>
      <c r="J786" t="s">
        <v>3486</v>
      </c>
      <c r="K786" t="s">
        <v>4620</v>
      </c>
    </row>
    <row r="787" spans="1:11" x14ac:dyDescent="0.25">
      <c r="A787" t="s">
        <v>1928</v>
      </c>
      <c r="B787" t="s">
        <v>62</v>
      </c>
      <c r="C787" t="s">
        <v>416</v>
      </c>
      <c r="D787" t="s">
        <v>2815</v>
      </c>
      <c r="E787" t="s">
        <v>4661</v>
      </c>
      <c r="F787" t="s">
        <v>4662</v>
      </c>
      <c r="G787" t="s">
        <v>3144</v>
      </c>
      <c r="I787" t="s">
        <v>4487</v>
      </c>
      <c r="J787" t="s">
        <v>3486</v>
      </c>
      <c r="K787" t="s">
        <v>4620</v>
      </c>
    </row>
    <row r="788" spans="1:11" x14ac:dyDescent="0.25">
      <c r="A788" t="s">
        <v>1929</v>
      </c>
      <c r="B788" t="s">
        <v>62</v>
      </c>
      <c r="C788" t="s">
        <v>418</v>
      </c>
      <c r="D788" t="s">
        <v>2816</v>
      </c>
      <c r="E788" t="s">
        <v>4663</v>
      </c>
      <c r="F788" t="s">
        <v>4664</v>
      </c>
      <c r="G788" t="s">
        <v>3147</v>
      </c>
      <c r="I788" t="s">
        <v>4487</v>
      </c>
      <c r="J788" t="s">
        <v>3486</v>
      </c>
      <c r="K788" t="s">
        <v>4620</v>
      </c>
    </row>
    <row r="789" spans="1:11" x14ac:dyDescent="0.25">
      <c r="A789" t="s">
        <v>1930</v>
      </c>
      <c r="B789" t="s">
        <v>62</v>
      </c>
      <c r="C789" t="s">
        <v>420</v>
      </c>
      <c r="D789" t="s">
        <v>2817</v>
      </c>
      <c r="E789" t="s">
        <v>4665</v>
      </c>
      <c r="F789" t="s">
        <v>4666</v>
      </c>
      <c r="G789" t="s">
        <v>3150</v>
      </c>
      <c r="I789" t="s">
        <v>4487</v>
      </c>
      <c r="J789" t="s">
        <v>3486</v>
      </c>
      <c r="K789" t="s">
        <v>4620</v>
      </c>
    </row>
    <row r="790" spans="1:11" x14ac:dyDescent="0.25">
      <c r="A790" t="s">
        <v>1931</v>
      </c>
      <c r="B790" t="s">
        <v>62</v>
      </c>
      <c r="C790" t="s">
        <v>422</v>
      </c>
      <c r="D790" t="s">
        <v>2818</v>
      </c>
      <c r="E790" t="s">
        <v>4667</v>
      </c>
      <c r="F790" t="s">
        <v>4668</v>
      </c>
      <c r="G790" t="s">
        <v>422</v>
      </c>
      <c r="I790" t="s">
        <v>4487</v>
      </c>
      <c r="J790" t="s">
        <v>3486</v>
      </c>
      <c r="K790" t="s">
        <v>4620</v>
      </c>
    </row>
    <row r="791" spans="1:11" x14ac:dyDescent="0.25">
      <c r="A791" t="s">
        <v>1932</v>
      </c>
      <c r="B791" t="s">
        <v>62</v>
      </c>
      <c r="C791" t="s">
        <v>424</v>
      </c>
      <c r="D791" t="s">
        <v>2819</v>
      </c>
      <c r="E791" t="s">
        <v>4669</v>
      </c>
      <c r="F791" t="s">
        <v>4670</v>
      </c>
      <c r="G791" t="s">
        <v>424</v>
      </c>
      <c r="I791" t="s">
        <v>4487</v>
      </c>
      <c r="J791" t="s">
        <v>3486</v>
      </c>
      <c r="K791" t="s">
        <v>4620</v>
      </c>
    </row>
    <row r="792" spans="1:11" x14ac:dyDescent="0.25">
      <c r="A792" t="s">
        <v>1933</v>
      </c>
      <c r="B792" t="s">
        <v>62</v>
      </c>
      <c r="C792" t="s">
        <v>426</v>
      </c>
      <c r="D792" t="s">
        <v>2820</v>
      </c>
      <c r="E792" t="s">
        <v>4671</v>
      </c>
      <c r="F792" t="s">
        <v>4672</v>
      </c>
      <c r="G792" t="s">
        <v>426</v>
      </c>
      <c r="I792" t="s">
        <v>4487</v>
      </c>
      <c r="J792" t="s">
        <v>3486</v>
      </c>
      <c r="K792" t="s">
        <v>4620</v>
      </c>
    </row>
    <row r="793" spans="1:11" x14ac:dyDescent="0.25">
      <c r="A793" t="s">
        <v>1934</v>
      </c>
      <c r="B793" t="s">
        <v>62</v>
      </c>
      <c r="C793" t="s">
        <v>565</v>
      </c>
      <c r="D793" t="s">
        <v>2821</v>
      </c>
      <c r="E793" t="s">
        <v>4673</v>
      </c>
      <c r="F793" t="s">
        <v>4674</v>
      </c>
      <c r="G793" t="s">
        <v>3161</v>
      </c>
      <c r="I793" t="s">
        <v>4487</v>
      </c>
      <c r="J793" t="s">
        <v>3486</v>
      </c>
      <c r="K793" t="s">
        <v>4620</v>
      </c>
    </row>
    <row r="794" spans="1:11" x14ac:dyDescent="0.25">
      <c r="A794" t="s">
        <v>1935</v>
      </c>
      <c r="B794" t="s">
        <v>62</v>
      </c>
      <c r="C794" t="s">
        <v>430</v>
      </c>
      <c r="D794" t="s">
        <v>2822</v>
      </c>
      <c r="E794" t="s">
        <v>4675</v>
      </c>
      <c r="F794" t="s">
        <v>4676</v>
      </c>
      <c r="G794" t="s">
        <v>3164</v>
      </c>
      <c r="I794" t="s">
        <v>4487</v>
      </c>
      <c r="J794" t="s">
        <v>3486</v>
      </c>
      <c r="K794" t="s">
        <v>4620</v>
      </c>
    </row>
    <row r="795" spans="1:11" x14ac:dyDescent="0.25">
      <c r="A795" t="s">
        <v>1936</v>
      </c>
      <c r="B795" t="s">
        <v>62</v>
      </c>
      <c r="C795" t="s">
        <v>432</v>
      </c>
      <c r="D795" t="s">
        <v>2823</v>
      </c>
      <c r="E795" t="s">
        <v>4677</v>
      </c>
      <c r="F795" t="s">
        <v>4678</v>
      </c>
      <c r="G795" t="s">
        <v>3167</v>
      </c>
      <c r="I795" t="s">
        <v>4487</v>
      </c>
      <c r="J795" t="s">
        <v>3486</v>
      </c>
      <c r="K795" t="s">
        <v>4620</v>
      </c>
    </row>
    <row r="796" spans="1:11" x14ac:dyDescent="0.25">
      <c r="A796" t="s">
        <v>1937</v>
      </c>
      <c r="B796" t="s">
        <v>62</v>
      </c>
      <c r="C796" t="s">
        <v>434</v>
      </c>
      <c r="D796" t="s">
        <v>2824</v>
      </c>
      <c r="E796" t="s">
        <v>4679</v>
      </c>
      <c r="F796" t="s">
        <v>4680</v>
      </c>
      <c r="G796" t="s">
        <v>3170</v>
      </c>
      <c r="I796" t="s">
        <v>4487</v>
      </c>
      <c r="J796" t="s">
        <v>3486</v>
      </c>
      <c r="K796" t="s">
        <v>4620</v>
      </c>
    </row>
    <row r="797" spans="1:11" x14ac:dyDescent="0.25">
      <c r="A797" t="s">
        <v>1938</v>
      </c>
      <c r="B797" t="s">
        <v>62</v>
      </c>
      <c r="C797" t="s">
        <v>436</v>
      </c>
      <c r="D797" t="s">
        <v>2825</v>
      </c>
      <c r="E797" t="s">
        <v>4681</v>
      </c>
      <c r="F797" t="s">
        <v>4682</v>
      </c>
      <c r="G797" t="s">
        <v>436</v>
      </c>
      <c r="I797" t="s">
        <v>4487</v>
      </c>
      <c r="J797" t="s">
        <v>3486</v>
      </c>
      <c r="K797" t="s">
        <v>4620</v>
      </c>
    </row>
    <row r="798" spans="1:11" x14ac:dyDescent="0.25">
      <c r="A798" t="s">
        <v>1939</v>
      </c>
      <c r="B798" t="s">
        <v>62</v>
      </c>
      <c r="C798" t="s">
        <v>438</v>
      </c>
      <c r="D798" t="s">
        <v>2826</v>
      </c>
      <c r="E798" t="s">
        <v>4683</v>
      </c>
      <c r="F798" t="s">
        <v>4684</v>
      </c>
      <c r="G798" t="s">
        <v>438</v>
      </c>
      <c r="I798" t="s">
        <v>4487</v>
      </c>
      <c r="J798" t="s">
        <v>3486</v>
      </c>
      <c r="K798" t="s">
        <v>4620</v>
      </c>
    </row>
    <row r="799" spans="1:11" x14ac:dyDescent="0.25">
      <c r="A799" t="s">
        <v>1940</v>
      </c>
      <c r="B799" t="s">
        <v>62</v>
      </c>
      <c r="C799" t="s">
        <v>440</v>
      </c>
      <c r="D799" t="s">
        <v>2827</v>
      </c>
      <c r="E799" t="s">
        <v>4685</v>
      </c>
      <c r="F799" t="s">
        <v>4686</v>
      </c>
      <c r="G799" t="s">
        <v>440</v>
      </c>
      <c r="I799" t="s">
        <v>4487</v>
      </c>
      <c r="J799" t="s">
        <v>3486</v>
      </c>
      <c r="K799" t="s">
        <v>4620</v>
      </c>
    </row>
    <row r="800" spans="1:11" x14ac:dyDescent="0.25">
      <c r="A800" t="s">
        <v>1941</v>
      </c>
      <c r="B800" t="s">
        <v>62</v>
      </c>
      <c r="C800" t="s">
        <v>442</v>
      </c>
      <c r="D800" t="s">
        <v>2828</v>
      </c>
      <c r="E800" t="s">
        <v>4687</v>
      </c>
      <c r="F800" t="s">
        <v>4688</v>
      </c>
      <c r="G800" t="s">
        <v>3181</v>
      </c>
      <c r="I800" t="s">
        <v>4487</v>
      </c>
      <c r="J800" t="s">
        <v>3486</v>
      </c>
      <c r="K800" t="s">
        <v>4620</v>
      </c>
    </row>
    <row r="801" spans="1:11" x14ac:dyDescent="0.25">
      <c r="A801" t="s">
        <v>1942</v>
      </c>
      <c r="B801" t="s">
        <v>62</v>
      </c>
      <c r="C801" t="s">
        <v>154</v>
      </c>
      <c r="D801" t="s">
        <v>2829</v>
      </c>
      <c r="E801" t="s">
        <v>4689</v>
      </c>
      <c r="F801" t="s">
        <v>4690</v>
      </c>
      <c r="G801" t="s">
        <v>3816</v>
      </c>
      <c r="I801" t="s">
        <v>4487</v>
      </c>
      <c r="J801" t="s">
        <v>3486</v>
      </c>
      <c r="K801" t="s">
        <v>4620</v>
      </c>
    </row>
    <row r="802" spans="1:11" x14ac:dyDescent="0.25">
      <c r="A802" t="s">
        <v>1943</v>
      </c>
      <c r="B802" t="s">
        <v>62</v>
      </c>
      <c r="C802" t="s">
        <v>156</v>
      </c>
      <c r="D802" t="s">
        <v>2830</v>
      </c>
      <c r="E802" t="s">
        <v>4691</v>
      </c>
      <c r="F802" t="s">
        <v>4692</v>
      </c>
      <c r="G802" t="s">
        <v>3819</v>
      </c>
      <c r="I802" t="s">
        <v>4487</v>
      </c>
      <c r="J802" t="s">
        <v>3486</v>
      </c>
      <c r="K802" t="s">
        <v>4620</v>
      </c>
    </row>
    <row r="803" spans="1:11" x14ac:dyDescent="0.25">
      <c r="A803" t="s">
        <v>1944</v>
      </c>
      <c r="B803" t="s">
        <v>62</v>
      </c>
      <c r="C803" t="s">
        <v>158</v>
      </c>
      <c r="D803" t="s">
        <v>2831</v>
      </c>
      <c r="E803" t="s">
        <v>4693</v>
      </c>
      <c r="F803" t="s">
        <v>4694</v>
      </c>
      <c r="G803" t="s">
        <v>3822</v>
      </c>
      <c r="I803" t="s">
        <v>4487</v>
      </c>
      <c r="J803" t="s">
        <v>3486</v>
      </c>
      <c r="K803" t="s">
        <v>4620</v>
      </c>
    </row>
    <row r="804" spans="1:11" x14ac:dyDescent="0.25">
      <c r="A804" t="s">
        <v>1945</v>
      </c>
      <c r="B804" t="s">
        <v>62</v>
      </c>
      <c r="C804" t="s">
        <v>160</v>
      </c>
      <c r="D804" t="s">
        <v>2832</v>
      </c>
      <c r="E804" t="s">
        <v>4695</v>
      </c>
      <c r="F804" t="s">
        <v>4696</v>
      </c>
      <c r="G804" t="s">
        <v>3825</v>
      </c>
      <c r="I804" t="s">
        <v>4487</v>
      </c>
      <c r="J804" t="s">
        <v>3486</v>
      </c>
      <c r="K804" t="s">
        <v>4620</v>
      </c>
    </row>
    <row r="805" spans="1:11" x14ac:dyDescent="0.25">
      <c r="A805" t="s">
        <v>1946</v>
      </c>
      <c r="B805" t="s">
        <v>62</v>
      </c>
      <c r="C805" t="s">
        <v>162</v>
      </c>
      <c r="D805" t="s">
        <v>2833</v>
      </c>
      <c r="E805" t="s">
        <v>4697</v>
      </c>
      <c r="F805" t="s">
        <v>4698</v>
      </c>
      <c r="G805" t="s">
        <v>3828</v>
      </c>
      <c r="I805" t="s">
        <v>4487</v>
      </c>
      <c r="J805" t="s">
        <v>3486</v>
      </c>
      <c r="K805" t="s">
        <v>4620</v>
      </c>
    </row>
    <row r="806" spans="1:11" x14ac:dyDescent="0.25">
      <c r="A806" t="s">
        <v>1947</v>
      </c>
      <c r="B806" t="s">
        <v>62</v>
      </c>
      <c r="C806" t="s">
        <v>164</v>
      </c>
      <c r="D806" t="s">
        <v>2834</v>
      </c>
      <c r="E806" t="s">
        <v>4699</v>
      </c>
      <c r="F806" t="s">
        <v>4700</v>
      </c>
      <c r="G806" t="s">
        <v>3831</v>
      </c>
      <c r="I806" t="s">
        <v>4487</v>
      </c>
      <c r="J806" t="s">
        <v>3486</v>
      </c>
      <c r="K806" t="s">
        <v>4620</v>
      </c>
    </row>
    <row r="807" spans="1:11" x14ac:dyDescent="0.25">
      <c r="A807" t="s">
        <v>1948</v>
      </c>
      <c r="B807" t="s">
        <v>62</v>
      </c>
      <c r="C807" t="s">
        <v>580</v>
      </c>
      <c r="D807" t="s">
        <v>2835</v>
      </c>
      <c r="E807" t="s">
        <v>4701</v>
      </c>
      <c r="F807" t="s">
        <v>4702</v>
      </c>
      <c r="G807" t="s">
        <v>3834</v>
      </c>
      <c r="I807" t="s">
        <v>4487</v>
      </c>
      <c r="J807" t="s">
        <v>3486</v>
      </c>
      <c r="K807" t="s">
        <v>4620</v>
      </c>
    </row>
    <row r="808" spans="1:11" x14ac:dyDescent="0.25">
      <c r="A808" t="s">
        <v>1949</v>
      </c>
      <c r="B808" t="s">
        <v>3035</v>
      </c>
      <c r="C808" t="s">
        <v>2960</v>
      </c>
      <c r="D808" t="s">
        <v>4703</v>
      </c>
      <c r="I808" t="s">
        <v>4704</v>
      </c>
      <c r="J808" t="s">
        <v>3308</v>
      </c>
      <c r="K808" t="s">
        <v>4705</v>
      </c>
    </row>
    <row r="809" spans="1:11" x14ac:dyDescent="0.25">
      <c r="A809" t="s">
        <v>1950</v>
      </c>
      <c r="B809" t="s">
        <v>62</v>
      </c>
      <c r="C809" t="s">
        <v>254</v>
      </c>
      <c r="D809" t="s">
        <v>2836</v>
      </c>
      <c r="E809" t="s">
        <v>4706</v>
      </c>
      <c r="F809" t="s">
        <v>4707</v>
      </c>
      <c r="G809" t="s">
        <v>3307</v>
      </c>
      <c r="I809" t="s">
        <v>4704</v>
      </c>
      <c r="J809" t="s">
        <v>3308</v>
      </c>
      <c r="K809" t="s">
        <v>4705</v>
      </c>
    </row>
    <row r="810" spans="1:11" x14ac:dyDescent="0.25">
      <c r="A810" t="s">
        <v>1951</v>
      </c>
      <c r="B810" t="s">
        <v>62</v>
      </c>
      <c r="C810" t="s">
        <v>256</v>
      </c>
      <c r="D810" t="s">
        <v>2837</v>
      </c>
      <c r="E810" t="s">
        <v>4708</v>
      </c>
      <c r="F810" t="s">
        <v>4709</v>
      </c>
      <c r="G810" t="s">
        <v>3311</v>
      </c>
      <c r="I810" t="s">
        <v>4704</v>
      </c>
      <c r="J810" t="s">
        <v>3308</v>
      </c>
      <c r="K810" t="s">
        <v>4705</v>
      </c>
    </row>
    <row r="811" spans="1:11" x14ac:dyDescent="0.25">
      <c r="A811" t="s">
        <v>1952</v>
      </c>
      <c r="B811" t="s">
        <v>62</v>
      </c>
      <c r="C811" t="s">
        <v>258</v>
      </c>
      <c r="D811" t="s">
        <v>2838</v>
      </c>
      <c r="E811" t="s">
        <v>4710</v>
      </c>
      <c r="F811" t="s">
        <v>4711</v>
      </c>
      <c r="G811" t="s">
        <v>3314</v>
      </c>
      <c r="I811" t="s">
        <v>4704</v>
      </c>
      <c r="J811" t="s">
        <v>3308</v>
      </c>
      <c r="K811" t="s">
        <v>4705</v>
      </c>
    </row>
    <row r="812" spans="1:11" x14ac:dyDescent="0.25">
      <c r="A812" t="s">
        <v>1953</v>
      </c>
      <c r="B812" t="s">
        <v>62</v>
      </c>
      <c r="C812" t="s">
        <v>260</v>
      </c>
      <c r="D812" t="s">
        <v>2839</v>
      </c>
      <c r="E812" t="s">
        <v>4712</v>
      </c>
      <c r="F812" t="s">
        <v>4713</v>
      </c>
      <c r="G812" t="s">
        <v>260</v>
      </c>
      <c r="I812" t="s">
        <v>4704</v>
      </c>
      <c r="J812" t="s">
        <v>3308</v>
      </c>
      <c r="K812" t="s">
        <v>4705</v>
      </c>
    </row>
    <row r="813" spans="1:11" x14ac:dyDescent="0.25">
      <c r="A813" t="s">
        <v>1954</v>
      </c>
      <c r="B813" t="s">
        <v>62</v>
      </c>
      <c r="C813" t="s">
        <v>262</v>
      </c>
      <c r="D813" t="s">
        <v>2840</v>
      </c>
      <c r="E813" t="s">
        <v>4714</v>
      </c>
      <c r="F813" t="s">
        <v>4715</v>
      </c>
      <c r="G813" t="s">
        <v>262</v>
      </c>
      <c r="I813" t="s">
        <v>4704</v>
      </c>
      <c r="J813" t="s">
        <v>3308</v>
      </c>
      <c r="K813" t="s">
        <v>4705</v>
      </c>
    </row>
    <row r="814" spans="1:11" x14ac:dyDescent="0.25">
      <c r="A814" t="s">
        <v>1955</v>
      </c>
      <c r="B814" t="s">
        <v>62</v>
      </c>
      <c r="C814" t="s">
        <v>264</v>
      </c>
      <c r="D814" t="s">
        <v>2841</v>
      </c>
      <c r="E814" t="s">
        <v>4716</v>
      </c>
      <c r="F814" t="s">
        <v>4717</v>
      </c>
      <c r="G814" t="s">
        <v>264</v>
      </c>
      <c r="I814" t="s">
        <v>4704</v>
      </c>
      <c r="J814" t="s">
        <v>3308</v>
      </c>
      <c r="K814" t="s">
        <v>4705</v>
      </c>
    </row>
    <row r="815" spans="1:11" x14ac:dyDescent="0.25">
      <c r="A815" t="s">
        <v>1956</v>
      </c>
      <c r="B815" t="s">
        <v>62</v>
      </c>
      <c r="C815" t="s">
        <v>266</v>
      </c>
      <c r="D815" t="s">
        <v>2842</v>
      </c>
      <c r="E815" t="s">
        <v>4718</v>
      </c>
      <c r="F815" t="s">
        <v>4719</v>
      </c>
      <c r="G815" t="s">
        <v>3323</v>
      </c>
      <c r="I815" t="s">
        <v>4704</v>
      </c>
      <c r="J815" t="s">
        <v>3308</v>
      </c>
      <c r="K815" t="s">
        <v>4705</v>
      </c>
    </row>
    <row r="816" spans="1:11" x14ac:dyDescent="0.25">
      <c r="A816" t="s">
        <v>1957</v>
      </c>
      <c r="B816" t="s">
        <v>62</v>
      </c>
      <c r="C816" t="s">
        <v>268</v>
      </c>
      <c r="D816" t="s">
        <v>2843</v>
      </c>
      <c r="E816" t="s">
        <v>4720</v>
      </c>
      <c r="F816" t="s">
        <v>4721</v>
      </c>
      <c r="G816" t="s">
        <v>3326</v>
      </c>
      <c r="I816" t="s">
        <v>4704</v>
      </c>
      <c r="J816" t="s">
        <v>3308</v>
      </c>
      <c r="K816" t="s">
        <v>4705</v>
      </c>
    </row>
    <row r="817" spans="1:11" x14ac:dyDescent="0.25">
      <c r="A817" t="s">
        <v>1958</v>
      </c>
      <c r="B817" t="s">
        <v>62</v>
      </c>
      <c r="C817" t="s">
        <v>270</v>
      </c>
      <c r="D817" t="s">
        <v>2844</v>
      </c>
      <c r="E817" t="s">
        <v>4722</v>
      </c>
      <c r="F817" t="s">
        <v>4723</v>
      </c>
      <c r="G817" t="s">
        <v>3329</v>
      </c>
      <c r="I817" t="s">
        <v>4704</v>
      </c>
      <c r="J817" t="s">
        <v>3308</v>
      </c>
      <c r="K817" t="s">
        <v>4705</v>
      </c>
    </row>
    <row r="818" spans="1:11" x14ac:dyDescent="0.25">
      <c r="A818" t="s">
        <v>1959</v>
      </c>
      <c r="B818" t="s">
        <v>62</v>
      </c>
      <c r="C818" t="s">
        <v>272</v>
      </c>
      <c r="D818" t="s">
        <v>2845</v>
      </c>
      <c r="E818" t="s">
        <v>4724</v>
      </c>
      <c r="F818" t="s">
        <v>4725</v>
      </c>
      <c r="G818" t="s">
        <v>3332</v>
      </c>
      <c r="I818" t="s">
        <v>4704</v>
      </c>
      <c r="J818" t="s">
        <v>3308</v>
      </c>
      <c r="K818" t="s">
        <v>4705</v>
      </c>
    </row>
    <row r="819" spans="1:11" x14ac:dyDescent="0.25">
      <c r="A819" t="s">
        <v>1960</v>
      </c>
      <c r="B819" t="s">
        <v>62</v>
      </c>
      <c r="C819" t="s">
        <v>274</v>
      </c>
      <c r="D819" t="s">
        <v>2846</v>
      </c>
      <c r="E819" t="s">
        <v>4726</v>
      </c>
      <c r="F819" t="s">
        <v>4727</v>
      </c>
      <c r="G819" t="s">
        <v>274</v>
      </c>
      <c r="I819" t="s">
        <v>4704</v>
      </c>
      <c r="J819" t="s">
        <v>3308</v>
      </c>
      <c r="K819" t="s">
        <v>4705</v>
      </c>
    </row>
    <row r="820" spans="1:11" x14ac:dyDescent="0.25">
      <c r="A820" t="s">
        <v>1961</v>
      </c>
      <c r="B820" t="s">
        <v>62</v>
      </c>
      <c r="C820" t="s">
        <v>276</v>
      </c>
      <c r="D820" t="s">
        <v>2847</v>
      </c>
      <c r="E820" t="s">
        <v>4728</v>
      </c>
      <c r="F820" t="s">
        <v>4729</v>
      </c>
      <c r="G820" t="s">
        <v>276</v>
      </c>
      <c r="I820" t="s">
        <v>4704</v>
      </c>
      <c r="J820" t="s">
        <v>3308</v>
      </c>
      <c r="K820" t="s">
        <v>4705</v>
      </c>
    </row>
    <row r="821" spans="1:11" x14ac:dyDescent="0.25">
      <c r="A821" t="s">
        <v>1962</v>
      </c>
      <c r="B821" t="s">
        <v>62</v>
      </c>
      <c r="C821" t="s">
        <v>278</v>
      </c>
      <c r="D821" t="s">
        <v>2848</v>
      </c>
      <c r="E821" t="s">
        <v>4730</v>
      </c>
      <c r="F821" t="s">
        <v>4731</v>
      </c>
      <c r="G821" t="s">
        <v>278</v>
      </c>
      <c r="I821" t="s">
        <v>4704</v>
      </c>
      <c r="J821" t="s">
        <v>3308</v>
      </c>
      <c r="K821" t="s">
        <v>4705</v>
      </c>
    </row>
    <row r="822" spans="1:11" x14ac:dyDescent="0.25">
      <c r="A822" t="s">
        <v>1963</v>
      </c>
      <c r="B822" t="s">
        <v>62</v>
      </c>
      <c r="C822" t="s">
        <v>280</v>
      </c>
      <c r="D822" t="s">
        <v>2849</v>
      </c>
      <c r="E822" t="s">
        <v>4732</v>
      </c>
      <c r="F822" t="s">
        <v>4733</v>
      </c>
      <c r="G822" t="s">
        <v>3341</v>
      </c>
      <c r="I822" t="s">
        <v>4704</v>
      </c>
      <c r="J822" t="s">
        <v>3308</v>
      </c>
      <c r="K822" t="s">
        <v>4705</v>
      </c>
    </row>
    <row r="823" spans="1:11" x14ac:dyDescent="0.25">
      <c r="A823" t="s">
        <v>1964</v>
      </c>
      <c r="B823" t="s">
        <v>62</v>
      </c>
      <c r="C823" t="s">
        <v>282</v>
      </c>
      <c r="D823" t="s">
        <v>2850</v>
      </c>
      <c r="E823" t="s">
        <v>4734</v>
      </c>
      <c r="F823" t="s">
        <v>4735</v>
      </c>
      <c r="G823" t="s">
        <v>3344</v>
      </c>
      <c r="I823" t="s">
        <v>4704</v>
      </c>
      <c r="J823" t="s">
        <v>3308</v>
      </c>
      <c r="K823" t="s">
        <v>4705</v>
      </c>
    </row>
    <row r="824" spans="1:11" x14ac:dyDescent="0.25">
      <c r="A824" t="s">
        <v>1965</v>
      </c>
      <c r="B824" t="s">
        <v>62</v>
      </c>
      <c r="C824" t="s">
        <v>284</v>
      </c>
      <c r="D824" t="s">
        <v>2851</v>
      </c>
      <c r="E824" t="s">
        <v>4736</v>
      </c>
      <c r="F824" t="s">
        <v>4737</v>
      </c>
      <c r="G824" t="s">
        <v>3347</v>
      </c>
      <c r="I824" t="s">
        <v>4704</v>
      </c>
      <c r="J824" t="s">
        <v>3308</v>
      </c>
      <c r="K824" t="s">
        <v>4705</v>
      </c>
    </row>
    <row r="825" spans="1:11" x14ac:dyDescent="0.25">
      <c r="A825" t="s">
        <v>1966</v>
      </c>
      <c r="B825" t="s">
        <v>62</v>
      </c>
      <c r="C825" t="s">
        <v>286</v>
      </c>
      <c r="D825" t="s">
        <v>2852</v>
      </c>
      <c r="E825" t="s">
        <v>4738</v>
      </c>
      <c r="F825" t="s">
        <v>4739</v>
      </c>
      <c r="G825" t="s">
        <v>3350</v>
      </c>
      <c r="I825" t="s">
        <v>4704</v>
      </c>
      <c r="J825" t="s">
        <v>3308</v>
      </c>
      <c r="K825" t="s">
        <v>4705</v>
      </c>
    </row>
    <row r="826" spans="1:11" x14ac:dyDescent="0.25">
      <c r="A826" t="s">
        <v>1967</v>
      </c>
      <c r="B826" t="s">
        <v>62</v>
      </c>
      <c r="C826" t="s">
        <v>288</v>
      </c>
      <c r="D826" t="s">
        <v>2853</v>
      </c>
      <c r="E826" t="s">
        <v>4740</v>
      </c>
      <c r="F826" t="s">
        <v>4741</v>
      </c>
      <c r="G826" t="s">
        <v>288</v>
      </c>
      <c r="I826" t="s">
        <v>4704</v>
      </c>
      <c r="J826" t="s">
        <v>3308</v>
      </c>
      <c r="K826" t="s">
        <v>4705</v>
      </c>
    </row>
    <row r="827" spans="1:11" x14ac:dyDescent="0.25">
      <c r="A827" t="s">
        <v>1968</v>
      </c>
      <c r="B827" t="s">
        <v>62</v>
      </c>
      <c r="C827" t="s">
        <v>290</v>
      </c>
      <c r="D827" t="s">
        <v>2854</v>
      </c>
      <c r="E827" t="s">
        <v>4742</v>
      </c>
      <c r="F827" t="s">
        <v>4743</v>
      </c>
      <c r="G827" t="s">
        <v>290</v>
      </c>
      <c r="I827" t="s">
        <v>4704</v>
      </c>
      <c r="J827" t="s">
        <v>3308</v>
      </c>
      <c r="K827" t="s">
        <v>4705</v>
      </c>
    </row>
    <row r="828" spans="1:11" x14ac:dyDescent="0.25">
      <c r="A828" t="s">
        <v>1969</v>
      </c>
      <c r="B828" t="s">
        <v>62</v>
      </c>
      <c r="C828" t="s">
        <v>292</v>
      </c>
      <c r="D828" t="s">
        <v>2855</v>
      </c>
      <c r="E828" t="s">
        <v>4744</v>
      </c>
      <c r="F828" t="s">
        <v>4745</v>
      </c>
      <c r="G828" t="s">
        <v>292</v>
      </c>
      <c r="I828" t="s">
        <v>4704</v>
      </c>
      <c r="J828" t="s">
        <v>3308</v>
      </c>
      <c r="K828" t="s">
        <v>4705</v>
      </c>
    </row>
    <row r="829" spans="1:11" x14ac:dyDescent="0.25">
      <c r="A829" t="s">
        <v>1970</v>
      </c>
      <c r="B829" t="s">
        <v>62</v>
      </c>
      <c r="C829" t="s">
        <v>294</v>
      </c>
      <c r="D829" t="s">
        <v>2856</v>
      </c>
      <c r="E829" t="s">
        <v>4746</v>
      </c>
      <c r="F829" t="s">
        <v>4747</v>
      </c>
      <c r="G829" t="s">
        <v>3359</v>
      </c>
      <c r="I829" t="s">
        <v>4704</v>
      </c>
      <c r="J829" t="s">
        <v>3308</v>
      </c>
      <c r="K829" t="s">
        <v>4705</v>
      </c>
    </row>
    <row r="830" spans="1:11" x14ac:dyDescent="0.25">
      <c r="A830" t="s">
        <v>1971</v>
      </c>
      <c r="B830" t="s">
        <v>62</v>
      </c>
      <c r="C830" t="s">
        <v>296</v>
      </c>
      <c r="D830" t="s">
        <v>2857</v>
      </c>
      <c r="E830" t="s">
        <v>4748</v>
      </c>
      <c r="F830" t="s">
        <v>4749</v>
      </c>
      <c r="G830" t="s">
        <v>3362</v>
      </c>
      <c r="I830" t="s">
        <v>4704</v>
      </c>
      <c r="J830" t="s">
        <v>3308</v>
      </c>
      <c r="K830" t="s">
        <v>4705</v>
      </c>
    </row>
    <row r="831" spans="1:11" x14ac:dyDescent="0.25">
      <c r="A831" t="s">
        <v>1972</v>
      </c>
      <c r="B831" t="s">
        <v>62</v>
      </c>
      <c r="C831" t="s">
        <v>298</v>
      </c>
      <c r="D831" t="s">
        <v>2858</v>
      </c>
      <c r="E831" t="s">
        <v>4750</v>
      </c>
      <c r="F831" t="s">
        <v>4751</v>
      </c>
      <c r="G831" t="s">
        <v>3365</v>
      </c>
      <c r="I831" t="s">
        <v>4704</v>
      </c>
      <c r="J831" t="s">
        <v>3308</v>
      </c>
      <c r="K831" t="s">
        <v>4705</v>
      </c>
    </row>
    <row r="832" spans="1:11" x14ac:dyDescent="0.25">
      <c r="A832" t="s">
        <v>1973</v>
      </c>
      <c r="B832" t="s">
        <v>62</v>
      </c>
      <c r="C832" t="s">
        <v>300</v>
      </c>
      <c r="D832" t="s">
        <v>2859</v>
      </c>
      <c r="E832" t="s">
        <v>4752</v>
      </c>
      <c r="F832" t="s">
        <v>4753</v>
      </c>
      <c r="G832" t="s">
        <v>3368</v>
      </c>
      <c r="I832" t="s">
        <v>4704</v>
      </c>
      <c r="J832" t="s">
        <v>3308</v>
      </c>
      <c r="K832" t="s">
        <v>4705</v>
      </c>
    </row>
    <row r="833" spans="1:11" x14ac:dyDescent="0.25">
      <c r="A833" t="s">
        <v>1974</v>
      </c>
      <c r="B833" t="s">
        <v>62</v>
      </c>
      <c r="C833" t="s">
        <v>302</v>
      </c>
      <c r="D833" t="s">
        <v>2860</v>
      </c>
      <c r="E833" t="s">
        <v>4754</v>
      </c>
      <c r="F833" t="s">
        <v>4755</v>
      </c>
      <c r="G833" t="s">
        <v>302</v>
      </c>
      <c r="I833" t="s">
        <v>4704</v>
      </c>
      <c r="J833" t="s">
        <v>3308</v>
      </c>
      <c r="K833" t="s">
        <v>4705</v>
      </c>
    </row>
    <row r="834" spans="1:11" x14ac:dyDescent="0.25">
      <c r="A834" t="s">
        <v>1975</v>
      </c>
      <c r="B834" t="s">
        <v>62</v>
      </c>
      <c r="C834" t="s">
        <v>304</v>
      </c>
      <c r="D834" t="s">
        <v>2861</v>
      </c>
      <c r="E834" t="s">
        <v>4756</v>
      </c>
      <c r="F834" t="s">
        <v>4757</v>
      </c>
      <c r="G834" t="s">
        <v>304</v>
      </c>
      <c r="I834" t="s">
        <v>4704</v>
      </c>
      <c r="J834" t="s">
        <v>3308</v>
      </c>
      <c r="K834" t="s">
        <v>4705</v>
      </c>
    </row>
    <row r="835" spans="1:11" x14ac:dyDescent="0.25">
      <c r="A835" t="s">
        <v>1976</v>
      </c>
      <c r="B835" t="s">
        <v>62</v>
      </c>
      <c r="C835" t="s">
        <v>306</v>
      </c>
      <c r="D835" t="s">
        <v>2862</v>
      </c>
      <c r="E835" t="s">
        <v>4758</v>
      </c>
      <c r="F835" t="s">
        <v>4759</v>
      </c>
      <c r="G835" t="s">
        <v>306</v>
      </c>
      <c r="I835" t="s">
        <v>4704</v>
      </c>
      <c r="J835" t="s">
        <v>3308</v>
      </c>
      <c r="K835" t="s">
        <v>4705</v>
      </c>
    </row>
    <row r="836" spans="1:11" x14ac:dyDescent="0.25">
      <c r="A836" t="s">
        <v>1977</v>
      </c>
      <c r="B836" t="s">
        <v>62</v>
      </c>
      <c r="C836" t="s">
        <v>308</v>
      </c>
      <c r="D836" t="s">
        <v>2863</v>
      </c>
      <c r="E836" t="s">
        <v>4760</v>
      </c>
      <c r="F836" t="s">
        <v>4761</v>
      </c>
      <c r="G836" t="s">
        <v>3377</v>
      </c>
      <c r="I836" t="s">
        <v>4704</v>
      </c>
      <c r="J836" t="s">
        <v>3308</v>
      </c>
      <c r="K836" t="s">
        <v>4705</v>
      </c>
    </row>
    <row r="837" spans="1:11" x14ac:dyDescent="0.25">
      <c r="A837" t="s">
        <v>1978</v>
      </c>
      <c r="B837" t="s">
        <v>62</v>
      </c>
      <c r="C837" t="s">
        <v>310</v>
      </c>
      <c r="D837" t="s">
        <v>2864</v>
      </c>
      <c r="E837" t="s">
        <v>4762</v>
      </c>
      <c r="F837" t="s">
        <v>4763</v>
      </c>
      <c r="G837" t="s">
        <v>3380</v>
      </c>
      <c r="I837" t="s">
        <v>4704</v>
      </c>
      <c r="J837" t="s">
        <v>3308</v>
      </c>
      <c r="K837" t="s">
        <v>4705</v>
      </c>
    </row>
    <row r="838" spans="1:11" x14ac:dyDescent="0.25">
      <c r="A838" t="s">
        <v>1979</v>
      </c>
      <c r="B838" t="s">
        <v>62</v>
      </c>
      <c r="C838" t="s">
        <v>312</v>
      </c>
      <c r="D838" t="s">
        <v>2865</v>
      </c>
      <c r="E838" t="s">
        <v>4764</v>
      </c>
      <c r="F838" t="s">
        <v>4765</v>
      </c>
      <c r="G838" t="s">
        <v>3383</v>
      </c>
      <c r="I838" t="s">
        <v>4704</v>
      </c>
      <c r="J838" t="s">
        <v>3308</v>
      </c>
      <c r="K838" t="s">
        <v>4705</v>
      </c>
    </row>
    <row r="839" spans="1:11" x14ac:dyDescent="0.25">
      <c r="A839" t="s">
        <v>1980</v>
      </c>
      <c r="B839" t="s">
        <v>62</v>
      </c>
      <c r="C839" t="s">
        <v>314</v>
      </c>
      <c r="D839" t="s">
        <v>2866</v>
      </c>
      <c r="E839" t="s">
        <v>4766</v>
      </c>
      <c r="F839" t="s">
        <v>4767</v>
      </c>
      <c r="G839" t="s">
        <v>3386</v>
      </c>
      <c r="I839" t="s">
        <v>4704</v>
      </c>
      <c r="J839" t="s">
        <v>3308</v>
      </c>
      <c r="K839" t="s">
        <v>4705</v>
      </c>
    </row>
    <row r="840" spans="1:11" x14ac:dyDescent="0.25">
      <c r="A840" t="s">
        <v>1981</v>
      </c>
      <c r="B840" t="s">
        <v>62</v>
      </c>
      <c r="C840" t="s">
        <v>316</v>
      </c>
      <c r="D840" t="s">
        <v>2867</v>
      </c>
      <c r="E840" t="s">
        <v>4768</v>
      </c>
      <c r="F840" t="s">
        <v>4769</v>
      </c>
      <c r="G840" t="s">
        <v>3389</v>
      </c>
      <c r="I840" t="s">
        <v>4704</v>
      </c>
      <c r="J840" t="s">
        <v>3308</v>
      </c>
      <c r="K840" t="s">
        <v>4705</v>
      </c>
    </row>
    <row r="841" spans="1:11" x14ac:dyDescent="0.25">
      <c r="A841" t="s">
        <v>1982</v>
      </c>
      <c r="B841" t="s">
        <v>62</v>
      </c>
      <c r="C841" t="s">
        <v>318</v>
      </c>
      <c r="D841" t="s">
        <v>2868</v>
      </c>
      <c r="E841" t="s">
        <v>4770</v>
      </c>
      <c r="F841" t="s">
        <v>4771</v>
      </c>
      <c r="G841" t="s">
        <v>3392</v>
      </c>
      <c r="I841" t="s">
        <v>4704</v>
      </c>
      <c r="J841" t="s">
        <v>3308</v>
      </c>
      <c r="K841" t="s">
        <v>4705</v>
      </c>
    </row>
    <row r="842" spans="1:11" x14ac:dyDescent="0.25">
      <c r="A842" t="s">
        <v>1983</v>
      </c>
      <c r="B842" t="s">
        <v>62</v>
      </c>
      <c r="C842" t="s">
        <v>320</v>
      </c>
      <c r="D842" t="s">
        <v>2869</v>
      </c>
      <c r="E842" t="s">
        <v>4772</v>
      </c>
      <c r="F842" t="s">
        <v>4773</v>
      </c>
      <c r="G842" t="s">
        <v>3395</v>
      </c>
      <c r="I842" t="s">
        <v>4704</v>
      </c>
      <c r="J842" t="s">
        <v>3308</v>
      </c>
      <c r="K842" t="s">
        <v>4705</v>
      </c>
    </row>
    <row r="843" spans="1:11" x14ac:dyDescent="0.25">
      <c r="A843" t="s">
        <v>1984</v>
      </c>
      <c r="B843" t="s">
        <v>62</v>
      </c>
      <c r="C843" t="s">
        <v>322</v>
      </c>
      <c r="D843" t="s">
        <v>2870</v>
      </c>
      <c r="E843" t="s">
        <v>4774</v>
      </c>
      <c r="F843" t="s">
        <v>4775</v>
      </c>
      <c r="G843" t="s">
        <v>3398</v>
      </c>
      <c r="I843" t="s">
        <v>4704</v>
      </c>
      <c r="J843" t="s">
        <v>3308</v>
      </c>
      <c r="K843" t="s">
        <v>4705</v>
      </c>
    </row>
    <row r="844" spans="1:11" x14ac:dyDescent="0.25">
      <c r="A844" t="s">
        <v>1985</v>
      </c>
      <c r="B844" t="s">
        <v>62</v>
      </c>
      <c r="C844" t="s">
        <v>324</v>
      </c>
      <c r="D844" t="s">
        <v>2871</v>
      </c>
      <c r="E844" t="s">
        <v>4776</v>
      </c>
      <c r="F844" t="s">
        <v>4777</v>
      </c>
      <c r="G844" t="s">
        <v>3401</v>
      </c>
      <c r="I844" t="s">
        <v>4704</v>
      </c>
      <c r="J844" t="s">
        <v>3308</v>
      </c>
      <c r="K844" t="s">
        <v>4705</v>
      </c>
    </row>
    <row r="845" spans="1:11" x14ac:dyDescent="0.25">
      <c r="A845" t="s">
        <v>1986</v>
      </c>
      <c r="B845" t="s">
        <v>62</v>
      </c>
      <c r="C845" t="s">
        <v>326</v>
      </c>
      <c r="D845" t="s">
        <v>2872</v>
      </c>
      <c r="E845" t="s">
        <v>4778</v>
      </c>
      <c r="F845" t="s">
        <v>4779</v>
      </c>
      <c r="G845" t="s">
        <v>3404</v>
      </c>
      <c r="I845" t="s">
        <v>4704</v>
      </c>
      <c r="J845" t="s">
        <v>3308</v>
      </c>
      <c r="K845" t="s">
        <v>4705</v>
      </c>
    </row>
    <row r="846" spans="1:11" x14ac:dyDescent="0.25">
      <c r="A846" t="s">
        <v>1987</v>
      </c>
      <c r="B846" t="s">
        <v>62</v>
      </c>
      <c r="C846" t="s">
        <v>328</v>
      </c>
      <c r="D846" t="s">
        <v>2873</v>
      </c>
      <c r="E846" t="s">
        <v>4780</v>
      </c>
      <c r="F846" t="s">
        <v>4781</v>
      </c>
      <c r="G846" t="s">
        <v>3407</v>
      </c>
      <c r="I846" t="s">
        <v>4704</v>
      </c>
      <c r="J846" t="s">
        <v>3308</v>
      </c>
      <c r="K846" t="s">
        <v>4705</v>
      </c>
    </row>
    <row r="847" spans="1:11" x14ac:dyDescent="0.25">
      <c r="A847" t="s">
        <v>1988</v>
      </c>
      <c r="B847" t="s">
        <v>62</v>
      </c>
      <c r="C847" t="s">
        <v>330</v>
      </c>
      <c r="D847" t="s">
        <v>2874</v>
      </c>
      <c r="E847" t="s">
        <v>4782</v>
      </c>
      <c r="F847" t="s">
        <v>4783</v>
      </c>
      <c r="G847" t="s">
        <v>330</v>
      </c>
      <c r="I847" t="s">
        <v>4704</v>
      </c>
      <c r="J847" t="s">
        <v>3308</v>
      </c>
      <c r="K847" t="s">
        <v>4705</v>
      </c>
    </row>
    <row r="848" spans="1:11" x14ac:dyDescent="0.25">
      <c r="A848" t="s">
        <v>1989</v>
      </c>
      <c r="B848" t="s">
        <v>62</v>
      </c>
      <c r="C848" t="s">
        <v>332</v>
      </c>
      <c r="D848" t="s">
        <v>2875</v>
      </c>
      <c r="E848" t="s">
        <v>4784</v>
      </c>
      <c r="F848" t="s">
        <v>4785</v>
      </c>
      <c r="G848" t="s">
        <v>332</v>
      </c>
      <c r="I848" t="s">
        <v>4704</v>
      </c>
      <c r="J848" t="s">
        <v>3308</v>
      </c>
      <c r="K848" t="s">
        <v>4705</v>
      </c>
    </row>
    <row r="849" spans="1:11" x14ac:dyDescent="0.25">
      <c r="A849" t="s">
        <v>1990</v>
      </c>
      <c r="B849" t="s">
        <v>62</v>
      </c>
      <c r="C849" t="s">
        <v>334</v>
      </c>
      <c r="D849" t="s">
        <v>2876</v>
      </c>
      <c r="E849" t="s">
        <v>4786</v>
      </c>
      <c r="F849" t="s">
        <v>4787</v>
      </c>
      <c r="G849" t="s">
        <v>334</v>
      </c>
      <c r="I849" t="s">
        <v>4704</v>
      </c>
      <c r="J849" t="s">
        <v>3308</v>
      </c>
      <c r="K849" t="s">
        <v>4705</v>
      </c>
    </row>
    <row r="850" spans="1:11" x14ac:dyDescent="0.25">
      <c r="A850" t="s">
        <v>1991</v>
      </c>
      <c r="B850" t="s">
        <v>62</v>
      </c>
      <c r="C850" t="s">
        <v>162</v>
      </c>
      <c r="D850" t="s">
        <v>2877</v>
      </c>
      <c r="E850" t="s">
        <v>4788</v>
      </c>
      <c r="F850" t="s">
        <v>4789</v>
      </c>
      <c r="G850" t="s">
        <v>3416</v>
      </c>
      <c r="I850" t="s">
        <v>4704</v>
      </c>
      <c r="J850" t="s">
        <v>3308</v>
      </c>
      <c r="K850" t="s">
        <v>4705</v>
      </c>
    </row>
    <row r="851" spans="1:11" x14ac:dyDescent="0.25">
      <c r="A851" t="s">
        <v>1992</v>
      </c>
      <c r="B851" t="s">
        <v>62</v>
      </c>
      <c r="C851" t="s">
        <v>337</v>
      </c>
      <c r="D851" t="s">
        <v>2878</v>
      </c>
      <c r="E851" t="s">
        <v>4790</v>
      </c>
      <c r="F851" t="s">
        <v>4791</v>
      </c>
      <c r="G851" t="s">
        <v>3419</v>
      </c>
      <c r="I851" t="s">
        <v>4704</v>
      </c>
      <c r="J851" t="s">
        <v>3308</v>
      </c>
      <c r="K851" t="s">
        <v>4705</v>
      </c>
    </row>
    <row r="852" spans="1:11" x14ac:dyDescent="0.25">
      <c r="A852" t="s">
        <v>1993</v>
      </c>
      <c r="B852" t="s">
        <v>62</v>
      </c>
      <c r="C852" t="s">
        <v>339</v>
      </c>
      <c r="D852" t="s">
        <v>2879</v>
      </c>
      <c r="E852" t="s">
        <v>4792</v>
      </c>
      <c r="F852" t="s">
        <v>4793</v>
      </c>
      <c r="G852" t="s">
        <v>3422</v>
      </c>
      <c r="I852" t="s">
        <v>4704</v>
      </c>
      <c r="J852" t="s">
        <v>3308</v>
      </c>
      <c r="K852" t="s">
        <v>4705</v>
      </c>
    </row>
    <row r="853" spans="1:11" x14ac:dyDescent="0.25">
      <c r="A853" t="s">
        <v>1994</v>
      </c>
      <c r="B853" t="s">
        <v>62</v>
      </c>
      <c r="C853" t="s">
        <v>341</v>
      </c>
      <c r="D853" t="s">
        <v>2880</v>
      </c>
      <c r="E853" t="s">
        <v>4794</v>
      </c>
      <c r="F853" t="s">
        <v>4795</v>
      </c>
      <c r="G853" t="s">
        <v>3425</v>
      </c>
      <c r="I853" t="s">
        <v>4704</v>
      </c>
      <c r="J853" t="s">
        <v>3308</v>
      </c>
      <c r="K853" t="s">
        <v>4705</v>
      </c>
    </row>
    <row r="854" spans="1:11" x14ac:dyDescent="0.25">
      <c r="A854" t="s">
        <v>1995</v>
      </c>
      <c r="B854" t="s">
        <v>62</v>
      </c>
      <c r="C854" t="s">
        <v>343</v>
      </c>
      <c r="D854" t="s">
        <v>2881</v>
      </c>
      <c r="E854" t="s">
        <v>4796</v>
      </c>
      <c r="F854" t="s">
        <v>4797</v>
      </c>
      <c r="G854" t="s">
        <v>3428</v>
      </c>
      <c r="I854" t="s">
        <v>4704</v>
      </c>
      <c r="J854" t="s">
        <v>3308</v>
      </c>
      <c r="K854" t="s">
        <v>4705</v>
      </c>
    </row>
    <row r="855" spans="1:11" x14ac:dyDescent="0.25">
      <c r="A855" t="s">
        <v>1996</v>
      </c>
      <c r="B855" t="s">
        <v>62</v>
      </c>
      <c r="C855" t="s">
        <v>345</v>
      </c>
      <c r="D855" t="s">
        <v>2882</v>
      </c>
      <c r="E855" t="s">
        <v>4798</v>
      </c>
      <c r="F855" t="s">
        <v>4799</v>
      </c>
      <c r="G855" t="s">
        <v>3431</v>
      </c>
      <c r="I855" t="s">
        <v>4704</v>
      </c>
      <c r="J855" t="s">
        <v>3308</v>
      </c>
      <c r="K855" t="s">
        <v>4705</v>
      </c>
    </row>
    <row r="856" spans="1:11" x14ac:dyDescent="0.25">
      <c r="A856" t="s">
        <v>1997</v>
      </c>
      <c r="B856" t="s">
        <v>62</v>
      </c>
      <c r="C856" t="s">
        <v>347</v>
      </c>
      <c r="D856" t="s">
        <v>2883</v>
      </c>
      <c r="E856" t="s">
        <v>4800</v>
      </c>
      <c r="F856" t="s">
        <v>4801</v>
      </c>
      <c r="G856" t="s">
        <v>3434</v>
      </c>
      <c r="I856" t="s">
        <v>4704</v>
      </c>
      <c r="J856" t="s">
        <v>3308</v>
      </c>
      <c r="K856" t="s">
        <v>4705</v>
      </c>
    </row>
    <row r="857" spans="1:11" x14ac:dyDescent="0.25">
      <c r="A857" t="s">
        <v>1998</v>
      </c>
      <c r="B857" t="s">
        <v>62</v>
      </c>
      <c r="C857" t="s">
        <v>349</v>
      </c>
      <c r="D857" t="s">
        <v>2884</v>
      </c>
      <c r="E857" t="s">
        <v>4802</v>
      </c>
      <c r="F857" t="s">
        <v>4803</v>
      </c>
      <c r="G857" t="s">
        <v>3437</v>
      </c>
      <c r="I857" t="s">
        <v>4704</v>
      </c>
      <c r="J857" t="s">
        <v>3308</v>
      </c>
      <c r="K857" t="s">
        <v>4705</v>
      </c>
    </row>
    <row r="858" spans="1:11" x14ac:dyDescent="0.25">
      <c r="A858" t="s">
        <v>1999</v>
      </c>
      <c r="B858" t="s">
        <v>38</v>
      </c>
      <c r="C858" t="s">
        <v>351</v>
      </c>
      <c r="D858" t="s">
        <v>2885</v>
      </c>
      <c r="E858" t="s">
        <v>4804</v>
      </c>
      <c r="F858" t="s">
        <v>4805</v>
      </c>
      <c r="G858" t="s">
        <v>3440</v>
      </c>
      <c r="I858" t="s">
        <v>4704</v>
      </c>
      <c r="J858" t="s">
        <v>3308</v>
      </c>
      <c r="K858" t="s">
        <v>4705</v>
      </c>
    </row>
    <row r="859" spans="1:11" x14ac:dyDescent="0.25">
      <c r="A859" t="s">
        <v>2000</v>
      </c>
      <c r="B859" t="s">
        <v>62</v>
      </c>
      <c r="C859" t="s">
        <v>353</v>
      </c>
      <c r="D859" t="s">
        <v>2886</v>
      </c>
      <c r="E859" t="s">
        <v>4806</v>
      </c>
      <c r="F859" t="s">
        <v>4807</v>
      </c>
      <c r="G859" t="s">
        <v>3443</v>
      </c>
      <c r="I859" t="s">
        <v>4704</v>
      </c>
      <c r="J859" t="s">
        <v>3308</v>
      </c>
      <c r="K859" t="s">
        <v>4705</v>
      </c>
    </row>
    <row r="860" spans="1:11" x14ac:dyDescent="0.25">
      <c r="A860" t="s">
        <v>2001</v>
      </c>
      <c r="B860" t="s">
        <v>62</v>
      </c>
      <c r="C860" t="s">
        <v>355</v>
      </c>
      <c r="D860" t="s">
        <v>2887</v>
      </c>
      <c r="E860" t="s">
        <v>4808</v>
      </c>
      <c r="F860" t="s">
        <v>4809</v>
      </c>
      <c r="G860" t="s">
        <v>3446</v>
      </c>
      <c r="I860" t="s">
        <v>4704</v>
      </c>
      <c r="J860" t="s">
        <v>3308</v>
      </c>
      <c r="K860" t="s">
        <v>4705</v>
      </c>
    </row>
    <row r="861" spans="1:11" x14ac:dyDescent="0.25">
      <c r="A861" t="s">
        <v>2002</v>
      </c>
      <c r="B861" t="s">
        <v>62</v>
      </c>
      <c r="C861" t="s">
        <v>357</v>
      </c>
      <c r="D861" t="s">
        <v>2888</v>
      </c>
      <c r="E861" t="s">
        <v>4810</v>
      </c>
      <c r="F861" t="s">
        <v>4811</v>
      </c>
      <c r="G861" t="s">
        <v>3449</v>
      </c>
      <c r="I861" t="s">
        <v>4704</v>
      </c>
      <c r="J861" t="s">
        <v>3308</v>
      </c>
      <c r="K861" t="s">
        <v>4705</v>
      </c>
    </row>
    <row r="862" spans="1:11" x14ac:dyDescent="0.25">
      <c r="A862" t="s">
        <v>2003</v>
      </c>
      <c r="B862" t="s">
        <v>62</v>
      </c>
      <c r="C862" t="s">
        <v>359</v>
      </c>
      <c r="D862" t="s">
        <v>2889</v>
      </c>
      <c r="E862" t="s">
        <v>4812</v>
      </c>
      <c r="F862" t="s">
        <v>4813</v>
      </c>
      <c r="G862" t="s">
        <v>3452</v>
      </c>
      <c r="I862" t="s">
        <v>4704</v>
      </c>
      <c r="J862" t="s">
        <v>3308</v>
      </c>
      <c r="K862" t="s">
        <v>4705</v>
      </c>
    </row>
    <row r="863" spans="1:11" x14ac:dyDescent="0.25">
      <c r="A863" t="s">
        <v>2004</v>
      </c>
      <c r="B863" t="s">
        <v>62</v>
      </c>
      <c r="C863" t="s">
        <v>361</v>
      </c>
      <c r="D863" t="s">
        <v>2890</v>
      </c>
      <c r="E863" t="s">
        <v>4814</v>
      </c>
      <c r="F863" t="s">
        <v>4815</v>
      </c>
      <c r="G863" t="s">
        <v>3455</v>
      </c>
      <c r="I863" t="s">
        <v>4704</v>
      </c>
      <c r="J863" t="s">
        <v>3308</v>
      </c>
      <c r="K863" t="s">
        <v>4705</v>
      </c>
    </row>
    <row r="864" spans="1:11" x14ac:dyDescent="0.25">
      <c r="A864" t="s">
        <v>2005</v>
      </c>
      <c r="B864" t="s">
        <v>62</v>
      </c>
      <c r="C864" t="s">
        <v>363</v>
      </c>
      <c r="D864" t="s">
        <v>2891</v>
      </c>
      <c r="E864" t="s">
        <v>4816</v>
      </c>
      <c r="F864" t="s">
        <v>4817</v>
      </c>
      <c r="G864" t="s">
        <v>3458</v>
      </c>
      <c r="I864" t="s">
        <v>4704</v>
      </c>
      <c r="J864" t="s">
        <v>3308</v>
      </c>
      <c r="K864" t="s">
        <v>4705</v>
      </c>
    </row>
    <row r="865" spans="1:11" x14ac:dyDescent="0.25">
      <c r="A865" t="s">
        <v>2006</v>
      </c>
      <c r="B865" t="s">
        <v>62</v>
      </c>
      <c r="C865" t="s">
        <v>365</v>
      </c>
      <c r="D865" t="s">
        <v>2892</v>
      </c>
      <c r="E865" t="s">
        <v>4818</v>
      </c>
      <c r="F865" t="s">
        <v>4819</v>
      </c>
      <c r="G865" t="s">
        <v>3461</v>
      </c>
      <c r="I865" t="s">
        <v>4704</v>
      </c>
      <c r="J865" t="s">
        <v>3308</v>
      </c>
      <c r="K865" t="s">
        <v>4705</v>
      </c>
    </row>
    <row r="866" spans="1:11" x14ac:dyDescent="0.25">
      <c r="A866" t="s">
        <v>2007</v>
      </c>
      <c r="B866" t="s">
        <v>62</v>
      </c>
      <c r="C866" t="s">
        <v>154</v>
      </c>
      <c r="D866" t="s">
        <v>2893</v>
      </c>
      <c r="E866" t="s">
        <v>4820</v>
      </c>
      <c r="F866" t="s">
        <v>4821</v>
      </c>
      <c r="G866" t="s">
        <v>3464</v>
      </c>
      <c r="I866" t="s">
        <v>4704</v>
      </c>
      <c r="J866" t="s">
        <v>3308</v>
      </c>
      <c r="K866" t="s">
        <v>4705</v>
      </c>
    </row>
    <row r="867" spans="1:11" x14ac:dyDescent="0.25">
      <c r="A867" t="s">
        <v>2008</v>
      </c>
      <c r="B867" t="s">
        <v>62</v>
      </c>
      <c r="C867" t="s">
        <v>156</v>
      </c>
      <c r="D867" t="s">
        <v>2894</v>
      </c>
      <c r="E867" t="s">
        <v>4822</v>
      </c>
      <c r="F867" t="s">
        <v>4823</v>
      </c>
      <c r="G867" t="s">
        <v>3467</v>
      </c>
      <c r="I867" t="s">
        <v>4704</v>
      </c>
      <c r="J867" t="s">
        <v>3308</v>
      </c>
      <c r="K867" t="s">
        <v>4705</v>
      </c>
    </row>
    <row r="868" spans="1:11" x14ac:dyDescent="0.25">
      <c r="A868" t="s">
        <v>2009</v>
      </c>
      <c r="B868" t="s">
        <v>62</v>
      </c>
      <c r="C868" t="s">
        <v>158</v>
      </c>
      <c r="D868" t="s">
        <v>2895</v>
      </c>
      <c r="E868" t="s">
        <v>4824</v>
      </c>
      <c r="F868" t="s">
        <v>4825</v>
      </c>
      <c r="G868" t="s">
        <v>3470</v>
      </c>
      <c r="I868" t="s">
        <v>4704</v>
      </c>
      <c r="J868" t="s">
        <v>3308</v>
      </c>
      <c r="K868" t="s">
        <v>4705</v>
      </c>
    </row>
    <row r="869" spans="1:11" x14ac:dyDescent="0.25">
      <c r="A869" t="s">
        <v>2010</v>
      </c>
      <c r="B869" t="s">
        <v>62</v>
      </c>
      <c r="C869" t="s">
        <v>160</v>
      </c>
      <c r="D869" t="s">
        <v>2896</v>
      </c>
      <c r="E869" t="s">
        <v>4826</v>
      </c>
      <c r="F869" t="s">
        <v>4827</v>
      </c>
      <c r="G869" t="s">
        <v>3473</v>
      </c>
      <c r="I869" t="s">
        <v>4704</v>
      </c>
      <c r="J869" t="s">
        <v>3308</v>
      </c>
      <c r="K869" t="s">
        <v>4705</v>
      </c>
    </row>
    <row r="870" spans="1:11" x14ac:dyDescent="0.25">
      <c r="A870" t="s">
        <v>2011</v>
      </c>
      <c r="B870" t="s">
        <v>62</v>
      </c>
      <c r="C870" t="s">
        <v>162</v>
      </c>
      <c r="D870" t="s">
        <v>2897</v>
      </c>
      <c r="E870" t="s">
        <v>4828</v>
      </c>
      <c r="F870" t="s">
        <v>4829</v>
      </c>
      <c r="G870" t="s">
        <v>3476</v>
      </c>
      <c r="I870" t="s">
        <v>4704</v>
      </c>
      <c r="J870" t="s">
        <v>3308</v>
      </c>
      <c r="K870" t="s">
        <v>4705</v>
      </c>
    </row>
    <row r="871" spans="1:11" x14ac:dyDescent="0.25">
      <c r="A871" t="s">
        <v>2012</v>
      </c>
      <c r="B871" t="s">
        <v>62</v>
      </c>
      <c r="C871" t="s">
        <v>164</v>
      </c>
      <c r="D871" t="s">
        <v>2898</v>
      </c>
      <c r="E871" t="s">
        <v>4830</v>
      </c>
      <c r="F871" t="s">
        <v>4831</v>
      </c>
      <c r="G871" t="s">
        <v>3479</v>
      </c>
      <c r="I871" t="s">
        <v>4704</v>
      </c>
      <c r="J871" t="s">
        <v>3308</v>
      </c>
      <c r="K871" t="s">
        <v>4705</v>
      </c>
    </row>
    <row r="872" spans="1:11" x14ac:dyDescent="0.25">
      <c r="A872" t="s">
        <v>2013</v>
      </c>
      <c r="B872" t="s">
        <v>62</v>
      </c>
      <c r="C872" t="s">
        <v>533</v>
      </c>
      <c r="D872" t="s">
        <v>2899</v>
      </c>
      <c r="E872" t="s">
        <v>4832</v>
      </c>
      <c r="F872" t="s">
        <v>4833</v>
      </c>
      <c r="G872" t="s">
        <v>3482</v>
      </c>
      <c r="I872" t="s">
        <v>4704</v>
      </c>
      <c r="J872" t="s">
        <v>3308</v>
      </c>
      <c r="K872" t="s">
        <v>4705</v>
      </c>
    </row>
    <row r="873" spans="1:11" x14ac:dyDescent="0.25">
      <c r="A873" t="s">
        <v>588</v>
      </c>
      <c r="B873" t="s">
        <v>3035</v>
      </c>
      <c r="C873" t="s">
        <v>2961</v>
      </c>
      <c r="D873" t="s">
        <v>4834</v>
      </c>
      <c r="I873" t="s">
        <v>4704</v>
      </c>
      <c r="J873" t="s">
        <v>3486</v>
      </c>
      <c r="K873" t="s">
        <v>4835</v>
      </c>
    </row>
    <row r="874" spans="1:11" x14ac:dyDescent="0.25">
      <c r="A874" t="s">
        <v>2014</v>
      </c>
      <c r="B874" t="s">
        <v>62</v>
      </c>
      <c r="C874" t="s">
        <v>388</v>
      </c>
      <c r="D874" t="s">
        <v>2900</v>
      </c>
      <c r="E874" t="s">
        <v>4836</v>
      </c>
      <c r="F874" t="s">
        <v>4837</v>
      </c>
      <c r="G874" t="s">
        <v>3083</v>
      </c>
      <c r="I874" t="s">
        <v>4704</v>
      </c>
      <c r="J874" t="s">
        <v>3486</v>
      </c>
      <c r="K874" t="s">
        <v>4835</v>
      </c>
    </row>
    <row r="875" spans="1:11" x14ac:dyDescent="0.25">
      <c r="A875" t="s">
        <v>2015</v>
      </c>
      <c r="B875" t="s">
        <v>62</v>
      </c>
      <c r="C875" t="s">
        <v>390</v>
      </c>
      <c r="D875" t="s">
        <v>2901</v>
      </c>
      <c r="E875" t="s">
        <v>4838</v>
      </c>
      <c r="F875" t="s">
        <v>4839</v>
      </c>
      <c r="G875" t="s">
        <v>3086</v>
      </c>
      <c r="I875" t="s">
        <v>4704</v>
      </c>
      <c r="J875" t="s">
        <v>3486</v>
      </c>
      <c r="K875" t="s">
        <v>4835</v>
      </c>
    </row>
    <row r="876" spans="1:11" x14ac:dyDescent="0.25">
      <c r="A876" t="s">
        <v>2016</v>
      </c>
      <c r="B876" t="s">
        <v>62</v>
      </c>
      <c r="C876" t="s">
        <v>392</v>
      </c>
      <c r="D876" t="s">
        <v>2902</v>
      </c>
      <c r="E876" t="s">
        <v>4840</v>
      </c>
      <c r="F876" t="s">
        <v>4841</v>
      </c>
      <c r="G876" t="s">
        <v>3089</v>
      </c>
      <c r="I876" t="s">
        <v>4704</v>
      </c>
      <c r="J876" t="s">
        <v>3486</v>
      </c>
      <c r="K876" t="s">
        <v>4835</v>
      </c>
    </row>
    <row r="877" spans="1:11" x14ac:dyDescent="0.25">
      <c r="A877" t="s">
        <v>2017</v>
      </c>
      <c r="B877" t="s">
        <v>62</v>
      </c>
      <c r="C877" t="s">
        <v>394</v>
      </c>
      <c r="D877" t="s">
        <v>2903</v>
      </c>
      <c r="E877" t="s">
        <v>4842</v>
      </c>
      <c r="F877" t="s">
        <v>4843</v>
      </c>
      <c r="G877" t="s">
        <v>394</v>
      </c>
      <c r="I877" t="s">
        <v>4704</v>
      </c>
      <c r="J877" t="s">
        <v>3486</v>
      </c>
      <c r="K877" t="s">
        <v>4835</v>
      </c>
    </row>
    <row r="878" spans="1:11" x14ac:dyDescent="0.25">
      <c r="A878" t="s">
        <v>2018</v>
      </c>
      <c r="B878" t="s">
        <v>62</v>
      </c>
      <c r="C878" t="s">
        <v>396</v>
      </c>
      <c r="D878" t="s">
        <v>2904</v>
      </c>
      <c r="E878" t="s">
        <v>4844</v>
      </c>
      <c r="F878" t="s">
        <v>4845</v>
      </c>
      <c r="G878" t="s">
        <v>396</v>
      </c>
      <c r="I878" t="s">
        <v>4704</v>
      </c>
      <c r="J878" t="s">
        <v>3486</v>
      </c>
      <c r="K878" t="s">
        <v>4835</v>
      </c>
    </row>
    <row r="879" spans="1:11" x14ac:dyDescent="0.25">
      <c r="A879" t="s">
        <v>2019</v>
      </c>
      <c r="B879" t="s">
        <v>62</v>
      </c>
      <c r="C879" t="s">
        <v>398</v>
      </c>
      <c r="D879" t="s">
        <v>2905</v>
      </c>
      <c r="E879" t="s">
        <v>4846</v>
      </c>
      <c r="F879" t="s">
        <v>4847</v>
      </c>
      <c r="G879" t="s">
        <v>398</v>
      </c>
      <c r="I879" t="s">
        <v>4704</v>
      </c>
      <c r="J879" t="s">
        <v>3486</v>
      </c>
      <c r="K879" t="s">
        <v>4835</v>
      </c>
    </row>
    <row r="880" spans="1:11" x14ac:dyDescent="0.25">
      <c r="A880" t="s">
        <v>2020</v>
      </c>
      <c r="B880" t="s">
        <v>62</v>
      </c>
      <c r="C880" t="s">
        <v>541</v>
      </c>
      <c r="D880" t="s">
        <v>2906</v>
      </c>
      <c r="E880" t="s">
        <v>4848</v>
      </c>
      <c r="F880" t="s">
        <v>4849</v>
      </c>
      <c r="G880" t="s">
        <v>3100</v>
      </c>
      <c r="I880" t="s">
        <v>4704</v>
      </c>
      <c r="J880" t="s">
        <v>3486</v>
      </c>
      <c r="K880" t="s">
        <v>4835</v>
      </c>
    </row>
    <row r="881" spans="1:11" x14ac:dyDescent="0.25">
      <c r="A881" t="s">
        <v>2021</v>
      </c>
      <c r="B881" t="s">
        <v>62</v>
      </c>
      <c r="C881" t="s">
        <v>374</v>
      </c>
      <c r="D881" t="s">
        <v>2907</v>
      </c>
      <c r="E881" t="s">
        <v>4850</v>
      </c>
      <c r="F881" t="s">
        <v>4851</v>
      </c>
      <c r="G881" t="s">
        <v>3745</v>
      </c>
      <c r="I881" t="s">
        <v>4704</v>
      </c>
      <c r="J881" t="s">
        <v>3486</v>
      </c>
      <c r="K881" t="s">
        <v>4835</v>
      </c>
    </row>
    <row r="882" spans="1:11" x14ac:dyDescent="0.25">
      <c r="A882" t="s">
        <v>2022</v>
      </c>
      <c r="B882" t="s">
        <v>62</v>
      </c>
      <c r="C882" t="s">
        <v>376</v>
      </c>
      <c r="D882" t="s">
        <v>2908</v>
      </c>
      <c r="E882" t="s">
        <v>4852</v>
      </c>
      <c r="F882" t="s">
        <v>4853</v>
      </c>
      <c r="G882" t="s">
        <v>3067</v>
      </c>
      <c r="I882" t="s">
        <v>4704</v>
      </c>
      <c r="J882" t="s">
        <v>3486</v>
      </c>
      <c r="K882" t="s">
        <v>4835</v>
      </c>
    </row>
    <row r="883" spans="1:11" x14ac:dyDescent="0.25">
      <c r="A883" t="s">
        <v>2023</v>
      </c>
      <c r="B883" t="s">
        <v>62</v>
      </c>
      <c r="C883" t="s">
        <v>378</v>
      </c>
      <c r="D883" t="s">
        <v>2909</v>
      </c>
      <c r="E883" t="s">
        <v>4854</v>
      </c>
      <c r="F883" t="s">
        <v>4855</v>
      </c>
      <c r="G883" t="s">
        <v>3070</v>
      </c>
      <c r="I883" t="s">
        <v>4704</v>
      </c>
      <c r="J883" t="s">
        <v>3486</v>
      </c>
      <c r="K883" t="s">
        <v>4835</v>
      </c>
    </row>
    <row r="884" spans="1:11" x14ac:dyDescent="0.25">
      <c r="A884" t="s">
        <v>2024</v>
      </c>
      <c r="B884" t="s">
        <v>62</v>
      </c>
      <c r="C884" t="s">
        <v>380</v>
      </c>
      <c r="D884" t="s">
        <v>2910</v>
      </c>
      <c r="E884" t="s">
        <v>4856</v>
      </c>
      <c r="F884" t="s">
        <v>4857</v>
      </c>
      <c r="G884" t="s">
        <v>380</v>
      </c>
      <c r="I884" t="s">
        <v>4704</v>
      </c>
      <c r="J884" t="s">
        <v>3486</v>
      </c>
      <c r="K884" t="s">
        <v>4835</v>
      </c>
    </row>
    <row r="885" spans="1:11" x14ac:dyDescent="0.25">
      <c r="A885" t="s">
        <v>2025</v>
      </c>
      <c r="B885" t="s">
        <v>62</v>
      </c>
      <c r="C885" t="s">
        <v>382</v>
      </c>
      <c r="D885" t="s">
        <v>2911</v>
      </c>
      <c r="E885" t="s">
        <v>4858</v>
      </c>
      <c r="F885" t="s">
        <v>4859</v>
      </c>
      <c r="G885" t="s">
        <v>382</v>
      </c>
      <c r="I885" t="s">
        <v>4704</v>
      </c>
      <c r="J885" t="s">
        <v>3486</v>
      </c>
      <c r="K885" t="s">
        <v>4835</v>
      </c>
    </row>
    <row r="886" spans="1:11" x14ac:dyDescent="0.25">
      <c r="A886" t="s">
        <v>2026</v>
      </c>
      <c r="B886" t="s">
        <v>62</v>
      </c>
      <c r="C886" t="s">
        <v>384</v>
      </c>
      <c r="D886" t="s">
        <v>2912</v>
      </c>
      <c r="E886" t="s">
        <v>4860</v>
      </c>
      <c r="F886" t="s">
        <v>4861</v>
      </c>
      <c r="G886" t="s">
        <v>384</v>
      </c>
      <c r="I886" t="s">
        <v>4704</v>
      </c>
      <c r="J886" t="s">
        <v>3486</v>
      </c>
      <c r="K886" t="s">
        <v>4835</v>
      </c>
    </row>
    <row r="887" spans="1:11" x14ac:dyDescent="0.25">
      <c r="A887" t="s">
        <v>2027</v>
      </c>
      <c r="B887" t="s">
        <v>62</v>
      </c>
      <c r="C887" t="s">
        <v>549</v>
      </c>
      <c r="D887" t="s">
        <v>2913</v>
      </c>
      <c r="E887" t="s">
        <v>4862</v>
      </c>
      <c r="F887" t="s">
        <v>4863</v>
      </c>
      <c r="G887" t="s">
        <v>3080</v>
      </c>
      <c r="I887" t="s">
        <v>4704</v>
      </c>
      <c r="J887" t="s">
        <v>3486</v>
      </c>
      <c r="K887" t="s">
        <v>4835</v>
      </c>
    </row>
    <row r="888" spans="1:11" x14ac:dyDescent="0.25">
      <c r="A888" t="s">
        <v>2028</v>
      </c>
      <c r="B888" t="s">
        <v>62</v>
      </c>
      <c r="C888" t="s">
        <v>402</v>
      </c>
      <c r="D888" t="s">
        <v>2914</v>
      </c>
      <c r="E888" t="s">
        <v>4864</v>
      </c>
      <c r="F888" t="s">
        <v>4865</v>
      </c>
      <c r="G888" t="s">
        <v>3103</v>
      </c>
      <c r="I888" t="s">
        <v>4704</v>
      </c>
      <c r="J888" t="s">
        <v>3486</v>
      </c>
      <c r="K888" t="s">
        <v>4835</v>
      </c>
    </row>
    <row r="889" spans="1:11" x14ac:dyDescent="0.25">
      <c r="A889" t="s">
        <v>2029</v>
      </c>
      <c r="B889" t="s">
        <v>62</v>
      </c>
      <c r="C889" t="s">
        <v>404</v>
      </c>
      <c r="D889" t="s">
        <v>2915</v>
      </c>
      <c r="E889" t="s">
        <v>4866</v>
      </c>
      <c r="F889" t="s">
        <v>4867</v>
      </c>
      <c r="G889" t="s">
        <v>3106</v>
      </c>
      <c r="I889" t="s">
        <v>4704</v>
      </c>
      <c r="J889" t="s">
        <v>3486</v>
      </c>
      <c r="K889" t="s">
        <v>4835</v>
      </c>
    </row>
    <row r="890" spans="1:11" x14ac:dyDescent="0.25">
      <c r="A890" t="s">
        <v>2030</v>
      </c>
      <c r="B890" t="s">
        <v>62</v>
      </c>
      <c r="C890" t="s">
        <v>406</v>
      </c>
      <c r="D890" t="s">
        <v>2916</v>
      </c>
      <c r="E890" t="s">
        <v>4868</v>
      </c>
      <c r="F890" t="s">
        <v>4869</v>
      </c>
      <c r="G890" t="s">
        <v>3109</v>
      </c>
      <c r="I890" t="s">
        <v>4704</v>
      </c>
      <c r="J890" t="s">
        <v>3486</v>
      </c>
      <c r="K890" t="s">
        <v>4835</v>
      </c>
    </row>
    <row r="891" spans="1:11" x14ac:dyDescent="0.25">
      <c r="A891" t="s">
        <v>2031</v>
      </c>
      <c r="B891" t="s">
        <v>62</v>
      </c>
      <c r="C891" t="s">
        <v>408</v>
      </c>
      <c r="D891" t="s">
        <v>2917</v>
      </c>
      <c r="E891" t="s">
        <v>4870</v>
      </c>
      <c r="F891" t="s">
        <v>4871</v>
      </c>
      <c r="G891" t="s">
        <v>408</v>
      </c>
      <c r="I891" t="s">
        <v>4704</v>
      </c>
      <c r="J891" t="s">
        <v>3486</v>
      </c>
      <c r="K891" t="s">
        <v>4835</v>
      </c>
    </row>
    <row r="892" spans="1:11" x14ac:dyDescent="0.25">
      <c r="A892" t="s">
        <v>2032</v>
      </c>
      <c r="B892" t="s">
        <v>62</v>
      </c>
      <c r="C892" t="s">
        <v>410</v>
      </c>
      <c r="D892" t="s">
        <v>2918</v>
      </c>
      <c r="E892" t="s">
        <v>4872</v>
      </c>
      <c r="F892" t="s">
        <v>4873</v>
      </c>
      <c r="G892" t="s">
        <v>410</v>
      </c>
      <c r="I892" t="s">
        <v>4704</v>
      </c>
      <c r="J892" t="s">
        <v>3486</v>
      </c>
      <c r="K892" t="s">
        <v>4835</v>
      </c>
    </row>
    <row r="893" spans="1:11" x14ac:dyDescent="0.25">
      <c r="A893" t="s">
        <v>2033</v>
      </c>
      <c r="B893" t="s">
        <v>62</v>
      </c>
      <c r="C893" t="s">
        <v>412</v>
      </c>
      <c r="D893" t="s">
        <v>2919</v>
      </c>
      <c r="E893" t="s">
        <v>4874</v>
      </c>
      <c r="F893" t="s">
        <v>4875</v>
      </c>
      <c r="G893" t="s">
        <v>412</v>
      </c>
      <c r="I893" t="s">
        <v>4704</v>
      </c>
      <c r="J893" t="s">
        <v>3486</v>
      </c>
      <c r="K893" t="s">
        <v>4835</v>
      </c>
    </row>
    <row r="894" spans="1:11" x14ac:dyDescent="0.25">
      <c r="A894" t="s">
        <v>2034</v>
      </c>
      <c r="B894" t="s">
        <v>62</v>
      </c>
      <c r="C894" t="s">
        <v>557</v>
      </c>
      <c r="D894" t="s">
        <v>2920</v>
      </c>
      <c r="E894" t="s">
        <v>4876</v>
      </c>
      <c r="F894" t="s">
        <v>4877</v>
      </c>
      <c r="G894" t="s">
        <v>3120</v>
      </c>
      <c r="I894" t="s">
        <v>4704</v>
      </c>
      <c r="J894" t="s">
        <v>3486</v>
      </c>
      <c r="K894" t="s">
        <v>4835</v>
      </c>
    </row>
    <row r="895" spans="1:11" x14ac:dyDescent="0.25">
      <c r="A895" t="s">
        <v>2035</v>
      </c>
      <c r="B895" t="s">
        <v>62</v>
      </c>
      <c r="C895" t="s">
        <v>416</v>
      </c>
      <c r="D895" t="s">
        <v>2921</v>
      </c>
      <c r="E895" t="s">
        <v>4878</v>
      </c>
      <c r="F895" t="s">
        <v>4879</v>
      </c>
      <c r="G895" t="s">
        <v>3144</v>
      </c>
      <c r="I895" t="s">
        <v>4704</v>
      </c>
      <c r="J895" t="s">
        <v>3486</v>
      </c>
      <c r="K895" t="s">
        <v>4835</v>
      </c>
    </row>
    <row r="896" spans="1:11" x14ac:dyDescent="0.25">
      <c r="A896" t="s">
        <v>2036</v>
      </c>
      <c r="B896" t="s">
        <v>62</v>
      </c>
      <c r="C896" t="s">
        <v>418</v>
      </c>
      <c r="D896" t="s">
        <v>2922</v>
      </c>
      <c r="E896" t="s">
        <v>4880</v>
      </c>
      <c r="F896" t="s">
        <v>4881</v>
      </c>
      <c r="G896" t="s">
        <v>3147</v>
      </c>
      <c r="I896" t="s">
        <v>4704</v>
      </c>
      <c r="J896" t="s">
        <v>3486</v>
      </c>
      <c r="K896" t="s">
        <v>4835</v>
      </c>
    </row>
    <row r="897" spans="1:11" x14ac:dyDescent="0.25">
      <c r="A897" t="s">
        <v>2037</v>
      </c>
      <c r="B897" t="s">
        <v>62</v>
      </c>
      <c r="C897" t="s">
        <v>420</v>
      </c>
      <c r="D897" t="s">
        <v>2923</v>
      </c>
      <c r="E897" t="s">
        <v>4882</v>
      </c>
      <c r="F897" t="s">
        <v>4883</v>
      </c>
      <c r="G897" t="s">
        <v>3150</v>
      </c>
      <c r="I897" t="s">
        <v>4704</v>
      </c>
      <c r="J897" t="s">
        <v>3486</v>
      </c>
      <c r="K897" t="s">
        <v>4835</v>
      </c>
    </row>
    <row r="898" spans="1:11" x14ac:dyDescent="0.25">
      <c r="A898" t="s">
        <v>2038</v>
      </c>
      <c r="B898" t="s">
        <v>62</v>
      </c>
      <c r="C898" t="s">
        <v>422</v>
      </c>
      <c r="D898" t="s">
        <v>2924</v>
      </c>
      <c r="E898" t="s">
        <v>4884</v>
      </c>
      <c r="F898" t="s">
        <v>4885</v>
      </c>
      <c r="G898" t="s">
        <v>422</v>
      </c>
      <c r="I898" t="s">
        <v>4704</v>
      </c>
      <c r="J898" t="s">
        <v>3486</v>
      </c>
      <c r="K898" t="s">
        <v>4835</v>
      </c>
    </row>
    <row r="899" spans="1:11" x14ac:dyDescent="0.25">
      <c r="A899" t="s">
        <v>2039</v>
      </c>
      <c r="B899" t="s">
        <v>62</v>
      </c>
      <c r="C899" t="s">
        <v>424</v>
      </c>
      <c r="D899" t="s">
        <v>2925</v>
      </c>
      <c r="E899" t="s">
        <v>4886</v>
      </c>
      <c r="F899" t="s">
        <v>4887</v>
      </c>
      <c r="G899" t="s">
        <v>424</v>
      </c>
      <c r="I899" t="s">
        <v>4704</v>
      </c>
      <c r="J899" t="s">
        <v>3486</v>
      </c>
      <c r="K899" t="s">
        <v>4835</v>
      </c>
    </row>
    <row r="900" spans="1:11" x14ac:dyDescent="0.25">
      <c r="A900" t="s">
        <v>2040</v>
      </c>
      <c r="B900" t="s">
        <v>62</v>
      </c>
      <c r="C900" t="s">
        <v>426</v>
      </c>
      <c r="D900" t="s">
        <v>2926</v>
      </c>
      <c r="E900" t="s">
        <v>4888</v>
      </c>
      <c r="F900" t="s">
        <v>4889</v>
      </c>
      <c r="G900" t="s">
        <v>426</v>
      </c>
      <c r="I900" t="s">
        <v>4704</v>
      </c>
      <c r="J900" t="s">
        <v>3486</v>
      </c>
      <c r="K900" t="s">
        <v>4835</v>
      </c>
    </row>
    <row r="901" spans="1:11" x14ac:dyDescent="0.25">
      <c r="A901" t="s">
        <v>2041</v>
      </c>
      <c r="B901" t="s">
        <v>62</v>
      </c>
      <c r="C901" t="s">
        <v>565</v>
      </c>
      <c r="D901" t="s">
        <v>2927</v>
      </c>
      <c r="E901" t="s">
        <v>4890</v>
      </c>
      <c r="F901" t="s">
        <v>4891</v>
      </c>
      <c r="G901" t="s">
        <v>3161</v>
      </c>
      <c r="I901" t="s">
        <v>4704</v>
      </c>
      <c r="J901" t="s">
        <v>3486</v>
      </c>
      <c r="K901" t="s">
        <v>4835</v>
      </c>
    </row>
    <row r="902" spans="1:11" x14ac:dyDescent="0.25">
      <c r="A902" t="s">
        <v>2042</v>
      </c>
      <c r="B902" t="s">
        <v>62</v>
      </c>
      <c r="C902" t="s">
        <v>430</v>
      </c>
      <c r="D902" t="s">
        <v>2928</v>
      </c>
      <c r="E902" t="s">
        <v>4892</v>
      </c>
      <c r="F902" t="s">
        <v>4893</v>
      </c>
      <c r="G902" t="s">
        <v>3164</v>
      </c>
      <c r="I902" t="s">
        <v>4704</v>
      </c>
      <c r="J902" t="s">
        <v>3486</v>
      </c>
      <c r="K902" t="s">
        <v>4835</v>
      </c>
    </row>
    <row r="903" spans="1:11" x14ac:dyDescent="0.25">
      <c r="A903" t="s">
        <v>2043</v>
      </c>
      <c r="B903" t="s">
        <v>62</v>
      </c>
      <c r="C903" t="s">
        <v>432</v>
      </c>
      <c r="D903" t="s">
        <v>2929</v>
      </c>
      <c r="E903" t="s">
        <v>4894</v>
      </c>
      <c r="F903" t="s">
        <v>4895</v>
      </c>
      <c r="G903" t="s">
        <v>3167</v>
      </c>
      <c r="I903" t="s">
        <v>4704</v>
      </c>
      <c r="J903" t="s">
        <v>3486</v>
      </c>
      <c r="K903" t="s">
        <v>4835</v>
      </c>
    </row>
    <row r="904" spans="1:11" x14ac:dyDescent="0.25">
      <c r="A904" t="s">
        <v>2044</v>
      </c>
      <c r="B904" t="s">
        <v>62</v>
      </c>
      <c r="C904" t="s">
        <v>434</v>
      </c>
      <c r="D904" t="s">
        <v>2930</v>
      </c>
      <c r="E904" t="s">
        <v>4896</v>
      </c>
      <c r="F904" t="s">
        <v>4897</v>
      </c>
      <c r="G904" t="s">
        <v>3170</v>
      </c>
      <c r="I904" t="s">
        <v>4704</v>
      </c>
      <c r="J904" t="s">
        <v>3486</v>
      </c>
      <c r="K904" t="s">
        <v>4835</v>
      </c>
    </row>
    <row r="905" spans="1:11" x14ac:dyDescent="0.25">
      <c r="A905" t="s">
        <v>2045</v>
      </c>
      <c r="B905" t="s">
        <v>62</v>
      </c>
      <c r="C905" t="s">
        <v>436</v>
      </c>
      <c r="D905" t="s">
        <v>2931</v>
      </c>
      <c r="E905" t="s">
        <v>4898</v>
      </c>
      <c r="F905" t="s">
        <v>4899</v>
      </c>
      <c r="G905" t="s">
        <v>436</v>
      </c>
      <c r="I905" t="s">
        <v>4704</v>
      </c>
      <c r="J905" t="s">
        <v>3486</v>
      </c>
      <c r="K905" t="s">
        <v>4835</v>
      </c>
    </row>
    <row r="906" spans="1:11" x14ac:dyDescent="0.25">
      <c r="A906" t="s">
        <v>2046</v>
      </c>
      <c r="B906" t="s">
        <v>62</v>
      </c>
      <c r="C906" t="s">
        <v>438</v>
      </c>
      <c r="D906" t="s">
        <v>2932</v>
      </c>
      <c r="E906" t="s">
        <v>4900</v>
      </c>
      <c r="F906" t="s">
        <v>4901</v>
      </c>
      <c r="G906" t="s">
        <v>438</v>
      </c>
      <c r="I906" t="s">
        <v>4704</v>
      </c>
      <c r="J906" t="s">
        <v>3486</v>
      </c>
      <c r="K906" t="s">
        <v>4835</v>
      </c>
    </row>
    <row r="907" spans="1:11" x14ac:dyDescent="0.25">
      <c r="A907" t="s">
        <v>2047</v>
      </c>
      <c r="B907" t="s">
        <v>62</v>
      </c>
      <c r="C907" t="s">
        <v>440</v>
      </c>
      <c r="D907" t="s">
        <v>2933</v>
      </c>
      <c r="E907" t="s">
        <v>4902</v>
      </c>
      <c r="F907" t="s">
        <v>4903</v>
      </c>
      <c r="G907" t="s">
        <v>440</v>
      </c>
      <c r="I907" t="s">
        <v>4704</v>
      </c>
      <c r="J907" t="s">
        <v>3486</v>
      </c>
      <c r="K907" t="s">
        <v>4835</v>
      </c>
    </row>
    <row r="908" spans="1:11" x14ac:dyDescent="0.25">
      <c r="A908" t="s">
        <v>2048</v>
      </c>
      <c r="B908" t="s">
        <v>62</v>
      </c>
      <c r="C908" t="s">
        <v>442</v>
      </c>
      <c r="D908" t="s">
        <v>2934</v>
      </c>
      <c r="E908" t="s">
        <v>4904</v>
      </c>
      <c r="F908" t="s">
        <v>4905</v>
      </c>
      <c r="G908" t="s">
        <v>3181</v>
      </c>
      <c r="I908" t="s">
        <v>4704</v>
      </c>
      <c r="J908" t="s">
        <v>3486</v>
      </c>
      <c r="K908" t="s">
        <v>4835</v>
      </c>
    </row>
    <row r="909" spans="1:11" x14ac:dyDescent="0.25">
      <c r="A909" t="s">
        <v>2049</v>
      </c>
      <c r="B909" t="s">
        <v>62</v>
      </c>
      <c r="C909" t="s">
        <v>154</v>
      </c>
      <c r="D909" t="s">
        <v>2935</v>
      </c>
      <c r="E909" t="s">
        <v>4906</v>
      </c>
      <c r="F909" t="s">
        <v>4907</v>
      </c>
      <c r="G909" t="s">
        <v>3816</v>
      </c>
      <c r="I909" t="s">
        <v>4704</v>
      </c>
      <c r="J909" t="s">
        <v>3486</v>
      </c>
      <c r="K909" t="s">
        <v>4835</v>
      </c>
    </row>
    <row r="910" spans="1:11" x14ac:dyDescent="0.25">
      <c r="A910" t="s">
        <v>2050</v>
      </c>
      <c r="B910" t="s">
        <v>62</v>
      </c>
      <c r="C910" t="s">
        <v>156</v>
      </c>
      <c r="D910" t="s">
        <v>2936</v>
      </c>
      <c r="E910" t="s">
        <v>4908</v>
      </c>
      <c r="F910" t="s">
        <v>4909</v>
      </c>
      <c r="G910" t="s">
        <v>3819</v>
      </c>
      <c r="I910" t="s">
        <v>4704</v>
      </c>
      <c r="J910" t="s">
        <v>3486</v>
      </c>
      <c r="K910" t="s">
        <v>4835</v>
      </c>
    </row>
    <row r="911" spans="1:11" x14ac:dyDescent="0.25">
      <c r="A911" t="s">
        <v>2051</v>
      </c>
      <c r="B911" t="s">
        <v>62</v>
      </c>
      <c r="C911" t="s">
        <v>158</v>
      </c>
      <c r="D911" t="s">
        <v>2937</v>
      </c>
      <c r="E911" t="s">
        <v>4910</v>
      </c>
      <c r="F911" t="s">
        <v>4911</v>
      </c>
      <c r="G911" t="s">
        <v>3822</v>
      </c>
      <c r="I911" t="s">
        <v>4704</v>
      </c>
      <c r="J911" t="s">
        <v>3486</v>
      </c>
      <c r="K911" t="s">
        <v>4835</v>
      </c>
    </row>
    <row r="912" spans="1:11" x14ac:dyDescent="0.25">
      <c r="A912" t="s">
        <v>2052</v>
      </c>
      <c r="B912" t="s">
        <v>62</v>
      </c>
      <c r="C912" t="s">
        <v>160</v>
      </c>
      <c r="D912" t="s">
        <v>2938</v>
      </c>
      <c r="E912" t="s">
        <v>4912</v>
      </c>
      <c r="F912" t="s">
        <v>4913</v>
      </c>
      <c r="G912" t="s">
        <v>3825</v>
      </c>
      <c r="I912" t="s">
        <v>4704</v>
      </c>
      <c r="J912" t="s">
        <v>3486</v>
      </c>
      <c r="K912" t="s">
        <v>4835</v>
      </c>
    </row>
    <row r="913" spans="1:11" x14ac:dyDescent="0.25">
      <c r="A913" t="s">
        <v>2053</v>
      </c>
      <c r="B913" t="s">
        <v>62</v>
      </c>
      <c r="C913" t="s">
        <v>162</v>
      </c>
      <c r="D913" t="s">
        <v>2939</v>
      </c>
      <c r="E913" t="s">
        <v>4914</v>
      </c>
      <c r="F913" t="s">
        <v>4915</v>
      </c>
      <c r="G913" t="s">
        <v>3828</v>
      </c>
      <c r="I913" t="s">
        <v>4704</v>
      </c>
      <c r="J913" t="s">
        <v>3486</v>
      </c>
      <c r="K913" t="s">
        <v>4835</v>
      </c>
    </row>
    <row r="914" spans="1:11" x14ac:dyDescent="0.25">
      <c r="A914" t="s">
        <v>2054</v>
      </c>
      <c r="B914" t="s">
        <v>62</v>
      </c>
      <c r="C914" t="s">
        <v>164</v>
      </c>
      <c r="D914" t="s">
        <v>2940</v>
      </c>
      <c r="E914" t="s">
        <v>4916</v>
      </c>
      <c r="F914" t="s">
        <v>4917</v>
      </c>
      <c r="G914" t="s">
        <v>3831</v>
      </c>
      <c r="I914" t="s">
        <v>4704</v>
      </c>
      <c r="J914" t="s">
        <v>3486</v>
      </c>
      <c r="K914" t="s">
        <v>4835</v>
      </c>
    </row>
    <row r="915" spans="1:11" x14ac:dyDescent="0.25">
      <c r="A915" t="s">
        <v>2055</v>
      </c>
      <c r="B915" t="s">
        <v>62</v>
      </c>
      <c r="C915" t="s">
        <v>580</v>
      </c>
      <c r="D915" t="s">
        <v>2941</v>
      </c>
      <c r="E915" t="s">
        <v>4918</v>
      </c>
      <c r="F915" t="s">
        <v>4919</v>
      </c>
      <c r="G915" t="s">
        <v>3834</v>
      </c>
      <c r="I915" t="s">
        <v>4704</v>
      </c>
      <c r="J915" t="s">
        <v>3486</v>
      </c>
      <c r="K915" t="s">
        <v>4835</v>
      </c>
    </row>
  </sheetData>
  <autoFilter ref="A1:L1" xr:uid="{A9F5B117-701A-4EA0-9DBC-014B5D169030}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C721-2C5F-4A5D-8773-09859E5CC1AB}">
  <sheetPr>
    <tabColor theme="9" tint="-0.249977111117893"/>
  </sheetPr>
  <dimension ref="A1:F950"/>
  <sheetViews>
    <sheetView zoomScaleNormal="100" workbookViewId="0">
      <pane ySplit="1" topLeftCell="A2" activePane="bottomLeft" state="frozenSplit"/>
      <selection sqref="A1:A1048576"/>
      <selection pane="bottomLeft" sqref="A1:A1048576"/>
    </sheetView>
  </sheetViews>
  <sheetFormatPr defaultColWidth="9.140625" defaultRowHeight="15" x14ac:dyDescent="0.25"/>
  <cols>
    <col min="1" max="1" width="21" style="3" customWidth="1"/>
    <col min="2" max="2" width="25" style="3" customWidth="1"/>
    <col min="3" max="3" width="30" style="3" bestFit="1" customWidth="1"/>
    <col min="4" max="4" width="9.140625" style="5"/>
    <col min="5" max="5" width="129.5703125" style="3" bestFit="1" customWidth="1"/>
    <col min="6" max="16384" width="9.140625" style="3"/>
  </cols>
  <sheetData>
    <row r="1" spans="1:6" s="1" customFormat="1" x14ac:dyDescent="0.25">
      <c r="A1" s="1" t="s">
        <v>0</v>
      </c>
      <c r="B1" s="1" t="s">
        <v>1</v>
      </c>
      <c r="C1" s="1" t="s">
        <v>3026</v>
      </c>
      <c r="D1" s="2" t="s">
        <v>3</v>
      </c>
      <c r="E1" s="1" t="s">
        <v>4</v>
      </c>
      <c r="F1" s="1" t="s">
        <v>2056</v>
      </c>
    </row>
    <row r="2" spans="1:6" x14ac:dyDescent="0.25">
      <c r="A2" s="3" t="str">
        <f>_xlfn.CONCAT(C2,B2)</f>
        <v>Surveycode</v>
      </c>
      <c r="C2" s="3" t="s">
        <v>5</v>
      </c>
      <c r="D2" s="4" t="s">
        <v>6</v>
      </c>
      <c r="E2" s="3" t="s">
        <v>5</v>
      </c>
    </row>
    <row r="3" spans="1:6" x14ac:dyDescent="0.25">
      <c r="A3" s="3" t="str">
        <f t="shared" ref="A3:A66" si="0">_xlfn.CONCAT(C3,B3)</f>
        <v>Association (Sample)</v>
      </c>
      <c r="C3" s="3" t="s">
        <v>7</v>
      </c>
      <c r="D3" s="4" t="s">
        <v>6</v>
      </c>
      <c r="E3" s="3" t="s">
        <v>8</v>
      </c>
    </row>
    <row r="4" spans="1:6" x14ac:dyDescent="0.25">
      <c r="A4" s="3" t="str">
        <f t="shared" si="0"/>
        <v>Company (Sample)</v>
      </c>
      <c r="C4" s="3" t="s">
        <v>9</v>
      </c>
      <c r="D4" s="4" t="s">
        <v>6</v>
      </c>
      <c r="E4" s="3" t="s">
        <v>10</v>
      </c>
    </row>
    <row r="5" spans="1:6" x14ac:dyDescent="0.25">
      <c r="A5" s="3" t="str">
        <f t="shared" si="0"/>
        <v>REGION</v>
      </c>
      <c r="C5" s="3" t="s">
        <v>11</v>
      </c>
      <c r="D5" s="4" t="s">
        <v>12</v>
      </c>
      <c r="E5" s="3" t="s">
        <v>13</v>
      </c>
    </row>
    <row r="6" spans="1:6" x14ac:dyDescent="0.25">
      <c r="A6" s="3" t="str">
        <f t="shared" si="0"/>
        <v>DateCompleted (Asia)</v>
      </c>
      <c r="C6" s="3" t="s">
        <v>14</v>
      </c>
      <c r="D6" s="4" t="s">
        <v>12</v>
      </c>
      <c r="E6" s="3" t="s">
        <v>14</v>
      </c>
    </row>
    <row r="7" spans="1:6" x14ac:dyDescent="0.25">
      <c r="A7" s="3" t="str">
        <f t="shared" si="0"/>
        <v>REGION</v>
      </c>
      <c r="C7" s="3" t="s">
        <v>11</v>
      </c>
      <c r="D7" s="4" t="s">
        <v>12</v>
      </c>
      <c r="E7" s="3" t="s">
        <v>13</v>
      </c>
    </row>
    <row r="8" spans="1:6" x14ac:dyDescent="0.25">
      <c r="A8" s="3" t="str">
        <f t="shared" si="0"/>
        <v>DateCompleted (Europe)</v>
      </c>
      <c r="C8" s="3" t="s">
        <v>15</v>
      </c>
      <c r="D8" s="4" t="s">
        <v>12</v>
      </c>
      <c r="E8" s="3" t="s">
        <v>15</v>
      </c>
    </row>
    <row r="9" spans="1:6" x14ac:dyDescent="0.25">
      <c r="A9" s="3" t="str">
        <f t="shared" si="0"/>
        <v>REGION</v>
      </c>
      <c r="C9" s="3" t="s">
        <v>11</v>
      </c>
      <c r="D9" s="4" t="s">
        <v>12</v>
      </c>
      <c r="E9" s="3" t="s">
        <v>13</v>
      </c>
    </row>
    <row r="10" spans="1:6" x14ac:dyDescent="0.25">
      <c r="A10" s="3" t="str">
        <f t="shared" si="0"/>
        <v>DateCompleted (NorthAmerica)</v>
      </c>
      <c r="C10" s="3" t="s">
        <v>16</v>
      </c>
      <c r="D10" s="4" t="s">
        <v>12</v>
      </c>
      <c r="E10" s="3" t="s">
        <v>16</v>
      </c>
    </row>
    <row r="11" spans="1:6" x14ac:dyDescent="0.25">
      <c r="A11" s="3" t="str">
        <f t="shared" si="0"/>
        <v>REGION</v>
      </c>
      <c r="C11" s="3" t="s">
        <v>11</v>
      </c>
      <c r="D11" s="4" t="s">
        <v>12</v>
      </c>
      <c r="E11" s="3" t="s">
        <v>13</v>
      </c>
    </row>
    <row r="12" spans="1:6" x14ac:dyDescent="0.25">
      <c r="A12" s="3" t="str">
        <f t="shared" si="0"/>
        <v>DateCompleted (Global)</v>
      </c>
      <c r="C12" s="3" t="s">
        <v>17</v>
      </c>
      <c r="D12" s="4" t="s">
        <v>12</v>
      </c>
      <c r="E12" s="3" t="s">
        <v>17</v>
      </c>
    </row>
    <row r="13" spans="1:6" x14ac:dyDescent="0.25">
      <c r="A13" s="3" t="str">
        <f t="shared" si="0"/>
        <v>REGION</v>
      </c>
      <c r="C13" s="3" t="s">
        <v>11</v>
      </c>
      <c r="D13" s="4" t="s">
        <v>12</v>
      </c>
      <c r="E13" s="3" t="s">
        <v>13</v>
      </c>
    </row>
    <row r="14" spans="1:6" x14ac:dyDescent="0.25">
      <c r="A14" s="3" t="str">
        <f t="shared" si="0"/>
        <v>DateCompleted (SouthAmerica)</v>
      </c>
      <c r="C14" s="3" t="s">
        <v>18</v>
      </c>
      <c r="D14" s="4" t="s">
        <v>12</v>
      </c>
      <c r="E14" s="3" t="s">
        <v>18</v>
      </c>
    </row>
    <row r="15" spans="1:6" x14ac:dyDescent="0.25">
      <c r="A15" s="3" t="str">
        <f t="shared" si="0"/>
        <v>REGION</v>
      </c>
      <c r="C15" s="3" t="s">
        <v>11</v>
      </c>
      <c r="D15" s="4" t="s">
        <v>12</v>
      </c>
      <c r="E15" s="3" t="s">
        <v>13</v>
      </c>
    </row>
    <row r="16" spans="1:6" x14ac:dyDescent="0.25">
      <c r="A16" s="3" t="str">
        <f t="shared" si="0"/>
        <v>DateCompleted (Africa)</v>
      </c>
      <c r="C16" s="3" t="s">
        <v>19</v>
      </c>
      <c r="D16" s="4" t="s">
        <v>12</v>
      </c>
      <c r="E16" s="3" t="s">
        <v>19</v>
      </c>
    </row>
    <row r="17" spans="1:5" x14ac:dyDescent="0.25">
      <c r="A17" s="3" t="str">
        <f t="shared" si="0"/>
        <v>ShowEurope</v>
      </c>
      <c r="C17" s="3" t="s">
        <v>20</v>
      </c>
      <c r="D17" s="4" t="s">
        <v>12</v>
      </c>
      <c r="E17" s="3" t="s">
        <v>20</v>
      </c>
    </row>
    <row r="18" spans="1:5" x14ac:dyDescent="0.25">
      <c r="A18" s="3" t="str">
        <f t="shared" si="0"/>
        <v>ShowAsia</v>
      </c>
      <c r="C18" s="3" t="s">
        <v>21</v>
      </c>
      <c r="D18" s="4" t="s">
        <v>12</v>
      </c>
      <c r="E18" s="3" t="s">
        <v>21</v>
      </c>
    </row>
    <row r="19" spans="1:5" x14ac:dyDescent="0.25">
      <c r="A19" s="3" t="str">
        <f t="shared" si="0"/>
        <v>ShowNA</v>
      </c>
      <c r="C19" s="3" t="s">
        <v>22</v>
      </c>
      <c r="D19" s="4" t="s">
        <v>12</v>
      </c>
      <c r="E19" s="3" t="s">
        <v>22</v>
      </c>
    </row>
    <row r="20" spans="1:5" x14ac:dyDescent="0.25">
      <c r="A20" s="3" t="str">
        <f t="shared" si="0"/>
        <v>ShowGlobal</v>
      </c>
      <c r="C20" s="3" t="s">
        <v>23</v>
      </c>
      <c r="D20" s="4" t="s">
        <v>12</v>
      </c>
      <c r="E20" s="3" t="s">
        <v>23</v>
      </c>
    </row>
    <row r="21" spans="1:5" x14ac:dyDescent="0.25">
      <c r="A21" s="3" t="str">
        <f t="shared" si="0"/>
        <v>ShowSA</v>
      </c>
      <c r="C21" s="3" t="s">
        <v>24</v>
      </c>
      <c r="D21" s="4" t="s">
        <v>12</v>
      </c>
      <c r="E21" s="3" t="s">
        <v>24</v>
      </c>
    </row>
    <row r="22" spans="1:5" x14ac:dyDescent="0.25">
      <c r="A22" s="3" t="str">
        <f t="shared" si="0"/>
        <v>ShowAfrica</v>
      </c>
      <c r="C22" s="3" t="s">
        <v>25</v>
      </c>
      <c r="D22" s="4" t="s">
        <v>12</v>
      </c>
      <c r="E22" s="3" t="s">
        <v>25</v>
      </c>
    </row>
    <row r="23" spans="1:5" x14ac:dyDescent="0.25">
      <c r="A23" s="3" t="str">
        <f t="shared" si="0"/>
        <v>RecordNo</v>
      </c>
      <c r="C23" s="3" t="s">
        <v>26</v>
      </c>
      <c r="D23" s="4" t="s">
        <v>27</v>
      </c>
      <c r="E23" s="3" t="s">
        <v>26</v>
      </c>
    </row>
    <row r="24" spans="1:5" x14ac:dyDescent="0.25">
      <c r="A24" s="3" t="str">
        <f t="shared" si="0"/>
        <v>Surveycode</v>
      </c>
      <c r="C24" s="3" t="s">
        <v>5</v>
      </c>
      <c r="D24" s="4" t="s">
        <v>27</v>
      </c>
      <c r="E24" s="3" t="s">
        <v>5</v>
      </c>
    </row>
    <row r="25" spans="1:5" x14ac:dyDescent="0.25">
      <c r="A25" s="3" t="str">
        <f t="shared" si="0"/>
        <v>URIstring</v>
      </c>
      <c r="C25" s="3" t="s">
        <v>28</v>
      </c>
      <c r="D25" s="4" t="s">
        <v>27</v>
      </c>
      <c r="E25" s="3" t="s">
        <v>28</v>
      </c>
    </row>
    <row r="26" spans="1:5" x14ac:dyDescent="0.25">
      <c r="A26" s="3" t="str">
        <f t="shared" si="0"/>
        <v>DateUpdated</v>
      </c>
      <c r="C26" s="3" t="s">
        <v>29</v>
      </c>
      <c r="D26" s="4" t="s">
        <v>27</v>
      </c>
      <c r="E26" s="3" t="s">
        <v>29</v>
      </c>
    </row>
    <row r="27" spans="1:5" x14ac:dyDescent="0.25">
      <c r="A27" s="3" t="str">
        <f t="shared" si="0"/>
        <v>DateCompleted</v>
      </c>
      <c r="C27" s="3" t="s">
        <v>30</v>
      </c>
      <c r="D27" s="4" t="s">
        <v>27</v>
      </c>
      <c r="E27" s="3" t="s">
        <v>30</v>
      </c>
    </row>
    <row r="28" spans="1:5" x14ac:dyDescent="0.25">
      <c r="A28" s="3" t="str">
        <f t="shared" si="0"/>
        <v>PageNo</v>
      </c>
      <c r="C28" s="3" t="s">
        <v>31</v>
      </c>
      <c r="D28" s="4" t="s">
        <v>27</v>
      </c>
      <c r="E28" s="3" t="s">
        <v>31</v>
      </c>
    </row>
    <row r="29" spans="1:5" x14ac:dyDescent="0.25">
      <c r="A29" s="3" t="str">
        <f t="shared" si="0"/>
        <v>PathInfo</v>
      </c>
      <c r="C29" s="3" t="s">
        <v>32</v>
      </c>
      <c r="D29" s="4" t="s">
        <v>27</v>
      </c>
      <c r="E29" s="3" t="s">
        <v>32</v>
      </c>
    </row>
    <row r="30" spans="1:5" x14ac:dyDescent="0.25">
      <c r="A30" s="3" t="str">
        <f t="shared" si="0"/>
        <v>Referrer</v>
      </c>
      <c r="C30" s="3" t="s">
        <v>33</v>
      </c>
      <c r="D30" s="4" t="s">
        <v>27</v>
      </c>
      <c r="E30" s="3" t="s">
        <v>33</v>
      </c>
    </row>
    <row r="31" spans="1:5" x14ac:dyDescent="0.25">
      <c r="A31" s="3" t="str">
        <f t="shared" si="0"/>
        <v>IPaddress</v>
      </c>
      <c r="C31" s="3" t="s">
        <v>34</v>
      </c>
      <c r="D31" s="4" t="s">
        <v>27</v>
      </c>
      <c r="E31" s="3" t="s">
        <v>34</v>
      </c>
    </row>
    <row r="32" spans="1:5" x14ac:dyDescent="0.25">
      <c r="A32" s="3" t="str">
        <f t="shared" si="0"/>
        <v>Version</v>
      </c>
      <c r="C32" s="3" t="s">
        <v>35</v>
      </c>
      <c r="D32" s="4" t="s">
        <v>27</v>
      </c>
      <c r="E32" s="3" t="s">
        <v>36</v>
      </c>
    </row>
    <row r="33" spans="1:6" x14ac:dyDescent="0.25">
      <c r="A33" s="3" t="str">
        <f t="shared" si="0"/>
        <v>qName</v>
      </c>
      <c r="C33" s="3" t="s">
        <v>37</v>
      </c>
      <c r="D33" s="5" t="s">
        <v>38</v>
      </c>
      <c r="E33" s="3" t="s">
        <v>39</v>
      </c>
    </row>
    <row r="34" spans="1:6" x14ac:dyDescent="0.25">
      <c r="A34" s="3" t="str">
        <f t="shared" si="0"/>
        <v>qCompany</v>
      </c>
      <c r="C34" s="3" t="s">
        <v>40</v>
      </c>
      <c r="D34" s="5" t="s">
        <v>38</v>
      </c>
      <c r="E34" s="3" t="s">
        <v>41</v>
      </c>
    </row>
    <row r="35" spans="1:6" x14ac:dyDescent="0.25">
      <c r="A35" s="3" t="str">
        <f t="shared" si="0"/>
        <v>qJobtitle</v>
      </c>
      <c r="C35" s="3" t="s">
        <v>42</v>
      </c>
      <c r="D35" s="5" t="s">
        <v>38</v>
      </c>
      <c r="E35" s="3" t="s">
        <v>43</v>
      </c>
    </row>
    <row r="36" spans="1:6" x14ac:dyDescent="0.25">
      <c r="A36" s="3" t="str">
        <f t="shared" si="0"/>
        <v>qEmail</v>
      </c>
      <c r="C36" s="3" t="s">
        <v>44</v>
      </c>
      <c r="D36" s="5" t="s">
        <v>38</v>
      </c>
      <c r="E36" s="3" t="s">
        <v>45</v>
      </c>
    </row>
    <row r="37" spans="1:6" x14ac:dyDescent="0.25">
      <c r="A37" s="3" t="str">
        <f t="shared" si="0"/>
        <v>qTelephone</v>
      </c>
      <c r="C37" s="3" t="s">
        <v>46</v>
      </c>
      <c r="D37" s="5" t="s">
        <v>38</v>
      </c>
      <c r="E37" s="3" t="s">
        <v>47</v>
      </c>
    </row>
    <row r="38" spans="1:6" x14ac:dyDescent="0.25">
      <c r="A38" s="3" t="str">
        <f t="shared" si="0"/>
        <v>qCountry</v>
      </c>
      <c r="C38" s="3" t="s">
        <v>48</v>
      </c>
      <c r="D38" s="5" t="s">
        <v>38</v>
      </c>
      <c r="E38" s="3" t="s">
        <v>49</v>
      </c>
    </row>
    <row r="39" spans="1:6" x14ac:dyDescent="0.25">
      <c r="A39" s="3" t="str">
        <f t="shared" si="0"/>
        <v>qCurrency</v>
      </c>
      <c r="C39" s="3" t="s">
        <v>50</v>
      </c>
      <c r="D39" s="5" t="s">
        <v>51</v>
      </c>
      <c r="E39" s="3" t="s">
        <v>52</v>
      </c>
    </row>
    <row r="40" spans="1:6" x14ac:dyDescent="0.25">
      <c r="A40" s="3" t="str">
        <f t="shared" si="0"/>
        <v>qCurrencyOther</v>
      </c>
      <c r="C40" s="3" t="s">
        <v>53</v>
      </c>
      <c r="D40" s="5" t="s">
        <v>38</v>
      </c>
      <c r="E40" s="3" t="s">
        <v>54</v>
      </c>
    </row>
    <row r="41" spans="1:6" s="6" customFormat="1" x14ac:dyDescent="0.25">
      <c r="A41" s="3" t="str">
        <f t="shared" si="0"/>
        <v>q1</v>
      </c>
      <c r="C41" s="6" t="s">
        <v>55</v>
      </c>
      <c r="D41" s="7" t="s">
        <v>56</v>
      </c>
      <c r="E41" s="6" t="s">
        <v>2942</v>
      </c>
      <c r="F41" s="3">
        <v>1</v>
      </c>
    </row>
    <row r="42" spans="1:6" s="6" customFormat="1" x14ac:dyDescent="0.25">
      <c r="A42" s="3" t="str">
        <f t="shared" si="0"/>
        <v>q2</v>
      </c>
      <c r="C42" s="6" t="s">
        <v>57</v>
      </c>
      <c r="D42" s="7" t="s">
        <v>56</v>
      </c>
      <c r="E42" s="6" t="s">
        <v>58</v>
      </c>
      <c r="F42" s="3">
        <f>VLOOKUP(E42,'[3]Data-Map Questions'!$D:$E,2,FALSE)</f>
        <v>2</v>
      </c>
    </row>
    <row r="43" spans="1:6" x14ac:dyDescent="0.25">
      <c r="A43" s="3" t="str">
        <f t="shared" si="0"/>
        <v>q2other</v>
      </c>
      <c r="C43" s="3" t="s">
        <v>59</v>
      </c>
      <c r="D43" s="5" t="s">
        <v>38</v>
      </c>
      <c r="E43" s="3" t="s">
        <v>60</v>
      </c>
      <c r="F43" s="3">
        <f>VLOOKUP(E43,'[3]Data-Map Questions'!$D:$E,2,FALSE)</f>
        <v>3</v>
      </c>
    </row>
    <row r="44" spans="1:6" s="6" customFormat="1" x14ac:dyDescent="0.25">
      <c r="A44" s="3" t="str">
        <f t="shared" si="0"/>
        <v/>
      </c>
      <c r="D44" s="7"/>
      <c r="E44" s="6" t="s">
        <v>2943</v>
      </c>
      <c r="F44" s="3">
        <v>4</v>
      </c>
    </row>
    <row r="45" spans="1:6" x14ac:dyDescent="0.25">
      <c r="A45" s="3" t="str">
        <f t="shared" si="0"/>
        <v>q3A_TotalRealEstate</v>
      </c>
      <c r="C45" s="3" t="s">
        <v>61</v>
      </c>
      <c r="D45" s="5" t="s">
        <v>62</v>
      </c>
      <c r="E45" s="3" t="s">
        <v>63</v>
      </c>
      <c r="F45" s="3" t="s">
        <v>2057</v>
      </c>
    </row>
    <row r="46" spans="1:6" x14ac:dyDescent="0.25">
      <c r="A46" s="3" t="str">
        <f t="shared" si="0"/>
        <v>q3A_NonListedRealEstate</v>
      </c>
      <c r="C46" s="3" t="s">
        <v>64</v>
      </c>
      <c r="D46" s="5" t="s">
        <v>62</v>
      </c>
      <c r="E46" s="3" t="s">
        <v>65</v>
      </c>
      <c r="F46" s="3" t="s">
        <v>2058</v>
      </c>
    </row>
    <row r="47" spans="1:6" s="6" customFormat="1" x14ac:dyDescent="0.25">
      <c r="A47" s="3" t="str">
        <f t="shared" si="0"/>
        <v/>
      </c>
      <c r="D47" s="7"/>
      <c r="E47" s="6" t="s">
        <v>2944</v>
      </c>
      <c r="F47" s="3">
        <v>5</v>
      </c>
    </row>
    <row r="48" spans="1:6" x14ac:dyDescent="0.25">
      <c r="A48" s="3" t="str">
        <f t="shared" si="0"/>
        <v>q3B_TotalRealEstate</v>
      </c>
      <c r="C48" s="3" t="s">
        <v>66</v>
      </c>
      <c r="D48" s="5" t="s">
        <v>62</v>
      </c>
      <c r="E48" s="3" t="s">
        <v>63</v>
      </c>
      <c r="F48" s="3" t="s">
        <v>2059</v>
      </c>
    </row>
    <row r="49" spans="1:6" x14ac:dyDescent="0.25">
      <c r="A49" s="3" t="str">
        <f t="shared" si="0"/>
        <v>q3B_NonListedRealEstate</v>
      </c>
      <c r="C49" s="3" t="s">
        <v>67</v>
      </c>
      <c r="D49" s="5" t="s">
        <v>62</v>
      </c>
      <c r="E49" s="3" t="s">
        <v>68</v>
      </c>
      <c r="F49" s="3" t="s">
        <v>2060</v>
      </c>
    </row>
    <row r="50" spans="1:6" s="6" customFormat="1" x14ac:dyDescent="0.25">
      <c r="A50" s="3" t="str">
        <f t="shared" si="0"/>
        <v/>
      </c>
      <c r="D50" s="7"/>
      <c r="E50" s="6" t="s">
        <v>2945</v>
      </c>
      <c r="F50" s="3">
        <v>6</v>
      </c>
    </row>
    <row r="51" spans="1:6" x14ac:dyDescent="0.25">
      <c r="A51" s="3" t="str">
        <f t="shared" si="0"/>
        <v>q31_1</v>
      </c>
      <c r="C51" s="3" t="s">
        <v>69</v>
      </c>
      <c r="D51" s="5" t="s">
        <v>62</v>
      </c>
      <c r="E51" s="3" t="s">
        <v>70</v>
      </c>
      <c r="F51" s="3" t="s">
        <v>2061</v>
      </c>
    </row>
    <row r="52" spans="1:6" x14ac:dyDescent="0.25">
      <c r="A52" s="3" t="str">
        <f t="shared" si="0"/>
        <v>q31_2</v>
      </c>
      <c r="C52" s="3" t="s">
        <v>71</v>
      </c>
      <c r="D52" s="5" t="s">
        <v>62</v>
      </c>
      <c r="E52" s="3" t="s">
        <v>72</v>
      </c>
      <c r="F52" s="3" t="s">
        <v>2062</v>
      </c>
    </row>
    <row r="53" spans="1:6" x14ac:dyDescent="0.25">
      <c r="A53" s="3" t="str">
        <f t="shared" si="0"/>
        <v>q31_3</v>
      </c>
      <c r="C53" s="3" t="s">
        <v>73</v>
      </c>
      <c r="D53" s="5" t="s">
        <v>62</v>
      </c>
      <c r="E53" s="3" t="s">
        <v>74</v>
      </c>
      <c r="F53" s="3" t="s">
        <v>2063</v>
      </c>
    </row>
    <row r="54" spans="1:6" x14ac:dyDescent="0.25">
      <c r="A54" s="3" t="str">
        <f t="shared" si="0"/>
        <v>q31_4</v>
      </c>
      <c r="C54" s="3" t="s">
        <v>75</v>
      </c>
      <c r="D54" s="5" t="s">
        <v>62</v>
      </c>
      <c r="E54" s="3" t="s">
        <v>76</v>
      </c>
      <c r="F54" s="3" t="s">
        <v>2064</v>
      </c>
    </row>
    <row r="55" spans="1:6" x14ac:dyDescent="0.25">
      <c r="A55" s="3" t="str">
        <f t="shared" si="0"/>
        <v>q31_5</v>
      </c>
      <c r="C55" s="3" t="s">
        <v>77</v>
      </c>
      <c r="D55" s="5" t="s">
        <v>62</v>
      </c>
      <c r="E55" s="3" t="s">
        <v>78</v>
      </c>
      <c r="F55" s="3" t="s">
        <v>2065</v>
      </c>
    </row>
    <row r="56" spans="1:6" x14ac:dyDescent="0.25">
      <c r="A56" s="3" t="str">
        <f t="shared" si="0"/>
        <v>q31_6</v>
      </c>
      <c r="C56" s="3" t="s">
        <v>79</v>
      </c>
      <c r="D56" s="5" t="s">
        <v>62</v>
      </c>
      <c r="E56" s="3" t="s">
        <v>80</v>
      </c>
      <c r="F56" s="3" t="s">
        <v>2066</v>
      </c>
    </row>
    <row r="57" spans="1:6" x14ac:dyDescent="0.25">
      <c r="A57" s="3" t="str">
        <f t="shared" si="0"/>
        <v>q3ROW1_hidden</v>
      </c>
      <c r="C57" s="3" t="s">
        <v>81</v>
      </c>
      <c r="D57" s="5" t="s">
        <v>62</v>
      </c>
      <c r="E57" s="8" t="s">
        <v>82</v>
      </c>
      <c r="F57" s="3" t="s">
        <v>2067</v>
      </c>
    </row>
    <row r="58" spans="1:6" x14ac:dyDescent="0.25">
      <c r="A58" s="3" t="str">
        <f t="shared" si="0"/>
        <v>q32_1</v>
      </c>
      <c r="C58" s="3" t="s">
        <v>83</v>
      </c>
      <c r="D58" s="5" t="s">
        <v>62</v>
      </c>
      <c r="E58" s="3" t="s">
        <v>84</v>
      </c>
      <c r="F58" s="3" t="s">
        <v>2068</v>
      </c>
    </row>
    <row r="59" spans="1:6" x14ac:dyDescent="0.25">
      <c r="A59" s="3" t="str">
        <f t="shared" si="0"/>
        <v>q32_2</v>
      </c>
      <c r="C59" s="3" t="s">
        <v>85</v>
      </c>
      <c r="D59" s="5" t="s">
        <v>62</v>
      </c>
      <c r="E59" s="3" t="s">
        <v>86</v>
      </c>
      <c r="F59" s="3" t="s">
        <v>2069</v>
      </c>
    </row>
    <row r="60" spans="1:6" x14ac:dyDescent="0.25">
      <c r="A60" s="3" t="str">
        <f t="shared" si="0"/>
        <v>q32_3</v>
      </c>
      <c r="C60" s="3" t="s">
        <v>87</v>
      </c>
      <c r="D60" s="5" t="s">
        <v>62</v>
      </c>
      <c r="E60" s="3" t="s">
        <v>88</v>
      </c>
      <c r="F60" s="3" t="s">
        <v>2070</v>
      </c>
    </row>
    <row r="61" spans="1:6" x14ac:dyDescent="0.25">
      <c r="A61" s="3" t="str">
        <f t="shared" si="0"/>
        <v>q32_4</v>
      </c>
      <c r="C61" s="3" t="s">
        <v>89</v>
      </c>
      <c r="D61" s="5" t="s">
        <v>62</v>
      </c>
      <c r="E61" s="3" t="s">
        <v>90</v>
      </c>
      <c r="F61" s="3" t="s">
        <v>2071</v>
      </c>
    </row>
    <row r="62" spans="1:6" x14ac:dyDescent="0.25">
      <c r="A62" s="3" t="str">
        <f t="shared" si="0"/>
        <v>q32_5</v>
      </c>
      <c r="C62" s="3" t="s">
        <v>91</v>
      </c>
      <c r="D62" s="5" t="s">
        <v>62</v>
      </c>
      <c r="E62" s="3" t="s">
        <v>92</v>
      </c>
      <c r="F62" s="3" t="s">
        <v>2072</v>
      </c>
    </row>
    <row r="63" spans="1:6" x14ac:dyDescent="0.25">
      <c r="A63" s="3" t="str">
        <f t="shared" si="0"/>
        <v>q32_6</v>
      </c>
      <c r="C63" s="3" t="s">
        <v>93</v>
      </c>
      <c r="D63" s="5" t="s">
        <v>62</v>
      </c>
      <c r="E63" s="3" t="s">
        <v>94</v>
      </c>
      <c r="F63" s="3" t="s">
        <v>2073</v>
      </c>
    </row>
    <row r="64" spans="1:6" x14ac:dyDescent="0.25">
      <c r="A64" s="3" t="str">
        <f t="shared" si="0"/>
        <v>q3ROW2_hidden</v>
      </c>
      <c r="C64" s="3" t="s">
        <v>95</v>
      </c>
      <c r="D64" s="5" t="s">
        <v>62</v>
      </c>
      <c r="E64" s="8" t="s">
        <v>96</v>
      </c>
      <c r="F64" s="3" t="s">
        <v>2074</v>
      </c>
    </row>
    <row r="65" spans="1:6" x14ac:dyDescent="0.25">
      <c r="A65" s="3" t="str">
        <f t="shared" si="0"/>
        <v>q33_1</v>
      </c>
      <c r="C65" s="3" t="s">
        <v>97</v>
      </c>
      <c r="D65" s="5" t="s">
        <v>62</v>
      </c>
      <c r="E65" s="3" t="s">
        <v>98</v>
      </c>
      <c r="F65" s="3" t="s">
        <v>2075</v>
      </c>
    </row>
    <row r="66" spans="1:6" x14ac:dyDescent="0.25">
      <c r="A66" s="3" t="str">
        <f t="shared" si="0"/>
        <v>q33_2</v>
      </c>
      <c r="C66" s="3" t="s">
        <v>99</v>
      </c>
      <c r="D66" s="5" t="s">
        <v>62</v>
      </c>
      <c r="E66" s="3" t="s">
        <v>100</v>
      </c>
      <c r="F66" s="3" t="s">
        <v>2076</v>
      </c>
    </row>
    <row r="67" spans="1:6" x14ac:dyDescent="0.25">
      <c r="A67" s="3" t="str">
        <f t="shared" ref="A67:A130" si="1">_xlfn.CONCAT(C67,B67)</f>
        <v>q33_3</v>
      </c>
      <c r="C67" s="3" t="s">
        <v>101</v>
      </c>
      <c r="D67" s="5" t="s">
        <v>62</v>
      </c>
      <c r="E67" s="3" t="s">
        <v>102</v>
      </c>
      <c r="F67" s="3" t="s">
        <v>2077</v>
      </c>
    </row>
    <row r="68" spans="1:6" x14ac:dyDescent="0.25">
      <c r="A68" s="3" t="str">
        <f t="shared" si="1"/>
        <v>q33_4</v>
      </c>
      <c r="C68" s="3" t="s">
        <v>103</v>
      </c>
      <c r="D68" s="5" t="s">
        <v>62</v>
      </c>
      <c r="E68" s="3" t="s">
        <v>104</v>
      </c>
      <c r="F68" s="3" t="s">
        <v>2078</v>
      </c>
    </row>
    <row r="69" spans="1:6" x14ac:dyDescent="0.25">
      <c r="A69" s="3" t="str">
        <f t="shared" si="1"/>
        <v>q33_5</v>
      </c>
      <c r="C69" s="3" t="s">
        <v>105</v>
      </c>
      <c r="D69" s="5" t="s">
        <v>62</v>
      </c>
      <c r="E69" s="3" t="s">
        <v>106</v>
      </c>
      <c r="F69" s="3" t="s">
        <v>2079</v>
      </c>
    </row>
    <row r="70" spans="1:6" x14ac:dyDescent="0.25">
      <c r="A70" s="3" t="str">
        <f t="shared" si="1"/>
        <v>q33_6</v>
      </c>
      <c r="C70" s="3" t="s">
        <v>107</v>
      </c>
      <c r="D70" s="5" t="s">
        <v>62</v>
      </c>
      <c r="E70" s="3" t="s">
        <v>108</v>
      </c>
      <c r="F70" s="3" t="s">
        <v>2080</v>
      </c>
    </row>
    <row r="71" spans="1:6" x14ac:dyDescent="0.25">
      <c r="A71" s="3" t="str">
        <f t="shared" si="1"/>
        <v>q3ROW3_hidden</v>
      </c>
      <c r="C71" s="3" t="s">
        <v>109</v>
      </c>
      <c r="D71" s="5" t="s">
        <v>62</v>
      </c>
      <c r="E71" s="8" t="s">
        <v>110</v>
      </c>
      <c r="F71" s="3" t="s">
        <v>2081</v>
      </c>
    </row>
    <row r="72" spans="1:6" x14ac:dyDescent="0.25">
      <c r="A72" s="3" t="str">
        <f t="shared" si="1"/>
        <v>q34_1</v>
      </c>
      <c r="C72" s="3" t="s">
        <v>111</v>
      </c>
      <c r="D72" s="5" t="s">
        <v>62</v>
      </c>
      <c r="E72" s="3" t="s">
        <v>112</v>
      </c>
      <c r="F72" s="3" t="s">
        <v>2082</v>
      </c>
    </row>
    <row r="73" spans="1:6" x14ac:dyDescent="0.25">
      <c r="A73" s="3" t="str">
        <f t="shared" si="1"/>
        <v>q34_2</v>
      </c>
      <c r="C73" s="3" t="s">
        <v>113</v>
      </c>
      <c r="D73" s="5" t="s">
        <v>62</v>
      </c>
      <c r="E73" s="3" t="s">
        <v>114</v>
      </c>
      <c r="F73" s="3" t="s">
        <v>2083</v>
      </c>
    </row>
    <row r="74" spans="1:6" x14ac:dyDescent="0.25">
      <c r="A74" s="3" t="str">
        <f t="shared" si="1"/>
        <v>q34_3</v>
      </c>
      <c r="C74" s="3" t="s">
        <v>115</v>
      </c>
      <c r="D74" s="5" t="s">
        <v>62</v>
      </c>
      <c r="E74" s="3" t="s">
        <v>116</v>
      </c>
      <c r="F74" s="3" t="s">
        <v>2084</v>
      </c>
    </row>
    <row r="75" spans="1:6" x14ac:dyDescent="0.25">
      <c r="A75" s="3" t="str">
        <f t="shared" si="1"/>
        <v>q34_4</v>
      </c>
      <c r="C75" s="3" t="s">
        <v>117</v>
      </c>
      <c r="D75" s="5" t="s">
        <v>62</v>
      </c>
      <c r="E75" s="3" t="s">
        <v>118</v>
      </c>
      <c r="F75" s="3" t="s">
        <v>2085</v>
      </c>
    </row>
    <row r="76" spans="1:6" x14ac:dyDescent="0.25">
      <c r="A76" s="3" t="str">
        <f t="shared" si="1"/>
        <v>q34_5</v>
      </c>
      <c r="C76" s="3" t="s">
        <v>119</v>
      </c>
      <c r="D76" s="5" t="s">
        <v>62</v>
      </c>
      <c r="E76" s="3" t="s">
        <v>120</v>
      </c>
      <c r="F76" s="3" t="s">
        <v>2086</v>
      </c>
    </row>
    <row r="77" spans="1:6" x14ac:dyDescent="0.25">
      <c r="A77" s="3" t="str">
        <f t="shared" si="1"/>
        <v>q34_6</v>
      </c>
      <c r="C77" s="3" t="s">
        <v>121</v>
      </c>
      <c r="D77" s="5" t="s">
        <v>62</v>
      </c>
      <c r="E77" s="3" t="s">
        <v>122</v>
      </c>
      <c r="F77" s="3" t="s">
        <v>2087</v>
      </c>
    </row>
    <row r="78" spans="1:6" x14ac:dyDescent="0.25">
      <c r="A78" s="3" t="str">
        <f t="shared" si="1"/>
        <v>q3ROW4_hidden</v>
      </c>
      <c r="C78" s="3" t="s">
        <v>123</v>
      </c>
      <c r="D78" s="5" t="s">
        <v>62</v>
      </c>
      <c r="E78" s="8" t="s">
        <v>124</v>
      </c>
      <c r="F78" s="3" t="s">
        <v>2088</v>
      </c>
    </row>
    <row r="79" spans="1:6" x14ac:dyDescent="0.25">
      <c r="A79" s="3" t="str">
        <f t="shared" si="1"/>
        <v>q35_1</v>
      </c>
      <c r="C79" s="3" t="s">
        <v>125</v>
      </c>
      <c r="D79" s="5" t="s">
        <v>62</v>
      </c>
      <c r="E79" s="3" t="s">
        <v>126</v>
      </c>
      <c r="F79" s="3" t="s">
        <v>2089</v>
      </c>
    </row>
    <row r="80" spans="1:6" x14ac:dyDescent="0.25">
      <c r="A80" s="3" t="str">
        <f t="shared" si="1"/>
        <v>q35_2</v>
      </c>
      <c r="C80" s="3" t="s">
        <v>127</v>
      </c>
      <c r="D80" s="5" t="s">
        <v>62</v>
      </c>
      <c r="E80" s="3" t="s">
        <v>128</v>
      </c>
      <c r="F80" s="3" t="s">
        <v>2090</v>
      </c>
    </row>
    <row r="81" spans="1:6" x14ac:dyDescent="0.25">
      <c r="A81" s="3" t="str">
        <f t="shared" si="1"/>
        <v>q35_3</v>
      </c>
      <c r="C81" s="3" t="s">
        <v>129</v>
      </c>
      <c r="D81" s="5" t="s">
        <v>62</v>
      </c>
      <c r="E81" s="3" t="s">
        <v>130</v>
      </c>
      <c r="F81" s="3" t="s">
        <v>2091</v>
      </c>
    </row>
    <row r="82" spans="1:6" x14ac:dyDescent="0.25">
      <c r="A82" s="3" t="str">
        <f t="shared" si="1"/>
        <v>q35_4</v>
      </c>
      <c r="C82" s="3" t="s">
        <v>131</v>
      </c>
      <c r="D82" s="5" t="s">
        <v>62</v>
      </c>
      <c r="E82" s="3" t="s">
        <v>132</v>
      </c>
      <c r="F82" s="3" t="s">
        <v>2092</v>
      </c>
    </row>
    <row r="83" spans="1:6" x14ac:dyDescent="0.25">
      <c r="A83" s="3" t="str">
        <f t="shared" si="1"/>
        <v>q35_5</v>
      </c>
      <c r="C83" s="3" t="s">
        <v>133</v>
      </c>
      <c r="D83" s="5" t="s">
        <v>62</v>
      </c>
      <c r="E83" s="3" t="s">
        <v>134</v>
      </c>
      <c r="F83" s="3" t="s">
        <v>2093</v>
      </c>
    </row>
    <row r="84" spans="1:6" x14ac:dyDescent="0.25">
      <c r="A84" s="3" t="str">
        <f t="shared" si="1"/>
        <v>q35_6</v>
      </c>
      <c r="C84" s="3" t="s">
        <v>135</v>
      </c>
      <c r="D84" s="5" t="s">
        <v>62</v>
      </c>
      <c r="E84" s="3" t="s">
        <v>136</v>
      </c>
      <c r="F84" s="3" t="s">
        <v>2094</v>
      </c>
    </row>
    <row r="85" spans="1:6" x14ac:dyDescent="0.25">
      <c r="A85" s="3" t="str">
        <f t="shared" si="1"/>
        <v>q3ROW5_hidden</v>
      </c>
      <c r="C85" s="3" t="s">
        <v>137</v>
      </c>
      <c r="D85" s="5" t="s">
        <v>62</v>
      </c>
      <c r="E85" s="8" t="s">
        <v>138</v>
      </c>
      <c r="F85" s="3" t="s">
        <v>2095</v>
      </c>
    </row>
    <row r="86" spans="1:6" x14ac:dyDescent="0.25">
      <c r="A86" s="3" t="str">
        <f t="shared" si="1"/>
        <v>q36_1</v>
      </c>
      <c r="C86" s="3" t="s">
        <v>139</v>
      </c>
      <c r="D86" s="5" t="s">
        <v>62</v>
      </c>
      <c r="E86" s="3" t="s">
        <v>140</v>
      </c>
      <c r="F86" s="3" t="s">
        <v>2096</v>
      </c>
    </row>
    <row r="87" spans="1:6" x14ac:dyDescent="0.25">
      <c r="A87" s="3" t="str">
        <f t="shared" si="1"/>
        <v>q36_2</v>
      </c>
      <c r="C87" s="3" t="s">
        <v>141</v>
      </c>
      <c r="D87" s="5" t="s">
        <v>62</v>
      </c>
      <c r="E87" s="3" t="s">
        <v>142</v>
      </c>
      <c r="F87" s="3" t="s">
        <v>2097</v>
      </c>
    </row>
    <row r="88" spans="1:6" x14ac:dyDescent="0.25">
      <c r="A88" s="3" t="str">
        <f t="shared" si="1"/>
        <v>q36_3</v>
      </c>
      <c r="C88" s="3" t="s">
        <v>143</v>
      </c>
      <c r="D88" s="5" t="s">
        <v>62</v>
      </c>
      <c r="E88" s="3" t="s">
        <v>144</v>
      </c>
      <c r="F88" s="3" t="s">
        <v>2098</v>
      </c>
    </row>
    <row r="89" spans="1:6" x14ac:dyDescent="0.25">
      <c r="A89" s="3" t="str">
        <f t="shared" si="1"/>
        <v>q36_4</v>
      </c>
      <c r="C89" s="3" t="s">
        <v>145</v>
      </c>
      <c r="D89" s="5" t="s">
        <v>62</v>
      </c>
      <c r="E89" s="3" t="s">
        <v>146</v>
      </c>
      <c r="F89" s="3" t="s">
        <v>2099</v>
      </c>
    </row>
    <row r="90" spans="1:6" x14ac:dyDescent="0.25">
      <c r="A90" s="3" t="str">
        <f t="shared" si="1"/>
        <v>q36_5</v>
      </c>
      <c r="C90" s="3" t="s">
        <v>147</v>
      </c>
      <c r="D90" s="5" t="s">
        <v>62</v>
      </c>
      <c r="E90" s="3" t="s">
        <v>148</v>
      </c>
      <c r="F90" s="3" t="s">
        <v>2100</v>
      </c>
    </row>
    <row r="91" spans="1:6" x14ac:dyDescent="0.25">
      <c r="A91" s="3" t="str">
        <f t="shared" si="1"/>
        <v>q36_6</v>
      </c>
      <c r="C91" s="3" t="s">
        <v>149</v>
      </c>
      <c r="D91" s="5" t="s">
        <v>62</v>
      </c>
      <c r="E91" s="3" t="s">
        <v>150</v>
      </c>
      <c r="F91" s="3" t="s">
        <v>2101</v>
      </c>
    </row>
    <row r="92" spans="1:6" x14ac:dyDescent="0.25">
      <c r="A92" s="3" t="str">
        <f t="shared" si="1"/>
        <v>q3ROW6_hidden</v>
      </c>
      <c r="C92" s="3" t="s">
        <v>151</v>
      </c>
      <c r="D92" s="5" t="s">
        <v>62</v>
      </c>
      <c r="E92" s="8" t="s">
        <v>152</v>
      </c>
      <c r="F92" s="3" t="s">
        <v>2102</v>
      </c>
    </row>
    <row r="93" spans="1:6" x14ac:dyDescent="0.25">
      <c r="A93" s="3" t="str">
        <f t="shared" si="1"/>
        <v>q3COL1_hidden</v>
      </c>
      <c r="C93" s="3" t="s">
        <v>153</v>
      </c>
      <c r="D93" s="5" t="s">
        <v>62</v>
      </c>
      <c r="E93" s="8" t="s">
        <v>154</v>
      </c>
      <c r="F93" s="3" t="s">
        <v>2103</v>
      </c>
    </row>
    <row r="94" spans="1:6" x14ac:dyDescent="0.25">
      <c r="A94" s="3" t="str">
        <f t="shared" si="1"/>
        <v>q3COL2_hidden</v>
      </c>
      <c r="C94" s="3" t="s">
        <v>155</v>
      </c>
      <c r="D94" s="5" t="s">
        <v>62</v>
      </c>
      <c r="E94" s="8" t="s">
        <v>156</v>
      </c>
      <c r="F94" s="3" t="s">
        <v>2104</v>
      </c>
    </row>
    <row r="95" spans="1:6" x14ac:dyDescent="0.25">
      <c r="A95" s="3" t="str">
        <f t="shared" si="1"/>
        <v>q3COL3_hidden</v>
      </c>
      <c r="C95" s="3" t="s">
        <v>157</v>
      </c>
      <c r="D95" s="5" t="s">
        <v>62</v>
      </c>
      <c r="E95" s="8" t="s">
        <v>158</v>
      </c>
      <c r="F95" s="3" t="s">
        <v>2105</v>
      </c>
    </row>
    <row r="96" spans="1:6" x14ac:dyDescent="0.25">
      <c r="A96" s="3" t="str">
        <f t="shared" si="1"/>
        <v>q3COL4_hidden</v>
      </c>
      <c r="C96" s="3" t="s">
        <v>159</v>
      </c>
      <c r="D96" s="5" t="s">
        <v>62</v>
      </c>
      <c r="E96" s="8" t="s">
        <v>160</v>
      </c>
      <c r="F96" s="3" t="s">
        <v>2106</v>
      </c>
    </row>
    <row r="97" spans="1:6" x14ac:dyDescent="0.25">
      <c r="A97" s="3" t="str">
        <f t="shared" si="1"/>
        <v>q3COL5_hidden</v>
      </c>
      <c r="C97" s="3" t="s">
        <v>161</v>
      </c>
      <c r="D97" s="5" t="s">
        <v>62</v>
      </c>
      <c r="E97" s="8" t="s">
        <v>162</v>
      </c>
      <c r="F97" s="3" t="s">
        <v>2107</v>
      </c>
    </row>
    <row r="98" spans="1:6" x14ac:dyDescent="0.25">
      <c r="A98" s="3" t="str">
        <f t="shared" si="1"/>
        <v>q3COL6_hidden</v>
      </c>
      <c r="C98" s="3" t="s">
        <v>163</v>
      </c>
      <c r="D98" s="5" t="s">
        <v>62</v>
      </c>
      <c r="E98" s="8" t="s">
        <v>164</v>
      </c>
      <c r="F98" s="3" t="s">
        <v>2108</v>
      </c>
    </row>
    <row r="99" spans="1:6" x14ac:dyDescent="0.25">
      <c r="A99" s="3" t="str">
        <f t="shared" si="1"/>
        <v>q3GRANDTotal_hidden</v>
      </c>
      <c r="C99" s="3" t="s">
        <v>165</v>
      </c>
      <c r="D99" s="5" t="s">
        <v>62</v>
      </c>
      <c r="E99" s="8" t="s">
        <v>2962</v>
      </c>
      <c r="F99" s="3" t="s">
        <v>2109</v>
      </c>
    </row>
    <row r="100" spans="1:6" s="6" customFormat="1" x14ac:dyDescent="0.25">
      <c r="A100" s="3" t="str">
        <f t="shared" si="1"/>
        <v/>
      </c>
      <c r="D100" s="7"/>
      <c r="E100" s="6" t="s">
        <v>2946</v>
      </c>
      <c r="F100" s="3">
        <v>7</v>
      </c>
    </row>
    <row r="101" spans="1:6" x14ac:dyDescent="0.25">
      <c r="A101" s="3" t="str">
        <f t="shared" si="1"/>
        <v>q41_1</v>
      </c>
      <c r="C101" s="3" t="s">
        <v>166</v>
      </c>
      <c r="D101" s="5" t="s">
        <v>167</v>
      </c>
      <c r="E101" s="3" t="s">
        <v>70</v>
      </c>
      <c r="F101" s="3" t="s">
        <v>2110</v>
      </c>
    </row>
    <row r="102" spans="1:6" x14ac:dyDescent="0.25">
      <c r="A102" s="3" t="str">
        <f t="shared" si="1"/>
        <v>q41_2</v>
      </c>
      <c r="C102" s="3" t="s">
        <v>168</v>
      </c>
      <c r="D102" s="5" t="s">
        <v>167</v>
      </c>
      <c r="E102" s="3" t="s">
        <v>72</v>
      </c>
      <c r="F102" s="3" t="s">
        <v>2111</v>
      </c>
    </row>
    <row r="103" spans="1:6" x14ac:dyDescent="0.25">
      <c r="A103" s="3" t="str">
        <f t="shared" si="1"/>
        <v>q41_3</v>
      </c>
      <c r="C103" s="3" t="s">
        <v>169</v>
      </c>
      <c r="D103" s="5" t="s">
        <v>167</v>
      </c>
      <c r="E103" s="3" t="s">
        <v>74</v>
      </c>
      <c r="F103" s="3" t="s">
        <v>2112</v>
      </c>
    </row>
    <row r="104" spans="1:6" x14ac:dyDescent="0.25">
      <c r="A104" s="3" t="str">
        <f t="shared" si="1"/>
        <v>q41_4</v>
      </c>
      <c r="C104" s="3" t="s">
        <v>170</v>
      </c>
      <c r="D104" s="5" t="s">
        <v>167</v>
      </c>
      <c r="E104" s="3" t="s">
        <v>76</v>
      </c>
      <c r="F104" s="3" t="s">
        <v>2113</v>
      </c>
    </row>
    <row r="105" spans="1:6" x14ac:dyDescent="0.25">
      <c r="A105" s="3" t="str">
        <f t="shared" si="1"/>
        <v>q41_5</v>
      </c>
      <c r="C105" s="3" t="s">
        <v>171</v>
      </c>
      <c r="D105" s="5" t="s">
        <v>167</v>
      </c>
      <c r="E105" s="3" t="s">
        <v>78</v>
      </c>
      <c r="F105" s="3" t="s">
        <v>2114</v>
      </c>
    </row>
    <row r="106" spans="1:6" x14ac:dyDescent="0.25">
      <c r="A106" s="3" t="str">
        <f t="shared" si="1"/>
        <v>q41_6</v>
      </c>
      <c r="C106" s="3" t="s">
        <v>172</v>
      </c>
      <c r="D106" s="5" t="s">
        <v>167</v>
      </c>
      <c r="E106" s="3" t="s">
        <v>80</v>
      </c>
      <c r="F106" s="3" t="s">
        <v>2115</v>
      </c>
    </row>
    <row r="107" spans="1:6" x14ac:dyDescent="0.25">
      <c r="A107" s="3" t="str">
        <f t="shared" si="1"/>
        <v>q4ROW1_hidden</v>
      </c>
      <c r="C107" s="3" t="s">
        <v>173</v>
      </c>
      <c r="D107" s="5" t="s">
        <v>167</v>
      </c>
      <c r="E107" s="8" t="s">
        <v>82</v>
      </c>
      <c r="F107" s="3" t="s">
        <v>2116</v>
      </c>
    </row>
    <row r="108" spans="1:6" x14ac:dyDescent="0.25">
      <c r="A108" s="3" t="str">
        <f t="shared" si="1"/>
        <v>q42_1</v>
      </c>
      <c r="C108" s="3" t="s">
        <v>174</v>
      </c>
      <c r="D108" s="5" t="s">
        <v>167</v>
      </c>
      <c r="E108" s="3" t="s">
        <v>84</v>
      </c>
      <c r="F108" s="3" t="s">
        <v>2117</v>
      </c>
    </row>
    <row r="109" spans="1:6" x14ac:dyDescent="0.25">
      <c r="A109" s="3" t="str">
        <f t="shared" si="1"/>
        <v>q42_2</v>
      </c>
      <c r="C109" s="3" t="s">
        <v>175</v>
      </c>
      <c r="D109" s="5" t="s">
        <v>167</v>
      </c>
      <c r="E109" s="3" t="s">
        <v>86</v>
      </c>
      <c r="F109" s="3" t="s">
        <v>2118</v>
      </c>
    </row>
    <row r="110" spans="1:6" x14ac:dyDescent="0.25">
      <c r="A110" s="3" t="str">
        <f t="shared" si="1"/>
        <v>q42_3</v>
      </c>
      <c r="C110" s="3" t="s">
        <v>176</v>
      </c>
      <c r="D110" s="5" t="s">
        <v>167</v>
      </c>
      <c r="E110" s="3" t="s">
        <v>88</v>
      </c>
      <c r="F110" s="3" t="s">
        <v>2119</v>
      </c>
    </row>
    <row r="111" spans="1:6" x14ac:dyDescent="0.25">
      <c r="A111" s="3" t="str">
        <f t="shared" si="1"/>
        <v>q42_4</v>
      </c>
      <c r="C111" s="3" t="s">
        <v>177</v>
      </c>
      <c r="D111" s="5" t="s">
        <v>167</v>
      </c>
      <c r="E111" s="3" t="s">
        <v>90</v>
      </c>
      <c r="F111" s="3" t="s">
        <v>2120</v>
      </c>
    </row>
    <row r="112" spans="1:6" x14ac:dyDescent="0.25">
      <c r="A112" s="3" t="str">
        <f t="shared" si="1"/>
        <v>q42_5</v>
      </c>
      <c r="C112" s="3" t="s">
        <v>178</v>
      </c>
      <c r="D112" s="5" t="s">
        <v>167</v>
      </c>
      <c r="E112" s="3" t="s">
        <v>92</v>
      </c>
      <c r="F112" s="3" t="s">
        <v>2121</v>
      </c>
    </row>
    <row r="113" spans="1:6" x14ac:dyDescent="0.25">
      <c r="A113" s="3" t="str">
        <f t="shared" si="1"/>
        <v>q42_6</v>
      </c>
      <c r="C113" s="3" t="s">
        <v>179</v>
      </c>
      <c r="D113" s="5" t="s">
        <v>167</v>
      </c>
      <c r="E113" s="3" t="s">
        <v>94</v>
      </c>
      <c r="F113" s="3" t="s">
        <v>2122</v>
      </c>
    </row>
    <row r="114" spans="1:6" x14ac:dyDescent="0.25">
      <c r="A114" s="3" t="str">
        <f t="shared" si="1"/>
        <v>q4ROW2_hidden</v>
      </c>
      <c r="C114" s="3" t="s">
        <v>180</v>
      </c>
      <c r="D114" s="5" t="s">
        <v>167</v>
      </c>
      <c r="E114" s="8" t="s">
        <v>96</v>
      </c>
      <c r="F114" s="3" t="s">
        <v>2123</v>
      </c>
    </row>
    <row r="115" spans="1:6" x14ac:dyDescent="0.25">
      <c r="A115" s="3" t="str">
        <f t="shared" si="1"/>
        <v>q43_1</v>
      </c>
      <c r="C115" s="3" t="s">
        <v>181</v>
      </c>
      <c r="D115" s="5" t="s">
        <v>167</v>
      </c>
      <c r="E115" s="3" t="s">
        <v>98</v>
      </c>
      <c r="F115" s="3" t="s">
        <v>2124</v>
      </c>
    </row>
    <row r="116" spans="1:6" x14ac:dyDescent="0.25">
      <c r="A116" s="3" t="str">
        <f t="shared" si="1"/>
        <v>q43_2</v>
      </c>
      <c r="C116" s="3" t="s">
        <v>182</v>
      </c>
      <c r="D116" s="5" t="s">
        <v>167</v>
      </c>
      <c r="E116" s="3" t="s">
        <v>100</v>
      </c>
      <c r="F116" s="3" t="s">
        <v>2125</v>
      </c>
    </row>
    <row r="117" spans="1:6" x14ac:dyDescent="0.25">
      <c r="A117" s="3" t="str">
        <f t="shared" si="1"/>
        <v>q43_3</v>
      </c>
      <c r="C117" s="3" t="s">
        <v>183</v>
      </c>
      <c r="D117" s="5" t="s">
        <v>167</v>
      </c>
      <c r="E117" s="3" t="s">
        <v>102</v>
      </c>
      <c r="F117" s="3" t="s">
        <v>2126</v>
      </c>
    </row>
    <row r="118" spans="1:6" x14ac:dyDescent="0.25">
      <c r="A118" s="3" t="str">
        <f t="shared" si="1"/>
        <v>q43_4</v>
      </c>
      <c r="C118" s="3" t="s">
        <v>184</v>
      </c>
      <c r="D118" s="5" t="s">
        <v>167</v>
      </c>
      <c r="E118" s="3" t="s">
        <v>104</v>
      </c>
      <c r="F118" s="3" t="s">
        <v>2127</v>
      </c>
    </row>
    <row r="119" spans="1:6" x14ac:dyDescent="0.25">
      <c r="A119" s="3" t="str">
        <f t="shared" si="1"/>
        <v>q43_5</v>
      </c>
      <c r="C119" s="3" t="s">
        <v>185</v>
      </c>
      <c r="D119" s="5" t="s">
        <v>167</v>
      </c>
      <c r="E119" s="3" t="s">
        <v>106</v>
      </c>
      <c r="F119" s="3" t="s">
        <v>2128</v>
      </c>
    </row>
    <row r="120" spans="1:6" x14ac:dyDescent="0.25">
      <c r="A120" s="3" t="str">
        <f t="shared" si="1"/>
        <v>q43_6</v>
      </c>
      <c r="C120" s="3" t="s">
        <v>186</v>
      </c>
      <c r="D120" s="5" t="s">
        <v>167</v>
      </c>
      <c r="E120" s="3" t="s">
        <v>108</v>
      </c>
      <c r="F120" s="3" t="s">
        <v>2129</v>
      </c>
    </row>
    <row r="121" spans="1:6" x14ac:dyDescent="0.25">
      <c r="A121" s="3" t="str">
        <f t="shared" si="1"/>
        <v>q4ROW3_hidden</v>
      </c>
      <c r="C121" s="3" t="s">
        <v>187</v>
      </c>
      <c r="D121" s="5" t="s">
        <v>167</v>
      </c>
      <c r="E121" s="8" t="s">
        <v>110</v>
      </c>
      <c r="F121" s="3" t="s">
        <v>2130</v>
      </c>
    </row>
    <row r="122" spans="1:6" x14ac:dyDescent="0.25">
      <c r="A122" s="3" t="str">
        <f t="shared" si="1"/>
        <v>q44_1</v>
      </c>
      <c r="C122" s="3" t="s">
        <v>188</v>
      </c>
      <c r="D122" s="5" t="s">
        <v>167</v>
      </c>
      <c r="E122" s="3" t="s">
        <v>112</v>
      </c>
      <c r="F122" s="3" t="s">
        <v>2131</v>
      </c>
    </row>
    <row r="123" spans="1:6" x14ac:dyDescent="0.25">
      <c r="A123" s="3" t="str">
        <f t="shared" si="1"/>
        <v>q44_2</v>
      </c>
      <c r="C123" s="3" t="s">
        <v>189</v>
      </c>
      <c r="D123" s="5" t="s">
        <v>167</v>
      </c>
      <c r="E123" s="3" t="s">
        <v>114</v>
      </c>
      <c r="F123" s="3" t="s">
        <v>2132</v>
      </c>
    </row>
    <row r="124" spans="1:6" x14ac:dyDescent="0.25">
      <c r="A124" s="3" t="str">
        <f t="shared" si="1"/>
        <v>q44_3</v>
      </c>
      <c r="C124" s="3" t="s">
        <v>190</v>
      </c>
      <c r="D124" s="5" t="s">
        <v>167</v>
      </c>
      <c r="E124" s="3" t="s">
        <v>116</v>
      </c>
      <c r="F124" s="3" t="s">
        <v>2133</v>
      </c>
    </row>
    <row r="125" spans="1:6" x14ac:dyDescent="0.25">
      <c r="A125" s="3" t="str">
        <f t="shared" si="1"/>
        <v>q44_4</v>
      </c>
      <c r="C125" s="3" t="s">
        <v>191</v>
      </c>
      <c r="D125" s="5" t="s">
        <v>167</v>
      </c>
      <c r="E125" s="3" t="s">
        <v>118</v>
      </c>
      <c r="F125" s="3" t="s">
        <v>2134</v>
      </c>
    </row>
    <row r="126" spans="1:6" x14ac:dyDescent="0.25">
      <c r="A126" s="3" t="str">
        <f t="shared" si="1"/>
        <v>q44_5</v>
      </c>
      <c r="C126" s="3" t="s">
        <v>192</v>
      </c>
      <c r="D126" s="5" t="s">
        <v>167</v>
      </c>
      <c r="E126" s="3" t="s">
        <v>120</v>
      </c>
      <c r="F126" s="3" t="s">
        <v>2135</v>
      </c>
    </row>
    <row r="127" spans="1:6" x14ac:dyDescent="0.25">
      <c r="A127" s="3" t="str">
        <f t="shared" si="1"/>
        <v>q44_6</v>
      </c>
      <c r="C127" s="3" t="s">
        <v>193</v>
      </c>
      <c r="D127" s="5" t="s">
        <v>167</v>
      </c>
      <c r="E127" s="3" t="s">
        <v>122</v>
      </c>
      <c r="F127" s="3" t="s">
        <v>2136</v>
      </c>
    </row>
    <row r="128" spans="1:6" x14ac:dyDescent="0.25">
      <c r="A128" s="3" t="str">
        <f t="shared" si="1"/>
        <v>q4ROW4_hidden</v>
      </c>
      <c r="C128" s="3" t="s">
        <v>194</v>
      </c>
      <c r="D128" s="5" t="s">
        <v>167</v>
      </c>
      <c r="E128" s="8" t="s">
        <v>124</v>
      </c>
      <c r="F128" s="3" t="s">
        <v>2137</v>
      </c>
    </row>
    <row r="129" spans="1:6" x14ac:dyDescent="0.25">
      <c r="A129" s="3" t="str">
        <f t="shared" si="1"/>
        <v>q45_1</v>
      </c>
      <c r="C129" s="3" t="s">
        <v>195</v>
      </c>
      <c r="D129" s="5" t="s">
        <v>167</v>
      </c>
      <c r="E129" s="3" t="s">
        <v>126</v>
      </c>
      <c r="F129" s="3" t="s">
        <v>2138</v>
      </c>
    </row>
    <row r="130" spans="1:6" x14ac:dyDescent="0.25">
      <c r="A130" s="3" t="str">
        <f t="shared" si="1"/>
        <v>q45_2</v>
      </c>
      <c r="C130" s="3" t="s">
        <v>196</v>
      </c>
      <c r="D130" s="5" t="s">
        <v>167</v>
      </c>
      <c r="E130" s="3" t="s">
        <v>128</v>
      </c>
      <c r="F130" s="3" t="s">
        <v>2139</v>
      </c>
    </row>
    <row r="131" spans="1:6" x14ac:dyDescent="0.25">
      <c r="A131" s="3" t="str">
        <f t="shared" ref="A131:A194" si="2">_xlfn.CONCAT(C131,B131)</f>
        <v>q45_3</v>
      </c>
      <c r="C131" s="3" t="s">
        <v>197</v>
      </c>
      <c r="D131" s="5" t="s">
        <v>167</v>
      </c>
      <c r="E131" s="3" t="s">
        <v>130</v>
      </c>
      <c r="F131" s="3" t="s">
        <v>2140</v>
      </c>
    </row>
    <row r="132" spans="1:6" x14ac:dyDescent="0.25">
      <c r="A132" s="3" t="str">
        <f t="shared" si="2"/>
        <v>q45_4</v>
      </c>
      <c r="C132" s="3" t="s">
        <v>198</v>
      </c>
      <c r="D132" s="5" t="s">
        <v>167</v>
      </c>
      <c r="E132" s="3" t="s">
        <v>132</v>
      </c>
      <c r="F132" s="3" t="s">
        <v>2141</v>
      </c>
    </row>
    <row r="133" spans="1:6" x14ac:dyDescent="0.25">
      <c r="A133" s="3" t="str">
        <f t="shared" si="2"/>
        <v>q45_5</v>
      </c>
      <c r="C133" s="3" t="s">
        <v>199</v>
      </c>
      <c r="D133" s="5" t="s">
        <v>167</v>
      </c>
      <c r="E133" s="3" t="s">
        <v>134</v>
      </c>
      <c r="F133" s="3" t="s">
        <v>2142</v>
      </c>
    </row>
    <row r="134" spans="1:6" x14ac:dyDescent="0.25">
      <c r="A134" s="3" t="str">
        <f t="shared" si="2"/>
        <v>q45_6</v>
      </c>
      <c r="C134" s="3" t="s">
        <v>200</v>
      </c>
      <c r="D134" s="5" t="s">
        <v>167</v>
      </c>
      <c r="E134" s="3" t="s">
        <v>136</v>
      </c>
      <c r="F134" s="3" t="s">
        <v>2143</v>
      </c>
    </row>
    <row r="135" spans="1:6" x14ac:dyDescent="0.25">
      <c r="A135" s="3" t="str">
        <f t="shared" si="2"/>
        <v>q4ROW5_hidden</v>
      </c>
      <c r="C135" s="3" t="s">
        <v>201</v>
      </c>
      <c r="D135" s="5" t="s">
        <v>167</v>
      </c>
      <c r="E135" s="8" t="s">
        <v>138</v>
      </c>
      <c r="F135" s="3" t="s">
        <v>2144</v>
      </c>
    </row>
    <row r="136" spans="1:6" x14ac:dyDescent="0.25">
      <c r="A136" s="3" t="str">
        <f t="shared" si="2"/>
        <v>q46_1</v>
      </c>
      <c r="C136" s="3" t="s">
        <v>202</v>
      </c>
      <c r="D136" s="5" t="s">
        <v>167</v>
      </c>
      <c r="E136" s="3" t="s">
        <v>140</v>
      </c>
      <c r="F136" s="3" t="s">
        <v>2145</v>
      </c>
    </row>
    <row r="137" spans="1:6" x14ac:dyDescent="0.25">
      <c r="A137" s="3" t="str">
        <f t="shared" si="2"/>
        <v>q46_2</v>
      </c>
      <c r="C137" s="3" t="s">
        <v>203</v>
      </c>
      <c r="D137" s="5" t="s">
        <v>167</v>
      </c>
      <c r="E137" s="3" t="s">
        <v>142</v>
      </c>
      <c r="F137" s="3" t="s">
        <v>2146</v>
      </c>
    </row>
    <row r="138" spans="1:6" x14ac:dyDescent="0.25">
      <c r="A138" s="3" t="str">
        <f t="shared" si="2"/>
        <v>q46_3</v>
      </c>
      <c r="C138" s="3" t="s">
        <v>204</v>
      </c>
      <c r="D138" s="5" t="s">
        <v>167</v>
      </c>
      <c r="E138" s="3" t="s">
        <v>144</v>
      </c>
      <c r="F138" s="3" t="s">
        <v>2147</v>
      </c>
    </row>
    <row r="139" spans="1:6" x14ac:dyDescent="0.25">
      <c r="A139" s="3" t="str">
        <f t="shared" si="2"/>
        <v>q46_4</v>
      </c>
      <c r="C139" s="3" t="s">
        <v>205</v>
      </c>
      <c r="D139" s="5" t="s">
        <v>167</v>
      </c>
      <c r="E139" s="3" t="s">
        <v>146</v>
      </c>
      <c r="F139" s="3" t="s">
        <v>2148</v>
      </c>
    </row>
    <row r="140" spans="1:6" x14ac:dyDescent="0.25">
      <c r="A140" s="3" t="str">
        <f t="shared" si="2"/>
        <v>q46_5</v>
      </c>
      <c r="C140" s="3" t="s">
        <v>206</v>
      </c>
      <c r="D140" s="5" t="s">
        <v>167</v>
      </c>
      <c r="E140" s="3" t="s">
        <v>148</v>
      </c>
      <c r="F140" s="3" t="s">
        <v>2149</v>
      </c>
    </row>
    <row r="141" spans="1:6" x14ac:dyDescent="0.25">
      <c r="A141" s="3" t="str">
        <f t="shared" si="2"/>
        <v>q46_6</v>
      </c>
      <c r="C141" s="3" t="s">
        <v>207</v>
      </c>
      <c r="D141" s="5" t="s">
        <v>167</v>
      </c>
      <c r="E141" s="3" t="s">
        <v>150</v>
      </c>
      <c r="F141" s="3" t="s">
        <v>2150</v>
      </c>
    </row>
    <row r="142" spans="1:6" x14ac:dyDescent="0.25">
      <c r="A142" s="3" t="str">
        <f t="shared" si="2"/>
        <v>q4ROW6_hidden</v>
      </c>
      <c r="C142" s="3" t="s">
        <v>208</v>
      </c>
      <c r="D142" s="5" t="s">
        <v>167</v>
      </c>
      <c r="E142" s="8" t="s">
        <v>152</v>
      </c>
      <c r="F142" s="3" t="s">
        <v>2151</v>
      </c>
    </row>
    <row r="143" spans="1:6" x14ac:dyDescent="0.25">
      <c r="A143" s="3" t="str">
        <f t="shared" si="2"/>
        <v>q4COL1_hidden</v>
      </c>
      <c r="C143" s="3" t="s">
        <v>209</v>
      </c>
      <c r="D143" s="5" t="s">
        <v>167</v>
      </c>
      <c r="E143" s="8" t="s">
        <v>154</v>
      </c>
      <c r="F143" s="3" t="s">
        <v>2152</v>
      </c>
    </row>
    <row r="144" spans="1:6" x14ac:dyDescent="0.25">
      <c r="A144" s="3" t="str">
        <f t="shared" si="2"/>
        <v>q4COL2_hidden</v>
      </c>
      <c r="C144" s="3" t="s">
        <v>210</v>
      </c>
      <c r="D144" s="5" t="s">
        <v>167</v>
      </c>
      <c r="E144" s="8" t="s">
        <v>156</v>
      </c>
      <c r="F144" s="3" t="s">
        <v>2153</v>
      </c>
    </row>
    <row r="145" spans="1:6" x14ac:dyDescent="0.25">
      <c r="A145" s="3" t="str">
        <f t="shared" si="2"/>
        <v>q4COL3_hidden</v>
      </c>
      <c r="C145" s="3" t="s">
        <v>211</v>
      </c>
      <c r="D145" s="5" t="s">
        <v>167</v>
      </c>
      <c r="E145" s="8" t="s">
        <v>158</v>
      </c>
      <c r="F145" s="3" t="s">
        <v>2154</v>
      </c>
    </row>
    <row r="146" spans="1:6" x14ac:dyDescent="0.25">
      <c r="A146" s="3" t="str">
        <f t="shared" si="2"/>
        <v>q4COL4_hidden</v>
      </c>
      <c r="C146" s="3" t="s">
        <v>212</v>
      </c>
      <c r="D146" s="5" t="s">
        <v>167</v>
      </c>
      <c r="E146" s="8" t="s">
        <v>160</v>
      </c>
      <c r="F146" s="3" t="s">
        <v>2155</v>
      </c>
    </row>
    <row r="147" spans="1:6" x14ac:dyDescent="0.25">
      <c r="A147" s="3" t="str">
        <f t="shared" si="2"/>
        <v>q4COL5_hidden</v>
      </c>
      <c r="C147" s="3" t="s">
        <v>213</v>
      </c>
      <c r="D147" s="5" t="s">
        <v>167</v>
      </c>
      <c r="E147" s="8" t="s">
        <v>162</v>
      </c>
      <c r="F147" s="3" t="s">
        <v>2156</v>
      </c>
    </row>
    <row r="148" spans="1:6" x14ac:dyDescent="0.25">
      <c r="A148" s="3" t="str">
        <f t="shared" si="2"/>
        <v>q4COL6_hidden</v>
      </c>
      <c r="C148" s="3" t="s">
        <v>214</v>
      </c>
      <c r="D148" s="5" t="s">
        <v>167</v>
      </c>
      <c r="E148" s="8" t="s">
        <v>164</v>
      </c>
      <c r="F148" s="3" t="s">
        <v>2157</v>
      </c>
    </row>
    <row r="149" spans="1:6" x14ac:dyDescent="0.25">
      <c r="A149" s="3" t="str">
        <f t="shared" si="2"/>
        <v>q4GRANDTotal_hidden</v>
      </c>
      <c r="C149" s="3" t="s">
        <v>215</v>
      </c>
      <c r="D149" s="5" t="s">
        <v>167</v>
      </c>
      <c r="E149" s="8" t="s">
        <v>2964</v>
      </c>
      <c r="F149" s="3" t="s">
        <v>2158</v>
      </c>
    </row>
    <row r="150" spans="1:6" x14ac:dyDescent="0.25">
      <c r="A150" s="3" t="str">
        <f t="shared" si="2"/>
        <v>Alert41_1</v>
      </c>
      <c r="C150" s="3" t="s">
        <v>216</v>
      </c>
      <c r="D150" s="4" t="s">
        <v>27</v>
      </c>
      <c r="E150" s="3" t="s">
        <v>217</v>
      </c>
      <c r="F150" s="3" t="s">
        <v>2159</v>
      </c>
    </row>
    <row r="151" spans="1:6" x14ac:dyDescent="0.25">
      <c r="A151" s="3" t="str">
        <f t="shared" si="2"/>
        <v>Alert41_2</v>
      </c>
      <c r="C151" s="3" t="s">
        <v>218</v>
      </c>
      <c r="D151" s="4" t="s">
        <v>27</v>
      </c>
      <c r="E151" s="3" t="s">
        <v>217</v>
      </c>
      <c r="F151" s="3" t="s">
        <v>2160</v>
      </c>
    </row>
    <row r="152" spans="1:6" x14ac:dyDescent="0.25">
      <c r="A152" s="3" t="str">
        <f t="shared" si="2"/>
        <v>Alert41_3</v>
      </c>
      <c r="C152" s="3" t="s">
        <v>219</v>
      </c>
      <c r="D152" s="4" t="s">
        <v>27</v>
      </c>
      <c r="E152" s="3" t="s">
        <v>217</v>
      </c>
      <c r="F152" s="3" t="s">
        <v>2161</v>
      </c>
    </row>
    <row r="153" spans="1:6" x14ac:dyDescent="0.25">
      <c r="A153" s="3" t="str">
        <f t="shared" si="2"/>
        <v>Alert41_4</v>
      </c>
      <c r="C153" s="3" t="s">
        <v>220</v>
      </c>
      <c r="D153" s="4" t="s">
        <v>27</v>
      </c>
      <c r="E153" s="3" t="s">
        <v>217</v>
      </c>
      <c r="F153" s="3" t="s">
        <v>2162</v>
      </c>
    </row>
    <row r="154" spans="1:6" x14ac:dyDescent="0.25">
      <c r="A154" s="3" t="str">
        <f t="shared" si="2"/>
        <v>Alert41_5</v>
      </c>
      <c r="C154" s="3" t="s">
        <v>221</v>
      </c>
      <c r="D154" s="4" t="s">
        <v>27</v>
      </c>
      <c r="E154" s="3" t="s">
        <v>217</v>
      </c>
      <c r="F154" s="3" t="s">
        <v>2163</v>
      </c>
    </row>
    <row r="155" spans="1:6" x14ac:dyDescent="0.25">
      <c r="A155" s="3" t="str">
        <f t="shared" si="2"/>
        <v>Alert41_6</v>
      </c>
      <c r="C155" s="3" t="s">
        <v>222</v>
      </c>
      <c r="D155" s="4" t="s">
        <v>27</v>
      </c>
      <c r="E155" s="3" t="s">
        <v>217</v>
      </c>
      <c r="F155" s="3" t="s">
        <v>2164</v>
      </c>
    </row>
    <row r="156" spans="1:6" x14ac:dyDescent="0.25">
      <c r="A156" s="3" t="str">
        <f t="shared" si="2"/>
        <v>Alert42_1</v>
      </c>
      <c r="C156" s="3" t="s">
        <v>223</v>
      </c>
      <c r="D156" s="4" t="s">
        <v>27</v>
      </c>
      <c r="E156" s="3" t="s">
        <v>217</v>
      </c>
      <c r="F156" s="3" t="s">
        <v>2165</v>
      </c>
    </row>
    <row r="157" spans="1:6" x14ac:dyDescent="0.25">
      <c r="A157" s="3" t="str">
        <f t="shared" si="2"/>
        <v>Alert42_2</v>
      </c>
      <c r="C157" s="3" t="s">
        <v>224</v>
      </c>
      <c r="D157" s="4" t="s">
        <v>27</v>
      </c>
      <c r="E157" s="3" t="s">
        <v>217</v>
      </c>
      <c r="F157" s="3" t="s">
        <v>2166</v>
      </c>
    </row>
    <row r="158" spans="1:6" x14ac:dyDescent="0.25">
      <c r="A158" s="3" t="str">
        <f t="shared" si="2"/>
        <v>Alert42_3</v>
      </c>
      <c r="C158" s="3" t="s">
        <v>225</v>
      </c>
      <c r="D158" s="4" t="s">
        <v>27</v>
      </c>
      <c r="E158" s="3" t="s">
        <v>217</v>
      </c>
      <c r="F158" s="3" t="s">
        <v>2167</v>
      </c>
    </row>
    <row r="159" spans="1:6" x14ac:dyDescent="0.25">
      <c r="A159" s="3" t="str">
        <f t="shared" si="2"/>
        <v>Alert42_4</v>
      </c>
      <c r="C159" s="3" t="s">
        <v>226</v>
      </c>
      <c r="D159" s="4" t="s">
        <v>27</v>
      </c>
      <c r="E159" s="3" t="s">
        <v>217</v>
      </c>
      <c r="F159" s="3" t="s">
        <v>2168</v>
      </c>
    </row>
    <row r="160" spans="1:6" x14ac:dyDescent="0.25">
      <c r="A160" s="3" t="str">
        <f t="shared" si="2"/>
        <v>Alert42_5</v>
      </c>
      <c r="C160" s="3" t="s">
        <v>227</v>
      </c>
      <c r="D160" s="4" t="s">
        <v>27</v>
      </c>
      <c r="E160" s="3" t="s">
        <v>217</v>
      </c>
      <c r="F160" s="3" t="s">
        <v>2169</v>
      </c>
    </row>
    <row r="161" spans="1:6" x14ac:dyDescent="0.25">
      <c r="A161" s="3" t="str">
        <f t="shared" si="2"/>
        <v>Alert42_6</v>
      </c>
      <c r="C161" s="3" t="s">
        <v>228</v>
      </c>
      <c r="D161" s="4" t="s">
        <v>27</v>
      </c>
      <c r="E161" s="3" t="s">
        <v>217</v>
      </c>
      <c r="F161" s="3" t="s">
        <v>2170</v>
      </c>
    </row>
    <row r="162" spans="1:6" x14ac:dyDescent="0.25">
      <c r="A162" s="3" t="str">
        <f t="shared" si="2"/>
        <v>Alert43_1</v>
      </c>
      <c r="C162" s="3" t="s">
        <v>229</v>
      </c>
      <c r="D162" s="4" t="s">
        <v>27</v>
      </c>
      <c r="E162" s="3" t="s">
        <v>217</v>
      </c>
      <c r="F162" s="3" t="s">
        <v>2171</v>
      </c>
    </row>
    <row r="163" spans="1:6" x14ac:dyDescent="0.25">
      <c r="A163" s="3" t="str">
        <f t="shared" si="2"/>
        <v>Alert43_2</v>
      </c>
      <c r="C163" s="3" t="s">
        <v>230</v>
      </c>
      <c r="D163" s="4" t="s">
        <v>27</v>
      </c>
      <c r="E163" s="3" t="s">
        <v>217</v>
      </c>
      <c r="F163" s="3" t="s">
        <v>2172</v>
      </c>
    </row>
    <row r="164" spans="1:6" x14ac:dyDescent="0.25">
      <c r="A164" s="3" t="str">
        <f t="shared" si="2"/>
        <v>Alert43_3</v>
      </c>
      <c r="C164" s="3" t="s">
        <v>231</v>
      </c>
      <c r="D164" s="4" t="s">
        <v>27</v>
      </c>
      <c r="E164" s="3" t="s">
        <v>217</v>
      </c>
      <c r="F164" s="3" t="s">
        <v>2173</v>
      </c>
    </row>
    <row r="165" spans="1:6" x14ac:dyDescent="0.25">
      <c r="A165" s="3" t="str">
        <f t="shared" si="2"/>
        <v>Alert43_4</v>
      </c>
      <c r="C165" s="3" t="s">
        <v>232</v>
      </c>
      <c r="D165" s="4" t="s">
        <v>27</v>
      </c>
      <c r="E165" s="3" t="s">
        <v>217</v>
      </c>
      <c r="F165" s="3" t="s">
        <v>2174</v>
      </c>
    </row>
    <row r="166" spans="1:6" x14ac:dyDescent="0.25">
      <c r="A166" s="3" t="str">
        <f t="shared" si="2"/>
        <v>Alert43_5</v>
      </c>
      <c r="C166" s="3" t="s">
        <v>233</v>
      </c>
      <c r="D166" s="4" t="s">
        <v>27</v>
      </c>
      <c r="E166" s="3" t="s">
        <v>217</v>
      </c>
      <c r="F166" s="3" t="s">
        <v>2175</v>
      </c>
    </row>
    <row r="167" spans="1:6" x14ac:dyDescent="0.25">
      <c r="A167" s="3" t="str">
        <f t="shared" si="2"/>
        <v>Alert43_6</v>
      </c>
      <c r="C167" s="3" t="s">
        <v>234</v>
      </c>
      <c r="D167" s="4" t="s">
        <v>27</v>
      </c>
      <c r="E167" s="3" t="s">
        <v>217</v>
      </c>
      <c r="F167" s="3" t="s">
        <v>2176</v>
      </c>
    </row>
    <row r="168" spans="1:6" x14ac:dyDescent="0.25">
      <c r="A168" s="3" t="str">
        <f t="shared" si="2"/>
        <v>Alert44_1</v>
      </c>
      <c r="C168" s="3" t="s">
        <v>235</v>
      </c>
      <c r="D168" s="4" t="s">
        <v>27</v>
      </c>
      <c r="E168" s="3" t="s">
        <v>217</v>
      </c>
      <c r="F168" s="3" t="s">
        <v>2177</v>
      </c>
    </row>
    <row r="169" spans="1:6" x14ac:dyDescent="0.25">
      <c r="A169" s="3" t="str">
        <f t="shared" si="2"/>
        <v>Alert44_2</v>
      </c>
      <c r="C169" s="3" t="s">
        <v>236</v>
      </c>
      <c r="D169" s="4" t="s">
        <v>27</v>
      </c>
      <c r="E169" s="3" t="s">
        <v>217</v>
      </c>
      <c r="F169" s="3" t="s">
        <v>2178</v>
      </c>
    </row>
    <row r="170" spans="1:6" x14ac:dyDescent="0.25">
      <c r="A170" s="3" t="str">
        <f t="shared" si="2"/>
        <v>Alert44_3</v>
      </c>
      <c r="C170" s="3" t="s">
        <v>237</v>
      </c>
      <c r="D170" s="4" t="s">
        <v>27</v>
      </c>
      <c r="E170" s="3" t="s">
        <v>217</v>
      </c>
      <c r="F170" s="3" t="s">
        <v>2179</v>
      </c>
    </row>
    <row r="171" spans="1:6" x14ac:dyDescent="0.25">
      <c r="A171" s="3" t="str">
        <f t="shared" si="2"/>
        <v>Alert44_4</v>
      </c>
      <c r="C171" s="3" t="s">
        <v>238</v>
      </c>
      <c r="D171" s="4" t="s">
        <v>27</v>
      </c>
      <c r="E171" s="3" t="s">
        <v>217</v>
      </c>
      <c r="F171" s="3" t="s">
        <v>2180</v>
      </c>
    </row>
    <row r="172" spans="1:6" x14ac:dyDescent="0.25">
      <c r="A172" s="3" t="str">
        <f t="shared" si="2"/>
        <v>Alert44_5</v>
      </c>
      <c r="C172" s="3" t="s">
        <v>239</v>
      </c>
      <c r="D172" s="4" t="s">
        <v>27</v>
      </c>
      <c r="E172" s="3" t="s">
        <v>217</v>
      </c>
      <c r="F172" s="3" t="s">
        <v>2181</v>
      </c>
    </row>
    <row r="173" spans="1:6" x14ac:dyDescent="0.25">
      <c r="A173" s="3" t="str">
        <f t="shared" si="2"/>
        <v>Alert44_6</v>
      </c>
      <c r="C173" s="3" t="s">
        <v>240</v>
      </c>
      <c r="D173" s="4" t="s">
        <v>27</v>
      </c>
      <c r="E173" s="3" t="s">
        <v>217</v>
      </c>
      <c r="F173" s="3" t="s">
        <v>2182</v>
      </c>
    </row>
    <row r="174" spans="1:6" x14ac:dyDescent="0.25">
      <c r="A174" s="3" t="str">
        <f t="shared" si="2"/>
        <v>Alert45_1</v>
      </c>
      <c r="C174" s="3" t="s">
        <v>241</v>
      </c>
      <c r="D174" s="4" t="s">
        <v>27</v>
      </c>
      <c r="E174" s="3" t="s">
        <v>217</v>
      </c>
      <c r="F174" s="3" t="s">
        <v>2183</v>
      </c>
    </row>
    <row r="175" spans="1:6" x14ac:dyDescent="0.25">
      <c r="A175" s="3" t="str">
        <f t="shared" si="2"/>
        <v>Alert45_2</v>
      </c>
      <c r="C175" s="3" t="s">
        <v>242</v>
      </c>
      <c r="D175" s="4" t="s">
        <v>27</v>
      </c>
      <c r="E175" s="3" t="s">
        <v>217</v>
      </c>
      <c r="F175" s="3" t="s">
        <v>2184</v>
      </c>
    </row>
    <row r="176" spans="1:6" x14ac:dyDescent="0.25">
      <c r="A176" s="3" t="str">
        <f t="shared" si="2"/>
        <v>Alert45_3</v>
      </c>
      <c r="C176" s="3" t="s">
        <v>243</v>
      </c>
      <c r="D176" s="4" t="s">
        <v>27</v>
      </c>
      <c r="E176" s="3" t="s">
        <v>217</v>
      </c>
      <c r="F176" s="3" t="s">
        <v>2185</v>
      </c>
    </row>
    <row r="177" spans="1:6" x14ac:dyDescent="0.25">
      <c r="A177" s="3" t="str">
        <f t="shared" si="2"/>
        <v>Alert45_4</v>
      </c>
      <c r="C177" s="3" t="s">
        <v>244</v>
      </c>
      <c r="D177" s="4" t="s">
        <v>27</v>
      </c>
      <c r="E177" s="3" t="s">
        <v>217</v>
      </c>
      <c r="F177" s="3" t="s">
        <v>2186</v>
      </c>
    </row>
    <row r="178" spans="1:6" x14ac:dyDescent="0.25">
      <c r="A178" s="3" t="str">
        <f t="shared" si="2"/>
        <v>Alert45_5</v>
      </c>
      <c r="C178" s="3" t="s">
        <v>245</v>
      </c>
      <c r="D178" s="4" t="s">
        <v>27</v>
      </c>
      <c r="E178" s="3" t="s">
        <v>217</v>
      </c>
      <c r="F178" s="3" t="s">
        <v>2187</v>
      </c>
    </row>
    <row r="179" spans="1:6" x14ac:dyDescent="0.25">
      <c r="A179" s="3" t="str">
        <f t="shared" si="2"/>
        <v>Alert45_6</v>
      </c>
      <c r="C179" s="3" t="s">
        <v>246</v>
      </c>
      <c r="D179" s="4" t="s">
        <v>27</v>
      </c>
      <c r="E179" s="3" t="s">
        <v>217</v>
      </c>
      <c r="F179" s="3" t="s">
        <v>2188</v>
      </c>
    </row>
    <row r="180" spans="1:6" x14ac:dyDescent="0.25">
      <c r="A180" s="3" t="str">
        <f t="shared" si="2"/>
        <v>Alert46_1</v>
      </c>
      <c r="C180" s="3" t="s">
        <v>247</v>
      </c>
      <c r="D180" s="4" t="s">
        <v>27</v>
      </c>
      <c r="E180" s="3" t="s">
        <v>217</v>
      </c>
      <c r="F180" s="3" t="s">
        <v>2189</v>
      </c>
    </row>
    <row r="181" spans="1:6" x14ac:dyDescent="0.25">
      <c r="A181" s="3" t="str">
        <f t="shared" si="2"/>
        <v>Alert46_2</v>
      </c>
      <c r="C181" s="3" t="s">
        <v>248</v>
      </c>
      <c r="D181" s="4" t="s">
        <v>27</v>
      </c>
      <c r="E181" s="3" t="s">
        <v>217</v>
      </c>
      <c r="F181" s="3" t="s">
        <v>2190</v>
      </c>
    </row>
    <row r="182" spans="1:6" x14ac:dyDescent="0.25">
      <c r="A182" s="3" t="str">
        <f t="shared" si="2"/>
        <v>Alert46_3</v>
      </c>
      <c r="C182" s="3" t="s">
        <v>249</v>
      </c>
      <c r="D182" s="4" t="s">
        <v>27</v>
      </c>
      <c r="E182" s="3" t="s">
        <v>217</v>
      </c>
      <c r="F182" s="3" t="s">
        <v>2191</v>
      </c>
    </row>
    <row r="183" spans="1:6" x14ac:dyDescent="0.25">
      <c r="A183" s="3" t="str">
        <f t="shared" si="2"/>
        <v>Alert46_4</v>
      </c>
      <c r="C183" s="3" t="s">
        <v>250</v>
      </c>
      <c r="D183" s="4" t="s">
        <v>27</v>
      </c>
      <c r="E183" s="3" t="s">
        <v>217</v>
      </c>
      <c r="F183" s="3" t="s">
        <v>2192</v>
      </c>
    </row>
    <row r="184" spans="1:6" x14ac:dyDescent="0.25">
      <c r="A184" s="3" t="str">
        <f t="shared" si="2"/>
        <v>Alert46_5</v>
      </c>
      <c r="C184" s="3" t="s">
        <v>251</v>
      </c>
      <c r="D184" s="4" t="s">
        <v>27</v>
      </c>
      <c r="E184" s="3" t="s">
        <v>217</v>
      </c>
      <c r="F184" s="3" t="s">
        <v>2193</v>
      </c>
    </row>
    <row r="185" spans="1:6" x14ac:dyDescent="0.25">
      <c r="A185" s="3" t="str">
        <f t="shared" si="2"/>
        <v>Alert46_6</v>
      </c>
      <c r="C185" s="3" t="s">
        <v>252</v>
      </c>
      <c r="D185" s="4" t="s">
        <v>27</v>
      </c>
      <c r="E185" s="3" t="s">
        <v>217</v>
      </c>
      <c r="F185" s="3" t="s">
        <v>2194</v>
      </c>
    </row>
    <row r="186" spans="1:6" s="6" customFormat="1" x14ac:dyDescent="0.25">
      <c r="A186" s="3" t="str">
        <f t="shared" si="2"/>
        <v/>
      </c>
      <c r="D186" s="7"/>
      <c r="E186" s="6" t="s">
        <v>2947</v>
      </c>
      <c r="F186" s="3">
        <v>8</v>
      </c>
    </row>
    <row r="187" spans="1:6" x14ac:dyDescent="0.25">
      <c r="A187" s="3" t="str">
        <f t="shared" si="2"/>
        <v>q51_1</v>
      </c>
      <c r="C187" s="3" t="s">
        <v>253</v>
      </c>
      <c r="D187" s="5" t="s">
        <v>62</v>
      </c>
      <c r="E187" s="3" t="s">
        <v>254</v>
      </c>
      <c r="F187" s="3" t="s">
        <v>2195</v>
      </c>
    </row>
    <row r="188" spans="1:6" x14ac:dyDescent="0.25">
      <c r="A188" s="3" t="str">
        <f t="shared" si="2"/>
        <v>q51_2</v>
      </c>
      <c r="C188" s="3" t="s">
        <v>255</v>
      </c>
      <c r="D188" s="5" t="s">
        <v>62</v>
      </c>
      <c r="E188" s="3" t="s">
        <v>256</v>
      </c>
      <c r="F188" s="3" t="s">
        <v>2196</v>
      </c>
    </row>
    <row r="189" spans="1:6" x14ac:dyDescent="0.25">
      <c r="A189" s="3" t="str">
        <f t="shared" si="2"/>
        <v>q51_3</v>
      </c>
      <c r="C189" s="3" t="s">
        <v>257</v>
      </c>
      <c r="D189" s="5" t="s">
        <v>62</v>
      </c>
      <c r="E189" s="3" t="s">
        <v>258</v>
      </c>
      <c r="F189" s="3" t="s">
        <v>2197</v>
      </c>
    </row>
    <row r="190" spans="1:6" x14ac:dyDescent="0.25">
      <c r="A190" s="3" t="str">
        <f t="shared" si="2"/>
        <v>q51_4</v>
      </c>
      <c r="C190" s="3" t="s">
        <v>259</v>
      </c>
      <c r="D190" s="5" t="s">
        <v>62</v>
      </c>
      <c r="E190" s="3" t="s">
        <v>260</v>
      </c>
      <c r="F190" s="3" t="s">
        <v>2198</v>
      </c>
    </row>
    <row r="191" spans="1:6" x14ac:dyDescent="0.25">
      <c r="A191" s="3" t="str">
        <f t="shared" si="2"/>
        <v>q51_5</v>
      </c>
      <c r="C191" s="3" t="s">
        <v>261</v>
      </c>
      <c r="D191" s="5" t="s">
        <v>62</v>
      </c>
      <c r="E191" s="3" t="s">
        <v>262</v>
      </c>
      <c r="F191" s="3" t="s">
        <v>2199</v>
      </c>
    </row>
    <row r="192" spans="1:6" x14ac:dyDescent="0.25">
      <c r="A192" s="3" t="str">
        <f t="shared" si="2"/>
        <v>q51_6</v>
      </c>
      <c r="C192" s="3" t="s">
        <v>263</v>
      </c>
      <c r="D192" s="5" t="s">
        <v>62</v>
      </c>
      <c r="E192" s="3" t="s">
        <v>264</v>
      </c>
      <c r="F192" s="3" t="s">
        <v>2200</v>
      </c>
    </row>
    <row r="193" spans="1:6" x14ac:dyDescent="0.25">
      <c r="A193" s="3" t="str">
        <f t="shared" si="2"/>
        <v>q5ROW1_hidden</v>
      </c>
      <c r="C193" s="3" t="s">
        <v>265</v>
      </c>
      <c r="D193" s="5" t="s">
        <v>62</v>
      </c>
      <c r="E193" s="8" t="s">
        <v>266</v>
      </c>
      <c r="F193" s="3" t="s">
        <v>2201</v>
      </c>
    </row>
    <row r="194" spans="1:6" x14ac:dyDescent="0.25">
      <c r="A194" s="3" t="str">
        <f t="shared" si="2"/>
        <v>q52_1</v>
      </c>
      <c r="C194" s="3" t="s">
        <v>267</v>
      </c>
      <c r="D194" s="5" t="s">
        <v>62</v>
      </c>
      <c r="E194" s="3" t="s">
        <v>268</v>
      </c>
      <c r="F194" s="3" t="s">
        <v>2202</v>
      </c>
    </row>
    <row r="195" spans="1:6" x14ac:dyDescent="0.25">
      <c r="A195" s="3" t="str">
        <f t="shared" ref="A195:A258" si="3">_xlfn.CONCAT(C195,B195)</f>
        <v>q52_2</v>
      </c>
      <c r="C195" s="3" t="s">
        <v>269</v>
      </c>
      <c r="D195" s="5" t="s">
        <v>62</v>
      </c>
      <c r="E195" s="3" t="s">
        <v>270</v>
      </c>
      <c r="F195" s="3" t="s">
        <v>2203</v>
      </c>
    </row>
    <row r="196" spans="1:6" x14ac:dyDescent="0.25">
      <c r="A196" s="3" t="str">
        <f t="shared" si="3"/>
        <v>q52_3</v>
      </c>
      <c r="C196" s="3" t="s">
        <v>271</v>
      </c>
      <c r="D196" s="5" t="s">
        <v>62</v>
      </c>
      <c r="E196" s="3" t="s">
        <v>272</v>
      </c>
      <c r="F196" s="3" t="s">
        <v>2204</v>
      </c>
    </row>
    <row r="197" spans="1:6" x14ac:dyDescent="0.25">
      <c r="A197" s="3" t="str">
        <f t="shared" si="3"/>
        <v>q52_4</v>
      </c>
      <c r="C197" s="3" t="s">
        <v>273</v>
      </c>
      <c r="D197" s="5" t="s">
        <v>62</v>
      </c>
      <c r="E197" s="3" t="s">
        <v>274</v>
      </c>
      <c r="F197" s="3" t="s">
        <v>2205</v>
      </c>
    </row>
    <row r="198" spans="1:6" x14ac:dyDescent="0.25">
      <c r="A198" s="3" t="str">
        <f t="shared" si="3"/>
        <v>q52_5</v>
      </c>
      <c r="C198" s="3" t="s">
        <v>275</v>
      </c>
      <c r="D198" s="5" t="s">
        <v>62</v>
      </c>
      <c r="E198" s="3" t="s">
        <v>276</v>
      </c>
      <c r="F198" s="3" t="s">
        <v>2206</v>
      </c>
    </row>
    <row r="199" spans="1:6" x14ac:dyDescent="0.25">
      <c r="A199" s="3" t="str">
        <f t="shared" si="3"/>
        <v>q52_6</v>
      </c>
      <c r="C199" s="3" t="s">
        <v>277</v>
      </c>
      <c r="D199" s="5" t="s">
        <v>62</v>
      </c>
      <c r="E199" s="3" t="s">
        <v>278</v>
      </c>
      <c r="F199" s="3" t="s">
        <v>2207</v>
      </c>
    </row>
    <row r="200" spans="1:6" x14ac:dyDescent="0.25">
      <c r="A200" s="3" t="str">
        <f t="shared" si="3"/>
        <v>q5ROW2_hidden</v>
      </c>
      <c r="C200" s="3" t="s">
        <v>279</v>
      </c>
      <c r="D200" s="5" t="s">
        <v>62</v>
      </c>
      <c r="E200" s="8" t="s">
        <v>280</v>
      </c>
      <c r="F200" s="3" t="s">
        <v>2208</v>
      </c>
    </row>
    <row r="201" spans="1:6" x14ac:dyDescent="0.25">
      <c r="A201" s="3" t="str">
        <f t="shared" si="3"/>
        <v>q53_1</v>
      </c>
      <c r="C201" s="3" t="s">
        <v>281</v>
      </c>
      <c r="D201" s="5" t="s">
        <v>62</v>
      </c>
      <c r="E201" s="3" t="s">
        <v>282</v>
      </c>
      <c r="F201" s="3" t="s">
        <v>2209</v>
      </c>
    </row>
    <row r="202" spans="1:6" x14ac:dyDescent="0.25">
      <c r="A202" s="3" t="str">
        <f t="shared" si="3"/>
        <v>q53_2</v>
      </c>
      <c r="C202" s="3" t="s">
        <v>283</v>
      </c>
      <c r="D202" s="5" t="s">
        <v>62</v>
      </c>
      <c r="E202" s="3" t="s">
        <v>284</v>
      </c>
      <c r="F202" s="3" t="s">
        <v>2210</v>
      </c>
    </row>
    <row r="203" spans="1:6" x14ac:dyDescent="0.25">
      <c r="A203" s="3" t="str">
        <f t="shared" si="3"/>
        <v>q53_3</v>
      </c>
      <c r="C203" s="3" t="s">
        <v>285</v>
      </c>
      <c r="D203" s="5" t="s">
        <v>62</v>
      </c>
      <c r="E203" s="3" t="s">
        <v>286</v>
      </c>
      <c r="F203" s="3" t="s">
        <v>2211</v>
      </c>
    </row>
    <row r="204" spans="1:6" x14ac:dyDescent="0.25">
      <c r="A204" s="3" t="str">
        <f t="shared" si="3"/>
        <v>q53_4</v>
      </c>
      <c r="C204" s="3" t="s">
        <v>287</v>
      </c>
      <c r="D204" s="5" t="s">
        <v>62</v>
      </c>
      <c r="E204" s="3" t="s">
        <v>288</v>
      </c>
      <c r="F204" s="3" t="s">
        <v>2212</v>
      </c>
    </row>
    <row r="205" spans="1:6" x14ac:dyDescent="0.25">
      <c r="A205" s="3" t="str">
        <f t="shared" si="3"/>
        <v>q53_5</v>
      </c>
      <c r="C205" s="3" t="s">
        <v>289</v>
      </c>
      <c r="D205" s="5" t="s">
        <v>62</v>
      </c>
      <c r="E205" s="3" t="s">
        <v>290</v>
      </c>
      <c r="F205" s="3" t="s">
        <v>2213</v>
      </c>
    </row>
    <row r="206" spans="1:6" x14ac:dyDescent="0.25">
      <c r="A206" s="3" t="str">
        <f t="shared" si="3"/>
        <v>q53_6</v>
      </c>
      <c r="C206" s="3" t="s">
        <v>291</v>
      </c>
      <c r="D206" s="5" t="s">
        <v>62</v>
      </c>
      <c r="E206" s="3" t="s">
        <v>292</v>
      </c>
      <c r="F206" s="3" t="s">
        <v>2214</v>
      </c>
    </row>
    <row r="207" spans="1:6" x14ac:dyDescent="0.25">
      <c r="A207" s="3" t="str">
        <f t="shared" si="3"/>
        <v>q5ROW3_hidden</v>
      </c>
      <c r="C207" s="3" t="s">
        <v>293</v>
      </c>
      <c r="D207" s="5" t="s">
        <v>62</v>
      </c>
      <c r="E207" s="8" t="s">
        <v>294</v>
      </c>
      <c r="F207" s="3" t="s">
        <v>2215</v>
      </c>
    </row>
    <row r="208" spans="1:6" x14ac:dyDescent="0.25">
      <c r="A208" s="3" t="str">
        <f t="shared" si="3"/>
        <v>q54_1</v>
      </c>
      <c r="C208" s="3" t="s">
        <v>295</v>
      </c>
      <c r="D208" s="5" t="s">
        <v>62</v>
      </c>
      <c r="E208" s="3" t="s">
        <v>296</v>
      </c>
      <c r="F208" s="3" t="s">
        <v>2216</v>
      </c>
    </row>
    <row r="209" spans="1:6" x14ac:dyDescent="0.25">
      <c r="A209" s="3" t="str">
        <f t="shared" si="3"/>
        <v>q54_2</v>
      </c>
      <c r="C209" s="3" t="s">
        <v>297</v>
      </c>
      <c r="D209" s="5" t="s">
        <v>62</v>
      </c>
      <c r="E209" s="3" t="s">
        <v>298</v>
      </c>
      <c r="F209" s="3" t="s">
        <v>2217</v>
      </c>
    </row>
    <row r="210" spans="1:6" x14ac:dyDescent="0.25">
      <c r="A210" s="3" t="str">
        <f t="shared" si="3"/>
        <v>q54_3</v>
      </c>
      <c r="C210" s="3" t="s">
        <v>299</v>
      </c>
      <c r="D210" s="5" t="s">
        <v>62</v>
      </c>
      <c r="E210" s="3" t="s">
        <v>300</v>
      </c>
      <c r="F210" s="3" t="s">
        <v>2218</v>
      </c>
    </row>
    <row r="211" spans="1:6" x14ac:dyDescent="0.25">
      <c r="A211" s="3" t="str">
        <f t="shared" si="3"/>
        <v>q54_4</v>
      </c>
      <c r="C211" s="3" t="s">
        <v>301</v>
      </c>
      <c r="D211" s="5" t="s">
        <v>62</v>
      </c>
      <c r="E211" s="3" t="s">
        <v>302</v>
      </c>
      <c r="F211" s="3" t="s">
        <v>2219</v>
      </c>
    </row>
    <row r="212" spans="1:6" x14ac:dyDescent="0.25">
      <c r="A212" s="3" t="str">
        <f t="shared" si="3"/>
        <v>q54_5</v>
      </c>
      <c r="C212" s="3" t="s">
        <v>303</v>
      </c>
      <c r="D212" s="5" t="s">
        <v>62</v>
      </c>
      <c r="E212" s="3" t="s">
        <v>304</v>
      </c>
      <c r="F212" s="3" t="s">
        <v>2220</v>
      </c>
    </row>
    <row r="213" spans="1:6" x14ac:dyDescent="0.25">
      <c r="A213" s="3" t="str">
        <f t="shared" si="3"/>
        <v>q54_6</v>
      </c>
      <c r="C213" s="3" t="s">
        <v>305</v>
      </c>
      <c r="D213" s="5" t="s">
        <v>62</v>
      </c>
      <c r="E213" s="3" t="s">
        <v>306</v>
      </c>
      <c r="F213" s="3" t="s">
        <v>2221</v>
      </c>
    </row>
    <row r="214" spans="1:6" x14ac:dyDescent="0.25">
      <c r="A214" s="3" t="str">
        <f t="shared" si="3"/>
        <v>q5ROW4_hidden</v>
      </c>
      <c r="C214" s="3" t="s">
        <v>307</v>
      </c>
      <c r="D214" s="5" t="s">
        <v>62</v>
      </c>
      <c r="E214" s="8" t="s">
        <v>308</v>
      </c>
      <c r="F214" s="3" t="s">
        <v>2222</v>
      </c>
    </row>
    <row r="215" spans="1:6" x14ac:dyDescent="0.25">
      <c r="A215" s="3" t="str">
        <f t="shared" si="3"/>
        <v>q55_1</v>
      </c>
      <c r="C215" s="3" t="s">
        <v>309</v>
      </c>
      <c r="D215" s="5" t="s">
        <v>62</v>
      </c>
      <c r="E215" s="3" t="s">
        <v>310</v>
      </c>
      <c r="F215" s="3" t="s">
        <v>2223</v>
      </c>
    </row>
    <row r="216" spans="1:6" x14ac:dyDescent="0.25">
      <c r="A216" s="3" t="str">
        <f t="shared" si="3"/>
        <v>q55_2</v>
      </c>
      <c r="C216" s="3" t="s">
        <v>311</v>
      </c>
      <c r="D216" s="5" t="s">
        <v>62</v>
      </c>
      <c r="E216" s="3" t="s">
        <v>312</v>
      </c>
      <c r="F216" s="3" t="s">
        <v>2224</v>
      </c>
    </row>
    <row r="217" spans="1:6" x14ac:dyDescent="0.25">
      <c r="A217" s="3" t="str">
        <f t="shared" si="3"/>
        <v>q55_3</v>
      </c>
      <c r="C217" s="3" t="s">
        <v>313</v>
      </c>
      <c r="D217" s="5" t="s">
        <v>62</v>
      </c>
      <c r="E217" s="3" t="s">
        <v>314</v>
      </c>
      <c r="F217" s="3" t="s">
        <v>2225</v>
      </c>
    </row>
    <row r="218" spans="1:6" x14ac:dyDescent="0.25">
      <c r="A218" s="3" t="str">
        <f t="shared" si="3"/>
        <v>q55_4</v>
      </c>
      <c r="C218" s="3" t="s">
        <v>315</v>
      </c>
      <c r="D218" s="5" t="s">
        <v>62</v>
      </c>
      <c r="E218" s="3" t="s">
        <v>316</v>
      </c>
      <c r="F218" s="3" t="s">
        <v>2226</v>
      </c>
    </row>
    <row r="219" spans="1:6" x14ac:dyDescent="0.25">
      <c r="A219" s="3" t="str">
        <f t="shared" si="3"/>
        <v>q55_5</v>
      </c>
      <c r="C219" s="3" t="s">
        <v>317</v>
      </c>
      <c r="D219" s="5" t="s">
        <v>62</v>
      </c>
      <c r="E219" s="3" t="s">
        <v>318</v>
      </c>
      <c r="F219" s="3" t="s">
        <v>2227</v>
      </c>
    </row>
    <row r="220" spans="1:6" x14ac:dyDescent="0.25">
      <c r="A220" s="3" t="str">
        <f t="shared" si="3"/>
        <v>q55_6</v>
      </c>
      <c r="C220" s="3" t="s">
        <v>319</v>
      </c>
      <c r="D220" s="5" t="s">
        <v>62</v>
      </c>
      <c r="E220" s="3" t="s">
        <v>320</v>
      </c>
      <c r="F220" s="3" t="s">
        <v>2228</v>
      </c>
    </row>
    <row r="221" spans="1:6" x14ac:dyDescent="0.25">
      <c r="A221" s="3" t="str">
        <f t="shared" si="3"/>
        <v>q5ROW5_hidden</v>
      </c>
      <c r="C221" s="3" t="s">
        <v>321</v>
      </c>
      <c r="D221" s="5" t="s">
        <v>62</v>
      </c>
      <c r="E221" s="8" t="s">
        <v>322</v>
      </c>
      <c r="F221" s="3" t="s">
        <v>2229</v>
      </c>
    </row>
    <row r="222" spans="1:6" x14ac:dyDescent="0.25">
      <c r="A222" s="3" t="str">
        <f t="shared" si="3"/>
        <v>q56_1</v>
      </c>
      <c r="C222" s="3" t="s">
        <v>323</v>
      </c>
      <c r="D222" s="5" t="s">
        <v>62</v>
      </c>
      <c r="E222" s="3" t="s">
        <v>324</v>
      </c>
      <c r="F222" s="3" t="s">
        <v>2230</v>
      </c>
    </row>
    <row r="223" spans="1:6" x14ac:dyDescent="0.25">
      <c r="A223" s="3" t="str">
        <f t="shared" si="3"/>
        <v>q56_2</v>
      </c>
      <c r="C223" s="3" t="s">
        <v>325</v>
      </c>
      <c r="D223" s="5" t="s">
        <v>62</v>
      </c>
      <c r="E223" s="3" t="s">
        <v>326</v>
      </c>
      <c r="F223" s="3" t="s">
        <v>2231</v>
      </c>
    </row>
    <row r="224" spans="1:6" x14ac:dyDescent="0.25">
      <c r="A224" s="3" t="str">
        <f t="shared" si="3"/>
        <v>q56_3</v>
      </c>
      <c r="C224" s="3" t="s">
        <v>327</v>
      </c>
      <c r="D224" s="5" t="s">
        <v>62</v>
      </c>
      <c r="E224" s="3" t="s">
        <v>328</v>
      </c>
      <c r="F224" s="3" t="s">
        <v>2232</v>
      </c>
    </row>
    <row r="225" spans="1:6" x14ac:dyDescent="0.25">
      <c r="A225" s="3" t="str">
        <f t="shared" si="3"/>
        <v>q56_4</v>
      </c>
      <c r="C225" s="3" t="s">
        <v>329</v>
      </c>
      <c r="D225" s="5" t="s">
        <v>62</v>
      </c>
      <c r="E225" s="3" t="s">
        <v>330</v>
      </c>
      <c r="F225" s="3" t="s">
        <v>2233</v>
      </c>
    </row>
    <row r="226" spans="1:6" x14ac:dyDescent="0.25">
      <c r="A226" s="3" t="str">
        <f t="shared" si="3"/>
        <v>q56_5</v>
      </c>
      <c r="C226" s="3" t="s">
        <v>331</v>
      </c>
      <c r="D226" s="5" t="s">
        <v>62</v>
      </c>
      <c r="E226" s="3" t="s">
        <v>332</v>
      </c>
      <c r="F226" s="3" t="s">
        <v>2234</v>
      </c>
    </row>
    <row r="227" spans="1:6" x14ac:dyDescent="0.25">
      <c r="A227" s="3" t="str">
        <f t="shared" si="3"/>
        <v>q56_6</v>
      </c>
      <c r="C227" s="3" t="s">
        <v>333</v>
      </c>
      <c r="D227" s="5" t="s">
        <v>62</v>
      </c>
      <c r="E227" s="3" t="s">
        <v>334</v>
      </c>
      <c r="F227" s="3" t="s">
        <v>2235</v>
      </c>
    </row>
    <row r="228" spans="1:6" x14ac:dyDescent="0.25">
      <c r="A228" s="3" t="str">
        <f t="shared" si="3"/>
        <v>q5ROW6_hidden</v>
      </c>
      <c r="C228" s="3" t="s">
        <v>335</v>
      </c>
      <c r="D228" s="5" t="s">
        <v>62</v>
      </c>
      <c r="E228" s="8" t="s">
        <v>162</v>
      </c>
      <c r="F228" s="3" t="s">
        <v>2236</v>
      </c>
    </row>
    <row r="229" spans="1:6" x14ac:dyDescent="0.25">
      <c r="A229" s="3" t="str">
        <f t="shared" si="3"/>
        <v>q57_1</v>
      </c>
      <c r="C229" s="3" t="s">
        <v>336</v>
      </c>
      <c r="D229" s="5" t="s">
        <v>62</v>
      </c>
      <c r="E229" s="3" t="s">
        <v>337</v>
      </c>
      <c r="F229" s="3" t="s">
        <v>2237</v>
      </c>
    </row>
    <row r="230" spans="1:6" x14ac:dyDescent="0.25">
      <c r="A230" s="3" t="str">
        <f t="shared" si="3"/>
        <v>q57_2</v>
      </c>
      <c r="C230" s="3" t="s">
        <v>338</v>
      </c>
      <c r="D230" s="5" t="s">
        <v>62</v>
      </c>
      <c r="E230" s="3" t="s">
        <v>339</v>
      </c>
      <c r="F230" s="3" t="s">
        <v>2238</v>
      </c>
    </row>
    <row r="231" spans="1:6" x14ac:dyDescent="0.25">
      <c r="A231" s="3" t="str">
        <f t="shared" si="3"/>
        <v>q57_3</v>
      </c>
      <c r="C231" s="3" t="s">
        <v>340</v>
      </c>
      <c r="D231" s="5" t="s">
        <v>62</v>
      </c>
      <c r="E231" s="3" t="s">
        <v>341</v>
      </c>
      <c r="F231" s="3" t="s">
        <v>2239</v>
      </c>
    </row>
    <row r="232" spans="1:6" x14ac:dyDescent="0.25">
      <c r="A232" s="3" t="str">
        <f t="shared" si="3"/>
        <v>q57_4</v>
      </c>
      <c r="C232" s="3" t="s">
        <v>342</v>
      </c>
      <c r="D232" s="5" t="s">
        <v>62</v>
      </c>
      <c r="E232" s="3" t="s">
        <v>343</v>
      </c>
      <c r="F232" s="3" t="s">
        <v>2240</v>
      </c>
    </row>
    <row r="233" spans="1:6" x14ac:dyDescent="0.25">
      <c r="A233" s="3" t="str">
        <f t="shared" si="3"/>
        <v>q57_5</v>
      </c>
      <c r="C233" s="3" t="s">
        <v>344</v>
      </c>
      <c r="D233" s="5" t="s">
        <v>62</v>
      </c>
      <c r="E233" s="3" t="s">
        <v>345</v>
      </c>
      <c r="F233" s="3" t="s">
        <v>2241</v>
      </c>
    </row>
    <row r="234" spans="1:6" x14ac:dyDescent="0.25">
      <c r="A234" s="3" t="str">
        <f t="shared" si="3"/>
        <v>q57_6</v>
      </c>
      <c r="C234" s="3" t="s">
        <v>346</v>
      </c>
      <c r="D234" s="5" t="s">
        <v>62</v>
      </c>
      <c r="E234" s="3" t="s">
        <v>347</v>
      </c>
      <c r="F234" s="3" t="s">
        <v>2242</v>
      </c>
    </row>
    <row r="235" spans="1:6" x14ac:dyDescent="0.25">
      <c r="A235" s="3" t="str">
        <f t="shared" si="3"/>
        <v>q5ROW7_hidden</v>
      </c>
      <c r="C235" s="3" t="s">
        <v>348</v>
      </c>
      <c r="D235" s="5" t="s">
        <v>62</v>
      </c>
      <c r="E235" s="8" t="s">
        <v>349</v>
      </c>
      <c r="F235" s="3" t="s">
        <v>2243</v>
      </c>
    </row>
    <row r="236" spans="1:6" x14ac:dyDescent="0.25">
      <c r="A236" s="3" t="str">
        <f t="shared" si="3"/>
        <v>q5other</v>
      </c>
      <c r="C236" s="3" t="s">
        <v>350</v>
      </c>
      <c r="D236" s="5" t="s">
        <v>38</v>
      </c>
      <c r="E236" s="3" t="s">
        <v>351</v>
      </c>
      <c r="F236" s="3" t="s">
        <v>2244</v>
      </c>
    </row>
    <row r="237" spans="1:6" x14ac:dyDescent="0.25">
      <c r="A237" s="3" t="str">
        <f t="shared" si="3"/>
        <v>q58_1</v>
      </c>
      <c r="C237" s="3" t="s">
        <v>352</v>
      </c>
      <c r="D237" s="5" t="s">
        <v>62</v>
      </c>
      <c r="E237" s="3" t="s">
        <v>353</v>
      </c>
      <c r="F237" s="3" t="s">
        <v>2245</v>
      </c>
    </row>
    <row r="238" spans="1:6" x14ac:dyDescent="0.25">
      <c r="A238" s="3" t="str">
        <f t="shared" si="3"/>
        <v>q58_2</v>
      </c>
      <c r="C238" s="3" t="s">
        <v>354</v>
      </c>
      <c r="D238" s="5" t="s">
        <v>62</v>
      </c>
      <c r="E238" s="3" t="s">
        <v>355</v>
      </c>
      <c r="F238" s="3" t="s">
        <v>2246</v>
      </c>
    </row>
    <row r="239" spans="1:6" x14ac:dyDescent="0.25">
      <c r="A239" s="3" t="str">
        <f t="shared" si="3"/>
        <v>q58_3</v>
      </c>
      <c r="C239" s="3" t="s">
        <v>356</v>
      </c>
      <c r="D239" s="5" t="s">
        <v>62</v>
      </c>
      <c r="E239" s="3" t="s">
        <v>357</v>
      </c>
      <c r="F239" s="3" t="s">
        <v>2247</v>
      </c>
    </row>
    <row r="240" spans="1:6" x14ac:dyDescent="0.25">
      <c r="A240" s="3" t="str">
        <f t="shared" si="3"/>
        <v>q58_4</v>
      </c>
      <c r="C240" s="3" t="s">
        <v>358</v>
      </c>
      <c r="D240" s="5" t="s">
        <v>62</v>
      </c>
      <c r="E240" s="3" t="s">
        <v>359</v>
      </c>
      <c r="F240" s="3" t="s">
        <v>2248</v>
      </c>
    </row>
    <row r="241" spans="1:6" x14ac:dyDescent="0.25">
      <c r="A241" s="3" t="str">
        <f t="shared" si="3"/>
        <v>q58_5</v>
      </c>
      <c r="C241" s="3" t="s">
        <v>360</v>
      </c>
      <c r="D241" s="5" t="s">
        <v>62</v>
      </c>
      <c r="E241" s="3" t="s">
        <v>361</v>
      </c>
      <c r="F241" s="3" t="s">
        <v>2249</v>
      </c>
    </row>
    <row r="242" spans="1:6" x14ac:dyDescent="0.25">
      <c r="A242" s="3" t="str">
        <f t="shared" si="3"/>
        <v>q58_6</v>
      </c>
      <c r="C242" s="3" t="s">
        <v>362</v>
      </c>
      <c r="D242" s="5" t="s">
        <v>62</v>
      </c>
      <c r="E242" s="3" t="s">
        <v>363</v>
      </c>
      <c r="F242" s="3" t="s">
        <v>2250</v>
      </c>
    </row>
    <row r="243" spans="1:6" x14ac:dyDescent="0.25">
      <c r="A243" s="3" t="str">
        <f t="shared" si="3"/>
        <v>q5ROW8_hidden</v>
      </c>
      <c r="C243" s="3" t="s">
        <v>364</v>
      </c>
      <c r="D243" s="5" t="s">
        <v>62</v>
      </c>
      <c r="E243" s="8" t="s">
        <v>365</v>
      </c>
      <c r="F243" s="3" t="s">
        <v>2251</v>
      </c>
    </row>
    <row r="244" spans="1:6" x14ac:dyDescent="0.25">
      <c r="A244" s="3" t="str">
        <f t="shared" si="3"/>
        <v>q5COL1_hidden</v>
      </c>
      <c r="C244" s="3" t="s">
        <v>366</v>
      </c>
      <c r="D244" s="5" t="s">
        <v>62</v>
      </c>
      <c r="E244" s="8" t="s">
        <v>154</v>
      </c>
      <c r="F244" s="3" t="s">
        <v>2252</v>
      </c>
    </row>
    <row r="245" spans="1:6" x14ac:dyDescent="0.25">
      <c r="A245" s="3" t="str">
        <f t="shared" si="3"/>
        <v>q5COL2_hidden</v>
      </c>
      <c r="C245" s="3" t="s">
        <v>367</v>
      </c>
      <c r="D245" s="5" t="s">
        <v>62</v>
      </c>
      <c r="E245" s="8" t="s">
        <v>156</v>
      </c>
      <c r="F245" s="3" t="s">
        <v>2253</v>
      </c>
    </row>
    <row r="246" spans="1:6" x14ac:dyDescent="0.25">
      <c r="A246" s="3" t="str">
        <f t="shared" si="3"/>
        <v>q5COL3_hidden</v>
      </c>
      <c r="C246" s="3" t="s">
        <v>368</v>
      </c>
      <c r="D246" s="5" t="s">
        <v>62</v>
      </c>
      <c r="E246" s="8" t="s">
        <v>158</v>
      </c>
      <c r="F246" s="3" t="s">
        <v>2254</v>
      </c>
    </row>
    <row r="247" spans="1:6" x14ac:dyDescent="0.25">
      <c r="A247" s="3" t="str">
        <f t="shared" si="3"/>
        <v>q5COL4_hidden</v>
      </c>
      <c r="C247" s="3" t="s">
        <v>369</v>
      </c>
      <c r="D247" s="5" t="s">
        <v>62</v>
      </c>
      <c r="E247" s="8" t="s">
        <v>160</v>
      </c>
      <c r="F247" s="3" t="s">
        <v>2255</v>
      </c>
    </row>
    <row r="248" spans="1:6" x14ac:dyDescent="0.25">
      <c r="A248" s="3" t="str">
        <f t="shared" si="3"/>
        <v>q5COL5_hidden</v>
      </c>
      <c r="C248" s="3" t="s">
        <v>370</v>
      </c>
      <c r="D248" s="5" t="s">
        <v>62</v>
      </c>
      <c r="E248" s="8" t="s">
        <v>162</v>
      </c>
      <c r="F248" s="3" t="s">
        <v>2256</v>
      </c>
    </row>
    <row r="249" spans="1:6" x14ac:dyDescent="0.25">
      <c r="A249" s="3" t="str">
        <f t="shared" si="3"/>
        <v>q5COL6_hidden</v>
      </c>
      <c r="C249" s="3" t="s">
        <v>371</v>
      </c>
      <c r="D249" s="5" t="s">
        <v>62</v>
      </c>
      <c r="E249" s="8" t="s">
        <v>164</v>
      </c>
      <c r="F249" s="3" t="s">
        <v>2257</v>
      </c>
    </row>
    <row r="250" spans="1:6" x14ac:dyDescent="0.25">
      <c r="A250" s="3" t="str">
        <f t="shared" si="3"/>
        <v>q5GRANDTotal_hidden</v>
      </c>
      <c r="C250" s="3" t="s">
        <v>372</v>
      </c>
      <c r="D250" s="5" t="s">
        <v>62</v>
      </c>
      <c r="E250" s="8" t="s">
        <v>2963</v>
      </c>
      <c r="F250" s="3" t="s">
        <v>2258</v>
      </c>
    </row>
    <row r="251" spans="1:6" s="6" customFormat="1" x14ac:dyDescent="0.25">
      <c r="A251" s="3" t="str">
        <f t="shared" si="3"/>
        <v/>
      </c>
      <c r="D251" s="7"/>
      <c r="E251" s="6" t="s">
        <v>2948</v>
      </c>
      <c r="F251" s="3">
        <v>9</v>
      </c>
    </row>
    <row r="252" spans="1:6" x14ac:dyDescent="0.25">
      <c r="A252" s="3" t="str">
        <f t="shared" si="3"/>
        <v>q61_1</v>
      </c>
      <c r="C252" s="3" t="s">
        <v>373</v>
      </c>
      <c r="D252" s="5" t="s">
        <v>62</v>
      </c>
      <c r="E252" s="3" t="s">
        <v>374</v>
      </c>
      <c r="F252" s="3" t="s">
        <v>2259</v>
      </c>
    </row>
    <row r="253" spans="1:6" x14ac:dyDescent="0.25">
      <c r="A253" s="3" t="str">
        <f t="shared" si="3"/>
        <v>q61_2</v>
      </c>
      <c r="C253" s="3" t="s">
        <v>375</v>
      </c>
      <c r="D253" s="5" t="s">
        <v>62</v>
      </c>
      <c r="E253" s="3" t="s">
        <v>376</v>
      </c>
      <c r="F253" s="3" t="s">
        <v>2260</v>
      </c>
    </row>
    <row r="254" spans="1:6" x14ac:dyDescent="0.25">
      <c r="A254" s="3" t="str">
        <f t="shared" si="3"/>
        <v>q61_3</v>
      </c>
      <c r="C254" s="3" t="s">
        <v>377</v>
      </c>
      <c r="D254" s="5" t="s">
        <v>62</v>
      </c>
      <c r="E254" s="3" t="s">
        <v>378</v>
      </c>
      <c r="F254" s="3" t="s">
        <v>2261</v>
      </c>
    </row>
    <row r="255" spans="1:6" x14ac:dyDescent="0.25">
      <c r="A255" s="3" t="str">
        <f t="shared" si="3"/>
        <v>q61_4</v>
      </c>
      <c r="C255" s="3" t="s">
        <v>379</v>
      </c>
      <c r="D255" s="5" t="s">
        <v>62</v>
      </c>
      <c r="E255" s="3" t="s">
        <v>380</v>
      </c>
      <c r="F255" s="3" t="s">
        <v>2262</v>
      </c>
    </row>
    <row r="256" spans="1:6" x14ac:dyDescent="0.25">
      <c r="A256" s="3" t="str">
        <f t="shared" si="3"/>
        <v>q61_5</v>
      </c>
      <c r="C256" s="3" t="s">
        <v>381</v>
      </c>
      <c r="D256" s="5" t="s">
        <v>62</v>
      </c>
      <c r="E256" s="3" t="s">
        <v>382</v>
      </c>
      <c r="F256" s="3" t="s">
        <v>2263</v>
      </c>
    </row>
    <row r="257" spans="1:6" x14ac:dyDescent="0.25">
      <c r="A257" s="3" t="str">
        <f t="shared" si="3"/>
        <v>q61_6</v>
      </c>
      <c r="C257" s="3" t="s">
        <v>383</v>
      </c>
      <c r="D257" s="5" t="s">
        <v>62</v>
      </c>
      <c r="E257" s="3" t="s">
        <v>384</v>
      </c>
      <c r="F257" s="3" t="s">
        <v>2264</v>
      </c>
    </row>
    <row r="258" spans="1:6" x14ac:dyDescent="0.25">
      <c r="A258" s="3" t="str">
        <f t="shared" si="3"/>
        <v>q6ROW1_hidden</v>
      </c>
      <c r="C258" s="3" t="s">
        <v>385</v>
      </c>
      <c r="D258" s="5" t="s">
        <v>62</v>
      </c>
      <c r="E258" s="8" t="s">
        <v>386</v>
      </c>
      <c r="F258" s="3" t="s">
        <v>2265</v>
      </c>
    </row>
    <row r="259" spans="1:6" x14ac:dyDescent="0.25">
      <c r="A259" s="3" t="str">
        <f t="shared" ref="A259:A322" si="4">_xlfn.CONCAT(C259,B259)</f>
        <v>q62_1</v>
      </c>
      <c r="C259" s="3" t="s">
        <v>387</v>
      </c>
      <c r="D259" s="5" t="s">
        <v>62</v>
      </c>
      <c r="E259" s="3" t="s">
        <v>388</v>
      </c>
      <c r="F259" s="3" t="s">
        <v>2266</v>
      </c>
    </row>
    <row r="260" spans="1:6" x14ac:dyDescent="0.25">
      <c r="A260" s="3" t="str">
        <f t="shared" si="4"/>
        <v>q62_2</v>
      </c>
      <c r="C260" s="3" t="s">
        <v>389</v>
      </c>
      <c r="D260" s="5" t="s">
        <v>62</v>
      </c>
      <c r="E260" s="3" t="s">
        <v>390</v>
      </c>
      <c r="F260" s="3" t="s">
        <v>2267</v>
      </c>
    </row>
    <row r="261" spans="1:6" x14ac:dyDescent="0.25">
      <c r="A261" s="3" t="str">
        <f t="shared" si="4"/>
        <v>q62_3</v>
      </c>
      <c r="C261" s="3" t="s">
        <v>391</v>
      </c>
      <c r="D261" s="5" t="s">
        <v>62</v>
      </c>
      <c r="E261" s="3" t="s">
        <v>392</v>
      </c>
      <c r="F261" s="3" t="s">
        <v>2268</v>
      </c>
    </row>
    <row r="262" spans="1:6" x14ac:dyDescent="0.25">
      <c r="A262" s="3" t="str">
        <f t="shared" si="4"/>
        <v>q62_4</v>
      </c>
      <c r="C262" s="3" t="s">
        <v>393</v>
      </c>
      <c r="D262" s="5" t="s">
        <v>62</v>
      </c>
      <c r="E262" s="3" t="s">
        <v>394</v>
      </c>
      <c r="F262" s="3" t="s">
        <v>2269</v>
      </c>
    </row>
    <row r="263" spans="1:6" x14ac:dyDescent="0.25">
      <c r="A263" s="3" t="str">
        <f t="shared" si="4"/>
        <v>q62_5</v>
      </c>
      <c r="C263" s="3" t="s">
        <v>395</v>
      </c>
      <c r="D263" s="5" t="s">
        <v>62</v>
      </c>
      <c r="E263" s="3" t="s">
        <v>396</v>
      </c>
      <c r="F263" s="3" t="s">
        <v>2270</v>
      </c>
    </row>
    <row r="264" spans="1:6" x14ac:dyDescent="0.25">
      <c r="A264" s="3" t="str">
        <f t="shared" si="4"/>
        <v>q62_6</v>
      </c>
      <c r="C264" s="3" t="s">
        <v>397</v>
      </c>
      <c r="D264" s="5" t="s">
        <v>62</v>
      </c>
      <c r="E264" s="3" t="s">
        <v>398</v>
      </c>
      <c r="F264" s="3" t="s">
        <v>2271</v>
      </c>
    </row>
    <row r="265" spans="1:6" x14ac:dyDescent="0.25">
      <c r="A265" s="3" t="str">
        <f t="shared" si="4"/>
        <v>q6ROW2_hidden</v>
      </c>
      <c r="C265" s="3" t="s">
        <v>399</v>
      </c>
      <c r="D265" s="5" t="s">
        <v>62</v>
      </c>
      <c r="E265" s="8" t="s">
        <v>400</v>
      </c>
      <c r="F265" s="3" t="s">
        <v>2272</v>
      </c>
    </row>
    <row r="266" spans="1:6" x14ac:dyDescent="0.25">
      <c r="A266" s="3" t="str">
        <f t="shared" si="4"/>
        <v>q63_1</v>
      </c>
      <c r="C266" s="3" t="s">
        <v>401</v>
      </c>
      <c r="D266" s="5" t="s">
        <v>62</v>
      </c>
      <c r="E266" s="3" t="s">
        <v>402</v>
      </c>
      <c r="F266" s="3" t="s">
        <v>2273</v>
      </c>
    </row>
    <row r="267" spans="1:6" x14ac:dyDescent="0.25">
      <c r="A267" s="3" t="str">
        <f t="shared" si="4"/>
        <v>q63_2</v>
      </c>
      <c r="C267" s="3" t="s">
        <v>403</v>
      </c>
      <c r="D267" s="5" t="s">
        <v>62</v>
      </c>
      <c r="E267" s="3" t="s">
        <v>404</v>
      </c>
      <c r="F267" s="3" t="s">
        <v>2274</v>
      </c>
    </row>
    <row r="268" spans="1:6" x14ac:dyDescent="0.25">
      <c r="A268" s="3" t="str">
        <f t="shared" si="4"/>
        <v>q63_3</v>
      </c>
      <c r="C268" s="3" t="s">
        <v>405</v>
      </c>
      <c r="D268" s="5" t="s">
        <v>62</v>
      </c>
      <c r="E268" s="3" t="s">
        <v>406</v>
      </c>
      <c r="F268" s="3" t="s">
        <v>2275</v>
      </c>
    </row>
    <row r="269" spans="1:6" x14ac:dyDescent="0.25">
      <c r="A269" s="3" t="str">
        <f t="shared" si="4"/>
        <v>q63_4</v>
      </c>
      <c r="C269" s="3" t="s">
        <v>407</v>
      </c>
      <c r="D269" s="5" t="s">
        <v>62</v>
      </c>
      <c r="E269" s="3" t="s">
        <v>408</v>
      </c>
      <c r="F269" s="3" t="s">
        <v>2276</v>
      </c>
    </row>
    <row r="270" spans="1:6" x14ac:dyDescent="0.25">
      <c r="A270" s="3" t="str">
        <f t="shared" si="4"/>
        <v>q63_5</v>
      </c>
      <c r="C270" s="3" t="s">
        <v>409</v>
      </c>
      <c r="D270" s="5" t="s">
        <v>62</v>
      </c>
      <c r="E270" s="3" t="s">
        <v>410</v>
      </c>
      <c r="F270" s="3" t="s">
        <v>2277</v>
      </c>
    </row>
    <row r="271" spans="1:6" x14ac:dyDescent="0.25">
      <c r="A271" s="3" t="str">
        <f t="shared" si="4"/>
        <v>q63_6</v>
      </c>
      <c r="C271" s="3" t="s">
        <v>411</v>
      </c>
      <c r="D271" s="5" t="s">
        <v>62</v>
      </c>
      <c r="E271" s="3" t="s">
        <v>412</v>
      </c>
      <c r="F271" s="3" t="s">
        <v>2278</v>
      </c>
    </row>
    <row r="272" spans="1:6" x14ac:dyDescent="0.25">
      <c r="A272" s="3" t="str">
        <f t="shared" si="4"/>
        <v>q6ROW3_hidden</v>
      </c>
      <c r="C272" s="3" t="s">
        <v>413</v>
      </c>
      <c r="D272" s="5" t="s">
        <v>62</v>
      </c>
      <c r="E272" s="8" t="s">
        <v>414</v>
      </c>
      <c r="F272" s="3" t="s">
        <v>2279</v>
      </c>
    </row>
    <row r="273" spans="1:6" x14ac:dyDescent="0.25">
      <c r="A273" s="3" t="str">
        <f t="shared" si="4"/>
        <v>q64_1</v>
      </c>
      <c r="C273" s="3" t="s">
        <v>415</v>
      </c>
      <c r="D273" s="5" t="s">
        <v>62</v>
      </c>
      <c r="E273" s="3" t="s">
        <v>416</v>
      </c>
      <c r="F273" s="3" t="s">
        <v>2280</v>
      </c>
    </row>
    <row r="274" spans="1:6" x14ac:dyDescent="0.25">
      <c r="A274" s="3" t="str">
        <f t="shared" si="4"/>
        <v>q64_2</v>
      </c>
      <c r="C274" s="3" t="s">
        <v>417</v>
      </c>
      <c r="D274" s="5" t="s">
        <v>62</v>
      </c>
      <c r="E274" s="3" t="s">
        <v>418</v>
      </c>
      <c r="F274" s="3" t="s">
        <v>2281</v>
      </c>
    </row>
    <row r="275" spans="1:6" x14ac:dyDescent="0.25">
      <c r="A275" s="3" t="str">
        <f t="shared" si="4"/>
        <v>q64_3</v>
      </c>
      <c r="C275" s="3" t="s">
        <v>419</v>
      </c>
      <c r="D275" s="5" t="s">
        <v>62</v>
      </c>
      <c r="E275" s="3" t="s">
        <v>420</v>
      </c>
      <c r="F275" s="3" t="s">
        <v>2282</v>
      </c>
    </row>
    <row r="276" spans="1:6" x14ac:dyDescent="0.25">
      <c r="A276" s="3" t="str">
        <f t="shared" si="4"/>
        <v>q64_4</v>
      </c>
      <c r="C276" s="3" t="s">
        <v>421</v>
      </c>
      <c r="D276" s="5" t="s">
        <v>62</v>
      </c>
      <c r="E276" s="3" t="s">
        <v>422</v>
      </c>
      <c r="F276" s="3" t="s">
        <v>2283</v>
      </c>
    </row>
    <row r="277" spans="1:6" x14ac:dyDescent="0.25">
      <c r="A277" s="3" t="str">
        <f t="shared" si="4"/>
        <v>q64_5</v>
      </c>
      <c r="C277" s="3" t="s">
        <v>423</v>
      </c>
      <c r="D277" s="5" t="s">
        <v>62</v>
      </c>
      <c r="E277" s="3" t="s">
        <v>424</v>
      </c>
      <c r="F277" s="3" t="s">
        <v>2284</v>
      </c>
    </row>
    <row r="278" spans="1:6" x14ac:dyDescent="0.25">
      <c r="A278" s="3" t="str">
        <f t="shared" si="4"/>
        <v>q64_6</v>
      </c>
      <c r="C278" s="3" t="s">
        <v>425</v>
      </c>
      <c r="D278" s="5" t="s">
        <v>62</v>
      </c>
      <c r="E278" s="3" t="s">
        <v>426</v>
      </c>
      <c r="F278" s="3" t="s">
        <v>2285</v>
      </c>
    </row>
    <row r="279" spans="1:6" x14ac:dyDescent="0.25">
      <c r="A279" s="3" t="str">
        <f t="shared" si="4"/>
        <v>q6ROW4_hidden</v>
      </c>
      <c r="C279" s="3" t="s">
        <v>427</v>
      </c>
      <c r="D279" s="5" t="s">
        <v>62</v>
      </c>
      <c r="E279" s="8" t="s">
        <v>428</v>
      </c>
      <c r="F279" s="3" t="s">
        <v>2286</v>
      </c>
    </row>
    <row r="280" spans="1:6" x14ac:dyDescent="0.25">
      <c r="A280" s="3" t="str">
        <f t="shared" si="4"/>
        <v>q65_1</v>
      </c>
      <c r="C280" s="3" t="s">
        <v>429</v>
      </c>
      <c r="D280" s="5" t="s">
        <v>62</v>
      </c>
      <c r="E280" s="3" t="s">
        <v>430</v>
      </c>
      <c r="F280" s="3" t="s">
        <v>2287</v>
      </c>
    </row>
    <row r="281" spans="1:6" x14ac:dyDescent="0.25">
      <c r="A281" s="3" t="str">
        <f t="shared" si="4"/>
        <v>q65_2</v>
      </c>
      <c r="C281" s="3" t="s">
        <v>431</v>
      </c>
      <c r="D281" s="5" t="s">
        <v>62</v>
      </c>
      <c r="E281" s="3" t="s">
        <v>432</v>
      </c>
      <c r="F281" s="3" t="s">
        <v>2288</v>
      </c>
    </row>
    <row r="282" spans="1:6" x14ac:dyDescent="0.25">
      <c r="A282" s="3" t="str">
        <f t="shared" si="4"/>
        <v>q65_3</v>
      </c>
      <c r="C282" s="3" t="s">
        <v>433</v>
      </c>
      <c r="D282" s="5" t="s">
        <v>62</v>
      </c>
      <c r="E282" s="3" t="s">
        <v>434</v>
      </c>
      <c r="F282" s="3" t="s">
        <v>2289</v>
      </c>
    </row>
    <row r="283" spans="1:6" x14ac:dyDescent="0.25">
      <c r="A283" s="3" t="str">
        <f t="shared" si="4"/>
        <v>q65_4</v>
      </c>
      <c r="C283" s="3" t="s">
        <v>435</v>
      </c>
      <c r="D283" s="5" t="s">
        <v>62</v>
      </c>
      <c r="E283" s="3" t="s">
        <v>436</v>
      </c>
      <c r="F283" s="3" t="s">
        <v>2290</v>
      </c>
    </row>
    <row r="284" spans="1:6" x14ac:dyDescent="0.25">
      <c r="A284" s="3" t="str">
        <f t="shared" si="4"/>
        <v>q65_5</v>
      </c>
      <c r="C284" s="3" t="s">
        <v>437</v>
      </c>
      <c r="D284" s="5" t="s">
        <v>62</v>
      </c>
      <c r="E284" s="3" t="s">
        <v>438</v>
      </c>
      <c r="F284" s="3" t="s">
        <v>2291</v>
      </c>
    </row>
    <row r="285" spans="1:6" x14ac:dyDescent="0.25">
      <c r="A285" s="3" t="str">
        <f t="shared" si="4"/>
        <v>q65_6</v>
      </c>
      <c r="C285" s="3" t="s">
        <v>439</v>
      </c>
      <c r="D285" s="5" t="s">
        <v>62</v>
      </c>
      <c r="E285" s="3" t="s">
        <v>440</v>
      </c>
      <c r="F285" s="3" t="s">
        <v>2292</v>
      </c>
    </row>
    <row r="286" spans="1:6" x14ac:dyDescent="0.25">
      <c r="A286" s="3" t="str">
        <f t="shared" si="4"/>
        <v>q6ROW5_hidden</v>
      </c>
      <c r="C286" s="3" t="s">
        <v>441</v>
      </c>
      <c r="D286" s="5" t="s">
        <v>62</v>
      </c>
      <c r="E286" s="8" t="s">
        <v>442</v>
      </c>
      <c r="F286" s="3" t="s">
        <v>2293</v>
      </c>
    </row>
    <row r="287" spans="1:6" x14ac:dyDescent="0.25">
      <c r="A287" s="3" t="str">
        <f t="shared" si="4"/>
        <v>q6COL1_hidden</v>
      </c>
      <c r="C287" s="3" t="s">
        <v>443</v>
      </c>
      <c r="D287" s="5" t="s">
        <v>62</v>
      </c>
      <c r="E287" s="8" t="s">
        <v>154</v>
      </c>
      <c r="F287" s="3" t="s">
        <v>2294</v>
      </c>
    </row>
    <row r="288" spans="1:6" x14ac:dyDescent="0.25">
      <c r="A288" s="3" t="str">
        <f t="shared" si="4"/>
        <v>q6COL2_hidden</v>
      </c>
      <c r="C288" s="3" t="s">
        <v>444</v>
      </c>
      <c r="D288" s="5" t="s">
        <v>62</v>
      </c>
      <c r="E288" s="8" t="s">
        <v>156</v>
      </c>
      <c r="F288" s="3" t="s">
        <v>2295</v>
      </c>
    </row>
    <row r="289" spans="1:6" x14ac:dyDescent="0.25">
      <c r="A289" s="3" t="str">
        <f t="shared" si="4"/>
        <v>q6COL3_hidden</v>
      </c>
      <c r="C289" s="3" t="s">
        <v>445</v>
      </c>
      <c r="D289" s="5" t="s">
        <v>62</v>
      </c>
      <c r="E289" s="8" t="s">
        <v>158</v>
      </c>
      <c r="F289" s="3" t="s">
        <v>2296</v>
      </c>
    </row>
    <row r="290" spans="1:6" x14ac:dyDescent="0.25">
      <c r="A290" s="3" t="str">
        <f t="shared" si="4"/>
        <v>q6COL4_hidden</v>
      </c>
      <c r="C290" s="3" t="s">
        <v>446</v>
      </c>
      <c r="D290" s="5" t="s">
        <v>62</v>
      </c>
      <c r="E290" s="8" t="s">
        <v>160</v>
      </c>
      <c r="F290" s="3" t="s">
        <v>2297</v>
      </c>
    </row>
    <row r="291" spans="1:6" x14ac:dyDescent="0.25">
      <c r="A291" s="3" t="str">
        <f t="shared" si="4"/>
        <v>q6COL5_hidden</v>
      </c>
      <c r="C291" s="3" t="s">
        <v>447</v>
      </c>
      <c r="D291" s="5" t="s">
        <v>62</v>
      </c>
      <c r="E291" s="8" t="s">
        <v>162</v>
      </c>
      <c r="F291" s="3" t="s">
        <v>2298</v>
      </c>
    </row>
    <row r="292" spans="1:6" x14ac:dyDescent="0.25">
      <c r="A292" s="3" t="str">
        <f t="shared" si="4"/>
        <v>q6COL6_hidden</v>
      </c>
      <c r="C292" s="3" t="s">
        <v>448</v>
      </c>
      <c r="D292" s="5" t="s">
        <v>62</v>
      </c>
      <c r="E292" s="8" t="s">
        <v>164</v>
      </c>
      <c r="F292" s="3" t="s">
        <v>2299</v>
      </c>
    </row>
    <row r="293" spans="1:6" x14ac:dyDescent="0.25">
      <c r="A293" s="3" t="str">
        <f t="shared" si="4"/>
        <v>q6GRANDTotal_hidden</v>
      </c>
      <c r="C293" s="3" t="s">
        <v>449</v>
      </c>
      <c r="D293" s="5" t="s">
        <v>62</v>
      </c>
      <c r="E293" s="8" t="s">
        <v>2949</v>
      </c>
      <c r="F293" s="3" t="s">
        <v>2300</v>
      </c>
    </row>
    <row r="294" spans="1:6" s="6" customFormat="1" x14ac:dyDescent="0.25">
      <c r="A294" s="3" t="str">
        <f t="shared" si="4"/>
        <v/>
      </c>
      <c r="D294" s="7"/>
      <c r="E294" s="6" t="s">
        <v>450</v>
      </c>
      <c r="F294" s="3">
        <v>10</v>
      </c>
    </row>
    <row r="295" spans="1:6" x14ac:dyDescent="0.25">
      <c r="A295" s="3" t="str">
        <f t="shared" si="4"/>
        <v>q7_1</v>
      </c>
      <c r="C295" s="3" t="s">
        <v>451</v>
      </c>
      <c r="D295" s="5" t="s">
        <v>3027</v>
      </c>
      <c r="E295" s="3" t="s">
        <v>453</v>
      </c>
      <c r="F295" s="3" t="s">
        <v>2301</v>
      </c>
    </row>
    <row r="296" spans="1:6" x14ac:dyDescent="0.25">
      <c r="A296" s="3" t="str">
        <f t="shared" si="4"/>
        <v>q7_2</v>
      </c>
      <c r="C296" s="3" t="s">
        <v>454</v>
      </c>
      <c r="D296" s="5" t="s">
        <v>3027</v>
      </c>
      <c r="E296" s="3" t="s">
        <v>455</v>
      </c>
      <c r="F296" s="3" t="s">
        <v>2302</v>
      </c>
    </row>
    <row r="297" spans="1:6" x14ac:dyDescent="0.25">
      <c r="A297" s="3" t="str">
        <f t="shared" si="4"/>
        <v>q7_3</v>
      </c>
      <c r="C297" s="3" t="s">
        <v>456</v>
      </c>
      <c r="D297" s="5" t="s">
        <v>3027</v>
      </c>
      <c r="E297" s="3" t="s">
        <v>457</v>
      </c>
      <c r="F297" s="3" t="s">
        <v>2303</v>
      </c>
    </row>
    <row r="298" spans="1:6" x14ac:dyDescent="0.25">
      <c r="A298" s="3" t="str">
        <f t="shared" si="4"/>
        <v>q7other</v>
      </c>
      <c r="C298" s="3" t="s">
        <v>458</v>
      </c>
      <c r="D298" s="5" t="s">
        <v>38</v>
      </c>
      <c r="E298" s="3" t="s">
        <v>351</v>
      </c>
      <c r="F298" s="3" t="s">
        <v>2304</v>
      </c>
    </row>
    <row r="299" spans="1:6" x14ac:dyDescent="0.25">
      <c r="A299" s="3" t="str">
        <f t="shared" si="4"/>
        <v>q7_4</v>
      </c>
      <c r="C299" s="3" t="s">
        <v>459</v>
      </c>
      <c r="D299" s="5" t="s">
        <v>3027</v>
      </c>
      <c r="E299" s="3" t="s">
        <v>460</v>
      </c>
      <c r="F299" s="3" t="s">
        <v>2305</v>
      </c>
    </row>
    <row r="300" spans="1:6" s="6" customFormat="1" x14ac:dyDescent="0.25">
      <c r="A300" s="3" t="str">
        <f t="shared" si="4"/>
        <v>q8</v>
      </c>
      <c r="C300" s="6" t="s">
        <v>461</v>
      </c>
      <c r="D300" s="7" t="s">
        <v>56</v>
      </c>
      <c r="E300" s="9" t="s">
        <v>462</v>
      </c>
      <c r="F300" s="3">
        <v>11</v>
      </c>
    </row>
    <row r="301" spans="1:6" s="6" customFormat="1" x14ac:dyDescent="0.25">
      <c r="A301" s="3" t="str">
        <f t="shared" si="4"/>
        <v>q9</v>
      </c>
      <c r="C301" s="6" t="s">
        <v>463</v>
      </c>
      <c r="D301" s="7" t="s">
        <v>56</v>
      </c>
      <c r="E301" s="9" t="s">
        <v>464</v>
      </c>
      <c r="F301" s="3">
        <v>12</v>
      </c>
    </row>
    <row r="302" spans="1:6" s="6" customFormat="1" x14ac:dyDescent="0.25">
      <c r="A302" s="3" t="str">
        <f t="shared" si="4"/>
        <v>q91</v>
      </c>
      <c r="C302" s="6" t="s">
        <v>465</v>
      </c>
      <c r="D302" s="7" t="s">
        <v>56</v>
      </c>
      <c r="E302" s="9" t="s">
        <v>466</v>
      </c>
      <c r="F302" s="3">
        <v>13</v>
      </c>
    </row>
    <row r="303" spans="1:6" x14ac:dyDescent="0.25">
      <c r="A303" s="3" t="str">
        <f t="shared" si="4"/>
        <v>ASIA PACIFIC_apac</v>
      </c>
      <c r="B303" s="3" t="s">
        <v>467</v>
      </c>
      <c r="C303" s="10" t="s">
        <v>468</v>
      </c>
      <c r="D303" s="11"/>
      <c r="E303" s="9" t="s">
        <v>2950</v>
      </c>
      <c r="F303" s="3">
        <v>14</v>
      </c>
    </row>
    <row r="304" spans="1:6" x14ac:dyDescent="0.25">
      <c r="A304" s="3" t="str">
        <f t="shared" si="4"/>
        <v>q101_1_apac</v>
      </c>
      <c r="B304" s="3" t="str">
        <f t="shared" ref="B304:B367" si="5">B303</f>
        <v>_apac</v>
      </c>
      <c r="C304" s="3" t="s">
        <v>469</v>
      </c>
      <c r="D304" s="12" t="s">
        <v>62</v>
      </c>
      <c r="E304" s="3" t="s">
        <v>254</v>
      </c>
      <c r="F304" s="3" t="s">
        <v>2306</v>
      </c>
    </row>
    <row r="305" spans="1:6" x14ac:dyDescent="0.25">
      <c r="A305" s="3" t="str">
        <f t="shared" si="4"/>
        <v>q101_2_apac</v>
      </c>
      <c r="B305" s="3" t="str">
        <f t="shared" si="5"/>
        <v>_apac</v>
      </c>
      <c r="C305" s="3" t="s">
        <v>470</v>
      </c>
      <c r="D305" s="12" t="s">
        <v>62</v>
      </c>
      <c r="E305" s="3" t="s">
        <v>256</v>
      </c>
      <c r="F305" s="3" t="s">
        <v>2307</v>
      </c>
    </row>
    <row r="306" spans="1:6" x14ac:dyDescent="0.25">
      <c r="A306" s="3" t="str">
        <f t="shared" si="4"/>
        <v>q101_3_apac</v>
      </c>
      <c r="B306" s="3" t="str">
        <f t="shared" si="5"/>
        <v>_apac</v>
      </c>
      <c r="C306" s="3" t="s">
        <v>471</v>
      </c>
      <c r="D306" s="12" t="s">
        <v>62</v>
      </c>
      <c r="E306" s="3" t="s">
        <v>258</v>
      </c>
      <c r="F306" s="3" t="s">
        <v>2308</v>
      </c>
    </row>
    <row r="307" spans="1:6" x14ac:dyDescent="0.25">
      <c r="A307" s="3" t="str">
        <f t="shared" si="4"/>
        <v>q101_4_apac</v>
      </c>
      <c r="B307" s="3" t="str">
        <f t="shared" si="5"/>
        <v>_apac</v>
      </c>
      <c r="C307" s="3" t="s">
        <v>472</v>
      </c>
      <c r="D307" s="12" t="s">
        <v>62</v>
      </c>
      <c r="E307" s="3" t="s">
        <v>260</v>
      </c>
      <c r="F307" s="3" t="s">
        <v>2309</v>
      </c>
    </row>
    <row r="308" spans="1:6" x14ac:dyDescent="0.25">
      <c r="A308" s="3" t="str">
        <f t="shared" si="4"/>
        <v>q101_5_apac</v>
      </c>
      <c r="B308" s="3" t="str">
        <f t="shared" si="5"/>
        <v>_apac</v>
      </c>
      <c r="C308" s="3" t="s">
        <v>473</v>
      </c>
      <c r="D308" s="12" t="s">
        <v>62</v>
      </c>
      <c r="E308" s="3" t="s">
        <v>262</v>
      </c>
      <c r="F308" s="3" t="s">
        <v>2310</v>
      </c>
    </row>
    <row r="309" spans="1:6" x14ac:dyDescent="0.25">
      <c r="A309" s="3" t="str">
        <f t="shared" si="4"/>
        <v>q101_6_apac</v>
      </c>
      <c r="B309" s="3" t="str">
        <f t="shared" si="5"/>
        <v>_apac</v>
      </c>
      <c r="C309" s="3" t="s">
        <v>474</v>
      </c>
      <c r="D309" s="12" t="s">
        <v>62</v>
      </c>
      <c r="E309" s="3" t="s">
        <v>264</v>
      </c>
      <c r="F309" s="3" t="s">
        <v>2311</v>
      </c>
    </row>
    <row r="310" spans="1:6" x14ac:dyDescent="0.25">
      <c r="A310" s="3" t="str">
        <f t="shared" si="4"/>
        <v>q10ROW1_hidden_apac</v>
      </c>
      <c r="B310" s="3" t="str">
        <f t="shared" si="5"/>
        <v>_apac</v>
      </c>
      <c r="C310" s="3" t="s">
        <v>475</v>
      </c>
      <c r="D310" s="12" t="s">
        <v>62</v>
      </c>
      <c r="E310" s="8" t="s">
        <v>266</v>
      </c>
      <c r="F310" s="3" t="s">
        <v>2312</v>
      </c>
    </row>
    <row r="311" spans="1:6" x14ac:dyDescent="0.25">
      <c r="A311" s="3" t="str">
        <f t="shared" si="4"/>
        <v>q102_1_apac</v>
      </c>
      <c r="B311" s="3" t="str">
        <f t="shared" si="5"/>
        <v>_apac</v>
      </c>
      <c r="C311" s="3" t="s">
        <v>476</v>
      </c>
      <c r="D311" s="12" t="s">
        <v>62</v>
      </c>
      <c r="E311" s="3" t="s">
        <v>268</v>
      </c>
      <c r="F311" s="3" t="s">
        <v>2313</v>
      </c>
    </row>
    <row r="312" spans="1:6" x14ac:dyDescent="0.25">
      <c r="A312" s="3" t="str">
        <f t="shared" si="4"/>
        <v>q102_2_apac</v>
      </c>
      <c r="B312" s="3" t="str">
        <f t="shared" si="5"/>
        <v>_apac</v>
      </c>
      <c r="C312" s="3" t="s">
        <v>477</v>
      </c>
      <c r="D312" s="12" t="s">
        <v>62</v>
      </c>
      <c r="E312" s="3" t="s">
        <v>270</v>
      </c>
      <c r="F312" s="3" t="s">
        <v>2314</v>
      </c>
    </row>
    <row r="313" spans="1:6" x14ac:dyDescent="0.25">
      <c r="A313" s="3" t="str">
        <f t="shared" si="4"/>
        <v>q102_3_apac</v>
      </c>
      <c r="B313" s="3" t="str">
        <f t="shared" si="5"/>
        <v>_apac</v>
      </c>
      <c r="C313" s="3" t="s">
        <v>478</v>
      </c>
      <c r="D313" s="12" t="s">
        <v>62</v>
      </c>
      <c r="E313" s="3" t="s">
        <v>272</v>
      </c>
      <c r="F313" s="3" t="s">
        <v>2315</v>
      </c>
    </row>
    <row r="314" spans="1:6" x14ac:dyDescent="0.25">
      <c r="A314" s="3" t="str">
        <f t="shared" si="4"/>
        <v>q102_4_apac</v>
      </c>
      <c r="B314" s="3" t="str">
        <f t="shared" si="5"/>
        <v>_apac</v>
      </c>
      <c r="C314" s="3" t="s">
        <v>479</v>
      </c>
      <c r="D314" s="12" t="s">
        <v>62</v>
      </c>
      <c r="E314" s="3" t="s">
        <v>274</v>
      </c>
      <c r="F314" s="3" t="s">
        <v>2316</v>
      </c>
    </row>
    <row r="315" spans="1:6" x14ac:dyDescent="0.25">
      <c r="A315" s="3" t="str">
        <f t="shared" si="4"/>
        <v>q102_5_apac</v>
      </c>
      <c r="B315" s="3" t="str">
        <f t="shared" si="5"/>
        <v>_apac</v>
      </c>
      <c r="C315" s="3" t="s">
        <v>480</v>
      </c>
      <c r="D315" s="12" t="s">
        <v>62</v>
      </c>
      <c r="E315" s="3" t="s">
        <v>276</v>
      </c>
      <c r="F315" s="3" t="s">
        <v>2317</v>
      </c>
    </row>
    <row r="316" spans="1:6" x14ac:dyDescent="0.25">
      <c r="A316" s="3" t="str">
        <f t="shared" si="4"/>
        <v>q102_6_apac</v>
      </c>
      <c r="B316" s="3" t="str">
        <f t="shared" si="5"/>
        <v>_apac</v>
      </c>
      <c r="C316" s="3" t="s">
        <v>481</v>
      </c>
      <c r="D316" s="12" t="s">
        <v>62</v>
      </c>
      <c r="E316" s="3" t="s">
        <v>278</v>
      </c>
      <c r="F316" s="3" t="s">
        <v>2318</v>
      </c>
    </row>
    <row r="317" spans="1:6" x14ac:dyDescent="0.25">
      <c r="A317" s="3" t="str">
        <f t="shared" si="4"/>
        <v>q10ROW2_hidden_apac</v>
      </c>
      <c r="B317" s="3" t="str">
        <f t="shared" si="5"/>
        <v>_apac</v>
      </c>
      <c r="C317" s="3" t="s">
        <v>482</v>
      </c>
      <c r="D317" s="12" t="s">
        <v>62</v>
      </c>
      <c r="E317" s="8" t="s">
        <v>280</v>
      </c>
      <c r="F317" s="3" t="s">
        <v>2319</v>
      </c>
    </row>
    <row r="318" spans="1:6" x14ac:dyDescent="0.25">
      <c r="A318" s="3" t="str">
        <f t="shared" si="4"/>
        <v>q103_1_apac</v>
      </c>
      <c r="B318" s="3" t="str">
        <f t="shared" si="5"/>
        <v>_apac</v>
      </c>
      <c r="C318" s="3" t="s">
        <v>483</v>
      </c>
      <c r="D318" s="12" t="s">
        <v>62</v>
      </c>
      <c r="E318" s="3" t="s">
        <v>282</v>
      </c>
      <c r="F318" s="3" t="s">
        <v>2320</v>
      </c>
    </row>
    <row r="319" spans="1:6" x14ac:dyDescent="0.25">
      <c r="A319" s="3" t="str">
        <f t="shared" si="4"/>
        <v>q103_2_apac</v>
      </c>
      <c r="B319" s="3" t="str">
        <f t="shared" si="5"/>
        <v>_apac</v>
      </c>
      <c r="C319" s="3" t="s">
        <v>484</v>
      </c>
      <c r="D319" s="12" t="s">
        <v>62</v>
      </c>
      <c r="E319" s="3" t="s">
        <v>284</v>
      </c>
      <c r="F319" s="3" t="s">
        <v>2321</v>
      </c>
    </row>
    <row r="320" spans="1:6" x14ac:dyDescent="0.25">
      <c r="A320" s="3" t="str">
        <f t="shared" si="4"/>
        <v>q103_3_apac</v>
      </c>
      <c r="B320" s="3" t="str">
        <f t="shared" si="5"/>
        <v>_apac</v>
      </c>
      <c r="C320" s="3" t="s">
        <v>485</v>
      </c>
      <c r="D320" s="12" t="s">
        <v>62</v>
      </c>
      <c r="E320" s="3" t="s">
        <v>286</v>
      </c>
      <c r="F320" s="3" t="s">
        <v>2322</v>
      </c>
    </row>
    <row r="321" spans="1:6" x14ac:dyDescent="0.25">
      <c r="A321" s="3" t="str">
        <f t="shared" si="4"/>
        <v>q103_4_apac</v>
      </c>
      <c r="B321" s="3" t="str">
        <f t="shared" si="5"/>
        <v>_apac</v>
      </c>
      <c r="C321" s="3" t="s">
        <v>486</v>
      </c>
      <c r="D321" s="12" t="s">
        <v>62</v>
      </c>
      <c r="E321" s="3" t="s">
        <v>288</v>
      </c>
      <c r="F321" s="3" t="s">
        <v>2323</v>
      </c>
    </row>
    <row r="322" spans="1:6" x14ac:dyDescent="0.25">
      <c r="A322" s="3" t="str">
        <f t="shared" si="4"/>
        <v>q103_5_apac</v>
      </c>
      <c r="B322" s="3" t="str">
        <f t="shared" si="5"/>
        <v>_apac</v>
      </c>
      <c r="C322" s="3" t="s">
        <v>487</v>
      </c>
      <c r="D322" s="12" t="s">
        <v>62</v>
      </c>
      <c r="E322" s="3" t="s">
        <v>290</v>
      </c>
      <c r="F322" s="3" t="s">
        <v>2324</v>
      </c>
    </row>
    <row r="323" spans="1:6" x14ac:dyDescent="0.25">
      <c r="A323" s="3" t="str">
        <f t="shared" ref="A323:A386" si="6">_xlfn.CONCAT(C323,B323)</f>
        <v>q103_6_apac</v>
      </c>
      <c r="B323" s="3" t="str">
        <f t="shared" si="5"/>
        <v>_apac</v>
      </c>
      <c r="C323" s="3" t="s">
        <v>488</v>
      </c>
      <c r="D323" s="12" t="s">
        <v>62</v>
      </c>
      <c r="E323" s="3" t="s">
        <v>292</v>
      </c>
      <c r="F323" s="3" t="s">
        <v>2325</v>
      </c>
    </row>
    <row r="324" spans="1:6" x14ac:dyDescent="0.25">
      <c r="A324" s="3" t="str">
        <f t="shared" si="6"/>
        <v>q10ROW3_hidden_apac</v>
      </c>
      <c r="B324" s="3" t="str">
        <f t="shared" si="5"/>
        <v>_apac</v>
      </c>
      <c r="C324" s="3" t="s">
        <v>489</v>
      </c>
      <c r="D324" s="12" t="s">
        <v>62</v>
      </c>
      <c r="E324" s="8" t="s">
        <v>294</v>
      </c>
      <c r="F324" s="3" t="s">
        <v>2326</v>
      </c>
    </row>
    <row r="325" spans="1:6" x14ac:dyDescent="0.25">
      <c r="A325" s="3" t="str">
        <f t="shared" si="6"/>
        <v>q104_1_apac</v>
      </c>
      <c r="B325" s="3" t="str">
        <f t="shared" si="5"/>
        <v>_apac</v>
      </c>
      <c r="C325" s="3" t="s">
        <v>490</v>
      </c>
      <c r="D325" s="12" t="s">
        <v>62</v>
      </c>
      <c r="E325" s="3" t="s">
        <v>296</v>
      </c>
      <c r="F325" s="3" t="s">
        <v>2327</v>
      </c>
    </row>
    <row r="326" spans="1:6" x14ac:dyDescent="0.25">
      <c r="A326" s="3" t="str">
        <f t="shared" si="6"/>
        <v>q104_2_apac</v>
      </c>
      <c r="B326" s="3" t="str">
        <f t="shared" si="5"/>
        <v>_apac</v>
      </c>
      <c r="C326" s="3" t="s">
        <v>491</v>
      </c>
      <c r="D326" s="12" t="s">
        <v>62</v>
      </c>
      <c r="E326" s="3" t="s">
        <v>298</v>
      </c>
      <c r="F326" s="3" t="s">
        <v>2328</v>
      </c>
    </row>
    <row r="327" spans="1:6" x14ac:dyDescent="0.25">
      <c r="A327" s="3" t="str">
        <f t="shared" si="6"/>
        <v>q104_3_apac</v>
      </c>
      <c r="B327" s="3" t="str">
        <f t="shared" si="5"/>
        <v>_apac</v>
      </c>
      <c r="C327" s="3" t="s">
        <v>492</v>
      </c>
      <c r="D327" s="12" t="s">
        <v>62</v>
      </c>
      <c r="E327" s="3" t="s">
        <v>300</v>
      </c>
      <c r="F327" s="3" t="s">
        <v>2329</v>
      </c>
    </row>
    <row r="328" spans="1:6" x14ac:dyDescent="0.25">
      <c r="A328" s="3" t="str">
        <f t="shared" si="6"/>
        <v>q104_4_apac</v>
      </c>
      <c r="B328" s="3" t="str">
        <f t="shared" si="5"/>
        <v>_apac</v>
      </c>
      <c r="C328" s="3" t="s">
        <v>493</v>
      </c>
      <c r="D328" s="12" t="s">
        <v>62</v>
      </c>
      <c r="E328" s="3" t="s">
        <v>302</v>
      </c>
      <c r="F328" s="3" t="s">
        <v>2330</v>
      </c>
    </row>
    <row r="329" spans="1:6" x14ac:dyDescent="0.25">
      <c r="A329" s="3" t="str">
        <f t="shared" si="6"/>
        <v>q104_5_apac</v>
      </c>
      <c r="B329" s="3" t="str">
        <f t="shared" si="5"/>
        <v>_apac</v>
      </c>
      <c r="C329" s="3" t="s">
        <v>494</v>
      </c>
      <c r="D329" s="12" t="s">
        <v>62</v>
      </c>
      <c r="E329" s="3" t="s">
        <v>304</v>
      </c>
      <c r="F329" s="3" t="s">
        <v>2331</v>
      </c>
    </row>
    <row r="330" spans="1:6" x14ac:dyDescent="0.25">
      <c r="A330" s="3" t="str">
        <f t="shared" si="6"/>
        <v>q104_6_apac</v>
      </c>
      <c r="B330" s="3" t="str">
        <f t="shared" si="5"/>
        <v>_apac</v>
      </c>
      <c r="C330" s="3" t="s">
        <v>495</v>
      </c>
      <c r="D330" s="12" t="s">
        <v>62</v>
      </c>
      <c r="E330" s="3" t="s">
        <v>306</v>
      </c>
      <c r="F330" s="3" t="s">
        <v>2332</v>
      </c>
    </row>
    <row r="331" spans="1:6" x14ac:dyDescent="0.25">
      <c r="A331" s="3" t="str">
        <f t="shared" si="6"/>
        <v>q10ROW4_hidden_apac</v>
      </c>
      <c r="B331" s="3" t="str">
        <f t="shared" si="5"/>
        <v>_apac</v>
      </c>
      <c r="C331" s="3" t="s">
        <v>496</v>
      </c>
      <c r="D331" s="12" t="s">
        <v>62</v>
      </c>
      <c r="E331" s="8" t="s">
        <v>308</v>
      </c>
      <c r="F331" s="3" t="s">
        <v>2333</v>
      </c>
    </row>
    <row r="332" spans="1:6" x14ac:dyDescent="0.25">
      <c r="A332" s="3" t="str">
        <f t="shared" si="6"/>
        <v>q105_1_apac</v>
      </c>
      <c r="B332" s="3" t="str">
        <f t="shared" si="5"/>
        <v>_apac</v>
      </c>
      <c r="C332" s="3" t="s">
        <v>497</v>
      </c>
      <c r="D332" s="12" t="s">
        <v>62</v>
      </c>
      <c r="E332" s="3" t="s">
        <v>310</v>
      </c>
      <c r="F332" s="3" t="s">
        <v>2334</v>
      </c>
    </row>
    <row r="333" spans="1:6" x14ac:dyDescent="0.25">
      <c r="A333" s="3" t="str">
        <f t="shared" si="6"/>
        <v>q105_2_apac</v>
      </c>
      <c r="B333" s="3" t="str">
        <f t="shared" si="5"/>
        <v>_apac</v>
      </c>
      <c r="C333" s="3" t="s">
        <v>498</v>
      </c>
      <c r="D333" s="12" t="s">
        <v>62</v>
      </c>
      <c r="E333" s="3" t="s">
        <v>312</v>
      </c>
      <c r="F333" s="3" t="s">
        <v>2335</v>
      </c>
    </row>
    <row r="334" spans="1:6" x14ac:dyDescent="0.25">
      <c r="A334" s="3" t="str">
        <f t="shared" si="6"/>
        <v>q105_3_apac</v>
      </c>
      <c r="B334" s="3" t="str">
        <f t="shared" si="5"/>
        <v>_apac</v>
      </c>
      <c r="C334" s="3" t="s">
        <v>499</v>
      </c>
      <c r="D334" s="12" t="s">
        <v>62</v>
      </c>
      <c r="E334" s="3" t="s">
        <v>314</v>
      </c>
      <c r="F334" s="3" t="s">
        <v>2336</v>
      </c>
    </row>
    <row r="335" spans="1:6" x14ac:dyDescent="0.25">
      <c r="A335" s="3" t="str">
        <f t="shared" si="6"/>
        <v>q105_4_apac</v>
      </c>
      <c r="B335" s="3" t="str">
        <f t="shared" si="5"/>
        <v>_apac</v>
      </c>
      <c r="C335" s="3" t="s">
        <v>500</v>
      </c>
      <c r="D335" s="12" t="s">
        <v>62</v>
      </c>
      <c r="E335" s="3" t="s">
        <v>316</v>
      </c>
      <c r="F335" s="3" t="s">
        <v>2337</v>
      </c>
    </row>
    <row r="336" spans="1:6" x14ac:dyDescent="0.25">
      <c r="A336" s="3" t="str">
        <f t="shared" si="6"/>
        <v>q105_5_apac</v>
      </c>
      <c r="B336" s="3" t="str">
        <f t="shared" si="5"/>
        <v>_apac</v>
      </c>
      <c r="C336" s="3" t="s">
        <v>501</v>
      </c>
      <c r="D336" s="12" t="s">
        <v>62</v>
      </c>
      <c r="E336" s="3" t="s">
        <v>318</v>
      </c>
      <c r="F336" s="3" t="s">
        <v>2338</v>
      </c>
    </row>
    <row r="337" spans="1:6" x14ac:dyDescent="0.25">
      <c r="A337" s="3" t="str">
        <f t="shared" si="6"/>
        <v>q105_6_apac</v>
      </c>
      <c r="B337" s="3" t="str">
        <f t="shared" si="5"/>
        <v>_apac</v>
      </c>
      <c r="C337" s="3" t="s">
        <v>502</v>
      </c>
      <c r="D337" s="12" t="s">
        <v>62</v>
      </c>
      <c r="E337" s="3" t="s">
        <v>320</v>
      </c>
      <c r="F337" s="3" t="s">
        <v>2339</v>
      </c>
    </row>
    <row r="338" spans="1:6" x14ac:dyDescent="0.25">
      <c r="A338" s="3" t="str">
        <f t="shared" si="6"/>
        <v>q10ROW5_hidden_apac</v>
      </c>
      <c r="B338" s="3" t="str">
        <f t="shared" si="5"/>
        <v>_apac</v>
      </c>
      <c r="C338" s="3" t="s">
        <v>503</v>
      </c>
      <c r="D338" s="12" t="s">
        <v>62</v>
      </c>
      <c r="E338" s="8" t="s">
        <v>322</v>
      </c>
      <c r="F338" s="3" t="s">
        <v>2340</v>
      </c>
    </row>
    <row r="339" spans="1:6" x14ac:dyDescent="0.25">
      <c r="A339" s="3" t="str">
        <f t="shared" si="6"/>
        <v>q106_1_apac</v>
      </c>
      <c r="B339" s="3" t="str">
        <f t="shared" si="5"/>
        <v>_apac</v>
      </c>
      <c r="C339" s="3" t="s">
        <v>504</v>
      </c>
      <c r="D339" s="12" t="s">
        <v>62</v>
      </c>
      <c r="E339" s="3" t="s">
        <v>324</v>
      </c>
      <c r="F339" s="3" t="s">
        <v>2341</v>
      </c>
    </row>
    <row r="340" spans="1:6" x14ac:dyDescent="0.25">
      <c r="A340" s="3" t="str">
        <f t="shared" si="6"/>
        <v>q106_2_apac</v>
      </c>
      <c r="B340" s="3" t="str">
        <f t="shared" si="5"/>
        <v>_apac</v>
      </c>
      <c r="C340" s="3" t="s">
        <v>505</v>
      </c>
      <c r="D340" s="12" t="s">
        <v>62</v>
      </c>
      <c r="E340" s="3" t="s">
        <v>326</v>
      </c>
      <c r="F340" s="3" t="s">
        <v>2342</v>
      </c>
    </row>
    <row r="341" spans="1:6" x14ac:dyDescent="0.25">
      <c r="A341" s="3" t="str">
        <f t="shared" si="6"/>
        <v>q106_3_apac</v>
      </c>
      <c r="B341" s="3" t="str">
        <f t="shared" si="5"/>
        <v>_apac</v>
      </c>
      <c r="C341" s="3" t="s">
        <v>506</v>
      </c>
      <c r="D341" s="12" t="s">
        <v>62</v>
      </c>
      <c r="E341" s="3" t="s">
        <v>328</v>
      </c>
      <c r="F341" s="3" t="s">
        <v>2343</v>
      </c>
    </row>
    <row r="342" spans="1:6" x14ac:dyDescent="0.25">
      <c r="A342" s="3" t="str">
        <f t="shared" si="6"/>
        <v>q106_4_apac</v>
      </c>
      <c r="B342" s="3" t="str">
        <f t="shared" si="5"/>
        <v>_apac</v>
      </c>
      <c r="C342" s="3" t="s">
        <v>507</v>
      </c>
      <c r="D342" s="12" t="s">
        <v>62</v>
      </c>
      <c r="E342" s="3" t="s">
        <v>330</v>
      </c>
      <c r="F342" s="3" t="s">
        <v>2344</v>
      </c>
    </row>
    <row r="343" spans="1:6" x14ac:dyDescent="0.25">
      <c r="A343" s="3" t="str">
        <f t="shared" si="6"/>
        <v>q106_5_apac</v>
      </c>
      <c r="B343" s="3" t="str">
        <f t="shared" si="5"/>
        <v>_apac</v>
      </c>
      <c r="C343" s="3" t="s">
        <v>508</v>
      </c>
      <c r="D343" s="12" t="s">
        <v>62</v>
      </c>
      <c r="E343" s="3" t="s">
        <v>332</v>
      </c>
      <c r="F343" s="3" t="s">
        <v>2345</v>
      </c>
    </row>
    <row r="344" spans="1:6" x14ac:dyDescent="0.25">
      <c r="A344" s="3" t="str">
        <f t="shared" si="6"/>
        <v>q106_6_apac</v>
      </c>
      <c r="B344" s="3" t="str">
        <f t="shared" si="5"/>
        <v>_apac</v>
      </c>
      <c r="C344" s="3" t="s">
        <v>509</v>
      </c>
      <c r="D344" s="12" t="s">
        <v>62</v>
      </c>
      <c r="E344" s="3" t="s">
        <v>334</v>
      </c>
      <c r="F344" s="3" t="s">
        <v>2346</v>
      </c>
    </row>
    <row r="345" spans="1:6" x14ac:dyDescent="0.25">
      <c r="A345" s="3" t="str">
        <f t="shared" si="6"/>
        <v>q10ROW6_hidden_apac</v>
      </c>
      <c r="B345" s="3" t="str">
        <f t="shared" si="5"/>
        <v>_apac</v>
      </c>
      <c r="C345" s="3" t="s">
        <v>510</v>
      </c>
      <c r="D345" s="12" t="s">
        <v>62</v>
      </c>
      <c r="E345" s="8" t="s">
        <v>162</v>
      </c>
      <c r="F345" s="3" t="s">
        <v>2347</v>
      </c>
    </row>
    <row r="346" spans="1:6" x14ac:dyDescent="0.25">
      <c r="A346" s="3" t="str">
        <f t="shared" si="6"/>
        <v>q107_1_apac</v>
      </c>
      <c r="B346" s="3" t="str">
        <f t="shared" si="5"/>
        <v>_apac</v>
      </c>
      <c r="C346" s="3" t="s">
        <v>511</v>
      </c>
      <c r="D346" s="12" t="s">
        <v>62</v>
      </c>
      <c r="E346" s="3" t="s">
        <v>337</v>
      </c>
      <c r="F346" s="3" t="s">
        <v>2348</v>
      </c>
    </row>
    <row r="347" spans="1:6" x14ac:dyDescent="0.25">
      <c r="A347" s="3" t="str">
        <f t="shared" si="6"/>
        <v>q107_2_apac</v>
      </c>
      <c r="B347" s="3" t="str">
        <f t="shared" si="5"/>
        <v>_apac</v>
      </c>
      <c r="C347" s="3" t="s">
        <v>512</v>
      </c>
      <c r="D347" s="12" t="s">
        <v>62</v>
      </c>
      <c r="E347" s="3" t="s">
        <v>339</v>
      </c>
      <c r="F347" s="3" t="s">
        <v>2349</v>
      </c>
    </row>
    <row r="348" spans="1:6" x14ac:dyDescent="0.25">
      <c r="A348" s="3" t="str">
        <f t="shared" si="6"/>
        <v>q107_3_apac</v>
      </c>
      <c r="B348" s="3" t="str">
        <f t="shared" si="5"/>
        <v>_apac</v>
      </c>
      <c r="C348" s="3" t="s">
        <v>513</v>
      </c>
      <c r="D348" s="12" t="s">
        <v>62</v>
      </c>
      <c r="E348" s="3" t="s">
        <v>341</v>
      </c>
      <c r="F348" s="3" t="s">
        <v>2350</v>
      </c>
    </row>
    <row r="349" spans="1:6" x14ac:dyDescent="0.25">
      <c r="A349" s="3" t="str">
        <f t="shared" si="6"/>
        <v>q107_4_apac</v>
      </c>
      <c r="B349" s="3" t="str">
        <f t="shared" si="5"/>
        <v>_apac</v>
      </c>
      <c r="C349" s="3" t="s">
        <v>514</v>
      </c>
      <c r="D349" s="12" t="s">
        <v>62</v>
      </c>
      <c r="E349" s="3" t="s">
        <v>343</v>
      </c>
      <c r="F349" s="3" t="s">
        <v>2351</v>
      </c>
    </row>
    <row r="350" spans="1:6" x14ac:dyDescent="0.25">
      <c r="A350" s="3" t="str">
        <f t="shared" si="6"/>
        <v>q107_5_apac</v>
      </c>
      <c r="B350" s="3" t="str">
        <f t="shared" si="5"/>
        <v>_apac</v>
      </c>
      <c r="C350" s="3" t="s">
        <v>515</v>
      </c>
      <c r="D350" s="12" t="s">
        <v>62</v>
      </c>
      <c r="E350" s="3" t="s">
        <v>345</v>
      </c>
      <c r="F350" s="3" t="s">
        <v>2352</v>
      </c>
    </row>
    <row r="351" spans="1:6" x14ac:dyDescent="0.25">
      <c r="A351" s="3" t="str">
        <f t="shared" si="6"/>
        <v>q107_6_apac</v>
      </c>
      <c r="B351" s="3" t="str">
        <f t="shared" si="5"/>
        <v>_apac</v>
      </c>
      <c r="C351" s="3" t="s">
        <v>516</v>
      </c>
      <c r="D351" s="12" t="s">
        <v>62</v>
      </c>
      <c r="E351" s="3" t="s">
        <v>347</v>
      </c>
      <c r="F351" s="3" t="s">
        <v>2353</v>
      </c>
    </row>
    <row r="352" spans="1:6" x14ac:dyDescent="0.25">
      <c r="A352" s="3" t="str">
        <f t="shared" si="6"/>
        <v>q10ROW7_hidden_apac</v>
      </c>
      <c r="B352" s="3" t="str">
        <f t="shared" si="5"/>
        <v>_apac</v>
      </c>
      <c r="C352" s="3" t="s">
        <v>517</v>
      </c>
      <c r="D352" s="12" t="s">
        <v>62</v>
      </c>
      <c r="E352" s="8" t="s">
        <v>349</v>
      </c>
      <c r="F352" s="3" t="s">
        <v>2354</v>
      </c>
    </row>
    <row r="353" spans="1:6" x14ac:dyDescent="0.25">
      <c r="A353" s="3" t="str">
        <f t="shared" si="6"/>
        <v>q10other_apac</v>
      </c>
      <c r="B353" s="3" t="str">
        <f t="shared" si="5"/>
        <v>_apac</v>
      </c>
      <c r="C353" s="3" t="s">
        <v>518</v>
      </c>
      <c r="D353" s="12" t="s">
        <v>38</v>
      </c>
      <c r="E353" s="3" t="s">
        <v>351</v>
      </c>
      <c r="F353" s="3" t="s">
        <v>2355</v>
      </c>
    </row>
    <row r="354" spans="1:6" x14ac:dyDescent="0.25">
      <c r="A354" s="3" t="str">
        <f t="shared" si="6"/>
        <v>q108_1_apac</v>
      </c>
      <c r="B354" s="3" t="str">
        <f t="shared" si="5"/>
        <v>_apac</v>
      </c>
      <c r="C354" s="3" t="s">
        <v>519</v>
      </c>
      <c r="D354" s="12" t="s">
        <v>62</v>
      </c>
      <c r="E354" s="3" t="s">
        <v>353</v>
      </c>
      <c r="F354" s="3" t="s">
        <v>2356</v>
      </c>
    </row>
    <row r="355" spans="1:6" x14ac:dyDescent="0.25">
      <c r="A355" s="3" t="str">
        <f t="shared" si="6"/>
        <v>q108_2_apac</v>
      </c>
      <c r="B355" s="3" t="str">
        <f t="shared" si="5"/>
        <v>_apac</v>
      </c>
      <c r="C355" s="3" t="s">
        <v>520</v>
      </c>
      <c r="D355" s="12" t="s">
        <v>62</v>
      </c>
      <c r="E355" s="3" t="s">
        <v>355</v>
      </c>
      <c r="F355" s="3" t="s">
        <v>2357</v>
      </c>
    </row>
    <row r="356" spans="1:6" x14ac:dyDescent="0.25">
      <c r="A356" s="3" t="str">
        <f t="shared" si="6"/>
        <v>q108_3_apac</v>
      </c>
      <c r="B356" s="3" t="str">
        <f t="shared" si="5"/>
        <v>_apac</v>
      </c>
      <c r="C356" s="3" t="s">
        <v>521</v>
      </c>
      <c r="D356" s="12" t="s">
        <v>62</v>
      </c>
      <c r="E356" s="3" t="s">
        <v>357</v>
      </c>
      <c r="F356" s="3" t="s">
        <v>2358</v>
      </c>
    </row>
    <row r="357" spans="1:6" x14ac:dyDescent="0.25">
      <c r="A357" s="3" t="str">
        <f t="shared" si="6"/>
        <v>q108_4_apac</v>
      </c>
      <c r="B357" s="3" t="str">
        <f t="shared" si="5"/>
        <v>_apac</v>
      </c>
      <c r="C357" s="3" t="s">
        <v>522</v>
      </c>
      <c r="D357" s="12" t="s">
        <v>62</v>
      </c>
      <c r="E357" s="3" t="s">
        <v>359</v>
      </c>
      <c r="F357" s="3" t="s">
        <v>2359</v>
      </c>
    </row>
    <row r="358" spans="1:6" x14ac:dyDescent="0.25">
      <c r="A358" s="3" t="str">
        <f t="shared" si="6"/>
        <v>q108_5_apac</v>
      </c>
      <c r="B358" s="3" t="str">
        <f t="shared" si="5"/>
        <v>_apac</v>
      </c>
      <c r="C358" s="3" t="s">
        <v>523</v>
      </c>
      <c r="D358" s="12" t="s">
        <v>62</v>
      </c>
      <c r="E358" s="3" t="s">
        <v>361</v>
      </c>
      <c r="F358" s="3" t="s">
        <v>2360</v>
      </c>
    </row>
    <row r="359" spans="1:6" x14ac:dyDescent="0.25">
      <c r="A359" s="3" t="str">
        <f t="shared" si="6"/>
        <v>q108_6_apac</v>
      </c>
      <c r="B359" s="3" t="str">
        <f t="shared" si="5"/>
        <v>_apac</v>
      </c>
      <c r="C359" s="3" t="s">
        <v>524</v>
      </c>
      <c r="D359" s="12" t="s">
        <v>62</v>
      </c>
      <c r="E359" s="3" t="s">
        <v>363</v>
      </c>
      <c r="F359" s="3" t="s">
        <v>2361</v>
      </c>
    </row>
    <row r="360" spans="1:6" x14ac:dyDescent="0.25">
      <c r="A360" s="3" t="str">
        <f t="shared" si="6"/>
        <v>q10ROW8_hidden_apac</v>
      </c>
      <c r="B360" s="3" t="str">
        <f t="shared" si="5"/>
        <v>_apac</v>
      </c>
      <c r="C360" s="3" t="s">
        <v>525</v>
      </c>
      <c r="D360" s="12" t="s">
        <v>62</v>
      </c>
      <c r="E360" s="8" t="s">
        <v>365</v>
      </c>
      <c r="F360" s="3" t="s">
        <v>2362</v>
      </c>
    </row>
    <row r="361" spans="1:6" x14ac:dyDescent="0.25">
      <c r="A361" s="3" t="str">
        <f t="shared" si="6"/>
        <v>q10COL1_hidden_apac</v>
      </c>
      <c r="B361" s="3" t="str">
        <f t="shared" si="5"/>
        <v>_apac</v>
      </c>
      <c r="C361" s="3" t="s">
        <v>526</v>
      </c>
      <c r="D361" s="12" t="s">
        <v>62</v>
      </c>
      <c r="E361" s="8" t="s">
        <v>154</v>
      </c>
      <c r="F361" s="3" t="s">
        <v>2363</v>
      </c>
    </row>
    <row r="362" spans="1:6" x14ac:dyDescent="0.25">
      <c r="A362" s="3" t="str">
        <f t="shared" si="6"/>
        <v>q10COL2_hidden_apac</v>
      </c>
      <c r="B362" s="3" t="str">
        <f t="shared" si="5"/>
        <v>_apac</v>
      </c>
      <c r="C362" s="3" t="s">
        <v>527</v>
      </c>
      <c r="D362" s="12" t="s">
        <v>62</v>
      </c>
      <c r="E362" s="8" t="s">
        <v>156</v>
      </c>
      <c r="F362" s="3" t="s">
        <v>2364</v>
      </c>
    </row>
    <row r="363" spans="1:6" x14ac:dyDescent="0.25">
      <c r="A363" s="3" t="str">
        <f t="shared" si="6"/>
        <v>q10COL3_hidden_apac</v>
      </c>
      <c r="B363" s="3" t="str">
        <f t="shared" si="5"/>
        <v>_apac</v>
      </c>
      <c r="C363" s="3" t="s">
        <v>528</v>
      </c>
      <c r="D363" s="12" t="s">
        <v>62</v>
      </c>
      <c r="E363" s="8" t="s">
        <v>158</v>
      </c>
      <c r="F363" s="3" t="s">
        <v>2365</v>
      </c>
    </row>
    <row r="364" spans="1:6" x14ac:dyDescent="0.25">
      <c r="A364" s="3" t="str">
        <f t="shared" si="6"/>
        <v>q10COL4_hidden_apac</v>
      </c>
      <c r="B364" s="3" t="str">
        <f t="shared" si="5"/>
        <v>_apac</v>
      </c>
      <c r="C364" s="3" t="s">
        <v>529</v>
      </c>
      <c r="D364" s="12" t="s">
        <v>62</v>
      </c>
      <c r="E364" s="8" t="s">
        <v>160</v>
      </c>
      <c r="F364" s="3" t="s">
        <v>2366</v>
      </c>
    </row>
    <row r="365" spans="1:6" x14ac:dyDescent="0.25">
      <c r="A365" s="3" t="str">
        <f t="shared" si="6"/>
        <v>q10COL5_hidden_apac</v>
      </c>
      <c r="B365" s="3" t="str">
        <f t="shared" si="5"/>
        <v>_apac</v>
      </c>
      <c r="C365" s="3" t="s">
        <v>530</v>
      </c>
      <c r="D365" s="12" t="s">
        <v>62</v>
      </c>
      <c r="E365" s="8" t="s">
        <v>162</v>
      </c>
      <c r="F365" s="3" t="s">
        <v>2367</v>
      </c>
    </row>
    <row r="366" spans="1:6" x14ac:dyDescent="0.25">
      <c r="A366" s="3" t="str">
        <f t="shared" si="6"/>
        <v>q10COL6_hidden_apac</v>
      </c>
      <c r="B366" s="3" t="str">
        <f t="shared" si="5"/>
        <v>_apac</v>
      </c>
      <c r="C366" s="3" t="s">
        <v>531</v>
      </c>
      <c r="D366" s="12" t="s">
        <v>62</v>
      </c>
      <c r="E366" s="8" t="s">
        <v>164</v>
      </c>
      <c r="F366" s="3" t="s">
        <v>2368</v>
      </c>
    </row>
    <row r="367" spans="1:6" x14ac:dyDescent="0.25">
      <c r="A367" s="3" t="str">
        <f t="shared" si="6"/>
        <v>q10GRANDTotal_hidden_apac</v>
      </c>
      <c r="B367" s="3" t="str">
        <f t="shared" si="5"/>
        <v>_apac</v>
      </c>
      <c r="C367" s="3" t="s">
        <v>532</v>
      </c>
      <c r="D367" s="12" t="s">
        <v>62</v>
      </c>
      <c r="E367" s="8" t="s">
        <v>533</v>
      </c>
      <c r="F367" s="3" t="s">
        <v>2369</v>
      </c>
    </row>
    <row r="368" spans="1:6" x14ac:dyDescent="0.25">
      <c r="A368" s="3" t="str">
        <f t="shared" si="6"/>
        <v>_apac</v>
      </c>
      <c r="B368" s="3" t="str">
        <f t="shared" ref="B368:B410" si="7">B367</f>
        <v>_apac</v>
      </c>
      <c r="C368" s="6"/>
      <c r="D368" s="6"/>
      <c r="E368" s="9" t="s">
        <v>2951</v>
      </c>
      <c r="F368" s="3">
        <v>15</v>
      </c>
    </row>
    <row r="369" spans="1:6" x14ac:dyDescent="0.25">
      <c r="A369" s="3" t="str">
        <f t="shared" si="6"/>
        <v>q111_1_apac</v>
      </c>
      <c r="B369" s="3" t="str">
        <f t="shared" si="7"/>
        <v>_apac</v>
      </c>
      <c r="C369" s="3" t="s">
        <v>534</v>
      </c>
      <c r="D369" s="12" t="s">
        <v>62</v>
      </c>
      <c r="E369" s="3" t="s">
        <v>388</v>
      </c>
      <c r="F369" s="3" t="s">
        <v>2370</v>
      </c>
    </row>
    <row r="370" spans="1:6" x14ac:dyDescent="0.25">
      <c r="A370" s="3" t="str">
        <f t="shared" si="6"/>
        <v>q111_2_apac</v>
      </c>
      <c r="B370" s="3" t="str">
        <f t="shared" si="7"/>
        <v>_apac</v>
      </c>
      <c r="C370" s="3" t="s">
        <v>535</v>
      </c>
      <c r="D370" s="12" t="s">
        <v>62</v>
      </c>
      <c r="E370" s="3" t="s">
        <v>390</v>
      </c>
      <c r="F370" s="3" t="s">
        <v>2371</v>
      </c>
    </row>
    <row r="371" spans="1:6" x14ac:dyDescent="0.25">
      <c r="A371" s="3" t="str">
        <f t="shared" si="6"/>
        <v>q111_3_apac</v>
      </c>
      <c r="B371" s="3" t="str">
        <f t="shared" si="7"/>
        <v>_apac</v>
      </c>
      <c r="C371" s="3" t="s">
        <v>536</v>
      </c>
      <c r="D371" s="12" t="s">
        <v>62</v>
      </c>
      <c r="E371" s="3" t="s">
        <v>392</v>
      </c>
      <c r="F371" s="3" t="s">
        <v>2372</v>
      </c>
    </row>
    <row r="372" spans="1:6" x14ac:dyDescent="0.25">
      <c r="A372" s="3" t="str">
        <f t="shared" si="6"/>
        <v>q111_4_apac</v>
      </c>
      <c r="B372" s="3" t="str">
        <f t="shared" si="7"/>
        <v>_apac</v>
      </c>
      <c r="C372" s="3" t="s">
        <v>537</v>
      </c>
      <c r="D372" s="12" t="s">
        <v>62</v>
      </c>
      <c r="E372" s="3" t="s">
        <v>394</v>
      </c>
      <c r="F372" s="3" t="s">
        <v>2373</v>
      </c>
    </row>
    <row r="373" spans="1:6" x14ac:dyDescent="0.25">
      <c r="A373" s="3" t="str">
        <f t="shared" si="6"/>
        <v>q111_5_apac</v>
      </c>
      <c r="B373" s="3" t="str">
        <f t="shared" si="7"/>
        <v>_apac</v>
      </c>
      <c r="C373" s="3" t="s">
        <v>538</v>
      </c>
      <c r="D373" s="12" t="s">
        <v>62</v>
      </c>
      <c r="E373" s="3" t="s">
        <v>396</v>
      </c>
      <c r="F373" s="3" t="s">
        <v>2374</v>
      </c>
    </row>
    <row r="374" spans="1:6" x14ac:dyDescent="0.25">
      <c r="A374" s="3" t="str">
        <f t="shared" si="6"/>
        <v>q111_6_apac</v>
      </c>
      <c r="B374" s="3" t="str">
        <f t="shared" si="7"/>
        <v>_apac</v>
      </c>
      <c r="C374" s="3" t="s">
        <v>539</v>
      </c>
      <c r="D374" s="12" t="s">
        <v>62</v>
      </c>
      <c r="E374" s="3" t="s">
        <v>398</v>
      </c>
      <c r="F374" s="3" t="s">
        <v>2375</v>
      </c>
    </row>
    <row r="375" spans="1:6" x14ac:dyDescent="0.25">
      <c r="A375" s="3" t="str">
        <f t="shared" si="6"/>
        <v>q11ROW1_hidden_apac</v>
      </c>
      <c r="B375" s="3" t="str">
        <f t="shared" si="7"/>
        <v>_apac</v>
      </c>
      <c r="C375" s="3" t="s">
        <v>540</v>
      </c>
      <c r="D375" s="12" t="s">
        <v>62</v>
      </c>
      <c r="E375" s="8" t="s">
        <v>541</v>
      </c>
      <c r="F375" s="3" t="s">
        <v>2376</v>
      </c>
    </row>
    <row r="376" spans="1:6" x14ac:dyDescent="0.25">
      <c r="A376" s="3" t="str">
        <f t="shared" si="6"/>
        <v>q112_1_apac</v>
      </c>
      <c r="B376" s="3" t="str">
        <f t="shared" si="7"/>
        <v>_apac</v>
      </c>
      <c r="C376" s="3" t="s">
        <v>542</v>
      </c>
      <c r="D376" s="12" t="s">
        <v>62</v>
      </c>
      <c r="E376" s="3" t="s">
        <v>374</v>
      </c>
      <c r="F376" s="3" t="s">
        <v>2377</v>
      </c>
    </row>
    <row r="377" spans="1:6" x14ac:dyDescent="0.25">
      <c r="A377" s="3" t="str">
        <f t="shared" si="6"/>
        <v>q112_2_apac</v>
      </c>
      <c r="B377" s="3" t="str">
        <f t="shared" si="7"/>
        <v>_apac</v>
      </c>
      <c r="C377" s="3" t="s">
        <v>543</v>
      </c>
      <c r="D377" s="12" t="s">
        <v>62</v>
      </c>
      <c r="E377" s="3" t="s">
        <v>376</v>
      </c>
      <c r="F377" s="3" t="s">
        <v>2378</v>
      </c>
    </row>
    <row r="378" spans="1:6" x14ac:dyDescent="0.25">
      <c r="A378" s="3" t="str">
        <f t="shared" si="6"/>
        <v>q112_3_apac</v>
      </c>
      <c r="B378" s="3" t="str">
        <f t="shared" si="7"/>
        <v>_apac</v>
      </c>
      <c r="C378" s="3" t="s">
        <v>544</v>
      </c>
      <c r="D378" s="12" t="s">
        <v>62</v>
      </c>
      <c r="E378" s="3" t="s">
        <v>378</v>
      </c>
      <c r="F378" s="3" t="s">
        <v>2379</v>
      </c>
    </row>
    <row r="379" spans="1:6" x14ac:dyDescent="0.25">
      <c r="A379" s="3" t="str">
        <f t="shared" si="6"/>
        <v>q112_4_apac</v>
      </c>
      <c r="B379" s="3" t="str">
        <f t="shared" si="7"/>
        <v>_apac</v>
      </c>
      <c r="C379" s="3" t="s">
        <v>545</v>
      </c>
      <c r="D379" s="12" t="s">
        <v>62</v>
      </c>
      <c r="E379" s="3" t="s">
        <v>380</v>
      </c>
      <c r="F379" s="3" t="s">
        <v>2380</v>
      </c>
    </row>
    <row r="380" spans="1:6" x14ac:dyDescent="0.25">
      <c r="A380" s="3" t="str">
        <f t="shared" si="6"/>
        <v>q112_5_apac</v>
      </c>
      <c r="B380" s="3" t="str">
        <f t="shared" si="7"/>
        <v>_apac</v>
      </c>
      <c r="C380" s="3" t="s">
        <v>546</v>
      </c>
      <c r="D380" s="12" t="s">
        <v>62</v>
      </c>
      <c r="E380" s="3" t="s">
        <v>382</v>
      </c>
      <c r="F380" s="3" t="s">
        <v>2381</v>
      </c>
    </row>
    <row r="381" spans="1:6" x14ac:dyDescent="0.25">
      <c r="A381" s="3" t="str">
        <f t="shared" si="6"/>
        <v>q112_6_apac</v>
      </c>
      <c r="B381" s="3" t="str">
        <f t="shared" si="7"/>
        <v>_apac</v>
      </c>
      <c r="C381" s="3" t="s">
        <v>547</v>
      </c>
      <c r="D381" s="12" t="s">
        <v>62</v>
      </c>
      <c r="E381" s="3" t="s">
        <v>384</v>
      </c>
      <c r="F381" s="3" t="s">
        <v>2382</v>
      </c>
    </row>
    <row r="382" spans="1:6" x14ac:dyDescent="0.25">
      <c r="A382" s="3" t="str">
        <f t="shared" si="6"/>
        <v>q11ROW2_hidden_apac</v>
      </c>
      <c r="B382" s="3" t="str">
        <f t="shared" si="7"/>
        <v>_apac</v>
      </c>
      <c r="C382" s="3" t="s">
        <v>548</v>
      </c>
      <c r="D382" s="12" t="s">
        <v>62</v>
      </c>
      <c r="E382" s="8" t="s">
        <v>549</v>
      </c>
      <c r="F382" s="3" t="s">
        <v>2383</v>
      </c>
    </row>
    <row r="383" spans="1:6" x14ac:dyDescent="0.25">
      <c r="A383" s="3" t="str">
        <f t="shared" si="6"/>
        <v>q113_1_apac</v>
      </c>
      <c r="B383" s="3" t="str">
        <f t="shared" si="7"/>
        <v>_apac</v>
      </c>
      <c r="C383" s="3" t="s">
        <v>550</v>
      </c>
      <c r="D383" s="12" t="s">
        <v>62</v>
      </c>
      <c r="E383" s="3" t="s">
        <v>402</v>
      </c>
      <c r="F383" s="3" t="s">
        <v>2384</v>
      </c>
    </row>
    <row r="384" spans="1:6" x14ac:dyDescent="0.25">
      <c r="A384" s="3" t="str">
        <f t="shared" si="6"/>
        <v>q113_2_apac</v>
      </c>
      <c r="B384" s="3" t="str">
        <f t="shared" si="7"/>
        <v>_apac</v>
      </c>
      <c r="C384" s="3" t="s">
        <v>551</v>
      </c>
      <c r="D384" s="12" t="s">
        <v>62</v>
      </c>
      <c r="E384" s="3" t="s">
        <v>404</v>
      </c>
      <c r="F384" s="3" t="s">
        <v>2385</v>
      </c>
    </row>
    <row r="385" spans="1:6" x14ac:dyDescent="0.25">
      <c r="A385" s="3" t="str">
        <f t="shared" si="6"/>
        <v>q113_3_apac</v>
      </c>
      <c r="B385" s="3" t="str">
        <f t="shared" si="7"/>
        <v>_apac</v>
      </c>
      <c r="C385" s="3" t="s">
        <v>552</v>
      </c>
      <c r="D385" s="12" t="s">
        <v>62</v>
      </c>
      <c r="E385" s="3" t="s">
        <v>406</v>
      </c>
      <c r="F385" s="3" t="s">
        <v>2386</v>
      </c>
    </row>
    <row r="386" spans="1:6" x14ac:dyDescent="0.25">
      <c r="A386" s="3" t="str">
        <f t="shared" si="6"/>
        <v>q113_4_apac</v>
      </c>
      <c r="B386" s="3" t="str">
        <f t="shared" si="7"/>
        <v>_apac</v>
      </c>
      <c r="C386" s="3" t="s">
        <v>553</v>
      </c>
      <c r="D386" s="12" t="s">
        <v>62</v>
      </c>
      <c r="E386" s="3" t="s">
        <v>408</v>
      </c>
      <c r="F386" s="3" t="s">
        <v>2387</v>
      </c>
    </row>
    <row r="387" spans="1:6" x14ac:dyDescent="0.25">
      <c r="A387" s="3" t="str">
        <f t="shared" ref="A387:A450" si="8">_xlfn.CONCAT(C387,B387)</f>
        <v>q113_5_apac</v>
      </c>
      <c r="B387" s="3" t="str">
        <f t="shared" si="7"/>
        <v>_apac</v>
      </c>
      <c r="C387" s="3" t="s">
        <v>554</v>
      </c>
      <c r="D387" s="12" t="s">
        <v>62</v>
      </c>
      <c r="E387" s="3" t="s">
        <v>410</v>
      </c>
      <c r="F387" s="3" t="s">
        <v>2388</v>
      </c>
    </row>
    <row r="388" spans="1:6" x14ac:dyDescent="0.25">
      <c r="A388" s="3" t="str">
        <f t="shared" si="8"/>
        <v>q113_6_apac</v>
      </c>
      <c r="B388" s="3" t="str">
        <f t="shared" si="7"/>
        <v>_apac</v>
      </c>
      <c r="C388" s="3" t="s">
        <v>555</v>
      </c>
      <c r="D388" s="12" t="s">
        <v>62</v>
      </c>
      <c r="E388" s="3" t="s">
        <v>412</v>
      </c>
      <c r="F388" s="3" t="s">
        <v>2389</v>
      </c>
    </row>
    <row r="389" spans="1:6" x14ac:dyDescent="0.25">
      <c r="A389" s="3" t="str">
        <f t="shared" si="8"/>
        <v>q11ROW3_hidden_apac</v>
      </c>
      <c r="B389" s="3" t="str">
        <f t="shared" si="7"/>
        <v>_apac</v>
      </c>
      <c r="C389" s="3" t="s">
        <v>556</v>
      </c>
      <c r="D389" s="12" t="s">
        <v>62</v>
      </c>
      <c r="E389" s="8" t="s">
        <v>557</v>
      </c>
      <c r="F389" s="3" t="s">
        <v>2390</v>
      </c>
    </row>
    <row r="390" spans="1:6" x14ac:dyDescent="0.25">
      <c r="A390" s="3" t="str">
        <f t="shared" si="8"/>
        <v>q114_1_apac</v>
      </c>
      <c r="B390" s="3" t="str">
        <f t="shared" si="7"/>
        <v>_apac</v>
      </c>
      <c r="C390" s="3" t="s">
        <v>558</v>
      </c>
      <c r="D390" s="12" t="s">
        <v>62</v>
      </c>
      <c r="E390" s="3" t="s">
        <v>416</v>
      </c>
      <c r="F390" s="3" t="s">
        <v>2391</v>
      </c>
    </row>
    <row r="391" spans="1:6" x14ac:dyDescent="0.25">
      <c r="A391" s="3" t="str">
        <f t="shared" si="8"/>
        <v>q114_2_apac</v>
      </c>
      <c r="B391" s="3" t="str">
        <f t="shared" si="7"/>
        <v>_apac</v>
      </c>
      <c r="C391" s="3" t="s">
        <v>559</v>
      </c>
      <c r="D391" s="12" t="s">
        <v>62</v>
      </c>
      <c r="E391" s="3" t="s">
        <v>418</v>
      </c>
      <c r="F391" s="3" t="s">
        <v>2392</v>
      </c>
    </row>
    <row r="392" spans="1:6" x14ac:dyDescent="0.25">
      <c r="A392" s="3" t="str">
        <f t="shared" si="8"/>
        <v>q114_3_apac</v>
      </c>
      <c r="B392" s="3" t="str">
        <f t="shared" si="7"/>
        <v>_apac</v>
      </c>
      <c r="C392" s="3" t="s">
        <v>560</v>
      </c>
      <c r="D392" s="12" t="s">
        <v>62</v>
      </c>
      <c r="E392" s="3" t="s">
        <v>420</v>
      </c>
      <c r="F392" s="3" t="s">
        <v>2393</v>
      </c>
    </row>
    <row r="393" spans="1:6" x14ac:dyDescent="0.25">
      <c r="A393" s="3" t="str">
        <f t="shared" si="8"/>
        <v>q114_4_apac</v>
      </c>
      <c r="B393" s="3" t="str">
        <f t="shared" si="7"/>
        <v>_apac</v>
      </c>
      <c r="C393" s="3" t="s">
        <v>561</v>
      </c>
      <c r="D393" s="12" t="s">
        <v>62</v>
      </c>
      <c r="E393" s="3" t="s">
        <v>422</v>
      </c>
      <c r="F393" s="3" t="s">
        <v>2394</v>
      </c>
    </row>
    <row r="394" spans="1:6" x14ac:dyDescent="0.25">
      <c r="A394" s="3" t="str">
        <f t="shared" si="8"/>
        <v>q114_5_apac</v>
      </c>
      <c r="B394" s="3" t="str">
        <f t="shared" si="7"/>
        <v>_apac</v>
      </c>
      <c r="C394" s="3" t="s">
        <v>562</v>
      </c>
      <c r="D394" s="12" t="s">
        <v>62</v>
      </c>
      <c r="E394" s="3" t="s">
        <v>424</v>
      </c>
      <c r="F394" s="3" t="s">
        <v>2395</v>
      </c>
    </row>
    <row r="395" spans="1:6" x14ac:dyDescent="0.25">
      <c r="A395" s="3" t="str">
        <f t="shared" si="8"/>
        <v>q114_6_apac</v>
      </c>
      <c r="B395" s="3" t="str">
        <f t="shared" si="7"/>
        <v>_apac</v>
      </c>
      <c r="C395" s="3" t="s">
        <v>563</v>
      </c>
      <c r="D395" s="12" t="s">
        <v>62</v>
      </c>
      <c r="E395" s="3" t="s">
        <v>426</v>
      </c>
      <c r="F395" s="3" t="s">
        <v>2396</v>
      </c>
    </row>
    <row r="396" spans="1:6" x14ac:dyDescent="0.25">
      <c r="A396" s="3" t="str">
        <f t="shared" si="8"/>
        <v>q11ROW4_hidden_apac</v>
      </c>
      <c r="B396" s="3" t="str">
        <f t="shared" si="7"/>
        <v>_apac</v>
      </c>
      <c r="C396" s="3" t="s">
        <v>564</v>
      </c>
      <c r="D396" s="12" t="s">
        <v>62</v>
      </c>
      <c r="E396" s="8" t="s">
        <v>565</v>
      </c>
      <c r="F396" s="3" t="s">
        <v>2397</v>
      </c>
    </row>
    <row r="397" spans="1:6" x14ac:dyDescent="0.25">
      <c r="A397" s="3" t="str">
        <f t="shared" si="8"/>
        <v>q115_1_apac</v>
      </c>
      <c r="B397" s="3" t="str">
        <f t="shared" si="7"/>
        <v>_apac</v>
      </c>
      <c r="C397" s="3" t="s">
        <v>566</v>
      </c>
      <c r="D397" s="12" t="s">
        <v>62</v>
      </c>
      <c r="E397" s="3" t="s">
        <v>430</v>
      </c>
      <c r="F397" s="3" t="s">
        <v>2398</v>
      </c>
    </row>
    <row r="398" spans="1:6" x14ac:dyDescent="0.25">
      <c r="A398" s="3" t="str">
        <f t="shared" si="8"/>
        <v>q115_2_apac</v>
      </c>
      <c r="B398" s="3" t="str">
        <f t="shared" si="7"/>
        <v>_apac</v>
      </c>
      <c r="C398" s="3" t="s">
        <v>567</v>
      </c>
      <c r="D398" s="12" t="s">
        <v>62</v>
      </c>
      <c r="E398" s="3" t="s">
        <v>432</v>
      </c>
      <c r="F398" s="3" t="s">
        <v>2399</v>
      </c>
    </row>
    <row r="399" spans="1:6" x14ac:dyDescent="0.25">
      <c r="A399" s="3" t="str">
        <f t="shared" si="8"/>
        <v>q115_3_apac</v>
      </c>
      <c r="B399" s="3" t="str">
        <f t="shared" si="7"/>
        <v>_apac</v>
      </c>
      <c r="C399" s="3" t="s">
        <v>568</v>
      </c>
      <c r="D399" s="12" t="s">
        <v>62</v>
      </c>
      <c r="E399" s="3" t="s">
        <v>434</v>
      </c>
      <c r="F399" s="3" t="s">
        <v>2400</v>
      </c>
    </row>
    <row r="400" spans="1:6" x14ac:dyDescent="0.25">
      <c r="A400" s="3" t="str">
        <f t="shared" si="8"/>
        <v>q115_4_apac</v>
      </c>
      <c r="B400" s="3" t="str">
        <f t="shared" si="7"/>
        <v>_apac</v>
      </c>
      <c r="C400" s="3" t="s">
        <v>569</v>
      </c>
      <c r="D400" s="12" t="s">
        <v>62</v>
      </c>
      <c r="E400" s="3" t="s">
        <v>436</v>
      </c>
      <c r="F400" s="3" t="s">
        <v>2401</v>
      </c>
    </row>
    <row r="401" spans="1:6" x14ac:dyDescent="0.25">
      <c r="A401" s="3" t="str">
        <f t="shared" si="8"/>
        <v>q115_5_apac</v>
      </c>
      <c r="B401" s="3" t="str">
        <f t="shared" si="7"/>
        <v>_apac</v>
      </c>
      <c r="C401" s="3" t="s">
        <v>570</v>
      </c>
      <c r="D401" s="12" t="s">
        <v>62</v>
      </c>
      <c r="E401" s="3" t="s">
        <v>438</v>
      </c>
      <c r="F401" s="3" t="s">
        <v>2402</v>
      </c>
    </row>
    <row r="402" spans="1:6" x14ac:dyDescent="0.25">
      <c r="A402" s="3" t="str">
        <f t="shared" si="8"/>
        <v>q115_6_apac</v>
      </c>
      <c r="B402" s="3" t="str">
        <f t="shared" si="7"/>
        <v>_apac</v>
      </c>
      <c r="C402" s="3" t="s">
        <v>571</v>
      </c>
      <c r="D402" s="12" t="s">
        <v>62</v>
      </c>
      <c r="E402" s="3" t="s">
        <v>440</v>
      </c>
      <c r="F402" s="3" t="s">
        <v>2403</v>
      </c>
    </row>
    <row r="403" spans="1:6" x14ac:dyDescent="0.25">
      <c r="A403" s="3" t="str">
        <f t="shared" si="8"/>
        <v>q11ROW5_hidden_apac</v>
      </c>
      <c r="B403" s="3" t="str">
        <f t="shared" si="7"/>
        <v>_apac</v>
      </c>
      <c r="C403" s="3" t="s">
        <v>572</v>
      </c>
      <c r="D403" s="12" t="s">
        <v>62</v>
      </c>
      <c r="E403" s="8" t="s">
        <v>442</v>
      </c>
      <c r="F403" s="3" t="s">
        <v>2404</v>
      </c>
    </row>
    <row r="404" spans="1:6" x14ac:dyDescent="0.25">
      <c r="A404" s="3" t="str">
        <f t="shared" si="8"/>
        <v>q11COL1_hidden_apac</v>
      </c>
      <c r="B404" s="3" t="str">
        <f t="shared" si="7"/>
        <v>_apac</v>
      </c>
      <c r="C404" s="3" t="s">
        <v>573</v>
      </c>
      <c r="D404" s="12" t="s">
        <v>62</v>
      </c>
      <c r="E404" s="8" t="s">
        <v>154</v>
      </c>
      <c r="F404" s="3" t="s">
        <v>2405</v>
      </c>
    </row>
    <row r="405" spans="1:6" x14ac:dyDescent="0.25">
      <c r="A405" s="3" t="str">
        <f t="shared" si="8"/>
        <v>q11COL2_hidden_apac</v>
      </c>
      <c r="B405" s="3" t="str">
        <f t="shared" si="7"/>
        <v>_apac</v>
      </c>
      <c r="C405" s="3" t="s">
        <v>574</v>
      </c>
      <c r="D405" s="12" t="s">
        <v>62</v>
      </c>
      <c r="E405" s="8" t="s">
        <v>156</v>
      </c>
      <c r="F405" s="3" t="s">
        <v>2406</v>
      </c>
    </row>
    <row r="406" spans="1:6" x14ac:dyDescent="0.25">
      <c r="A406" s="3" t="str">
        <f t="shared" si="8"/>
        <v>q11COL3_hidden_apac</v>
      </c>
      <c r="B406" s="3" t="str">
        <f t="shared" si="7"/>
        <v>_apac</v>
      </c>
      <c r="C406" s="3" t="s">
        <v>575</v>
      </c>
      <c r="D406" s="12" t="s">
        <v>62</v>
      </c>
      <c r="E406" s="8" t="s">
        <v>158</v>
      </c>
      <c r="F406" s="3" t="s">
        <v>2407</v>
      </c>
    </row>
    <row r="407" spans="1:6" x14ac:dyDescent="0.25">
      <c r="A407" s="3" t="str">
        <f t="shared" si="8"/>
        <v>q11COL4_hidden_apac</v>
      </c>
      <c r="B407" s="3" t="str">
        <f t="shared" si="7"/>
        <v>_apac</v>
      </c>
      <c r="C407" s="3" t="s">
        <v>576</v>
      </c>
      <c r="D407" s="12" t="s">
        <v>62</v>
      </c>
      <c r="E407" s="8" t="s">
        <v>160</v>
      </c>
      <c r="F407" s="3" t="s">
        <v>2408</v>
      </c>
    </row>
    <row r="408" spans="1:6" x14ac:dyDescent="0.25">
      <c r="A408" s="3" t="str">
        <f t="shared" si="8"/>
        <v>q11COL5_hidden_apac</v>
      </c>
      <c r="B408" s="3" t="str">
        <f t="shared" si="7"/>
        <v>_apac</v>
      </c>
      <c r="C408" s="3" t="s">
        <v>577</v>
      </c>
      <c r="D408" s="12" t="s">
        <v>62</v>
      </c>
      <c r="E408" s="8" t="s">
        <v>162</v>
      </c>
      <c r="F408" s="3" t="s">
        <v>2409</v>
      </c>
    </row>
    <row r="409" spans="1:6" x14ac:dyDescent="0.25">
      <c r="A409" s="3" t="str">
        <f t="shared" si="8"/>
        <v>q11COL6_hidden_apac</v>
      </c>
      <c r="B409" s="3" t="str">
        <f t="shared" si="7"/>
        <v>_apac</v>
      </c>
      <c r="C409" s="3" t="s">
        <v>578</v>
      </c>
      <c r="D409" s="12" t="s">
        <v>62</v>
      </c>
      <c r="E409" s="8" t="s">
        <v>164</v>
      </c>
      <c r="F409" s="3" t="s">
        <v>2410</v>
      </c>
    </row>
    <row r="410" spans="1:6" x14ac:dyDescent="0.25">
      <c r="A410" s="3" t="str">
        <f t="shared" si="8"/>
        <v>q11GRANDTotal_hidden_apac</v>
      </c>
      <c r="B410" s="3" t="str">
        <f t="shared" si="7"/>
        <v>_apac</v>
      </c>
      <c r="C410" s="3" t="s">
        <v>579</v>
      </c>
      <c r="D410" s="12" t="s">
        <v>62</v>
      </c>
      <c r="E410" s="8" t="s">
        <v>580</v>
      </c>
      <c r="F410" s="3" t="s">
        <v>2411</v>
      </c>
    </row>
    <row r="411" spans="1:6" x14ac:dyDescent="0.25">
      <c r="A411" s="3" t="str">
        <f t="shared" si="8"/>
        <v>EUROPE_europe</v>
      </c>
      <c r="B411" s="3" t="s">
        <v>581</v>
      </c>
      <c r="C411" s="10" t="s">
        <v>582</v>
      </c>
      <c r="D411" s="11"/>
      <c r="E411" s="9" t="s">
        <v>2952</v>
      </c>
      <c r="F411" s="3">
        <v>16</v>
      </c>
    </row>
    <row r="412" spans="1:6" x14ac:dyDescent="0.25">
      <c r="A412" s="3" t="str">
        <f t="shared" si="8"/>
        <v>q101_1_europe</v>
      </c>
      <c r="B412" s="3" t="str">
        <f t="shared" ref="B412:B475" si="9">B411</f>
        <v>_europe</v>
      </c>
      <c r="C412" s="3" t="s">
        <v>469</v>
      </c>
      <c r="D412" s="12" t="s">
        <v>62</v>
      </c>
      <c r="E412" s="3" t="s">
        <v>254</v>
      </c>
      <c r="F412" s="3" t="s">
        <v>2412</v>
      </c>
    </row>
    <row r="413" spans="1:6" x14ac:dyDescent="0.25">
      <c r="A413" s="3" t="str">
        <f t="shared" si="8"/>
        <v>q101_2_europe</v>
      </c>
      <c r="B413" s="3" t="str">
        <f t="shared" si="9"/>
        <v>_europe</v>
      </c>
      <c r="C413" s="3" t="s">
        <v>470</v>
      </c>
      <c r="D413" s="12" t="s">
        <v>62</v>
      </c>
      <c r="E413" s="3" t="s">
        <v>256</v>
      </c>
      <c r="F413" s="3" t="s">
        <v>2413</v>
      </c>
    </row>
    <row r="414" spans="1:6" x14ac:dyDescent="0.25">
      <c r="A414" s="3" t="str">
        <f t="shared" si="8"/>
        <v>q101_3_europe</v>
      </c>
      <c r="B414" s="3" t="str">
        <f t="shared" si="9"/>
        <v>_europe</v>
      </c>
      <c r="C414" s="3" t="s">
        <v>471</v>
      </c>
      <c r="D414" s="12" t="s">
        <v>62</v>
      </c>
      <c r="E414" s="3" t="s">
        <v>258</v>
      </c>
      <c r="F414" s="3" t="s">
        <v>2414</v>
      </c>
    </row>
    <row r="415" spans="1:6" x14ac:dyDescent="0.25">
      <c r="A415" s="3" t="str">
        <f t="shared" si="8"/>
        <v>q101_4_europe</v>
      </c>
      <c r="B415" s="3" t="str">
        <f t="shared" si="9"/>
        <v>_europe</v>
      </c>
      <c r="C415" s="3" t="s">
        <v>472</v>
      </c>
      <c r="D415" s="12" t="s">
        <v>62</v>
      </c>
      <c r="E415" s="3" t="s">
        <v>260</v>
      </c>
      <c r="F415" s="3" t="s">
        <v>2415</v>
      </c>
    </row>
    <row r="416" spans="1:6" x14ac:dyDescent="0.25">
      <c r="A416" s="3" t="str">
        <f t="shared" si="8"/>
        <v>q101_5_europe</v>
      </c>
      <c r="B416" s="3" t="str">
        <f t="shared" si="9"/>
        <v>_europe</v>
      </c>
      <c r="C416" s="3" t="s">
        <v>473</v>
      </c>
      <c r="D416" s="12" t="s">
        <v>62</v>
      </c>
      <c r="E416" s="3" t="s">
        <v>262</v>
      </c>
      <c r="F416" s="3" t="s">
        <v>2416</v>
      </c>
    </row>
    <row r="417" spans="1:6" x14ac:dyDescent="0.25">
      <c r="A417" s="3" t="str">
        <f t="shared" si="8"/>
        <v>q101_6_europe</v>
      </c>
      <c r="B417" s="3" t="str">
        <f t="shared" si="9"/>
        <v>_europe</v>
      </c>
      <c r="C417" s="3" t="s">
        <v>474</v>
      </c>
      <c r="D417" s="12" t="s">
        <v>62</v>
      </c>
      <c r="E417" s="3" t="s">
        <v>264</v>
      </c>
      <c r="F417" s="3" t="s">
        <v>2417</v>
      </c>
    </row>
    <row r="418" spans="1:6" x14ac:dyDescent="0.25">
      <c r="A418" s="3" t="str">
        <f t="shared" si="8"/>
        <v>q10ROW1_hidden_europe</v>
      </c>
      <c r="B418" s="3" t="str">
        <f t="shared" si="9"/>
        <v>_europe</v>
      </c>
      <c r="C418" s="3" t="s">
        <v>475</v>
      </c>
      <c r="D418" s="12" t="s">
        <v>62</v>
      </c>
      <c r="E418" s="8" t="s">
        <v>266</v>
      </c>
      <c r="F418" s="3" t="s">
        <v>2418</v>
      </c>
    </row>
    <row r="419" spans="1:6" x14ac:dyDescent="0.25">
      <c r="A419" s="3" t="str">
        <f t="shared" si="8"/>
        <v>q102_1_europe</v>
      </c>
      <c r="B419" s="3" t="str">
        <f t="shared" si="9"/>
        <v>_europe</v>
      </c>
      <c r="C419" s="3" t="s">
        <v>476</v>
      </c>
      <c r="D419" s="12" t="s">
        <v>62</v>
      </c>
      <c r="E419" s="3" t="s">
        <v>268</v>
      </c>
      <c r="F419" s="3" t="s">
        <v>2419</v>
      </c>
    </row>
    <row r="420" spans="1:6" x14ac:dyDescent="0.25">
      <c r="A420" s="3" t="str">
        <f t="shared" si="8"/>
        <v>q102_2_europe</v>
      </c>
      <c r="B420" s="3" t="str">
        <f t="shared" si="9"/>
        <v>_europe</v>
      </c>
      <c r="C420" s="3" t="s">
        <v>477</v>
      </c>
      <c r="D420" s="12" t="s">
        <v>62</v>
      </c>
      <c r="E420" s="3" t="s">
        <v>270</v>
      </c>
      <c r="F420" s="3" t="s">
        <v>2420</v>
      </c>
    </row>
    <row r="421" spans="1:6" x14ac:dyDescent="0.25">
      <c r="A421" s="3" t="str">
        <f t="shared" si="8"/>
        <v>q102_3_europe</v>
      </c>
      <c r="B421" s="3" t="str">
        <f t="shared" si="9"/>
        <v>_europe</v>
      </c>
      <c r="C421" s="3" t="s">
        <v>478</v>
      </c>
      <c r="D421" s="12" t="s">
        <v>62</v>
      </c>
      <c r="E421" s="3" t="s">
        <v>272</v>
      </c>
      <c r="F421" s="3" t="s">
        <v>2421</v>
      </c>
    </row>
    <row r="422" spans="1:6" x14ac:dyDescent="0.25">
      <c r="A422" s="3" t="str">
        <f t="shared" si="8"/>
        <v>q102_4_europe</v>
      </c>
      <c r="B422" s="3" t="str">
        <f t="shared" si="9"/>
        <v>_europe</v>
      </c>
      <c r="C422" s="3" t="s">
        <v>479</v>
      </c>
      <c r="D422" s="12" t="s">
        <v>62</v>
      </c>
      <c r="E422" s="3" t="s">
        <v>274</v>
      </c>
      <c r="F422" s="3" t="s">
        <v>2422</v>
      </c>
    </row>
    <row r="423" spans="1:6" x14ac:dyDescent="0.25">
      <c r="A423" s="3" t="str">
        <f t="shared" si="8"/>
        <v>q102_5_europe</v>
      </c>
      <c r="B423" s="3" t="str">
        <f t="shared" si="9"/>
        <v>_europe</v>
      </c>
      <c r="C423" s="3" t="s">
        <v>480</v>
      </c>
      <c r="D423" s="12" t="s">
        <v>62</v>
      </c>
      <c r="E423" s="3" t="s">
        <v>276</v>
      </c>
      <c r="F423" s="3" t="s">
        <v>2423</v>
      </c>
    </row>
    <row r="424" spans="1:6" x14ac:dyDescent="0.25">
      <c r="A424" s="3" t="str">
        <f t="shared" si="8"/>
        <v>q102_6_europe</v>
      </c>
      <c r="B424" s="3" t="str">
        <f t="shared" si="9"/>
        <v>_europe</v>
      </c>
      <c r="C424" s="3" t="s">
        <v>481</v>
      </c>
      <c r="D424" s="12" t="s">
        <v>62</v>
      </c>
      <c r="E424" s="3" t="s">
        <v>278</v>
      </c>
      <c r="F424" s="3" t="s">
        <v>2424</v>
      </c>
    </row>
    <row r="425" spans="1:6" x14ac:dyDescent="0.25">
      <c r="A425" s="3" t="str">
        <f t="shared" si="8"/>
        <v>q10ROW2_hidden_europe</v>
      </c>
      <c r="B425" s="3" t="str">
        <f t="shared" si="9"/>
        <v>_europe</v>
      </c>
      <c r="C425" s="3" t="s">
        <v>482</v>
      </c>
      <c r="D425" s="12" t="s">
        <v>62</v>
      </c>
      <c r="E425" s="8" t="s">
        <v>280</v>
      </c>
      <c r="F425" s="3" t="s">
        <v>2425</v>
      </c>
    </row>
    <row r="426" spans="1:6" x14ac:dyDescent="0.25">
      <c r="A426" s="3" t="str">
        <f t="shared" si="8"/>
        <v>q103_1_europe</v>
      </c>
      <c r="B426" s="3" t="str">
        <f t="shared" si="9"/>
        <v>_europe</v>
      </c>
      <c r="C426" s="3" t="s">
        <v>483</v>
      </c>
      <c r="D426" s="12" t="s">
        <v>62</v>
      </c>
      <c r="E426" s="3" t="s">
        <v>282</v>
      </c>
      <c r="F426" s="3" t="s">
        <v>2426</v>
      </c>
    </row>
    <row r="427" spans="1:6" x14ac:dyDescent="0.25">
      <c r="A427" s="3" t="str">
        <f t="shared" si="8"/>
        <v>q103_2_europe</v>
      </c>
      <c r="B427" s="3" t="str">
        <f t="shared" si="9"/>
        <v>_europe</v>
      </c>
      <c r="C427" s="3" t="s">
        <v>484</v>
      </c>
      <c r="D427" s="12" t="s">
        <v>62</v>
      </c>
      <c r="E427" s="3" t="s">
        <v>284</v>
      </c>
      <c r="F427" s="3" t="s">
        <v>2427</v>
      </c>
    </row>
    <row r="428" spans="1:6" x14ac:dyDescent="0.25">
      <c r="A428" s="3" t="str">
        <f t="shared" si="8"/>
        <v>q103_3_europe</v>
      </c>
      <c r="B428" s="3" t="str">
        <f t="shared" si="9"/>
        <v>_europe</v>
      </c>
      <c r="C428" s="3" t="s">
        <v>485</v>
      </c>
      <c r="D428" s="12" t="s">
        <v>62</v>
      </c>
      <c r="E428" s="3" t="s">
        <v>286</v>
      </c>
      <c r="F428" s="3" t="s">
        <v>2428</v>
      </c>
    </row>
    <row r="429" spans="1:6" x14ac:dyDescent="0.25">
      <c r="A429" s="3" t="str">
        <f t="shared" si="8"/>
        <v>q103_4_europe</v>
      </c>
      <c r="B429" s="3" t="str">
        <f t="shared" si="9"/>
        <v>_europe</v>
      </c>
      <c r="C429" s="3" t="s">
        <v>486</v>
      </c>
      <c r="D429" s="12" t="s">
        <v>62</v>
      </c>
      <c r="E429" s="3" t="s">
        <v>288</v>
      </c>
      <c r="F429" s="3" t="s">
        <v>2429</v>
      </c>
    </row>
    <row r="430" spans="1:6" x14ac:dyDescent="0.25">
      <c r="A430" s="3" t="str">
        <f t="shared" si="8"/>
        <v>q103_5_europe</v>
      </c>
      <c r="B430" s="3" t="str">
        <f t="shared" si="9"/>
        <v>_europe</v>
      </c>
      <c r="C430" s="3" t="s">
        <v>487</v>
      </c>
      <c r="D430" s="12" t="s">
        <v>62</v>
      </c>
      <c r="E430" s="3" t="s">
        <v>290</v>
      </c>
      <c r="F430" s="3" t="s">
        <v>2430</v>
      </c>
    </row>
    <row r="431" spans="1:6" x14ac:dyDescent="0.25">
      <c r="A431" s="3" t="str">
        <f t="shared" si="8"/>
        <v>q103_6_europe</v>
      </c>
      <c r="B431" s="3" t="str">
        <f t="shared" si="9"/>
        <v>_europe</v>
      </c>
      <c r="C431" s="3" t="s">
        <v>488</v>
      </c>
      <c r="D431" s="12" t="s">
        <v>62</v>
      </c>
      <c r="E431" s="3" t="s">
        <v>292</v>
      </c>
      <c r="F431" s="3" t="s">
        <v>2431</v>
      </c>
    </row>
    <row r="432" spans="1:6" x14ac:dyDescent="0.25">
      <c r="A432" s="3" t="str">
        <f t="shared" si="8"/>
        <v>q10ROW3_hidden_europe</v>
      </c>
      <c r="B432" s="3" t="str">
        <f t="shared" si="9"/>
        <v>_europe</v>
      </c>
      <c r="C432" s="3" t="s">
        <v>489</v>
      </c>
      <c r="D432" s="12" t="s">
        <v>62</v>
      </c>
      <c r="E432" s="8" t="s">
        <v>294</v>
      </c>
      <c r="F432" s="3" t="s">
        <v>2432</v>
      </c>
    </row>
    <row r="433" spans="1:6" x14ac:dyDescent="0.25">
      <c r="A433" s="3" t="str">
        <f t="shared" si="8"/>
        <v>q104_1_europe</v>
      </c>
      <c r="B433" s="3" t="str">
        <f t="shared" si="9"/>
        <v>_europe</v>
      </c>
      <c r="C433" s="3" t="s">
        <v>490</v>
      </c>
      <c r="D433" s="12" t="s">
        <v>62</v>
      </c>
      <c r="E433" s="3" t="s">
        <v>296</v>
      </c>
      <c r="F433" s="3" t="s">
        <v>2433</v>
      </c>
    </row>
    <row r="434" spans="1:6" x14ac:dyDescent="0.25">
      <c r="A434" s="3" t="str">
        <f t="shared" si="8"/>
        <v>q104_2_europe</v>
      </c>
      <c r="B434" s="3" t="str">
        <f t="shared" si="9"/>
        <v>_europe</v>
      </c>
      <c r="C434" s="3" t="s">
        <v>491</v>
      </c>
      <c r="D434" s="12" t="s">
        <v>62</v>
      </c>
      <c r="E434" s="3" t="s">
        <v>298</v>
      </c>
      <c r="F434" s="3" t="s">
        <v>2434</v>
      </c>
    </row>
    <row r="435" spans="1:6" x14ac:dyDescent="0.25">
      <c r="A435" s="3" t="str">
        <f t="shared" si="8"/>
        <v>q104_3_europe</v>
      </c>
      <c r="B435" s="3" t="str">
        <f t="shared" si="9"/>
        <v>_europe</v>
      </c>
      <c r="C435" s="3" t="s">
        <v>492</v>
      </c>
      <c r="D435" s="12" t="s">
        <v>62</v>
      </c>
      <c r="E435" s="3" t="s">
        <v>300</v>
      </c>
      <c r="F435" s="3" t="s">
        <v>2435</v>
      </c>
    </row>
    <row r="436" spans="1:6" x14ac:dyDescent="0.25">
      <c r="A436" s="3" t="str">
        <f t="shared" si="8"/>
        <v>q104_4_europe</v>
      </c>
      <c r="B436" s="3" t="str">
        <f t="shared" si="9"/>
        <v>_europe</v>
      </c>
      <c r="C436" s="3" t="s">
        <v>493</v>
      </c>
      <c r="D436" s="12" t="s">
        <v>62</v>
      </c>
      <c r="E436" s="3" t="s">
        <v>302</v>
      </c>
      <c r="F436" s="3" t="s">
        <v>2436</v>
      </c>
    </row>
    <row r="437" spans="1:6" x14ac:dyDescent="0.25">
      <c r="A437" s="3" t="str">
        <f t="shared" si="8"/>
        <v>q104_5_europe</v>
      </c>
      <c r="B437" s="3" t="str">
        <f t="shared" si="9"/>
        <v>_europe</v>
      </c>
      <c r="C437" s="3" t="s">
        <v>494</v>
      </c>
      <c r="D437" s="12" t="s">
        <v>62</v>
      </c>
      <c r="E437" s="3" t="s">
        <v>304</v>
      </c>
      <c r="F437" s="3" t="s">
        <v>2437</v>
      </c>
    </row>
    <row r="438" spans="1:6" x14ac:dyDescent="0.25">
      <c r="A438" s="3" t="str">
        <f t="shared" si="8"/>
        <v>q104_6_europe</v>
      </c>
      <c r="B438" s="3" t="str">
        <f t="shared" si="9"/>
        <v>_europe</v>
      </c>
      <c r="C438" s="3" t="s">
        <v>495</v>
      </c>
      <c r="D438" s="12" t="s">
        <v>62</v>
      </c>
      <c r="E438" s="3" t="s">
        <v>306</v>
      </c>
      <c r="F438" s="3" t="s">
        <v>2438</v>
      </c>
    </row>
    <row r="439" spans="1:6" x14ac:dyDescent="0.25">
      <c r="A439" s="3" t="str">
        <f t="shared" si="8"/>
        <v>q10ROW4_hidden_europe</v>
      </c>
      <c r="B439" s="3" t="str">
        <f t="shared" si="9"/>
        <v>_europe</v>
      </c>
      <c r="C439" s="3" t="s">
        <v>496</v>
      </c>
      <c r="D439" s="12" t="s">
        <v>62</v>
      </c>
      <c r="E439" s="8" t="s">
        <v>308</v>
      </c>
      <c r="F439" s="3" t="s">
        <v>2439</v>
      </c>
    </row>
    <row r="440" spans="1:6" x14ac:dyDescent="0.25">
      <c r="A440" s="3" t="str">
        <f t="shared" si="8"/>
        <v>q105_1_europe</v>
      </c>
      <c r="B440" s="3" t="str">
        <f t="shared" si="9"/>
        <v>_europe</v>
      </c>
      <c r="C440" s="3" t="s">
        <v>497</v>
      </c>
      <c r="D440" s="12" t="s">
        <v>62</v>
      </c>
      <c r="E440" s="3" t="s">
        <v>310</v>
      </c>
      <c r="F440" s="3" t="s">
        <v>2440</v>
      </c>
    </row>
    <row r="441" spans="1:6" x14ac:dyDescent="0.25">
      <c r="A441" s="3" t="str">
        <f t="shared" si="8"/>
        <v>q105_2_europe</v>
      </c>
      <c r="B441" s="3" t="str">
        <f t="shared" si="9"/>
        <v>_europe</v>
      </c>
      <c r="C441" s="3" t="s">
        <v>498</v>
      </c>
      <c r="D441" s="12" t="s">
        <v>62</v>
      </c>
      <c r="E441" s="3" t="s">
        <v>312</v>
      </c>
      <c r="F441" s="3" t="s">
        <v>2441</v>
      </c>
    </row>
    <row r="442" spans="1:6" x14ac:dyDescent="0.25">
      <c r="A442" s="3" t="str">
        <f t="shared" si="8"/>
        <v>q105_3_europe</v>
      </c>
      <c r="B442" s="3" t="str">
        <f t="shared" si="9"/>
        <v>_europe</v>
      </c>
      <c r="C442" s="3" t="s">
        <v>499</v>
      </c>
      <c r="D442" s="12" t="s">
        <v>62</v>
      </c>
      <c r="E442" s="3" t="s">
        <v>314</v>
      </c>
      <c r="F442" s="3" t="s">
        <v>2442</v>
      </c>
    </row>
    <row r="443" spans="1:6" x14ac:dyDescent="0.25">
      <c r="A443" s="3" t="str">
        <f t="shared" si="8"/>
        <v>q105_4_europe</v>
      </c>
      <c r="B443" s="3" t="str">
        <f t="shared" si="9"/>
        <v>_europe</v>
      </c>
      <c r="C443" s="3" t="s">
        <v>500</v>
      </c>
      <c r="D443" s="12" t="s">
        <v>62</v>
      </c>
      <c r="E443" s="3" t="s">
        <v>316</v>
      </c>
      <c r="F443" s="3" t="s">
        <v>2443</v>
      </c>
    </row>
    <row r="444" spans="1:6" x14ac:dyDescent="0.25">
      <c r="A444" s="3" t="str">
        <f t="shared" si="8"/>
        <v>q105_5_europe</v>
      </c>
      <c r="B444" s="3" t="str">
        <f t="shared" si="9"/>
        <v>_europe</v>
      </c>
      <c r="C444" s="3" t="s">
        <v>501</v>
      </c>
      <c r="D444" s="12" t="s">
        <v>62</v>
      </c>
      <c r="E444" s="3" t="s">
        <v>318</v>
      </c>
      <c r="F444" s="3" t="s">
        <v>2444</v>
      </c>
    </row>
    <row r="445" spans="1:6" x14ac:dyDescent="0.25">
      <c r="A445" s="3" t="str">
        <f t="shared" si="8"/>
        <v>q105_6_europe</v>
      </c>
      <c r="B445" s="3" t="str">
        <f t="shared" si="9"/>
        <v>_europe</v>
      </c>
      <c r="C445" s="3" t="s">
        <v>502</v>
      </c>
      <c r="D445" s="12" t="s">
        <v>62</v>
      </c>
      <c r="E445" s="3" t="s">
        <v>320</v>
      </c>
      <c r="F445" s="3" t="s">
        <v>2445</v>
      </c>
    </row>
    <row r="446" spans="1:6" x14ac:dyDescent="0.25">
      <c r="A446" s="3" t="str">
        <f t="shared" si="8"/>
        <v>q10ROW5_hidden_europe</v>
      </c>
      <c r="B446" s="3" t="str">
        <f t="shared" si="9"/>
        <v>_europe</v>
      </c>
      <c r="C446" s="3" t="s">
        <v>503</v>
      </c>
      <c r="D446" s="12" t="s">
        <v>62</v>
      </c>
      <c r="E446" s="8" t="s">
        <v>322</v>
      </c>
      <c r="F446" s="3" t="s">
        <v>2446</v>
      </c>
    </row>
    <row r="447" spans="1:6" x14ac:dyDescent="0.25">
      <c r="A447" s="3" t="str">
        <f t="shared" si="8"/>
        <v>q106_1_europe</v>
      </c>
      <c r="B447" s="3" t="str">
        <f t="shared" si="9"/>
        <v>_europe</v>
      </c>
      <c r="C447" s="3" t="s">
        <v>504</v>
      </c>
      <c r="D447" s="12" t="s">
        <v>62</v>
      </c>
      <c r="E447" s="3" t="s">
        <v>324</v>
      </c>
      <c r="F447" s="3" t="s">
        <v>2447</v>
      </c>
    </row>
    <row r="448" spans="1:6" x14ac:dyDescent="0.25">
      <c r="A448" s="3" t="str">
        <f t="shared" si="8"/>
        <v>q106_2_europe</v>
      </c>
      <c r="B448" s="3" t="str">
        <f t="shared" si="9"/>
        <v>_europe</v>
      </c>
      <c r="C448" s="3" t="s">
        <v>505</v>
      </c>
      <c r="D448" s="12" t="s">
        <v>62</v>
      </c>
      <c r="E448" s="3" t="s">
        <v>326</v>
      </c>
      <c r="F448" s="3" t="s">
        <v>2448</v>
      </c>
    </row>
    <row r="449" spans="1:6" x14ac:dyDescent="0.25">
      <c r="A449" s="3" t="str">
        <f t="shared" si="8"/>
        <v>q106_3_europe</v>
      </c>
      <c r="B449" s="3" t="str">
        <f t="shared" si="9"/>
        <v>_europe</v>
      </c>
      <c r="C449" s="3" t="s">
        <v>506</v>
      </c>
      <c r="D449" s="12" t="s">
        <v>62</v>
      </c>
      <c r="E449" s="3" t="s">
        <v>328</v>
      </c>
      <c r="F449" s="3" t="s">
        <v>2449</v>
      </c>
    </row>
    <row r="450" spans="1:6" x14ac:dyDescent="0.25">
      <c r="A450" s="3" t="str">
        <f t="shared" si="8"/>
        <v>q106_4_europe</v>
      </c>
      <c r="B450" s="3" t="str">
        <f t="shared" si="9"/>
        <v>_europe</v>
      </c>
      <c r="C450" s="3" t="s">
        <v>507</v>
      </c>
      <c r="D450" s="12" t="s">
        <v>62</v>
      </c>
      <c r="E450" s="3" t="s">
        <v>330</v>
      </c>
      <c r="F450" s="3" t="s">
        <v>2450</v>
      </c>
    </row>
    <row r="451" spans="1:6" x14ac:dyDescent="0.25">
      <c r="A451" s="3" t="str">
        <f t="shared" ref="A451:A514" si="10">_xlfn.CONCAT(C451,B451)</f>
        <v>q106_5_europe</v>
      </c>
      <c r="B451" s="3" t="str">
        <f t="shared" si="9"/>
        <v>_europe</v>
      </c>
      <c r="C451" s="3" t="s">
        <v>508</v>
      </c>
      <c r="D451" s="12" t="s">
        <v>62</v>
      </c>
      <c r="E451" s="3" t="s">
        <v>332</v>
      </c>
      <c r="F451" s="3" t="s">
        <v>2451</v>
      </c>
    </row>
    <row r="452" spans="1:6" x14ac:dyDescent="0.25">
      <c r="A452" s="3" t="str">
        <f t="shared" si="10"/>
        <v>q106_6_europe</v>
      </c>
      <c r="B452" s="3" t="str">
        <f t="shared" si="9"/>
        <v>_europe</v>
      </c>
      <c r="C452" s="3" t="s">
        <v>509</v>
      </c>
      <c r="D452" s="12" t="s">
        <v>62</v>
      </c>
      <c r="E452" s="3" t="s">
        <v>334</v>
      </c>
      <c r="F452" s="3" t="s">
        <v>2452</v>
      </c>
    </row>
    <row r="453" spans="1:6" x14ac:dyDescent="0.25">
      <c r="A453" s="3" t="str">
        <f t="shared" si="10"/>
        <v>q10ROW6_hidden_europe</v>
      </c>
      <c r="B453" s="3" t="str">
        <f t="shared" si="9"/>
        <v>_europe</v>
      </c>
      <c r="C453" s="3" t="s">
        <v>510</v>
      </c>
      <c r="D453" s="12" t="s">
        <v>62</v>
      </c>
      <c r="E453" s="8" t="s">
        <v>162</v>
      </c>
      <c r="F453" s="3" t="s">
        <v>2453</v>
      </c>
    </row>
    <row r="454" spans="1:6" x14ac:dyDescent="0.25">
      <c r="A454" s="3" t="str">
        <f t="shared" si="10"/>
        <v>q107_1_europe</v>
      </c>
      <c r="B454" s="3" t="str">
        <f t="shared" si="9"/>
        <v>_europe</v>
      </c>
      <c r="C454" s="3" t="s">
        <v>511</v>
      </c>
      <c r="D454" s="12" t="s">
        <v>62</v>
      </c>
      <c r="E454" s="3" t="s">
        <v>337</v>
      </c>
      <c r="F454" s="3" t="s">
        <v>2454</v>
      </c>
    </row>
    <row r="455" spans="1:6" x14ac:dyDescent="0.25">
      <c r="A455" s="3" t="str">
        <f t="shared" si="10"/>
        <v>q107_2_europe</v>
      </c>
      <c r="B455" s="3" t="str">
        <f t="shared" si="9"/>
        <v>_europe</v>
      </c>
      <c r="C455" s="3" t="s">
        <v>512</v>
      </c>
      <c r="D455" s="12" t="s">
        <v>62</v>
      </c>
      <c r="E455" s="3" t="s">
        <v>339</v>
      </c>
      <c r="F455" s="3" t="s">
        <v>2455</v>
      </c>
    </row>
    <row r="456" spans="1:6" x14ac:dyDescent="0.25">
      <c r="A456" s="3" t="str">
        <f t="shared" si="10"/>
        <v>q107_3_europe</v>
      </c>
      <c r="B456" s="3" t="str">
        <f t="shared" si="9"/>
        <v>_europe</v>
      </c>
      <c r="C456" s="3" t="s">
        <v>513</v>
      </c>
      <c r="D456" s="12" t="s">
        <v>62</v>
      </c>
      <c r="E456" s="3" t="s">
        <v>341</v>
      </c>
      <c r="F456" s="3" t="s">
        <v>2456</v>
      </c>
    </row>
    <row r="457" spans="1:6" x14ac:dyDescent="0.25">
      <c r="A457" s="3" t="str">
        <f t="shared" si="10"/>
        <v>q107_4_europe</v>
      </c>
      <c r="B457" s="3" t="str">
        <f t="shared" si="9"/>
        <v>_europe</v>
      </c>
      <c r="C457" s="3" t="s">
        <v>514</v>
      </c>
      <c r="D457" s="12" t="s">
        <v>62</v>
      </c>
      <c r="E457" s="3" t="s">
        <v>343</v>
      </c>
      <c r="F457" s="3" t="s">
        <v>2457</v>
      </c>
    </row>
    <row r="458" spans="1:6" x14ac:dyDescent="0.25">
      <c r="A458" s="3" t="str">
        <f t="shared" si="10"/>
        <v>q107_5_europe</v>
      </c>
      <c r="B458" s="3" t="str">
        <f t="shared" si="9"/>
        <v>_europe</v>
      </c>
      <c r="C458" s="3" t="s">
        <v>515</v>
      </c>
      <c r="D458" s="12" t="s">
        <v>62</v>
      </c>
      <c r="E458" s="3" t="s">
        <v>345</v>
      </c>
      <c r="F458" s="3" t="s">
        <v>2458</v>
      </c>
    </row>
    <row r="459" spans="1:6" x14ac:dyDescent="0.25">
      <c r="A459" s="3" t="str">
        <f t="shared" si="10"/>
        <v>q107_6_europe</v>
      </c>
      <c r="B459" s="3" t="str">
        <f t="shared" si="9"/>
        <v>_europe</v>
      </c>
      <c r="C459" s="3" t="s">
        <v>516</v>
      </c>
      <c r="D459" s="12" t="s">
        <v>62</v>
      </c>
      <c r="E459" s="3" t="s">
        <v>347</v>
      </c>
      <c r="F459" s="3" t="s">
        <v>2459</v>
      </c>
    </row>
    <row r="460" spans="1:6" x14ac:dyDescent="0.25">
      <c r="A460" s="3" t="str">
        <f t="shared" si="10"/>
        <v>q10ROW7_hidden_europe</v>
      </c>
      <c r="B460" s="3" t="str">
        <f t="shared" si="9"/>
        <v>_europe</v>
      </c>
      <c r="C460" s="3" t="s">
        <v>517</v>
      </c>
      <c r="D460" s="12" t="s">
        <v>62</v>
      </c>
      <c r="E460" s="8" t="s">
        <v>349</v>
      </c>
      <c r="F460" s="3" t="s">
        <v>2460</v>
      </c>
    </row>
    <row r="461" spans="1:6" x14ac:dyDescent="0.25">
      <c r="A461" s="3" t="str">
        <f t="shared" si="10"/>
        <v>q10other_europe</v>
      </c>
      <c r="B461" s="3" t="str">
        <f t="shared" si="9"/>
        <v>_europe</v>
      </c>
      <c r="C461" s="3" t="s">
        <v>518</v>
      </c>
      <c r="D461" s="12" t="s">
        <v>38</v>
      </c>
      <c r="E461" s="3" t="s">
        <v>351</v>
      </c>
      <c r="F461" s="3" t="s">
        <v>2461</v>
      </c>
    </row>
    <row r="462" spans="1:6" x14ac:dyDescent="0.25">
      <c r="A462" s="3" t="str">
        <f t="shared" si="10"/>
        <v>q108_1_europe</v>
      </c>
      <c r="B462" s="3" t="str">
        <f t="shared" si="9"/>
        <v>_europe</v>
      </c>
      <c r="C462" s="3" t="s">
        <v>519</v>
      </c>
      <c r="D462" s="12" t="s">
        <v>62</v>
      </c>
      <c r="E462" s="3" t="s">
        <v>353</v>
      </c>
      <c r="F462" s="3" t="s">
        <v>2462</v>
      </c>
    </row>
    <row r="463" spans="1:6" x14ac:dyDescent="0.25">
      <c r="A463" s="3" t="str">
        <f t="shared" si="10"/>
        <v>q108_2_europe</v>
      </c>
      <c r="B463" s="3" t="str">
        <f t="shared" si="9"/>
        <v>_europe</v>
      </c>
      <c r="C463" s="3" t="s">
        <v>520</v>
      </c>
      <c r="D463" s="12" t="s">
        <v>62</v>
      </c>
      <c r="E463" s="3" t="s">
        <v>355</v>
      </c>
      <c r="F463" s="3" t="s">
        <v>2463</v>
      </c>
    </row>
    <row r="464" spans="1:6" x14ac:dyDescent="0.25">
      <c r="A464" s="3" t="str">
        <f t="shared" si="10"/>
        <v>q108_3_europe</v>
      </c>
      <c r="B464" s="3" t="str">
        <f t="shared" si="9"/>
        <v>_europe</v>
      </c>
      <c r="C464" s="3" t="s">
        <v>521</v>
      </c>
      <c r="D464" s="12" t="s">
        <v>62</v>
      </c>
      <c r="E464" s="3" t="s">
        <v>357</v>
      </c>
      <c r="F464" s="3" t="s">
        <v>2464</v>
      </c>
    </row>
    <row r="465" spans="1:6" x14ac:dyDescent="0.25">
      <c r="A465" s="3" t="str">
        <f t="shared" si="10"/>
        <v>q108_4_europe</v>
      </c>
      <c r="B465" s="3" t="str">
        <f t="shared" si="9"/>
        <v>_europe</v>
      </c>
      <c r="C465" s="3" t="s">
        <v>522</v>
      </c>
      <c r="D465" s="12" t="s">
        <v>62</v>
      </c>
      <c r="E465" s="3" t="s">
        <v>359</v>
      </c>
      <c r="F465" s="3" t="s">
        <v>2465</v>
      </c>
    </row>
    <row r="466" spans="1:6" x14ac:dyDescent="0.25">
      <c r="A466" s="3" t="str">
        <f t="shared" si="10"/>
        <v>q108_5_europe</v>
      </c>
      <c r="B466" s="3" t="str">
        <f t="shared" si="9"/>
        <v>_europe</v>
      </c>
      <c r="C466" s="3" t="s">
        <v>523</v>
      </c>
      <c r="D466" s="12" t="s">
        <v>62</v>
      </c>
      <c r="E466" s="3" t="s">
        <v>361</v>
      </c>
      <c r="F466" s="3" t="s">
        <v>2466</v>
      </c>
    </row>
    <row r="467" spans="1:6" x14ac:dyDescent="0.25">
      <c r="A467" s="3" t="str">
        <f t="shared" si="10"/>
        <v>q108_6_europe</v>
      </c>
      <c r="B467" s="3" t="str">
        <f t="shared" si="9"/>
        <v>_europe</v>
      </c>
      <c r="C467" s="3" t="s">
        <v>524</v>
      </c>
      <c r="D467" s="12" t="s">
        <v>62</v>
      </c>
      <c r="E467" s="3" t="s">
        <v>363</v>
      </c>
      <c r="F467" s="3" t="s">
        <v>2467</v>
      </c>
    </row>
    <row r="468" spans="1:6" x14ac:dyDescent="0.25">
      <c r="A468" s="3" t="str">
        <f t="shared" si="10"/>
        <v>q10ROW8_hidden_europe</v>
      </c>
      <c r="B468" s="3" t="str">
        <f t="shared" si="9"/>
        <v>_europe</v>
      </c>
      <c r="C468" s="3" t="s">
        <v>525</v>
      </c>
      <c r="D468" s="12" t="s">
        <v>62</v>
      </c>
      <c r="E468" s="8" t="s">
        <v>365</v>
      </c>
      <c r="F468" s="3" t="s">
        <v>2468</v>
      </c>
    </row>
    <row r="469" spans="1:6" x14ac:dyDescent="0.25">
      <c r="A469" s="3" t="str">
        <f t="shared" si="10"/>
        <v>q10COL1_hidden_europe</v>
      </c>
      <c r="B469" s="3" t="str">
        <f t="shared" si="9"/>
        <v>_europe</v>
      </c>
      <c r="C469" s="3" t="s">
        <v>526</v>
      </c>
      <c r="D469" s="12" t="s">
        <v>62</v>
      </c>
      <c r="E469" s="8" t="s">
        <v>154</v>
      </c>
      <c r="F469" s="3" t="s">
        <v>2469</v>
      </c>
    </row>
    <row r="470" spans="1:6" x14ac:dyDescent="0.25">
      <c r="A470" s="3" t="str">
        <f t="shared" si="10"/>
        <v>q10COL2_hidden_europe</v>
      </c>
      <c r="B470" s="3" t="str">
        <f t="shared" si="9"/>
        <v>_europe</v>
      </c>
      <c r="C470" s="3" t="s">
        <v>527</v>
      </c>
      <c r="D470" s="12" t="s">
        <v>62</v>
      </c>
      <c r="E470" s="8" t="s">
        <v>156</v>
      </c>
      <c r="F470" s="3" t="s">
        <v>2470</v>
      </c>
    </row>
    <row r="471" spans="1:6" x14ac:dyDescent="0.25">
      <c r="A471" s="3" t="str">
        <f t="shared" si="10"/>
        <v>q10COL3_hidden_europe</v>
      </c>
      <c r="B471" s="3" t="str">
        <f t="shared" si="9"/>
        <v>_europe</v>
      </c>
      <c r="C471" s="3" t="s">
        <v>528</v>
      </c>
      <c r="D471" s="12" t="s">
        <v>62</v>
      </c>
      <c r="E471" s="8" t="s">
        <v>158</v>
      </c>
      <c r="F471" s="3" t="s">
        <v>2471</v>
      </c>
    </row>
    <row r="472" spans="1:6" x14ac:dyDescent="0.25">
      <c r="A472" s="3" t="str">
        <f t="shared" si="10"/>
        <v>q10COL4_hidden_europe</v>
      </c>
      <c r="B472" s="3" t="str">
        <f t="shared" si="9"/>
        <v>_europe</v>
      </c>
      <c r="C472" s="3" t="s">
        <v>529</v>
      </c>
      <c r="D472" s="12" t="s">
        <v>62</v>
      </c>
      <c r="E472" s="8" t="s">
        <v>160</v>
      </c>
      <c r="F472" s="3" t="s">
        <v>2472</v>
      </c>
    </row>
    <row r="473" spans="1:6" x14ac:dyDescent="0.25">
      <c r="A473" s="3" t="str">
        <f t="shared" si="10"/>
        <v>q10COL5_hidden_europe</v>
      </c>
      <c r="B473" s="3" t="str">
        <f t="shared" si="9"/>
        <v>_europe</v>
      </c>
      <c r="C473" s="3" t="s">
        <v>530</v>
      </c>
      <c r="D473" s="12" t="s">
        <v>62</v>
      </c>
      <c r="E473" s="8" t="s">
        <v>162</v>
      </c>
      <c r="F473" s="3" t="s">
        <v>2473</v>
      </c>
    </row>
    <row r="474" spans="1:6" x14ac:dyDescent="0.25">
      <c r="A474" s="3" t="str">
        <f t="shared" si="10"/>
        <v>q10COL6_hidden_europe</v>
      </c>
      <c r="B474" s="3" t="str">
        <f t="shared" si="9"/>
        <v>_europe</v>
      </c>
      <c r="C474" s="3" t="s">
        <v>531</v>
      </c>
      <c r="D474" s="12" t="s">
        <v>62</v>
      </c>
      <c r="E474" s="8" t="s">
        <v>164</v>
      </c>
      <c r="F474" s="3" t="s">
        <v>2474</v>
      </c>
    </row>
    <row r="475" spans="1:6" x14ac:dyDescent="0.25">
      <c r="A475" s="3" t="str">
        <f t="shared" si="10"/>
        <v>q10GRANDTotal_hidden_europe</v>
      </c>
      <c r="B475" s="3" t="str">
        <f t="shared" si="9"/>
        <v>_europe</v>
      </c>
      <c r="C475" s="3" t="s">
        <v>532</v>
      </c>
      <c r="D475" s="12" t="s">
        <v>62</v>
      </c>
      <c r="E475" s="8" t="s">
        <v>533</v>
      </c>
      <c r="F475" s="3" t="s">
        <v>2475</v>
      </c>
    </row>
    <row r="476" spans="1:6" x14ac:dyDescent="0.25">
      <c r="A476" s="3" t="str">
        <f t="shared" si="10"/>
        <v>_europe</v>
      </c>
      <c r="B476" s="3" t="str">
        <f t="shared" ref="B476:B518" si="11">B475</f>
        <v>_europe</v>
      </c>
      <c r="C476" s="6"/>
      <c r="D476" s="6"/>
      <c r="E476" s="9" t="s">
        <v>2953</v>
      </c>
      <c r="F476" s="3">
        <v>17</v>
      </c>
    </row>
    <row r="477" spans="1:6" x14ac:dyDescent="0.25">
      <c r="A477" s="3" t="str">
        <f t="shared" si="10"/>
        <v>q111_1_europe</v>
      </c>
      <c r="B477" s="3" t="str">
        <f t="shared" si="11"/>
        <v>_europe</v>
      </c>
      <c r="C477" s="3" t="s">
        <v>534</v>
      </c>
      <c r="D477" s="12" t="s">
        <v>62</v>
      </c>
      <c r="E477" s="3" t="s">
        <v>388</v>
      </c>
      <c r="F477" s="3" t="s">
        <v>2476</v>
      </c>
    </row>
    <row r="478" spans="1:6" x14ac:dyDescent="0.25">
      <c r="A478" s="3" t="str">
        <f t="shared" si="10"/>
        <v>q111_2_europe</v>
      </c>
      <c r="B478" s="3" t="str">
        <f t="shared" si="11"/>
        <v>_europe</v>
      </c>
      <c r="C478" s="3" t="s">
        <v>535</v>
      </c>
      <c r="D478" s="12" t="s">
        <v>62</v>
      </c>
      <c r="E478" s="3" t="s">
        <v>390</v>
      </c>
      <c r="F478" s="3" t="s">
        <v>2477</v>
      </c>
    </row>
    <row r="479" spans="1:6" x14ac:dyDescent="0.25">
      <c r="A479" s="3" t="str">
        <f t="shared" si="10"/>
        <v>q111_3_europe</v>
      </c>
      <c r="B479" s="3" t="str">
        <f t="shared" si="11"/>
        <v>_europe</v>
      </c>
      <c r="C479" s="3" t="s">
        <v>536</v>
      </c>
      <c r="D479" s="12" t="s">
        <v>62</v>
      </c>
      <c r="E479" s="3" t="s">
        <v>392</v>
      </c>
      <c r="F479" s="3" t="s">
        <v>2478</v>
      </c>
    </row>
    <row r="480" spans="1:6" x14ac:dyDescent="0.25">
      <c r="A480" s="3" t="str">
        <f t="shared" si="10"/>
        <v>q111_4_europe</v>
      </c>
      <c r="B480" s="3" t="str">
        <f t="shared" si="11"/>
        <v>_europe</v>
      </c>
      <c r="C480" s="3" t="s">
        <v>537</v>
      </c>
      <c r="D480" s="12" t="s">
        <v>62</v>
      </c>
      <c r="E480" s="3" t="s">
        <v>394</v>
      </c>
      <c r="F480" s="3" t="s">
        <v>2479</v>
      </c>
    </row>
    <row r="481" spans="1:6" x14ac:dyDescent="0.25">
      <c r="A481" s="3" t="str">
        <f t="shared" si="10"/>
        <v>q111_5_europe</v>
      </c>
      <c r="B481" s="3" t="str">
        <f t="shared" si="11"/>
        <v>_europe</v>
      </c>
      <c r="C481" s="3" t="s">
        <v>538</v>
      </c>
      <c r="D481" s="12" t="s">
        <v>62</v>
      </c>
      <c r="E481" s="3" t="s">
        <v>396</v>
      </c>
      <c r="F481" s="3" t="s">
        <v>2480</v>
      </c>
    </row>
    <row r="482" spans="1:6" x14ac:dyDescent="0.25">
      <c r="A482" s="3" t="str">
        <f t="shared" si="10"/>
        <v>q111_6_europe</v>
      </c>
      <c r="B482" s="3" t="str">
        <f t="shared" si="11"/>
        <v>_europe</v>
      </c>
      <c r="C482" s="3" t="s">
        <v>539</v>
      </c>
      <c r="D482" s="12" t="s">
        <v>62</v>
      </c>
      <c r="E482" s="3" t="s">
        <v>398</v>
      </c>
      <c r="F482" s="3" t="s">
        <v>2481</v>
      </c>
    </row>
    <row r="483" spans="1:6" x14ac:dyDescent="0.25">
      <c r="A483" s="3" t="str">
        <f t="shared" si="10"/>
        <v>q11ROW1_hidden_europe</v>
      </c>
      <c r="B483" s="3" t="str">
        <f t="shared" si="11"/>
        <v>_europe</v>
      </c>
      <c r="C483" s="3" t="s">
        <v>540</v>
      </c>
      <c r="D483" s="12" t="s">
        <v>62</v>
      </c>
      <c r="E483" s="8" t="s">
        <v>541</v>
      </c>
      <c r="F483" s="3" t="s">
        <v>2482</v>
      </c>
    </row>
    <row r="484" spans="1:6" x14ac:dyDescent="0.25">
      <c r="A484" s="3" t="str">
        <f t="shared" si="10"/>
        <v>q112_1_europe</v>
      </c>
      <c r="B484" s="3" t="str">
        <f t="shared" si="11"/>
        <v>_europe</v>
      </c>
      <c r="C484" s="3" t="s">
        <v>542</v>
      </c>
      <c r="D484" s="12" t="s">
        <v>62</v>
      </c>
      <c r="E484" s="3" t="s">
        <v>374</v>
      </c>
      <c r="F484" s="3" t="s">
        <v>2483</v>
      </c>
    </row>
    <row r="485" spans="1:6" x14ac:dyDescent="0.25">
      <c r="A485" s="3" t="str">
        <f t="shared" si="10"/>
        <v>q112_2_europe</v>
      </c>
      <c r="B485" s="3" t="str">
        <f t="shared" si="11"/>
        <v>_europe</v>
      </c>
      <c r="C485" s="3" t="s">
        <v>543</v>
      </c>
      <c r="D485" s="12" t="s">
        <v>62</v>
      </c>
      <c r="E485" s="3" t="s">
        <v>376</v>
      </c>
      <c r="F485" s="3" t="s">
        <v>2484</v>
      </c>
    </row>
    <row r="486" spans="1:6" x14ac:dyDescent="0.25">
      <c r="A486" s="3" t="str">
        <f t="shared" si="10"/>
        <v>q112_3_europe</v>
      </c>
      <c r="B486" s="3" t="str">
        <f t="shared" si="11"/>
        <v>_europe</v>
      </c>
      <c r="C486" s="3" t="s">
        <v>544</v>
      </c>
      <c r="D486" s="12" t="s">
        <v>62</v>
      </c>
      <c r="E486" s="3" t="s">
        <v>378</v>
      </c>
      <c r="F486" s="3" t="s">
        <v>2485</v>
      </c>
    </row>
    <row r="487" spans="1:6" x14ac:dyDescent="0.25">
      <c r="A487" s="3" t="str">
        <f t="shared" si="10"/>
        <v>q112_4_europe</v>
      </c>
      <c r="B487" s="3" t="str">
        <f t="shared" si="11"/>
        <v>_europe</v>
      </c>
      <c r="C487" s="3" t="s">
        <v>545</v>
      </c>
      <c r="D487" s="12" t="s">
        <v>62</v>
      </c>
      <c r="E487" s="3" t="s">
        <v>380</v>
      </c>
      <c r="F487" s="3" t="s">
        <v>2486</v>
      </c>
    </row>
    <row r="488" spans="1:6" x14ac:dyDescent="0.25">
      <c r="A488" s="3" t="str">
        <f t="shared" si="10"/>
        <v>q112_5_europe</v>
      </c>
      <c r="B488" s="3" t="str">
        <f t="shared" si="11"/>
        <v>_europe</v>
      </c>
      <c r="C488" s="3" t="s">
        <v>546</v>
      </c>
      <c r="D488" s="12" t="s">
        <v>62</v>
      </c>
      <c r="E488" s="3" t="s">
        <v>382</v>
      </c>
      <c r="F488" s="3" t="s">
        <v>2487</v>
      </c>
    </row>
    <row r="489" spans="1:6" x14ac:dyDescent="0.25">
      <c r="A489" s="3" t="str">
        <f t="shared" si="10"/>
        <v>q112_6_europe</v>
      </c>
      <c r="B489" s="3" t="str">
        <f t="shared" si="11"/>
        <v>_europe</v>
      </c>
      <c r="C489" s="3" t="s">
        <v>547</v>
      </c>
      <c r="D489" s="12" t="s">
        <v>62</v>
      </c>
      <c r="E489" s="3" t="s">
        <v>384</v>
      </c>
      <c r="F489" s="3" t="s">
        <v>2488</v>
      </c>
    </row>
    <row r="490" spans="1:6" x14ac:dyDescent="0.25">
      <c r="A490" s="3" t="str">
        <f t="shared" si="10"/>
        <v>q11ROW2_hidden_europe</v>
      </c>
      <c r="B490" s="3" t="str">
        <f t="shared" si="11"/>
        <v>_europe</v>
      </c>
      <c r="C490" s="3" t="s">
        <v>548</v>
      </c>
      <c r="D490" s="12" t="s">
        <v>62</v>
      </c>
      <c r="E490" s="8" t="s">
        <v>549</v>
      </c>
      <c r="F490" s="3" t="s">
        <v>2489</v>
      </c>
    </row>
    <row r="491" spans="1:6" x14ac:dyDescent="0.25">
      <c r="A491" s="3" t="str">
        <f t="shared" si="10"/>
        <v>q113_1_europe</v>
      </c>
      <c r="B491" s="3" t="str">
        <f t="shared" si="11"/>
        <v>_europe</v>
      </c>
      <c r="C491" s="3" t="s">
        <v>550</v>
      </c>
      <c r="D491" s="12" t="s">
        <v>62</v>
      </c>
      <c r="E491" s="3" t="s">
        <v>402</v>
      </c>
      <c r="F491" s="3" t="s">
        <v>2490</v>
      </c>
    </row>
    <row r="492" spans="1:6" x14ac:dyDescent="0.25">
      <c r="A492" s="3" t="str">
        <f t="shared" si="10"/>
        <v>q113_2_europe</v>
      </c>
      <c r="B492" s="3" t="str">
        <f t="shared" si="11"/>
        <v>_europe</v>
      </c>
      <c r="C492" s="3" t="s">
        <v>551</v>
      </c>
      <c r="D492" s="12" t="s">
        <v>62</v>
      </c>
      <c r="E492" s="3" t="s">
        <v>404</v>
      </c>
      <c r="F492" s="3" t="s">
        <v>2491</v>
      </c>
    </row>
    <row r="493" spans="1:6" x14ac:dyDescent="0.25">
      <c r="A493" s="3" t="str">
        <f t="shared" si="10"/>
        <v>q113_3_europe</v>
      </c>
      <c r="B493" s="3" t="str">
        <f t="shared" si="11"/>
        <v>_europe</v>
      </c>
      <c r="C493" s="3" t="s">
        <v>552</v>
      </c>
      <c r="D493" s="12" t="s">
        <v>62</v>
      </c>
      <c r="E493" s="3" t="s">
        <v>406</v>
      </c>
      <c r="F493" s="3" t="s">
        <v>2492</v>
      </c>
    </row>
    <row r="494" spans="1:6" x14ac:dyDescent="0.25">
      <c r="A494" s="3" t="str">
        <f t="shared" si="10"/>
        <v>q113_4_europe</v>
      </c>
      <c r="B494" s="3" t="str">
        <f t="shared" si="11"/>
        <v>_europe</v>
      </c>
      <c r="C494" s="3" t="s">
        <v>553</v>
      </c>
      <c r="D494" s="12" t="s">
        <v>62</v>
      </c>
      <c r="E494" s="3" t="s">
        <v>408</v>
      </c>
      <c r="F494" s="3" t="s">
        <v>2493</v>
      </c>
    </row>
    <row r="495" spans="1:6" x14ac:dyDescent="0.25">
      <c r="A495" s="3" t="str">
        <f t="shared" si="10"/>
        <v>q113_5_europe</v>
      </c>
      <c r="B495" s="3" t="str">
        <f t="shared" si="11"/>
        <v>_europe</v>
      </c>
      <c r="C495" s="3" t="s">
        <v>554</v>
      </c>
      <c r="D495" s="12" t="s">
        <v>62</v>
      </c>
      <c r="E495" s="3" t="s">
        <v>410</v>
      </c>
      <c r="F495" s="3" t="s">
        <v>2494</v>
      </c>
    </row>
    <row r="496" spans="1:6" x14ac:dyDescent="0.25">
      <c r="A496" s="3" t="str">
        <f t="shared" si="10"/>
        <v>q113_6_europe</v>
      </c>
      <c r="B496" s="3" t="str">
        <f t="shared" si="11"/>
        <v>_europe</v>
      </c>
      <c r="C496" s="3" t="s">
        <v>555</v>
      </c>
      <c r="D496" s="12" t="s">
        <v>62</v>
      </c>
      <c r="E496" s="3" t="s">
        <v>412</v>
      </c>
      <c r="F496" s="3" t="s">
        <v>2495</v>
      </c>
    </row>
    <row r="497" spans="1:6" x14ac:dyDescent="0.25">
      <c r="A497" s="3" t="str">
        <f t="shared" si="10"/>
        <v>q11ROW3_hidden_europe</v>
      </c>
      <c r="B497" s="3" t="str">
        <f t="shared" si="11"/>
        <v>_europe</v>
      </c>
      <c r="C497" s="3" t="s">
        <v>556</v>
      </c>
      <c r="D497" s="12" t="s">
        <v>62</v>
      </c>
      <c r="E497" s="8" t="s">
        <v>557</v>
      </c>
      <c r="F497" s="3" t="s">
        <v>2496</v>
      </c>
    </row>
    <row r="498" spans="1:6" x14ac:dyDescent="0.25">
      <c r="A498" s="3" t="str">
        <f t="shared" si="10"/>
        <v>q114_1_europe</v>
      </c>
      <c r="B498" s="3" t="str">
        <f t="shared" si="11"/>
        <v>_europe</v>
      </c>
      <c r="C498" s="3" t="s">
        <v>558</v>
      </c>
      <c r="D498" s="12" t="s">
        <v>62</v>
      </c>
      <c r="E498" s="3" t="s">
        <v>416</v>
      </c>
      <c r="F498" s="3" t="s">
        <v>2497</v>
      </c>
    </row>
    <row r="499" spans="1:6" x14ac:dyDescent="0.25">
      <c r="A499" s="3" t="str">
        <f t="shared" si="10"/>
        <v>q114_2_europe</v>
      </c>
      <c r="B499" s="3" t="str">
        <f t="shared" si="11"/>
        <v>_europe</v>
      </c>
      <c r="C499" s="3" t="s">
        <v>559</v>
      </c>
      <c r="D499" s="12" t="s">
        <v>62</v>
      </c>
      <c r="E499" s="3" t="s">
        <v>418</v>
      </c>
      <c r="F499" s="3" t="s">
        <v>2498</v>
      </c>
    </row>
    <row r="500" spans="1:6" x14ac:dyDescent="0.25">
      <c r="A500" s="3" t="str">
        <f t="shared" si="10"/>
        <v>q114_3_europe</v>
      </c>
      <c r="B500" s="3" t="str">
        <f t="shared" si="11"/>
        <v>_europe</v>
      </c>
      <c r="C500" s="3" t="s">
        <v>560</v>
      </c>
      <c r="D500" s="12" t="s">
        <v>62</v>
      </c>
      <c r="E500" s="3" t="s">
        <v>420</v>
      </c>
      <c r="F500" s="3" t="s">
        <v>2499</v>
      </c>
    </row>
    <row r="501" spans="1:6" x14ac:dyDescent="0.25">
      <c r="A501" s="3" t="str">
        <f t="shared" si="10"/>
        <v>q114_4_europe</v>
      </c>
      <c r="B501" s="3" t="str">
        <f t="shared" si="11"/>
        <v>_europe</v>
      </c>
      <c r="C501" s="3" t="s">
        <v>561</v>
      </c>
      <c r="D501" s="12" t="s">
        <v>62</v>
      </c>
      <c r="E501" s="3" t="s">
        <v>422</v>
      </c>
      <c r="F501" s="3" t="s">
        <v>2500</v>
      </c>
    </row>
    <row r="502" spans="1:6" x14ac:dyDescent="0.25">
      <c r="A502" s="3" t="str">
        <f t="shared" si="10"/>
        <v>q114_5_europe</v>
      </c>
      <c r="B502" s="3" t="str">
        <f t="shared" si="11"/>
        <v>_europe</v>
      </c>
      <c r="C502" s="3" t="s">
        <v>562</v>
      </c>
      <c r="D502" s="12" t="s">
        <v>62</v>
      </c>
      <c r="E502" s="3" t="s">
        <v>424</v>
      </c>
      <c r="F502" s="3" t="s">
        <v>2501</v>
      </c>
    </row>
    <row r="503" spans="1:6" x14ac:dyDescent="0.25">
      <c r="A503" s="3" t="str">
        <f t="shared" si="10"/>
        <v>q114_6_europe</v>
      </c>
      <c r="B503" s="3" t="str">
        <f t="shared" si="11"/>
        <v>_europe</v>
      </c>
      <c r="C503" s="3" t="s">
        <v>563</v>
      </c>
      <c r="D503" s="12" t="s">
        <v>62</v>
      </c>
      <c r="E503" s="3" t="s">
        <v>426</v>
      </c>
      <c r="F503" s="3" t="s">
        <v>2502</v>
      </c>
    </row>
    <row r="504" spans="1:6" x14ac:dyDescent="0.25">
      <c r="A504" s="3" t="str">
        <f t="shared" si="10"/>
        <v>q11ROW4_hidden_europe</v>
      </c>
      <c r="B504" s="3" t="str">
        <f t="shared" si="11"/>
        <v>_europe</v>
      </c>
      <c r="C504" s="3" t="s">
        <v>564</v>
      </c>
      <c r="D504" s="12" t="s">
        <v>62</v>
      </c>
      <c r="E504" s="8" t="s">
        <v>565</v>
      </c>
      <c r="F504" s="3" t="s">
        <v>2503</v>
      </c>
    </row>
    <row r="505" spans="1:6" x14ac:dyDescent="0.25">
      <c r="A505" s="3" t="str">
        <f t="shared" si="10"/>
        <v>q115_1_europe</v>
      </c>
      <c r="B505" s="3" t="str">
        <f t="shared" si="11"/>
        <v>_europe</v>
      </c>
      <c r="C505" s="3" t="s">
        <v>566</v>
      </c>
      <c r="D505" s="12" t="s">
        <v>62</v>
      </c>
      <c r="E505" s="3" t="s">
        <v>430</v>
      </c>
      <c r="F505" s="3" t="s">
        <v>2504</v>
      </c>
    </row>
    <row r="506" spans="1:6" x14ac:dyDescent="0.25">
      <c r="A506" s="3" t="str">
        <f t="shared" si="10"/>
        <v>q115_2_europe</v>
      </c>
      <c r="B506" s="3" t="str">
        <f t="shared" si="11"/>
        <v>_europe</v>
      </c>
      <c r="C506" s="3" t="s">
        <v>567</v>
      </c>
      <c r="D506" s="12" t="s">
        <v>62</v>
      </c>
      <c r="E506" s="3" t="s">
        <v>432</v>
      </c>
      <c r="F506" s="3" t="s">
        <v>2505</v>
      </c>
    </row>
    <row r="507" spans="1:6" x14ac:dyDescent="0.25">
      <c r="A507" s="3" t="str">
        <f t="shared" si="10"/>
        <v>q115_3_europe</v>
      </c>
      <c r="B507" s="3" t="str">
        <f t="shared" si="11"/>
        <v>_europe</v>
      </c>
      <c r="C507" s="3" t="s">
        <v>568</v>
      </c>
      <c r="D507" s="12" t="s">
        <v>62</v>
      </c>
      <c r="E507" s="3" t="s">
        <v>434</v>
      </c>
      <c r="F507" s="3" t="s">
        <v>2506</v>
      </c>
    </row>
    <row r="508" spans="1:6" x14ac:dyDescent="0.25">
      <c r="A508" s="3" t="str">
        <f t="shared" si="10"/>
        <v>q115_4_europe</v>
      </c>
      <c r="B508" s="3" t="str">
        <f t="shared" si="11"/>
        <v>_europe</v>
      </c>
      <c r="C508" s="3" t="s">
        <v>569</v>
      </c>
      <c r="D508" s="12" t="s">
        <v>62</v>
      </c>
      <c r="E508" s="3" t="s">
        <v>436</v>
      </c>
      <c r="F508" s="3" t="s">
        <v>2507</v>
      </c>
    </row>
    <row r="509" spans="1:6" x14ac:dyDescent="0.25">
      <c r="A509" s="3" t="str">
        <f t="shared" si="10"/>
        <v>q115_5_europe</v>
      </c>
      <c r="B509" s="3" t="str">
        <f t="shared" si="11"/>
        <v>_europe</v>
      </c>
      <c r="C509" s="3" t="s">
        <v>570</v>
      </c>
      <c r="D509" s="12" t="s">
        <v>62</v>
      </c>
      <c r="E509" s="3" t="s">
        <v>438</v>
      </c>
      <c r="F509" s="3" t="s">
        <v>2508</v>
      </c>
    </row>
    <row r="510" spans="1:6" x14ac:dyDescent="0.25">
      <c r="A510" s="3" t="str">
        <f t="shared" si="10"/>
        <v>q115_6_europe</v>
      </c>
      <c r="B510" s="3" t="str">
        <f t="shared" si="11"/>
        <v>_europe</v>
      </c>
      <c r="C510" s="3" t="s">
        <v>571</v>
      </c>
      <c r="D510" s="12" t="s">
        <v>62</v>
      </c>
      <c r="E510" s="3" t="s">
        <v>440</v>
      </c>
      <c r="F510" s="3" t="s">
        <v>2509</v>
      </c>
    </row>
    <row r="511" spans="1:6" x14ac:dyDescent="0.25">
      <c r="A511" s="3" t="str">
        <f t="shared" si="10"/>
        <v>q11ROW5_hidden_europe</v>
      </c>
      <c r="B511" s="3" t="str">
        <f t="shared" si="11"/>
        <v>_europe</v>
      </c>
      <c r="C511" s="3" t="s">
        <v>572</v>
      </c>
      <c r="D511" s="12" t="s">
        <v>62</v>
      </c>
      <c r="E511" s="8" t="s">
        <v>442</v>
      </c>
      <c r="F511" s="3" t="s">
        <v>2510</v>
      </c>
    </row>
    <row r="512" spans="1:6" x14ac:dyDescent="0.25">
      <c r="A512" s="3" t="str">
        <f t="shared" si="10"/>
        <v>q11COL1_hidden_europe</v>
      </c>
      <c r="B512" s="3" t="str">
        <f t="shared" si="11"/>
        <v>_europe</v>
      </c>
      <c r="C512" s="3" t="s">
        <v>573</v>
      </c>
      <c r="D512" s="12" t="s">
        <v>62</v>
      </c>
      <c r="E512" s="8" t="s">
        <v>154</v>
      </c>
      <c r="F512" s="3" t="s">
        <v>2511</v>
      </c>
    </row>
    <row r="513" spans="1:6" x14ac:dyDescent="0.25">
      <c r="A513" s="3" t="str">
        <f t="shared" si="10"/>
        <v>q11COL2_hidden_europe</v>
      </c>
      <c r="B513" s="3" t="str">
        <f t="shared" si="11"/>
        <v>_europe</v>
      </c>
      <c r="C513" s="3" t="s">
        <v>574</v>
      </c>
      <c r="D513" s="12" t="s">
        <v>62</v>
      </c>
      <c r="E513" s="8" t="s">
        <v>156</v>
      </c>
      <c r="F513" s="3" t="s">
        <v>2512</v>
      </c>
    </row>
    <row r="514" spans="1:6" x14ac:dyDescent="0.25">
      <c r="A514" s="3" t="str">
        <f t="shared" si="10"/>
        <v>q11COL3_hidden_europe</v>
      </c>
      <c r="B514" s="3" t="str">
        <f t="shared" si="11"/>
        <v>_europe</v>
      </c>
      <c r="C514" s="3" t="s">
        <v>575</v>
      </c>
      <c r="D514" s="12" t="s">
        <v>62</v>
      </c>
      <c r="E514" s="8" t="s">
        <v>158</v>
      </c>
      <c r="F514" s="3" t="s">
        <v>2513</v>
      </c>
    </row>
    <row r="515" spans="1:6" x14ac:dyDescent="0.25">
      <c r="A515" s="3" t="str">
        <f t="shared" ref="A515:A578" si="12">_xlfn.CONCAT(C515,B515)</f>
        <v>q11COL4_hidden_europe</v>
      </c>
      <c r="B515" s="3" t="str">
        <f t="shared" si="11"/>
        <v>_europe</v>
      </c>
      <c r="C515" s="3" t="s">
        <v>576</v>
      </c>
      <c r="D515" s="12" t="s">
        <v>62</v>
      </c>
      <c r="E515" s="8" t="s">
        <v>160</v>
      </c>
      <c r="F515" s="3" t="s">
        <v>2514</v>
      </c>
    </row>
    <row r="516" spans="1:6" x14ac:dyDescent="0.25">
      <c r="A516" s="3" t="str">
        <f t="shared" si="12"/>
        <v>q11COL5_hidden_europe</v>
      </c>
      <c r="B516" s="3" t="str">
        <f t="shared" si="11"/>
        <v>_europe</v>
      </c>
      <c r="C516" s="3" t="s">
        <v>577</v>
      </c>
      <c r="D516" s="12" t="s">
        <v>62</v>
      </c>
      <c r="E516" s="8" t="s">
        <v>162</v>
      </c>
      <c r="F516" s="3" t="s">
        <v>2515</v>
      </c>
    </row>
    <row r="517" spans="1:6" x14ac:dyDescent="0.25">
      <c r="A517" s="3" t="str">
        <f t="shared" si="12"/>
        <v>q11COL6_hidden_europe</v>
      </c>
      <c r="B517" s="3" t="str">
        <f t="shared" si="11"/>
        <v>_europe</v>
      </c>
      <c r="C517" s="3" t="s">
        <v>578</v>
      </c>
      <c r="D517" s="12" t="s">
        <v>62</v>
      </c>
      <c r="E517" s="8" t="s">
        <v>164</v>
      </c>
      <c r="F517" s="3" t="s">
        <v>2516</v>
      </c>
    </row>
    <row r="518" spans="1:6" x14ac:dyDescent="0.25">
      <c r="A518" s="3" t="str">
        <f t="shared" si="12"/>
        <v>q11GRANDTotal_hidden_europe</v>
      </c>
      <c r="B518" s="3" t="str">
        <f t="shared" si="11"/>
        <v>_europe</v>
      </c>
      <c r="C518" s="3" t="s">
        <v>579</v>
      </c>
      <c r="D518" s="12" t="s">
        <v>62</v>
      </c>
      <c r="E518" s="8" t="s">
        <v>580</v>
      </c>
      <c r="F518" s="3" t="s">
        <v>2517</v>
      </c>
    </row>
    <row r="519" spans="1:6" x14ac:dyDescent="0.25">
      <c r="A519" s="3" t="str">
        <f t="shared" si="12"/>
        <v>NORTH AMERICA_northamerica</v>
      </c>
      <c r="B519" s="3" t="s">
        <v>1413</v>
      </c>
      <c r="C519" s="10" t="s">
        <v>583</v>
      </c>
      <c r="D519" s="11"/>
      <c r="E519" s="9" t="s">
        <v>2954</v>
      </c>
      <c r="F519" s="3">
        <v>18</v>
      </c>
    </row>
    <row r="520" spans="1:6" x14ac:dyDescent="0.25">
      <c r="A520" s="3" t="str">
        <f t="shared" si="12"/>
        <v>q101_1_northamerica</v>
      </c>
      <c r="B520" s="3" t="str">
        <f t="shared" ref="B520:B583" si="13">B519</f>
        <v>_northamerica</v>
      </c>
      <c r="C520" s="3" t="s">
        <v>469</v>
      </c>
      <c r="D520" s="12" t="s">
        <v>62</v>
      </c>
      <c r="E520" s="3" t="s">
        <v>254</v>
      </c>
      <c r="F520" s="3" t="s">
        <v>2518</v>
      </c>
    </row>
    <row r="521" spans="1:6" x14ac:dyDescent="0.25">
      <c r="A521" s="3" t="str">
        <f t="shared" si="12"/>
        <v>q101_2_northamerica</v>
      </c>
      <c r="B521" s="3" t="str">
        <f t="shared" si="13"/>
        <v>_northamerica</v>
      </c>
      <c r="C521" s="3" t="s">
        <v>470</v>
      </c>
      <c r="D521" s="12" t="s">
        <v>62</v>
      </c>
      <c r="E521" s="3" t="s">
        <v>256</v>
      </c>
      <c r="F521" s="3" t="s">
        <v>2519</v>
      </c>
    </row>
    <row r="522" spans="1:6" x14ac:dyDescent="0.25">
      <c r="A522" s="3" t="str">
        <f t="shared" si="12"/>
        <v>q101_3_northamerica</v>
      </c>
      <c r="B522" s="3" t="str">
        <f t="shared" si="13"/>
        <v>_northamerica</v>
      </c>
      <c r="C522" s="3" t="s">
        <v>471</v>
      </c>
      <c r="D522" s="12" t="s">
        <v>62</v>
      </c>
      <c r="E522" s="3" t="s">
        <v>258</v>
      </c>
      <c r="F522" s="3" t="s">
        <v>2520</v>
      </c>
    </row>
    <row r="523" spans="1:6" x14ac:dyDescent="0.25">
      <c r="A523" s="3" t="str">
        <f t="shared" si="12"/>
        <v>q101_4_northamerica</v>
      </c>
      <c r="B523" s="3" t="str">
        <f t="shared" si="13"/>
        <v>_northamerica</v>
      </c>
      <c r="C523" s="3" t="s">
        <v>472</v>
      </c>
      <c r="D523" s="12" t="s">
        <v>62</v>
      </c>
      <c r="E523" s="3" t="s">
        <v>260</v>
      </c>
      <c r="F523" s="3" t="s">
        <v>2521</v>
      </c>
    </row>
    <row r="524" spans="1:6" x14ac:dyDescent="0.25">
      <c r="A524" s="3" t="str">
        <f t="shared" si="12"/>
        <v>q101_5_northamerica</v>
      </c>
      <c r="B524" s="3" t="str">
        <f t="shared" si="13"/>
        <v>_northamerica</v>
      </c>
      <c r="C524" s="3" t="s">
        <v>473</v>
      </c>
      <c r="D524" s="12" t="s">
        <v>62</v>
      </c>
      <c r="E524" s="3" t="s">
        <v>262</v>
      </c>
      <c r="F524" s="3" t="s">
        <v>2522</v>
      </c>
    </row>
    <row r="525" spans="1:6" x14ac:dyDescent="0.25">
      <c r="A525" s="3" t="str">
        <f t="shared" si="12"/>
        <v>q101_6_northamerica</v>
      </c>
      <c r="B525" s="3" t="str">
        <f t="shared" si="13"/>
        <v>_northamerica</v>
      </c>
      <c r="C525" s="3" t="s">
        <v>474</v>
      </c>
      <c r="D525" s="12" t="s">
        <v>62</v>
      </c>
      <c r="E525" s="3" t="s">
        <v>264</v>
      </c>
      <c r="F525" s="3" t="s">
        <v>2523</v>
      </c>
    </row>
    <row r="526" spans="1:6" x14ac:dyDescent="0.25">
      <c r="A526" s="3" t="str">
        <f t="shared" si="12"/>
        <v>q10ROW1_hidden_northamerica</v>
      </c>
      <c r="B526" s="3" t="str">
        <f t="shared" si="13"/>
        <v>_northamerica</v>
      </c>
      <c r="C526" s="3" t="s">
        <v>475</v>
      </c>
      <c r="D526" s="12" t="s">
        <v>62</v>
      </c>
      <c r="E526" s="8" t="s">
        <v>266</v>
      </c>
      <c r="F526" s="3" t="s">
        <v>2524</v>
      </c>
    </row>
    <row r="527" spans="1:6" x14ac:dyDescent="0.25">
      <c r="A527" s="3" t="str">
        <f t="shared" si="12"/>
        <v>q102_1_northamerica</v>
      </c>
      <c r="B527" s="3" t="str">
        <f t="shared" si="13"/>
        <v>_northamerica</v>
      </c>
      <c r="C527" s="3" t="s">
        <v>476</v>
      </c>
      <c r="D527" s="12" t="s">
        <v>62</v>
      </c>
      <c r="E527" s="3" t="s">
        <v>268</v>
      </c>
      <c r="F527" s="3" t="s">
        <v>2525</v>
      </c>
    </row>
    <row r="528" spans="1:6" x14ac:dyDescent="0.25">
      <c r="A528" s="3" t="str">
        <f t="shared" si="12"/>
        <v>q102_2_northamerica</v>
      </c>
      <c r="B528" s="3" t="str">
        <f t="shared" si="13"/>
        <v>_northamerica</v>
      </c>
      <c r="C528" s="3" t="s">
        <v>477</v>
      </c>
      <c r="D528" s="12" t="s">
        <v>62</v>
      </c>
      <c r="E528" s="3" t="s">
        <v>270</v>
      </c>
      <c r="F528" s="3" t="s">
        <v>2526</v>
      </c>
    </row>
    <row r="529" spans="1:6" x14ac:dyDescent="0.25">
      <c r="A529" s="3" t="str">
        <f t="shared" si="12"/>
        <v>q102_3_northamerica</v>
      </c>
      <c r="B529" s="3" t="str">
        <f t="shared" si="13"/>
        <v>_northamerica</v>
      </c>
      <c r="C529" s="3" t="s">
        <v>478</v>
      </c>
      <c r="D529" s="12" t="s">
        <v>62</v>
      </c>
      <c r="E529" s="3" t="s">
        <v>272</v>
      </c>
      <c r="F529" s="3" t="s">
        <v>2527</v>
      </c>
    </row>
    <row r="530" spans="1:6" x14ac:dyDescent="0.25">
      <c r="A530" s="3" t="str">
        <f t="shared" si="12"/>
        <v>q102_4_northamerica</v>
      </c>
      <c r="B530" s="3" t="str">
        <f t="shared" si="13"/>
        <v>_northamerica</v>
      </c>
      <c r="C530" s="3" t="s">
        <v>479</v>
      </c>
      <c r="D530" s="12" t="s">
        <v>62</v>
      </c>
      <c r="E530" s="3" t="s">
        <v>274</v>
      </c>
      <c r="F530" s="3" t="s">
        <v>2528</v>
      </c>
    </row>
    <row r="531" spans="1:6" x14ac:dyDescent="0.25">
      <c r="A531" s="3" t="str">
        <f t="shared" si="12"/>
        <v>q102_5_northamerica</v>
      </c>
      <c r="B531" s="3" t="str">
        <f t="shared" si="13"/>
        <v>_northamerica</v>
      </c>
      <c r="C531" s="3" t="s">
        <v>480</v>
      </c>
      <c r="D531" s="12" t="s">
        <v>62</v>
      </c>
      <c r="E531" s="3" t="s">
        <v>276</v>
      </c>
      <c r="F531" s="3" t="s">
        <v>2529</v>
      </c>
    </row>
    <row r="532" spans="1:6" x14ac:dyDescent="0.25">
      <c r="A532" s="3" t="str">
        <f t="shared" si="12"/>
        <v>q102_6_northamerica</v>
      </c>
      <c r="B532" s="3" t="str">
        <f t="shared" si="13"/>
        <v>_northamerica</v>
      </c>
      <c r="C532" s="3" t="s">
        <v>481</v>
      </c>
      <c r="D532" s="12" t="s">
        <v>62</v>
      </c>
      <c r="E532" s="3" t="s">
        <v>278</v>
      </c>
      <c r="F532" s="3" t="s">
        <v>2530</v>
      </c>
    </row>
    <row r="533" spans="1:6" x14ac:dyDescent="0.25">
      <c r="A533" s="3" t="str">
        <f t="shared" si="12"/>
        <v>q10ROW2_hidden_northamerica</v>
      </c>
      <c r="B533" s="3" t="str">
        <f t="shared" si="13"/>
        <v>_northamerica</v>
      </c>
      <c r="C533" s="3" t="s">
        <v>482</v>
      </c>
      <c r="D533" s="12" t="s">
        <v>62</v>
      </c>
      <c r="E533" s="8" t="s">
        <v>280</v>
      </c>
      <c r="F533" s="3" t="s">
        <v>2531</v>
      </c>
    </row>
    <row r="534" spans="1:6" x14ac:dyDescent="0.25">
      <c r="A534" s="3" t="str">
        <f t="shared" si="12"/>
        <v>q103_1_northamerica</v>
      </c>
      <c r="B534" s="3" t="str">
        <f t="shared" si="13"/>
        <v>_northamerica</v>
      </c>
      <c r="C534" s="3" t="s">
        <v>483</v>
      </c>
      <c r="D534" s="12" t="s">
        <v>62</v>
      </c>
      <c r="E534" s="3" t="s">
        <v>282</v>
      </c>
      <c r="F534" s="3" t="s">
        <v>2532</v>
      </c>
    </row>
    <row r="535" spans="1:6" x14ac:dyDescent="0.25">
      <c r="A535" s="3" t="str">
        <f t="shared" si="12"/>
        <v>q103_2_northamerica</v>
      </c>
      <c r="B535" s="3" t="str">
        <f t="shared" si="13"/>
        <v>_northamerica</v>
      </c>
      <c r="C535" s="3" t="s">
        <v>484</v>
      </c>
      <c r="D535" s="12" t="s">
        <v>62</v>
      </c>
      <c r="E535" s="3" t="s">
        <v>284</v>
      </c>
      <c r="F535" s="3" t="s">
        <v>2533</v>
      </c>
    </row>
    <row r="536" spans="1:6" x14ac:dyDescent="0.25">
      <c r="A536" s="3" t="str">
        <f t="shared" si="12"/>
        <v>q103_3_northamerica</v>
      </c>
      <c r="B536" s="3" t="str">
        <f t="shared" si="13"/>
        <v>_northamerica</v>
      </c>
      <c r="C536" s="3" t="s">
        <v>485</v>
      </c>
      <c r="D536" s="12" t="s">
        <v>62</v>
      </c>
      <c r="E536" s="3" t="s">
        <v>286</v>
      </c>
      <c r="F536" s="3" t="s">
        <v>2534</v>
      </c>
    </row>
    <row r="537" spans="1:6" x14ac:dyDescent="0.25">
      <c r="A537" s="3" t="str">
        <f t="shared" si="12"/>
        <v>q103_4_northamerica</v>
      </c>
      <c r="B537" s="3" t="str">
        <f t="shared" si="13"/>
        <v>_northamerica</v>
      </c>
      <c r="C537" s="3" t="s">
        <v>486</v>
      </c>
      <c r="D537" s="12" t="s">
        <v>62</v>
      </c>
      <c r="E537" s="3" t="s">
        <v>288</v>
      </c>
      <c r="F537" s="3" t="s">
        <v>2535</v>
      </c>
    </row>
    <row r="538" spans="1:6" x14ac:dyDescent="0.25">
      <c r="A538" s="3" t="str">
        <f t="shared" si="12"/>
        <v>q103_5_northamerica</v>
      </c>
      <c r="B538" s="3" t="str">
        <f t="shared" si="13"/>
        <v>_northamerica</v>
      </c>
      <c r="C538" s="3" t="s">
        <v>487</v>
      </c>
      <c r="D538" s="12" t="s">
        <v>62</v>
      </c>
      <c r="E538" s="3" t="s">
        <v>290</v>
      </c>
      <c r="F538" s="3" t="s">
        <v>2536</v>
      </c>
    </row>
    <row r="539" spans="1:6" x14ac:dyDescent="0.25">
      <c r="A539" s="3" t="str">
        <f t="shared" si="12"/>
        <v>q103_6_northamerica</v>
      </c>
      <c r="B539" s="3" t="str">
        <f t="shared" si="13"/>
        <v>_northamerica</v>
      </c>
      <c r="C539" s="3" t="s">
        <v>488</v>
      </c>
      <c r="D539" s="12" t="s">
        <v>62</v>
      </c>
      <c r="E539" s="3" t="s">
        <v>292</v>
      </c>
      <c r="F539" s="3" t="s">
        <v>2537</v>
      </c>
    </row>
    <row r="540" spans="1:6" x14ac:dyDescent="0.25">
      <c r="A540" s="3" t="str">
        <f t="shared" si="12"/>
        <v>q10ROW3_hidden_northamerica</v>
      </c>
      <c r="B540" s="3" t="str">
        <f t="shared" si="13"/>
        <v>_northamerica</v>
      </c>
      <c r="C540" s="3" t="s">
        <v>489</v>
      </c>
      <c r="D540" s="12" t="s">
        <v>62</v>
      </c>
      <c r="E540" s="8" t="s">
        <v>294</v>
      </c>
      <c r="F540" s="3" t="s">
        <v>2538</v>
      </c>
    </row>
    <row r="541" spans="1:6" x14ac:dyDescent="0.25">
      <c r="A541" s="3" t="str">
        <f t="shared" si="12"/>
        <v>q104_1_northamerica</v>
      </c>
      <c r="B541" s="3" t="str">
        <f t="shared" si="13"/>
        <v>_northamerica</v>
      </c>
      <c r="C541" s="3" t="s">
        <v>490</v>
      </c>
      <c r="D541" s="12" t="s">
        <v>62</v>
      </c>
      <c r="E541" s="3" t="s">
        <v>296</v>
      </c>
      <c r="F541" s="3" t="s">
        <v>2539</v>
      </c>
    </row>
    <row r="542" spans="1:6" x14ac:dyDescent="0.25">
      <c r="A542" s="3" t="str">
        <f t="shared" si="12"/>
        <v>q104_2_northamerica</v>
      </c>
      <c r="B542" s="3" t="str">
        <f t="shared" si="13"/>
        <v>_northamerica</v>
      </c>
      <c r="C542" s="3" t="s">
        <v>491</v>
      </c>
      <c r="D542" s="12" t="s">
        <v>62</v>
      </c>
      <c r="E542" s="3" t="s">
        <v>298</v>
      </c>
      <c r="F542" s="3" t="s">
        <v>2540</v>
      </c>
    </row>
    <row r="543" spans="1:6" x14ac:dyDescent="0.25">
      <c r="A543" s="3" t="str">
        <f t="shared" si="12"/>
        <v>q104_3_northamerica</v>
      </c>
      <c r="B543" s="3" t="str">
        <f t="shared" si="13"/>
        <v>_northamerica</v>
      </c>
      <c r="C543" s="3" t="s">
        <v>492</v>
      </c>
      <c r="D543" s="12" t="s">
        <v>62</v>
      </c>
      <c r="E543" s="3" t="s">
        <v>300</v>
      </c>
      <c r="F543" s="3" t="s">
        <v>2541</v>
      </c>
    </row>
    <row r="544" spans="1:6" x14ac:dyDescent="0.25">
      <c r="A544" s="3" t="str">
        <f t="shared" si="12"/>
        <v>q104_4_northamerica</v>
      </c>
      <c r="B544" s="3" t="str">
        <f t="shared" si="13"/>
        <v>_northamerica</v>
      </c>
      <c r="C544" s="3" t="s">
        <v>493</v>
      </c>
      <c r="D544" s="12" t="s">
        <v>62</v>
      </c>
      <c r="E544" s="3" t="s">
        <v>302</v>
      </c>
      <c r="F544" s="3" t="s">
        <v>2542</v>
      </c>
    </row>
    <row r="545" spans="1:6" x14ac:dyDescent="0.25">
      <c r="A545" s="3" t="str">
        <f t="shared" si="12"/>
        <v>q104_5_northamerica</v>
      </c>
      <c r="B545" s="3" t="str">
        <f t="shared" si="13"/>
        <v>_northamerica</v>
      </c>
      <c r="C545" s="3" t="s">
        <v>494</v>
      </c>
      <c r="D545" s="12" t="s">
        <v>62</v>
      </c>
      <c r="E545" s="3" t="s">
        <v>304</v>
      </c>
      <c r="F545" s="3" t="s">
        <v>2543</v>
      </c>
    </row>
    <row r="546" spans="1:6" x14ac:dyDescent="0.25">
      <c r="A546" s="3" t="str">
        <f t="shared" si="12"/>
        <v>q104_6_northamerica</v>
      </c>
      <c r="B546" s="3" t="str">
        <f t="shared" si="13"/>
        <v>_northamerica</v>
      </c>
      <c r="C546" s="3" t="s">
        <v>495</v>
      </c>
      <c r="D546" s="12" t="s">
        <v>62</v>
      </c>
      <c r="E546" s="3" t="s">
        <v>306</v>
      </c>
      <c r="F546" s="3" t="s">
        <v>2544</v>
      </c>
    </row>
    <row r="547" spans="1:6" x14ac:dyDescent="0.25">
      <c r="A547" s="3" t="str">
        <f t="shared" si="12"/>
        <v>q10ROW4_hidden_northamerica</v>
      </c>
      <c r="B547" s="3" t="str">
        <f t="shared" si="13"/>
        <v>_northamerica</v>
      </c>
      <c r="C547" s="3" t="s">
        <v>496</v>
      </c>
      <c r="D547" s="12" t="s">
        <v>62</v>
      </c>
      <c r="E547" s="8" t="s">
        <v>308</v>
      </c>
      <c r="F547" s="3" t="s">
        <v>2545</v>
      </c>
    </row>
    <row r="548" spans="1:6" x14ac:dyDescent="0.25">
      <c r="A548" s="3" t="str">
        <f t="shared" si="12"/>
        <v>q105_1_northamerica</v>
      </c>
      <c r="B548" s="3" t="str">
        <f t="shared" si="13"/>
        <v>_northamerica</v>
      </c>
      <c r="C548" s="3" t="s">
        <v>497</v>
      </c>
      <c r="D548" s="12" t="s">
        <v>62</v>
      </c>
      <c r="E548" s="3" t="s">
        <v>310</v>
      </c>
      <c r="F548" s="3" t="s">
        <v>2546</v>
      </c>
    </row>
    <row r="549" spans="1:6" x14ac:dyDescent="0.25">
      <c r="A549" s="3" t="str">
        <f t="shared" si="12"/>
        <v>q105_2_northamerica</v>
      </c>
      <c r="B549" s="3" t="str">
        <f t="shared" si="13"/>
        <v>_northamerica</v>
      </c>
      <c r="C549" s="3" t="s">
        <v>498</v>
      </c>
      <c r="D549" s="12" t="s">
        <v>62</v>
      </c>
      <c r="E549" s="3" t="s">
        <v>312</v>
      </c>
      <c r="F549" s="3" t="s">
        <v>2547</v>
      </c>
    </row>
    <row r="550" spans="1:6" x14ac:dyDescent="0.25">
      <c r="A550" s="3" t="str">
        <f t="shared" si="12"/>
        <v>q105_3_northamerica</v>
      </c>
      <c r="B550" s="3" t="str">
        <f t="shared" si="13"/>
        <v>_northamerica</v>
      </c>
      <c r="C550" s="3" t="s">
        <v>499</v>
      </c>
      <c r="D550" s="12" t="s">
        <v>62</v>
      </c>
      <c r="E550" s="3" t="s">
        <v>314</v>
      </c>
      <c r="F550" s="3" t="s">
        <v>2548</v>
      </c>
    </row>
    <row r="551" spans="1:6" x14ac:dyDescent="0.25">
      <c r="A551" s="3" t="str">
        <f t="shared" si="12"/>
        <v>q105_4_northamerica</v>
      </c>
      <c r="B551" s="3" t="str">
        <f t="shared" si="13"/>
        <v>_northamerica</v>
      </c>
      <c r="C551" s="3" t="s">
        <v>500</v>
      </c>
      <c r="D551" s="12" t="s">
        <v>62</v>
      </c>
      <c r="E551" s="3" t="s">
        <v>316</v>
      </c>
      <c r="F551" s="3" t="s">
        <v>2549</v>
      </c>
    </row>
    <row r="552" spans="1:6" x14ac:dyDescent="0.25">
      <c r="A552" s="3" t="str">
        <f t="shared" si="12"/>
        <v>q105_5_northamerica</v>
      </c>
      <c r="B552" s="3" t="str">
        <f t="shared" si="13"/>
        <v>_northamerica</v>
      </c>
      <c r="C552" s="3" t="s">
        <v>501</v>
      </c>
      <c r="D552" s="12" t="s">
        <v>62</v>
      </c>
      <c r="E552" s="3" t="s">
        <v>318</v>
      </c>
      <c r="F552" s="3" t="s">
        <v>2550</v>
      </c>
    </row>
    <row r="553" spans="1:6" x14ac:dyDescent="0.25">
      <c r="A553" s="3" t="str">
        <f t="shared" si="12"/>
        <v>q105_6_northamerica</v>
      </c>
      <c r="B553" s="3" t="str">
        <f t="shared" si="13"/>
        <v>_northamerica</v>
      </c>
      <c r="C553" s="3" t="s">
        <v>502</v>
      </c>
      <c r="D553" s="12" t="s">
        <v>62</v>
      </c>
      <c r="E553" s="3" t="s">
        <v>320</v>
      </c>
      <c r="F553" s="3" t="s">
        <v>2551</v>
      </c>
    </row>
    <row r="554" spans="1:6" x14ac:dyDescent="0.25">
      <c r="A554" s="3" t="str">
        <f t="shared" si="12"/>
        <v>q10ROW5_hidden_northamerica</v>
      </c>
      <c r="B554" s="3" t="str">
        <f t="shared" si="13"/>
        <v>_northamerica</v>
      </c>
      <c r="C554" s="3" t="s">
        <v>503</v>
      </c>
      <c r="D554" s="12" t="s">
        <v>62</v>
      </c>
      <c r="E554" s="8" t="s">
        <v>322</v>
      </c>
      <c r="F554" s="3" t="s">
        <v>2552</v>
      </c>
    </row>
    <row r="555" spans="1:6" x14ac:dyDescent="0.25">
      <c r="A555" s="3" t="str">
        <f t="shared" si="12"/>
        <v>q106_1_northamerica</v>
      </c>
      <c r="B555" s="3" t="str">
        <f t="shared" si="13"/>
        <v>_northamerica</v>
      </c>
      <c r="C555" s="3" t="s">
        <v>504</v>
      </c>
      <c r="D555" s="12" t="s">
        <v>62</v>
      </c>
      <c r="E555" s="3" t="s">
        <v>324</v>
      </c>
      <c r="F555" s="3" t="s">
        <v>2553</v>
      </c>
    </row>
    <row r="556" spans="1:6" x14ac:dyDescent="0.25">
      <c r="A556" s="3" t="str">
        <f t="shared" si="12"/>
        <v>q106_2_northamerica</v>
      </c>
      <c r="B556" s="3" t="str">
        <f t="shared" si="13"/>
        <v>_northamerica</v>
      </c>
      <c r="C556" s="3" t="s">
        <v>505</v>
      </c>
      <c r="D556" s="12" t="s">
        <v>62</v>
      </c>
      <c r="E556" s="3" t="s">
        <v>326</v>
      </c>
      <c r="F556" s="3" t="s">
        <v>2554</v>
      </c>
    </row>
    <row r="557" spans="1:6" x14ac:dyDescent="0.25">
      <c r="A557" s="3" t="str">
        <f t="shared" si="12"/>
        <v>q106_3_northamerica</v>
      </c>
      <c r="B557" s="3" t="str">
        <f t="shared" si="13"/>
        <v>_northamerica</v>
      </c>
      <c r="C557" s="3" t="s">
        <v>506</v>
      </c>
      <c r="D557" s="12" t="s">
        <v>62</v>
      </c>
      <c r="E557" s="3" t="s">
        <v>328</v>
      </c>
      <c r="F557" s="3" t="s">
        <v>2555</v>
      </c>
    </row>
    <row r="558" spans="1:6" x14ac:dyDescent="0.25">
      <c r="A558" s="3" t="str">
        <f t="shared" si="12"/>
        <v>q106_4_northamerica</v>
      </c>
      <c r="B558" s="3" t="str">
        <f t="shared" si="13"/>
        <v>_northamerica</v>
      </c>
      <c r="C558" s="3" t="s">
        <v>507</v>
      </c>
      <c r="D558" s="12" t="s">
        <v>62</v>
      </c>
      <c r="E558" s="3" t="s">
        <v>330</v>
      </c>
      <c r="F558" s="3" t="s">
        <v>2556</v>
      </c>
    </row>
    <row r="559" spans="1:6" x14ac:dyDescent="0.25">
      <c r="A559" s="3" t="str">
        <f t="shared" si="12"/>
        <v>q106_5_northamerica</v>
      </c>
      <c r="B559" s="3" t="str">
        <f t="shared" si="13"/>
        <v>_northamerica</v>
      </c>
      <c r="C559" s="3" t="s">
        <v>508</v>
      </c>
      <c r="D559" s="12" t="s">
        <v>62</v>
      </c>
      <c r="E559" s="3" t="s">
        <v>332</v>
      </c>
      <c r="F559" s="3" t="s">
        <v>2557</v>
      </c>
    </row>
    <row r="560" spans="1:6" x14ac:dyDescent="0.25">
      <c r="A560" s="3" t="str">
        <f t="shared" si="12"/>
        <v>q106_6_northamerica</v>
      </c>
      <c r="B560" s="3" t="str">
        <f t="shared" si="13"/>
        <v>_northamerica</v>
      </c>
      <c r="C560" s="3" t="s">
        <v>509</v>
      </c>
      <c r="D560" s="12" t="s">
        <v>62</v>
      </c>
      <c r="E560" s="3" t="s">
        <v>334</v>
      </c>
      <c r="F560" s="3" t="s">
        <v>2558</v>
      </c>
    </row>
    <row r="561" spans="1:6" x14ac:dyDescent="0.25">
      <c r="A561" s="3" t="str">
        <f>_xlfn.CONCAT(C561,B561)</f>
        <v>q10ROW6_hidden_northamerica</v>
      </c>
      <c r="B561" s="3" t="str">
        <f t="shared" si="13"/>
        <v>_northamerica</v>
      </c>
      <c r="C561" s="3" t="s">
        <v>510</v>
      </c>
      <c r="D561" s="12" t="s">
        <v>62</v>
      </c>
      <c r="E561" s="8" t="s">
        <v>162</v>
      </c>
      <c r="F561" s="3" t="s">
        <v>2559</v>
      </c>
    </row>
    <row r="562" spans="1:6" x14ac:dyDescent="0.25">
      <c r="A562" s="3" t="str">
        <f t="shared" si="12"/>
        <v>q107_1_northamerica</v>
      </c>
      <c r="B562" s="3" t="str">
        <f t="shared" si="13"/>
        <v>_northamerica</v>
      </c>
      <c r="C562" s="3" t="s">
        <v>511</v>
      </c>
      <c r="D562" s="12" t="s">
        <v>62</v>
      </c>
      <c r="E562" s="3" t="s">
        <v>337</v>
      </c>
      <c r="F562" s="3" t="s">
        <v>2560</v>
      </c>
    </row>
    <row r="563" spans="1:6" x14ac:dyDescent="0.25">
      <c r="A563" s="3" t="str">
        <f t="shared" si="12"/>
        <v>q107_2_northamerica</v>
      </c>
      <c r="B563" s="3" t="str">
        <f t="shared" si="13"/>
        <v>_northamerica</v>
      </c>
      <c r="C563" s="3" t="s">
        <v>512</v>
      </c>
      <c r="D563" s="12" t="s">
        <v>62</v>
      </c>
      <c r="E563" s="3" t="s">
        <v>339</v>
      </c>
      <c r="F563" s="3" t="s">
        <v>2561</v>
      </c>
    </row>
    <row r="564" spans="1:6" x14ac:dyDescent="0.25">
      <c r="A564" s="3" t="str">
        <f t="shared" si="12"/>
        <v>q107_3_northamerica</v>
      </c>
      <c r="B564" s="3" t="str">
        <f t="shared" si="13"/>
        <v>_northamerica</v>
      </c>
      <c r="C564" s="3" t="s">
        <v>513</v>
      </c>
      <c r="D564" s="12" t="s">
        <v>62</v>
      </c>
      <c r="E564" s="3" t="s">
        <v>341</v>
      </c>
      <c r="F564" s="3" t="s">
        <v>2562</v>
      </c>
    </row>
    <row r="565" spans="1:6" x14ac:dyDescent="0.25">
      <c r="A565" s="3" t="str">
        <f t="shared" si="12"/>
        <v>q107_4_northamerica</v>
      </c>
      <c r="B565" s="3" t="str">
        <f t="shared" si="13"/>
        <v>_northamerica</v>
      </c>
      <c r="C565" s="3" t="s">
        <v>514</v>
      </c>
      <c r="D565" s="12" t="s">
        <v>62</v>
      </c>
      <c r="E565" s="3" t="s">
        <v>343</v>
      </c>
      <c r="F565" s="3" t="s">
        <v>2563</v>
      </c>
    </row>
    <row r="566" spans="1:6" x14ac:dyDescent="0.25">
      <c r="A566" s="3" t="str">
        <f t="shared" si="12"/>
        <v>q107_5_northamerica</v>
      </c>
      <c r="B566" s="3" t="str">
        <f t="shared" si="13"/>
        <v>_northamerica</v>
      </c>
      <c r="C566" s="3" t="s">
        <v>515</v>
      </c>
      <c r="D566" s="12" t="s">
        <v>62</v>
      </c>
      <c r="E566" s="3" t="s">
        <v>345</v>
      </c>
      <c r="F566" s="3" t="s">
        <v>2564</v>
      </c>
    </row>
    <row r="567" spans="1:6" x14ac:dyDescent="0.25">
      <c r="A567" s="3" t="str">
        <f t="shared" si="12"/>
        <v>q107_6_northamerica</v>
      </c>
      <c r="B567" s="3" t="str">
        <f t="shared" si="13"/>
        <v>_northamerica</v>
      </c>
      <c r="C567" s="3" t="s">
        <v>516</v>
      </c>
      <c r="D567" s="12" t="s">
        <v>62</v>
      </c>
      <c r="E567" s="3" t="s">
        <v>347</v>
      </c>
      <c r="F567" s="3" t="s">
        <v>2565</v>
      </c>
    </row>
    <row r="568" spans="1:6" x14ac:dyDescent="0.25">
      <c r="A568" s="3" t="str">
        <f t="shared" si="12"/>
        <v>q10ROW7_hidden_northamerica</v>
      </c>
      <c r="B568" s="3" t="str">
        <f t="shared" si="13"/>
        <v>_northamerica</v>
      </c>
      <c r="C568" s="3" t="s">
        <v>517</v>
      </c>
      <c r="D568" s="12" t="s">
        <v>62</v>
      </c>
      <c r="E568" s="8" t="s">
        <v>349</v>
      </c>
      <c r="F568" s="3" t="s">
        <v>2566</v>
      </c>
    </row>
    <row r="569" spans="1:6" x14ac:dyDescent="0.25">
      <c r="A569" s="3" t="str">
        <f t="shared" si="12"/>
        <v>q10other_northamerica</v>
      </c>
      <c r="B569" s="3" t="str">
        <f t="shared" si="13"/>
        <v>_northamerica</v>
      </c>
      <c r="C569" s="3" t="s">
        <v>518</v>
      </c>
      <c r="D569" s="12" t="s">
        <v>38</v>
      </c>
      <c r="E569" s="3" t="s">
        <v>351</v>
      </c>
      <c r="F569" s="3" t="s">
        <v>2567</v>
      </c>
    </row>
    <row r="570" spans="1:6" x14ac:dyDescent="0.25">
      <c r="A570" s="3" t="str">
        <f t="shared" si="12"/>
        <v>q108_1_northamerica</v>
      </c>
      <c r="B570" s="3" t="str">
        <f t="shared" si="13"/>
        <v>_northamerica</v>
      </c>
      <c r="C570" s="3" t="s">
        <v>519</v>
      </c>
      <c r="D570" s="12" t="s">
        <v>62</v>
      </c>
      <c r="E570" s="3" t="s">
        <v>353</v>
      </c>
      <c r="F570" s="3" t="s">
        <v>2568</v>
      </c>
    </row>
    <row r="571" spans="1:6" x14ac:dyDescent="0.25">
      <c r="A571" s="3" t="str">
        <f t="shared" si="12"/>
        <v>q108_2_northamerica</v>
      </c>
      <c r="B571" s="3" t="str">
        <f t="shared" si="13"/>
        <v>_northamerica</v>
      </c>
      <c r="C571" s="3" t="s">
        <v>520</v>
      </c>
      <c r="D571" s="12" t="s">
        <v>62</v>
      </c>
      <c r="E571" s="3" t="s">
        <v>355</v>
      </c>
      <c r="F571" s="3" t="s">
        <v>2569</v>
      </c>
    </row>
    <row r="572" spans="1:6" x14ac:dyDescent="0.25">
      <c r="A572" s="3" t="str">
        <f t="shared" si="12"/>
        <v>q108_3_northamerica</v>
      </c>
      <c r="B572" s="3" t="str">
        <f t="shared" si="13"/>
        <v>_northamerica</v>
      </c>
      <c r="C572" s="3" t="s">
        <v>521</v>
      </c>
      <c r="D572" s="12" t="s">
        <v>62</v>
      </c>
      <c r="E572" s="3" t="s">
        <v>357</v>
      </c>
      <c r="F572" s="3" t="s">
        <v>2570</v>
      </c>
    </row>
    <row r="573" spans="1:6" x14ac:dyDescent="0.25">
      <c r="A573" s="3" t="str">
        <f t="shared" si="12"/>
        <v>q108_4_northamerica</v>
      </c>
      <c r="B573" s="3" t="str">
        <f t="shared" si="13"/>
        <v>_northamerica</v>
      </c>
      <c r="C573" s="3" t="s">
        <v>522</v>
      </c>
      <c r="D573" s="12" t="s">
        <v>62</v>
      </c>
      <c r="E573" s="3" t="s">
        <v>359</v>
      </c>
      <c r="F573" s="3" t="s">
        <v>2571</v>
      </c>
    </row>
    <row r="574" spans="1:6" x14ac:dyDescent="0.25">
      <c r="A574" s="3" t="str">
        <f t="shared" si="12"/>
        <v>q108_5_northamerica</v>
      </c>
      <c r="B574" s="3" t="str">
        <f t="shared" si="13"/>
        <v>_northamerica</v>
      </c>
      <c r="C574" s="3" t="s">
        <v>523</v>
      </c>
      <c r="D574" s="12" t="s">
        <v>62</v>
      </c>
      <c r="E574" s="3" t="s">
        <v>361</v>
      </c>
      <c r="F574" s="3" t="s">
        <v>2572</v>
      </c>
    </row>
    <row r="575" spans="1:6" x14ac:dyDescent="0.25">
      <c r="A575" s="3" t="str">
        <f t="shared" si="12"/>
        <v>q108_6_northamerica</v>
      </c>
      <c r="B575" s="3" t="str">
        <f t="shared" si="13"/>
        <v>_northamerica</v>
      </c>
      <c r="C575" s="3" t="s">
        <v>524</v>
      </c>
      <c r="D575" s="12" t="s">
        <v>62</v>
      </c>
      <c r="E575" s="3" t="s">
        <v>363</v>
      </c>
      <c r="F575" s="3" t="s">
        <v>2573</v>
      </c>
    </row>
    <row r="576" spans="1:6" x14ac:dyDescent="0.25">
      <c r="A576" s="3" t="str">
        <f t="shared" si="12"/>
        <v>q10ROW8_hidden_northamerica</v>
      </c>
      <c r="B576" s="3" t="str">
        <f t="shared" si="13"/>
        <v>_northamerica</v>
      </c>
      <c r="C576" s="3" t="s">
        <v>525</v>
      </c>
      <c r="D576" s="12" t="s">
        <v>62</v>
      </c>
      <c r="E576" s="8" t="s">
        <v>365</v>
      </c>
      <c r="F576" s="3" t="s">
        <v>2574</v>
      </c>
    </row>
    <row r="577" spans="1:6" x14ac:dyDescent="0.25">
      <c r="A577" s="3" t="str">
        <f t="shared" si="12"/>
        <v>q10COL1_hidden_northamerica</v>
      </c>
      <c r="B577" s="3" t="str">
        <f t="shared" si="13"/>
        <v>_northamerica</v>
      </c>
      <c r="C577" s="3" t="s">
        <v>526</v>
      </c>
      <c r="D577" s="12" t="s">
        <v>62</v>
      </c>
      <c r="E577" s="8" t="s">
        <v>154</v>
      </c>
      <c r="F577" s="3" t="s">
        <v>2575</v>
      </c>
    </row>
    <row r="578" spans="1:6" x14ac:dyDescent="0.25">
      <c r="A578" s="3" t="str">
        <f t="shared" si="12"/>
        <v>q10COL2_hidden_northamerica</v>
      </c>
      <c r="B578" s="3" t="str">
        <f t="shared" si="13"/>
        <v>_northamerica</v>
      </c>
      <c r="C578" s="3" t="s">
        <v>527</v>
      </c>
      <c r="D578" s="12" t="s">
        <v>62</v>
      </c>
      <c r="E578" s="8" t="s">
        <v>156</v>
      </c>
      <c r="F578" s="3" t="s">
        <v>2576</v>
      </c>
    </row>
    <row r="579" spans="1:6" x14ac:dyDescent="0.25">
      <c r="A579" s="3" t="str">
        <f t="shared" ref="A579:A642" si="14">_xlfn.CONCAT(C579,B579)</f>
        <v>q10COL3_hidden_northamerica</v>
      </c>
      <c r="B579" s="3" t="str">
        <f t="shared" si="13"/>
        <v>_northamerica</v>
      </c>
      <c r="C579" s="3" t="s">
        <v>528</v>
      </c>
      <c r="D579" s="12" t="s">
        <v>62</v>
      </c>
      <c r="E579" s="8" t="s">
        <v>158</v>
      </c>
      <c r="F579" s="3" t="s">
        <v>2577</v>
      </c>
    </row>
    <row r="580" spans="1:6" x14ac:dyDescent="0.25">
      <c r="A580" s="3" t="str">
        <f t="shared" si="14"/>
        <v>q10COL4_hidden_northamerica</v>
      </c>
      <c r="B580" s="3" t="str">
        <f t="shared" si="13"/>
        <v>_northamerica</v>
      </c>
      <c r="C580" s="3" t="s">
        <v>529</v>
      </c>
      <c r="D580" s="12" t="s">
        <v>62</v>
      </c>
      <c r="E580" s="8" t="s">
        <v>160</v>
      </c>
      <c r="F580" s="3" t="s">
        <v>2578</v>
      </c>
    </row>
    <row r="581" spans="1:6" x14ac:dyDescent="0.25">
      <c r="A581" s="3" t="str">
        <f t="shared" si="14"/>
        <v>q10COL5_hidden_northamerica</v>
      </c>
      <c r="B581" s="3" t="str">
        <f t="shared" si="13"/>
        <v>_northamerica</v>
      </c>
      <c r="C581" s="3" t="s">
        <v>530</v>
      </c>
      <c r="D581" s="12" t="s">
        <v>62</v>
      </c>
      <c r="E581" s="8" t="s">
        <v>162</v>
      </c>
      <c r="F581" s="3" t="s">
        <v>2579</v>
      </c>
    </row>
    <row r="582" spans="1:6" x14ac:dyDescent="0.25">
      <c r="A582" s="3" t="str">
        <f t="shared" si="14"/>
        <v>q10COL6_hidden_northamerica</v>
      </c>
      <c r="B582" s="3" t="str">
        <f t="shared" si="13"/>
        <v>_northamerica</v>
      </c>
      <c r="C582" s="3" t="s">
        <v>531</v>
      </c>
      <c r="D582" s="12" t="s">
        <v>62</v>
      </c>
      <c r="E582" s="8" t="s">
        <v>164</v>
      </c>
      <c r="F582" s="3" t="s">
        <v>2580</v>
      </c>
    </row>
    <row r="583" spans="1:6" x14ac:dyDescent="0.25">
      <c r="A583" s="3" t="str">
        <f t="shared" si="14"/>
        <v>q10GRANDTotal_hidden_northamerica</v>
      </c>
      <c r="B583" s="3" t="str">
        <f t="shared" si="13"/>
        <v>_northamerica</v>
      </c>
      <c r="C583" s="3" t="s">
        <v>532</v>
      </c>
      <c r="D583" s="12" t="s">
        <v>62</v>
      </c>
      <c r="E583" s="8" t="s">
        <v>533</v>
      </c>
      <c r="F583" s="3" t="s">
        <v>2581</v>
      </c>
    </row>
    <row r="584" spans="1:6" x14ac:dyDescent="0.25">
      <c r="A584" s="3" t="str">
        <f t="shared" si="14"/>
        <v>_northamerica</v>
      </c>
      <c r="B584" s="3" t="str">
        <f t="shared" ref="B584:B626" si="15">B583</f>
        <v>_northamerica</v>
      </c>
      <c r="C584" s="6"/>
      <c r="D584" s="6"/>
      <c r="E584" s="9" t="s">
        <v>2955</v>
      </c>
      <c r="F584" s="3">
        <v>19</v>
      </c>
    </row>
    <row r="585" spans="1:6" x14ac:dyDescent="0.25">
      <c r="A585" s="3" t="str">
        <f t="shared" si="14"/>
        <v>q111_1_northamerica</v>
      </c>
      <c r="B585" s="3" t="str">
        <f t="shared" si="15"/>
        <v>_northamerica</v>
      </c>
      <c r="C585" s="3" t="s">
        <v>534</v>
      </c>
      <c r="D585" s="12" t="s">
        <v>62</v>
      </c>
      <c r="E585" s="3" t="s">
        <v>388</v>
      </c>
      <c r="F585" s="3" t="s">
        <v>2582</v>
      </c>
    </row>
    <row r="586" spans="1:6" x14ac:dyDescent="0.25">
      <c r="A586" s="3" t="str">
        <f t="shared" si="14"/>
        <v>q111_2_northamerica</v>
      </c>
      <c r="B586" s="3" t="str">
        <f t="shared" si="15"/>
        <v>_northamerica</v>
      </c>
      <c r="C586" s="3" t="s">
        <v>535</v>
      </c>
      <c r="D586" s="12" t="s">
        <v>62</v>
      </c>
      <c r="E586" s="3" t="s">
        <v>390</v>
      </c>
      <c r="F586" s="3" t="s">
        <v>2583</v>
      </c>
    </row>
    <row r="587" spans="1:6" x14ac:dyDescent="0.25">
      <c r="A587" s="3" t="str">
        <f t="shared" si="14"/>
        <v>q111_3_northamerica</v>
      </c>
      <c r="B587" s="3" t="str">
        <f t="shared" si="15"/>
        <v>_northamerica</v>
      </c>
      <c r="C587" s="3" t="s">
        <v>536</v>
      </c>
      <c r="D587" s="12" t="s">
        <v>62</v>
      </c>
      <c r="E587" s="3" t="s">
        <v>392</v>
      </c>
      <c r="F587" s="3" t="s">
        <v>2584</v>
      </c>
    </row>
    <row r="588" spans="1:6" x14ac:dyDescent="0.25">
      <c r="A588" s="3" t="str">
        <f t="shared" si="14"/>
        <v>q111_4_northamerica</v>
      </c>
      <c r="B588" s="3" t="str">
        <f t="shared" si="15"/>
        <v>_northamerica</v>
      </c>
      <c r="C588" s="3" t="s">
        <v>537</v>
      </c>
      <c r="D588" s="12" t="s">
        <v>62</v>
      </c>
      <c r="E588" s="3" t="s">
        <v>394</v>
      </c>
      <c r="F588" s="3" t="s">
        <v>2585</v>
      </c>
    </row>
    <row r="589" spans="1:6" x14ac:dyDescent="0.25">
      <c r="A589" s="3" t="str">
        <f t="shared" si="14"/>
        <v>q111_5_northamerica</v>
      </c>
      <c r="B589" s="3" t="str">
        <f t="shared" si="15"/>
        <v>_northamerica</v>
      </c>
      <c r="C589" s="3" t="s">
        <v>538</v>
      </c>
      <c r="D589" s="12" t="s">
        <v>62</v>
      </c>
      <c r="E589" s="3" t="s">
        <v>396</v>
      </c>
      <c r="F589" s="3" t="s">
        <v>2586</v>
      </c>
    </row>
    <row r="590" spans="1:6" x14ac:dyDescent="0.25">
      <c r="A590" s="3" t="str">
        <f t="shared" si="14"/>
        <v>q111_6_northamerica</v>
      </c>
      <c r="B590" s="3" t="str">
        <f t="shared" si="15"/>
        <v>_northamerica</v>
      </c>
      <c r="C590" s="3" t="s">
        <v>539</v>
      </c>
      <c r="D590" s="12" t="s">
        <v>62</v>
      </c>
      <c r="E590" s="3" t="s">
        <v>398</v>
      </c>
      <c r="F590" s="3" t="s">
        <v>2587</v>
      </c>
    </row>
    <row r="591" spans="1:6" x14ac:dyDescent="0.25">
      <c r="A591" s="3" t="str">
        <f t="shared" si="14"/>
        <v>q11ROW1_hidden_northamerica</v>
      </c>
      <c r="B591" s="3" t="str">
        <f t="shared" si="15"/>
        <v>_northamerica</v>
      </c>
      <c r="C591" s="3" t="s">
        <v>540</v>
      </c>
      <c r="D591" s="12" t="s">
        <v>62</v>
      </c>
      <c r="E591" s="8" t="s">
        <v>541</v>
      </c>
      <c r="F591" s="3" t="s">
        <v>2588</v>
      </c>
    </row>
    <row r="592" spans="1:6" x14ac:dyDescent="0.25">
      <c r="A592" s="3" t="str">
        <f t="shared" si="14"/>
        <v>q112_1_northamerica</v>
      </c>
      <c r="B592" s="3" t="str">
        <f t="shared" si="15"/>
        <v>_northamerica</v>
      </c>
      <c r="C592" s="3" t="s">
        <v>542</v>
      </c>
      <c r="D592" s="12" t="s">
        <v>62</v>
      </c>
      <c r="E592" s="3" t="s">
        <v>374</v>
      </c>
      <c r="F592" s="3" t="s">
        <v>2589</v>
      </c>
    </row>
    <row r="593" spans="1:6" x14ac:dyDescent="0.25">
      <c r="A593" s="3" t="str">
        <f t="shared" si="14"/>
        <v>q112_2_northamerica</v>
      </c>
      <c r="B593" s="3" t="str">
        <f t="shared" si="15"/>
        <v>_northamerica</v>
      </c>
      <c r="C593" s="3" t="s">
        <v>543</v>
      </c>
      <c r="D593" s="12" t="s">
        <v>62</v>
      </c>
      <c r="E593" s="3" t="s">
        <v>376</v>
      </c>
      <c r="F593" s="3" t="s">
        <v>2590</v>
      </c>
    </row>
    <row r="594" spans="1:6" x14ac:dyDescent="0.25">
      <c r="A594" s="3" t="str">
        <f t="shared" si="14"/>
        <v>q112_3_northamerica</v>
      </c>
      <c r="B594" s="3" t="str">
        <f t="shared" si="15"/>
        <v>_northamerica</v>
      </c>
      <c r="C594" s="3" t="s">
        <v>544</v>
      </c>
      <c r="D594" s="12" t="s">
        <v>62</v>
      </c>
      <c r="E594" s="3" t="s">
        <v>378</v>
      </c>
      <c r="F594" s="3" t="s">
        <v>2591</v>
      </c>
    </row>
    <row r="595" spans="1:6" x14ac:dyDescent="0.25">
      <c r="A595" s="3" t="str">
        <f t="shared" si="14"/>
        <v>q112_4_northamerica</v>
      </c>
      <c r="B595" s="3" t="str">
        <f t="shared" si="15"/>
        <v>_northamerica</v>
      </c>
      <c r="C595" s="3" t="s">
        <v>545</v>
      </c>
      <c r="D595" s="12" t="s">
        <v>62</v>
      </c>
      <c r="E595" s="3" t="s">
        <v>380</v>
      </c>
      <c r="F595" s="3" t="s">
        <v>2592</v>
      </c>
    </row>
    <row r="596" spans="1:6" x14ac:dyDescent="0.25">
      <c r="A596" s="3" t="str">
        <f t="shared" si="14"/>
        <v>q112_5_northamerica</v>
      </c>
      <c r="B596" s="3" t="str">
        <f t="shared" si="15"/>
        <v>_northamerica</v>
      </c>
      <c r="C596" s="3" t="s">
        <v>546</v>
      </c>
      <c r="D596" s="12" t="s">
        <v>62</v>
      </c>
      <c r="E596" s="3" t="s">
        <v>382</v>
      </c>
      <c r="F596" s="3" t="s">
        <v>2593</v>
      </c>
    </row>
    <row r="597" spans="1:6" x14ac:dyDescent="0.25">
      <c r="A597" s="3" t="str">
        <f t="shared" si="14"/>
        <v>q112_6_northamerica</v>
      </c>
      <c r="B597" s="3" t="str">
        <f t="shared" si="15"/>
        <v>_northamerica</v>
      </c>
      <c r="C597" s="3" t="s">
        <v>547</v>
      </c>
      <c r="D597" s="12" t="s">
        <v>62</v>
      </c>
      <c r="E597" s="3" t="s">
        <v>384</v>
      </c>
      <c r="F597" s="3" t="s">
        <v>2594</v>
      </c>
    </row>
    <row r="598" spans="1:6" x14ac:dyDescent="0.25">
      <c r="A598" s="3" t="str">
        <f t="shared" si="14"/>
        <v>q11ROW2_hidden_northamerica</v>
      </c>
      <c r="B598" s="3" t="str">
        <f t="shared" si="15"/>
        <v>_northamerica</v>
      </c>
      <c r="C598" s="3" t="s">
        <v>548</v>
      </c>
      <c r="D598" s="12" t="s">
        <v>62</v>
      </c>
      <c r="E598" s="8" t="s">
        <v>549</v>
      </c>
      <c r="F598" s="3" t="s">
        <v>2595</v>
      </c>
    </row>
    <row r="599" spans="1:6" x14ac:dyDescent="0.25">
      <c r="A599" s="3" t="str">
        <f t="shared" si="14"/>
        <v>q113_1_northamerica</v>
      </c>
      <c r="B599" s="3" t="str">
        <f t="shared" si="15"/>
        <v>_northamerica</v>
      </c>
      <c r="C599" s="3" t="s">
        <v>550</v>
      </c>
      <c r="D599" s="12" t="s">
        <v>62</v>
      </c>
      <c r="E599" s="3" t="s">
        <v>402</v>
      </c>
      <c r="F599" s="3" t="s">
        <v>2596</v>
      </c>
    </row>
    <row r="600" spans="1:6" x14ac:dyDescent="0.25">
      <c r="A600" s="3" t="str">
        <f t="shared" si="14"/>
        <v>q113_2_northamerica</v>
      </c>
      <c r="B600" s="3" t="str">
        <f t="shared" si="15"/>
        <v>_northamerica</v>
      </c>
      <c r="C600" s="3" t="s">
        <v>551</v>
      </c>
      <c r="D600" s="12" t="s">
        <v>62</v>
      </c>
      <c r="E600" s="3" t="s">
        <v>404</v>
      </c>
      <c r="F600" s="3" t="s">
        <v>2597</v>
      </c>
    </row>
    <row r="601" spans="1:6" x14ac:dyDescent="0.25">
      <c r="A601" s="3" t="str">
        <f t="shared" si="14"/>
        <v>q113_3_northamerica</v>
      </c>
      <c r="B601" s="3" t="str">
        <f t="shared" si="15"/>
        <v>_northamerica</v>
      </c>
      <c r="C601" s="3" t="s">
        <v>552</v>
      </c>
      <c r="D601" s="12" t="s">
        <v>62</v>
      </c>
      <c r="E601" s="3" t="s">
        <v>406</v>
      </c>
      <c r="F601" s="3" t="s">
        <v>2598</v>
      </c>
    </row>
    <row r="602" spans="1:6" x14ac:dyDescent="0.25">
      <c r="A602" s="3" t="str">
        <f t="shared" si="14"/>
        <v>q113_4_northamerica</v>
      </c>
      <c r="B602" s="3" t="str">
        <f t="shared" si="15"/>
        <v>_northamerica</v>
      </c>
      <c r="C602" s="3" t="s">
        <v>553</v>
      </c>
      <c r="D602" s="12" t="s">
        <v>62</v>
      </c>
      <c r="E602" s="3" t="s">
        <v>408</v>
      </c>
      <c r="F602" s="3" t="s">
        <v>2599</v>
      </c>
    </row>
    <row r="603" spans="1:6" x14ac:dyDescent="0.25">
      <c r="A603" s="3" t="str">
        <f t="shared" si="14"/>
        <v>q113_5_northamerica</v>
      </c>
      <c r="B603" s="3" t="str">
        <f t="shared" si="15"/>
        <v>_northamerica</v>
      </c>
      <c r="C603" s="3" t="s">
        <v>554</v>
      </c>
      <c r="D603" s="12" t="s">
        <v>62</v>
      </c>
      <c r="E603" s="3" t="s">
        <v>410</v>
      </c>
      <c r="F603" s="3" t="s">
        <v>2600</v>
      </c>
    </row>
    <row r="604" spans="1:6" x14ac:dyDescent="0.25">
      <c r="A604" s="3" t="str">
        <f t="shared" si="14"/>
        <v>q113_6_northamerica</v>
      </c>
      <c r="B604" s="3" t="str">
        <f t="shared" si="15"/>
        <v>_northamerica</v>
      </c>
      <c r="C604" s="3" t="s">
        <v>555</v>
      </c>
      <c r="D604" s="12" t="s">
        <v>62</v>
      </c>
      <c r="E604" s="3" t="s">
        <v>412</v>
      </c>
      <c r="F604" s="3" t="s">
        <v>2601</v>
      </c>
    </row>
    <row r="605" spans="1:6" x14ac:dyDescent="0.25">
      <c r="A605" s="3" t="str">
        <f t="shared" si="14"/>
        <v>q11ROW3_hidden_northamerica</v>
      </c>
      <c r="B605" s="3" t="str">
        <f t="shared" si="15"/>
        <v>_northamerica</v>
      </c>
      <c r="C605" s="3" t="s">
        <v>556</v>
      </c>
      <c r="D605" s="12" t="s">
        <v>62</v>
      </c>
      <c r="E605" s="8" t="s">
        <v>557</v>
      </c>
      <c r="F605" s="3" t="s">
        <v>2602</v>
      </c>
    </row>
    <row r="606" spans="1:6" x14ac:dyDescent="0.25">
      <c r="A606" s="3" t="str">
        <f t="shared" si="14"/>
        <v>q114_1_northamerica</v>
      </c>
      <c r="B606" s="3" t="str">
        <f t="shared" si="15"/>
        <v>_northamerica</v>
      </c>
      <c r="C606" s="3" t="s">
        <v>558</v>
      </c>
      <c r="D606" s="12" t="s">
        <v>62</v>
      </c>
      <c r="E606" s="3" t="s">
        <v>416</v>
      </c>
      <c r="F606" s="3" t="s">
        <v>2603</v>
      </c>
    </row>
    <row r="607" spans="1:6" x14ac:dyDescent="0.25">
      <c r="A607" s="3" t="str">
        <f t="shared" si="14"/>
        <v>q114_2_northamerica</v>
      </c>
      <c r="B607" s="3" t="str">
        <f t="shared" si="15"/>
        <v>_northamerica</v>
      </c>
      <c r="C607" s="3" t="s">
        <v>559</v>
      </c>
      <c r="D607" s="12" t="s">
        <v>62</v>
      </c>
      <c r="E607" s="3" t="s">
        <v>418</v>
      </c>
      <c r="F607" s="3" t="s">
        <v>2604</v>
      </c>
    </row>
    <row r="608" spans="1:6" x14ac:dyDescent="0.25">
      <c r="A608" s="3" t="str">
        <f t="shared" si="14"/>
        <v>q114_3_northamerica</v>
      </c>
      <c r="B608" s="3" t="str">
        <f t="shared" si="15"/>
        <v>_northamerica</v>
      </c>
      <c r="C608" s="3" t="s">
        <v>560</v>
      </c>
      <c r="D608" s="12" t="s">
        <v>62</v>
      </c>
      <c r="E608" s="3" t="s">
        <v>420</v>
      </c>
      <c r="F608" s="3" t="s">
        <v>2605</v>
      </c>
    </row>
    <row r="609" spans="1:6" x14ac:dyDescent="0.25">
      <c r="A609" s="3" t="str">
        <f t="shared" si="14"/>
        <v>q114_4_northamerica</v>
      </c>
      <c r="B609" s="3" t="str">
        <f t="shared" si="15"/>
        <v>_northamerica</v>
      </c>
      <c r="C609" s="3" t="s">
        <v>561</v>
      </c>
      <c r="D609" s="12" t="s">
        <v>62</v>
      </c>
      <c r="E609" s="3" t="s">
        <v>422</v>
      </c>
      <c r="F609" s="3" t="s">
        <v>2606</v>
      </c>
    </row>
    <row r="610" spans="1:6" x14ac:dyDescent="0.25">
      <c r="A610" s="3" t="str">
        <f t="shared" si="14"/>
        <v>q114_5_northamerica</v>
      </c>
      <c r="B610" s="3" t="str">
        <f t="shared" si="15"/>
        <v>_northamerica</v>
      </c>
      <c r="C610" s="3" t="s">
        <v>562</v>
      </c>
      <c r="D610" s="12" t="s">
        <v>62</v>
      </c>
      <c r="E610" s="3" t="s">
        <v>424</v>
      </c>
      <c r="F610" s="3" t="s">
        <v>2607</v>
      </c>
    </row>
    <row r="611" spans="1:6" x14ac:dyDescent="0.25">
      <c r="A611" s="3" t="str">
        <f t="shared" si="14"/>
        <v>q114_6_northamerica</v>
      </c>
      <c r="B611" s="3" t="str">
        <f t="shared" si="15"/>
        <v>_northamerica</v>
      </c>
      <c r="C611" s="3" t="s">
        <v>563</v>
      </c>
      <c r="D611" s="12" t="s">
        <v>62</v>
      </c>
      <c r="E611" s="3" t="s">
        <v>426</v>
      </c>
      <c r="F611" s="3" t="s">
        <v>2608</v>
      </c>
    </row>
    <row r="612" spans="1:6" x14ac:dyDescent="0.25">
      <c r="A612" s="3" t="str">
        <f t="shared" si="14"/>
        <v>q11ROW4_hidden_northamerica</v>
      </c>
      <c r="B612" s="3" t="str">
        <f t="shared" si="15"/>
        <v>_northamerica</v>
      </c>
      <c r="C612" s="3" t="s">
        <v>564</v>
      </c>
      <c r="D612" s="12" t="s">
        <v>62</v>
      </c>
      <c r="E612" s="8" t="s">
        <v>565</v>
      </c>
      <c r="F612" s="3" t="s">
        <v>2609</v>
      </c>
    </row>
    <row r="613" spans="1:6" x14ac:dyDescent="0.25">
      <c r="A613" s="3" t="str">
        <f t="shared" si="14"/>
        <v>q115_1_northamerica</v>
      </c>
      <c r="B613" s="3" t="str">
        <f t="shared" si="15"/>
        <v>_northamerica</v>
      </c>
      <c r="C613" s="3" t="s">
        <v>566</v>
      </c>
      <c r="D613" s="12" t="s">
        <v>62</v>
      </c>
      <c r="E613" s="3" t="s">
        <v>430</v>
      </c>
      <c r="F613" s="3" t="s">
        <v>2610</v>
      </c>
    </row>
    <row r="614" spans="1:6" x14ac:dyDescent="0.25">
      <c r="A614" s="3" t="str">
        <f t="shared" si="14"/>
        <v>q115_2_northamerica</v>
      </c>
      <c r="B614" s="3" t="str">
        <f t="shared" si="15"/>
        <v>_northamerica</v>
      </c>
      <c r="C614" s="3" t="s">
        <v>567</v>
      </c>
      <c r="D614" s="12" t="s">
        <v>62</v>
      </c>
      <c r="E614" s="3" t="s">
        <v>432</v>
      </c>
      <c r="F614" s="3" t="s">
        <v>2611</v>
      </c>
    </row>
    <row r="615" spans="1:6" x14ac:dyDescent="0.25">
      <c r="A615" s="3" t="str">
        <f t="shared" si="14"/>
        <v>q115_3_northamerica</v>
      </c>
      <c r="B615" s="3" t="str">
        <f t="shared" si="15"/>
        <v>_northamerica</v>
      </c>
      <c r="C615" s="3" t="s">
        <v>568</v>
      </c>
      <c r="D615" s="12" t="s">
        <v>62</v>
      </c>
      <c r="E615" s="3" t="s">
        <v>434</v>
      </c>
      <c r="F615" s="3" t="s">
        <v>2612</v>
      </c>
    </row>
    <row r="616" spans="1:6" x14ac:dyDescent="0.25">
      <c r="A616" s="3" t="str">
        <f t="shared" si="14"/>
        <v>q115_4_northamerica</v>
      </c>
      <c r="B616" s="3" t="str">
        <f t="shared" si="15"/>
        <v>_northamerica</v>
      </c>
      <c r="C616" s="3" t="s">
        <v>569</v>
      </c>
      <c r="D616" s="12" t="s">
        <v>62</v>
      </c>
      <c r="E616" s="3" t="s">
        <v>436</v>
      </c>
      <c r="F616" s="3" t="s">
        <v>2613</v>
      </c>
    </row>
    <row r="617" spans="1:6" x14ac:dyDescent="0.25">
      <c r="A617" s="3" t="str">
        <f t="shared" si="14"/>
        <v>q115_5_northamerica</v>
      </c>
      <c r="B617" s="3" t="str">
        <f t="shared" si="15"/>
        <v>_northamerica</v>
      </c>
      <c r="C617" s="3" t="s">
        <v>570</v>
      </c>
      <c r="D617" s="12" t="s">
        <v>62</v>
      </c>
      <c r="E617" s="3" t="s">
        <v>438</v>
      </c>
      <c r="F617" s="3" t="s">
        <v>2614</v>
      </c>
    </row>
    <row r="618" spans="1:6" x14ac:dyDescent="0.25">
      <c r="A618" s="3" t="str">
        <f t="shared" si="14"/>
        <v>q115_6_northamerica</v>
      </c>
      <c r="B618" s="3" t="str">
        <f t="shared" si="15"/>
        <v>_northamerica</v>
      </c>
      <c r="C618" s="3" t="s">
        <v>571</v>
      </c>
      <c r="D618" s="12" t="s">
        <v>62</v>
      </c>
      <c r="E618" s="3" t="s">
        <v>440</v>
      </c>
      <c r="F618" s="3" t="s">
        <v>2615</v>
      </c>
    </row>
    <row r="619" spans="1:6" x14ac:dyDescent="0.25">
      <c r="A619" s="3" t="str">
        <f t="shared" si="14"/>
        <v>q11ROW5_hidden_northamerica</v>
      </c>
      <c r="B619" s="3" t="str">
        <f t="shared" si="15"/>
        <v>_northamerica</v>
      </c>
      <c r="C619" s="3" t="s">
        <v>572</v>
      </c>
      <c r="D619" s="12" t="s">
        <v>62</v>
      </c>
      <c r="E619" s="8" t="s">
        <v>442</v>
      </c>
      <c r="F619" s="3" t="s">
        <v>2616</v>
      </c>
    </row>
    <row r="620" spans="1:6" x14ac:dyDescent="0.25">
      <c r="A620" s="3" t="str">
        <f t="shared" si="14"/>
        <v>q11COL1_hidden_northamerica</v>
      </c>
      <c r="B620" s="3" t="str">
        <f t="shared" si="15"/>
        <v>_northamerica</v>
      </c>
      <c r="C620" s="3" t="s">
        <v>573</v>
      </c>
      <c r="D620" s="12" t="s">
        <v>62</v>
      </c>
      <c r="E620" s="8" t="s">
        <v>154</v>
      </c>
      <c r="F620" s="3" t="s">
        <v>2617</v>
      </c>
    </row>
    <row r="621" spans="1:6" x14ac:dyDescent="0.25">
      <c r="A621" s="3" t="str">
        <f t="shared" si="14"/>
        <v>q11COL2_hidden_northamerica</v>
      </c>
      <c r="B621" s="3" t="str">
        <f t="shared" si="15"/>
        <v>_northamerica</v>
      </c>
      <c r="C621" s="3" t="s">
        <v>574</v>
      </c>
      <c r="D621" s="12" t="s">
        <v>62</v>
      </c>
      <c r="E621" s="8" t="s">
        <v>156</v>
      </c>
      <c r="F621" s="3" t="s">
        <v>2618</v>
      </c>
    </row>
    <row r="622" spans="1:6" x14ac:dyDescent="0.25">
      <c r="A622" s="3" t="str">
        <f t="shared" si="14"/>
        <v>q11COL3_hidden_northamerica</v>
      </c>
      <c r="B622" s="3" t="str">
        <f t="shared" si="15"/>
        <v>_northamerica</v>
      </c>
      <c r="C622" s="3" t="s">
        <v>575</v>
      </c>
      <c r="D622" s="12" t="s">
        <v>62</v>
      </c>
      <c r="E622" s="8" t="s">
        <v>158</v>
      </c>
      <c r="F622" s="3" t="s">
        <v>2619</v>
      </c>
    </row>
    <row r="623" spans="1:6" x14ac:dyDescent="0.25">
      <c r="A623" s="3" t="str">
        <f t="shared" si="14"/>
        <v>q11COL4_hidden_northamerica</v>
      </c>
      <c r="B623" s="3" t="str">
        <f t="shared" si="15"/>
        <v>_northamerica</v>
      </c>
      <c r="C623" s="3" t="s">
        <v>576</v>
      </c>
      <c r="D623" s="12" t="s">
        <v>62</v>
      </c>
      <c r="E623" s="8" t="s">
        <v>160</v>
      </c>
      <c r="F623" s="3" t="s">
        <v>2620</v>
      </c>
    </row>
    <row r="624" spans="1:6" x14ac:dyDescent="0.25">
      <c r="A624" s="3" t="str">
        <f t="shared" si="14"/>
        <v>q11COL5_hidden_northamerica</v>
      </c>
      <c r="B624" s="3" t="str">
        <f t="shared" si="15"/>
        <v>_northamerica</v>
      </c>
      <c r="C624" s="3" t="s">
        <v>577</v>
      </c>
      <c r="D624" s="12" t="s">
        <v>62</v>
      </c>
      <c r="E624" s="8" t="s">
        <v>162</v>
      </c>
      <c r="F624" s="3" t="s">
        <v>2621</v>
      </c>
    </row>
    <row r="625" spans="1:6" x14ac:dyDescent="0.25">
      <c r="A625" s="3" t="str">
        <f t="shared" si="14"/>
        <v>q11COL6_hidden_northamerica</v>
      </c>
      <c r="B625" s="3" t="str">
        <f t="shared" si="15"/>
        <v>_northamerica</v>
      </c>
      <c r="C625" s="3" t="s">
        <v>578</v>
      </c>
      <c r="D625" s="12" t="s">
        <v>62</v>
      </c>
      <c r="E625" s="8" t="s">
        <v>164</v>
      </c>
      <c r="F625" s="3" t="s">
        <v>2622</v>
      </c>
    </row>
    <row r="626" spans="1:6" x14ac:dyDescent="0.25">
      <c r="A626" s="3" t="str">
        <f t="shared" si="14"/>
        <v>q11GRANDTotal_hidden_northamerica</v>
      </c>
      <c r="B626" s="3" t="str">
        <f t="shared" si="15"/>
        <v>_northamerica</v>
      </c>
      <c r="C626" s="3" t="s">
        <v>579</v>
      </c>
      <c r="D626" s="12" t="s">
        <v>62</v>
      </c>
      <c r="E626" s="8" t="s">
        <v>580</v>
      </c>
      <c r="F626" s="3" t="s">
        <v>2623</v>
      </c>
    </row>
    <row r="627" spans="1:6" x14ac:dyDescent="0.25">
      <c r="A627" s="3" t="str">
        <f t="shared" si="14"/>
        <v>Global_global</v>
      </c>
      <c r="B627" s="3" t="s">
        <v>584</v>
      </c>
      <c r="C627" s="10" t="s">
        <v>585</v>
      </c>
      <c r="D627" s="11"/>
      <c r="E627" s="9" t="s">
        <v>2956</v>
      </c>
      <c r="F627" s="3">
        <v>20</v>
      </c>
    </row>
    <row r="628" spans="1:6" x14ac:dyDescent="0.25">
      <c r="A628" s="3" t="str">
        <f t="shared" si="14"/>
        <v>q101_1_global</v>
      </c>
      <c r="B628" s="3" t="str">
        <f t="shared" ref="B628:B691" si="16">B627</f>
        <v>_global</v>
      </c>
      <c r="C628" s="3" t="s">
        <v>469</v>
      </c>
      <c r="D628" s="12" t="s">
        <v>62</v>
      </c>
      <c r="E628" s="3" t="s">
        <v>254</v>
      </c>
      <c r="F628" s="3" t="s">
        <v>2624</v>
      </c>
    </row>
    <row r="629" spans="1:6" x14ac:dyDescent="0.25">
      <c r="A629" s="3" t="str">
        <f t="shared" si="14"/>
        <v>q101_2_global</v>
      </c>
      <c r="B629" s="3" t="str">
        <f t="shared" si="16"/>
        <v>_global</v>
      </c>
      <c r="C629" s="3" t="s">
        <v>470</v>
      </c>
      <c r="D629" s="12" t="s">
        <v>62</v>
      </c>
      <c r="E629" s="3" t="s">
        <v>256</v>
      </c>
      <c r="F629" s="3" t="s">
        <v>2625</v>
      </c>
    </row>
    <row r="630" spans="1:6" x14ac:dyDescent="0.25">
      <c r="A630" s="3" t="str">
        <f t="shared" si="14"/>
        <v>q101_3_global</v>
      </c>
      <c r="B630" s="3" t="str">
        <f t="shared" si="16"/>
        <v>_global</v>
      </c>
      <c r="C630" s="3" t="s">
        <v>471</v>
      </c>
      <c r="D630" s="12" t="s">
        <v>62</v>
      </c>
      <c r="E630" s="3" t="s">
        <v>258</v>
      </c>
      <c r="F630" s="3" t="s">
        <v>2626</v>
      </c>
    </row>
    <row r="631" spans="1:6" x14ac:dyDescent="0.25">
      <c r="A631" s="3" t="str">
        <f t="shared" si="14"/>
        <v>q101_4_global</v>
      </c>
      <c r="B631" s="3" t="str">
        <f t="shared" si="16"/>
        <v>_global</v>
      </c>
      <c r="C631" s="3" t="s">
        <v>472</v>
      </c>
      <c r="D631" s="12" t="s">
        <v>62</v>
      </c>
      <c r="E631" s="3" t="s">
        <v>260</v>
      </c>
      <c r="F631" s="3" t="s">
        <v>2627</v>
      </c>
    </row>
    <row r="632" spans="1:6" x14ac:dyDescent="0.25">
      <c r="A632" s="3" t="str">
        <f t="shared" si="14"/>
        <v>q101_5_global</v>
      </c>
      <c r="B632" s="3" t="str">
        <f t="shared" si="16"/>
        <v>_global</v>
      </c>
      <c r="C632" s="3" t="s">
        <v>473</v>
      </c>
      <c r="D632" s="12" t="s">
        <v>62</v>
      </c>
      <c r="E632" s="3" t="s">
        <v>262</v>
      </c>
      <c r="F632" s="3" t="s">
        <v>2628</v>
      </c>
    </row>
    <row r="633" spans="1:6" x14ac:dyDescent="0.25">
      <c r="A633" s="3" t="str">
        <f t="shared" si="14"/>
        <v>q101_6_global</v>
      </c>
      <c r="B633" s="3" t="str">
        <f t="shared" si="16"/>
        <v>_global</v>
      </c>
      <c r="C633" s="3" t="s">
        <v>474</v>
      </c>
      <c r="D633" s="12" t="s">
        <v>62</v>
      </c>
      <c r="E633" s="3" t="s">
        <v>264</v>
      </c>
      <c r="F633" s="3" t="s">
        <v>2629</v>
      </c>
    </row>
    <row r="634" spans="1:6" x14ac:dyDescent="0.25">
      <c r="A634" s="3" t="str">
        <f t="shared" si="14"/>
        <v>q10ROW1_hidden_global</v>
      </c>
      <c r="B634" s="3" t="str">
        <f t="shared" si="16"/>
        <v>_global</v>
      </c>
      <c r="C634" s="3" t="s">
        <v>475</v>
      </c>
      <c r="D634" s="12" t="s">
        <v>62</v>
      </c>
      <c r="E634" s="8" t="s">
        <v>266</v>
      </c>
      <c r="F634" s="3" t="s">
        <v>2630</v>
      </c>
    </row>
    <row r="635" spans="1:6" x14ac:dyDescent="0.25">
      <c r="A635" s="3" t="str">
        <f t="shared" si="14"/>
        <v>q102_1_global</v>
      </c>
      <c r="B635" s="3" t="str">
        <f t="shared" si="16"/>
        <v>_global</v>
      </c>
      <c r="C635" s="3" t="s">
        <v>476</v>
      </c>
      <c r="D635" s="12" t="s">
        <v>62</v>
      </c>
      <c r="E635" s="3" t="s">
        <v>268</v>
      </c>
      <c r="F635" s="3" t="s">
        <v>2631</v>
      </c>
    </row>
    <row r="636" spans="1:6" x14ac:dyDescent="0.25">
      <c r="A636" s="3" t="str">
        <f t="shared" si="14"/>
        <v>q102_2_global</v>
      </c>
      <c r="B636" s="3" t="str">
        <f t="shared" si="16"/>
        <v>_global</v>
      </c>
      <c r="C636" s="3" t="s">
        <v>477</v>
      </c>
      <c r="D636" s="12" t="s">
        <v>62</v>
      </c>
      <c r="E636" s="3" t="s">
        <v>270</v>
      </c>
      <c r="F636" s="3" t="s">
        <v>2632</v>
      </c>
    </row>
    <row r="637" spans="1:6" x14ac:dyDescent="0.25">
      <c r="A637" s="3" t="str">
        <f t="shared" si="14"/>
        <v>q102_3_global</v>
      </c>
      <c r="B637" s="3" t="str">
        <f t="shared" si="16"/>
        <v>_global</v>
      </c>
      <c r="C637" s="3" t="s">
        <v>478</v>
      </c>
      <c r="D637" s="12" t="s">
        <v>62</v>
      </c>
      <c r="E637" s="3" t="s">
        <v>272</v>
      </c>
      <c r="F637" s="3" t="s">
        <v>2633</v>
      </c>
    </row>
    <row r="638" spans="1:6" x14ac:dyDescent="0.25">
      <c r="A638" s="3" t="str">
        <f t="shared" si="14"/>
        <v>q102_4_global</v>
      </c>
      <c r="B638" s="3" t="str">
        <f t="shared" si="16"/>
        <v>_global</v>
      </c>
      <c r="C638" s="3" t="s">
        <v>479</v>
      </c>
      <c r="D638" s="12" t="s">
        <v>62</v>
      </c>
      <c r="E638" s="3" t="s">
        <v>274</v>
      </c>
      <c r="F638" s="3" t="s">
        <v>2634</v>
      </c>
    </row>
    <row r="639" spans="1:6" x14ac:dyDescent="0.25">
      <c r="A639" s="3" t="str">
        <f t="shared" si="14"/>
        <v>q102_5_global</v>
      </c>
      <c r="B639" s="3" t="str">
        <f t="shared" si="16"/>
        <v>_global</v>
      </c>
      <c r="C639" s="3" t="s">
        <v>480</v>
      </c>
      <c r="D639" s="12" t="s">
        <v>62</v>
      </c>
      <c r="E639" s="3" t="s">
        <v>276</v>
      </c>
      <c r="F639" s="3" t="s">
        <v>2635</v>
      </c>
    </row>
    <row r="640" spans="1:6" x14ac:dyDescent="0.25">
      <c r="A640" s="3" t="str">
        <f t="shared" si="14"/>
        <v>q102_6_global</v>
      </c>
      <c r="B640" s="3" t="str">
        <f t="shared" si="16"/>
        <v>_global</v>
      </c>
      <c r="C640" s="3" t="s">
        <v>481</v>
      </c>
      <c r="D640" s="12" t="s">
        <v>62</v>
      </c>
      <c r="E640" s="3" t="s">
        <v>278</v>
      </c>
      <c r="F640" s="3" t="s">
        <v>2636</v>
      </c>
    </row>
    <row r="641" spans="1:6" x14ac:dyDescent="0.25">
      <c r="A641" s="3" t="str">
        <f t="shared" si="14"/>
        <v>q10ROW2_hidden_global</v>
      </c>
      <c r="B641" s="3" t="str">
        <f t="shared" si="16"/>
        <v>_global</v>
      </c>
      <c r="C641" s="3" t="s">
        <v>482</v>
      </c>
      <c r="D641" s="12" t="s">
        <v>62</v>
      </c>
      <c r="E641" s="8" t="s">
        <v>280</v>
      </c>
      <c r="F641" s="3" t="s">
        <v>2637</v>
      </c>
    </row>
    <row r="642" spans="1:6" x14ac:dyDescent="0.25">
      <c r="A642" s="3" t="str">
        <f t="shared" si="14"/>
        <v>q103_1_global</v>
      </c>
      <c r="B642" s="3" t="str">
        <f t="shared" si="16"/>
        <v>_global</v>
      </c>
      <c r="C642" s="3" t="s">
        <v>483</v>
      </c>
      <c r="D642" s="12" t="s">
        <v>62</v>
      </c>
      <c r="E642" s="3" t="s">
        <v>282</v>
      </c>
      <c r="F642" s="3" t="s">
        <v>2638</v>
      </c>
    </row>
    <row r="643" spans="1:6" x14ac:dyDescent="0.25">
      <c r="A643" s="3" t="str">
        <f t="shared" ref="A643:A706" si="17">_xlfn.CONCAT(C643,B643)</f>
        <v>q103_2_global</v>
      </c>
      <c r="B643" s="3" t="str">
        <f t="shared" si="16"/>
        <v>_global</v>
      </c>
      <c r="C643" s="3" t="s">
        <v>484</v>
      </c>
      <c r="D643" s="12" t="s">
        <v>62</v>
      </c>
      <c r="E643" s="3" t="s">
        <v>284</v>
      </c>
      <c r="F643" s="3" t="s">
        <v>2639</v>
      </c>
    </row>
    <row r="644" spans="1:6" x14ac:dyDescent="0.25">
      <c r="A644" s="3" t="str">
        <f t="shared" si="17"/>
        <v>q103_3_global</v>
      </c>
      <c r="B644" s="3" t="str">
        <f t="shared" si="16"/>
        <v>_global</v>
      </c>
      <c r="C644" s="3" t="s">
        <v>485</v>
      </c>
      <c r="D644" s="12" t="s">
        <v>62</v>
      </c>
      <c r="E644" s="3" t="s">
        <v>286</v>
      </c>
      <c r="F644" s="3" t="s">
        <v>2640</v>
      </c>
    </row>
    <row r="645" spans="1:6" x14ac:dyDescent="0.25">
      <c r="A645" s="3" t="str">
        <f t="shared" si="17"/>
        <v>q103_4_global</v>
      </c>
      <c r="B645" s="3" t="str">
        <f t="shared" si="16"/>
        <v>_global</v>
      </c>
      <c r="C645" s="3" t="s">
        <v>486</v>
      </c>
      <c r="D645" s="12" t="s">
        <v>62</v>
      </c>
      <c r="E645" s="3" t="s">
        <v>288</v>
      </c>
      <c r="F645" s="3" t="s">
        <v>2641</v>
      </c>
    </row>
    <row r="646" spans="1:6" x14ac:dyDescent="0.25">
      <c r="A646" s="3" t="str">
        <f t="shared" si="17"/>
        <v>q103_5_global</v>
      </c>
      <c r="B646" s="3" t="str">
        <f t="shared" si="16"/>
        <v>_global</v>
      </c>
      <c r="C646" s="3" t="s">
        <v>487</v>
      </c>
      <c r="D646" s="12" t="s">
        <v>62</v>
      </c>
      <c r="E646" s="3" t="s">
        <v>290</v>
      </c>
      <c r="F646" s="3" t="s">
        <v>2642</v>
      </c>
    </row>
    <row r="647" spans="1:6" x14ac:dyDescent="0.25">
      <c r="A647" s="3" t="str">
        <f t="shared" si="17"/>
        <v>q103_6_global</v>
      </c>
      <c r="B647" s="3" t="str">
        <f t="shared" si="16"/>
        <v>_global</v>
      </c>
      <c r="C647" s="3" t="s">
        <v>488</v>
      </c>
      <c r="D647" s="12" t="s">
        <v>62</v>
      </c>
      <c r="E647" s="3" t="s">
        <v>292</v>
      </c>
      <c r="F647" s="3" t="s">
        <v>2643</v>
      </c>
    </row>
    <row r="648" spans="1:6" x14ac:dyDescent="0.25">
      <c r="A648" s="3" t="str">
        <f t="shared" si="17"/>
        <v>q10ROW3_hidden_global</v>
      </c>
      <c r="B648" s="3" t="str">
        <f t="shared" si="16"/>
        <v>_global</v>
      </c>
      <c r="C648" s="3" t="s">
        <v>489</v>
      </c>
      <c r="D648" s="12" t="s">
        <v>62</v>
      </c>
      <c r="E648" s="8" t="s">
        <v>294</v>
      </c>
      <c r="F648" s="3" t="s">
        <v>2644</v>
      </c>
    </row>
    <row r="649" spans="1:6" x14ac:dyDescent="0.25">
      <c r="A649" s="3" t="str">
        <f t="shared" si="17"/>
        <v>q104_1_global</v>
      </c>
      <c r="B649" s="3" t="str">
        <f t="shared" si="16"/>
        <v>_global</v>
      </c>
      <c r="C649" s="3" t="s">
        <v>490</v>
      </c>
      <c r="D649" s="12" t="s">
        <v>62</v>
      </c>
      <c r="E649" s="3" t="s">
        <v>296</v>
      </c>
      <c r="F649" s="3" t="s">
        <v>2645</v>
      </c>
    </row>
    <row r="650" spans="1:6" x14ac:dyDescent="0.25">
      <c r="A650" s="3" t="str">
        <f t="shared" si="17"/>
        <v>q104_2_global</v>
      </c>
      <c r="B650" s="3" t="str">
        <f t="shared" si="16"/>
        <v>_global</v>
      </c>
      <c r="C650" s="3" t="s">
        <v>491</v>
      </c>
      <c r="D650" s="12" t="s">
        <v>62</v>
      </c>
      <c r="E650" s="3" t="s">
        <v>298</v>
      </c>
      <c r="F650" s="3" t="s">
        <v>2646</v>
      </c>
    </row>
    <row r="651" spans="1:6" x14ac:dyDescent="0.25">
      <c r="A651" s="3" t="str">
        <f t="shared" si="17"/>
        <v>q104_3_global</v>
      </c>
      <c r="B651" s="3" t="str">
        <f t="shared" si="16"/>
        <v>_global</v>
      </c>
      <c r="C651" s="3" t="s">
        <v>492</v>
      </c>
      <c r="D651" s="12" t="s">
        <v>62</v>
      </c>
      <c r="E651" s="3" t="s">
        <v>300</v>
      </c>
      <c r="F651" s="3" t="s">
        <v>2647</v>
      </c>
    </row>
    <row r="652" spans="1:6" x14ac:dyDescent="0.25">
      <c r="A652" s="3" t="str">
        <f t="shared" si="17"/>
        <v>q104_4_global</v>
      </c>
      <c r="B652" s="3" t="str">
        <f t="shared" si="16"/>
        <v>_global</v>
      </c>
      <c r="C652" s="3" t="s">
        <v>493</v>
      </c>
      <c r="D652" s="12" t="s">
        <v>62</v>
      </c>
      <c r="E652" s="3" t="s">
        <v>302</v>
      </c>
      <c r="F652" s="3" t="s">
        <v>2648</v>
      </c>
    </row>
    <row r="653" spans="1:6" x14ac:dyDescent="0.25">
      <c r="A653" s="3" t="str">
        <f t="shared" si="17"/>
        <v>q104_5_global</v>
      </c>
      <c r="B653" s="3" t="str">
        <f t="shared" si="16"/>
        <v>_global</v>
      </c>
      <c r="C653" s="3" t="s">
        <v>494</v>
      </c>
      <c r="D653" s="12" t="s">
        <v>62</v>
      </c>
      <c r="E653" s="3" t="s">
        <v>304</v>
      </c>
      <c r="F653" s="3" t="s">
        <v>2649</v>
      </c>
    </row>
    <row r="654" spans="1:6" x14ac:dyDescent="0.25">
      <c r="A654" s="3" t="str">
        <f t="shared" si="17"/>
        <v>q104_6_global</v>
      </c>
      <c r="B654" s="3" t="str">
        <f t="shared" si="16"/>
        <v>_global</v>
      </c>
      <c r="C654" s="3" t="s">
        <v>495</v>
      </c>
      <c r="D654" s="12" t="s">
        <v>62</v>
      </c>
      <c r="E654" s="3" t="s">
        <v>306</v>
      </c>
      <c r="F654" s="3" t="s">
        <v>2650</v>
      </c>
    </row>
    <row r="655" spans="1:6" x14ac:dyDescent="0.25">
      <c r="A655" s="3" t="str">
        <f t="shared" si="17"/>
        <v>q10ROW4_hidden_global</v>
      </c>
      <c r="B655" s="3" t="str">
        <f t="shared" si="16"/>
        <v>_global</v>
      </c>
      <c r="C655" s="3" t="s">
        <v>496</v>
      </c>
      <c r="D655" s="12" t="s">
        <v>62</v>
      </c>
      <c r="E655" s="8" t="s">
        <v>308</v>
      </c>
      <c r="F655" s="3" t="s">
        <v>2651</v>
      </c>
    </row>
    <row r="656" spans="1:6" x14ac:dyDescent="0.25">
      <c r="A656" s="3" t="str">
        <f t="shared" si="17"/>
        <v>q105_1_global</v>
      </c>
      <c r="B656" s="3" t="str">
        <f t="shared" si="16"/>
        <v>_global</v>
      </c>
      <c r="C656" s="3" t="s">
        <v>497</v>
      </c>
      <c r="D656" s="12" t="s">
        <v>62</v>
      </c>
      <c r="E656" s="3" t="s">
        <v>310</v>
      </c>
      <c r="F656" s="3" t="s">
        <v>2652</v>
      </c>
    </row>
    <row r="657" spans="1:6" x14ac:dyDescent="0.25">
      <c r="A657" s="3" t="str">
        <f t="shared" si="17"/>
        <v>q105_2_global</v>
      </c>
      <c r="B657" s="3" t="str">
        <f t="shared" si="16"/>
        <v>_global</v>
      </c>
      <c r="C657" s="3" t="s">
        <v>498</v>
      </c>
      <c r="D657" s="12" t="s">
        <v>62</v>
      </c>
      <c r="E657" s="3" t="s">
        <v>312</v>
      </c>
      <c r="F657" s="3" t="s">
        <v>2653</v>
      </c>
    </row>
    <row r="658" spans="1:6" x14ac:dyDescent="0.25">
      <c r="A658" s="3" t="str">
        <f t="shared" si="17"/>
        <v>q105_3_global</v>
      </c>
      <c r="B658" s="3" t="str">
        <f t="shared" si="16"/>
        <v>_global</v>
      </c>
      <c r="C658" s="3" t="s">
        <v>499</v>
      </c>
      <c r="D658" s="12" t="s">
        <v>62</v>
      </c>
      <c r="E658" s="3" t="s">
        <v>314</v>
      </c>
      <c r="F658" s="3" t="s">
        <v>2654</v>
      </c>
    </row>
    <row r="659" spans="1:6" x14ac:dyDescent="0.25">
      <c r="A659" s="3" t="str">
        <f t="shared" si="17"/>
        <v>q105_4_global</v>
      </c>
      <c r="B659" s="3" t="str">
        <f t="shared" si="16"/>
        <v>_global</v>
      </c>
      <c r="C659" s="3" t="s">
        <v>500</v>
      </c>
      <c r="D659" s="12" t="s">
        <v>62</v>
      </c>
      <c r="E659" s="3" t="s">
        <v>316</v>
      </c>
      <c r="F659" s="3" t="s">
        <v>2655</v>
      </c>
    </row>
    <row r="660" spans="1:6" x14ac:dyDescent="0.25">
      <c r="A660" s="3" t="str">
        <f t="shared" si="17"/>
        <v>q105_5_global</v>
      </c>
      <c r="B660" s="3" t="str">
        <f t="shared" si="16"/>
        <v>_global</v>
      </c>
      <c r="C660" s="3" t="s">
        <v>501</v>
      </c>
      <c r="D660" s="12" t="s">
        <v>62</v>
      </c>
      <c r="E660" s="3" t="s">
        <v>318</v>
      </c>
      <c r="F660" s="3" t="s">
        <v>2656</v>
      </c>
    </row>
    <row r="661" spans="1:6" x14ac:dyDescent="0.25">
      <c r="A661" s="3" t="str">
        <f t="shared" si="17"/>
        <v>q105_6_global</v>
      </c>
      <c r="B661" s="3" t="str">
        <f t="shared" si="16"/>
        <v>_global</v>
      </c>
      <c r="C661" s="3" t="s">
        <v>502</v>
      </c>
      <c r="D661" s="12" t="s">
        <v>62</v>
      </c>
      <c r="E661" s="3" t="s">
        <v>320</v>
      </c>
      <c r="F661" s="3" t="s">
        <v>2657</v>
      </c>
    </row>
    <row r="662" spans="1:6" x14ac:dyDescent="0.25">
      <c r="A662" s="3" t="str">
        <f t="shared" si="17"/>
        <v>q10ROW5_hidden_global</v>
      </c>
      <c r="B662" s="3" t="str">
        <f t="shared" si="16"/>
        <v>_global</v>
      </c>
      <c r="C662" s="3" t="s">
        <v>503</v>
      </c>
      <c r="D662" s="12" t="s">
        <v>62</v>
      </c>
      <c r="E662" s="8" t="s">
        <v>322</v>
      </c>
      <c r="F662" s="3" t="s">
        <v>2658</v>
      </c>
    </row>
    <row r="663" spans="1:6" x14ac:dyDescent="0.25">
      <c r="A663" s="3" t="str">
        <f t="shared" si="17"/>
        <v>q106_1_global</v>
      </c>
      <c r="B663" s="3" t="str">
        <f t="shared" si="16"/>
        <v>_global</v>
      </c>
      <c r="C663" s="3" t="s">
        <v>504</v>
      </c>
      <c r="D663" s="12" t="s">
        <v>62</v>
      </c>
      <c r="E663" s="3" t="s">
        <v>324</v>
      </c>
      <c r="F663" s="3" t="s">
        <v>2659</v>
      </c>
    </row>
    <row r="664" spans="1:6" x14ac:dyDescent="0.25">
      <c r="A664" s="3" t="str">
        <f t="shared" si="17"/>
        <v>q106_2_global</v>
      </c>
      <c r="B664" s="3" t="str">
        <f t="shared" si="16"/>
        <v>_global</v>
      </c>
      <c r="C664" s="3" t="s">
        <v>505</v>
      </c>
      <c r="D664" s="12" t="s">
        <v>62</v>
      </c>
      <c r="E664" s="3" t="s">
        <v>326</v>
      </c>
      <c r="F664" s="3" t="s">
        <v>2660</v>
      </c>
    </row>
    <row r="665" spans="1:6" x14ac:dyDescent="0.25">
      <c r="A665" s="3" t="str">
        <f t="shared" si="17"/>
        <v>q106_3_global</v>
      </c>
      <c r="B665" s="3" t="str">
        <f t="shared" si="16"/>
        <v>_global</v>
      </c>
      <c r="C665" s="3" t="s">
        <v>506</v>
      </c>
      <c r="D665" s="12" t="s">
        <v>62</v>
      </c>
      <c r="E665" s="3" t="s">
        <v>328</v>
      </c>
      <c r="F665" s="3" t="s">
        <v>2661</v>
      </c>
    </row>
    <row r="666" spans="1:6" x14ac:dyDescent="0.25">
      <c r="A666" s="3" t="str">
        <f t="shared" si="17"/>
        <v>q106_4_global</v>
      </c>
      <c r="B666" s="3" t="str">
        <f t="shared" si="16"/>
        <v>_global</v>
      </c>
      <c r="C666" s="3" t="s">
        <v>507</v>
      </c>
      <c r="D666" s="12" t="s">
        <v>62</v>
      </c>
      <c r="E666" s="3" t="s">
        <v>330</v>
      </c>
      <c r="F666" s="3" t="s">
        <v>2662</v>
      </c>
    </row>
    <row r="667" spans="1:6" x14ac:dyDescent="0.25">
      <c r="A667" s="3" t="str">
        <f t="shared" si="17"/>
        <v>q106_5_global</v>
      </c>
      <c r="B667" s="3" t="str">
        <f t="shared" si="16"/>
        <v>_global</v>
      </c>
      <c r="C667" s="3" t="s">
        <v>508</v>
      </c>
      <c r="D667" s="12" t="s">
        <v>62</v>
      </c>
      <c r="E667" s="3" t="s">
        <v>332</v>
      </c>
      <c r="F667" s="3" t="s">
        <v>2663</v>
      </c>
    </row>
    <row r="668" spans="1:6" x14ac:dyDescent="0.25">
      <c r="A668" s="3" t="str">
        <f t="shared" si="17"/>
        <v>q106_6_global</v>
      </c>
      <c r="B668" s="3" t="str">
        <f t="shared" si="16"/>
        <v>_global</v>
      </c>
      <c r="C668" s="3" t="s">
        <v>509</v>
      </c>
      <c r="D668" s="12" t="s">
        <v>62</v>
      </c>
      <c r="E668" s="3" t="s">
        <v>334</v>
      </c>
      <c r="F668" s="3" t="s">
        <v>2664</v>
      </c>
    </row>
    <row r="669" spans="1:6" x14ac:dyDescent="0.25">
      <c r="A669" s="3" t="str">
        <f t="shared" si="17"/>
        <v>q10ROW6_hidden_global</v>
      </c>
      <c r="B669" s="3" t="str">
        <f t="shared" si="16"/>
        <v>_global</v>
      </c>
      <c r="C669" s="3" t="s">
        <v>510</v>
      </c>
      <c r="D669" s="12" t="s">
        <v>62</v>
      </c>
      <c r="E669" s="8" t="s">
        <v>162</v>
      </c>
      <c r="F669" s="3" t="s">
        <v>2665</v>
      </c>
    </row>
    <row r="670" spans="1:6" x14ac:dyDescent="0.25">
      <c r="A670" s="3" t="str">
        <f t="shared" si="17"/>
        <v>q107_1_global</v>
      </c>
      <c r="B670" s="3" t="str">
        <f t="shared" si="16"/>
        <v>_global</v>
      </c>
      <c r="C670" s="3" t="s">
        <v>511</v>
      </c>
      <c r="D670" s="12" t="s">
        <v>62</v>
      </c>
      <c r="E670" s="3" t="s">
        <v>337</v>
      </c>
      <c r="F670" s="3" t="s">
        <v>2666</v>
      </c>
    </row>
    <row r="671" spans="1:6" x14ac:dyDescent="0.25">
      <c r="A671" s="3" t="str">
        <f t="shared" si="17"/>
        <v>q107_2_global</v>
      </c>
      <c r="B671" s="3" t="str">
        <f t="shared" si="16"/>
        <v>_global</v>
      </c>
      <c r="C671" s="3" t="s">
        <v>512</v>
      </c>
      <c r="D671" s="12" t="s">
        <v>62</v>
      </c>
      <c r="E671" s="3" t="s">
        <v>339</v>
      </c>
      <c r="F671" s="3" t="s">
        <v>2667</v>
      </c>
    </row>
    <row r="672" spans="1:6" x14ac:dyDescent="0.25">
      <c r="A672" s="3" t="str">
        <f t="shared" si="17"/>
        <v>q107_3_global</v>
      </c>
      <c r="B672" s="3" t="str">
        <f t="shared" si="16"/>
        <v>_global</v>
      </c>
      <c r="C672" s="3" t="s">
        <v>513</v>
      </c>
      <c r="D672" s="12" t="s">
        <v>62</v>
      </c>
      <c r="E672" s="3" t="s">
        <v>341</v>
      </c>
      <c r="F672" s="3" t="s">
        <v>2668</v>
      </c>
    </row>
    <row r="673" spans="1:6" x14ac:dyDescent="0.25">
      <c r="A673" s="3" t="str">
        <f t="shared" si="17"/>
        <v>q107_4_global</v>
      </c>
      <c r="B673" s="3" t="str">
        <f t="shared" si="16"/>
        <v>_global</v>
      </c>
      <c r="C673" s="3" t="s">
        <v>514</v>
      </c>
      <c r="D673" s="12" t="s">
        <v>62</v>
      </c>
      <c r="E673" s="3" t="s">
        <v>343</v>
      </c>
      <c r="F673" s="3" t="s">
        <v>2669</v>
      </c>
    </row>
    <row r="674" spans="1:6" x14ac:dyDescent="0.25">
      <c r="A674" s="3" t="str">
        <f t="shared" si="17"/>
        <v>q107_5_global</v>
      </c>
      <c r="B674" s="3" t="str">
        <f t="shared" si="16"/>
        <v>_global</v>
      </c>
      <c r="C674" s="3" t="s">
        <v>515</v>
      </c>
      <c r="D674" s="12" t="s">
        <v>62</v>
      </c>
      <c r="E674" s="3" t="s">
        <v>345</v>
      </c>
      <c r="F674" s="3" t="s">
        <v>2670</v>
      </c>
    </row>
    <row r="675" spans="1:6" x14ac:dyDescent="0.25">
      <c r="A675" s="3" t="str">
        <f t="shared" si="17"/>
        <v>q107_6_global</v>
      </c>
      <c r="B675" s="3" t="str">
        <f t="shared" si="16"/>
        <v>_global</v>
      </c>
      <c r="C675" s="3" t="s">
        <v>516</v>
      </c>
      <c r="D675" s="12" t="s">
        <v>62</v>
      </c>
      <c r="E675" s="3" t="s">
        <v>347</v>
      </c>
      <c r="F675" s="3" t="s">
        <v>2671</v>
      </c>
    </row>
    <row r="676" spans="1:6" x14ac:dyDescent="0.25">
      <c r="A676" s="3" t="str">
        <f t="shared" si="17"/>
        <v>q10ROW7_hidden_global</v>
      </c>
      <c r="B676" s="3" t="str">
        <f t="shared" si="16"/>
        <v>_global</v>
      </c>
      <c r="C676" s="3" t="s">
        <v>517</v>
      </c>
      <c r="D676" s="12" t="s">
        <v>62</v>
      </c>
      <c r="E676" s="8" t="s">
        <v>349</v>
      </c>
      <c r="F676" s="3" t="s">
        <v>2672</v>
      </c>
    </row>
    <row r="677" spans="1:6" x14ac:dyDescent="0.25">
      <c r="A677" s="3" t="str">
        <f t="shared" si="17"/>
        <v>q10other_global</v>
      </c>
      <c r="B677" s="3" t="str">
        <f t="shared" si="16"/>
        <v>_global</v>
      </c>
      <c r="C677" s="3" t="s">
        <v>518</v>
      </c>
      <c r="D677" s="12" t="s">
        <v>38</v>
      </c>
      <c r="E677" s="3" t="s">
        <v>351</v>
      </c>
      <c r="F677" s="3" t="s">
        <v>2673</v>
      </c>
    </row>
    <row r="678" spans="1:6" x14ac:dyDescent="0.25">
      <c r="A678" s="3" t="str">
        <f t="shared" si="17"/>
        <v>q108_1_global</v>
      </c>
      <c r="B678" s="3" t="str">
        <f t="shared" si="16"/>
        <v>_global</v>
      </c>
      <c r="C678" s="3" t="s">
        <v>519</v>
      </c>
      <c r="D678" s="12" t="s">
        <v>62</v>
      </c>
      <c r="E678" s="3" t="s">
        <v>353</v>
      </c>
      <c r="F678" s="3" t="s">
        <v>2674</v>
      </c>
    </row>
    <row r="679" spans="1:6" x14ac:dyDescent="0.25">
      <c r="A679" s="3" t="str">
        <f t="shared" si="17"/>
        <v>q108_2_global</v>
      </c>
      <c r="B679" s="3" t="str">
        <f t="shared" si="16"/>
        <v>_global</v>
      </c>
      <c r="C679" s="3" t="s">
        <v>520</v>
      </c>
      <c r="D679" s="12" t="s">
        <v>62</v>
      </c>
      <c r="E679" s="3" t="s">
        <v>355</v>
      </c>
      <c r="F679" s="3" t="s">
        <v>2675</v>
      </c>
    </row>
    <row r="680" spans="1:6" x14ac:dyDescent="0.25">
      <c r="A680" s="3" t="str">
        <f t="shared" si="17"/>
        <v>q108_3_global</v>
      </c>
      <c r="B680" s="3" t="str">
        <f t="shared" si="16"/>
        <v>_global</v>
      </c>
      <c r="C680" s="3" t="s">
        <v>521</v>
      </c>
      <c r="D680" s="12" t="s">
        <v>62</v>
      </c>
      <c r="E680" s="3" t="s">
        <v>357</v>
      </c>
      <c r="F680" s="3" t="s">
        <v>2676</v>
      </c>
    </row>
    <row r="681" spans="1:6" x14ac:dyDescent="0.25">
      <c r="A681" s="3" t="str">
        <f t="shared" si="17"/>
        <v>q108_4_global</v>
      </c>
      <c r="B681" s="3" t="str">
        <f t="shared" si="16"/>
        <v>_global</v>
      </c>
      <c r="C681" s="3" t="s">
        <v>522</v>
      </c>
      <c r="D681" s="12" t="s">
        <v>62</v>
      </c>
      <c r="E681" s="3" t="s">
        <v>359</v>
      </c>
      <c r="F681" s="3" t="s">
        <v>2677</v>
      </c>
    </row>
    <row r="682" spans="1:6" x14ac:dyDescent="0.25">
      <c r="A682" s="3" t="str">
        <f t="shared" si="17"/>
        <v>q108_5_global</v>
      </c>
      <c r="B682" s="3" t="str">
        <f t="shared" si="16"/>
        <v>_global</v>
      </c>
      <c r="C682" s="3" t="s">
        <v>523</v>
      </c>
      <c r="D682" s="12" t="s">
        <v>62</v>
      </c>
      <c r="E682" s="3" t="s">
        <v>361</v>
      </c>
      <c r="F682" s="3" t="s">
        <v>2678</v>
      </c>
    </row>
    <row r="683" spans="1:6" x14ac:dyDescent="0.25">
      <c r="A683" s="3" t="str">
        <f t="shared" si="17"/>
        <v>q108_6_global</v>
      </c>
      <c r="B683" s="3" t="str">
        <f t="shared" si="16"/>
        <v>_global</v>
      </c>
      <c r="C683" s="3" t="s">
        <v>524</v>
      </c>
      <c r="D683" s="12" t="s">
        <v>62</v>
      </c>
      <c r="E683" s="3" t="s">
        <v>363</v>
      </c>
      <c r="F683" s="3" t="s">
        <v>2679</v>
      </c>
    </row>
    <row r="684" spans="1:6" x14ac:dyDescent="0.25">
      <c r="A684" s="3" t="str">
        <f t="shared" si="17"/>
        <v>q10ROW8_hidden_global</v>
      </c>
      <c r="B684" s="3" t="str">
        <f t="shared" si="16"/>
        <v>_global</v>
      </c>
      <c r="C684" s="3" t="s">
        <v>525</v>
      </c>
      <c r="D684" s="12" t="s">
        <v>62</v>
      </c>
      <c r="E684" s="8" t="s">
        <v>365</v>
      </c>
      <c r="F684" s="3" t="s">
        <v>2680</v>
      </c>
    </row>
    <row r="685" spans="1:6" x14ac:dyDescent="0.25">
      <c r="A685" s="3" t="str">
        <f t="shared" si="17"/>
        <v>q10COL1_hidden_global</v>
      </c>
      <c r="B685" s="3" t="str">
        <f t="shared" si="16"/>
        <v>_global</v>
      </c>
      <c r="C685" s="3" t="s">
        <v>526</v>
      </c>
      <c r="D685" s="12" t="s">
        <v>62</v>
      </c>
      <c r="E685" s="8" t="s">
        <v>154</v>
      </c>
      <c r="F685" s="3" t="s">
        <v>2681</v>
      </c>
    </row>
    <row r="686" spans="1:6" x14ac:dyDescent="0.25">
      <c r="A686" s="3" t="str">
        <f t="shared" si="17"/>
        <v>q10COL2_hidden_global</v>
      </c>
      <c r="B686" s="3" t="str">
        <f t="shared" si="16"/>
        <v>_global</v>
      </c>
      <c r="C686" s="3" t="s">
        <v>527</v>
      </c>
      <c r="D686" s="12" t="s">
        <v>62</v>
      </c>
      <c r="E686" s="8" t="s">
        <v>156</v>
      </c>
      <c r="F686" s="3" t="s">
        <v>2682</v>
      </c>
    </row>
    <row r="687" spans="1:6" x14ac:dyDescent="0.25">
      <c r="A687" s="3" t="str">
        <f t="shared" si="17"/>
        <v>q10COL3_hidden_global</v>
      </c>
      <c r="B687" s="3" t="str">
        <f t="shared" si="16"/>
        <v>_global</v>
      </c>
      <c r="C687" s="3" t="s">
        <v>528</v>
      </c>
      <c r="D687" s="12" t="s">
        <v>62</v>
      </c>
      <c r="E687" s="8" t="s">
        <v>158</v>
      </c>
      <c r="F687" s="3" t="s">
        <v>2683</v>
      </c>
    </row>
    <row r="688" spans="1:6" x14ac:dyDescent="0.25">
      <c r="A688" s="3" t="str">
        <f t="shared" si="17"/>
        <v>q10COL4_hidden_global</v>
      </c>
      <c r="B688" s="3" t="str">
        <f t="shared" si="16"/>
        <v>_global</v>
      </c>
      <c r="C688" s="3" t="s">
        <v>529</v>
      </c>
      <c r="D688" s="12" t="s">
        <v>62</v>
      </c>
      <c r="E688" s="8" t="s">
        <v>160</v>
      </c>
      <c r="F688" s="3" t="s">
        <v>2684</v>
      </c>
    </row>
    <row r="689" spans="1:6" x14ac:dyDescent="0.25">
      <c r="A689" s="3" t="str">
        <f t="shared" si="17"/>
        <v>q10COL5_hidden_global</v>
      </c>
      <c r="B689" s="3" t="str">
        <f t="shared" si="16"/>
        <v>_global</v>
      </c>
      <c r="C689" s="3" t="s">
        <v>530</v>
      </c>
      <c r="D689" s="12" t="s">
        <v>62</v>
      </c>
      <c r="E689" s="8" t="s">
        <v>162</v>
      </c>
      <c r="F689" s="3" t="s">
        <v>2685</v>
      </c>
    </row>
    <row r="690" spans="1:6" x14ac:dyDescent="0.25">
      <c r="A690" s="3" t="str">
        <f t="shared" si="17"/>
        <v>q10COL6_hidden_global</v>
      </c>
      <c r="B690" s="3" t="str">
        <f t="shared" si="16"/>
        <v>_global</v>
      </c>
      <c r="C690" s="3" t="s">
        <v>531</v>
      </c>
      <c r="D690" s="12" t="s">
        <v>62</v>
      </c>
      <c r="E690" s="8" t="s">
        <v>164</v>
      </c>
      <c r="F690" s="3" t="s">
        <v>2686</v>
      </c>
    </row>
    <row r="691" spans="1:6" x14ac:dyDescent="0.25">
      <c r="A691" s="3" t="str">
        <f t="shared" si="17"/>
        <v>q10GRANDTotal_hidden_global</v>
      </c>
      <c r="B691" s="3" t="str">
        <f t="shared" si="16"/>
        <v>_global</v>
      </c>
      <c r="C691" s="3" t="s">
        <v>532</v>
      </c>
      <c r="D691" s="12" t="s">
        <v>62</v>
      </c>
      <c r="E691" s="8" t="s">
        <v>533</v>
      </c>
      <c r="F691" s="3" t="s">
        <v>2687</v>
      </c>
    </row>
    <row r="692" spans="1:6" x14ac:dyDescent="0.25">
      <c r="A692" s="3" t="str">
        <f t="shared" si="17"/>
        <v>_global</v>
      </c>
      <c r="B692" s="3" t="str">
        <f t="shared" ref="B692:B734" si="18">B691</f>
        <v>_global</v>
      </c>
      <c r="C692" s="6"/>
      <c r="D692" s="6"/>
      <c r="E692" s="9" t="s">
        <v>2957</v>
      </c>
      <c r="F692" s="3">
        <v>21</v>
      </c>
    </row>
    <row r="693" spans="1:6" x14ac:dyDescent="0.25">
      <c r="A693" s="3" t="str">
        <f t="shared" si="17"/>
        <v>q111_1_global</v>
      </c>
      <c r="B693" s="3" t="str">
        <f t="shared" si="18"/>
        <v>_global</v>
      </c>
      <c r="C693" s="3" t="s">
        <v>534</v>
      </c>
      <c r="D693" s="12" t="s">
        <v>62</v>
      </c>
      <c r="E693" s="3" t="s">
        <v>388</v>
      </c>
      <c r="F693" s="3" t="s">
        <v>2688</v>
      </c>
    </row>
    <row r="694" spans="1:6" x14ac:dyDescent="0.25">
      <c r="A694" s="3" t="str">
        <f t="shared" si="17"/>
        <v>q111_2_global</v>
      </c>
      <c r="B694" s="3" t="str">
        <f t="shared" si="18"/>
        <v>_global</v>
      </c>
      <c r="C694" s="3" t="s">
        <v>535</v>
      </c>
      <c r="D694" s="12" t="s">
        <v>62</v>
      </c>
      <c r="E694" s="3" t="s">
        <v>390</v>
      </c>
      <c r="F694" s="3" t="s">
        <v>2689</v>
      </c>
    </row>
    <row r="695" spans="1:6" x14ac:dyDescent="0.25">
      <c r="A695" s="3" t="str">
        <f t="shared" si="17"/>
        <v>q111_3_global</v>
      </c>
      <c r="B695" s="3" t="str">
        <f t="shared" si="18"/>
        <v>_global</v>
      </c>
      <c r="C695" s="3" t="s">
        <v>536</v>
      </c>
      <c r="D695" s="12" t="s">
        <v>62</v>
      </c>
      <c r="E695" s="3" t="s">
        <v>392</v>
      </c>
      <c r="F695" s="3" t="s">
        <v>2690</v>
      </c>
    </row>
    <row r="696" spans="1:6" x14ac:dyDescent="0.25">
      <c r="A696" s="3" t="str">
        <f t="shared" si="17"/>
        <v>q111_4_global</v>
      </c>
      <c r="B696" s="3" t="str">
        <f t="shared" si="18"/>
        <v>_global</v>
      </c>
      <c r="C696" s="3" t="s">
        <v>537</v>
      </c>
      <c r="D696" s="12" t="s">
        <v>62</v>
      </c>
      <c r="E696" s="3" t="s">
        <v>394</v>
      </c>
      <c r="F696" s="3" t="s">
        <v>2691</v>
      </c>
    </row>
    <row r="697" spans="1:6" x14ac:dyDescent="0.25">
      <c r="A697" s="3" t="str">
        <f t="shared" si="17"/>
        <v>q111_5_global</v>
      </c>
      <c r="B697" s="3" t="str">
        <f t="shared" si="18"/>
        <v>_global</v>
      </c>
      <c r="C697" s="3" t="s">
        <v>538</v>
      </c>
      <c r="D697" s="12" t="s">
        <v>62</v>
      </c>
      <c r="E697" s="3" t="s">
        <v>396</v>
      </c>
      <c r="F697" s="3" t="s">
        <v>2692</v>
      </c>
    </row>
    <row r="698" spans="1:6" x14ac:dyDescent="0.25">
      <c r="A698" s="3" t="str">
        <f t="shared" si="17"/>
        <v>q111_6_global</v>
      </c>
      <c r="B698" s="3" t="str">
        <f t="shared" si="18"/>
        <v>_global</v>
      </c>
      <c r="C698" s="3" t="s">
        <v>539</v>
      </c>
      <c r="D698" s="12" t="s">
        <v>62</v>
      </c>
      <c r="E698" s="3" t="s">
        <v>398</v>
      </c>
      <c r="F698" s="3" t="s">
        <v>2693</v>
      </c>
    </row>
    <row r="699" spans="1:6" x14ac:dyDescent="0.25">
      <c r="A699" s="3" t="str">
        <f t="shared" si="17"/>
        <v>q11ROW1_hidden_global</v>
      </c>
      <c r="B699" s="3" t="str">
        <f t="shared" si="18"/>
        <v>_global</v>
      </c>
      <c r="C699" s="3" t="s">
        <v>540</v>
      </c>
      <c r="D699" s="12" t="s">
        <v>62</v>
      </c>
      <c r="E699" s="8" t="s">
        <v>541</v>
      </c>
      <c r="F699" s="3" t="s">
        <v>2694</v>
      </c>
    </row>
    <row r="700" spans="1:6" x14ac:dyDescent="0.25">
      <c r="A700" s="3" t="str">
        <f t="shared" si="17"/>
        <v>q112_1_global</v>
      </c>
      <c r="B700" s="3" t="str">
        <f t="shared" si="18"/>
        <v>_global</v>
      </c>
      <c r="C700" s="3" t="s">
        <v>542</v>
      </c>
      <c r="D700" s="12" t="s">
        <v>62</v>
      </c>
      <c r="E700" s="3" t="s">
        <v>374</v>
      </c>
      <c r="F700" s="3" t="s">
        <v>2695</v>
      </c>
    </row>
    <row r="701" spans="1:6" x14ac:dyDescent="0.25">
      <c r="A701" s="3" t="str">
        <f t="shared" si="17"/>
        <v>q112_2_global</v>
      </c>
      <c r="B701" s="3" t="str">
        <f t="shared" si="18"/>
        <v>_global</v>
      </c>
      <c r="C701" s="3" t="s">
        <v>543</v>
      </c>
      <c r="D701" s="12" t="s">
        <v>62</v>
      </c>
      <c r="E701" s="3" t="s">
        <v>376</v>
      </c>
      <c r="F701" s="3" t="s">
        <v>2696</v>
      </c>
    </row>
    <row r="702" spans="1:6" x14ac:dyDescent="0.25">
      <c r="A702" s="3" t="str">
        <f t="shared" si="17"/>
        <v>q112_3_global</v>
      </c>
      <c r="B702" s="3" t="str">
        <f t="shared" si="18"/>
        <v>_global</v>
      </c>
      <c r="C702" s="3" t="s">
        <v>544</v>
      </c>
      <c r="D702" s="12" t="s">
        <v>62</v>
      </c>
      <c r="E702" s="3" t="s">
        <v>378</v>
      </c>
      <c r="F702" s="3" t="s">
        <v>2697</v>
      </c>
    </row>
    <row r="703" spans="1:6" x14ac:dyDescent="0.25">
      <c r="A703" s="3" t="str">
        <f t="shared" si="17"/>
        <v>q112_4_global</v>
      </c>
      <c r="B703" s="3" t="str">
        <f t="shared" si="18"/>
        <v>_global</v>
      </c>
      <c r="C703" s="3" t="s">
        <v>545</v>
      </c>
      <c r="D703" s="12" t="s">
        <v>62</v>
      </c>
      <c r="E703" s="3" t="s">
        <v>380</v>
      </c>
      <c r="F703" s="3" t="s">
        <v>2698</v>
      </c>
    </row>
    <row r="704" spans="1:6" x14ac:dyDescent="0.25">
      <c r="A704" s="3" t="str">
        <f t="shared" si="17"/>
        <v>q112_5_global</v>
      </c>
      <c r="B704" s="3" t="str">
        <f t="shared" si="18"/>
        <v>_global</v>
      </c>
      <c r="C704" s="3" t="s">
        <v>546</v>
      </c>
      <c r="D704" s="12" t="s">
        <v>62</v>
      </c>
      <c r="E704" s="3" t="s">
        <v>382</v>
      </c>
      <c r="F704" s="3" t="s">
        <v>2699</v>
      </c>
    </row>
    <row r="705" spans="1:6" x14ac:dyDescent="0.25">
      <c r="A705" s="3" t="str">
        <f t="shared" si="17"/>
        <v>q112_6_global</v>
      </c>
      <c r="B705" s="3" t="str">
        <f t="shared" si="18"/>
        <v>_global</v>
      </c>
      <c r="C705" s="3" t="s">
        <v>547</v>
      </c>
      <c r="D705" s="12" t="s">
        <v>62</v>
      </c>
      <c r="E705" s="3" t="s">
        <v>384</v>
      </c>
      <c r="F705" s="3" t="s">
        <v>2700</v>
      </c>
    </row>
    <row r="706" spans="1:6" x14ac:dyDescent="0.25">
      <c r="A706" s="3" t="str">
        <f t="shared" si="17"/>
        <v>q11ROW2_hidden_global</v>
      </c>
      <c r="B706" s="3" t="str">
        <f t="shared" si="18"/>
        <v>_global</v>
      </c>
      <c r="C706" s="3" t="s">
        <v>548</v>
      </c>
      <c r="D706" s="12" t="s">
        <v>62</v>
      </c>
      <c r="E706" s="8" t="s">
        <v>549</v>
      </c>
      <c r="F706" s="3" t="s">
        <v>2701</v>
      </c>
    </row>
    <row r="707" spans="1:6" x14ac:dyDescent="0.25">
      <c r="A707" s="3" t="str">
        <f t="shared" ref="A707:A770" si="19">_xlfn.CONCAT(C707,B707)</f>
        <v>q113_1_global</v>
      </c>
      <c r="B707" s="3" t="str">
        <f t="shared" si="18"/>
        <v>_global</v>
      </c>
      <c r="C707" s="3" t="s">
        <v>550</v>
      </c>
      <c r="D707" s="12" t="s">
        <v>62</v>
      </c>
      <c r="E707" s="3" t="s">
        <v>402</v>
      </c>
      <c r="F707" s="3" t="s">
        <v>2702</v>
      </c>
    </row>
    <row r="708" spans="1:6" x14ac:dyDescent="0.25">
      <c r="A708" s="3" t="str">
        <f t="shared" si="19"/>
        <v>q113_2_global</v>
      </c>
      <c r="B708" s="3" t="str">
        <f t="shared" si="18"/>
        <v>_global</v>
      </c>
      <c r="C708" s="3" t="s">
        <v>551</v>
      </c>
      <c r="D708" s="12" t="s">
        <v>62</v>
      </c>
      <c r="E708" s="3" t="s">
        <v>404</v>
      </c>
      <c r="F708" s="3" t="s">
        <v>2703</v>
      </c>
    </row>
    <row r="709" spans="1:6" x14ac:dyDescent="0.25">
      <c r="A709" s="3" t="str">
        <f t="shared" si="19"/>
        <v>q113_3_global</v>
      </c>
      <c r="B709" s="3" t="str">
        <f t="shared" si="18"/>
        <v>_global</v>
      </c>
      <c r="C709" s="3" t="s">
        <v>552</v>
      </c>
      <c r="D709" s="12" t="s">
        <v>62</v>
      </c>
      <c r="E709" s="3" t="s">
        <v>406</v>
      </c>
      <c r="F709" s="3" t="s">
        <v>2704</v>
      </c>
    </row>
    <row r="710" spans="1:6" x14ac:dyDescent="0.25">
      <c r="A710" s="3" t="str">
        <f t="shared" si="19"/>
        <v>q113_4_global</v>
      </c>
      <c r="B710" s="3" t="str">
        <f t="shared" si="18"/>
        <v>_global</v>
      </c>
      <c r="C710" s="3" t="s">
        <v>553</v>
      </c>
      <c r="D710" s="12" t="s">
        <v>62</v>
      </c>
      <c r="E710" s="3" t="s">
        <v>408</v>
      </c>
      <c r="F710" s="3" t="s">
        <v>2705</v>
      </c>
    </row>
    <row r="711" spans="1:6" x14ac:dyDescent="0.25">
      <c r="A711" s="3" t="str">
        <f t="shared" si="19"/>
        <v>q113_5_global</v>
      </c>
      <c r="B711" s="3" t="str">
        <f t="shared" si="18"/>
        <v>_global</v>
      </c>
      <c r="C711" s="3" t="s">
        <v>554</v>
      </c>
      <c r="D711" s="12" t="s">
        <v>62</v>
      </c>
      <c r="E711" s="3" t="s">
        <v>410</v>
      </c>
      <c r="F711" s="3" t="s">
        <v>2706</v>
      </c>
    </row>
    <row r="712" spans="1:6" x14ac:dyDescent="0.25">
      <c r="A712" s="3" t="str">
        <f t="shared" si="19"/>
        <v>q113_6_global</v>
      </c>
      <c r="B712" s="3" t="str">
        <f t="shared" si="18"/>
        <v>_global</v>
      </c>
      <c r="C712" s="3" t="s">
        <v>555</v>
      </c>
      <c r="D712" s="12" t="s">
        <v>62</v>
      </c>
      <c r="E712" s="3" t="s">
        <v>412</v>
      </c>
      <c r="F712" s="3" t="s">
        <v>2707</v>
      </c>
    </row>
    <row r="713" spans="1:6" x14ac:dyDescent="0.25">
      <c r="A713" s="3" t="str">
        <f t="shared" si="19"/>
        <v>q11ROW3_hidden_global</v>
      </c>
      <c r="B713" s="3" t="str">
        <f t="shared" si="18"/>
        <v>_global</v>
      </c>
      <c r="C713" s="3" t="s">
        <v>556</v>
      </c>
      <c r="D713" s="12" t="s">
        <v>62</v>
      </c>
      <c r="E713" s="8" t="s">
        <v>557</v>
      </c>
      <c r="F713" s="3" t="s">
        <v>2708</v>
      </c>
    </row>
    <row r="714" spans="1:6" x14ac:dyDescent="0.25">
      <c r="A714" s="3" t="str">
        <f t="shared" si="19"/>
        <v>q114_1_global</v>
      </c>
      <c r="B714" s="3" t="str">
        <f t="shared" si="18"/>
        <v>_global</v>
      </c>
      <c r="C714" s="3" t="s">
        <v>558</v>
      </c>
      <c r="D714" s="12" t="s">
        <v>62</v>
      </c>
      <c r="E714" s="3" t="s">
        <v>416</v>
      </c>
      <c r="F714" s="3" t="s">
        <v>2709</v>
      </c>
    </row>
    <row r="715" spans="1:6" x14ac:dyDescent="0.25">
      <c r="A715" s="3" t="str">
        <f t="shared" si="19"/>
        <v>q114_2_global</v>
      </c>
      <c r="B715" s="3" t="str">
        <f t="shared" si="18"/>
        <v>_global</v>
      </c>
      <c r="C715" s="3" t="s">
        <v>559</v>
      </c>
      <c r="D715" s="12" t="s">
        <v>62</v>
      </c>
      <c r="E715" s="3" t="s">
        <v>418</v>
      </c>
      <c r="F715" s="3" t="s">
        <v>2710</v>
      </c>
    </row>
    <row r="716" spans="1:6" x14ac:dyDescent="0.25">
      <c r="A716" s="3" t="str">
        <f t="shared" si="19"/>
        <v>q114_3_global</v>
      </c>
      <c r="B716" s="3" t="str">
        <f t="shared" si="18"/>
        <v>_global</v>
      </c>
      <c r="C716" s="3" t="s">
        <v>560</v>
      </c>
      <c r="D716" s="12" t="s">
        <v>62</v>
      </c>
      <c r="E716" s="3" t="s">
        <v>420</v>
      </c>
      <c r="F716" s="3" t="s">
        <v>2711</v>
      </c>
    </row>
    <row r="717" spans="1:6" x14ac:dyDescent="0.25">
      <c r="A717" s="3" t="str">
        <f t="shared" si="19"/>
        <v>q114_4_global</v>
      </c>
      <c r="B717" s="3" t="str">
        <f t="shared" si="18"/>
        <v>_global</v>
      </c>
      <c r="C717" s="3" t="s">
        <v>561</v>
      </c>
      <c r="D717" s="12" t="s">
        <v>62</v>
      </c>
      <c r="E717" s="3" t="s">
        <v>422</v>
      </c>
      <c r="F717" s="3" t="s">
        <v>2712</v>
      </c>
    </row>
    <row r="718" spans="1:6" x14ac:dyDescent="0.25">
      <c r="A718" s="3" t="str">
        <f t="shared" si="19"/>
        <v>q114_5_global</v>
      </c>
      <c r="B718" s="3" t="str">
        <f t="shared" si="18"/>
        <v>_global</v>
      </c>
      <c r="C718" s="3" t="s">
        <v>562</v>
      </c>
      <c r="D718" s="12" t="s">
        <v>62</v>
      </c>
      <c r="E718" s="3" t="s">
        <v>424</v>
      </c>
      <c r="F718" s="3" t="s">
        <v>2713</v>
      </c>
    </row>
    <row r="719" spans="1:6" x14ac:dyDescent="0.25">
      <c r="A719" s="3" t="str">
        <f t="shared" si="19"/>
        <v>q114_6_global</v>
      </c>
      <c r="B719" s="3" t="str">
        <f t="shared" si="18"/>
        <v>_global</v>
      </c>
      <c r="C719" s="3" t="s">
        <v>563</v>
      </c>
      <c r="D719" s="12" t="s">
        <v>62</v>
      </c>
      <c r="E719" s="3" t="s">
        <v>426</v>
      </c>
      <c r="F719" s="3" t="s">
        <v>2714</v>
      </c>
    </row>
    <row r="720" spans="1:6" x14ac:dyDescent="0.25">
      <c r="A720" s="3" t="str">
        <f t="shared" si="19"/>
        <v>q11ROW4_hidden_global</v>
      </c>
      <c r="B720" s="3" t="str">
        <f t="shared" si="18"/>
        <v>_global</v>
      </c>
      <c r="C720" s="3" t="s">
        <v>564</v>
      </c>
      <c r="D720" s="12" t="s">
        <v>62</v>
      </c>
      <c r="E720" s="8" t="s">
        <v>565</v>
      </c>
      <c r="F720" s="3" t="s">
        <v>2715</v>
      </c>
    </row>
    <row r="721" spans="1:6" x14ac:dyDescent="0.25">
      <c r="A721" s="3" t="str">
        <f t="shared" si="19"/>
        <v>q115_1_global</v>
      </c>
      <c r="B721" s="3" t="str">
        <f t="shared" si="18"/>
        <v>_global</v>
      </c>
      <c r="C721" s="3" t="s">
        <v>566</v>
      </c>
      <c r="D721" s="12" t="s">
        <v>62</v>
      </c>
      <c r="E721" s="3" t="s">
        <v>430</v>
      </c>
      <c r="F721" s="3" t="s">
        <v>2716</v>
      </c>
    </row>
    <row r="722" spans="1:6" x14ac:dyDescent="0.25">
      <c r="A722" s="3" t="str">
        <f t="shared" si="19"/>
        <v>q115_2_global</v>
      </c>
      <c r="B722" s="3" t="str">
        <f t="shared" si="18"/>
        <v>_global</v>
      </c>
      <c r="C722" s="3" t="s">
        <v>567</v>
      </c>
      <c r="D722" s="12" t="s">
        <v>62</v>
      </c>
      <c r="E722" s="3" t="s">
        <v>432</v>
      </c>
      <c r="F722" s="3" t="s">
        <v>2717</v>
      </c>
    </row>
    <row r="723" spans="1:6" x14ac:dyDescent="0.25">
      <c r="A723" s="3" t="str">
        <f t="shared" si="19"/>
        <v>q115_3_global</v>
      </c>
      <c r="B723" s="3" t="str">
        <f t="shared" si="18"/>
        <v>_global</v>
      </c>
      <c r="C723" s="3" t="s">
        <v>568</v>
      </c>
      <c r="D723" s="12" t="s">
        <v>62</v>
      </c>
      <c r="E723" s="3" t="s">
        <v>434</v>
      </c>
      <c r="F723" s="3" t="s">
        <v>2718</v>
      </c>
    </row>
    <row r="724" spans="1:6" x14ac:dyDescent="0.25">
      <c r="A724" s="3" t="str">
        <f t="shared" si="19"/>
        <v>q115_4_global</v>
      </c>
      <c r="B724" s="3" t="str">
        <f t="shared" si="18"/>
        <v>_global</v>
      </c>
      <c r="C724" s="3" t="s">
        <v>569</v>
      </c>
      <c r="D724" s="12" t="s">
        <v>62</v>
      </c>
      <c r="E724" s="3" t="s">
        <v>436</v>
      </c>
      <c r="F724" s="3" t="s">
        <v>2719</v>
      </c>
    </row>
    <row r="725" spans="1:6" x14ac:dyDescent="0.25">
      <c r="A725" s="3" t="str">
        <f t="shared" si="19"/>
        <v>q115_5_global</v>
      </c>
      <c r="B725" s="3" t="str">
        <f t="shared" si="18"/>
        <v>_global</v>
      </c>
      <c r="C725" s="3" t="s">
        <v>570</v>
      </c>
      <c r="D725" s="12" t="s">
        <v>62</v>
      </c>
      <c r="E725" s="3" t="s">
        <v>438</v>
      </c>
      <c r="F725" s="3" t="s">
        <v>2720</v>
      </c>
    </row>
    <row r="726" spans="1:6" x14ac:dyDescent="0.25">
      <c r="A726" s="3" t="str">
        <f t="shared" si="19"/>
        <v>q115_6_global</v>
      </c>
      <c r="B726" s="3" t="str">
        <f t="shared" si="18"/>
        <v>_global</v>
      </c>
      <c r="C726" s="3" t="s">
        <v>571</v>
      </c>
      <c r="D726" s="12" t="s">
        <v>62</v>
      </c>
      <c r="E726" s="3" t="s">
        <v>440</v>
      </c>
      <c r="F726" s="3" t="s">
        <v>2721</v>
      </c>
    </row>
    <row r="727" spans="1:6" x14ac:dyDescent="0.25">
      <c r="A727" s="3" t="str">
        <f t="shared" si="19"/>
        <v>q11ROW5_hidden_global</v>
      </c>
      <c r="B727" s="3" t="str">
        <f t="shared" si="18"/>
        <v>_global</v>
      </c>
      <c r="C727" s="3" t="s">
        <v>572</v>
      </c>
      <c r="D727" s="12" t="s">
        <v>62</v>
      </c>
      <c r="E727" s="8" t="s">
        <v>442</v>
      </c>
      <c r="F727" s="3" t="s">
        <v>2722</v>
      </c>
    </row>
    <row r="728" spans="1:6" x14ac:dyDescent="0.25">
      <c r="A728" s="3" t="str">
        <f t="shared" si="19"/>
        <v>q11COL1_hidden_global</v>
      </c>
      <c r="B728" s="3" t="str">
        <f t="shared" si="18"/>
        <v>_global</v>
      </c>
      <c r="C728" s="3" t="s">
        <v>573</v>
      </c>
      <c r="D728" s="12" t="s">
        <v>62</v>
      </c>
      <c r="E728" s="8" t="s">
        <v>154</v>
      </c>
      <c r="F728" s="3" t="s">
        <v>2723</v>
      </c>
    </row>
    <row r="729" spans="1:6" x14ac:dyDescent="0.25">
      <c r="A729" s="3" t="str">
        <f t="shared" si="19"/>
        <v>q11COL2_hidden_global</v>
      </c>
      <c r="B729" s="3" t="str">
        <f t="shared" si="18"/>
        <v>_global</v>
      </c>
      <c r="C729" s="3" t="s">
        <v>574</v>
      </c>
      <c r="D729" s="12" t="s">
        <v>62</v>
      </c>
      <c r="E729" s="8" t="s">
        <v>156</v>
      </c>
      <c r="F729" s="3" t="s">
        <v>2724</v>
      </c>
    </row>
    <row r="730" spans="1:6" x14ac:dyDescent="0.25">
      <c r="A730" s="3" t="str">
        <f t="shared" si="19"/>
        <v>q11COL3_hidden_global</v>
      </c>
      <c r="B730" s="3" t="str">
        <f t="shared" si="18"/>
        <v>_global</v>
      </c>
      <c r="C730" s="3" t="s">
        <v>575</v>
      </c>
      <c r="D730" s="12" t="s">
        <v>62</v>
      </c>
      <c r="E730" s="8" t="s">
        <v>158</v>
      </c>
      <c r="F730" s="3" t="s">
        <v>2725</v>
      </c>
    </row>
    <row r="731" spans="1:6" x14ac:dyDescent="0.25">
      <c r="A731" s="3" t="str">
        <f t="shared" si="19"/>
        <v>q11COL4_hidden_global</v>
      </c>
      <c r="B731" s="3" t="str">
        <f t="shared" si="18"/>
        <v>_global</v>
      </c>
      <c r="C731" s="3" t="s">
        <v>576</v>
      </c>
      <c r="D731" s="12" t="s">
        <v>62</v>
      </c>
      <c r="E731" s="8" t="s">
        <v>160</v>
      </c>
      <c r="F731" s="3" t="s">
        <v>2726</v>
      </c>
    </row>
    <row r="732" spans="1:6" x14ac:dyDescent="0.25">
      <c r="A732" s="3" t="str">
        <f t="shared" si="19"/>
        <v>q11COL5_hidden_global</v>
      </c>
      <c r="B732" s="3" t="str">
        <f t="shared" si="18"/>
        <v>_global</v>
      </c>
      <c r="C732" s="3" t="s">
        <v>577</v>
      </c>
      <c r="D732" s="12" t="s">
        <v>62</v>
      </c>
      <c r="E732" s="8" t="s">
        <v>162</v>
      </c>
      <c r="F732" s="3" t="s">
        <v>2727</v>
      </c>
    </row>
    <row r="733" spans="1:6" x14ac:dyDescent="0.25">
      <c r="A733" s="3" t="str">
        <f t="shared" si="19"/>
        <v>q11COL6_hidden_global</v>
      </c>
      <c r="B733" s="3" t="str">
        <f t="shared" si="18"/>
        <v>_global</v>
      </c>
      <c r="C733" s="3" t="s">
        <v>578</v>
      </c>
      <c r="D733" s="12" t="s">
        <v>62</v>
      </c>
      <c r="E733" s="8" t="s">
        <v>164</v>
      </c>
      <c r="F733" s="3" t="s">
        <v>2728</v>
      </c>
    </row>
    <row r="734" spans="1:6" x14ac:dyDescent="0.25">
      <c r="A734" s="3" t="str">
        <f t="shared" si="19"/>
        <v>q11GRANDTotal_hidden_global</v>
      </c>
      <c r="B734" s="3" t="str">
        <f t="shared" si="18"/>
        <v>_global</v>
      </c>
      <c r="C734" s="3" t="s">
        <v>579</v>
      </c>
      <c r="D734" s="12" t="s">
        <v>62</v>
      </c>
      <c r="E734" s="8" t="s">
        <v>580</v>
      </c>
      <c r="F734" s="3" t="s">
        <v>2729</v>
      </c>
    </row>
    <row r="735" spans="1:6" x14ac:dyDescent="0.25">
      <c r="A735" s="3" t="str">
        <f t="shared" si="19"/>
        <v>SOUTH AMERICA_southamerica</v>
      </c>
      <c r="B735" s="3" t="s">
        <v>586</v>
      </c>
      <c r="C735" s="10" t="s">
        <v>587</v>
      </c>
      <c r="D735" s="11"/>
      <c r="E735" s="9" t="s">
        <v>2958</v>
      </c>
      <c r="F735" s="3">
        <v>22</v>
      </c>
    </row>
    <row r="736" spans="1:6" x14ac:dyDescent="0.25">
      <c r="A736" s="3" t="str">
        <f t="shared" si="19"/>
        <v>q101_1_southamerica</v>
      </c>
      <c r="B736" s="3" t="str">
        <f t="shared" ref="B736:B799" si="20">B735</f>
        <v>_southamerica</v>
      </c>
      <c r="C736" s="3" t="s">
        <v>469</v>
      </c>
      <c r="D736" s="12" t="s">
        <v>62</v>
      </c>
      <c r="E736" s="3" t="s">
        <v>254</v>
      </c>
      <c r="F736" s="3" t="s">
        <v>2730</v>
      </c>
    </row>
    <row r="737" spans="1:6" x14ac:dyDescent="0.25">
      <c r="A737" s="3" t="str">
        <f t="shared" si="19"/>
        <v>q101_2_southamerica</v>
      </c>
      <c r="B737" s="3" t="str">
        <f t="shared" si="20"/>
        <v>_southamerica</v>
      </c>
      <c r="C737" s="3" t="s">
        <v>470</v>
      </c>
      <c r="D737" s="12" t="s">
        <v>62</v>
      </c>
      <c r="E737" s="3" t="s">
        <v>256</v>
      </c>
      <c r="F737" s="3" t="s">
        <v>2731</v>
      </c>
    </row>
    <row r="738" spans="1:6" x14ac:dyDescent="0.25">
      <c r="A738" s="3" t="str">
        <f t="shared" si="19"/>
        <v>q101_3_southamerica</v>
      </c>
      <c r="B738" s="3" t="str">
        <f t="shared" si="20"/>
        <v>_southamerica</v>
      </c>
      <c r="C738" s="3" t="s">
        <v>471</v>
      </c>
      <c r="D738" s="12" t="s">
        <v>62</v>
      </c>
      <c r="E738" s="3" t="s">
        <v>258</v>
      </c>
      <c r="F738" s="3" t="s">
        <v>2732</v>
      </c>
    </row>
    <row r="739" spans="1:6" x14ac:dyDescent="0.25">
      <c r="A739" s="3" t="str">
        <f t="shared" si="19"/>
        <v>q101_4_southamerica</v>
      </c>
      <c r="B739" s="3" t="str">
        <f t="shared" si="20"/>
        <v>_southamerica</v>
      </c>
      <c r="C739" s="3" t="s">
        <v>472</v>
      </c>
      <c r="D739" s="12" t="s">
        <v>62</v>
      </c>
      <c r="E739" s="3" t="s">
        <v>260</v>
      </c>
      <c r="F739" s="3" t="s">
        <v>2733</v>
      </c>
    </row>
    <row r="740" spans="1:6" x14ac:dyDescent="0.25">
      <c r="A740" s="3" t="str">
        <f t="shared" si="19"/>
        <v>q101_5_southamerica</v>
      </c>
      <c r="B740" s="3" t="str">
        <f t="shared" si="20"/>
        <v>_southamerica</v>
      </c>
      <c r="C740" s="3" t="s">
        <v>473</v>
      </c>
      <c r="D740" s="12" t="s">
        <v>62</v>
      </c>
      <c r="E740" s="3" t="s">
        <v>262</v>
      </c>
      <c r="F740" s="3" t="s">
        <v>2734</v>
      </c>
    </row>
    <row r="741" spans="1:6" x14ac:dyDescent="0.25">
      <c r="A741" s="3" t="str">
        <f t="shared" si="19"/>
        <v>q101_6_southamerica</v>
      </c>
      <c r="B741" s="3" t="str">
        <f t="shared" si="20"/>
        <v>_southamerica</v>
      </c>
      <c r="C741" s="3" t="s">
        <v>474</v>
      </c>
      <c r="D741" s="12" t="s">
        <v>62</v>
      </c>
      <c r="E741" s="3" t="s">
        <v>264</v>
      </c>
      <c r="F741" s="3" t="s">
        <v>2735</v>
      </c>
    </row>
    <row r="742" spans="1:6" x14ac:dyDescent="0.25">
      <c r="A742" s="3" t="str">
        <f t="shared" si="19"/>
        <v>q10ROW1_hidden_southamerica</v>
      </c>
      <c r="B742" s="3" t="str">
        <f t="shared" si="20"/>
        <v>_southamerica</v>
      </c>
      <c r="C742" s="3" t="s">
        <v>475</v>
      </c>
      <c r="D742" s="12" t="s">
        <v>62</v>
      </c>
      <c r="E742" s="8" t="s">
        <v>266</v>
      </c>
      <c r="F742" s="3" t="s">
        <v>2736</v>
      </c>
    </row>
    <row r="743" spans="1:6" x14ac:dyDescent="0.25">
      <c r="A743" s="3" t="str">
        <f t="shared" si="19"/>
        <v>q102_1_southamerica</v>
      </c>
      <c r="B743" s="3" t="str">
        <f t="shared" si="20"/>
        <v>_southamerica</v>
      </c>
      <c r="C743" s="3" t="s">
        <v>476</v>
      </c>
      <c r="D743" s="12" t="s">
        <v>62</v>
      </c>
      <c r="E743" s="3" t="s">
        <v>268</v>
      </c>
      <c r="F743" s="3" t="s">
        <v>2737</v>
      </c>
    </row>
    <row r="744" spans="1:6" x14ac:dyDescent="0.25">
      <c r="A744" s="3" t="str">
        <f t="shared" si="19"/>
        <v>q102_2_southamerica</v>
      </c>
      <c r="B744" s="3" t="str">
        <f t="shared" si="20"/>
        <v>_southamerica</v>
      </c>
      <c r="C744" s="3" t="s">
        <v>477</v>
      </c>
      <c r="D744" s="12" t="s">
        <v>62</v>
      </c>
      <c r="E744" s="3" t="s">
        <v>270</v>
      </c>
      <c r="F744" s="3" t="s">
        <v>2738</v>
      </c>
    </row>
    <row r="745" spans="1:6" x14ac:dyDescent="0.25">
      <c r="A745" s="3" t="str">
        <f t="shared" si="19"/>
        <v>q102_3_southamerica</v>
      </c>
      <c r="B745" s="3" t="str">
        <f t="shared" si="20"/>
        <v>_southamerica</v>
      </c>
      <c r="C745" s="3" t="s">
        <v>478</v>
      </c>
      <c r="D745" s="12" t="s">
        <v>62</v>
      </c>
      <c r="E745" s="3" t="s">
        <v>272</v>
      </c>
      <c r="F745" s="3" t="s">
        <v>2739</v>
      </c>
    </row>
    <row r="746" spans="1:6" x14ac:dyDescent="0.25">
      <c r="A746" s="3" t="str">
        <f t="shared" si="19"/>
        <v>q102_4_southamerica</v>
      </c>
      <c r="B746" s="3" t="str">
        <f t="shared" si="20"/>
        <v>_southamerica</v>
      </c>
      <c r="C746" s="3" t="s">
        <v>479</v>
      </c>
      <c r="D746" s="12" t="s">
        <v>62</v>
      </c>
      <c r="E746" s="3" t="s">
        <v>274</v>
      </c>
      <c r="F746" s="3" t="s">
        <v>2740</v>
      </c>
    </row>
    <row r="747" spans="1:6" x14ac:dyDescent="0.25">
      <c r="A747" s="3" t="str">
        <f t="shared" si="19"/>
        <v>q102_5_southamerica</v>
      </c>
      <c r="B747" s="3" t="str">
        <f t="shared" si="20"/>
        <v>_southamerica</v>
      </c>
      <c r="C747" s="3" t="s">
        <v>480</v>
      </c>
      <c r="D747" s="12" t="s">
        <v>62</v>
      </c>
      <c r="E747" s="3" t="s">
        <v>276</v>
      </c>
      <c r="F747" s="3" t="s">
        <v>2741</v>
      </c>
    </row>
    <row r="748" spans="1:6" x14ac:dyDescent="0.25">
      <c r="A748" s="3" t="str">
        <f t="shared" si="19"/>
        <v>q102_6_southamerica</v>
      </c>
      <c r="B748" s="3" t="str">
        <f t="shared" si="20"/>
        <v>_southamerica</v>
      </c>
      <c r="C748" s="3" t="s">
        <v>481</v>
      </c>
      <c r="D748" s="12" t="s">
        <v>62</v>
      </c>
      <c r="E748" s="3" t="s">
        <v>278</v>
      </c>
      <c r="F748" s="3" t="s">
        <v>2742</v>
      </c>
    </row>
    <row r="749" spans="1:6" x14ac:dyDescent="0.25">
      <c r="A749" s="3" t="str">
        <f t="shared" si="19"/>
        <v>q10ROW2_hidden_southamerica</v>
      </c>
      <c r="B749" s="3" t="str">
        <f t="shared" si="20"/>
        <v>_southamerica</v>
      </c>
      <c r="C749" s="3" t="s">
        <v>482</v>
      </c>
      <c r="D749" s="12" t="s">
        <v>62</v>
      </c>
      <c r="E749" s="8" t="s">
        <v>280</v>
      </c>
      <c r="F749" s="3" t="s">
        <v>2743</v>
      </c>
    </row>
    <row r="750" spans="1:6" x14ac:dyDescent="0.25">
      <c r="A750" s="3" t="str">
        <f t="shared" si="19"/>
        <v>q103_1_southamerica</v>
      </c>
      <c r="B750" s="3" t="str">
        <f t="shared" si="20"/>
        <v>_southamerica</v>
      </c>
      <c r="C750" s="3" t="s">
        <v>483</v>
      </c>
      <c r="D750" s="12" t="s">
        <v>62</v>
      </c>
      <c r="E750" s="3" t="s">
        <v>282</v>
      </c>
      <c r="F750" s="3" t="s">
        <v>2744</v>
      </c>
    </row>
    <row r="751" spans="1:6" x14ac:dyDescent="0.25">
      <c r="A751" s="3" t="str">
        <f t="shared" si="19"/>
        <v>q103_2_southamerica</v>
      </c>
      <c r="B751" s="3" t="str">
        <f t="shared" si="20"/>
        <v>_southamerica</v>
      </c>
      <c r="C751" s="3" t="s">
        <v>484</v>
      </c>
      <c r="D751" s="12" t="s">
        <v>62</v>
      </c>
      <c r="E751" s="3" t="s">
        <v>284</v>
      </c>
      <c r="F751" s="3" t="s">
        <v>2745</v>
      </c>
    </row>
    <row r="752" spans="1:6" x14ac:dyDescent="0.25">
      <c r="A752" s="3" t="str">
        <f t="shared" si="19"/>
        <v>q103_3_southamerica</v>
      </c>
      <c r="B752" s="3" t="str">
        <f t="shared" si="20"/>
        <v>_southamerica</v>
      </c>
      <c r="C752" s="3" t="s">
        <v>485</v>
      </c>
      <c r="D752" s="12" t="s">
        <v>62</v>
      </c>
      <c r="E752" s="3" t="s">
        <v>286</v>
      </c>
      <c r="F752" s="3" t="s">
        <v>2746</v>
      </c>
    </row>
    <row r="753" spans="1:6" x14ac:dyDescent="0.25">
      <c r="A753" s="3" t="str">
        <f t="shared" si="19"/>
        <v>q103_4_southamerica</v>
      </c>
      <c r="B753" s="3" t="str">
        <f t="shared" si="20"/>
        <v>_southamerica</v>
      </c>
      <c r="C753" s="3" t="s">
        <v>486</v>
      </c>
      <c r="D753" s="12" t="s">
        <v>62</v>
      </c>
      <c r="E753" s="3" t="s">
        <v>288</v>
      </c>
      <c r="F753" s="3" t="s">
        <v>2747</v>
      </c>
    </row>
    <row r="754" spans="1:6" x14ac:dyDescent="0.25">
      <c r="A754" s="3" t="str">
        <f t="shared" si="19"/>
        <v>q103_5_southamerica</v>
      </c>
      <c r="B754" s="3" t="str">
        <f t="shared" si="20"/>
        <v>_southamerica</v>
      </c>
      <c r="C754" s="3" t="s">
        <v>487</v>
      </c>
      <c r="D754" s="12" t="s">
        <v>62</v>
      </c>
      <c r="E754" s="3" t="s">
        <v>290</v>
      </c>
      <c r="F754" s="3" t="s">
        <v>2748</v>
      </c>
    </row>
    <row r="755" spans="1:6" x14ac:dyDescent="0.25">
      <c r="A755" s="3" t="str">
        <f t="shared" si="19"/>
        <v>q103_6_southamerica</v>
      </c>
      <c r="B755" s="3" t="str">
        <f t="shared" si="20"/>
        <v>_southamerica</v>
      </c>
      <c r="C755" s="3" t="s">
        <v>488</v>
      </c>
      <c r="D755" s="12" t="s">
        <v>62</v>
      </c>
      <c r="E755" s="3" t="s">
        <v>292</v>
      </c>
      <c r="F755" s="3" t="s">
        <v>2749</v>
      </c>
    </row>
    <row r="756" spans="1:6" x14ac:dyDescent="0.25">
      <c r="A756" s="3" t="str">
        <f t="shared" si="19"/>
        <v>q10ROW3_hidden_southamerica</v>
      </c>
      <c r="B756" s="3" t="str">
        <f t="shared" si="20"/>
        <v>_southamerica</v>
      </c>
      <c r="C756" s="3" t="s">
        <v>489</v>
      </c>
      <c r="D756" s="12" t="s">
        <v>62</v>
      </c>
      <c r="E756" s="8" t="s">
        <v>294</v>
      </c>
      <c r="F756" s="3" t="s">
        <v>2750</v>
      </c>
    </row>
    <row r="757" spans="1:6" x14ac:dyDescent="0.25">
      <c r="A757" s="3" t="str">
        <f t="shared" si="19"/>
        <v>q104_1_southamerica</v>
      </c>
      <c r="B757" s="3" t="str">
        <f t="shared" si="20"/>
        <v>_southamerica</v>
      </c>
      <c r="C757" s="3" t="s">
        <v>490</v>
      </c>
      <c r="D757" s="12" t="s">
        <v>62</v>
      </c>
      <c r="E757" s="3" t="s">
        <v>296</v>
      </c>
      <c r="F757" s="3" t="s">
        <v>2751</v>
      </c>
    </row>
    <row r="758" spans="1:6" x14ac:dyDescent="0.25">
      <c r="A758" s="3" t="str">
        <f t="shared" si="19"/>
        <v>q104_2_southamerica</v>
      </c>
      <c r="B758" s="3" t="str">
        <f t="shared" si="20"/>
        <v>_southamerica</v>
      </c>
      <c r="C758" s="3" t="s">
        <v>491</v>
      </c>
      <c r="D758" s="12" t="s">
        <v>62</v>
      </c>
      <c r="E758" s="3" t="s">
        <v>298</v>
      </c>
      <c r="F758" s="3" t="s">
        <v>2752</v>
      </c>
    </row>
    <row r="759" spans="1:6" x14ac:dyDescent="0.25">
      <c r="A759" s="3" t="str">
        <f t="shared" si="19"/>
        <v>q104_3_southamerica</v>
      </c>
      <c r="B759" s="3" t="str">
        <f t="shared" si="20"/>
        <v>_southamerica</v>
      </c>
      <c r="C759" s="3" t="s">
        <v>492</v>
      </c>
      <c r="D759" s="12" t="s">
        <v>62</v>
      </c>
      <c r="E759" s="3" t="s">
        <v>300</v>
      </c>
      <c r="F759" s="3" t="s">
        <v>2753</v>
      </c>
    </row>
    <row r="760" spans="1:6" x14ac:dyDescent="0.25">
      <c r="A760" s="3" t="str">
        <f t="shared" si="19"/>
        <v>q104_4_southamerica</v>
      </c>
      <c r="B760" s="3" t="str">
        <f t="shared" si="20"/>
        <v>_southamerica</v>
      </c>
      <c r="C760" s="3" t="s">
        <v>493</v>
      </c>
      <c r="D760" s="12" t="s">
        <v>62</v>
      </c>
      <c r="E760" s="3" t="s">
        <v>302</v>
      </c>
      <c r="F760" s="3" t="s">
        <v>2754</v>
      </c>
    </row>
    <row r="761" spans="1:6" x14ac:dyDescent="0.25">
      <c r="A761" s="3" t="str">
        <f t="shared" si="19"/>
        <v>q104_5_southamerica</v>
      </c>
      <c r="B761" s="3" t="str">
        <f t="shared" si="20"/>
        <v>_southamerica</v>
      </c>
      <c r="C761" s="3" t="s">
        <v>494</v>
      </c>
      <c r="D761" s="12" t="s">
        <v>62</v>
      </c>
      <c r="E761" s="3" t="s">
        <v>304</v>
      </c>
      <c r="F761" s="3" t="s">
        <v>2755</v>
      </c>
    </row>
    <row r="762" spans="1:6" x14ac:dyDescent="0.25">
      <c r="A762" s="3" t="str">
        <f t="shared" si="19"/>
        <v>q104_6_southamerica</v>
      </c>
      <c r="B762" s="3" t="str">
        <f t="shared" si="20"/>
        <v>_southamerica</v>
      </c>
      <c r="C762" s="3" t="s">
        <v>495</v>
      </c>
      <c r="D762" s="12" t="s">
        <v>62</v>
      </c>
      <c r="E762" s="3" t="s">
        <v>306</v>
      </c>
      <c r="F762" s="3" t="s">
        <v>2756</v>
      </c>
    </row>
    <row r="763" spans="1:6" x14ac:dyDescent="0.25">
      <c r="A763" s="3" t="str">
        <f t="shared" si="19"/>
        <v>q10ROW4_hidden_southamerica</v>
      </c>
      <c r="B763" s="3" t="str">
        <f t="shared" si="20"/>
        <v>_southamerica</v>
      </c>
      <c r="C763" s="3" t="s">
        <v>496</v>
      </c>
      <c r="D763" s="12" t="s">
        <v>62</v>
      </c>
      <c r="E763" s="8" t="s">
        <v>308</v>
      </c>
      <c r="F763" s="3" t="s">
        <v>2757</v>
      </c>
    </row>
    <row r="764" spans="1:6" x14ac:dyDescent="0.25">
      <c r="A764" s="3" t="str">
        <f t="shared" si="19"/>
        <v>q105_1_southamerica</v>
      </c>
      <c r="B764" s="3" t="str">
        <f t="shared" si="20"/>
        <v>_southamerica</v>
      </c>
      <c r="C764" s="3" t="s">
        <v>497</v>
      </c>
      <c r="D764" s="12" t="s">
        <v>62</v>
      </c>
      <c r="E764" s="3" t="s">
        <v>310</v>
      </c>
      <c r="F764" s="3" t="s">
        <v>2758</v>
      </c>
    </row>
    <row r="765" spans="1:6" x14ac:dyDescent="0.25">
      <c r="A765" s="3" t="str">
        <f t="shared" si="19"/>
        <v>q105_2_southamerica</v>
      </c>
      <c r="B765" s="3" t="str">
        <f t="shared" si="20"/>
        <v>_southamerica</v>
      </c>
      <c r="C765" s="3" t="s">
        <v>498</v>
      </c>
      <c r="D765" s="12" t="s">
        <v>62</v>
      </c>
      <c r="E765" s="3" t="s">
        <v>312</v>
      </c>
      <c r="F765" s="3" t="s">
        <v>2759</v>
      </c>
    </row>
    <row r="766" spans="1:6" x14ac:dyDescent="0.25">
      <c r="A766" s="3" t="str">
        <f t="shared" si="19"/>
        <v>q105_3_southamerica</v>
      </c>
      <c r="B766" s="3" t="str">
        <f t="shared" si="20"/>
        <v>_southamerica</v>
      </c>
      <c r="C766" s="3" t="s">
        <v>499</v>
      </c>
      <c r="D766" s="12" t="s">
        <v>62</v>
      </c>
      <c r="E766" s="3" t="s">
        <v>314</v>
      </c>
      <c r="F766" s="3" t="s">
        <v>2760</v>
      </c>
    </row>
    <row r="767" spans="1:6" x14ac:dyDescent="0.25">
      <c r="A767" s="3" t="str">
        <f t="shared" si="19"/>
        <v>q105_4_southamerica</v>
      </c>
      <c r="B767" s="3" t="str">
        <f t="shared" si="20"/>
        <v>_southamerica</v>
      </c>
      <c r="C767" s="3" t="s">
        <v>500</v>
      </c>
      <c r="D767" s="12" t="s">
        <v>62</v>
      </c>
      <c r="E767" s="3" t="s">
        <v>316</v>
      </c>
      <c r="F767" s="3" t="s">
        <v>2761</v>
      </c>
    </row>
    <row r="768" spans="1:6" x14ac:dyDescent="0.25">
      <c r="A768" s="3" t="str">
        <f t="shared" si="19"/>
        <v>q105_5_southamerica</v>
      </c>
      <c r="B768" s="3" t="str">
        <f t="shared" si="20"/>
        <v>_southamerica</v>
      </c>
      <c r="C768" s="3" t="s">
        <v>501</v>
      </c>
      <c r="D768" s="12" t="s">
        <v>62</v>
      </c>
      <c r="E768" s="3" t="s">
        <v>318</v>
      </c>
      <c r="F768" s="3" t="s">
        <v>2762</v>
      </c>
    </row>
    <row r="769" spans="1:6" x14ac:dyDescent="0.25">
      <c r="A769" s="3" t="str">
        <f t="shared" si="19"/>
        <v>q105_6_southamerica</v>
      </c>
      <c r="B769" s="3" t="str">
        <f t="shared" si="20"/>
        <v>_southamerica</v>
      </c>
      <c r="C769" s="3" t="s">
        <v>502</v>
      </c>
      <c r="D769" s="12" t="s">
        <v>62</v>
      </c>
      <c r="E769" s="3" t="s">
        <v>320</v>
      </c>
      <c r="F769" s="3" t="s">
        <v>2763</v>
      </c>
    </row>
    <row r="770" spans="1:6" x14ac:dyDescent="0.25">
      <c r="A770" s="3" t="str">
        <f t="shared" si="19"/>
        <v>q10ROW5_hidden_southamerica</v>
      </c>
      <c r="B770" s="3" t="str">
        <f t="shared" si="20"/>
        <v>_southamerica</v>
      </c>
      <c r="C770" s="3" t="s">
        <v>503</v>
      </c>
      <c r="D770" s="12" t="s">
        <v>62</v>
      </c>
      <c r="E770" s="8" t="s">
        <v>322</v>
      </c>
      <c r="F770" s="3" t="s">
        <v>2764</v>
      </c>
    </row>
    <row r="771" spans="1:6" x14ac:dyDescent="0.25">
      <c r="A771" s="3" t="str">
        <f t="shared" ref="A771:A834" si="21">_xlfn.CONCAT(C771,B771)</f>
        <v>q106_1_southamerica</v>
      </c>
      <c r="B771" s="3" t="str">
        <f t="shared" si="20"/>
        <v>_southamerica</v>
      </c>
      <c r="C771" s="3" t="s">
        <v>504</v>
      </c>
      <c r="D771" s="12" t="s">
        <v>62</v>
      </c>
      <c r="E771" s="3" t="s">
        <v>324</v>
      </c>
      <c r="F771" s="3" t="s">
        <v>2765</v>
      </c>
    </row>
    <row r="772" spans="1:6" x14ac:dyDescent="0.25">
      <c r="A772" s="3" t="str">
        <f t="shared" si="21"/>
        <v>q106_2_southamerica</v>
      </c>
      <c r="B772" s="3" t="str">
        <f t="shared" si="20"/>
        <v>_southamerica</v>
      </c>
      <c r="C772" s="3" t="s">
        <v>505</v>
      </c>
      <c r="D772" s="12" t="s">
        <v>62</v>
      </c>
      <c r="E772" s="3" t="s">
        <v>326</v>
      </c>
      <c r="F772" s="3" t="s">
        <v>2766</v>
      </c>
    </row>
    <row r="773" spans="1:6" x14ac:dyDescent="0.25">
      <c r="A773" s="3" t="str">
        <f t="shared" si="21"/>
        <v>q106_3_southamerica</v>
      </c>
      <c r="B773" s="3" t="str">
        <f t="shared" si="20"/>
        <v>_southamerica</v>
      </c>
      <c r="C773" s="3" t="s">
        <v>506</v>
      </c>
      <c r="D773" s="12" t="s">
        <v>62</v>
      </c>
      <c r="E773" s="3" t="s">
        <v>328</v>
      </c>
      <c r="F773" s="3" t="s">
        <v>2767</v>
      </c>
    </row>
    <row r="774" spans="1:6" x14ac:dyDescent="0.25">
      <c r="A774" s="3" t="str">
        <f t="shared" si="21"/>
        <v>q106_4_southamerica</v>
      </c>
      <c r="B774" s="3" t="str">
        <f t="shared" si="20"/>
        <v>_southamerica</v>
      </c>
      <c r="C774" s="3" t="s">
        <v>507</v>
      </c>
      <c r="D774" s="12" t="s">
        <v>62</v>
      </c>
      <c r="E774" s="3" t="s">
        <v>330</v>
      </c>
      <c r="F774" s="3" t="s">
        <v>2768</v>
      </c>
    </row>
    <row r="775" spans="1:6" x14ac:dyDescent="0.25">
      <c r="A775" s="3" t="str">
        <f t="shared" si="21"/>
        <v>q106_5_southamerica</v>
      </c>
      <c r="B775" s="3" t="str">
        <f t="shared" si="20"/>
        <v>_southamerica</v>
      </c>
      <c r="C775" s="3" t="s">
        <v>508</v>
      </c>
      <c r="D775" s="12" t="s">
        <v>62</v>
      </c>
      <c r="E775" s="3" t="s">
        <v>332</v>
      </c>
      <c r="F775" s="3" t="s">
        <v>2769</v>
      </c>
    </row>
    <row r="776" spans="1:6" x14ac:dyDescent="0.25">
      <c r="A776" s="3" t="str">
        <f t="shared" si="21"/>
        <v>q106_6_southamerica</v>
      </c>
      <c r="B776" s="3" t="str">
        <f t="shared" si="20"/>
        <v>_southamerica</v>
      </c>
      <c r="C776" s="3" t="s">
        <v>509</v>
      </c>
      <c r="D776" s="12" t="s">
        <v>62</v>
      </c>
      <c r="E776" s="3" t="s">
        <v>334</v>
      </c>
      <c r="F776" s="3" t="s">
        <v>2770</v>
      </c>
    </row>
    <row r="777" spans="1:6" x14ac:dyDescent="0.25">
      <c r="A777" s="3" t="str">
        <f t="shared" si="21"/>
        <v>q10ROW6_hidden_southamerica</v>
      </c>
      <c r="B777" s="3" t="str">
        <f t="shared" si="20"/>
        <v>_southamerica</v>
      </c>
      <c r="C777" s="3" t="s">
        <v>510</v>
      </c>
      <c r="D777" s="12" t="s">
        <v>62</v>
      </c>
      <c r="E777" s="8" t="s">
        <v>162</v>
      </c>
      <c r="F777" s="3" t="s">
        <v>2771</v>
      </c>
    </row>
    <row r="778" spans="1:6" x14ac:dyDescent="0.25">
      <c r="A778" s="3" t="str">
        <f t="shared" si="21"/>
        <v>q107_1_southamerica</v>
      </c>
      <c r="B778" s="3" t="str">
        <f t="shared" si="20"/>
        <v>_southamerica</v>
      </c>
      <c r="C778" s="3" t="s">
        <v>511</v>
      </c>
      <c r="D778" s="12" t="s">
        <v>62</v>
      </c>
      <c r="E778" s="3" t="s">
        <v>337</v>
      </c>
      <c r="F778" s="3" t="s">
        <v>2772</v>
      </c>
    </row>
    <row r="779" spans="1:6" x14ac:dyDescent="0.25">
      <c r="A779" s="3" t="str">
        <f t="shared" si="21"/>
        <v>q107_2_southamerica</v>
      </c>
      <c r="B779" s="3" t="str">
        <f t="shared" si="20"/>
        <v>_southamerica</v>
      </c>
      <c r="C779" s="3" t="s">
        <v>512</v>
      </c>
      <c r="D779" s="12" t="s">
        <v>62</v>
      </c>
      <c r="E779" s="3" t="s">
        <v>339</v>
      </c>
      <c r="F779" s="3" t="s">
        <v>2773</v>
      </c>
    </row>
    <row r="780" spans="1:6" x14ac:dyDescent="0.25">
      <c r="A780" s="3" t="str">
        <f t="shared" si="21"/>
        <v>q107_3_southamerica</v>
      </c>
      <c r="B780" s="3" t="str">
        <f t="shared" si="20"/>
        <v>_southamerica</v>
      </c>
      <c r="C780" s="3" t="s">
        <v>513</v>
      </c>
      <c r="D780" s="12" t="s">
        <v>62</v>
      </c>
      <c r="E780" s="3" t="s">
        <v>341</v>
      </c>
      <c r="F780" s="3" t="s">
        <v>2774</v>
      </c>
    </row>
    <row r="781" spans="1:6" x14ac:dyDescent="0.25">
      <c r="A781" s="3" t="str">
        <f t="shared" si="21"/>
        <v>q107_4_southamerica</v>
      </c>
      <c r="B781" s="3" t="str">
        <f t="shared" si="20"/>
        <v>_southamerica</v>
      </c>
      <c r="C781" s="3" t="s">
        <v>514</v>
      </c>
      <c r="D781" s="12" t="s">
        <v>62</v>
      </c>
      <c r="E781" s="3" t="s">
        <v>343</v>
      </c>
      <c r="F781" s="3" t="s">
        <v>2775</v>
      </c>
    </row>
    <row r="782" spans="1:6" x14ac:dyDescent="0.25">
      <c r="A782" s="3" t="str">
        <f t="shared" si="21"/>
        <v>q107_5_southamerica</v>
      </c>
      <c r="B782" s="3" t="str">
        <f t="shared" si="20"/>
        <v>_southamerica</v>
      </c>
      <c r="C782" s="3" t="s">
        <v>515</v>
      </c>
      <c r="D782" s="12" t="s">
        <v>62</v>
      </c>
      <c r="E782" s="3" t="s">
        <v>345</v>
      </c>
      <c r="F782" s="3" t="s">
        <v>2776</v>
      </c>
    </row>
    <row r="783" spans="1:6" x14ac:dyDescent="0.25">
      <c r="A783" s="3" t="str">
        <f t="shared" si="21"/>
        <v>q107_6_southamerica</v>
      </c>
      <c r="B783" s="3" t="str">
        <f t="shared" si="20"/>
        <v>_southamerica</v>
      </c>
      <c r="C783" s="3" t="s">
        <v>516</v>
      </c>
      <c r="D783" s="12" t="s">
        <v>62</v>
      </c>
      <c r="E783" s="3" t="s">
        <v>347</v>
      </c>
      <c r="F783" s="3" t="s">
        <v>2777</v>
      </c>
    </row>
    <row r="784" spans="1:6" x14ac:dyDescent="0.25">
      <c r="A784" s="3" t="str">
        <f t="shared" si="21"/>
        <v>q10ROW7_hidden_southamerica</v>
      </c>
      <c r="B784" s="3" t="str">
        <f t="shared" si="20"/>
        <v>_southamerica</v>
      </c>
      <c r="C784" s="3" t="s">
        <v>517</v>
      </c>
      <c r="D784" s="12" t="s">
        <v>62</v>
      </c>
      <c r="E784" s="8" t="s">
        <v>349</v>
      </c>
      <c r="F784" s="3" t="s">
        <v>2778</v>
      </c>
    </row>
    <row r="785" spans="1:6" x14ac:dyDescent="0.25">
      <c r="A785" s="3" t="str">
        <f t="shared" si="21"/>
        <v>q10other_southamerica</v>
      </c>
      <c r="B785" s="3" t="str">
        <f t="shared" si="20"/>
        <v>_southamerica</v>
      </c>
      <c r="C785" s="3" t="s">
        <v>518</v>
      </c>
      <c r="D785" s="12" t="s">
        <v>38</v>
      </c>
      <c r="E785" s="3" t="s">
        <v>351</v>
      </c>
      <c r="F785" s="3" t="s">
        <v>2779</v>
      </c>
    </row>
    <row r="786" spans="1:6" x14ac:dyDescent="0.25">
      <c r="A786" s="3" t="str">
        <f t="shared" si="21"/>
        <v>q108_1_southamerica</v>
      </c>
      <c r="B786" s="3" t="str">
        <f t="shared" si="20"/>
        <v>_southamerica</v>
      </c>
      <c r="C786" s="3" t="s">
        <v>519</v>
      </c>
      <c r="D786" s="12" t="s">
        <v>62</v>
      </c>
      <c r="E786" s="3" t="s">
        <v>353</v>
      </c>
      <c r="F786" s="3" t="s">
        <v>2780</v>
      </c>
    </row>
    <row r="787" spans="1:6" x14ac:dyDescent="0.25">
      <c r="A787" s="3" t="str">
        <f t="shared" si="21"/>
        <v>q108_2_southamerica</v>
      </c>
      <c r="B787" s="3" t="str">
        <f t="shared" si="20"/>
        <v>_southamerica</v>
      </c>
      <c r="C787" s="3" t="s">
        <v>520</v>
      </c>
      <c r="D787" s="12" t="s">
        <v>62</v>
      </c>
      <c r="E787" s="3" t="s">
        <v>355</v>
      </c>
      <c r="F787" s="3" t="s">
        <v>2781</v>
      </c>
    </row>
    <row r="788" spans="1:6" x14ac:dyDescent="0.25">
      <c r="A788" s="3" t="str">
        <f t="shared" si="21"/>
        <v>q108_3_southamerica</v>
      </c>
      <c r="B788" s="3" t="str">
        <f t="shared" si="20"/>
        <v>_southamerica</v>
      </c>
      <c r="C788" s="3" t="s">
        <v>521</v>
      </c>
      <c r="D788" s="12" t="s">
        <v>62</v>
      </c>
      <c r="E788" s="3" t="s">
        <v>357</v>
      </c>
      <c r="F788" s="3" t="s">
        <v>2782</v>
      </c>
    </row>
    <row r="789" spans="1:6" x14ac:dyDescent="0.25">
      <c r="A789" s="3" t="str">
        <f t="shared" si="21"/>
        <v>q108_4_southamerica</v>
      </c>
      <c r="B789" s="3" t="str">
        <f t="shared" si="20"/>
        <v>_southamerica</v>
      </c>
      <c r="C789" s="3" t="s">
        <v>522</v>
      </c>
      <c r="D789" s="12" t="s">
        <v>62</v>
      </c>
      <c r="E789" s="3" t="s">
        <v>359</v>
      </c>
      <c r="F789" s="3" t="s">
        <v>2783</v>
      </c>
    </row>
    <row r="790" spans="1:6" x14ac:dyDescent="0.25">
      <c r="A790" s="3" t="str">
        <f t="shared" si="21"/>
        <v>q108_5_southamerica</v>
      </c>
      <c r="B790" s="3" t="str">
        <f t="shared" si="20"/>
        <v>_southamerica</v>
      </c>
      <c r="C790" s="3" t="s">
        <v>523</v>
      </c>
      <c r="D790" s="12" t="s">
        <v>62</v>
      </c>
      <c r="E790" s="3" t="s">
        <v>361</v>
      </c>
      <c r="F790" s="3" t="s">
        <v>2784</v>
      </c>
    </row>
    <row r="791" spans="1:6" x14ac:dyDescent="0.25">
      <c r="A791" s="3" t="str">
        <f t="shared" si="21"/>
        <v>q108_6_southamerica</v>
      </c>
      <c r="B791" s="3" t="str">
        <f t="shared" si="20"/>
        <v>_southamerica</v>
      </c>
      <c r="C791" s="3" t="s">
        <v>524</v>
      </c>
      <c r="D791" s="12" t="s">
        <v>62</v>
      </c>
      <c r="E791" s="3" t="s">
        <v>363</v>
      </c>
      <c r="F791" s="3" t="s">
        <v>2785</v>
      </c>
    </row>
    <row r="792" spans="1:6" x14ac:dyDescent="0.25">
      <c r="A792" s="3" t="str">
        <f t="shared" si="21"/>
        <v>q10ROW8_hidden_southamerica</v>
      </c>
      <c r="B792" s="3" t="str">
        <f t="shared" si="20"/>
        <v>_southamerica</v>
      </c>
      <c r="C792" s="3" t="s">
        <v>525</v>
      </c>
      <c r="D792" s="12" t="s">
        <v>62</v>
      </c>
      <c r="E792" s="8" t="s">
        <v>365</v>
      </c>
      <c r="F792" s="3" t="s">
        <v>2786</v>
      </c>
    </row>
    <row r="793" spans="1:6" x14ac:dyDescent="0.25">
      <c r="A793" s="3" t="str">
        <f t="shared" si="21"/>
        <v>q10COL1_hidden_southamerica</v>
      </c>
      <c r="B793" s="3" t="str">
        <f t="shared" si="20"/>
        <v>_southamerica</v>
      </c>
      <c r="C793" s="3" t="s">
        <v>526</v>
      </c>
      <c r="D793" s="12" t="s">
        <v>62</v>
      </c>
      <c r="E793" s="8" t="s">
        <v>154</v>
      </c>
      <c r="F793" s="3" t="s">
        <v>2787</v>
      </c>
    </row>
    <row r="794" spans="1:6" x14ac:dyDescent="0.25">
      <c r="A794" s="3" t="str">
        <f t="shared" si="21"/>
        <v>q10COL2_hidden_southamerica</v>
      </c>
      <c r="B794" s="3" t="str">
        <f t="shared" si="20"/>
        <v>_southamerica</v>
      </c>
      <c r="C794" s="3" t="s">
        <v>527</v>
      </c>
      <c r="D794" s="12" t="s">
        <v>62</v>
      </c>
      <c r="E794" s="8" t="s">
        <v>156</v>
      </c>
      <c r="F794" s="3" t="s">
        <v>2788</v>
      </c>
    </row>
    <row r="795" spans="1:6" x14ac:dyDescent="0.25">
      <c r="A795" s="3" t="str">
        <f t="shared" si="21"/>
        <v>q10COL3_hidden_southamerica</v>
      </c>
      <c r="B795" s="3" t="str">
        <f t="shared" si="20"/>
        <v>_southamerica</v>
      </c>
      <c r="C795" s="3" t="s">
        <v>528</v>
      </c>
      <c r="D795" s="12" t="s">
        <v>62</v>
      </c>
      <c r="E795" s="8" t="s">
        <v>158</v>
      </c>
      <c r="F795" s="3" t="s">
        <v>2789</v>
      </c>
    </row>
    <row r="796" spans="1:6" x14ac:dyDescent="0.25">
      <c r="A796" s="3" t="str">
        <f t="shared" si="21"/>
        <v>q10COL4_hidden_southamerica</v>
      </c>
      <c r="B796" s="3" t="str">
        <f t="shared" si="20"/>
        <v>_southamerica</v>
      </c>
      <c r="C796" s="3" t="s">
        <v>529</v>
      </c>
      <c r="D796" s="12" t="s">
        <v>62</v>
      </c>
      <c r="E796" s="8" t="s">
        <v>160</v>
      </c>
      <c r="F796" s="3" t="s">
        <v>2790</v>
      </c>
    </row>
    <row r="797" spans="1:6" x14ac:dyDescent="0.25">
      <c r="A797" s="3" t="str">
        <f t="shared" si="21"/>
        <v>q10COL5_hidden_southamerica</v>
      </c>
      <c r="B797" s="3" t="str">
        <f t="shared" si="20"/>
        <v>_southamerica</v>
      </c>
      <c r="C797" s="3" t="s">
        <v>530</v>
      </c>
      <c r="D797" s="12" t="s">
        <v>62</v>
      </c>
      <c r="E797" s="8" t="s">
        <v>162</v>
      </c>
      <c r="F797" s="3" t="s">
        <v>2791</v>
      </c>
    </row>
    <row r="798" spans="1:6" x14ac:dyDescent="0.25">
      <c r="A798" s="3" t="str">
        <f t="shared" si="21"/>
        <v>q10COL6_hidden_southamerica</v>
      </c>
      <c r="B798" s="3" t="str">
        <f t="shared" si="20"/>
        <v>_southamerica</v>
      </c>
      <c r="C798" s="3" t="s">
        <v>531</v>
      </c>
      <c r="D798" s="12" t="s">
        <v>62</v>
      </c>
      <c r="E798" s="8" t="s">
        <v>164</v>
      </c>
      <c r="F798" s="3" t="s">
        <v>2792</v>
      </c>
    </row>
    <row r="799" spans="1:6" x14ac:dyDescent="0.25">
      <c r="A799" s="3" t="str">
        <f t="shared" si="21"/>
        <v>q10GRANDTotal_hidden_southamerica</v>
      </c>
      <c r="B799" s="3" t="str">
        <f t="shared" si="20"/>
        <v>_southamerica</v>
      </c>
      <c r="C799" s="3" t="s">
        <v>532</v>
      </c>
      <c r="D799" s="12" t="s">
        <v>62</v>
      </c>
      <c r="E799" s="8" t="s">
        <v>533</v>
      </c>
      <c r="F799" s="3" t="s">
        <v>2793</v>
      </c>
    </row>
    <row r="800" spans="1:6" x14ac:dyDescent="0.25">
      <c r="A800" s="3" t="str">
        <f t="shared" si="21"/>
        <v>_southamerica</v>
      </c>
      <c r="B800" s="3" t="str">
        <f t="shared" ref="B800:B842" si="22">B799</f>
        <v>_southamerica</v>
      </c>
      <c r="C800" s="6"/>
      <c r="D800" s="6"/>
      <c r="E800" s="9" t="s">
        <v>2959</v>
      </c>
      <c r="F800" s="3">
        <v>23</v>
      </c>
    </row>
    <row r="801" spans="1:6" x14ac:dyDescent="0.25">
      <c r="A801" s="3" t="str">
        <f t="shared" si="21"/>
        <v>q111_1_southamerica</v>
      </c>
      <c r="B801" s="3" t="str">
        <f t="shared" si="22"/>
        <v>_southamerica</v>
      </c>
      <c r="C801" s="3" t="s">
        <v>534</v>
      </c>
      <c r="D801" s="12" t="s">
        <v>62</v>
      </c>
      <c r="E801" s="3" t="s">
        <v>388</v>
      </c>
      <c r="F801" s="3" t="s">
        <v>2794</v>
      </c>
    </row>
    <row r="802" spans="1:6" x14ac:dyDescent="0.25">
      <c r="A802" s="3" t="str">
        <f t="shared" si="21"/>
        <v>q111_2_southamerica</v>
      </c>
      <c r="B802" s="3" t="str">
        <f t="shared" si="22"/>
        <v>_southamerica</v>
      </c>
      <c r="C802" s="3" t="s">
        <v>535</v>
      </c>
      <c r="D802" s="12" t="s">
        <v>62</v>
      </c>
      <c r="E802" s="3" t="s">
        <v>390</v>
      </c>
      <c r="F802" s="3" t="s">
        <v>2795</v>
      </c>
    </row>
    <row r="803" spans="1:6" x14ac:dyDescent="0.25">
      <c r="A803" s="3" t="str">
        <f t="shared" si="21"/>
        <v>q111_3_southamerica</v>
      </c>
      <c r="B803" s="3" t="str">
        <f t="shared" si="22"/>
        <v>_southamerica</v>
      </c>
      <c r="C803" s="3" t="s">
        <v>536</v>
      </c>
      <c r="D803" s="12" t="s">
        <v>62</v>
      </c>
      <c r="E803" s="3" t="s">
        <v>392</v>
      </c>
      <c r="F803" s="3" t="s">
        <v>2796</v>
      </c>
    </row>
    <row r="804" spans="1:6" x14ac:dyDescent="0.25">
      <c r="A804" s="3" t="str">
        <f t="shared" si="21"/>
        <v>q111_4_southamerica</v>
      </c>
      <c r="B804" s="3" t="str">
        <f t="shared" si="22"/>
        <v>_southamerica</v>
      </c>
      <c r="C804" s="3" t="s">
        <v>537</v>
      </c>
      <c r="D804" s="12" t="s">
        <v>62</v>
      </c>
      <c r="E804" s="3" t="s">
        <v>394</v>
      </c>
      <c r="F804" s="3" t="s">
        <v>2797</v>
      </c>
    </row>
    <row r="805" spans="1:6" x14ac:dyDescent="0.25">
      <c r="A805" s="3" t="str">
        <f t="shared" si="21"/>
        <v>q111_5_southamerica</v>
      </c>
      <c r="B805" s="3" t="str">
        <f t="shared" si="22"/>
        <v>_southamerica</v>
      </c>
      <c r="C805" s="3" t="s">
        <v>538</v>
      </c>
      <c r="D805" s="12" t="s">
        <v>62</v>
      </c>
      <c r="E805" s="3" t="s">
        <v>396</v>
      </c>
      <c r="F805" s="3" t="s">
        <v>2798</v>
      </c>
    </row>
    <row r="806" spans="1:6" x14ac:dyDescent="0.25">
      <c r="A806" s="3" t="str">
        <f t="shared" si="21"/>
        <v>q111_6_southamerica</v>
      </c>
      <c r="B806" s="3" t="str">
        <f t="shared" si="22"/>
        <v>_southamerica</v>
      </c>
      <c r="C806" s="3" t="s">
        <v>539</v>
      </c>
      <c r="D806" s="12" t="s">
        <v>62</v>
      </c>
      <c r="E806" s="3" t="s">
        <v>398</v>
      </c>
      <c r="F806" s="3" t="s">
        <v>2799</v>
      </c>
    </row>
    <row r="807" spans="1:6" x14ac:dyDescent="0.25">
      <c r="A807" s="3" t="str">
        <f t="shared" si="21"/>
        <v>q11ROW1_hidden_southamerica</v>
      </c>
      <c r="B807" s="3" t="str">
        <f t="shared" si="22"/>
        <v>_southamerica</v>
      </c>
      <c r="C807" s="3" t="s">
        <v>540</v>
      </c>
      <c r="D807" s="12" t="s">
        <v>62</v>
      </c>
      <c r="E807" s="8" t="s">
        <v>541</v>
      </c>
      <c r="F807" s="3" t="s">
        <v>2800</v>
      </c>
    </row>
    <row r="808" spans="1:6" x14ac:dyDescent="0.25">
      <c r="A808" s="3" t="str">
        <f t="shared" si="21"/>
        <v>q112_1_southamerica</v>
      </c>
      <c r="B808" s="3" t="str">
        <f t="shared" si="22"/>
        <v>_southamerica</v>
      </c>
      <c r="C808" s="3" t="s">
        <v>542</v>
      </c>
      <c r="D808" s="12" t="s">
        <v>62</v>
      </c>
      <c r="E808" s="3" t="s">
        <v>374</v>
      </c>
      <c r="F808" s="3" t="s">
        <v>2801</v>
      </c>
    </row>
    <row r="809" spans="1:6" x14ac:dyDescent="0.25">
      <c r="A809" s="3" t="str">
        <f t="shared" si="21"/>
        <v>q112_2_southamerica</v>
      </c>
      <c r="B809" s="3" t="str">
        <f t="shared" si="22"/>
        <v>_southamerica</v>
      </c>
      <c r="C809" s="3" t="s">
        <v>543</v>
      </c>
      <c r="D809" s="12" t="s">
        <v>62</v>
      </c>
      <c r="E809" s="3" t="s">
        <v>376</v>
      </c>
      <c r="F809" s="3" t="s">
        <v>2802</v>
      </c>
    </row>
    <row r="810" spans="1:6" x14ac:dyDescent="0.25">
      <c r="A810" s="3" t="str">
        <f t="shared" si="21"/>
        <v>q112_3_southamerica</v>
      </c>
      <c r="B810" s="3" t="str">
        <f t="shared" si="22"/>
        <v>_southamerica</v>
      </c>
      <c r="C810" s="3" t="s">
        <v>544</v>
      </c>
      <c r="D810" s="12" t="s">
        <v>62</v>
      </c>
      <c r="E810" s="3" t="s">
        <v>378</v>
      </c>
      <c r="F810" s="3" t="s">
        <v>2803</v>
      </c>
    </row>
    <row r="811" spans="1:6" x14ac:dyDescent="0.25">
      <c r="A811" s="3" t="str">
        <f t="shared" si="21"/>
        <v>q112_4_southamerica</v>
      </c>
      <c r="B811" s="3" t="str">
        <f t="shared" si="22"/>
        <v>_southamerica</v>
      </c>
      <c r="C811" s="3" t="s">
        <v>545</v>
      </c>
      <c r="D811" s="12" t="s">
        <v>62</v>
      </c>
      <c r="E811" s="3" t="s">
        <v>380</v>
      </c>
      <c r="F811" s="3" t="s">
        <v>2804</v>
      </c>
    </row>
    <row r="812" spans="1:6" x14ac:dyDescent="0.25">
      <c r="A812" s="3" t="str">
        <f t="shared" si="21"/>
        <v>q112_5_southamerica</v>
      </c>
      <c r="B812" s="3" t="str">
        <f t="shared" si="22"/>
        <v>_southamerica</v>
      </c>
      <c r="C812" s="3" t="s">
        <v>546</v>
      </c>
      <c r="D812" s="12" t="s">
        <v>62</v>
      </c>
      <c r="E812" s="3" t="s">
        <v>382</v>
      </c>
      <c r="F812" s="3" t="s">
        <v>2805</v>
      </c>
    </row>
    <row r="813" spans="1:6" x14ac:dyDescent="0.25">
      <c r="A813" s="3" t="str">
        <f t="shared" si="21"/>
        <v>q112_6_southamerica</v>
      </c>
      <c r="B813" s="3" t="str">
        <f t="shared" si="22"/>
        <v>_southamerica</v>
      </c>
      <c r="C813" s="3" t="s">
        <v>547</v>
      </c>
      <c r="D813" s="12" t="s">
        <v>62</v>
      </c>
      <c r="E813" s="3" t="s">
        <v>384</v>
      </c>
      <c r="F813" s="3" t="s">
        <v>2806</v>
      </c>
    </row>
    <row r="814" spans="1:6" x14ac:dyDescent="0.25">
      <c r="A814" s="3" t="str">
        <f t="shared" si="21"/>
        <v>q11ROW2_hidden_southamerica</v>
      </c>
      <c r="B814" s="3" t="str">
        <f t="shared" si="22"/>
        <v>_southamerica</v>
      </c>
      <c r="C814" s="3" t="s">
        <v>548</v>
      </c>
      <c r="D814" s="12" t="s">
        <v>62</v>
      </c>
      <c r="E814" s="8" t="s">
        <v>549</v>
      </c>
      <c r="F814" s="3" t="s">
        <v>2807</v>
      </c>
    </row>
    <row r="815" spans="1:6" x14ac:dyDescent="0.25">
      <c r="A815" s="3" t="str">
        <f t="shared" si="21"/>
        <v>q113_1_southamerica</v>
      </c>
      <c r="B815" s="3" t="str">
        <f t="shared" si="22"/>
        <v>_southamerica</v>
      </c>
      <c r="C815" s="3" t="s">
        <v>550</v>
      </c>
      <c r="D815" s="12" t="s">
        <v>62</v>
      </c>
      <c r="E815" s="3" t="s">
        <v>402</v>
      </c>
      <c r="F815" s="3" t="s">
        <v>2808</v>
      </c>
    </row>
    <row r="816" spans="1:6" x14ac:dyDescent="0.25">
      <c r="A816" s="3" t="str">
        <f t="shared" si="21"/>
        <v>q113_2_southamerica</v>
      </c>
      <c r="B816" s="3" t="str">
        <f t="shared" si="22"/>
        <v>_southamerica</v>
      </c>
      <c r="C816" s="3" t="s">
        <v>551</v>
      </c>
      <c r="D816" s="12" t="s">
        <v>62</v>
      </c>
      <c r="E816" s="3" t="s">
        <v>404</v>
      </c>
      <c r="F816" s="3" t="s">
        <v>2809</v>
      </c>
    </row>
    <row r="817" spans="1:6" x14ac:dyDescent="0.25">
      <c r="A817" s="3" t="str">
        <f t="shared" si="21"/>
        <v>q113_3_southamerica</v>
      </c>
      <c r="B817" s="3" t="str">
        <f t="shared" si="22"/>
        <v>_southamerica</v>
      </c>
      <c r="C817" s="3" t="s">
        <v>552</v>
      </c>
      <c r="D817" s="12" t="s">
        <v>62</v>
      </c>
      <c r="E817" s="3" t="s">
        <v>406</v>
      </c>
      <c r="F817" s="3" t="s">
        <v>2810</v>
      </c>
    </row>
    <row r="818" spans="1:6" x14ac:dyDescent="0.25">
      <c r="A818" s="3" t="str">
        <f t="shared" si="21"/>
        <v>q113_4_southamerica</v>
      </c>
      <c r="B818" s="3" t="str">
        <f t="shared" si="22"/>
        <v>_southamerica</v>
      </c>
      <c r="C818" s="3" t="s">
        <v>553</v>
      </c>
      <c r="D818" s="12" t="s">
        <v>62</v>
      </c>
      <c r="E818" s="3" t="s">
        <v>408</v>
      </c>
      <c r="F818" s="3" t="s">
        <v>2811</v>
      </c>
    </row>
    <row r="819" spans="1:6" x14ac:dyDescent="0.25">
      <c r="A819" s="3" t="str">
        <f t="shared" si="21"/>
        <v>q113_5_southamerica</v>
      </c>
      <c r="B819" s="3" t="str">
        <f t="shared" si="22"/>
        <v>_southamerica</v>
      </c>
      <c r="C819" s="3" t="s">
        <v>554</v>
      </c>
      <c r="D819" s="12" t="s">
        <v>62</v>
      </c>
      <c r="E819" s="3" t="s">
        <v>410</v>
      </c>
      <c r="F819" s="3" t="s">
        <v>2812</v>
      </c>
    </row>
    <row r="820" spans="1:6" x14ac:dyDescent="0.25">
      <c r="A820" s="3" t="str">
        <f t="shared" si="21"/>
        <v>q113_6_southamerica</v>
      </c>
      <c r="B820" s="3" t="str">
        <f t="shared" si="22"/>
        <v>_southamerica</v>
      </c>
      <c r="C820" s="3" t="s">
        <v>555</v>
      </c>
      <c r="D820" s="12" t="s">
        <v>62</v>
      </c>
      <c r="E820" s="3" t="s">
        <v>412</v>
      </c>
      <c r="F820" s="3" t="s">
        <v>2813</v>
      </c>
    </row>
    <row r="821" spans="1:6" x14ac:dyDescent="0.25">
      <c r="A821" s="3" t="str">
        <f t="shared" si="21"/>
        <v>q11ROW3_hidden_southamerica</v>
      </c>
      <c r="B821" s="3" t="str">
        <f t="shared" si="22"/>
        <v>_southamerica</v>
      </c>
      <c r="C821" s="3" t="s">
        <v>556</v>
      </c>
      <c r="D821" s="12" t="s">
        <v>62</v>
      </c>
      <c r="E821" s="8" t="s">
        <v>557</v>
      </c>
      <c r="F821" s="3" t="s">
        <v>2814</v>
      </c>
    </row>
    <row r="822" spans="1:6" x14ac:dyDescent="0.25">
      <c r="A822" s="3" t="str">
        <f t="shared" si="21"/>
        <v>q114_1_southamerica</v>
      </c>
      <c r="B822" s="3" t="str">
        <f t="shared" si="22"/>
        <v>_southamerica</v>
      </c>
      <c r="C822" s="3" t="s">
        <v>558</v>
      </c>
      <c r="D822" s="12" t="s">
        <v>62</v>
      </c>
      <c r="E822" s="3" t="s">
        <v>416</v>
      </c>
      <c r="F822" s="3" t="s">
        <v>2815</v>
      </c>
    </row>
    <row r="823" spans="1:6" x14ac:dyDescent="0.25">
      <c r="A823" s="3" t="str">
        <f t="shared" si="21"/>
        <v>q114_2_southamerica</v>
      </c>
      <c r="B823" s="3" t="str">
        <f t="shared" si="22"/>
        <v>_southamerica</v>
      </c>
      <c r="C823" s="3" t="s">
        <v>559</v>
      </c>
      <c r="D823" s="12" t="s">
        <v>62</v>
      </c>
      <c r="E823" s="3" t="s">
        <v>418</v>
      </c>
      <c r="F823" s="3" t="s">
        <v>2816</v>
      </c>
    </row>
    <row r="824" spans="1:6" x14ac:dyDescent="0.25">
      <c r="A824" s="3" t="str">
        <f t="shared" si="21"/>
        <v>q114_3_southamerica</v>
      </c>
      <c r="B824" s="3" t="str">
        <f t="shared" si="22"/>
        <v>_southamerica</v>
      </c>
      <c r="C824" s="3" t="s">
        <v>560</v>
      </c>
      <c r="D824" s="12" t="s">
        <v>62</v>
      </c>
      <c r="E824" s="3" t="s">
        <v>420</v>
      </c>
      <c r="F824" s="3" t="s">
        <v>2817</v>
      </c>
    </row>
    <row r="825" spans="1:6" x14ac:dyDescent="0.25">
      <c r="A825" s="3" t="str">
        <f t="shared" si="21"/>
        <v>q114_4_southamerica</v>
      </c>
      <c r="B825" s="3" t="str">
        <f t="shared" si="22"/>
        <v>_southamerica</v>
      </c>
      <c r="C825" s="3" t="s">
        <v>561</v>
      </c>
      <c r="D825" s="12" t="s">
        <v>62</v>
      </c>
      <c r="E825" s="3" t="s">
        <v>422</v>
      </c>
      <c r="F825" s="3" t="s">
        <v>2818</v>
      </c>
    </row>
    <row r="826" spans="1:6" x14ac:dyDescent="0.25">
      <c r="A826" s="3" t="str">
        <f t="shared" si="21"/>
        <v>q114_5_southamerica</v>
      </c>
      <c r="B826" s="3" t="str">
        <f t="shared" si="22"/>
        <v>_southamerica</v>
      </c>
      <c r="C826" s="3" t="s">
        <v>562</v>
      </c>
      <c r="D826" s="12" t="s">
        <v>62</v>
      </c>
      <c r="E826" s="3" t="s">
        <v>424</v>
      </c>
      <c r="F826" s="3" t="s">
        <v>2819</v>
      </c>
    </row>
    <row r="827" spans="1:6" x14ac:dyDescent="0.25">
      <c r="A827" s="3" t="str">
        <f t="shared" si="21"/>
        <v>q114_6_southamerica</v>
      </c>
      <c r="B827" s="3" t="str">
        <f t="shared" si="22"/>
        <v>_southamerica</v>
      </c>
      <c r="C827" s="3" t="s">
        <v>563</v>
      </c>
      <c r="D827" s="12" t="s">
        <v>62</v>
      </c>
      <c r="E827" s="3" t="s">
        <v>426</v>
      </c>
      <c r="F827" s="3" t="s">
        <v>2820</v>
      </c>
    </row>
    <row r="828" spans="1:6" x14ac:dyDescent="0.25">
      <c r="A828" s="3" t="str">
        <f t="shared" si="21"/>
        <v>q11ROW4_hidden_southamerica</v>
      </c>
      <c r="B828" s="3" t="str">
        <f t="shared" si="22"/>
        <v>_southamerica</v>
      </c>
      <c r="C828" s="3" t="s">
        <v>564</v>
      </c>
      <c r="D828" s="12" t="s">
        <v>62</v>
      </c>
      <c r="E828" s="8" t="s">
        <v>565</v>
      </c>
      <c r="F828" s="3" t="s">
        <v>2821</v>
      </c>
    </row>
    <row r="829" spans="1:6" x14ac:dyDescent="0.25">
      <c r="A829" s="3" t="str">
        <f t="shared" si="21"/>
        <v>q115_1_southamerica</v>
      </c>
      <c r="B829" s="3" t="str">
        <f t="shared" si="22"/>
        <v>_southamerica</v>
      </c>
      <c r="C829" s="3" t="s">
        <v>566</v>
      </c>
      <c r="D829" s="12" t="s">
        <v>62</v>
      </c>
      <c r="E829" s="3" t="s">
        <v>430</v>
      </c>
      <c r="F829" s="3" t="s">
        <v>2822</v>
      </c>
    </row>
    <row r="830" spans="1:6" x14ac:dyDescent="0.25">
      <c r="A830" s="3" t="str">
        <f>_xlfn.CONCAT(C830,B830)</f>
        <v>q115_2_southamerica</v>
      </c>
      <c r="B830" s="3" t="str">
        <f t="shared" si="22"/>
        <v>_southamerica</v>
      </c>
      <c r="C830" s="3" t="s">
        <v>567</v>
      </c>
      <c r="D830" s="12" t="s">
        <v>62</v>
      </c>
      <c r="E830" s="3" t="s">
        <v>432</v>
      </c>
      <c r="F830" s="3" t="s">
        <v>2823</v>
      </c>
    </row>
    <row r="831" spans="1:6" x14ac:dyDescent="0.25">
      <c r="A831" s="3" t="str">
        <f t="shared" si="21"/>
        <v>q115_3_southamerica</v>
      </c>
      <c r="B831" s="3" t="str">
        <f t="shared" si="22"/>
        <v>_southamerica</v>
      </c>
      <c r="C831" s="3" t="s">
        <v>568</v>
      </c>
      <c r="D831" s="12" t="s">
        <v>62</v>
      </c>
      <c r="E831" s="3" t="s">
        <v>434</v>
      </c>
      <c r="F831" s="3" t="s">
        <v>2824</v>
      </c>
    </row>
    <row r="832" spans="1:6" x14ac:dyDescent="0.25">
      <c r="A832" s="3" t="str">
        <f t="shared" si="21"/>
        <v>q115_4_southamerica</v>
      </c>
      <c r="B832" s="3" t="str">
        <f t="shared" si="22"/>
        <v>_southamerica</v>
      </c>
      <c r="C832" s="3" t="s">
        <v>569</v>
      </c>
      <c r="D832" s="12" t="s">
        <v>62</v>
      </c>
      <c r="E832" s="3" t="s">
        <v>436</v>
      </c>
      <c r="F832" s="3" t="s">
        <v>2825</v>
      </c>
    </row>
    <row r="833" spans="1:6" x14ac:dyDescent="0.25">
      <c r="A833" s="3" t="str">
        <f t="shared" si="21"/>
        <v>q115_5_southamerica</v>
      </c>
      <c r="B833" s="3" t="str">
        <f t="shared" si="22"/>
        <v>_southamerica</v>
      </c>
      <c r="C833" s="3" t="s">
        <v>570</v>
      </c>
      <c r="D833" s="12" t="s">
        <v>62</v>
      </c>
      <c r="E833" s="3" t="s">
        <v>438</v>
      </c>
      <c r="F833" s="3" t="s">
        <v>2826</v>
      </c>
    </row>
    <row r="834" spans="1:6" x14ac:dyDescent="0.25">
      <c r="A834" s="3" t="str">
        <f t="shared" si="21"/>
        <v>q115_6_southamerica</v>
      </c>
      <c r="B834" s="3" t="str">
        <f t="shared" si="22"/>
        <v>_southamerica</v>
      </c>
      <c r="C834" s="3" t="s">
        <v>571</v>
      </c>
      <c r="D834" s="12" t="s">
        <v>62</v>
      </c>
      <c r="E834" s="3" t="s">
        <v>440</v>
      </c>
      <c r="F834" s="3" t="s">
        <v>2827</v>
      </c>
    </row>
    <row r="835" spans="1:6" x14ac:dyDescent="0.25">
      <c r="A835" s="3" t="str">
        <f t="shared" ref="A835:A898" si="23">_xlfn.CONCAT(C835,B835)</f>
        <v>q11ROW5_hidden_southamerica</v>
      </c>
      <c r="B835" s="3" t="str">
        <f t="shared" si="22"/>
        <v>_southamerica</v>
      </c>
      <c r="C835" s="3" t="s">
        <v>572</v>
      </c>
      <c r="D835" s="12" t="s">
        <v>62</v>
      </c>
      <c r="E835" s="8" t="s">
        <v>442</v>
      </c>
      <c r="F835" s="3" t="s">
        <v>2828</v>
      </c>
    </row>
    <row r="836" spans="1:6" x14ac:dyDescent="0.25">
      <c r="A836" s="3" t="str">
        <f t="shared" si="23"/>
        <v>q11COL1_hidden_southamerica</v>
      </c>
      <c r="B836" s="3" t="str">
        <f t="shared" si="22"/>
        <v>_southamerica</v>
      </c>
      <c r="C836" s="3" t="s">
        <v>573</v>
      </c>
      <c r="D836" s="12" t="s">
        <v>62</v>
      </c>
      <c r="E836" s="8" t="s">
        <v>154</v>
      </c>
      <c r="F836" s="3" t="s">
        <v>2829</v>
      </c>
    </row>
    <row r="837" spans="1:6" x14ac:dyDescent="0.25">
      <c r="A837" s="3" t="str">
        <f t="shared" si="23"/>
        <v>q11COL2_hidden_southamerica</v>
      </c>
      <c r="B837" s="3" t="str">
        <f t="shared" si="22"/>
        <v>_southamerica</v>
      </c>
      <c r="C837" s="3" t="s">
        <v>574</v>
      </c>
      <c r="D837" s="12" t="s">
        <v>62</v>
      </c>
      <c r="E837" s="8" t="s">
        <v>156</v>
      </c>
      <c r="F837" s="3" t="s">
        <v>2830</v>
      </c>
    </row>
    <row r="838" spans="1:6" x14ac:dyDescent="0.25">
      <c r="A838" s="3" t="str">
        <f t="shared" si="23"/>
        <v>q11COL3_hidden_southamerica</v>
      </c>
      <c r="B838" s="3" t="str">
        <f t="shared" si="22"/>
        <v>_southamerica</v>
      </c>
      <c r="C838" s="3" t="s">
        <v>575</v>
      </c>
      <c r="D838" s="12" t="s">
        <v>62</v>
      </c>
      <c r="E838" s="8" t="s">
        <v>158</v>
      </c>
      <c r="F838" s="3" t="s">
        <v>2831</v>
      </c>
    </row>
    <row r="839" spans="1:6" x14ac:dyDescent="0.25">
      <c r="A839" s="3" t="str">
        <f t="shared" si="23"/>
        <v>q11COL4_hidden_southamerica</v>
      </c>
      <c r="B839" s="3" t="str">
        <f t="shared" si="22"/>
        <v>_southamerica</v>
      </c>
      <c r="C839" s="3" t="s">
        <v>576</v>
      </c>
      <c r="D839" s="12" t="s">
        <v>62</v>
      </c>
      <c r="E839" s="8" t="s">
        <v>160</v>
      </c>
      <c r="F839" s="3" t="s">
        <v>2832</v>
      </c>
    </row>
    <row r="840" spans="1:6" x14ac:dyDescent="0.25">
      <c r="A840" s="3" t="str">
        <f t="shared" si="23"/>
        <v>q11COL5_hidden_southamerica</v>
      </c>
      <c r="B840" s="3" t="str">
        <f t="shared" si="22"/>
        <v>_southamerica</v>
      </c>
      <c r="C840" s="3" t="s">
        <v>577</v>
      </c>
      <c r="D840" s="12" t="s">
        <v>62</v>
      </c>
      <c r="E840" s="8" t="s">
        <v>162</v>
      </c>
      <c r="F840" s="3" t="s">
        <v>2833</v>
      </c>
    </row>
    <row r="841" spans="1:6" x14ac:dyDescent="0.25">
      <c r="A841" s="3" t="str">
        <f t="shared" si="23"/>
        <v>q11COL6_hidden_southamerica</v>
      </c>
      <c r="B841" s="3" t="str">
        <f t="shared" si="22"/>
        <v>_southamerica</v>
      </c>
      <c r="C841" s="3" t="s">
        <v>578</v>
      </c>
      <c r="D841" s="12" t="s">
        <v>62</v>
      </c>
      <c r="E841" s="8" t="s">
        <v>164</v>
      </c>
      <c r="F841" s="3" t="s">
        <v>2834</v>
      </c>
    </row>
    <row r="842" spans="1:6" x14ac:dyDescent="0.25">
      <c r="A842" s="3" t="str">
        <f t="shared" si="23"/>
        <v>q11GRANDTotal_hidden_southamerica</v>
      </c>
      <c r="B842" s="3" t="str">
        <f t="shared" si="22"/>
        <v>_southamerica</v>
      </c>
      <c r="C842" s="3" t="s">
        <v>579</v>
      </c>
      <c r="D842" s="12" t="s">
        <v>62</v>
      </c>
      <c r="E842" s="8" t="s">
        <v>580</v>
      </c>
      <c r="F842" s="3" t="s">
        <v>2835</v>
      </c>
    </row>
    <row r="843" spans="1:6" x14ac:dyDescent="0.25">
      <c r="A843" s="3" t="str">
        <f t="shared" si="23"/>
        <v>AFRICA_africa</v>
      </c>
      <c r="B843" s="3" t="s">
        <v>588</v>
      </c>
      <c r="C843" s="10" t="s">
        <v>589</v>
      </c>
      <c r="D843" s="11"/>
      <c r="E843" s="9" t="s">
        <v>2960</v>
      </c>
      <c r="F843" s="3">
        <v>24</v>
      </c>
    </row>
    <row r="844" spans="1:6" x14ac:dyDescent="0.25">
      <c r="A844" s="3" t="str">
        <f t="shared" si="23"/>
        <v>q101_1_africa</v>
      </c>
      <c r="B844" s="3" t="str">
        <f t="shared" ref="B844:B907" si="24">B843</f>
        <v>_africa</v>
      </c>
      <c r="C844" s="3" t="s">
        <v>469</v>
      </c>
      <c r="D844" s="12" t="s">
        <v>62</v>
      </c>
      <c r="E844" s="3" t="s">
        <v>254</v>
      </c>
      <c r="F844" s="3" t="s">
        <v>2836</v>
      </c>
    </row>
    <row r="845" spans="1:6" x14ac:dyDescent="0.25">
      <c r="A845" s="3" t="str">
        <f t="shared" si="23"/>
        <v>q101_2_africa</v>
      </c>
      <c r="B845" s="3" t="str">
        <f t="shared" si="24"/>
        <v>_africa</v>
      </c>
      <c r="C845" s="3" t="s">
        <v>470</v>
      </c>
      <c r="D845" s="12" t="s">
        <v>62</v>
      </c>
      <c r="E845" s="3" t="s">
        <v>256</v>
      </c>
      <c r="F845" s="3" t="s">
        <v>2837</v>
      </c>
    </row>
    <row r="846" spans="1:6" x14ac:dyDescent="0.25">
      <c r="A846" s="3" t="str">
        <f t="shared" si="23"/>
        <v>q101_3_africa</v>
      </c>
      <c r="B846" s="3" t="str">
        <f t="shared" si="24"/>
        <v>_africa</v>
      </c>
      <c r="C846" s="3" t="s">
        <v>471</v>
      </c>
      <c r="D846" s="12" t="s">
        <v>62</v>
      </c>
      <c r="E846" s="3" t="s">
        <v>258</v>
      </c>
      <c r="F846" s="3" t="s">
        <v>2838</v>
      </c>
    </row>
    <row r="847" spans="1:6" x14ac:dyDescent="0.25">
      <c r="A847" s="3" t="str">
        <f t="shared" si="23"/>
        <v>q101_4_africa</v>
      </c>
      <c r="B847" s="3" t="str">
        <f t="shared" si="24"/>
        <v>_africa</v>
      </c>
      <c r="C847" s="3" t="s">
        <v>472</v>
      </c>
      <c r="D847" s="12" t="s">
        <v>62</v>
      </c>
      <c r="E847" s="3" t="s">
        <v>260</v>
      </c>
      <c r="F847" s="3" t="s">
        <v>2839</v>
      </c>
    </row>
    <row r="848" spans="1:6" x14ac:dyDescent="0.25">
      <c r="A848" s="3" t="str">
        <f t="shared" si="23"/>
        <v>q101_5_africa</v>
      </c>
      <c r="B848" s="3" t="str">
        <f t="shared" si="24"/>
        <v>_africa</v>
      </c>
      <c r="C848" s="3" t="s">
        <v>473</v>
      </c>
      <c r="D848" s="12" t="s">
        <v>62</v>
      </c>
      <c r="E848" s="3" t="s">
        <v>262</v>
      </c>
      <c r="F848" s="3" t="s">
        <v>2840</v>
      </c>
    </row>
    <row r="849" spans="1:6" x14ac:dyDescent="0.25">
      <c r="A849" s="3" t="str">
        <f t="shared" si="23"/>
        <v>q101_6_africa</v>
      </c>
      <c r="B849" s="3" t="str">
        <f t="shared" si="24"/>
        <v>_africa</v>
      </c>
      <c r="C849" s="3" t="s">
        <v>474</v>
      </c>
      <c r="D849" s="12" t="s">
        <v>62</v>
      </c>
      <c r="E849" s="3" t="s">
        <v>264</v>
      </c>
      <c r="F849" s="3" t="s">
        <v>2841</v>
      </c>
    </row>
    <row r="850" spans="1:6" x14ac:dyDescent="0.25">
      <c r="A850" s="3" t="str">
        <f t="shared" si="23"/>
        <v>q10ROW1_hidden_africa</v>
      </c>
      <c r="B850" s="3" t="str">
        <f t="shared" si="24"/>
        <v>_africa</v>
      </c>
      <c r="C850" s="3" t="s">
        <v>475</v>
      </c>
      <c r="D850" s="12" t="s">
        <v>62</v>
      </c>
      <c r="E850" s="8" t="s">
        <v>266</v>
      </c>
      <c r="F850" s="3" t="s">
        <v>2842</v>
      </c>
    </row>
    <row r="851" spans="1:6" x14ac:dyDescent="0.25">
      <c r="A851" s="3" t="str">
        <f t="shared" si="23"/>
        <v>q102_1_africa</v>
      </c>
      <c r="B851" s="3" t="str">
        <f t="shared" si="24"/>
        <v>_africa</v>
      </c>
      <c r="C851" s="3" t="s">
        <v>476</v>
      </c>
      <c r="D851" s="12" t="s">
        <v>62</v>
      </c>
      <c r="E851" s="3" t="s">
        <v>268</v>
      </c>
      <c r="F851" s="3" t="s">
        <v>2843</v>
      </c>
    </row>
    <row r="852" spans="1:6" x14ac:dyDescent="0.25">
      <c r="A852" s="3" t="str">
        <f t="shared" si="23"/>
        <v>q102_2_africa</v>
      </c>
      <c r="B852" s="3" t="str">
        <f t="shared" si="24"/>
        <v>_africa</v>
      </c>
      <c r="C852" s="3" t="s">
        <v>477</v>
      </c>
      <c r="D852" s="12" t="s">
        <v>62</v>
      </c>
      <c r="E852" s="3" t="s">
        <v>270</v>
      </c>
      <c r="F852" s="3" t="s">
        <v>2844</v>
      </c>
    </row>
    <row r="853" spans="1:6" x14ac:dyDescent="0.25">
      <c r="A853" s="3" t="str">
        <f t="shared" si="23"/>
        <v>q102_3_africa</v>
      </c>
      <c r="B853" s="3" t="str">
        <f t="shared" si="24"/>
        <v>_africa</v>
      </c>
      <c r="C853" s="3" t="s">
        <v>478</v>
      </c>
      <c r="D853" s="12" t="s">
        <v>62</v>
      </c>
      <c r="E853" s="3" t="s">
        <v>272</v>
      </c>
      <c r="F853" s="3" t="s">
        <v>2845</v>
      </c>
    </row>
    <row r="854" spans="1:6" x14ac:dyDescent="0.25">
      <c r="A854" s="3" t="str">
        <f t="shared" si="23"/>
        <v>q102_4_africa</v>
      </c>
      <c r="B854" s="3" t="str">
        <f t="shared" si="24"/>
        <v>_africa</v>
      </c>
      <c r="C854" s="3" t="s">
        <v>479</v>
      </c>
      <c r="D854" s="12" t="s">
        <v>62</v>
      </c>
      <c r="E854" s="3" t="s">
        <v>274</v>
      </c>
      <c r="F854" s="3" t="s">
        <v>2846</v>
      </c>
    </row>
    <row r="855" spans="1:6" x14ac:dyDescent="0.25">
      <c r="A855" s="3" t="str">
        <f t="shared" si="23"/>
        <v>q102_5_africa</v>
      </c>
      <c r="B855" s="3" t="str">
        <f t="shared" si="24"/>
        <v>_africa</v>
      </c>
      <c r="C855" s="3" t="s">
        <v>480</v>
      </c>
      <c r="D855" s="12" t="s">
        <v>62</v>
      </c>
      <c r="E855" s="3" t="s">
        <v>276</v>
      </c>
      <c r="F855" s="3" t="s">
        <v>2847</v>
      </c>
    </row>
    <row r="856" spans="1:6" x14ac:dyDescent="0.25">
      <c r="A856" s="3" t="str">
        <f t="shared" si="23"/>
        <v>q102_6_africa</v>
      </c>
      <c r="B856" s="3" t="str">
        <f t="shared" si="24"/>
        <v>_africa</v>
      </c>
      <c r="C856" s="3" t="s">
        <v>481</v>
      </c>
      <c r="D856" s="12" t="s">
        <v>62</v>
      </c>
      <c r="E856" s="3" t="s">
        <v>278</v>
      </c>
      <c r="F856" s="3" t="s">
        <v>2848</v>
      </c>
    </row>
    <row r="857" spans="1:6" x14ac:dyDescent="0.25">
      <c r="A857" s="3" t="str">
        <f t="shared" si="23"/>
        <v>q10ROW2_hidden_africa</v>
      </c>
      <c r="B857" s="3" t="str">
        <f t="shared" si="24"/>
        <v>_africa</v>
      </c>
      <c r="C857" s="3" t="s">
        <v>482</v>
      </c>
      <c r="D857" s="12" t="s">
        <v>62</v>
      </c>
      <c r="E857" s="8" t="s">
        <v>280</v>
      </c>
      <c r="F857" s="3" t="s">
        <v>2849</v>
      </c>
    </row>
    <row r="858" spans="1:6" x14ac:dyDescent="0.25">
      <c r="A858" s="3" t="str">
        <f t="shared" si="23"/>
        <v>q103_1_africa</v>
      </c>
      <c r="B858" s="3" t="str">
        <f t="shared" si="24"/>
        <v>_africa</v>
      </c>
      <c r="C858" s="3" t="s">
        <v>483</v>
      </c>
      <c r="D858" s="12" t="s">
        <v>62</v>
      </c>
      <c r="E858" s="3" t="s">
        <v>282</v>
      </c>
      <c r="F858" s="3" t="s">
        <v>2850</v>
      </c>
    </row>
    <row r="859" spans="1:6" x14ac:dyDescent="0.25">
      <c r="A859" s="3" t="str">
        <f t="shared" si="23"/>
        <v>q103_2_africa</v>
      </c>
      <c r="B859" s="3" t="str">
        <f t="shared" si="24"/>
        <v>_africa</v>
      </c>
      <c r="C859" s="3" t="s">
        <v>484</v>
      </c>
      <c r="D859" s="12" t="s">
        <v>62</v>
      </c>
      <c r="E859" s="3" t="s">
        <v>284</v>
      </c>
      <c r="F859" s="3" t="s">
        <v>2851</v>
      </c>
    </row>
    <row r="860" spans="1:6" x14ac:dyDescent="0.25">
      <c r="A860" s="3" t="str">
        <f t="shared" si="23"/>
        <v>q103_3_africa</v>
      </c>
      <c r="B860" s="3" t="str">
        <f t="shared" si="24"/>
        <v>_africa</v>
      </c>
      <c r="C860" s="3" t="s">
        <v>485</v>
      </c>
      <c r="D860" s="12" t="s">
        <v>62</v>
      </c>
      <c r="E860" s="3" t="s">
        <v>286</v>
      </c>
      <c r="F860" s="3" t="s">
        <v>2852</v>
      </c>
    </row>
    <row r="861" spans="1:6" x14ac:dyDescent="0.25">
      <c r="A861" s="3" t="str">
        <f t="shared" si="23"/>
        <v>q103_4_africa</v>
      </c>
      <c r="B861" s="3" t="str">
        <f t="shared" si="24"/>
        <v>_africa</v>
      </c>
      <c r="C861" s="3" t="s">
        <v>486</v>
      </c>
      <c r="D861" s="12" t="s">
        <v>62</v>
      </c>
      <c r="E861" s="3" t="s">
        <v>288</v>
      </c>
      <c r="F861" s="3" t="s">
        <v>2853</v>
      </c>
    </row>
    <row r="862" spans="1:6" x14ac:dyDescent="0.25">
      <c r="A862" s="3" t="str">
        <f t="shared" si="23"/>
        <v>q103_5_africa</v>
      </c>
      <c r="B862" s="3" t="str">
        <f t="shared" si="24"/>
        <v>_africa</v>
      </c>
      <c r="C862" s="3" t="s">
        <v>487</v>
      </c>
      <c r="D862" s="12" t="s">
        <v>62</v>
      </c>
      <c r="E862" s="3" t="s">
        <v>290</v>
      </c>
      <c r="F862" s="3" t="s">
        <v>2854</v>
      </c>
    </row>
    <row r="863" spans="1:6" x14ac:dyDescent="0.25">
      <c r="A863" s="3" t="str">
        <f t="shared" si="23"/>
        <v>q103_6_africa</v>
      </c>
      <c r="B863" s="3" t="str">
        <f t="shared" si="24"/>
        <v>_africa</v>
      </c>
      <c r="C863" s="3" t="s">
        <v>488</v>
      </c>
      <c r="D863" s="12" t="s">
        <v>62</v>
      </c>
      <c r="E863" s="3" t="s">
        <v>292</v>
      </c>
      <c r="F863" s="3" t="s">
        <v>2855</v>
      </c>
    </row>
    <row r="864" spans="1:6" x14ac:dyDescent="0.25">
      <c r="A864" s="3" t="str">
        <f t="shared" si="23"/>
        <v>q10ROW3_hidden_africa</v>
      </c>
      <c r="B864" s="3" t="str">
        <f t="shared" si="24"/>
        <v>_africa</v>
      </c>
      <c r="C864" s="3" t="s">
        <v>489</v>
      </c>
      <c r="D864" s="12" t="s">
        <v>62</v>
      </c>
      <c r="E864" s="8" t="s">
        <v>294</v>
      </c>
      <c r="F864" s="3" t="s">
        <v>2856</v>
      </c>
    </row>
    <row r="865" spans="1:6" x14ac:dyDescent="0.25">
      <c r="A865" s="3" t="str">
        <f t="shared" si="23"/>
        <v>q104_1_africa</v>
      </c>
      <c r="B865" s="3" t="str">
        <f t="shared" si="24"/>
        <v>_africa</v>
      </c>
      <c r="C865" s="3" t="s">
        <v>490</v>
      </c>
      <c r="D865" s="12" t="s">
        <v>62</v>
      </c>
      <c r="E865" s="3" t="s">
        <v>296</v>
      </c>
      <c r="F865" s="3" t="s">
        <v>2857</v>
      </c>
    </row>
    <row r="866" spans="1:6" x14ac:dyDescent="0.25">
      <c r="A866" s="3" t="str">
        <f t="shared" si="23"/>
        <v>q104_2_africa</v>
      </c>
      <c r="B866" s="3" t="str">
        <f t="shared" si="24"/>
        <v>_africa</v>
      </c>
      <c r="C866" s="3" t="s">
        <v>491</v>
      </c>
      <c r="D866" s="12" t="s">
        <v>62</v>
      </c>
      <c r="E866" s="3" t="s">
        <v>298</v>
      </c>
      <c r="F866" s="3" t="s">
        <v>2858</v>
      </c>
    </row>
    <row r="867" spans="1:6" x14ac:dyDescent="0.25">
      <c r="A867" s="3" t="str">
        <f t="shared" si="23"/>
        <v>q104_3_africa</v>
      </c>
      <c r="B867" s="3" t="str">
        <f t="shared" si="24"/>
        <v>_africa</v>
      </c>
      <c r="C867" s="3" t="s">
        <v>492</v>
      </c>
      <c r="D867" s="12" t="s">
        <v>62</v>
      </c>
      <c r="E867" s="3" t="s">
        <v>300</v>
      </c>
      <c r="F867" s="3" t="s">
        <v>2859</v>
      </c>
    </row>
    <row r="868" spans="1:6" x14ac:dyDescent="0.25">
      <c r="A868" s="3" t="str">
        <f t="shared" si="23"/>
        <v>q104_4_africa</v>
      </c>
      <c r="B868" s="3" t="str">
        <f t="shared" si="24"/>
        <v>_africa</v>
      </c>
      <c r="C868" s="3" t="s">
        <v>493</v>
      </c>
      <c r="D868" s="12" t="s">
        <v>62</v>
      </c>
      <c r="E868" s="3" t="s">
        <v>302</v>
      </c>
      <c r="F868" s="3" t="s">
        <v>2860</v>
      </c>
    </row>
    <row r="869" spans="1:6" x14ac:dyDescent="0.25">
      <c r="A869" s="3" t="str">
        <f t="shared" si="23"/>
        <v>q104_5_africa</v>
      </c>
      <c r="B869" s="3" t="str">
        <f t="shared" si="24"/>
        <v>_africa</v>
      </c>
      <c r="C869" s="3" t="s">
        <v>494</v>
      </c>
      <c r="D869" s="12" t="s">
        <v>62</v>
      </c>
      <c r="E869" s="3" t="s">
        <v>304</v>
      </c>
      <c r="F869" s="3" t="s">
        <v>2861</v>
      </c>
    </row>
    <row r="870" spans="1:6" x14ac:dyDescent="0.25">
      <c r="A870" s="3" t="str">
        <f t="shared" si="23"/>
        <v>q104_6_africa</v>
      </c>
      <c r="B870" s="3" t="str">
        <f t="shared" si="24"/>
        <v>_africa</v>
      </c>
      <c r="C870" s="3" t="s">
        <v>495</v>
      </c>
      <c r="D870" s="12" t="s">
        <v>62</v>
      </c>
      <c r="E870" s="3" t="s">
        <v>306</v>
      </c>
      <c r="F870" s="3" t="s">
        <v>2862</v>
      </c>
    </row>
    <row r="871" spans="1:6" x14ac:dyDescent="0.25">
      <c r="A871" s="3" t="str">
        <f t="shared" si="23"/>
        <v>q10ROW4_hidden_africa</v>
      </c>
      <c r="B871" s="3" t="str">
        <f t="shared" si="24"/>
        <v>_africa</v>
      </c>
      <c r="C871" s="3" t="s">
        <v>496</v>
      </c>
      <c r="D871" s="12" t="s">
        <v>62</v>
      </c>
      <c r="E871" s="8" t="s">
        <v>308</v>
      </c>
      <c r="F871" s="3" t="s">
        <v>2863</v>
      </c>
    </row>
    <row r="872" spans="1:6" x14ac:dyDescent="0.25">
      <c r="A872" s="3" t="str">
        <f t="shared" si="23"/>
        <v>q105_1_africa</v>
      </c>
      <c r="B872" s="3" t="str">
        <f t="shared" si="24"/>
        <v>_africa</v>
      </c>
      <c r="C872" s="3" t="s">
        <v>497</v>
      </c>
      <c r="D872" s="12" t="s">
        <v>62</v>
      </c>
      <c r="E872" s="3" t="s">
        <v>310</v>
      </c>
      <c r="F872" s="3" t="s">
        <v>2864</v>
      </c>
    </row>
    <row r="873" spans="1:6" x14ac:dyDescent="0.25">
      <c r="A873" s="3" t="str">
        <f t="shared" si="23"/>
        <v>q105_2_africa</v>
      </c>
      <c r="B873" s="3" t="str">
        <f t="shared" si="24"/>
        <v>_africa</v>
      </c>
      <c r="C873" s="3" t="s">
        <v>498</v>
      </c>
      <c r="D873" s="12" t="s">
        <v>62</v>
      </c>
      <c r="E873" s="3" t="s">
        <v>312</v>
      </c>
      <c r="F873" s="3" t="s">
        <v>2865</v>
      </c>
    </row>
    <row r="874" spans="1:6" x14ac:dyDescent="0.25">
      <c r="A874" s="3" t="str">
        <f t="shared" si="23"/>
        <v>q105_3_africa</v>
      </c>
      <c r="B874" s="3" t="str">
        <f t="shared" si="24"/>
        <v>_africa</v>
      </c>
      <c r="C874" s="3" t="s">
        <v>499</v>
      </c>
      <c r="D874" s="12" t="s">
        <v>62</v>
      </c>
      <c r="E874" s="3" t="s">
        <v>314</v>
      </c>
      <c r="F874" s="3" t="s">
        <v>2866</v>
      </c>
    </row>
    <row r="875" spans="1:6" x14ac:dyDescent="0.25">
      <c r="A875" s="3" t="str">
        <f t="shared" si="23"/>
        <v>q105_4_africa</v>
      </c>
      <c r="B875" s="3" t="str">
        <f t="shared" si="24"/>
        <v>_africa</v>
      </c>
      <c r="C875" s="3" t="s">
        <v>500</v>
      </c>
      <c r="D875" s="12" t="s">
        <v>62</v>
      </c>
      <c r="E875" s="3" t="s">
        <v>316</v>
      </c>
      <c r="F875" s="3" t="s">
        <v>2867</v>
      </c>
    </row>
    <row r="876" spans="1:6" x14ac:dyDescent="0.25">
      <c r="A876" s="3" t="str">
        <f t="shared" si="23"/>
        <v>q105_5_africa</v>
      </c>
      <c r="B876" s="3" t="str">
        <f t="shared" si="24"/>
        <v>_africa</v>
      </c>
      <c r="C876" s="3" t="s">
        <v>501</v>
      </c>
      <c r="D876" s="12" t="s">
        <v>62</v>
      </c>
      <c r="E876" s="3" t="s">
        <v>318</v>
      </c>
      <c r="F876" s="3" t="s">
        <v>2868</v>
      </c>
    </row>
    <row r="877" spans="1:6" x14ac:dyDescent="0.25">
      <c r="A877" s="3" t="str">
        <f t="shared" si="23"/>
        <v>q105_6_africa</v>
      </c>
      <c r="B877" s="3" t="str">
        <f t="shared" si="24"/>
        <v>_africa</v>
      </c>
      <c r="C877" s="3" t="s">
        <v>502</v>
      </c>
      <c r="D877" s="12" t="s">
        <v>62</v>
      </c>
      <c r="E877" s="3" t="s">
        <v>320</v>
      </c>
      <c r="F877" s="3" t="s">
        <v>2869</v>
      </c>
    </row>
    <row r="878" spans="1:6" x14ac:dyDescent="0.25">
      <c r="A878" s="3" t="str">
        <f t="shared" si="23"/>
        <v>q10ROW5_hidden_africa</v>
      </c>
      <c r="B878" s="3" t="str">
        <f t="shared" si="24"/>
        <v>_africa</v>
      </c>
      <c r="C878" s="3" t="s">
        <v>503</v>
      </c>
      <c r="D878" s="12" t="s">
        <v>62</v>
      </c>
      <c r="E878" s="8" t="s">
        <v>322</v>
      </c>
      <c r="F878" s="3" t="s">
        <v>2870</v>
      </c>
    </row>
    <row r="879" spans="1:6" x14ac:dyDescent="0.25">
      <c r="A879" s="3" t="str">
        <f t="shared" si="23"/>
        <v>q106_1_africa</v>
      </c>
      <c r="B879" s="3" t="str">
        <f t="shared" si="24"/>
        <v>_africa</v>
      </c>
      <c r="C879" s="3" t="s">
        <v>504</v>
      </c>
      <c r="D879" s="12" t="s">
        <v>62</v>
      </c>
      <c r="E879" s="3" t="s">
        <v>324</v>
      </c>
      <c r="F879" s="3" t="s">
        <v>2871</v>
      </c>
    </row>
    <row r="880" spans="1:6" x14ac:dyDescent="0.25">
      <c r="A880" s="3" t="str">
        <f t="shared" si="23"/>
        <v>q106_2_africa</v>
      </c>
      <c r="B880" s="3" t="str">
        <f t="shared" si="24"/>
        <v>_africa</v>
      </c>
      <c r="C880" s="3" t="s">
        <v>505</v>
      </c>
      <c r="D880" s="12" t="s">
        <v>62</v>
      </c>
      <c r="E880" s="3" t="s">
        <v>326</v>
      </c>
      <c r="F880" s="3" t="s">
        <v>2872</v>
      </c>
    </row>
    <row r="881" spans="1:6" x14ac:dyDescent="0.25">
      <c r="A881" s="3" t="str">
        <f t="shared" si="23"/>
        <v>q106_3_africa</v>
      </c>
      <c r="B881" s="3" t="str">
        <f t="shared" si="24"/>
        <v>_africa</v>
      </c>
      <c r="C881" s="3" t="s">
        <v>506</v>
      </c>
      <c r="D881" s="12" t="s">
        <v>62</v>
      </c>
      <c r="E881" s="3" t="s">
        <v>328</v>
      </c>
      <c r="F881" s="3" t="s">
        <v>2873</v>
      </c>
    </row>
    <row r="882" spans="1:6" x14ac:dyDescent="0.25">
      <c r="A882" s="3" t="str">
        <f t="shared" si="23"/>
        <v>q106_4_africa</v>
      </c>
      <c r="B882" s="3" t="str">
        <f t="shared" si="24"/>
        <v>_africa</v>
      </c>
      <c r="C882" s="3" t="s">
        <v>507</v>
      </c>
      <c r="D882" s="12" t="s">
        <v>62</v>
      </c>
      <c r="E882" s="3" t="s">
        <v>330</v>
      </c>
      <c r="F882" s="3" t="s">
        <v>2874</v>
      </c>
    </row>
    <row r="883" spans="1:6" x14ac:dyDescent="0.25">
      <c r="A883" s="3" t="str">
        <f t="shared" si="23"/>
        <v>q106_5_africa</v>
      </c>
      <c r="B883" s="3" t="str">
        <f t="shared" si="24"/>
        <v>_africa</v>
      </c>
      <c r="C883" s="3" t="s">
        <v>508</v>
      </c>
      <c r="D883" s="12" t="s">
        <v>62</v>
      </c>
      <c r="E883" s="3" t="s">
        <v>332</v>
      </c>
      <c r="F883" s="3" t="s">
        <v>2875</v>
      </c>
    </row>
    <row r="884" spans="1:6" x14ac:dyDescent="0.25">
      <c r="A884" s="3" t="str">
        <f t="shared" si="23"/>
        <v>q106_6_africa</v>
      </c>
      <c r="B884" s="3" t="str">
        <f t="shared" si="24"/>
        <v>_africa</v>
      </c>
      <c r="C884" s="3" t="s">
        <v>509</v>
      </c>
      <c r="D884" s="12" t="s">
        <v>62</v>
      </c>
      <c r="E884" s="3" t="s">
        <v>334</v>
      </c>
      <c r="F884" s="3" t="s">
        <v>2876</v>
      </c>
    </row>
    <row r="885" spans="1:6" x14ac:dyDescent="0.25">
      <c r="A885" s="3" t="str">
        <f t="shared" si="23"/>
        <v>q10ROW6_hidden_africa</v>
      </c>
      <c r="B885" s="3" t="str">
        <f t="shared" si="24"/>
        <v>_africa</v>
      </c>
      <c r="C885" s="3" t="s">
        <v>510</v>
      </c>
      <c r="D885" s="12" t="s">
        <v>62</v>
      </c>
      <c r="E885" s="8" t="s">
        <v>162</v>
      </c>
      <c r="F885" s="3" t="s">
        <v>2877</v>
      </c>
    </row>
    <row r="886" spans="1:6" x14ac:dyDescent="0.25">
      <c r="A886" s="3" t="str">
        <f t="shared" si="23"/>
        <v>q107_1_africa</v>
      </c>
      <c r="B886" s="3" t="str">
        <f t="shared" si="24"/>
        <v>_africa</v>
      </c>
      <c r="C886" s="3" t="s">
        <v>511</v>
      </c>
      <c r="D886" s="12" t="s">
        <v>62</v>
      </c>
      <c r="E886" s="3" t="s">
        <v>337</v>
      </c>
      <c r="F886" s="3" t="s">
        <v>2878</v>
      </c>
    </row>
    <row r="887" spans="1:6" x14ac:dyDescent="0.25">
      <c r="A887" s="3" t="str">
        <f t="shared" si="23"/>
        <v>q107_2_africa</v>
      </c>
      <c r="B887" s="3" t="str">
        <f t="shared" si="24"/>
        <v>_africa</v>
      </c>
      <c r="C887" s="3" t="s">
        <v>512</v>
      </c>
      <c r="D887" s="12" t="s">
        <v>62</v>
      </c>
      <c r="E887" s="3" t="s">
        <v>339</v>
      </c>
      <c r="F887" s="3" t="s">
        <v>2879</v>
      </c>
    </row>
    <row r="888" spans="1:6" x14ac:dyDescent="0.25">
      <c r="A888" s="3" t="str">
        <f t="shared" si="23"/>
        <v>q107_3_africa</v>
      </c>
      <c r="B888" s="3" t="str">
        <f t="shared" si="24"/>
        <v>_africa</v>
      </c>
      <c r="C888" s="3" t="s">
        <v>513</v>
      </c>
      <c r="D888" s="12" t="s">
        <v>62</v>
      </c>
      <c r="E888" s="3" t="s">
        <v>341</v>
      </c>
      <c r="F888" s="3" t="s">
        <v>2880</v>
      </c>
    </row>
    <row r="889" spans="1:6" x14ac:dyDescent="0.25">
      <c r="A889" s="3" t="str">
        <f t="shared" si="23"/>
        <v>q107_4_africa</v>
      </c>
      <c r="B889" s="3" t="str">
        <f t="shared" si="24"/>
        <v>_africa</v>
      </c>
      <c r="C889" s="3" t="s">
        <v>514</v>
      </c>
      <c r="D889" s="12" t="s">
        <v>62</v>
      </c>
      <c r="E889" s="3" t="s">
        <v>343</v>
      </c>
      <c r="F889" s="3" t="s">
        <v>2881</v>
      </c>
    </row>
    <row r="890" spans="1:6" x14ac:dyDescent="0.25">
      <c r="A890" s="3" t="str">
        <f t="shared" si="23"/>
        <v>q107_5_africa</v>
      </c>
      <c r="B890" s="3" t="str">
        <f t="shared" si="24"/>
        <v>_africa</v>
      </c>
      <c r="C890" s="3" t="s">
        <v>515</v>
      </c>
      <c r="D890" s="12" t="s">
        <v>62</v>
      </c>
      <c r="E890" s="3" t="s">
        <v>345</v>
      </c>
      <c r="F890" s="3" t="s">
        <v>2882</v>
      </c>
    </row>
    <row r="891" spans="1:6" x14ac:dyDescent="0.25">
      <c r="A891" s="3" t="str">
        <f t="shared" si="23"/>
        <v>q107_6_africa</v>
      </c>
      <c r="B891" s="3" t="str">
        <f t="shared" si="24"/>
        <v>_africa</v>
      </c>
      <c r="C891" s="3" t="s">
        <v>516</v>
      </c>
      <c r="D891" s="12" t="s">
        <v>62</v>
      </c>
      <c r="E891" s="3" t="s">
        <v>347</v>
      </c>
      <c r="F891" s="3" t="s">
        <v>2883</v>
      </c>
    </row>
    <row r="892" spans="1:6" x14ac:dyDescent="0.25">
      <c r="A892" s="3" t="str">
        <f t="shared" si="23"/>
        <v>q10ROW7_hidden_africa</v>
      </c>
      <c r="B892" s="3" t="str">
        <f t="shared" si="24"/>
        <v>_africa</v>
      </c>
      <c r="C892" s="3" t="s">
        <v>517</v>
      </c>
      <c r="D892" s="12" t="s">
        <v>62</v>
      </c>
      <c r="E892" s="8" t="s">
        <v>349</v>
      </c>
      <c r="F892" s="3" t="s">
        <v>2884</v>
      </c>
    </row>
    <row r="893" spans="1:6" x14ac:dyDescent="0.25">
      <c r="A893" s="3" t="str">
        <f t="shared" si="23"/>
        <v>q10other_africa</v>
      </c>
      <c r="B893" s="3" t="str">
        <f t="shared" si="24"/>
        <v>_africa</v>
      </c>
      <c r="C893" s="3" t="s">
        <v>518</v>
      </c>
      <c r="D893" s="12" t="s">
        <v>38</v>
      </c>
      <c r="E893" s="3" t="s">
        <v>351</v>
      </c>
      <c r="F893" s="3" t="s">
        <v>2885</v>
      </c>
    </row>
    <row r="894" spans="1:6" x14ac:dyDescent="0.25">
      <c r="A894" s="3" t="str">
        <f t="shared" si="23"/>
        <v>q108_1_africa</v>
      </c>
      <c r="B894" s="3" t="str">
        <f t="shared" si="24"/>
        <v>_africa</v>
      </c>
      <c r="C894" s="3" t="s">
        <v>519</v>
      </c>
      <c r="D894" s="12" t="s">
        <v>62</v>
      </c>
      <c r="E894" s="3" t="s">
        <v>353</v>
      </c>
      <c r="F894" s="3" t="s">
        <v>2886</v>
      </c>
    </row>
    <row r="895" spans="1:6" x14ac:dyDescent="0.25">
      <c r="A895" s="3" t="str">
        <f t="shared" si="23"/>
        <v>q108_2_africa</v>
      </c>
      <c r="B895" s="3" t="str">
        <f t="shared" si="24"/>
        <v>_africa</v>
      </c>
      <c r="C895" s="3" t="s">
        <v>520</v>
      </c>
      <c r="D895" s="12" t="s">
        <v>62</v>
      </c>
      <c r="E895" s="3" t="s">
        <v>355</v>
      </c>
      <c r="F895" s="3" t="s">
        <v>2887</v>
      </c>
    </row>
    <row r="896" spans="1:6" x14ac:dyDescent="0.25">
      <c r="A896" s="3" t="str">
        <f t="shared" si="23"/>
        <v>q108_3_africa</v>
      </c>
      <c r="B896" s="3" t="str">
        <f t="shared" si="24"/>
        <v>_africa</v>
      </c>
      <c r="C896" s="3" t="s">
        <v>521</v>
      </c>
      <c r="D896" s="12" t="s">
        <v>62</v>
      </c>
      <c r="E896" s="3" t="s">
        <v>357</v>
      </c>
      <c r="F896" s="3" t="s">
        <v>2888</v>
      </c>
    </row>
    <row r="897" spans="1:6" x14ac:dyDescent="0.25">
      <c r="A897" s="3" t="str">
        <f t="shared" si="23"/>
        <v>q108_4_africa</v>
      </c>
      <c r="B897" s="3" t="str">
        <f t="shared" si="24"/>
        <v>_africa</v>
      </c>
      <c r="C897" s="3" t="s">
        <v>522</v>
      </c>
      <c r="D897" s="12" t="s">
        <v>62</v>
      </c>
      <c r="E897" s="3" t="s">
        <v>359</v>
      </c>
      <c r="F897" s="3" t="s">
        <v>2889</v>
      </c>
    </row>
    <row r="898" spans="1:6" x14ac:dyDescent="0.25">
      <c r="A898" s="3" t="str">
        <f t="shared" si="23"/>
        <v>q108_5_africa</v>
      </c>
      <c r="B898" s="3" t="str">
        <f t="shared" si="24"/>
        <v>_africa</v>
      </c>
      <c r="C898" s="3" t="s">
        <v>523</v>
      </c>
      <c r="D898" s="12" t="s">
        <v>62</v>
      </c>
      <c r="E898" s="3" t="s">
        <v>361</v>
      </c>
      <c r="F898" s="3" t="s">
        <v>2890</v>
      </c>
    </row>
    <row r="899" spans="1:6" x14ac:dyDescent="0.25">
      <c r="A899" s="3" t="str">
        <f t="shared" ref="A899:A950" si="25">_xlfn.CONCAT(C899,B899)</f>
        <v>q108_6_africa</v>
      </c>
      <c r="B899" s="3" t="str">
        <f t="shared" si="24"/>
        <v>_africa</v>
      </c>
      <c r="C899" s="3" t="s">
        <v>524</v>
      </c>
      <c r="D899" s="12" t="s">
        <v>62</v>
      </c>
      <c r="E899" s="3" t="s">
        <v>363</v>
      </c>
      <c r="F899" s="3" t="s">
        <v>2891</v>
      </c>
    </row>
    <row r="900" spans="1:6" x14ac:dyDescent="0.25">
      <c r="A900" s="3" t="str">
        <f t="shared" si="25"/>
        <v>q10ROW8_hidden_africa</v>
      </c>
      <c r="B900" s="3" t="str">
        <f t="shared" si="24"/>
        <v>_africa</v>
      </c>
      <c r="C900" s="3" t="s">
        <v>525</v>
      </c>
      <c r="D900" s="12" t="s">
        <v>62</v>
      </c>
      <c r="E900" s="8" t="s">
        <v>365</v>
      </c>
      <c r="F900" s="3" t="s">
        <v>2892</v>
      </c>
    </row>
    <row r="901" spans="1:6" x14ac:dyDescent="0.25">
      <c r="A901" s="3" t="str">
        <f t="shared" si="25"/>
        <v>q10COL1_hidden_africa</v>
      </c>
      <c r="B901" s="3" t="str">
        <f t="shared" si="24"/>
        <v>_africa</v>
      </c>
      <c r="C901" s="3" t="s">
        <v>526</v>
      </c>
      <c r="D901" s="12" t="s">
        <v>62</v>
      </c>
      <c r="E901" s="8" t="s">
        <v>154</v>
      </c>
      <c r="F901" s="3" t="s">
        <v>2893</v>
      </c>
    </row>
    <row r="902" spans="1:6" x14ac:dyDescent="0.25">
      <c r="A902" s="3" t="str">
        <f t="shared" si="25"/>
        <v>q10COL2_hidden_africa</v>
      </c>
      <c r="B902" s="3" t="str">
        <f t="shared" si="24"/>
        <v>_africa</v>
      </c>
      <c r="C902" s="3" t="s">
        <v>527</v>
      </c>
      <c r="D902" s="12" t="s">
        <v>62</v>
      </c>
      <c r="E902" s="8" t="s">
        <v>156</v>
      </c>
      <c r="F902" s="3" t="s">
        <v>2894</v>
      </c>
    </row>
    <row r="903" spans="1:6" x14ac:dyDescent="0.25">
      <c r="A903" s="3" t="str">
        <f t="shared" si="25"/>
        <v>q10COL3_hidden_africa</v>
      </c>
      <c r="B903" s="3" t="str">
        <f t="shared" si="24"/>
        <v>_africa</v>
      </c>
      <c r="C903" s="3" t="s">
        <v>528</v>
      </c>
      <c r="D903" s="12" t="s">
        <v>62</v>
      </c>
      <c r="E903" s="8" t="s">
        <v>158</v>
      </c>
      <c r="F903" s="3" t="s">
        <v>2895</v>
      </c>
    </row>
    <row r="904" spans="1:6" x14ac:dyDescent="0.25">
      <c r="A904" s="3" t="str">
        <f t="shared" si="25"/>
        <v>q10COL4_hidden_africa</v>
      </c>
      <c r="B904" s="3" t="str">
        <f t="shared" si="24"/>
        <v>_africa</v>
      </c>
      <c r="C904" s="3" t="s">
        <v>529</v>
      </c>
      <c r="D904" s="12" t="s">
        <v>62</v>
      </c>
      <c r="E904" s="8" t="s">
        <v>160</v>
      </c>
      <c r="F904" s="3" t="s">
        <v>2896</v>
      </c>
    </row>
    <row r="905" spans="1:6" x14ac:dyDescent="0.25">
      <c r="A905" s="3" t="str">
        <f t="shared" si="25"/>
        <v>q10COL5_hidden_africa</v>
      </c>
      <c r="B905" s="3" t="str">
        <f t="shared" si="24"/>
        <v>_africa</v>
      </c>
      <c r="C905" s="3" t="s">
        <v>530</v>
      </c>
      <c r="D905" s="12" t="s">
        <v>62</v>
      </c>
      <c r="E905" s="8" t="s">
        <v>162</v>
      </c>
      <c r="F905" s="3" t="s">
        <v>2897</v>
      </c>
    </row>
    <row r="906" spans="1:6" x14ac:dyDescent="0.25">
      <c r="A906" s="3" t="str">
        <f t="shared" si="25"/>
        <v>q10COL6_hidden_africa</v>
      </c>
      <c r="B906" s="3" t="str">
        <f t="shared" si="24"/>
        <v>_africa</v>
      </c>
      <c r="C906" s="3" t="s">
        <v>531</v>
      </c>
      <c r="D906" s="12" t="s">
        <v>62</v>
      </c>
      <c r="E906" s="8" t="s">
        <v>164</v>
      </c>
      <c r="F906" s="3" t="s">
        <v>2898</v>
      </c>
    </row>
    <row r="907" spans="1:6" x14ac:dyDescent="0.25">
      <c r="A907" s="3" t="str">
        <f t="shared" si="25"/>
        <v>q10GRANDTotal_hidden_africa</v>
      </c>
      <c r="B907" s="3" t="str">
        <f t="shared" si="24"/>
        <v>_africa</v>
      </c>
      <c r="C907" s="3" t="s">
        <v>532</v>
      </c>
      <c r="D907" s="12" t="s">
        <v>62</v>
      </c>
      <c r="E907" s="8" t="s">
        <v>533</v>
      </c>
      <c r="F907" s="3" t="s">
        <v>2899</v>
      </c>
    </row>
    <row r="908" spans="1:6" x14ac:dyDescent="0.25">
      <c r="A908" s="3" t="str">
        <f t="shared" si="25"/>
        <v>_africa</v>
      </c>
      <c r="B908" s="3" t="str">
        <f t="shared" ref="B908:B950" si="26">B907</f>
        <v>_africa</v>
      </c>
      <c r="C908" s="6"/>
      <c r="D908" s="6"/>
      <c r="E908" s="9" t="s">
        <v>2961</v>
      </c>
      <c r="F908" s="3">
        <v>25</v>
      </c>
    </row>
    <row r="909" spans="1:6" x14ac:dyDescent="0.25">
      <c r="A909" s="3" t="str">
        <f t="shared" si="25"/>
        <v>q111_1_africa</v>
      </c>
      <c r="B909" s="3" t="str">
        <f t="shared" si="26"/>
        <v>_africa</v>
      </c>
      <c r="C909" s="3" t="s">
        <v>534</v>
      </c>
      <c r="D909" s="12" t="s">
        <v>62</v>
      </c>
      <c r="E909" s="3" t="s">
        <v>388</v>
      </c>
      <c r="F909" s="3" t="s">
        <v>2900</v>
      </c>
    </row>
    <row r="910" spans="1:6" x14ac:dyDescent="0.25">
      <c r="A910" s="3" t="str">
        <f t="shared" si="25"/>
        <v>q111_2_africa</v>
      </c>
      <c r="B910" s="3" t="str">
        <f t="shared" si="26"/>
        <v>_africa</v>
      </c>
      <c r="C910" s="3" t="s">
        <v>535</v>
      </c>
      <c r="D910" s="12" t="s">
        <v>62</v>
      </c>
      <c r="E910" s="3" t="s">
        <v>390</v>
      </c>
      <c r="F910" s="3" t="s">
        <v>2901</v>
      </c>
    </row>
    <row r="911" spans="1:6" x14ac:dyDescent="0.25">
      <c r="A911" s="3" t="str">
        <f t="shared" si="25"/>
        <v>q111_3_africa</v>
      </c>
      <c r="B911" s="3" t="str">
        <f t="shared" si="26"/>
        <v>_africa</v>
      </c>
      <c r="C911" s="3" t="s">
        <v>536</v>
      </c>
      <c r="D911" s="12" t="s">
        <v>62</v>
      </c>
      <c r="E911" s="3" t="s">
        <v>392</v>
      </c>
      <c r="F911" s="3" t="s">
        <v>2902</v>
      </c>
    </row>
    <row r="912" spans="1:6" x14ac:dyDescent="0.25">
      <c r="A912" s="3" t="str">
        <f t="shared" si="25"/>
        <v>q111_4_africa</v>
      </c>
      <c r="B912" s="3" t="str">
        <f t="shared" si="26"/>
        <v>_africa</v>
      </c>
      <c r="C912" s="3" t="s">
        <v>537</v>
      </c>
      <c r="D912" s="12" t="s">
        <v>62</v>
      </c>
      <c r="E912" s="3" t="s">
        <v>394</v>
      </c>
      <c r="F912" s="3" t="s">
        <v>2903</v>
      </c>
    </row>
    <row r="913" spans="1:6" x14ac:dyDescent="0.25">
      <c r="A913" s="3" t="str">
        <f t="shared" si="25"/>
        <v>q111_5_africa</v>
      </c>
      <c r="B913" s="3" t="str">
        <f t="shared" si="26"/>
        <v>_africa</v>
      </c>
      <c r="C913" s="3" t="s">
        <v>538</v>
      </c>
      <c r="D913" s="12" t="s">
        <v>62</v>
      </c>
      <c r="E913" s="3" t="s">
        <v>396</v>
      </c>
      <c r="F913" s="3" t="s">
        <v>2904</v>
      </c>
    </row>
    <row r="914" spans="1:6" x14ac:dyDescent="0.25">
      <c r="A914" s="3" t="str">
        <f t="shared" si="25"/>
        <v>q111_6_africa</v>
      </c>
      <c r="B914" s="3" t="str">
        <f t="shared" si="26"/>
        <v>_africa</v>
      </c>
      <c r="C914" s="3" t="s">
        <v>539</v>
      </c>
      <c r="D914" s="12" t="s">
        <v>62</v>
      </c>
      <c r="E914" s="3" t="s">
        <v>398</v>
      </c>
      <c r="F914" s="3" t="s">
        <v>2905</v>
      </c>
    </row>
    <row r="915" spans="1:6" x14ac:dyDescent="0.25">
      <c r="A915" s="3" t="str">
        <f t="shared" si="25"/>
        <v>q11ROW1_hidden_africa</v>
      </c>
      <c r="B915" s="3" t="str">
        <f t="shared" si="26"/>
        <v>_africa</v>
      </c>
      <c r="C915" s="3" t="s">
        <v>540</v>
      </c>
      <c r="D915" s="12" t="s">
        <v>62</v>
      </c>
      <c r="E915" s="8" t="s">
        <v>541</v>
      </c>
      <c r="F915" s="3" t="s">
        <v>2906</v>
      </c>
    </row>
    <row r="916" spans="1:6" x14ac:dyDescent="0.25">
      <c r="A916" s="3" t="str">
        <f t="shared" si="25"/>
        <v>q112_1_africa</v>
      </c>
      <c r="B916" s="3" t="str">
        <f t="shared" si="26"/>
        <v>_africa</v>
      </c>
      <c r="C916" s="3" t="s">
        <v>542</v>
      </c>
      <c r="D916" s="12" t="s">
        <v>62</v>
      </c>
      <c r="E916" s="3" t="s">
        <v>374</v>
      </c>
      <c r="F916" s="3" t="s">
        <v>2907</v>
      </c>
    </row>
    <row r="917" spans="1:6" x14ac:dyDescent="0.25">
      <c r="A917" s="3" t="str">
        <f t="shared" si="25"/>
        <v>q112_2_africa</v>
      </c>
      <c r="B917" s="3" t="str">
        <f t="shared" si="26"/>
        <v>_africa</v>
      </c>
      <c r="C917" s="3" t="s">
        <v>543</v>
      </c>
      <c r="D917" s="12" t="s">
        <v>62</v>
      </c>
      <c r="E917" s="3" t="s">
        <v>376</v>
      </c>
      <c r="F917" s="3" t="s">
        <v>2908</v>
      </c>
    </row>
    <row r="918" spans="1:6" x14ac:dyDescent="0.25">
      <c r="A918" s="3" t="str">
        <f t="shared" si="25"/>
        <v>q112_3_africa</v>
      </c>
      <c r="B918" s="3" t="str">
        <f t="shared" si="26"/>
        <v>_africa</v>
      </c>
      <c r="C918" s="3" t="s">
        <v>544</v>
      </c>
      <c r="D918" s="12" t="s">
        <v>62</v>
      </c>
      <c r="E918" s="3" t="s">
        <v>378</v>
      </c>
      <c r="F918" s="3" t="s">
        <v>2909</v>
      </c>
    </row>
    <row r="919" spans="1:6" x14ac:dyDescent="0.25">
      <c r="A919" s="3" t="str">
        <f t="shared" si="25"/>
        <v>q112_4_africa</v>
      </c>
      <c r="B919" s="3" t="str">
        <f t="shared" si="26"/>
        <v>_africa</v>
      </c>
      <c r="C919" s="3" t="s">
        <v>545</v>
      </c>
      <c r="D919" s="12" t="s">
        <v>62</v>
      </c>
      <c r="E919" s="3" t="s">
        <v>380</v>
      </c>
      <c r="F919" s="3" t="s">
        <v>2910</v>
      </c>
    </row>
    <row r="920" spans="1:6" x14ac:dyDescent="0.25">
      <c r="A920" s="3" t="str">
        <f t="shared" si="25"/>
        <v>q112_5_africa</v>
      </c>
      <c r="B920" s="3" t="str">
        <f t="shared" si="26"/>
        <v>_africa</v>
      </c>
      <c r="C920" s="3" t="s">
        <v>546</v>
      </c>
      <c r="D920" s="12" t="s">
        <v>62</v>
      </c>
      <c r="E920" s="3" t="s">
        <v>382</v>
      </c>
      <c r="F920" s="3" t="s">
        <v>2911</v>
      </c>
    </row>
    <row r="921" spans="1:6" x14ac:dyDescent="0.25">
      <c r="A921" s="3" t="str">
        <f t="shared" si="25"/>
        <v>q112_6_africa</v>
      </c>
      <c r="B921" s="3" t="str">
        <f t="shared" si="26"/>
        <v>_africa</v>
      </c>
      <c r="C921" s="3" t="s">
        <v>547</v>
      </c>
      <c r="D921" s="12" t="s">
        <v>62</v>
      </c>
      <c r="E921" s="3" t="s">
        <v>384</v>
      </c>
      <c r="F921" s="3" t="s">
        <v>2912</v>
      </c>
    </row>
    <row r="922" spans="1:6" x14ac:dyDescent="0.25">
      <c r="A922" s="3" t="str">
        <f t="shared" si="25"/>
        <v>q11ROW2_hidden_africa</v>
      </c>
      <c r="B922" s="3" t="str">
        <f t="shared" si="26"/>
        <v>_africa</v>
      </c>
      <c r="C922" s="3" t="s">
        <v>548</v>
      </c>
      <c r="D922" s="12" t="s">
        <v>62</v>
      </c>
      <c r="E922" s="8" t="s">
        <v>549</v>
      </c>
      <c r="F922" s="3" t="s">
        <v>2913</v>
      </c>
    </row>
    <row r="923" spans="1:6" x14ac:dyDescent="0.25">
      <c r="A923" s="3" t="str">
        <f t="shared" si="25"/>
        <v>q113_1_africa</v>
      </c>
      <c r="B923" s="3" t="str">
        <f t="shared" si="26"/>
        <v>_africa</v>
      </c>
      <c r="C923" s="3" t="s">
        <v>550</v>
      </c>
      <c r="D923" s="12" t="s">
        <v>62</v>
      </c>
      <c r="E923" s="3" t="s">
        <v>402</v>
      </c>
      <c r="F923" s="3" t="s">
        <v>2914</v>
      </c>
    </row>
    <row r="924" spans="1:6" x14ac:dyDescent="0.25">
      <c r="A924" s="3" t="str">
        <f t="shared" si="25"/>
        <v>q113_2_africa</v>
      </c>
      <c r="B924" s="3" t="str">
        <f t="shared" si="26"/>
        <v>_africa</v>
      </c>
      <c r="C924" s="3" t="s">
        <v>551</v>
      </c>
      <c r="D924" s="12" t="s">
        <v>62</v>
      </c>
      <c r="E924" s="3" t="s">
        <v>404</v>
      </c>
      <c r="F924" s="3" t="s">
        <v>2915</v>
      </c>
    </row>
    <row r="925" spans="1:6" x14ac:dyDescent="0.25">
      <c r="A925" s="3" t="str">
        <f t="shared" si="25"/>
        <v>q113_3_africa</v>
      </c>
      <c r="B925" s="3" t="str">
        <f t="shared" si="26"/>
        <v>_africa</v>
      </c>
      <c r="C925" s="3" t="s">
        <v>552</v>
      </c>
      <c r="D925" s="12" t="s">
        <v>62</v>
      </c>
      <c r="E925" s="3" t="s">
        <v>406</v>
      </c>
      <c r="F925" s="3" t="s">
        <v>2916</v>
      </c>
    </row>
    <row r="926" spans="1:6" x14ac:dyDescent="0.25">
      <c r="A926" s="3" t="str">
        <f t="shared" si="25"/>
        <v>q113_4_africa</v>
      </c>
      <c r="B926" s="3" t="str">
        <f t="shared" si="26"/>
        <v>_africa</v>
      </c>
      <c r="C926" s="3" t="s">
        <v>553</v>
      </c>
      <c r="D926" s="12" t="s">
        <v>62</v>
      </c>
      <c r="E926" s="3" t="s">
        <v>408</v>
      </c>
      <c r="F926" s="3" t="s">
        <v>2917</v>
      </c>
    </row>
    <row r="927" spans="1:6" x14ac:dyDescent="0.25">
      <c r="A927" s="3" t="str">
        <f t="shared" si="25"/>
        <v>q113_5_africa</v>
      </c>
      <c r="B927" s="3" t="str">
        <f t="shared" si="26"/>
        <v>_africa</v>
      </c>
      <c r="C927" s="3" t="s">
        <v>554</v>
      </c>
      <c r="D927" s="12" t="s">
        <v>62</v>
      </c>
      <c r="E927" s="3" t="s">
        <v>410</v>
      </c>
      <c r="F927" s="3" t="s">
        <v>2918</v>
      </c>
    </row>
    <row r="928" spans="1:6" x14ac:dyDescent="0.25">
      <c r="A928" s="3" t="str">
        <f t="shared" si="25"/>
        <v>q113_6_africa</v>
      </c>
      <c r="B928" s="3" t="str">
        <f t="shared" si="26"/>
        <v>_africa</v>
      </c>
      <c r="C928" s="3" t="s">
        <v>555</v>
      </c>
      <c r="D928" s="12" t="s">
        <v>62</v>
      </c>
      <c r="E928" s="3" t="s">
        <v>412</v>
      </c>
      <c r="F928" s="3" t="s">
        <v>2919</v>
      </c>
    </row>
    <row r="929" spans="1:6" x14ac:dyDescent="0.25">
      <c r="A929" s="3" t="str">
        <f t="shared" si="25"/>
        <v>q11ROW3_hidden_africa</v>
      </c>
      <c r="B929" s="3" t="str">
        <f t="shared" si="26"/>
        <v>_africa</v>
      </c>
      <c r="C929" s="3" t="s">
        <v>556</v>
      </c>
      <c r="D929" s="12" t="s">
        <v>62</v>
      </c>
      <c r="E929" s="8" t="s">
        <v>557</v>
      </c>
      <c r="F929" s="3" t="s">
        <v>2920</v>
      </c>
    </row>
    <row r="930" spans="1:6" x14ac:dyDescent="0.25">
      <c r="A930" s="3" t="str">
        <f t="shared" si="25"/>
        <v>q114_1_africa</v>
      </c>
      <c r="B930" s="3" t="str">
        <f t="shared" si="26"/>
        <v>_africa</v>
      </c>
      <c r="C930" s="3" t="s">
        <v>558</v>
      </c>
      <c r="D930" s="12" t="s">
        <v>62</v>
      </c>
      <c r="E930" s="3" t="s">
        <v>416</v>
      </c>
      <c r="F930" s="3" t="s">
        <v>2921</v>
      </c>
    </row>
    <row r="931" spans="1:6" x14ac:dyDescent="0.25">
      <c r="A931" s="3" t="str">
        <f t="shared" si="25"/>
        <v>q114_2_africa</v>
      </c>
      <c r="B931" s="3" t="str">
        <f t="shared" si="26"/>
        <v>_africa</v>
      </c>
      <c r="C931" s="3" t="s">
        <v>559</v>
      </c>
      <c r="D931" s="12" t="s">
        <v>62</v>
      </c>
      <c r="E931" s="3" t="s">
        <v>418</v>
      </c>
      <c r="F931" s="3" t="s">
        <v>2922</v>
      </c>
    </row>
    <row r="932" spans="1:6" x14ac:dyDescent="0.25">
      <c r="A932" s="3" t="str">
        <f t="shared" si="25"/>
        <v>q114_3_africa</v>
      </c>
      <c r="B932" s="3" t="str">
        <f t="shared" si="26"/>
        <v>_africa</v>
      </c>
      <c r="C932" s="3" t="s">
        <v>560</v>
      </c>
      <c r="D932" s="12" t="s">
        <v>62</v>
      </c>
      <c r="E932" s="3" t="s">
        <v>420</v>
      </c>
      <c r="F932" s="3" t="s">
        <v>2923</v>
      </c>
    </row>
    <row r="933" spans="1:6" x14ac:dyDescent="0.25">
      <c r="A933" s="3" t="str">
        <f t="shared" si="25"/>
        <v>q114_4_africa</v>
      </c>
      <c r="B933" s="3" t="str">
        <f t="shared" si="26"/>
        <v>_africa</v>
      </c>
      <c r="C933" s="3" t="s">
        <v>561</v>
      </c>
      <c r="D933" s="12" t="s">
        <v>62</v>
      </c>
      <c r="E933" s="3" t="s">
        <v>422</v>
      </c>
      <c r="F933" s="3" t="s">
        <v>2924</v>
      </c>
    </row>
    <row r="934" spans="1:6" x14ac:dyDescent="0.25">
      <c r="A934" s="3" t="str">
        <f t="shared" si="25"/>
        <v>q114_5_africa</v>
      </c>
      <c r="B934" s="3" t="str">
        <f t="shared" si="26"/>
        <v>_africa</v>
      </c>
      <c r="C934" s="3" t="s">
        <v>562</v>
      </c>
      <c r="D934" s="12" t="s">
        <v>62</v>
      </c>
      <c r="E934" s="3" t="s">
        <v>424</v>
      </c>
      <c r="F934" s="3" t="s">
        <v>2925</v>
      </c>
    </row>
    <row r="935" spans="1:6" x14ac:dyDescent="0.25">
      <c r="A935" s="3" t="str">
        <f t="shared" si="25"/>
        <v>q114_6_africa</v>
      </c>
      <c r="B935" s="3" t="str">
        <f t="shared" si="26"/>
        <v>_africa</v>
      </c>
      <c r="C935" s="3" t="s">
        <v>563</v>
      </c>
      <c r="D935" s="12" t="s">
        <v>62</v>
      </c>
      <c r="E935" s="3" t="s">
        <v>426</v>
      </c>
      <c r="F935" s="3" t="s">
        <v>2926</v>
      </c>
    </row>
    <row r="936" spans="1:6" x14ac:dyDescent="0.25">
      <c r="A936" s="3" t="str">
        <f t="shared" si="25"/>
        <v>q11ROW4_hidden_africa</v>
      </c>
      <c r="B936" s="3" t="str">
        <f t="shared" si="26"/>
        <v>_africa</v>
      </c>
      <c r="C936" s="3" t="s">
        <v>564</v>
      </c>
      <c r="D936" s="12" t="s">
        <v>62</v>
      </c>
      <c r="E936" s="8" t="s">
        <v>565</v>
      </c>
      <c r="F936" s="3" t="s">
        <v>2927</v>
      </c>
    </row>
    <row r="937" spans="1:6" x14ac:dyDescent="0.25">
      <c r="A937" s="3" t="str">
        <f t="shared" si="25"/>
        <v>q115_1_africa</v>
      </c>
      <c r="B937" s="3" t="str">
        <f t="shared" si="26"/>
        <v>_africa</v>
      </c>
      <c r="C937" s="3" t="s">
        <v>566</v>
      </c>
      <c r="D937" s="12" t="s">
        <v>62</v>
      </c>
      <c r="E937" s="3" t="s">
        <v>430</v>
      </c>
      <c r="F937" s="3" t="s">
        <v>2928</v>
      </c>
    </row>
    <row r="938" spans="1:6" x14ac:dyDescent="0.25">
      <c r="A938" s="3" t="str">
        <f t="shared" si="25"/>
        <v>q115_2_africa</v>
      </c>
      <c r="B938" s="3" t="str">
        <f t="shared" si="26"/>
        <v>_africa</v>
      </c>
      <c r="C938" s="3" t="s">
        <v>567</v>
      </c>
      <c r="D938" s="12" t="s">
        <v>62</v>
      </c>
      <c r="E938" s="3" t="s">
        <v>432</v>
      </c>
      <c r="F938" s="3" t="s">
        <v>2929</v>
      </c>
    </row>
    <row r="939" spans="1:6" x14ac:dyDescent="0.25">
      <c r="A939" s="3" t="str">
        <f t="shared" si="25"/>
        <v>q115_3_africa</v>
      </c>
      <c r="B939" s="3" t="str">
        <f t="shared" si="26"/>
        <v>_africa</v>
      </c>
      <c r="C939" s="3" t="s">
        <v>568</v>
      </c>
      <c r="D939" s="12" t="s">
        <v>62</v>
      </c>
      <c r="E939" s="3" t="s">
        <v>434</v>
      </c>
      <c r="F939" s="3" t="s">
        <v>2930</v>
      </c>
    </row>
    <row r="940" spans="1:6" x14ac:dyDescent="0.25">
      <c r="A940" s="3" t="str">
        <f t="shared" si="25"/>
        <v>q115_4_africa</v>
      </c>
      <c r="B940" s="3" t="str">
        <f t="shared" si="26"/>
        <v>_africa</v>
      </c>
      <c r="C940" s="3" t="s">
        <v>569</v>
      </c>
      <c r="D940" s="12" t="s">
        <v>62</v>
      </c>
      <c r="E940" s="3" t="s">
        <v>436</v>
      </c>
      <c r="F940" s="3" t="s">
        <v>2931</v>
      </c>
    </row>
    <row r="941" spans="1:6" x14ac:dyDescent="0.25">
      <c r="A941" s="3" t="str">
        <f t="shared" si="25"/>
        <v>q115_5_africa</v>
      </c>
      <c r="B941" s="3" t="str">
        <f t="shared" si="26"/>
        <v>_africa</v>
      </c>
      <c r="C941" s="3" t="s">
        <v>570</v>
      </c>
      <c r="D941" s="12" t="s">
        <v>62</v>
      </c>
      <c r="E941" s="3" t="s">
        <v>438</v>
      </c>
      <c r="F941" s="3" t="s">
        <v>2932</v>
      </c>
    </row>
    <row r="942" spans="1:6" x14ac:dyDescent="0.25">
      <c r="A942" s="3" t="str">
        <f t="shared" si="25"/>
        <v>q115_6_africa</v>
      </c>
      <c r="B942" s="3" t="str">
        <f t="shared" si="26"/>
        <v>_africa</v>
      </c>
      <c r="C942" s="3" t="s">
        <v>571</v>
      </c>
      <c r="D942" s="12" t="s">
        <v>62</v>
      </c>
      <c r="E942" s="3" t="s">
        <v>440</v>
      </c>
      <c r="F942" s="3" t="s">
        <v>2933</v>
      </c>
    </row>
    <row r="943" spans="1:6" x14ac:dyDescent="0.25">
      <c r="A943" s="3" t="str">
        <f t="shared" si="25"/>
        <v>q11ROW5_hidden_africa</v>
      </c>
      <c r="B943" s="3" t="str">
        <f t="shared" si="26"/>
        <v>_africa</v>
      </c>
      <c r="C943" s="3" t="s">
        <v>572</v>
      </c>
      <c r="D943" s="12" t="s">
        <v>62</v>
      </c>
      <c r="E943" s="8" t="s">
        <v>442</v>
      </c>
      <c r="F943" s="3" t="s">
        <v>2934</v>
      </c>
    </row>
    <row r="944" spans="1:6" x14ac:dyDescent="0.25">
      <c r="A944" s="3" t="str">
        <f t="shared" si="25"/>
        <v>q11COL1_hidden_africa</v>
      </c>
      <c r="B944" s="3" t="str">
        <f t="shared" si="26"/>
        <v>_africa</v>
      </c>
      <c r="C944" s="3" t="s">
        <v>573</v>
      </c>
      <c r="D944" s="12" t="s">
        <v>62</v>
      </c>
      <c r="E944" s="8" t="s">
        <v>154</v>
      </c>
      <c r="F944" s="3" t="s">
        <v>2935</v>
      </c>
    </row>
    <row r="945" spans="1:6" x14ac:dyDescent="0.25">
      <c r="A945" s="3" t="str">
        <f t="shared" si="25"/>
        <v>q11COL2_hidden_africa</v>
      </c>
      <c r="B945" s="3" t="str">
        <f t="shared" si="26"/>
        <v>_africa</v>
      </c>
      <c r="C945" s="3" t="s">
        <v>574</v>
      </c>
      <c r="D945" s="12" t="s">
        <v>62</v>
      </c>
      <c r="E945" s="8" t="s">
        <v>156</v>
      </c>
      <c r="F945" s="3" t="s">
        <v>2936</v>
      </c>
    </row>
    <row r="946" spans="1:6" x14ac:dyDescent="0.25">
      <c r="A946" s="3" t="str">
        <f t="shared" si="25"/>
        <v>q11COL3_hidden_africa</v>
      </c>
      <c r="B946" s="3" t="str">
        <f t="shared" si="26"/>
        <v>_africa</v>
      </c>
      <c r="C946" s="3" t="s">
        <v>575</v>
      </c>
      <c r="D946" s="12" t="s">
        <v>62</v>
      </c>
      <c r="E946" s="8" t="s">
        <v>158</v>
      </c>
      <c r="F946" s="3" t="s">
        <v>2937</v>
      </c>
    </row>
    <row r="947" spans="1:6" x14ac:dyDescent="0.25">
      <c r="A947" s="3" t="str">
        <f t="shared" si="25"/>
        <v>q11COL4_hidden_africa</v>
      </c>
      <c r="B947" s="3" t="str">
        <f t="shared" si="26"/>
        <v>_africa</v>
      </c>
      <c r="C947" s="3" t="s">
        <v>576</v>
      </c>
      <c r="D947" s="12" t="s">
        <v>62</v>
      </c>
      <c r="E947" s="8" t="s">
        <v>160</v>
      </c>
      <c r="F947" s="3" t="s">
        <v>2938</v>
      </c>
    </row>
    <row r="948" spans="1:6" x14ac:dyDescent="0.25">
      <c r="A948" s="3" t="str">
        <f t="shared" si="25"/>
        <v>q11COL5_hidden_africa</v>
      </c>
      <c r="B948" s="3" t="str">
        <f t="shared" si="26"/>
        <v>_africa</v>
      </c>
      <c r="C948" s="3" t="s">
        <v>577</v>
      </c>
      <c r="D948" s="12" t="s">
        <v>62</v>
      </c>
      <c r="E948" s="8" t="s">
        <v>162</v>
      </c>
      <c r="F948" s="3" t="s">
        <v>2939</v>
      </c>
    </row>
    <row r="949" spans="1:6" x14ac:dyDescent="0.25">
      <c r="A949" s="3" t="str">
        <f t="shared" si="25"/>
        <v>q11COL6_hidden_africa</v>
      </c>
      <c r="B949" s="3" t="str">
        <f t="shared" si="26"/>
        <v>_africa</v>
      </c>
      <c r="C949" s="3" t="s">
        <v>578</v>
      </c>
      <c r="D949" s="12" t="s">
        <v>62</v>
      </c>
      <c r="E949" s="8" t="s">
        <v>164</v>
      </c>
      <c r="F949" s="3" t="s">
        <v>2940</v>
      </c>
    </row>
    <row r="950" spans="1:6" x14ac:dyDescent="0.25">
      <c r="A950" s="3" t="str">
        <f t="shared" si="25"/>
        <v>q11GRANDTotal_hidden_africa</v>
      </c>
      <c r="B950" s="3" t="str">
        <f t="shared" si="26"/>
        <v>_africa</v>
      </c>
      <c r="C950" s="3" t="s">
        <v>579</v>
      </c>
      <c r="D950" s="12" t="s">
        <v>62</v>
      </c>
      <c r="E950" s="8" t="s">
        <v>580</v>
      </c>
      <c r="F950" s="3" t="s">
        <v>2941</v>
      </c>
    </row>
  </sheetData>
  <autoFilter ref="A1:E950" xr:uid="{6A6D8332-CF63-4DEB-9138-D65369954158}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CB38-C366-4666-9EC8-C9A963DE972A}">
  <sheetPr>
    <tabColor theme="9" tint="-0.249977111117893"/>
  </sheetPr>
  <dimension ref="A1:D42"/>
  <sheetViews>
    <sheetView workbookViewId="0">
      <selection activeCell="H33" sqref="H33"/>
    </sheetView>
  </sheetViews>
  <sheetFormatPr defaultRowHeight="15" x14ac:dyDescent="0.25"/>
  <cols>
    <col min="1" max="2" width="11.140625" bestFit="1" customWidth="1"/>
    <col min="3" max="3" width="31.42578125" bestFit="1" customWidth="1"/>
    <col min="4" max="4" width="42.42578125" customWidth="1"/>
  </cols>
  <sheetData>
    <row r="1" spans="1:4" x14ac:dyDescent="0.25">
      <c r="A1" t="s">
        <v>2966</v>
      </c>
      <c r="B1" t="s">
        <v>2967</v>
      </c>
      <c r="C1" t="s">
        <v>2968</v>
      </c>
      <c r="D1" t="s">
        <v>4962</v>
      </c>
    </row>
    <row r="2" spans="1:4" x14ac:dyDescent="0.25">
      <c r="A2" t="s">
        <v>50</v>
      </c>
      <c r="B2" t="s">
        <v>732</v>
      </c>
      <c r="C2" t="s">
        <v>2969</v>
      </c>
    </row>
    <row r="3" spans="1:4" x14ac:dyDescent="0.25">
      <c r="A3" t="s">
        <v>50</v>
      </c>
      <c r="B3" t="s">
        <v>945</v>
      </c>
      <c r="C3" t="s">
        <v>2970</v>
      </c>
    </row>
    <row r="4" spans="1:4" x14ac:dyDescent="0.25">
      <c r="A4" t="s">
        <v>50</v>
      </c>
      <c r="B4" t="s">
        <v>596</v>
      </c>
      <c r="C4" t="s">
        <v>2971</v>
      </c>
    </row>
    <row r="5" spans="1:4" x14ac:dyDescent="0.25">
      <c r="A5" t="s">
        <v>50</v>
      </c>
      <c r="B5" t="s">
        <v>625</v>
      </c>
      <c r="C5" t="s">
        <v>2972</v>
      </c>
    </row>
    <row r="6" spans="1:4" x14ac:dyDescent="0.25">
      <c r="A6" t="s">
        <v>50</v>
      </c>
      <c r="B6" t="s">
        <v>2973</v>
      </c>
      <c r="C6" t="s">
        <v>2974</v>
      </c>
    </row>
    <row r="7" spans="1:4" x14ac:dyDescent="0.25">
      <c r="A7" t="s">
        <v>50</v>
      </c>
      <c r="B7" t="s">
        <v>833</v>
      </c>
      <c r="C7" t="s">
        <v>2975</v>
      </c>
    </row>
    <row r="8" spans="1:4" x14ac:dyDescent="0.25">
      <c r="A8" t="s">
        <v>50</v>
      </c>
      <c r="B8" t="s">
        <v>2976</v>
      </c>
      <c r="C8" t="s">
        <v>2977</v>
      </c>
    </row>
    <row r="9" spans="1:4" x14ac:dyDescent="0.25">
      <c r="A9" t="s">
        <v>50</v>
      </c>
      <c r="B9" t="s">
        <v>2978</v>
      </c>
      <c r="C9" t="s">
        <v>2979</v>
      </c>
    </row>
    <row r="10" spans="1:4" x14ac:dyDescent="0.25">
      <c r="A10" t="s">
        <v>50</v>
      </c>
      <c r="B10" t="s">
        <v>2980</v>
      </c>
      <c r="C10" t="s">
        <v>2981</v>
      </c>
    </row>
    <row r="11" spans="1:4" x14ac:dyDescent="0.25">
      <c r="A11" t="s">
        <v>50</v>
      </c>
      <c r="B11" t="s">
        <v>778</v>
      </c>
      <c r="C11" t="s">
        <v>2982</v>
      </c>
    </row>
    <row r="12" spans="1:4" x14ac:dyDescent="0.25">
      <c r="A12" t="s">
        <v>50</v>
      </c>
      <c r="B12" t="s">
        <v>739</v>
      </c>
      <c r="C12" t="s">
        <v>2983</v>
      </c>
    </row>
    <row r="13" spans="1:4" x14ac:dyDescent="0.25">
      <c r="A13" t="s">
        <v>50</v>
      </c>
      <c r="B13" t="s">
        <v>633</v>
      </c>
      <c r="C13" t="s">
        <v>2984</v>
      </c>
    </row>
    <row r="14" spans="1:4" x14ac:dyDescent="0.25">
      <c r="A14" t="s">
        <v>50</v>
      </c>
      <c r="B14" t="s">
        <v>2985</v>
      </c>
      <c r="C14" t="s">
        <v>2986</v>
      </c>
    </row>
    <row r="15" spans="1:4" x14ac:dyDescent="0.25">
      <c r="A15" t="s">
        <v>50</v>
      </c>
      <c r="B15" t="s">
        <v>2987</v>
      </c>
      <c r="C15" t="s">
        <v>2988</v>
      </c>
    </row>
    <row r="16" spans="1:4" x14ac:dyDescent="0.25">
      <c r="A16" t="s">
        <v>50</v>
      </c>
      <c r="B16" t="s">
        <v>1153</v>
      </c>
      <c r="C16" t="s">
        <v>2989</v>
      </c>
    </row>
    <row r="17" spans="1:4" x14ac:dyDescent="0.25">
      <c r="A17" t="s">
        <v>50</v>
      </c>
      <c r="B17" t="s">
        <v>2990</v>
      </c>
      <c r="C17" t="s">
        <v>2991</v>
      </c>
    </row>
    <row r="18" spans="1:4" x14ac:dyDescent="0.25">
      <c r="A18" t="s">
        <v>50</v>
      </c>
      <c r="B18" t="s">
        <v>2992</v>
      </c>
      <c r="C18" t="s">
        <v>2993</v>
      </c>
    </row>
    <row r="19" spans="1:4" x14ac:dyDescent="0.25">
      <c r="A19" t="s">
        <v>50</v>
      </c>
      <c r="B19" t="s">
        <v>2994</v>
      </c>
      <c r="C19" t="s">
        <v>2995</v>
      </c>
    </row>
    <row r="20" spans="1:4" x14ac:dyDescent="0.25">
      <c r="A20" t="s">
        <v>50</v>
      </c>
      <c r="B20" t="s">
        <v>951</v>
      </c>
      <c r="C20" t="s">
        <v>2996</v>
      </c>
    </row>
    <row r="21" spans="1:4" x14ac:dyDescent="0.25">
      <c r="A21" t="s">
        <v>50</v>
      </c>
      <c r="B21" t="s">
        <v>679</v>
      </c>
      <c r="C21" t="s">
        <v>2997</v>
      </c>
    </row>
    <row r="22" spans="1:4" x14ac:dyDescent="0.25">
      <c r="A22" t="s">
        <v>50</v>
      </c>
      <c r="B22" t="s">
        <v>2998</v>
      </c>
      <c r="C22" t="s">
        <v>2999</v>
      </c>
    </row>
    <row r="23" spans="1:4" x14ac:dyDescent="0.25">
      <c r="A23" t="s">
        <v>50</v>
      </c>
      <c r="B23" t="s">
        <v>3000</v>
      </c>
      <c r="C23" t="s">
        <v>3001</v>
      </c>
    </row>
    <row r="24" spans="1:4" x14ac:dyDescent="0.25">
      <c r="A24" t="s">
        <v>50</v>
      </c>
      <c r="B24" t="s">
        <v>3002</v>
      </c>
      <c r="C24" t="s">
        <v>3003</v>
      </c>
    </row>
    <row r="25" spans="1:4" x14ac:dyDescent="0.25">
      <c r="A25" t="s">
        <v>50</v>
      </c>
      <c r="B25" t="s">
        <v>3004</v>
      </c>
      <c r="C25" t="s">
        <v>3005</v>
      </c>
    </row>
    <row r="26" spans="1:4" x14ac:dyDescent="0.25">
      <c r="A26" t="s">
        <v>50</v>
      </c>
      <c r="B26" t="s">
        <v>3006</v>
      </c>
      <c r="C26" t="s">
        <v>460</v>
      </c>
    </row>
    <row r="27" spans="1:4" x14ac:dyDescent="0.25">
      <c r="A27" t="s">
        <v>55</v>
      </c>
      <c r="B27" t="s">
        <v>3007</v>
      </c>
      <c r="C27" t="s">
        <v>3008</v>
      </c>
      <c r="D27" t="str">
        <f>VLOOKUP(cr_2017_answer_map[[#This Row],[Question]],cr_2017_question_map4!A:E,5,FALSE)</f>
        <v>CapitalRaisingActivity_NonListedRealEstateVehicles</v>
      </c>
    </row>
    <row r="28" spans="1:4" x14ac:dyDescent="0.25">
      <c r="A28" t="s">
        <v>55</v>
      </c>
      <c r="B28" t="s">
        <v>3009</v>
      </c>
      <c r="C28" t="s">
        <v>3010</v>
      </c>
      <c r="D28" t="str">
        <f>VLOOKUP(cr_2017_answer_map[[#This Row],[Question]],cr_2017_question_map4!A:E,5,FALSE)</f>
        <v>CapitalRaisingActivity_NonListedRealEstateVehicles</v>
      </c>
    </row>
    <row r="29" spans="1:4" x14ac:dyDescent="0.25">
      <c r="A29" t="s">
        <v>57</v>
      </c>
      <c r="B29" t="s">
        <v>3007</v>
      </c>
      <c r="C29" t="s">
        <v>3011</v>
      </c>
      <c r="D29" t="str">
        <f>VLOOKUP(cr_2017_answer_map[[#This Row],[Question]],cr_2017_question_map4!A:E,5,FALSE)</f>
        <v>NoCapitalRaisingActivity_Reason</v>
      </c>
    </row>
    <row r="30" spans="1:4" x14ac:dyDescent="0.25">
      <c r="A30" t="s">
        <v>57</v>
      </c>
      <c r="B30" t="s">
        <v>3009</v>
      </c>
      <c r="C30" t="s">
        <v>3012</v>
      </c>
      <c r="D30" t="str">
        <f>VLOOKUP(cr_2017_answer_map[[#This Row],[Question]],cr_2017_question_map4!A:E,5,FALSE)</f>
        <v>NoCapitalRaisingActivity_Reason</v>
      </c>
    </row>
    <row r="31" spans="1:4" x14ac:dyDescent="0.25">
      <c r="A31" t="s">
        <v>57</v>
      </c>
      <c r="B31" t="s">
        <v>3013</v>
      </c>
      <c r="C31" t="s">
        <v>3014</v>
      </c>
      <c r="D31" t="str">
        <f>VLOOKUP(cr_2017_answer_map[[#This Row],[Question]],cr_2017_question_map4!A:E,5,FALSE)</f>
        <v>NoCapitalRaisingActivity_Reason</v>
      </c>
    </row>
    <row r="32" spans="1:4" x14ac:dyDescent="0.25">
      <c r="A32" t="s">
        <v>57</v>
      </c>
      <c r="B32" t="s">
        <v>3015</v>
      </c>
      <c r="C32" t="s">
        <v>3016</v>
      </c>
      <c r="D32" t="str">
        <f>VLOOKUP(cr_2017_answer_map[[#This Row],[Question]],cr_2017_question_map4!A:E,5,FALSE)</f>
        <v>NoCapitalRaisingActivity_Reason</v>
      </c>
    </row>
    <row r="33" spans="1:4" x14ac:dyDescent="0.25">
      <c r="A33" t="s">
        <v>57</v>
      </c>
      <c r="B33" t="s">
        <v>3017</v>
      </c>
      <c r="C33" t="s">
        <v>3018</v>
      </c>
      <c r="D33" t="str">
        <f>VLOOKUP(cr_2017_answer_map[[#This Row],[Question]],cr_2017_question_map4!A:E,5,FALSE)</f>
        <v>NoCapitalRaisingActivity_Reason</v>
      </c>
    </row>
    <row r="34" spans="1:4" x14ac:dyDescent="0.25">
      <c r="A34" t="s">
        <v>57</v>
      </c>
      <c r="B34" t="s">
        <v>3019</v>
      </c>
      <c r="C34" t="s">
        <v>460</v>
      </c>
      <c r="D34" t="str">
        <f>VLOOKUP(cr_2017_answer_map[[#This Row],[Question]],cr_2017_question_map4!A:E,5,FALSE)</f>
        <v>NoCapitalRaisingActivity_Reason</v>
      </c>
    </row>
    <row r="35" spans="1:4" x14ac:dyDescent="0.25">
      <c r="A35" t="s">
        <v>461</v>
      </c>
      <c r="B35" t="s">
        <v>3007</v>
      </c>
      <c r="C35" t="s">
        <v>3020</v>
      </c>
      <c r="D35" t="str">
        <f>VLOOKUP(cr_2017_answer_map[[#This Row],[Question]],cr_2017_question_map4!A:E,5,FALSE)</f>
        <v>CapitalRaisingActivity_Development</v>
      </c>
    </row>
    <row r="36" spans="1:4" x14ac:dyDescent="0.25">
      <c r="A36" t="s">
        <v>461</v>
      </c>
      <c r="B36" t="s">
        <v>3009</v>
      </c>
      <c r="C36" t="s">
        <v>3021</v>
      </c>
      <c r="D36" t="str">
        <f>VLOOKUP(cr_2017_answer_map[[#This Row],[Question]],cr_2017_question_map4!A:E,5,FALSE)</f>
        <v>CapitalRaisingActivity_Development</v>
      </c>
    </row>
    <row r="37" spans="1:4" x14ac:dyDescent="0.25">
      <c r="A37" t="s">
        <v>461</v>
      </c>
      <c r="B37" t="s">
        <v>3013</v>
      </c>
      <c r="C37" t="s">
        <v>3022</v>
      </c>
      <c r="D37" t="str">
        <f>VLOOKUP(cr_2017_answer_map[[#This Row],[Question]],cr_2017_question_map4!A:E,5,FALSE)</f>
        <v>CapitalRaisingActivity_Development</v>
      </c>
    </row>
    <row r="38" spans="1:4" x14ac:dyDescent="0.25">
      <c r="A38" t="s">
        <v>463</v>
      </c>
      <c r="B38" t="s">
        <v>3007</v>
      </c>
      <c r="C38" t="s">
        <v>3023</v>
      </c>
      <c r="D38" t="str">
        <f>VLOOKUP(cr_2017_answer_map[[#This Row],[Question]],cr_2017_question_map4!A:E,5,FALSE)</f>
        <v>CapitalRaisingActivity_Impactregulation</v>
      </c>
    </row>
    <row r="39" spans="1:4" x14ac:dyDescent="0.25">
      <c r="A39" t="s">
        <v>463</v>
      </c>
      <c r="B39" t="s">
        <v>3009</v>
      </c>
      <c r="C39" t="s">
        <v>3024</v>
      </c>
      <c r="D39" t="str">
        <f>VLOOKUP(cr_2017_answer_map[[#This Row],[Question]],cr_2017_question_map4!A:E,5,FALSE)</f>
        <v>CapitalRaisingActivity_Impactregulation</v>
      </c>
    </row>
    <row r="40" spans="1:4" x14ac:dyDescent="0.25">
      <c r="A40" t="s">
        <v>463</v>
      </c>
      <c r="B40" t="s">
        <v>3013</v>
      </c>
      <c r="C40" t="s">
        <v>3025</v>
      </c>
      <c r="D40" t="str">
        <f>VLOOKUP(cr_2017_answer_map[[#This Row],[Question]],cr_2017_question_map4!A:E,5,FALSE)</f>
        <v>CapitalRaisingActivity_Impactregulation</v>
      </c>
    </row>
    <row r="41" spans="1:4" x14ac:dyDescent="0.25">
      <c r="A41" t="s">
        <v>465</v>
      </c>
      <c r="B41" t="s">
        <v>3007</v>
      </c>
      <c r="C41" t="s">
        <v>3008</v>
      </c>
      <c r="D41" t="str">
        <f>VLOOKUP(cr_2017_answer_map[[#This Row],[Question]],cr_2017_question_map4!A:E,5,FALSE)</f>
        <v>Companynameincluded</v>
      </c>
    </row>
    <row r="42" spans="1:4" x14ac:dyDescent="0.25">
      <c r="A42" t="s">
        <v>465</v>
      </c>
      <c r="B42" t="s">
        <v>3009</v>
      </c>
      <c r="C42" t="s">
        <v>3010</v>
      </c>
      <c r="D42" t="str">
        <f>VLOOKUP(cr_2017_answer_map[[#This Row],[Question]],cr_2017_question_map4!A:E,5,FALSE)</f>
        <v>Companynameincluded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7BE0-DE01-4F69-9723-9C4EB6C95449}">
  <sheetPr>
    <tabColor theme="8" tint="-0.499984740745262"/>
  </sheetPr>
  <dimension ref="A1:AHT163"/>
  <sheetViews>
    <sheetView workbookViewId="0">
      <selection activeCell="I20" sqref="I20"/>
    </sheetView>
  </sheetViews>
  <sheetFormatPr defaultColWidth="9.140625" defaultRowHeight="15" x14ac:dyDescent="0.25"/>
  <cols>
    <col min="1" max="1" width="11.28515625" style="14" bestFit="1" customWidth="1"/>
    <col min="2" max="2" width="8.7109375" style="14" bestFit="1" customWidth="1"/>
    <col min="3" max="3" width="14.140625" style="16" customWidth="1"/>
    <col min="4" max="4" width="27.85546875" style="14" bestFit="1" customWidth="1"/>
    <col min="5" max="5" width="45.42578125" style="14" bestFit="1" customWidth="1"/>
    <col min="6" max="6" width="47.140625" style="14" bestFit="1" customWidth="1"/>
    <col min="7" max="7" width="41" style="14" bestFit="1" customWidth="1"/>
    <col min="8" max="8" width="23.85546875" style="14" bestFit="1" customWidth="1"/>
    <col min="9" max="9" width="19.85546875" style="14" bestFit="1" customWidth="1"/>
    <col min="10" max="62" width="9.140625" style="14"/>
    <col min="63" max="63" width="24.85546875" style="14" bestFit="1" customWidth="1"/>
    <col min="64" max="903" width="9.140625" style="14"/>
    <col min="904" max="904" width="26.140625" style="14" bestFit="1" customWidth="1"/>
    <col min="905" max="16384" width="9.140625" style="14"/>
  </cols>
  <sheetData>
    <row r="1" spans="1:904" s="13" customFormat="1" x14ac:dyDescent="0.25">
      <c r="A1" t="s">
        <v>26</v>
      </c>
      <c r="B1" t="s">
        <v>35</v>
      </c>
      <c r="C1" s="15" t="s">
        <v>30</v>
      </c>
      <c r="D1" t="s">
        <v>37</v>
      </c>
      <c r="E1" t="s">
        <v>40</v>
      </c>
      <c r="F1" t="s">
        <v>42</v>
      </c>
      <c r="G1" t="s">
        <v>44</v>
      </c>
      <c r="H1" t="s">
        <v>46</v>
      </c>
      <c r="I1" t="s">
        <v>48</v>
      </c>
      <c r="J1" t="s">
        <v>50</v>
      </c>
      <c r="K1" t="s">
        <v>53</v>
      </c>
      <c r="L1" t="s">
        <v>55</v>
      </c>
      <c r="M1" t="s">
        <v>57</v>
      </c>
      <c r="N1" t="s">
        <v>59</v>
      </c>
      <c r="O1" t="s">
        <v>69</v>
      </c>
      <c r="P1" t="s">
        <v>71</v>
      </c>
      <c r="Q1" t="s">
        <v>73</v>
      </c>
      <c r="R1" t="s">
        <v>75</v>
      </c>
      <c r="S1" t="s">
        <v>77</v>
      </c>
      <c r="T1" t="s">
        <v>79</v>
      </c>
      <c r="U1" t="s">
        <v>81</v>
      </c>
      <c r="V1" t="s">
        <v>83</v>
      </c>
      <c r="W1" t="s">
        <v>85</v>
      </c>
      <c r="X1" t="s">
        <v>87</v>
      </c>
      <c r="Y1" t="s">
        <v>89</v>
      </c>
      <c r="Z1" t="s">
        <v>91</v>
      </c>
      <c r="AA1" t="s">
        <v>93</v>
      </c>
      <c r="AB1" t="s">
        <v>95</v>
      </c>
      <c r="AC1" t="s">
        <v>97</v>
      </c>
      <c r="AD1" t="s">
        <v>99</v>
      </c>
      <c r="AE1" t="s">
        <v>101</v>
      </c>
      <c r="AF1" t="s">
        <v>103</v>
      </c>
      <c r="AG1" t="s">
        <v>105</v>
      </c>
      <c r="AH1" t="s">
        <v>107</v>
      </c>
      <c r="AI1" t="s">
        <v>109</v>
      </c>
      <c r="AJ1" t="s">
        <v>111</v>
      </c>
      <c r="AK1" t="s">
        <v>113</v>
      </c>
      <c r="AL1" t="s">
        <v>115</v>
      </c>
      <c r="AM1" t="s">
        <v>117</v>
      </c>
      <c r="AN1" t="s">
        <v>119</v>
      </c>
      <c r="AO1" t="s">
        <v>121</v>
      </c>
      <c r="AP1" t="s">
        <v>123</v>
      </c>
      <c r="AQ1" t="s">
        <v>125</v>
      </c>
      <c r="AR1" t="s">
        <v>127</v>
      </c>
      <c r="AS1" t="s">
        <v>129</v>
      </c>
      <c r="AT1" t="s">
        <v>131</v>
      </c>
      <c r="AU1" t="s">
        <v>133</v>
      </c>
      <c r="AV1" t="s">
        <v>135</v>
      </c>
      <c r="AW1" t="s">
        <v>137</v>
      </c>
      <c r="AX1" t="s">
        <v>139</v>
      </c>
      <c r="AY1" t="s">
        <v>141</v>
      </c>
      <c r="AZ1" t="s">
        <v>143</v>
      </c>
      <c r="BA1" t="s">
        <v>145</v>
      </c>
      <c r="BB1" t="s">
        <v>147</v>
      </c>
      <c r="BC1" t="s">
        <v>149</v>
      </c>
      <c r="BD1" t="s">
        <v>151</v>
      </c>
      <c r="BE1" t="s">
        <v>153</v>
      </c>
      <c r="BF1" t="s">
        <v>155</v>
      </c>
      <c r="BG1" t="s">
        <v>157</v>
      </c>
      <c r="BH1" t="s">
        <v>159</v>
      </c>
      <c r="BI1" t="s">
        <v>161</v>
      </c>
      <c r="BJ1" t="s">
        <v>163</v>
      </c>
      <c r="BK1" t="s">
        <v>165</v>
      </c>
      <c r="BL1" t="s">
        <v>166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  <c r="CN1" t="s">
        <v>195</v>
      </c>
      <c r="CO1" t="s">
        <v>196</v>
      </c>
      <c r="CP1" t="s">
        <v>197</v>
      </c>
      <c r="CQ1" t="s">
        <v>198</v>
      </c>
      <c r="CR1" t="s">
        <v>199</v>
      </c>
      <c r="CS1" t="s">
        <v>200</v>
      </c>
      <c r="CT1" t="s">
        <v>201</v>
      </c>
      <c r="CU1" t="s">
        <v>202</v>
      </c>
      <c r="CV1" t="s">
        <v>203</v>
      </c>
      <c r="CW1" t="s">
        <v>204</v>
      </c>
      <c r="CX1" t="s">
        <v>205</v>
      </c>
      <c r="CY1" t="s">
        <v>206</v>
      </c>
      <c r="CZ1" t="s">
        <v>207</v>
      </c>
      <c r="DA1" t="s">
        <v>208</v>
      </c>
      <c r="DB1" t="s">
        <v>209</v>
      </c>
      <c r="DC1" t="s">
        <v>210</v>
      </c>
      <c r="DD1" t="s">
        <v>211</v>
      </c>
      <c r="DE1" t="s">
        <v>212</v>
      </c>
      <c r="DF1" t="s">
        <v>213</v>
      </c>
      <c r="DG1" t="s">
        <v>214</v>
      </c>
      <c r="DH1" t="s">
        <v>215</v>
      </c>
      <c r="DI1" t="s">
        <v>216</v>
      </c>
      <c r="DJ1" t="s">
        <v>218</v>
      </c>
      <c r="DK1" t="s">
        <v>219</v>
      </c>
      <c r="DL1" t="s">
        <v>220</v>
      </c>
      <c r="DM1" t="s">
        <v>221</v>
      </c>
      <c r="DN1" t="s">
        <v>222</v>
      </c>
      <c r="DO1" t="s">
        <v>223</v>
      </c>
      <c r="DP1" t="s">
        <v>224</v>
      </c>
      <c r="DQ1" t="s">
        <v>225</v>
      </c>
      <c r="DR1" t="s">
        <v>226</v>
      </c>
      <c r="DS1" t="s">
        <v>227</v>
      </c>
      <c r="DT1" t="s">
        <v>228</v>
      </c>
      <c r="DU1" t="s">
        <v>229</v>
      </c>
      <c r="DV1" t="s">
        <v>230</v>
      </c>
      <c r="DW1" t="s">
        <v>231</v>
      </c>
      <c r="DX1" t="s">
        <v>232</v>
      </c>
      <c r="DY1" t="s">
        <v>233</v>
      </c>
      <c r="DZ1" t="s">
        <v>234</v>
      </c>
      <c r="EA1" t="s">
        <v>235</v>
      </c>
      <c r="EB1" t="s">
        <v>236</v>
      </c>
      <c r="EC1" t="s">
        <v>237</v>
      </c>
      <c r="ED1" t="s">
        <v>238</v>
      </c>
      <c r="EE1" t="s">
        <v>239</v>
      </c>
      <c r="EF1" t="s">
        <v>240</v>
      </c>
      <c r="EG1" t="s">
        <v>241</v>
      </c>
      <c r="EH1" t="s">
        <v>242</v>
      </c>
      <c r="EI1" t="s">
        <v>243</v>
      </c>
      <c r="EJ1" t="s">
        <v>244</v>
      </c>
      <c r="EK1" t="s">
        <v>245</v>
      </c>
      <c r="EL1" t="s">
        <v>246</v>
      </c>
      <c r="EM1" t="s">
        <v>247</v>
      </c>
      <c r="EN1" t="s">
        <v>248</v>
      </c>
      <c r="EO1" t="s">
        <v>249</v>
      </c>
      <c r="EP1" t="s">
        <v>250</v>
      </c>
      <c r="EQ1" t="s">
        <v>251</v>
      </c>
      <c r="ER1" t="s">
        <v>252</v>
      </c>
      <c r="ES1" t="s">
        <v>253</v>
      </c>
      <c r="ET1" t="s">
        <v>255</v>
      </c>
      <c r="EU1" t="s">
        <v>257</v>
      </c>
      <c r="EV1" t="s">
        <v>259</v>
      </c>
      <c r="EW1" t="s">
        <v>261</v>
      </c>
      <c r="EX1" t="s">
        <v>263</v>
      </c>
      <c r="EY1" t="s">
        <v>265</v>
      </c>
      <c r="EZ1" t="s">
        <v>267</v>
      </c>
      <c r="FA1" t="s">
        <v>269</v>
      </c>
      <c r="FB1" t="s">
        <v>271</v>
      </c>
      <c r="FC1" t="s">
        <v>273</v>
      </c>
      <c r="FD1" t="s">
        <v>275</v>
      </c>
      <c r="FE1" t="s">
        <v>277</v>
      </c>
      <c r="FF1" t="s">
        <v>279</v>
      </c>
      <c r="FG1" t="s">
        <v>281</v>
      </c>
      <c r="FH1" t="s">
        <v>283</v>
      </c>
      <c r="FI1" t="s">
        <v>285</v>
      </c>
      <c r="FJ1" t="s">
        <v>287</v>
      </c>
      <c r="FK1" t="s">
        <v>289</v>
      </c>
      <c r="FL1" t="s">
        <v>291</v>
      </c>
      <c r="FM1" t="s">
        <v>293</v>
      </c>
      <c r="FN1" t="s">
        <v>295</v>
      </c>
      <c r="FO1" t="s">
        <v>297</v>
      </c>
      <c r="FP1" t="s">
        <v>299</v>
      </c>
      <c r="FQ1" t="s">
        <v>301</v>
      </c>
      <c r="FR1" t="s">
        <v>303</v>
      </c>
      <c r="FS1" t="s">
        <v>305</v>
      </c>
      <c r="FT1" t="s">
        <v>307</v>
      </c>
      <c r="FU1" t="s">
        <v>309</v>
      </c>
      <c r="FV1" t="s">
        <v>311</v>
      </c>
      <c r="FW1" t="s">
        <v>313</v>
      </c>
      <c r="FX1" t="s">
        <v>315</v>
      </c>
      <c r="FY1" t="s">
        <v>317</v>
      </c>
      <c r="FZ1" t="s">
        <v>319</v>
      </c>
      <c r="GA1" t="s">
        <v>321</v>
      </c>
      <c r="GB1" t="s">
        <v>323</v>
      </c>
      <c r="GC1" t="s">
        <v>325</v>
      </c>
      <c r="GD1" t="s">
        <v>327</v>
      </c>
      <c r="GE1" t="s">
        <v>329</v>
      </c>
      <c r="GF1" t="s">
        <v>331</v>
      </c>
      <c r="GG1" t="s">
        <v>333</v>
      </c>
      <c r="GH1" t="s">
        <v>335</v>
      </c>
      <c r="GI1" t="s">
        <v>336</v>
      </c>
      <c r="GJ1" t="s">
        <v>338</v>
      </c>
      <c r="GK1" t="s">
        <v>340</v>
      </c>
      <c r="GL1" t="s">
        <v>342</v>
      </c>
      <c r="GM1" t="s">
        <v>344</v>
      </c>
      <c r="GN1" t="s">
        <v>346</v>
      </c>
      <c r="GO1" t="s">
        <v>348</v>
      </c>
      <c r="GP1" t="s">
        <v>350</v>
      </c>
      <c r="GQ1" t="s">
        <v>352</v>
      </c>
      <c r="GR1" t="s">
        <v>354</v>
      </c>
      <c r="GS1" t="s">
        <v>356</v>
      </c>
      <c r="GT1" t="s">
        <v>358</v>
      </c>
      <c r="GU1" t="s">
        <v>360</v>
      </c>
      <c r="GV1" t="s">
        <v>362</v>
      </c>
      <c r="GW1" t="s">
        <v>364</v>
      </c>
      <c r="GX1" t="s">
        <v>366</v>
      </c>
      <c r="GY1" t="s">
        <v>367</v>
      </c>
      <c r="GZ1" t="s">
        <v>368</v>
      </c>
      <c r="HA1" t="s">
        <v>369</v>
      </c>
      <c r="HB1" t="s">
        <v>370</v>
      </c>
      <c r="HC1" t="s">
        <v>371</v>
      </c>
      <c r="HD1" t="s">
        <v>372</v>
      </c>
      <c r="HE1" t="s">
        <v>373</v>
      </c>
      <c r="HF1" t="s">
        <v>375</v>
      </c>
      <c r="HG1" t="s">
        <v>377</v>
      </c>
      <c r="HH1" t="s">
        <v>379</v>
      </c>
      <c r="HI1" t="s">
        <v>381</v>
      </c>
      <c r="HJ1" t="s">
        <v>383</v>
      </c>
      <c r="HK1" t="s">
        <v>385</v>
      </c>
      <c r="HL1" t="s">
        <v>387</v>
      </c>
      <c r="HM1" t="s">
        <v>389</v>
      </c>
      <c r="HN1" t="s">
        <v>391</v>
      </c>
      <c r="HO1" t="s">
        <v>393</v>
      </c>
      <c r="HP1" t="s">
        <v>395</v>
      </c>
      <c r="HQ1" t="s">
        <v>397</v>
      </c>
      <c r="HR1" t="s">
        <v>399</v>
      </c>
      <c r="HS1" t="s">
        <v>401</v>
      </c>
      <c r="HT1" t="s">
        <v>403</v>
      </c>
      <c r="HU1" t="s">
        <v>405</v>
      </c>
      <c r="HV1" t="s">
        <v>407</v>
      </c>
      <c r="HW1" t="s">
        <v>409</v>
      </c>
      <c r="HX1" t="s">
        <v>411</v>
      </c>
      <c r="HY1" t="s">
        <v>413</v>
      </c>
      <c r="HZ1" t="s">
        <v>415</v>
      </c>
      <c r="IA1" t="s">
        <v>417</v>
      </c>
      <c r="IB1" t="s">
        <v>419</v>
      </c>
      <c r="IC1" t="s">
        <v>421</v>
      </c>
      <c r="ID1" t="s">
        <v>423</v>
      </c>
      <c r="IE1" t="s">
        <v>425</v>
      </c>
      <c r="IF1" t="s">
        <v>427</v>
      </c>
      <c r="IG1" t="s">
        <v>429</v>
      </c>
      <c r="IH1" t="s">
        <v>431</v>
      </c>
      <c r="II1" t="s">
        <v>433</v>
      </c>
      <c r="IJ1" t="s">
        <v>435</v>
      </c>
      <c r="IK1" t="s">
        <v>437</v>
      </c>
      <c r="IL1" t="s">
        <v>439</v>
      </c>
      <c r="IM1" t="s">
        <v>441</v>
      </c>
      <c r="IN1" t="s">
        <v>443</v>
      </c>
      <c r="IO1" t="s">
        <v>444</v>
      </c>
      <c r="IP1" t="s">
        <v>445</v>
      </c>
      <c r="IQ1" t="s">
        <v>446</v>
      </c>
      <c r="IR1" t="s">
        <v>447</v>
      </c>
      <c r="IS1" t="s">
        <v>448</v>
      </c>
      <c r="IT1" t="s">
        <v>449</v>
      </c>
      <c r="IU1" t="s">
        <v>451</v>
      </c>
      <c r="IV1" t="s">
        <v>454</v>
      </c>
      <c r="IW1" t="s">
        <v>456</v>
      </c>
      <c r="IX1" t="s">
        <v>458</v>
      </c>
      <c r="IY1" t="s">
        <v>459</v>
      </c>
      <c r="IZ1" t="s">
        <v>461</v>
      </c>
      <c r="JA1" t="s">
        <v>463</v>
      </c>
      <c r="JB1" t="s">
        <v>465</v>
      </c>
      <c r="JC1" t="s">
        <v>1414</v>
      </c>
      <c r="JD1" t="s">
        <v>1415</v>
      </c>
      <c r="JE1" t="s">
        <v>1416</v>
      </c>
      <c r="JF1" t="s">
        <v>1417</v>
      </c>
      <c r="JG1" t="s">
        <v>1418</v>
      </c>
      <c r="JH1" t="s">
        <v>1419</v>
      </c>
      <c r="JI1" t="s">
        <v>1420</v>
      </c>
      <c r="JJ1" t="s">
        <v>1421</v>
      </c>
      <c r="JK1" t="s">
        <v>1422</v>
      </c>
      <c r="JL1" t="s">
        <v>1423</v>
      </c>
      <c r="JM1" t="s">
        <v>1424</v>
      </c>
      <c r="JN1" t="s">
        <v>1425</v>
      </c>
      <c r="JO1" t="s">
        <v>1426</v>
      </c>
      <c r="JP1" t="s">
        <v>1427</v>
      </c>
      <c r="JQ1" t="s">
        <v>1428</v>
      </c>
      <c r="JR1" t="s">
        <v>1429</v>
      </c>
      <c r="JS1" t="s">
        <v>1430</v>
      </c>
      <c r="JT1" t="s">
        <v>1431</v>
      </c>
      <c r="JU1" t="s">
        <v>1432</v>
      </c>
      <c r="JV1" t="s">
        <v>1433</v>
      </c>
      <c r="JW1" t="s">
        <v>1434</v>
      </c>
      <c r="JX1" t="s">
        <v>1435</v>
      </c>
      <c r="JY1" t="s">
        <v>1436</v>
      </c>
      <c r="JZ1" t="s">
        <v>1437</v>
      </c>
      <c r="KA1" t="s">
        <v>1438</v>
      </c>
      <c r="KB1" t="s">
        <v>1439</v>
      </c>
      <c r="KC1" t="s">
        <v>1440</v>
      </c>
      <c r="KD1" t="s">
        <v>1441</v>
      </c>
      <c r="KE1" t="s">
        <v>1442</v>
      </c>
      <c r="KF1" t="s">
        <v>1443</v>
      </c>
      <c r="KG1" t="s">
        <v>1444</v>
      </c>
      <c r="KH1" t="s">
        <v>1445</v>
      </c>
      <c r="KI1" t="s">
        <v>1446</v>
      </c>
      <c r="KJ1" t="s">
        <v>1447</v>
      </c>
      <c r="KK1" t="s">
        <v>1448</v>
      </c>
      <c r="KL1" t="s">
        <v>1449</v>
      </c>
      <c r="KM1" t="s">
        <v>1450</v>
      </c>
      <c r="KN1" t="s">
        <v>1451</v>
      </c>
      <c r="KO1" t="s">
        <v>1452</v>
      </c>
      <c r="KP1" t="s">
        <v>1453</v>
      </c>
      <c r="KQ1" t="s">
        <v>1454</v>
      </c>
      <c r="KR1" t="s">
        <v>1455</v>
      </c>
      <c r="KS1" t="s">
        <v>1456</v>
      </c>
      <c r="KT1" t="s">
        <v>1457</v>
      </c>
      <c r="KU1" t="s">
        <v>1458</v>
      </c>
      <c r="KV1" t="s">
        <v>1459</v>
      </c>
      <c r="KW1" t="s">
        <v>1460</v>
      </c>
      <c r="KX1" t="s">
        <v>1461</v>
      </c>
      <c r="KY1" t="s">
        <v>1462</v>
      </c>
      <c r="KZ1" t="s">
        <v>1463</v>
      </c>
      <c r="LA1" t="s">
        <v>1464</v>
      </c>
      <c r="LB1" t="s">
        <v>1465</v>
      </c>
      <c r="LC1" t="s">
        <v>1466</v>
      </c>
      <c r="LD1" t="s">
        <v>1467</v>
      </c>
      <c r="LE1" t="s">
        <v>1468</v>
      </c>
      <c r="LF1" t="s">
        <v>1469</v>
      </c>
      <c r="LG1" t="s">
        <v>1470</v>
      </c>
      <c r="LH1" t="s">
        <v>1471</v>
      </c>
      <c r="LI1" t="s">
        <v>1472</v>
      </c>
      <c r="LJ1" t="s">
        <v>1473</v>
      </c>
      <c r="LK1" t="s">
        <v>1474</v>
      </c>
      <c r="LL1" t="s">
        <v>1475</v>
      </c>
      <c r="LM1" t="s">
        <v>1476</v>
      </c>
      <c r="LN1" t="s">
        <v>1477</v>
      </c>
      <c r="LO1" t="s">
        <v>1478</v>
      </c>
      <c r="LP1" t="s">
        <v>1479</v>
      </c>
      <c r="LQ1" t="s">
        <v>1480</v>
      </c>
      <c r="LR1" t="s">
        <v>1481</v>
      </c>
      <c r="LS1" t="s">
        <v>1482</v>
      </c>
      <c r="LT1" t="s">
        <v>1483</v>
      </c>
      <c r="LU1" t="s">
        <v>1484</v>
      </c>
      <c r="LV1" t="s">
        <v>1485</v>
      </c>
      <c r="LW1" t="s">
        <v>1486</v>
      </c>
      <c r="LX1" t="s">
        <v>1487</v>
      </c>
      <c r="LY1" t="s">
        <v>1488</v>
      </c>
      <c r="LZ1" t="s">
        <v>1489</v>
      </c>
      <c r="MA1" t="s">
        <v>1490</v>
      </c>
      <c r="MB1" t="s">
        <v>1491</v>
      </c>
      <c r="MC1" t="s">
        <v>1492</v>
      </c>
      <c r="MD1" t="s">
        <v>1493</v>
      </c>
      <c r="ME1" t="s">
        <v>1494</v>
      </c>
      <c r="MF1" t="s">
        <v>1495</v>
      </c>
      <c r="MG1" t="s">
        <v>1496</v>
      </c>
      <c r="MH1" t="s">
        <v>1497</v>
      </c>
      <c r="MI1" t="s">
        <v>1498</v>
      </c>
      <c r="MJ1" t="s">
        <v>1499</v>
      </c>
      <c r="MK1" t="s">
        <v>1500</v>
      </c>
      <c r="ML1" t="s">
        <v>1501</v>
      </c>
      <c r="MM1" t="s">
        <v>1502</v>
      </c>
      <c r="MN1" t="s">
        <v>1503</v>
      </c>
      <c r="MO1" t="s">
        <v>1504</v>
      </c>
      <c r="MP1" t="s">
        <v>1505</v>
      </c>
      <c r="MQ1" t="s">
        <v>1506</v>
      </c>
      <c r="MR1" t="s">
        <v>1507</v>
      </c>
      <c r="MS1" t="s">
        <v>1508</v>
      </c>
      <c r="MT1" t="s">
        <v>1509</v>
      </c>
      <c r="MU1" t="s">
        <v>1510</v>
      </c>
      <c r="MV1" t="s">
        <v>1511</v>
      </c>
      <c r="MW1" t="s">
        <v>1512</v>
      </c>
      <c r="MX1" t="s">
        <v>1513</v>
      </c>
      <c r="MY1" t="s">
        <v>1514</v>
      </c>
      <c r="MZ1" t="s">
        <v>1515</v>
      </c>
      <c r="NA1" t="s">
        <v>1516</v>
      </c>
      <c r="NB1" t="s">
        <v>1517</v>
      </c>
      <c r="NC1" t="s">
        <v>1518</v>
      </c>
      <c r="ND1" t="s">
        <v>1519</v>
      </c>
      <c r="NE1" t="s">
        <v>1520</v>
      </c>
      <c r="NF1" t="s">
        <v>1521</v>
      </c>
      <c r="NG1" t="s">
        <v>1522</v>
      </c>
      <c r="NH1" t="s">
        <v>1523</v>
      </c>
      <c r="NI1" t="s">
        <v>1524</v>
      </c>
      <c r="NJ1" t="s">
        <v>1525</v>
      </c>
      <c r="NK1" t="s">
        <v>1526</v>
      </c>
      <c r="NL1" t="s">
        <v>1527</v>
      </c>
      <c r="NM1" t="s">
        <v>1528</v>
      </c>
      <c r="NN1" t="s">
        <v>1529</v>
      </c>
      <c r="NO1" t="s">
        <v>1530</v>
      </c>
      <c r="NP1" t="s">
        <v>1531</v>
      </c>
      <c r="NQ1" t="s">
        <v>1532</v>
      </c>
      <c r="NR1" t="s">
        <v>1533</v>
      </c>
      <c r="NS1" t="s">
        <v>1534</v>
      </c>
      <c r="NT1" t="s">
        <v>1535</v>
      </c>
      <c r="NU1" t="s">
        <v>1536</v>
      </c>
      <c r="NV1" t="s">
        <v>1537</v>
      </c>
      <c r="NW1" t="s">
        <v>1538</v>
      </c>
      <c r="NX1" t="s">
        <v>1539</v>
      </c>
      <c r="NY1" t="s">
        <v>1540</v>
      </c>
      <c r="NZ1" t="s">
        <v>1541</v>
      </c>
      <c r="OA1" t="s">
        <v>1542</v>
      </c>
      <c r="OB1" t="s">
        <v>1543</v>
      </c>
      <c r="OC1" t="s">
        <v>1544</v>
      </c>
      <c r="OD1" t="s">
        <v>1545</v>
      </c>
      <c r="OE1" t="s">
        <v>1546</v>
      </c>
      <c r="OF1" t="s">
        <v>1547</v>
      </c>
      <c r="OG1" t="s">
        <v>1548</v>
      </c>
      <c r="OH1" t="s">
        <v>1549</v>
      </c>
      <c r="OI1" t="s">
        <v>1550</v>
      </c>
      <c r="OJ1" t="s">
        <v>1551</v>
      </c>
      <c r="OK1" t="s">
        <v>1552</v>
      </c>
      <c r="OL1" t="s">
        <v>1553</v>
      </c>
      <c r="OM1" t="s">
        <v>1554</v>
      </c>
      <c r="ON1" t="s">
        <v>1555</v>
      </c>
      <c r="OO1" t="s">
        <v>1556</v>
      </c>
      <c r="OP1" t="s">
        <v>1557</v>
      </c>
      <c r="OQ1" t="s">
        <v>1558</v>
      </c>
      <c r="OR1" t="s">
        <v>1559</v>
      </c>
      <c r="OS1" t="s">
        <v>1560</v>
      </c>
      <c r="OT1" t="s">
        <v>1561</v>
      </c>
      <c r="OU1" t="s">
        <v>1562</v>
      </c>
      <c r="OV1" t="s">
        <v>1563</v>
      </c>
      <c r="OW1" t="s">
        <v>1564</v>
      </c>
      <c r="OX1" t="s">
        <v>1565</v>
      </c>
      <c r="OY1" t="s">
        <v>1566</v>
      </c>
      <c r="OZ1" t="s">
        <v>1567</v>
      </c>
      <c r="PA1" t="s">
        <v>1568</v>
      </c>
      <c r="PB1" t="s">
        <v>1569</v>
      </c>
      <c r="PC1" t="s">
        <v>1570</v>
      </c>
      <c r="PD1" t="s">
        <v>1571</v>
      </c>
      <c r="PE1" t="s">
        <v>1572</v>
      </c>
      <c r="PF1" t="s">
        <v>1573</v>
      </c>
      <c r="PG1" t="s">
        <v>1574</v>
      </c>
      <c r="PH1" t="s">
        <v>1575</v>
      </c>
      <c r="PI1" t="s">
        <v>1576</v>
      </c>
      <c r="PJ1" t="s">
        <v>1577</v>
      </c>
      <c r="PK1" t="s">
        <v>1578</v>
      </c>
      <c r="PL1" t="s">
        <v>1579</v>
      </c>
      <c r="PM1" t="s">
        <v>1580</v>
      </c>
      <c r="PN1" t="s">
        <v>1581</v>
      </c>
      <c r="PO1" t="s">
        <v>1582</v>
      </c>
      <c r="PP1" t="s">
        <v>1583</v>
      </c>
      <c r="PQ1" t="s">
        <v>1584</v>
      </c>
      <c r="PR1" t="s">
        <v>1585</v>
      </c>
      <c r="PS1" t="s">
        <v>1586</v>
      </c>
      <c r="PT1" t="s">
        <v>1587</v>
      </c>
      <c r="PU1" t="s">
        <v>1588</v>
      </c>
      <c r="PV1" t="s">
        <v>1589</v>
      </c>
      <c r="PW1" t="s">
        <v>1590</v>
      </c>
      <c r="PX1" t="s">
        <v>1591</v>
      </c>
      <c r="PY1" t="s">
        <v>1592</v>
      </c>
      <c r="PZ1" t="s">
        <v>1593</v>
      </c>
      <c r="QA1" t="s">
        <v>1594</v>
      </c>
      <c r="QB1" t="s">
        <v>1595</v>
      </c>
      <c r="QC1" t="s">
        <v>1596</v>
      </c>
      <c r="QD1" t="s">
        <v>1597</v>
      </c>
      <c r="QE1" t="s">
        <v>1598</v>
      </c>
      <c r="QF1" t="s">
        <v>1599</v>
      </c>
      <c r="QG1" t="s">
        <v>1600</v>
      </c>
      <c r="QH1" t="s">
        <v>1601</v>
      </c>
      <c r="QI1" t="s">
        <v>1602</v>
      </c>
      <c r="QJ1" t="s">
        <v>1603</v>
      </c>
      <c r="QK1" t="s">
        <v>1604</v>
      </c>
      <c r="QL1" t="s">
        <v>1605</v>
      </c>
      <c r="QM1" t="s">
        <v>1606</v>
      </c>
      <c r="QN1" t="s">
        <v>1607</v>
      </c>
      <c r="QO1" t="s">
        <v>1608</v>
      </c>
      <c r="QP1" t="s">
        <v>1609</v>
      </c>
      <c r="QQ1" t="s">
        <v>1610</v>
      </c>
      <c r="QR1" t="s">
        <v>1611</v>
      </c>
      <c r="QS1" t="s">
        <v>1612</v>
      </c>
      <c r="QT1" t="s">
        <v>1613</v>
      </c>
      <c r="QU1" t="s">
        <v>1614</v>
      </c>
      <c r="QV1" t="s">
        <v>1615</v>
      </c>
      <c r="QW1" t="s">
        <v>1616</v>
      </c>
      <c r="QX1" t="s">
        <v>1617</v>
      </c>
      <c r="QY1" t="s">
        <v>1618</v>
      </c>
      <c r="QZ1" t="s">
        <v>1619</v>
      </c>
      <c r="RA1" t="s">
        <v>1620</v>
      </c>
      <c r="RB1" t="s">
        <v>1621</v>
      </c>
      <c r="RC1" t="s">
        <v>1622</v>
      </c>
      <c r="RD1" t="s">
        <v>1623</v>
      </c>
      <c r="RE1" t="s">
        <v>1624</v>
      </c>
      <c r="RF1" t="s">
        <v>1625</v>
      </c>
      <c r="RG1" t="s">
        <v>1626</v>
      </c>
      <c r="RH1" t="s">
        <v>1627</v>
      </c>
      <c r="RI1" t="s">
        <v>1628</v>
      </c>
      <c r="RJ1" t="s">
        <v>1629</v>
      </c>
      <c r="RK1" t="s">
        <v>1630</v>
      </c>
      <c r="RL1" t="s">
        <v>1631</v>
      </c>
      <c r="RM1" t="s">
        <v>1632</v>
      </c>
      <c r="RN1" t="s">
        <v>1633</v>
      </c>
      <c r="RO1" t="s">
        <v>1634</v>
      </c>
      <c r="RP1" t="s">
        <v>1635</v>
      </c>
      <c r="RQ1" t="s">
        <v>1636</v>
      </c>
      <c r="RR1" t="s">
        <v>1637</v>
      </c>
      <c r="RS1" t="s">
        <v>1638</v>
      </c>
      <c r="RT1" t="s">
        <v>1639</v>
      </c>
      <c r="RU1" t="s">
        <v>1640</v>
      </c>
      <c r="RV1" t="s">
        <v>1641</v>
      </c>
      <c r="RW1" t="s">
        <v>1642</v>
      </c>
      <c r="RX1" t="s">
        <v>1643</v>
      </c>
      <c r="RY1" t="s">
        <v>1644</v>
      </c>
      <c r="RZ1" t="s">
        <v>1645</v>
      </c>
      <c r="SA1" t="s">
        <v>1646</v>
      </c>
      <c r="SB1" t="s">
        <v>1647</v>
      </c>
      <c r="SC1" t="s">
        <v>1648</v>
      </c>
      <c r="SD1" t="s">
        <v>1649</v>
      </c>
      <c r="SE1" t="s">
        <v>1650</v>
      </c>
      <c r="SF1" t="s">
        <v>1651</v>
      </c>
      <c r="SG1" t="s">
        <v>1652</v>
      </c>
      <c r="SH1" t="s">
        <v>1653</v>
      </c>
      <c r="SI1" t="s">
        <v>1654</v>
      </c>
      <c r="SJ1" t="s">
        <v>1655</v>
      </c>
      <c r="SK1" t="s">
        <v>1656</v>
      </c>
      <c r="SL1" t="s">
        <v>1657</v>
      </c>
      <c r="SM1" t="s">
        <v>1658</v>
      </c>
      <c r="SN1" t="s">
        <v>1659</v>
      </c>
      <c r="SO1" t="s">
        <v>1660</v>
      </c>
      <c r="SP1" t="s">
        <v>1661</v>
      </c>
      <c r="SQ1" t="s">
        <v>1662</v>
      </c>
      <c r="SR1" t="s">
        <v>1663</v>
      </c>
      <c r="SS1" t="s">
        <v>1664</v>
      </c>
      <c r="ST1" t="s">
        <v>1665</v>
      </c>
      <c r="SU1" t="s">
        <v>1666</v>
      </c>
      <c r="SV1" t="s">
        <v>1667</v>
      </c>
      <c r="SW1" t="s">
        <v>1668</v>
      </c>
      <c r="SX1" t="s">
        <v>1669</v>
      </c>
      <c r="SY1" t="s">
        <v>1670</v>
      </c>
      <c r="SZ1" t="s">
        <v>1671</v>
      </c>
      <c r="TA1" t="s">
        <v>1672</v>
      </c>
      <c r="TB1" t="s">
        <v>1673</v>
      </c>
      <c r="TC1" t="s">
        <v>1674</v>
      </c>
      <c r="TD1" t="s">
        <v>1675</v>
      </c>
      <c r="TE1" t="s">
        <v>1676</v>
      </c>
      <c r="TF1" t="s">
        <v>1677</v>
      </c>
      <c r="TG1" t="s">
        <v>1678</v>
      </c>
      <c r="TH1" t="s">
        <v>1679</v>
      </c>
      <c r="TI1" t="s">
        <v>1680</v>
      </c>
      <c r="TJ1" t="s">
        <v>1681</v>
      </c>
      <c r="TK1" t="s">
        <v>1682</v>
      </c>
      <c r="TL1" t="s">
        <v>1683</v>
      </c>
      <c r="TM1" t="s">
        <v>1684</v>
      </c>
      <c r="TN1" t="s">
        <v>1685</v>
      </c>
      <c r="TO1" t="s">
        <v>1686</v>
      </c>
      <c r="TP1" t="s">
        <v>1687</v>
      </c>
      <c r="TQ1" t="s">
        <v>1688</v>
      </c>
      <c r="TR1" t="s">
        <v>1689</v>
      </c>
      <c r="TS1" t="s">
        <v>1690</v>
      </c>
      <c r="TT1" t="s">
        <v>1691</v>
      </c>
      <c r="TU1" t="s">
        <v>1692</v>
      </c>
      <c r="TV1" t="s">
        <v>1693</v>
      </c>
      <c r="TW1" t="s">
        <v>1694</v>
      </c>
      <c r="TX1" t="s">
        <v>1695</v>
      </c>
      <c r="TY1" t="s">
        <v>1696</v>
      </c>
      <c r="TZ1" t="s">
        <v>1697</v>
      </c>
      <c r="UA1" t="s">
        <v>1698</v>
      </c>
      <c r="UB1" t="s">
        <v>1699</v>
      </c>
      <c r="UC1" t="s">
        <v>1700</v>
      </c>
      <c r="UD1" t="s">
        <v>1701</v>
      </c>
      <c r="UE1" t="s">
        <v>1702</v>
      </c>
      <c r="UF1" t="s">
        <v>1703</v>
      </c>
      <c r="UG1" t="s">
        <v>1704</v>
      </c>
      <c r="UH1" t="s">
        <v>1705</v>
      </c>
      <c r="UI1" t="s">
        <v>1706</v>
      </c>
      <c r="UJ1" t="s">
        <v>1707</v>
      </c>
      <c r="UK1" t="s">
        <v>1708</v>
      </c>
      <c r="UL1" t="s">
        <v>1709</v>
      </c>
      <c r="UM1" t="s">
        <v>1710</v>
      </c>
      <c r="UN1" t="s">
        <v>1711</v>
      </c>
      <c r="UO1" t="s">
        <v>1712</v>
      </c>
      <c r="UP1" t="s">
        <v>1713</v>
      </c>
      <c r="UQ1" t="s">
        <v>1714</v>
      </c>
      <c r="UR1" t="s">
        <v>1715</v>
      </c>
      <c r="US1" t="s">
        <v>1716</v>
      </c>
      <c r="UT1" t="s">
        <v>1717</v>
      </c>
      <c r="UU1" t="s">
        <v>1718</v>
      </c>
      <c r="UV1" t="s">
        <v>1719</v>
      </c>
      <c r="UW1" t="s">
        <v>1720</v>
      </c>
      <c r="UX1" t="s">
        <v>1721</v>
      </c>
      <c r="UY1" t="s">
        <v>1722</v>
      </c>
      <c r="UZ1" t="s">
        <v>1723</v>
      </c>
      <c r="VA1" t="s">
        <v>1724</v>
      </c>
      <c r="VB1" t="s">
        <v>1725</v>
      </c>
      <c r="VC1" t="s">
        <v>1726</v>
      </c>
      <c r="VD1" t="s">
        <v>1727</v>
      </c>
      <c r="VE1" t="s">
        <v>1728</v>
      </c>
      <c r="VF1" t="s">
        <v>1729</v>
      </c>
      <c r="VG1" t="s">
        <v>1730</v>
      </c>
      <c r="VH1" t="s">
        <v>1731</v>
      </c>
      <c r="VI1" t="s">
        <v>1732</v>
      </c>
      <c r="VJ1" t="s">
        <v>1733</v>
      </c>
      <c r="VK1" t="s">
        <v>1734</v>
      </c>
      <c r="VL1" t="s">
        <v>1735</v>
      </c>
      <c r="VM1" t="s">
        <v>1736</v>
      </c>
      <c r="VN1" t="s">
        <v>1737</v>
      </c>
      <c r="VO1" t="s">
        <v>1738</v>
      </c>
      <c r="VP1" t="s">
        <v>1739</v>
      </c>
      <c r="VQ1" t="s">
        <v>1740</v>
      </c>
      <c r="VR1" t="s">
        <v>1741</v>
      </c>
      <c r="VS1" t="s">
        <v>1742</v>
      </c>
      <c r="VT1" t="s">
        <v>1743</v>
      </c>
      <c r="VU1" t="s">
        <v>1744</v>
      </c>
      <c r="VV1" t="s">
        <v>1745</v>
      </c>
      <c r="VW1" t="s">
        <v>1746</v>
      </c>
      <c r="VX1" t="s">
        <v>1747</v>
      </c>
      <c r="VY1" t="s">
        <v>1748</v>
      </c>
      <c r="VZ1" t="s">
        <v>1749</v>
      </c>
      <c r="WA1" t="s">
        <v>1750</v>
      </c>
      <c r="WB1" t="s">
        <v>1751</v>
      </c>
      <c r="WC1" t="s">
        <v>1752</v>
      </c>
      <c r="WD1" t="s">
        <v>1753</v>
      </c>
      <c r="WE1" t="s">
        <v>1754</v>
      </c>
      <c r="WF1" t="s">
        <v>1755</v>
      </c>
      <c r="WG1" t="s">
        <v>1756</v>
      </c>
      <c r="WH1" t="s">
        <v>1757</v>
      </c>
      <c r="WI1" t="s">
        <v>1758</v>
      </c>
      <c r="WJ1" t="s">
        <v>1759</v>
      </c>
      <c r="WK1" t="s">
        <v>1760</v>
      </c>
      <c r="WL1" t="s">
        <v>1761</v>
      </c>
      <c r="WM1" t="s">
        <v>1762</v>
      </c>
      <c r="WN1" t="s">
        <v>1763</v>
      </c>
      <c r="WO1" t="s">
        <v>1764</v>
      </c>
      <c r="WP1" t="s">
        <v>1765</v>
      </c>
      <c r="WQ1" t="s">
        <v>1766</v>
      </c>
      <c r="WR1" t="s">
        <v>1767</v>
      </c>
      <c r="WS1" t="s">
        <v>1768</v>
      </c>
      <c r="WT1" t="s">
        <v>1769</v>
      </c>
      <c r="WU1" t="s">
        <v>1770</v>
      </c>
      <c r="WV1" t="s">
        <v>1771</v>
      </c>
      <c r="WW1" t="s">
        <v>1772</v>
      </c>
      <c r="WX1" t="s">
        <v>1773</v>
      </c>
      <c r="WY1" t="s">
        <v>1774</v>
      </c>
      <c r="WZ1" t="s">
        <v>1775</v>
      </c>
      <c r="XA1" t="s">
        <v>1776</v>
      </c>
      <c r="XB1" t="s">
        <v>1777</v>
      </c>
      <c r="XC1" t="s">
        <v>1778</v>
      </c>
      <c r="XD1" t="s">
        <v>1779</v>
      </c>
      <c r="XE1" t="s">
        <v>1780</v>
      </c>
      <c r="XF1" t="s">
        <v>1781</v>
      </c>
      <c r="XG1" t="s">
        <v>1782</v>
      </c>
      <c r="XH1" t="s">
        <v>1783</v>
      </c>
      <c r="XI1" t="s">
        <v>1784</v>
      </c>
      <c r="XJ1" t="s">
        <v>1785</v>
      </c>
      <c r="XK1" t="s">
        <v>1786</v>
      </c>
      <c r="XL1" t="s">
        <v>1787</v>
      </c>
      <c r="XM1" t="s">
        <v>1788</v>
      </c>
      <c r="XN1" t="s">
        <v>1789</v>
      </c>
      <c r="XO1" t="s">
        <v>1790</v>
      </c>
      <c r="XP1" t="s">
        <v>1791</v>
      </c>
      <c r="XQ1" t="s">
        <v>1792</v>
      </c>
      <c r="XR1" t="s">
        <v>1793</v>
      </c>
      <c r="XS1" t="s">
        <v>1794</v>
      </c>
      <c r="XT1" t="s">
        <v>1795</v>
      </c>
      <c r="XU1" t="s">
        <v>1796</v>
      </c>
      <c r="XV1" t="s">
        <v>1797</v>
      </c>
      <c r="XW1" t="s">
        <v>1798</v>
      </c>
      <c r="XX1" t="s">
        <v>1799</v>
      </c>
      <c r="XY1" t="s">
        <v>1800</v>
      </c>
      <c r="XZ1" t="s">
        <v>1801</v>
      </c>
      <c r="YA1" t="s">
        <v>1802</v>
      </c>
      <c r="YB1" t="s">
        <v>1803</v>
      </c>
      <c r="YC1" t="s">
        <v>1804</v>
      </c>
      <c r="YD1" t="s">
        <v>1805</v>
      </c>
      <c r="YE1" t="s">
        <v>1806</v>
      </c>
      <c r="YF1" t="s">
        <v>1807</v>
      </c>
      <c r="YG1" t="s">
        <v>1808</v>
      </c>
      <c r="YH1" t="s">
        <v>1809</v>
      </c>
      <c r="YI1" t="s">
        <v>1810</v>
      </c>
      <c r="YJ1" t="s">
        <v>1811</v>
      </c>
      <c r="YK1" t="s">
        <v>1812</v>
      </c>
      <c r="YL1" t="s">
        <v>1813</v>
      </c>
      <c r="YM1" t="s">
        <v>1814</v>
      </c>
      <c r="YN1" t="s">
        <v>1815</v>
      </c>
      <c r="YO1" t="s">
        <v>1816</v>
      </c>
      <c r="YP1" t="s">
        <v>1817</v>
      </c>
      <c r="YQ1" t="s">
        <v>1818</v>
      </c>
      <c r="YR1" t="s">
        <v>1819</v>
      </c>
      <c r="YS1" t="s">
        <v>1820</v>
      </c>
      <c r="YT1" t="s">
        <v>1821</v>
      </c>
      <c r="YU1" t="s">
        <v>1822</v>
      </c>
      <c r="YV1" t="s">
        <v>1823</v>
      </c>
      <c r="YW1" t="s">
        <v>1824</v>
      </c>
      <c r="YX1" t="s">
        <v>1825</v>
      </c>
      <c r="YY1" t="s">
        <v>1826</v>
      </c>
      <c r="YZ1" t="s">
        <v>1827</v>
      </c>
      <c r="ZA1" t="s">
        <v>1828</v>
      </c>
      <c r="ZB1" t="s">
        <v>1829</v>
      </c>
      <c r="ZC1" t="s">
        <v>1830</v>
      </c>
      <c r="ZD1" t="s">
        <v>1831</v>
      </c>
      <c r="ZE1" t="s">
        <v>1832</v>
      </c>
      <c r="ZF1" t="s">
        <v>1833</v>
      </c>
      <c r="ZG1" t="s">
        <v>1834</v>
      </c>
      <c r="ZH1" t="s">
        <v>1835</v>
      </c>
      <c r="ZI1" t="s">
        <v>1836</v>
      </c>
      <c r="ZJ1" t="s">
        <v>1837</v>
      </c>
      <c r="ZK1" t="s">
        <v>1838</v>
      </c>
      <c r="ZL1" t="s">
        <v>1839</v>
      </c>
      <c r="ZM1" t="s">
        <v>1840</v>
      </c>
      <c r="ZN1" t="s">
        <v>1841</v>
      </c>
      <c r="ZO1" t="s">
        <v>1842</v>
      </c>
      <c r="ZP1" t="s">
        <v>1843</v>
      </c>
      <c r="ZQ1" t="s">
        <v>1844</v>
      </c>
      <c r="ZR1" t="s">
        <v>1845</v>
      </c>
      <c r="ZS1" t="s">
        <v>1846</v>
      </c>
      <c r="ZT1" t="s">
        <v>1847</v>
      </c>
      <c r="ZU1" t="s">
        <v>1848</v>
      </c>
      <c r="ZV1" t="s">
        <v>1849</v>
      </c>
      <c r="ZW1" t="s">
        <v>1850</v>
      </c>
      <c r="ZX1" t="s">
        <v>1851</v>
      </c>
      <c r="ZY1" t="s">
        <v>1852</v>
      </c>
      <c r="ZZ1" t="s">
        <v>1853</v>
      </c>
      <c r="AAA1" t="s">
        <v>1854</v>
      </c>
      <c r="AAB1" t="s">
        <v>1855</v>
      </c>
      <c r="AAC1" t="s">
        <v>1856</v>
      </c>
      <c r="AAD1" t="s">
        <v>1857</v>
      </c>
      <c r="AAE1" t="s">
        <v>1858</v>
      </c>
      <c r="AAF1" t="s">
        <v>1859</v>
      </c>
      <c r="AAG1" t="s">
        <v>1860</v>
      </c>
      <c r="AAH1" t="s">
        <v>1861</v>
      </c>
      <c r="AAI1" t="s">
        <v>1862</v>
      </c>
      <c r="AAJ1" t="s">
        <v>1863</v>
      </c>
      <c r="AAK1" t="s">
        <v>1864</v>
      </c>
      <c r="AAL1" t="s">
        <v>1865</v>
      </c>
      <c r="AAM1" t="s">
        <v>1866</v>
      </c>
      <c r="AAN1" t="s">
        <v>1867</v>
      </c>
      <c r="AAO1" t="s">
        <v>1868</v>
      </c>
      <c r="AAP1" t="s">
        <v>1869</v>
      </c>
      <c r="AAQ1" t="s">
        <v>1870</v>
      </c>
      <c r="AAR1" t="s">
        <v>1871</v>
      </c>
      <c r="AAS1" t="s">
        <v>1872</v>
      </c>
      <c r="AAT1" t="s">
        <v>1873</v>
      </c>
      <c r="AAU1" t="s">
        <v>1874</v>
      </c>
      <c r="AAV1" t="s">
        <v>1875</v>
      </c>
      <c r="AAW1" t="s">
        <v>1876</v>
      </c>
      <c r="AAX1" t="s">
        <v>1877</v>
      </c>
      <c r="AAY1" t="s">
        <v>1878</v>
      </c>
      <c r="AAZ1" t="s">
        <v>1879</v>
      </c>
      <c r="ABA1" t="s">
        <v>1880</v>
      </c>
      <c r="ABB1" t="s">
        <v>1881</v>
      </c>
      <c r="ABC1" t="s">
        <v>1882</v>
      </c>
      <c r="ABD1" t="s">
        <v>1883</v>
      </c>
      <c r="ABE1" t="s">
        <v>1884</v>
      </c>
      <c r="ABF1" t="s">
        <v>1885</v>
      </c>
      <c r="ABG1" t="s">
        <v>1886</v>
      </c>
      <c r="ABH1" t="s">
        <v>1887</v>
      </c>
      <c r="ABI1" t="s">
        <v>1888</v>
      </c>
      <c r="ABJ1" t="s">
        <v>1889</v>
      </c>
      <c r="ABK1" t="s">
        <v>1890</v>
      </c>
      <c r="ABL1" t="s">
        <v>1891</v>
      </c>
      <c r="ABM1" t="s">
        <v>1892</v>
      </c>
      <c r="ABN1" t="s">
        <v>1893</v>
      </c>
      <c r="ABO1" t="s">
        <v>1894</v>
      </c>
      <c r="ABP1" t="s">
        <v>1895</v>
      </c>
      <c r="ABQ1" t="s">
        <v>1896</v>
      </c>
      <c r="ABR1" t="s">
        <v>1897</v>
      </c>
      <c r="ABS1" t="s">
        <v>1898</v>
      </c>
      <c r="ABT1" t="s">
        <v>1899</v>
      </c>
      <c r="ABU1" t="s">
        <v>1900</v>
      </c>
      <c r="ABV1" t="s">
        <v>1901</v>
      </c>
      <c r="ABW1" t="s">
        <v>1902</v>
      </c>
      <c r="ABX1" t="s">
        <v>1903</v>
      </c>
      <c r="ABY1" t="s">
        <v>1904</v>
      </c>
      <c r="ABZ1" t="s">
        <v>1905</v>
      </c>
      <c r="ACA1" t="s">
        <v>1906</v>
      </c>
      <c r="ACB1" t="s">
        <v>1907</v>
      </c>
      <c r="ACC1" t="s">
        <v>1908</v>
      </c>
      <c r="ACD1" t="s">
        <v>1909</v>
      </c>
      <c r="ACE1" t="s">
        <v>1910</v>
      </c>
      <c r="ACF1" t="s">
        <v>1911</v>
      </c>
      <c r="ACG1" t="s">
        <v>1912</v>
      </c>
      <c r="ACH1" t="s">
        <v>1913</v>
      </c>
      <c r="ACI1" t="s">
        <v>1914</v>
      </c>
      <c r="ACJ1" t="s">
        <v>1915</v>
      </c>
      <c r="ACK1" t="s">
        <v>1916</v>
      </c>
      <c r="ACL1" t="s">
        <v>1917</v>
      </c>
      <c r="ACM1" t="s">
        <v>1918</v>
      </c>
      <c r="ACN1" t="s">
        <v>1919</v>
      </c>
      <c r="ACO1" t="s">
        <v>1920</v>
      </c>
      <c r="ACP1" t="s">
        <v>1921</v>
      </c>
      <c r="ACQ1" t="s">
        <v>1922</v>
      </c>
      <c r="ACR1" t="s">
        <v>1923</v>
      </c>
      <c r="ACS1" t="s">
        <v>1924</v>
      </c>
      <c r="ACT1" t="s">
        <v>1925</v>
      </c>
      <c r="ACU1" t="s">
        <v>1926</v>
      </c>
      <c r="ACV1" t="s">
        <v>1927</v>
      </c>
      <c r="ACW1" t="s">
        <v>1928</v>
      </c>
      <c r="ACX1" t="s">
        <v>1929</v>
      </c>
      <c r="ACY1" t="s">
        <v>1930</v>
      </c>
      <c r="ACZ1" t="s">
        <v>1931</v>
      </c>
      <c r="ADA1" t="s">
        <v>1932</v>
      </c>
      <c r="ADB1" t="s">
        <v>1933</v>
      </c>
      <c r="ADC1" t="s">
        <v>1934</v>
      </c>
      <c r="ADD1" t="s">
        <v>1935</v>
      </c>
      <c r="ADE1" t="s">
        <v>1936</v>
      </c>
      <c r="ADF1" t="s">
        <v>1937</v>
      </c>
      <c r="ADG1" t="s">
        <v>1938</v>
      </c>
      <c r="ADH1" t="s">
        <v>1939</v>
      </c>
      <c r="ADI1" t="s">
        <v>1940</v>
      </c>
      <c r="ADJ1" t="s">
        <v>1941</v>
      </c>
      <c r="ADK1" t="s">
        <v>1942</v>
      </c>
      <c r="ADL1" t="s">
        <v>1943</v>
      </c>
      <c r="ADM1" t="s">
        <v>1944</v>
      </c>
      <c r="ADN1" t="s">
        <v>1945</v>
      </c>
      <c r="ADO1" t="s">
        <v>1946</v>
      </c>
      <c r="ADP1" t="s">
        <v>1947</v>
      </c>
      <c r="ADQ1" t="s">
        <v>1948</v>
      </c>
      <c r="ADR1" t="s">
        <v>1949</v>
      </c>
      <c r="ADS1" t="s">
        <v>1950</v>
      </c>
      <c r="ADT1" t="s">
        <v>1951</v>
      </c>
      <c r="ADU1" t="s">
        <v>1952</v>
      </c>
      <c r="ADV1" t="s">
        <v>1953</v>
      </c>
      <c r="ADW1" t="s">
        <v>1954</v>
      </c>
      <c r="ADX1" t="s">
        <v>1955</v>
      </c>
      <c r="ADY1" t="s">
        <v>1956</v>
      </c>
      <c r="ADZ1" t="s">
        <v>1957</v>
      </c>
      <c r="AEA1" t="s">
        <v>1958</v>
      </c>
      <c r="AEB1" t="s">
        <v>1959</v>
      </c>
      <c r="AEC1" t="s">
        <v>1960</v>
      </c>
      <c r="AED1" t="s">
        <v>1961</v>
      </c>
      <c r="AEE1" t="s">
        <v>1962</v>
      </c>
      <c r="AEF1" t="s">
        <v>1963</v>
      </c>
      <c r="AEG1" t="s">
        <v>1964</v>
      </c>
      <c r="AEH1" t="s">
        <v>1965</v>
      </c>
      <c r="AEI1" t="s">
        <v>1966</v>
      </c>
      <c r="AEJ1" t="s">
        <v>1967</v>
      </c>
      <c r="AEK1" t="s">
        <v>1968</v>
      </c>
      <c r="AEL1" t="s">
        <v>1969</v>
      </c>
      <c r="AEM1" t="s">
        <v>1970</v>
      </c>
      <c r="AEN1" t="s">
        <v>1971</v>
      </c>
      <c r="AEO1" t="s">
        <v>1972</v>
      </c>
      <c r="AEP1" t="s">
        <v>1973</v>
      </c>
      <c r="AEQ1" t="s">
        <v>1974</v>
      </c>
      <c r="AER1" t="s">
        <v>1975</v>
      </c>
      <c r="AES1" t="s">
        <v>1976</v>
      </c>
      <c r="AET1" t="s">
        <v>1977</v>
      </c>
      <c r="AEU1" t="s">
        <v>1978</v>
      </c>
      <c r="AEV1" t="s">
        <v>1979</v>
      </c>
      <c r="AEW1" t="s">
        <v>1980</v>
      </c>
      <c r="AEX1" t="s">
        <v>1981</v>
      </c>
      <c r="AEY1" t="s">
        <v>1982</v>
      </c>
      <c r="AEZ1" t="s">
        <v>1983</v>
      </c>
      <c r="AFA1" t="s">
        <v>1984</v>
      </c>
      <c r="AFB1" t="s">
        <v>1985</v>
      </c>
      <c r="AFC1" t="s">
        <v>1986</v>
      </c>
      <c r="AFD1" t="s">
        <v>1987</v>
      </c>
      <c r="AFE1" t="s">
        <v>1988</v>
      </c>
      <c r="AFF1" t="s">
        <v>1989</v>
      </c>
      <c r="AFG1" t="s">
        <v>1990</v>
      </c>
      <c r="AFH1" t="s">
        <v>1991</v>
      </c>
      <c r="AFI1" t="s">
        <v>1992</v>
      </c>
      <c r="AFJ1" t="s">
        <v>1993</v>
      </c>
      <c r="AFK1" t="s">
        <v>1994</v>
      </c>
      <c r="AFL1" t="s">
        <v>1995</v>
      </c>
      <c r="AFM1" t="s">
        <v>1996</v>
      </c>
      <c r="AFN1" t="s">
        <v>1997</v>
      </c>
      <c r="AFO1" t="s">
        <v>1998</v>
      </c>
      <c r="AFP1" t="s">
        <v>1999</v>
      </c>
      <c r="AFQ1" t="s">
        <v>2000</v>
      </c>
      <c r="AFR1" t="s">
        <v>2001</v>
      </c>
      <c r="AFS1" t="s">
        <v>2002</v>
      </c>
      <c r="AFT1" t="s">
        <v>2003</v>
      </c>
      <c r="AFU1" t="s">
        <v>2004</v>
      </c>
      <c r="AFV1" t="s">
        <v>2005</v>
      </c>
      <c r="AFW1" t="s">
        <v>2006</v>
      </c>
      <c r="AFX1" t="s">
        <v>2007</v>
      </c>
      <c r="AFY1" t="s">
        <v>2008</v>
      </c>
      <c r="AFZ1" t="s">
        <v>2009</v>
      </c>
      <c r="AGA1" t="s">
        <v>2010</v>
      </c>
      <c r="AGB1" t="s">
        <v>2011</v>
      </c>
      <c r="AGC1" t="s">
        <v>2012</v>
      </c>
      <c r="AGD1" t="s">
        <v>2013</v>
      </c>
      <c r="AGE1" t="s">
        <v>2014</v>
      </c>
      <c r="AGF1" t="s">
        <v>2015</v>
      </c>
      <c r="AGG1" t="s">
        <v>2016</v>
      </c>
      <c r="AGH1" t="s">
        <v>2017</v>
      </c>
      <c r="AGI1" t="s">
        <v>2018</v>
      </c>
      <c r="AGJ1" t="s">
        <v>2019</v>
      </c>
      <c r="AGK1" t="s">
        <v>2020</v>
      </c>
      <c r="AGL1" t="s">
        <v>2021</v>
      </c>
      <c r="AGM1" t="s">
        <v>2022</v>
      </c>
      <c r="AGN1" t="s">
        <v>2023</v>
      </c>
      <c r="AGO1" t="s">
        <v>2024</v>
      </c>
      <c r="AGP1" t="s">
        <v>2025</v>
      </c>
      <c r="AGQ1" t="s">
        <v>2026</v>
      </c>
      <c r="AGR1" t="s">
        <v>2027</v>
      </c>
      <c r="AGS1" t="s">
        <v>2028</v>
      </c>
      <c r="AGT1" t="s">
        <v>2029</v>
      </c>
      <c r="AGU1" t="s">
        <v>2030</v>
      </c>
      <c r="AGV1" t="s">
        <v>2031</v>
      </c>
      <c r="AGW1" t="s">
        <v>2032</v>
      </c>
      <c r="AGX1" t="s">
        <v>2033</v>
      </c>
      <c r="AGY1" t="s">
        <v>2034</v>
      </c>
      <c r="AGZ1" t="s">
        <v>2035</v>
      </c>
      <c r="AHA1" t="s">
        <v>2036</v>
      </c>
      <c r="AHB1" t="s">
        <v>2037</v>
      </c>
      <c r="AHC1" t="s">
        <v>2038</v>
      </c>
      <c r="AHD1" t="s">
        <v>2039</v>
      </c>
      <c r="AHE1" t="s">
        <v>2040</v>
      </c>
      <c r="AHF1" t="s">
        <v>2041</v>
      </c>
      <c r="AHG1" t="s">
        <v>2042</v>
      </c>
      <c r="AHH1" t="s">
        <v>2043</v>
      </c>
      <c r="AHI1" t="s">
        <v>2044</v>
      </c>
      <c r="AHJ1" t="s">
        <v>2045</v>
      </c>
      <c r="AHK1" t="s">
        <v>2046</v>
      </c>
      <c r="AHL1" t="s">
        <v>2047</v>
      </c>
      <c r="AHM1" t="s">
        <v>2048</v>
      </c>
      <c r="AHN1" t="s">
        <v>2049</v>
      </c>
      <c r="AHO1" t="s">
        <v>2050</v>
      </c>
      <c r="AHP1" t="s">
        <v>2051</v>
      </c>
      <c r="AHQ1" t="s">
        <v>2052</v>
      </c>
      <c r="AHR1" t="s">
        <v>2053</v>
      </c>
      <c r="AHS1" t="s">
        <v>2054</v>
      </c>
      <c r="AHT1" t="s">
        <v>2055</v>
      </c>
    </row>
    <row r="2" spans="1:904" x14ac:dyDescent="0.25">
      <c r="A2" s="14">
        <v>121</v>
      </c>
      <c r="B2" s="14" t="s">
        <v>590</v>
      </c>
      <c r="C2" s="16">
        <f>VLOOKUP(A2,[4]RawData!Z:AA,2,FALSE)</f>
        <v>42761.068749999999</v>
      </c>
      <c r="D2" s="14" t="s">
        <v>591</v>
      </c>
      <c r="E2" s="14" t="s">
        <v>592</v>
      </c>
      <c r="F2" s="14" t="s">
        <v>593</v>
      </c>
      <c r="G2" s="14" t="s">
        <v>594</v>
      </c>
      <c r="H2" s="14">
        <v>6569225560</v>
      </c>
      <c r="I2" s="14" t="s">
        <v>595</v>
      </c>
      <c r="J2" s="14" t="s">
        <v>596</v>
      </c>
      <c r="L2" s="14">
        <v>1</v>
      </c>
      <c r="O2" s="14">
        <v>109</v>
      </c>
      <c r="U2" s="14">
        <v>109</v>
      </c>
      <c r="AB2" s="14">
        <v>0</v>
      </c>
      <c r="AI2" s="14">
        <v>0</v>
      </c>
      <c r="AP2" s="14">
        <v>0</v>
      </c>
      <c r="AW2" s="14">
        <v>0</v>
      </c>
      <c r="BD2" s="14">
        <v>0</v>
      </c>
      <c r="BE2" s="14">
        <v>109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109</v>
      </c>
      <c r="BL2" s="14">
        <v>2</v>
      </c>
      <c r="BR2" s="14">
        <v>2</v>
      </c>
      <c r="BY2" s="14">
        <v>0</v>
      </c>
      <c r="CF2" s="14">
        <v>0</v>
      </c>
      <c r="CM2" s="14">
        <v>0</v>
      </c>
      <c r="CT2" s="14">
        <v>0</v>
      </c>
      <c r="DA2" s="14">
        <v>0</v>
      </c>
      <c r="DB2" s="14">
        <v>2</v>
      </c>
      <c r="DC2" s="14">
        <v>0</v>
      </c>
      <c r="DD2" s="14">
        <v>0</v>
      </c>
      <c r="DE2" s="14">
        <v>0</v>
      </c>
      <c r="DF2" s="14">
        <v>0</v>
      </c>
      <c r="DG2" s="14">
        <v>0</v>
      </c>
      <c r="DH2" s="14">
        <v>2</v>
      </c>
      <c r="DI2" s="14" t="s">
        <v>597</v>
      </c>
      <c r="DJ2" s="14" t="s">
        <v>598</v>
      </c>
      <c r="DK2" s="14" t="s">
        <v>598</v>
      </c>
      <c r="DL2" s="14" t="s">
        <v>598</v>
      </c>
      <c r="DM2" s="14" t="s">
        <v>598</v>
      </c>
      <c r="DN2" s="14" t="s">
        <v>598</v>
      </c>
      <c r="DO2" s="14" t="s">
        <v>598</v>
      </c>
      <c r="DP2" s="14" t="s">
        <v>598</v>
      </c>
      <c r="DQ2" s="14" t="s">
        <v>598</v>
      </c>
      <c r="DR2" s="14" t="s">
        <v>598</v>
      </c>
      <c r="DS2" s="14" t="s">
        <v>598</v>
      </c>
      <c r="DT2" s="14" t="s">
        <v>598</v>
      </c>
      <c r="DU2" s="14" t="s">
        <v>598</v>
      </c>
      <c r="DV2" s="14" t="s">
        <v>598</v>
      </c>
      <c r="DW2" s="14" t="s">
        <v>598</v>
      </c>
      <c r="DX2" s="14" t="s">
        <v>598</v>
      </c>
      <c r="DY2" s="14" t="s">
        <v>598</v>
      </c>
      <c r="DZ2" s="14" t="s">
        <v>598</v>
      </c>
      <c r="EA2" s="14" t="s">
        <v>598</v>
      </c>
      <c r="EB2" s="14" t="s">
        <v>598</v>
      </c>
      <c r="EC2" s="14" t="s">
        <v>598</v>
      </c>
      <c r="ED2" s="14" t="s">
        <v>598</v>
      </c>
      <c r="EE2" s="14" t="s">
        <v>598</v>
      </c>
      <c r="EF2" s="14" t="s">
        <v>598</v>
      </c>
      <c r="EG2" s="14" t="s">
        <v>598</v>
      </c>
      <c r="EH2" s="14" t="s">
        <v>598</v>
      </c>
      <c r="EI2" s="14" t="s">
        <v>598</v>
      </c>
      <c r="EJ2" s="14" t="s">
        <v>598</v>
      </c>
      <c r="EK2" s="14" t="s">
        <v>598</v>
      </c>
      <c r="EL2" s="14" t="s">
        <v>598</v>
      </c>
      <c r="EM2" s="14" t="s">
        <v>598</v>
      </c>
      <c r="EN2" s="14" t="s">
        <v>598</v>
      </c>
      <c r="EO2" s="14" t="s">
        <v>598</v>
      </c>
      <c r="EP2" s="14" t="s">
        <v>598</v>
      </c>
      <c r="EQ2" s="14" t="s">
        <v>598</v>
      </c>
      <c r="ER2" s="14" t="s">
        <v>598</v>
      </c>
      <c r="ES2" s="14">
        <v>45</v>
      </c>
      <c r="EY2" s="14">
        <v>45</v>
      </c>
      <c r="EZ2" s="14">
        <v>47</v>
      </c>
      <c r="FF2" s="14">
        <v>47</v>
      </c>
      <c r="FM2" s="14">
        <v>0</v>
      </c>
      <c r="FT2" s="14">
        <v>0</v>
      </c>
      <c r="GA2" s="14">
        <v>0</v>
      </c>
      <c r="GH2" s="14">
        <v>0</v>
      </c>
      <c r="GI2" s="14">
        <v>2</v>
      </c>
      <c r="GO2" s="14">
        <v>2</v>
      </c>
      <c r="GP2" s="14" t="s">
        <v>599</v>
      </c>
      <c r="GQ2" s="14">
        <v>15</v>
      </c>
      <c r="GW2" s="14">
        <v>15</v>
      </c>
      <c r="GX2" s="14">
        <v>109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109</v>
      </c>
      <c r="HE2" s="14">
        <v>2</v>
      </c>
      <c r="HK2" s="14">
        <v>2</v>
      </c>
      <c r="HL2" s="14">
        <v>67</v>
      </c>
      <c r="HR2" s="14">
        <v>67</v>
      </c>
      <c r="HS2" s="14">
        <v>40</v>
      </c>
      <c r="HY2" s="14">
        <v>40</v>
      </c>
      <c r="IF2" s="14">
        <v>0</v>
      </c>
      <c r="IM2" s="14">
        <v>0</v>
      </c>
      <c r="IN2" s="14">
        <v>109</v>
      </c>
      <c r="IO2" s="14">
        <v>0</v>
      </c>
      <c r="IP2" s="14">
        <v>0</v>
      </c>
      <c r="IQ2" s="14">
        <v>0</v>
      </c>
      <c r="IR2" s="14">
        <v>0</v>
      </c>
      <c r="IS2" s="14">
        <v>0</v>
      </c>
      <c r="IT2" s="14">
        <v>109</v>
      </c>
      <c r="IU2" s="14">
        <v>100</v>
      </c>
      <c r="IZ2" s="14">
        <v>3</v>
      </c>
      <c r="JA2" s="14">
        <v>3</v>
      </c>
      <c r="JB2" s="14">
        <v>2</v>
      </c>
      <c r="JC2" s="14" t="s">
        <v>600</v>
      </c>
      <c r="JD2" s="14">
        <v>45</v>
      </c>
      <c r="JJ2" s="14">
        <v>45</v>
      </c>
      <c r="JK2" s="14">
        <v>47</v>
      </c>
      <c r="JQ2" s="14">
        <v>47</v>
      </c>
      <c r="JX2" s="14">
        <v>0</v>
      </c>
      <c r="KE2" s="14">
        <v>0</v>
      </c>
      <c r="KL2" s="14">
        <v>0</v>
      </c>
      <c r="KS2" s="14">
        <v>0</v>
      </c>
      <c r="KT2" s="14">
        <v>2</v>
      </c>
      <c r="KZ2" s="14">
        <v>2</v>
      </c>
      <c r="LB2" s="14">
        <v>15</v>
      </c>
      <c r="LH2" s="14">
        <v>15</v>
      </c>
      <c r="LI2" s="14">
        <v>109</v>
      </c>
      <c r="LJ2" s="14">
        <v>0</v>
      </c>
      <c r="LK2" s="14">
        <v>0</v>
      </c>
      <c r="LL2" s="14">
        <v>0</v>
      </c>
      <c r="LM2" s="14">
        <v>0</v>
      </c>
      <c r="LN2" s="14">
        <v>0</v>
      </c>
      <c r="LO2" s="14">
        <v>109</v>
      </c>
      <c r="LP2" s="14">
        <v>67</v>
      </c>
      <c r="LV2" s="14">
        <v>67</v>
      </c>
      <c r="LW2" s="14">
        <v>2</v>
      </c>
      <c r="MC2" s="14">
        <v>2</v>
      </c>
      <c r="MD2" s="14">
        <v>40</v>
      </c>
      <c r="MJ2" s="14">
        <v>40</v>
      </c>
      <c r="MQ2" s="14">
        <v>0</v>
      </c>
      <c r="MX2" s="14">
        <v>0</v>
      </c>
      <c r="MY2" s="14">
        <v>109</v>
      </c>
      <c r="MZ2" s="14">
        <v>0</v>
      </c>
      <c r="NA2" s="14">
        <v>0</v>
      </c>
      <c r="NB2" s="14">
        <v>0</v>
      </c>
      <c r="NC2" s="14">
        <v>0</v>
      </c>
      <c r="ND2" s="14">
        <v>0</v>
      </c>
      <c r="NE2" s="14">
        <v>109</v>
      </c>
      <c r="NF2" s="14" t="s">
        <v>601</v>
      </c>
      <c r="RI2" s="14" t="s">
        <v>602</v>
      </c>
      <c r="VL2" s="14" t="s">
        <v>603</v>
      </c>
      <c r="ZO2" s="14" t="s">
        <v>604</v>
      </c>
      <c r="ADR2" s="14" t="s">
        <v>605</v>
      </c>
    </row>
    <row r="3" spans="1:904" x14ac:dyDescent="0.25">
      <c r="A3" s="14">
        <v>78</v>
      </c>
      <c r="B3" s="14" t="s">
        <v>590</v>
      </c>
      <c r="C3" s="16">
        <v>42780</v>
      </c>
      <c r="D3" s="14" t="s">
        <v>606</v>
      </c>
      <c r="E3" s="14" t="s">
        <v>607</v>
      </c>
      <c r="F3" s="14" t="s">
        <v>608</v>
      </c>
      <c r="G3" s="14" t="s">
        <v>609</v>
      </c>
      <c r="H3" s="14" t="s">
        <v>610</v>
      </c>
      <c r="I3" s="14" t="s">
        <v>611</v>
      </c>
      <c r="J3" s="14" t="s">
        <v>596</v>
      </c>
      <c r="L3" s="14">
        <v>1</v>
      </c>
      <c r="U3" s="14">
        <v>0</v>
      </c>
      <c r="V3" s="14">
        <v>152</v>
      </c>
      <c r="AB3" s="14">
        <v>152</v>
      </c>
      <c r="AC3" s="14">
        <v>911</v>
      </c>
      <c r="AD3" s="14">
        <v>742</v>
      </c>
      <c r="AH3" s="14">
        <v>355</v>
      </c>
      <c r="AI3" s="14">
        <v>2008</v>
      </c>
      <c r="AP3" s="14">
        <v>0</v>
      </c>
      <c r="AW3" s="14">
        <v>0</v>
      </c>
      <c r="BD3" s="14">
        <v>0</v>
      </c>
      <c r="BE3" s="14">
        <v>1063</v>
      </c>
      <c r="BF3" s="14">
        <v>742</v>
      </c>
      <c r="BG3" s="14">
        <v>0</v>
      </c>
      <c r="BH3" s="14">
        <v>0</v>
      </c>
      <c r="BI3" s="14">
        <v>0</v>
      </c>
      <c r="BJ3" s="14">
        <v>355</v>
      </c>
      <c r="BK3" s="14">
        <v>2160</v>
      </c>
      <c r="BR3" s="14">
        <v>0</v>
      </c>
      <c r="BS3" s="14">
        <v>1</v>
      </c>
      <c r="BY3" s="14">
        <v>1</v>
      </c>
      <c r="BZ3" s="14">
        <v>1</v>
      </c>
      <c r="CA3" s="14">
        <v>3</v>
      </c>
      <c r="CE3" s="14">
        <v>2</v>
      </c>
      <c r="CF3" s="14">
        <v>6</v>
      </c>
      <c r="CM3" s="14">
        <v>0</v>
      </c>
      <c r="CT3" s="14">
        <v>0</v>
      </c>
      <c r="DA3" s="14">
        <v>0</v>
      </c>
      <c r="DB3" s="14">
        <v>2</v>
      </c>
      <c r="DC3" s="14">
        <v>3</v>
      </c>
      <c r="DD3" s="14">
        <v>0</v>
      </c>
      <c r="DE3" s="14">
        <v>0</v>
      </c>
      <c r="DF3" s="14">
        <v>0</v>
      </c>
      <c r="DG3" s="14">
        <v>2</v>
      </c>
      <c r="DH3" s="14">
        <v>7</v>
      </c>
      <c r="DI3" s="14" t="s">
        <v>598</v>
      </c>
      <c r="DJ3" s="14" t="s">
        <v>598</v>
      </c>
      <c r="DK3" s="14" t="s">
        <v>598</v>
      </c>
      <c r="DL3" s="14" t="s">
        <v>598</v>
      </c>
      <c r="DM3" s="14" t="s">
        <v>598</v>
      </c>
      <c r="DN3" s="14" t="s">
        <v>598</v>
      </c>
      <c r="DO3" s="14" t="s">
        <v>597</v>
      </c>
      <c r="DP3" s="14" t="s">
        <v>598</v>
      </c>
      <c r="DQ3" s="14" t="s">
        <v>598</v>
      </c>
      <c r="DR3" s="14" t="s">
        <v>598</v>
      </c>
      <c r="DS3" s="14" t="s">
        <v>598</v>
      </c>
      <c r="DT3" s="14" t="s">
        <v>598</v>
      </c>
      <c r="DU3" s="14" t="s">
        <v>597</v>
      </c>
      <c r="DV3" s="14" t="s">
        <v>597</v>
      </c>
      <c r="DW3" s="14" t="s">
        <v>598</v>
      </c>
      <c r="DX3" s="14" t="s">
        <v>598</v>
      </c>
      <c r="DY3" s="14" t="s">
        <v>598</v>
      </c>
      <c r="DZ3" s="14" t="s">
        <v>597</v>
      </c>
      <c r="EA3" s="14" t="s">
        <v>598</v>
      </c>
      <c r="EB3" s="14" t="s">
        <v>598</v>
      </c>
      <c r="EC3" s="14" t="s">
        <v>598</v>
      </c>
      <c r="ED3" s="14" t="s">
        <v>598</v>
      </c>
      <c r="EE3" s="14" t="s">
        <v>598</v>
      </c>
      <c r="EF3" s="14" t="s">
        <v>598</v>
      </c>
      <c r="EG3" s="14" t="s">
        <v>598</v>
      </c>
      <c r="EH3" s="14" t="s">
        <v>598</v>
      </c>
      <c r="EI3" s="14" t="s">
        <v>598</v>
      </c>
      <c r="EJ3" s="14" t="s">
        <v>598</v>
      </c>
      <c r="EK3" s="14" t="s">
        <v>598</v>
      </c>
      <c r="EL3" s="14" t="s">
        <v>598</v>
      </c>
      <c r="EM3" s="14" t="s">
        <v>598</v>
      </c>
      <c r="EN3" s="14" t="s">
        <v>598</v>
      </c>
      <c r="EO3" s="14" t="s">
        <v>598</v>
      </c>
      <c r="EP3" s="14" t="s">
        <v>598</v>
      </c>
      <c r="EQ3" s="14" t="s">
        <v>598</v>
      </c>
      <c r="ER3" s="14" t="s">
        <v>598</v>
      </c>
      <c r="ES3" s="14">
        <v>99</v>
      </c>
      <c r="EY3" s="14">
        <v>99</v>
      </c>
      <c r="EZ3" s="14">
        <v>64</v>
      </c>
      <c r="FF3" s="14">
        <v>64</v>
      </c>
      <c r="FG3" s="14">
        <v>409</v>
      </c>
      <c r="FM3" s="14">
        <v>409</v>
      </c>
      <c r="FN3" s="14">
        <v>294</v>
      </c>
      <c r="FO3" s="14">
        <v>742</v>
      </c>
      <c r="FS3" s="14">
        <v>355</v>
      </c>
      <c r="FT3" s="14">
        <v>1391</v>
      </c>
      <c r="FU3" s="14">
        <v>10</v>
      </c>
      <c r="GA3" s="14">
        <v>10</v>
      </c>
      <c r="GB3" s="14">
        <v>134</v>
      </c>
      <c r="GH3" s="14">
        <v>134</v>
      </c>
      <c r="GO3" s="14">
        <v>0</v>
      </c>
      <c r="GP3" s="14" t="s">
        <v>612</v>
      </c>
      <c r="GQ3" s="14">
        <v>53</v>
      </c>
      <c r="GW3" s="14">
        <v>53</v>
      </c>
      <c r="GX3" s="14">
        <v>1063</v>
      </c>
      <c r="GY3" s="14">
        <v>742</v>
      </c>
      <c r="GZ3" s="14">
        <v>0</v>
      </c>
      <c r="HA3" s="14">
        <v>0</v>
      </c>
      <c r="HB3" s="14">
        <v>0</v>
      </c>
      <c r="HC3" s="14">
        <v>355</v>
      </c>
      <c r="HD3" s="14">
        <v>2160</v>
      </c>
      <c r="HE3" s="14">
        <v>400</v>
      </c>
      <c r="HK3" s="14">
        <v>400</v>
      </c>
      <c r="HL3" s="14">
        <v>186</v>
      </c>
      <c r="HR3" s="14">
        <v>186</v>
      </c>
      <c r="HS3" s="14">
        <v>477</v>
      </c>
      <c r="HT3" s="14">
        <v>742</v>
      </c>
      <c r="HX3" s="14">
        <v>355</v>
      </c>
      <c r="HY3" s="14">
        <v>1574</v>
      </c>
      <c r="IF3" s="14">
        <v>0</v>
      </c>
      <c r="IM3" s="14">
        <v>0</v>
      </c>
      <c r="IN3" s="14">
        <v>1063</v>
      </c>
      <c r="IO3" s="14">
        <v>742</v>
      </c>
      <c r="IP3" s="14">
        <v>0</v>
      </c>
      <c r="IQ3" s="14">
        <v>0</v>
      </c>
      <c r="IR3" s="14">
        <v>0</v>
      </c>
      <c r="IS3" s="14">
        <v>355</v>
      </c>
      <c r="IT3" s="14">
        <v>2160</v>
      </c>
      <c r="IV3" s="14">
        <v>5</v>
      </c>
      <c r="IW3" s="14">
        <v>50</v>
      </c>
      <c r="IX3" s="14" t="s">
        <v>613</v>
      </c>
      <c r="IY3" s="14">
        <v>45</v>
      </c>
      <c r="IZ3" s="14">
        <v>3</v>
      </c>
      <c r="JA3" s="14">
        <v>1</v>
      </c>
      <c r="JB3" s="14">
        <v>1</v>
      </c>
      <c r="JC3" s="14" t="s">
        <v>600</v>
      </c>
      <c r="NF3" s="14" t="s">
        <v>601</v>
      </c>
      <c r="RI3" s="14" t="s">
        <v>602</v>
      </c>
      <c r="VL3" s="14" t="s">
        <v>603</v>
      </c>
      <c r="ZO3" s="14" t="s">
        <v>604</v>
      </c>
      <c r="ADR3" s="14" t="s">
        <v>605</v>
      </c>
    </row>
    <row r="4" spans="1:904" x14ac:dyDescent="0.25">
      <c r="A4" s="14">
        <v>161</v>
      </c>
      <c r="B4" s="14" t="s">
        <v>590</v>
      </c>
      <c r="C4" s="16">
        <f>VLOOKUP(A4,[4]RawData!Z:AA,2,FALSE)</f>
        <v>42769.068055555559</v>
      </c>
      <c r="D4" s="14" t="s">
        <v>614</v>
      </c>
      <c r="E4" s="14" t="s">
        <v>615</v>
      </c>
      <c r="F4" s="14" t="s">
        <v>616</v>
      </c>
      <c r="G4" s="14" t="s">
        <v>617</v>
      </c>
      <c r="H4" s="14">
        <v>85228439312</v>
      </c>
      <c r="I4" s="14" t="s">
        <v>618</v>
      </c>
      <c r="J4" s="14" t="s">
        <v>596</v>
      </c>
      <c r="L4" s="14">
        <v>2</v>
      </c>
      <c r="M4" s="14">
        <v>6</v>
      </c>
      <c r="N4" s="14" t="s">
        <v>619</v>
      </c>
      <c r="U4" s="14">
        <v>0</v>
      </c>
      <c r="AB4" s="14">
        <v>0</v>
      </c>
      <c r="AI4" s="14">
        <v>0</v>
      </c>
      <c r="AP4" s="14">
        <v>0</v>
      </c>
      <c r="AW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R4" s="14">
        <v>0</v>
      </c>
      <c r="BY4" s="14">
        <v>0</v>
      </c>
      <c r="CF4" s="14">
        <v>0</v>
      </c>
      <c r="CM4" s="14">
        <v>0</v>
      </c>
      <c r="CT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 t="s">
        <v>598</v>
      </c>
      <c r="DJ4" s="14" t="s">
        <v>598</v>
      </c>
      <c r="DK4" s="14" t="s">
        <v>598</v>
      </c>
      <c r="DL4" s="14" t="s">
        <v>598</v>
      </c>
      <c r="DM4" s="14" t="s">
        <v>598</v>
      </c>
      <c r="DN4" s="14" t="s">
        <v>598</v>
      </c>
      <c r="DO4" s="14" t="s">
        <v>598</v>
      </c>
      <c r="DP4" s="14" t="s">
        <v>598</v>
      </c>
      <c r="DQ4" s="14" t="s">
        <v>598</v>
      </c>
      <c r="DR4" s="14" t="s">
        <v>598</v>
      </c>
      <c r="DS4" s="14" t="s">
        <v>598</v>
      </c>
      <c r="DT4" s="14" t="s">
        <v>598</v>
      </c>
      <c r="DU4" s="14" t="s">
        <v>598</v>
      </c>
      <c r="DV4" s="14" t="s">
        <v>598</v>
      </c>
      <c r="DW4" s="14" t="s">
        <v>598</v>
      </c>
      <c r="DX4" s="14" t="s">
        <v>598</v>
      </c>
      <c r="DY4" s="14" t="s">
        <v>598</v>
      </c>
      <c r="DZ4" s="14" t="s">
        <v>598</v>
      </c>
      <c r="EA4" s="14" t="s">
        <v>598</v>
      </c>
      <c r="EB4" s="14" t="s">
        <v>598</v>
      </c>
      <c r="EC4" s="14" t="s">
        <v>598</v>
      </c>
      <c r="ED4" s="14" t="s">
        <v>598</v>
      </c>
      <c r="EE4" s="14" t="s">
        <v>598</v>
      </c>
      <c r="EF4" s="14" t="s">
        <v>598</v>
      </c>
      <c r="EG4" s="14" t="s">
        <v>598</v>
      </c>
      <c r="EH4" s="14" t="s">
        <v>598</v>
      </c>
      <c r="EI4" s="14" t="s">
        <v>598</v>
      </c>
      <c r="EJ4" s="14" t="s">
        <v>598</v>
      </c>
      <c r="EK4" s="14" t="s">
        <v>598</v>
      </c>
      <c r="EL4" s="14" t="s">
        <v>598</v>
      </c>
      <c r="EM4" s="14" t="s">
        <v>598</v>
      </c>
      <c r="EN4" s="14" t="s">
        <v>598</v>
      </c>
      <c r="EO4" s="14" t="s">
        <v>598</v>
      </c>
      <c r="EP4" s="14" t="s">
        <v>598</v>
      </c>
      <c r="EQ4" s="14" t="s">
        <v>598</v>
      </c>
      <c r="ER4" s="14" t="s">
        <v>598</v>
      </c>
      <c r="EY4" s="14">
        <v>0</v>
      </c>
      <c r="FF4" s="14">
        <v>0</v>
      </c>
      <c r="FM4" s="14">
        <v>0</v>
      </c>
      <c r="FT4" s="14">
        <v>0</v>
      </c>
      <c r="GA4" s="14">
        <v>0</v>
      </c>
      <c r="GH4" s="14">
        <v>0</v>
      </c>
      <c r="GO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K4" s="14">
        <v>0</v>
      </c>
      <c r="HR4" s="14">
        <v>0</v>
      </c>
      <c r="HY4" s="14">
        <v>0</v>
      </c>
      <c r="IF4" s="14">
        <v>0</v>
      </c>
      <c r="IM4" s="14">
        <v>0</v>
      </c>
      <c r="IN4" s="14">
        <v>0</v>
      </c>
      <c r="IO4" s="14">
        <v>0</v>
      </c>
      <c r="IP4" s="14">
        <v>0</v>
      </c>
      <c r="IQ4" s="14">
        <v>0</v>
      </c>
      <c r="IR4" s="14">
        <v>0</v>
      </c>
      <c r="IS4" s="14">
        <v>0</v>
      </c>
      <c r="IT4" s="14">
        <v>0</v>
      </c>
      <c r="IZ4" s="14">
        <v>1</v>
      </c>
      <c r="JA4" s="14">
        <v>2</v>
      </c>
      <c r="JB4" s="14">
        <v>1</v>
      </c>
      <c r="JC4" s="14" t="s">
        <v>600</v>
      </c>
      <c r="NF4" s="14" t="s">
        <v>601</v>
      </c>
      <c r="RI4" s="14" t="s">
        <v>602</v>
      </c>
      <c r="VL4" s="14" t="s">
        <v>603</v>
      </c>
      <c r="ZO4" s="14" t="s">
        <v>604</v>
      </c>
      <c r="ADR4" s="14" t="s">
        <v>605</v>
      </c>
    </row>
    <row r="5" spans="1:904" x14ac:dyDescent="0.25">
      <c r="A5" s="14">
        <v>217</v>
      </c>
      <c r="B5" s="14" t="s">
        <v>590</v>
      </c>
      <c r="C5" s="16">
        <f>$C$3</f>
        <v>42780</v>
      </c>
      <c r="D5" s="14" t="s">
        <v>620</v>
      </c>
      <c r="E5" s="14" t="s">
        <v>620</v>
      </c>
      <c r="F5" s="14" t="s">
        <v>621</v>
      </c>
      <c r="G5" s="14" t="s">
        <v>622</v>
      </c>
      <c r="H5" s="14" t="s">
        <v>623</v>
      </c>
      <c r="I5" s="14" t="s">
        <v>624</v>
      </c>
      <c r="J5" s="14" t="s">
        <v>625</v>
      </c>
      <c r="L5" s="14">
        <v>1</v>
      </c>
      <c r="O5" s="14">
        <v>1004</v>
      </c>
      <c r="R5" s="14">
        <v>1017</v>
      </c>
      <c r="U5" s="14">
        <v>2021</v>
      </c>
      <c r="AB5" s="14">
        <v>0</v>
      </c>
      <c r="AI5" s="14">
        <v>0</v>
      </c>
      <c r="AP5" s="14">
        <v>0</v>
      </c>
      <c r="AW5" s="14">
        <v>0</v>
      </c>
      <c r="BD5" s="14">
        <v>0</v>
      </c>
      <c r="BE5" s="14">
        <v>1004</v>
      </c>
      <c r="BF5" s="14">
        <v>0</v>
      </c>
      <c r="BG5" s="14">
        <v>0</v>
      </c>
      <c r="BH5" s="14">
        <v>1017</v>
      </c>
      <c r="BI5" s="14">
        <v>0</v>
      </c>
      <c r="BJ5" s="14">
        <v>0</v>
      </c>
      <c r="BK5" s="14">
        <v>2021</v>
      </c>
      <c r="BL5" s="14">
        <v>6</v>
      </c>
      <c r="BO5" s="14">
        <v>7</v>
      </c>
      <c r="BR5" s="14">
        <v>13</v>
      </c>
      <c r="BY5" s="14">
        <v>0</v>
      </c>
      <c r="CF5" s="14">
        <v>0</v>
      </c>
      <c r="CM5" s="14">
        <v>0</v>
      </c>
      <c r="CT5" s="14">
        <v>0</v>
      </c>
      <c r="DA5" s="14">
        <v>0</v>
      </c>
      <c r="DB5" s="14">
        <v>6</v>
      </c>
      <c r="DC5" s="14">
        <v>0</v>
      </c>
      <c r="DD5" s="14">
        <v>0</v>
      </c>
      <c r="DE5" s="14">
        <v>7</v>
      </c>
      <c r="DF5" s="14">
        <v>0</v>
      </c>
      <c r="DG5" s="14">
        <v>0</v>
      </c>
      <c r="DH5" s="14">
        <v>13</v>
      </c>
      <c r="DI5" s="14" t="s">
        <v>597</v>
      </c>
      <c r="DJ5" s="14" t="s">
        <v>598</v>
      </c>
      <c r="DK5" s="14" t="s">
        <v>598</v>
      </c>
      <c r="DL5" s="14" t="s">
        <v>597</v>
      </c>
      <c r="DM5" s="14" t="s">
        <v>598</v>
      </c>
      <c r="DN5" s="14" t="s">
        <v>598</v>
      </c>
      <c r="DO5" s="14" t="s">
        <v>598</v>
      </c>
      <c r="DP5" s="14" t="s">
        <v>598</v>
      </c>
      <c r="DQ5" s="14" t="s">
        <v>598</v>
      </c>
      <c r="DR5" s="14" t="s">
        <v>598</v>
      </c>
      <c r="DS5" s="14" t="s">
        <v>598</v>
      </c>
      <c r="DT5" s="14" t="s">
        <v>598</v>
      </c>
      <c r="DU5" s="14" t="s">
        <v>598</v>
      </c>
      <c r="DV5" s="14" t="s">
        <v>598</v>
      </c>
      <c r="DW5" s="14" t="s">
        <v>598</v>
      </c>
      <c r="DX5" s="14" t="s">
        <v>598</v>
      </c>
      <c r="DY5" s="14" t="s">
        <v>598</v>
      </c>
      <c r="DZ5" s="14" t="s">
        <v>598</v>
      </c>
      <c r="EA5" s="14" t="s">
        <v>598</v>
      </c>
      <c r="EB5" s="14" t="s">
        <v>598</v>
      </c>
      <c r="EC5" s="14" t="s">
        <v>598</v>
      </c>
      <c r="ED5" s="14" t="s">
        <v>598</v>
      </c>
      <c r="EE5" s="14" t="s">
        <v>598</v>
      </c>
      <c r="EF5" s="14" t="s">
        <v>598</v>
      </c>
      <c r="EG5" s="14" t="s">
        <v>598</v>
      </c>
      <c r="EH5" s="14" t="s">
        <v>598</v>
      </c>
      <c r="EI5" s="14" t="s">
        <v>598</v>
      </c>
      <c r="EJ5" s="14" t="s">
        <v>598</v>
      </c>
      <c r="EK5" s="14" t="s">
        <v>598</v>
      </c>
      <c r="EL5" s="14" t="s">
        <v>598</v>
      </c>
      <c r="EM5" s="14" t="s">
        <v>598</v>
      </c>
      <c r="EN5" s="14" t="s">
        <v>598</v>
      </c>
      <c r="EO5" s="14" t="s">
        <v>598</v>
      </c>
      <c r="EP5" s="14" t="s">
        <v>598</v>
      </c>
      <c r="EQ5" s="14" t="s">
        <v>598</v>
      </c>
      <c r="ER5" s="14" t="s">
        <v>598</v>
      </c>
      <c r="ES5" s="14">
        <v>152</v>
      </c>
      <c r="EV5" s="14">
        <v>596</v>
      </c>
      <c r="EY5" s="14">
        <v>748</v>
      </c>
      <c r="EZ5" s="14">
        <v>0</v>
      </c>
      <c r="FC5" s="14">
        <v>92</v>
      </c>
      <c r="FF5" s="14">
        <v>92</v>
      </c>
      <c r="FG5" s="14">
        <v>0</v>
      </c>
      <c r="FJ5" s="14">
        <v>5</v>
      </c>
      <c r="FM5" s="14">
        <v>5</v>
      </c>
      <c r="FN5" s="14">
        <v>0</v>
      </c>
      <c r="FT5" s="14">
        <v>0</v>
      </c>
      <c r="FU5" s="14">
        <v>0</v>
      </c>
      <c r="GA5" s="14">
        <v>0</v>
      </c>
      <c r="GB5" s="14">
        <v>37</v>
      </c>
      <c r="GE5" s="14">
        <v>76</v>
      </c>
      <c r="GH5" s="14">
        <v>113</v>
      </c>
      <c r="GI5" s="14">
        <v>97</v>
      </c>
      <c r="GL5" s="14">
        <v>0</v>
      </c>
      <c r="GO5" s="14">
        <v>97</v>
      </c>
      <c r="GP5" s="14" t="s">
        <v>626</v>
      </c>
      <c r="GQ5" s="14">
        <v>718</v>
      </c>
      <c r="GT5" s="14">
        <v>248</v>
      </c>
      <c r="GW5" s="14">
        <v>966</v>
      </c>
      <c r="GX5" s="14">
        <v>1004</v>
      </c>
      <c r="GY5" s="14">
        <v>0</v>
      </c>
      <c r="GZ5" s="14">
        <v>0</v>
      </c>
      <c r="HA5" s="14">
        <v>1017</v>
      </c>
      <c r="HB5" s="14">
        <v>0</v>
      </c>
      <c r="HC5" s="14">
        <v>0</v>
      </c>
      <c r="HD5" s="14">
        <v>2021</v>
      </c>
      <c r="HE5" s="14">
        <v>1002</v>
      </c>
      <c r="HH5" s="14">
        <v>595</v>
      </c>
      <c r="HK5" s="14">
        <v>1597</v>
      </c>
      <c r="HL5" s="14">
        <v>2</v>
      </c>
      <c r="HO5" s="14">
        <v>274</v>
      </c>
      <c r="HR5" s="14">
        <v>276</v>
      </c>
      <c r="HS5" s="14">
        <v>0</v>
      </c>
      <c r="HV5" s="14">
        <v>148</v>
      </c>
      <c r="HY5" s="14">
        <v>148</v>
      </c>
      <c r="HZ5" s="14">
        <v>0</v>
      </c>
      <c r="IC5" s="14">
        <v>0</v>
      </c>
      <c r="IF5" s="14">
        <v>0</v>
      </c>
      <c r="IG5" s="14">
        <v>0</v>
      </c>
      <c r="IJ5" s="14">
        <v>0</v>
      </c>
      <c r="IM5" s="14">
        <v>0</v>
      </c>
      <c r="IN5" s="14">
        <v>1004</v>
      </c>
      <c r="IO5" s="14">
        <v>0</v>
      </c>
      <c r="IP5" s="14">
        <v>0</v>
      </c>
      <c r="IQ5" s="14">
        <v>1017</v>
      </c>
      <c r="IR5" s="14">
        <v>0</v>
      </c>
      <c r="IS5" s="14">
        <v>0</v>
      </c>
      <c r="IT5" s="14">
        <v>2021</v>
      </c>
      <c r="IW5" s="14">
        <v>100</v>
      </c>
      <c r="IZ5" s="14">
        <v>1</v>
      </c>
      <c r="JA5" s="14">
        <v>1</v>
      </c>
      <c r="JB5" s="14">
        <v>1</v>
      </c>
      <c r="JC5" s="14" t="s">
        <v>600</v>
      </c>
      <c r="JD5" s="14">
        <v>152</v>
      </c>
      <c r="JG5" s="14">
        <v>596</v>
      </c>
      <c r="JJ5" s="14">
        <v>748</v>
      </c>
      <c r="JK5" s="14">
        <v>0</v>
      </c>
      <c r="JN5" s="14">
        <v>92</v>
      </c>
      <c r="JQ5" s="14">
        <v>92</v>
      </c>
      <c r="JR5" s="14">
        <v>0</v>
      </c>
      <c r="JU5" s="14">
        <v>5</v>
      </c>
      <c r="JX5" s="14">
        <v>5</v>
      </c>
      <c r="JY5" s="14">
        <v>0</v>
      </c>
      <c r="KB5" s="14">
        <v>0</v>
      </c>
      <c r="KE5" s="14">
        <v>0</v>
      </c>
      <c r="KF5" s="14">
        <v>0</v>
      </c>
      <c r="KI5" s="14">
        <v>0</v>
      </c>
      <c r="KL5" s="14">
        <v>0</v>
      </c>
      <c r="KM5" s="14">
        <v>38</v>
      </c>
      <c r="KP5" s="14">
        <v>76</v>
      </c>
      <c r="KS5" s="14">
        <v>114</v>
      </c>
      <c r="KT5" s="14">
        <v>97</v>
      </c>
      <c r="KW5" s="14">
        <v>0</v>
      </c>
      <c r="KZ5" s="14">
        <v>97</v>
      </c>
      <c r="LA5" s="14" t="s">
        <v>626</v>
      </c>
      <c r="LB5" s="14">
        <v>718</v>
      </c>
      <c r="LE5" s="14">
        <v>247</v>
      </c>
      <c r="LH5" s="14">
        <v>965</v>
      </c>
      <c r="LI5" s="14">
        <v>1005</v>
      </c>
      <c r="LJ5" s="14">
        <v>0</v>
      </c>
      <c r="LK5" s="14">
        <v>0</v>
      </c>
      <c r="LL5" s="14">
        <v>1016</v>
      </c>
      <c r="LM5" s="14">
        <v>0</v>
      </c>
      <c r="LN5" s="14">
        <v>0</v>
      </c>
      <c r="LO5" s="14">
        <v>2021</v>
      </c>
      <c r="LP5" s="14">
        <v>2</v>
      </c>
      <c r="LS5" s="14">
        <v>273</v>
      </c>
      <c r="LV5" s="14">
        <v>275</v>
      </c>
      <c r="LW5" s="14">
        <v>1002</v>
      </c>
      <c r="LZ5" s="14">
        <v>596</v>
      </c>
      <c r="MC5" s="14">
        <v>1598</v>
      </c>
      <c r="MD5" s="14">
        <v>0</v>
      </c>
      <c r="MG5" s="14">
        <v>148</v>
      </c>
      <c r="MJ5" s="14">
        <v>148</v>
      </c>
      <c r="MK5" s="14">
        <v>0</v>
      </c>
      <c r="MN5" s="14">
        <v>0</v>
      </c>
      <c r="MQ5" s="14">
        <v>0</v>
      </c>
      <c r="MR5" s="14">
        <v>0</v>
      </c>
      <c r="MU5" s="14">
        <v>0</v>
      </c>
      <c r="MX5" s="14">
        <v>0</v>
      </c>
      <c r="MY5" s="14">
        <v>1004</v>
      </c>
      <c r="MZ5" s="14">
        <v>0</v>
      </c>
      <c r="NA5" s="14">
        <v>0</v>
      </c>
      <c r="NB5" s="14">
        <v>1017</v>
      </c>
      <c r="NC5" s="14">
        <v>0</v>
      </c>
      <c r="ND5" s="14">
        <v>0</v>
      </c>
      <c r="NE5" s="14">
        <v>2021</v>
      </c>
      <c r="NF5" s="14" t="s">
        <v>601</v>
      </c>
      <c r="RI5" s="14" t="s">
        <v>602</v>
      </c>
      <c r="VL5" s="14" t="s">
        <v>603</v>
      </c>
      <c r="ZO5" s="14" t="s">
        <v>604</v>
      </c>
      <c r="ADR5" s="14" t="s">
        <v>605</v>
      </c>
    </row>
    <row r="6" spans="1:904" x14ac:dyDescent="0.25">
      <c r="A6" s="14">
        <v>83</v>
      </c>
      <c r="B6" s="14" t="s">
        <v>590</v>
      </c>
      <c r="C6" s="16">
        <f>VLOOKUP(A6,[4]RawData!Z:AA,2,FALSE)</f>
        <v>42761.107638888891</v>
      </c>
      <c r="D6" s="14" t="s">
        <v>627</v>
      </c>
      <c r="E6" s="14" t="s">
        <v>628</v>
      </c>
      <c r="F6" s="14" t="s">
        <v>629</v>
      </c>
      <c r="G6" s="14" t="s">
        <v>630</v>
      </c>
      <c r="H6" s="14" t="s">
        <v>631</v>
      </c>
      <c r="I6" s="14" t="s">
        <v>632</v>
      </c>
      <c r="J6" s="14" t="s">
        <v>633</v>
      </c>
      <c r="L6" s="14">
        <v>2</v>
      </c>
    </row>
    <row r="7" spans="1:904" x14ac:dyDescent="0.25">
      <c r="A7" s="14">
        <v>228</v>
      </c>
      <c r="B7" s="14" t="s">
        <v>590</v>
      </c>
      <c r="C7" s="16">
        <f t="shared" ref="C7:C8" si="0">$C$3</f>
        <v>42780</v>
      </c>
      <c r="D7" s="14" t="s">
        <v>634</v>
      </c>
      <c r="E7" s="14" t="s">
        <v>635</v>
      </c>
      <c r="F7" s="14" t="s">
        <v>636</v>
      </c>
      <c r="G7" s="14" t="s">
        <v>637</v>
      </c>
      <c r="H7" s="14">
        <v>6568500454</v>
      </c>
      <c r="I7" s="14" t="s">
        <v>618</v>
      </c>
      <c r="J7" s="14" t="s">
        <v>596</v>
      </c>
      <c r="L7" s="14">
        <v>1</v>
      </c>
      <c r="O7" s="14">
        <v>310.8</v>
      </c>
      <c r="P7" s="14">
        <v>470</v>
      </c>
      <c r="R7" s="14">
        <v>477.3</v>
      </c>
      <c r="U7" s="14">
        <v>1258.0999999999999</v>
      </c>
      <c r="AB7" s="14">
        <v>0</v>
      </c>
      <c r="AI7" s="14">
        <v>0</v>
      </c>
      <c r="AP7" s="14">
        <v>0</v>
      </c>
      <c r="AW7" s="14">
        <v>0</v>
      </c>
      <c r="BD7" s="14">
        <v>0</v>
      </c>
      <c r="BE7" s="14">
        <v>310.8</v>
      </c>
      <c r="BF7" s="14">
        <v>470</v>
      </c>
      <c r="BG7" s="14">
        <v>0</v>
      </c>
      <c r="BH7" s="14">
        <v>477.3</v>
      </c>
      <c r="BI7" s="14">
        <v>0</v>
      </c>
      <c r="BJ7" s="14">
        <v>0</v>
      </c>
      <c r="BK7" s="14">
        <v>1258.0999999999999</v>
      </c>
      <c r="BL7" s="14">
        <v>1</v>
      </c>
      <c r="BM7" s="14">
        <v>2</v>
      </c>
      <c r="BO7" s="14">
        <v>3</v>
      </c>
      <c r="BR7" s="14">
        <v>6</v>
      </c>
      <c r="BY7" s="14">
        <v>0</v>
      </c>
      <c r="CF7" s="14">
        <v>0</v>
      </c>
      <c r="CM7" s="14">
        <v>0</v>
      </c>
      <c r="CT7" s="14">
        <v>0</v>
      </c>
      <c r="DA7" s="14">
        <v>0</v>
      </c>
      <c r="DB7" s="14">
        <v>1</v>
      </c>
      <c r="DC7" s="14">
        <v>2</v>
      </c>
      <c r="DD7" s="14">
        <v>0</v>
      </c>
      <c r="DE7" s="14">
        <v>3</v>
      </c>
      <c r="DF7" s="14">
        <v>0</v>
      </c>
      <c r="DG7" s="14">
        <v>0</v>
      </c>
      <c r="DH7" s="14">
        <v>6</v>
      </c>
      <c r="DI7" s="14" t="s">
        <v>597</v>
      </c>
      <c r="DJ7" s="14" t="s">
        <v>597</v>
      </c>
      <c r="DK7" s="14" t="s">
        <v>598</v>
      </c>
      <c r="DL7" s="14" t="s">
        <v>597</v>
      </c>
      <c r="DM7" s="14" t="s">
        <v>598</v>
      </c>
      <c r="DN7" s="14" t="s">
        <v>598</v>
      </c>
      <c r="DO7" s="14" t="s">
        <v>598</v>
      </c>
      <c r="DP7" s="14" t="s">
        <v>598</v>
      </c>
      <c r="DQ7" s="14" t="s">
        <v>598</v>
      </c>
      <c r="DR7" s="14" t="s">
        <v>598</v>
      </c>
      <c r="DS7" s="14" t="s">
        <v>598</v>
      </c>
      <c r="DT7" s="14" t="s">
        <v>598</v>
      </c>
      <c r="DU7" s="14" t="s">
        <v>598</v>
      </c>
      <c r="DV7" s="14" t="s">
        <v>598</v>
      </c>
      <c r="DW7" s="14" t="s">
        <v>598</v>
      </c>
      <c r="DX7" s="14" t="s">
        <v>598</v>
      </c>
      <c r="DY7" s="14" t="s">
        <v>598</v>
      </c>
      <c r="DZ7" s="14" t="s">
        <v>598</v>
      </c>
      <c r="EA7" s="14" t="s">
        <v>598</v>
      </c>
      <c r="EB7" s="14" t="s">
        <v>598</v>
      </c>
      <c r="EC7" s="14" t="s">
        <v>598</v>
      </c>
      <c r="ED7" s="14" t="s">
        <v>598</v>
      </c>
      <c r="EE7" s="14" t="s">
        <v>598</v>
      </c>
      <c r="EF7" s="14" t="s">
        <v>598</v>
      </c>
      <c r="EG7" s="14" t="s">
        <v>598</v>
      </c>
      <c r="EH7" s="14" t="s">
        <v>598</v>
      </c>
      <c r="EI7" s="14" t="s">
        <v>598</v>
      </c>
      <c r="EJ7" s="14" t="s">
        <v>598</v>
      </c>
      <c r="EK7" s="14" t="s">
        <v>598</v>
      </c>
      <c r="EL7" s="14" t="s">
        <v>598</v>
      </c>
      <c r="EM7" s="14" t="s">
        <v>598</v>
      </c>
      <c r="EN7" s="14" t="s">
        <v>598</v>
      </c>
      <c r="EO7" s="14" t="s">
        <v>598</v>
      </c>
      <c r="EP7" s="14" t="s">
        <v>598</v>
      </c>
      <c r="EQ7" s="14" t="s">
        <v>598</v>
      </c>
      <c r="ER7" s="14" t="s">
        <v>598</v>
      </c>
      <c r="ES7" s="14">
        <v>200</v>
      </c>
      <c r="ET7" s="14">
        <v>200</v>
      </c>
      <c r="EY7" s="14">
        <v>400</v>
      </c>
      <c r="FA7" s="14">
        <v>250</v>
      </c>
      <c r="FC7" s="14">
        <v>236.6</v>
      </c>
      <c r="FF7" s="14">
        <v>486.6</v>
      </c>
      <c r="FM7" s="14">
        <v>0</v>
      </c>
      <c r="FT7" s="14">
        <v>0</v>
      </c>
      <c r="GA7" s="14">
        <v>0</v>
      </c>
      <c r="GH7" s="14">
        <v>0</v>
      </c>
      <c r="GO7" s="14">
        <v>0</v>
      </c>
      <c r="GP7" s="14" t="s">
        <v>638</v>
      </c>
      <c r="GQ7" s="14">
        <v>110.8</v>
      </c>
      <c r="GR7" s="14">
        <v>20</v>
      </c>
      <c r="GT7" s="14">
        <v>240.7</v>
      </c>
      <c r="GW7" s="14">
        <v>371.5</v>
      </c>
      <c r="GX7" s="14">
        <v>310.8</v>
      </c>
      <c r="GY7" s="14">
        <v>470</v>
      </c>
      <c r="GZ7" s="14">
        <v>0</v>
      </c>
      <c r="HA7" s="14">
        <v>477.3</v>
      </c>
      <c r="HB7" s="14">
        <v>0</v>
      </c>
      <c r="HC7" s="14">
        <v>0</v>
      </c>
      <c r="HD7" s="14">
        <v>1258.0999999999999</v>
      </c>
      <c r="HE7" s="14">
        <v>300</v>
      </c>
      <c r="HF7" s="14">
        <v>265</v>
      </c>
      <c r="HH7" s="14">
        <v>477.3</v>
      </c>
      <c r="HK7" s="14">
        <v>1042.3</v>
      </c>
      <c r="HL7" s="14">
        <v>10.8</v>
      </c>
      <c r="HR7" s="14">
        <v>10.8</v>
      </c>
      <c r="HT7" s="14">
        <v>205</v>
      </c>
      <c r="HY7" s="14">
        <v>205</v>
      </c>
      <c r="IF7" s="14">
        <v>0</v>
      </c>
      <c r="IM7" s="14">
        <v>0</v>
      </c>
      <c r="IN7" s="14">
        <v>310.8</v>
      </c>
      <c r="IO7" s="14">
        <v>470</v>
      </c>
      <c r="IP7" s="14">
        <v>0</v>
      </c>
      <c r="IQ7" s="14">
        <v>477.3</v>
      </c>
      <c r="IR7" s="14">
        <v>0</v>
      </c>
      <c r="IS7" s="14">
        <v>0</v>
      </c>
      <c r="IT7" s="14">
        <v>1258.0999999999999</v>
      </c>
      <c r="IU7" s="14">
        <v>23.8</v>
      </c>
      <c r="IW7" s="14">
        <v>76.2</v>
      </c>
      <c r="IZ7" s="14">
        <v>1</v>
      </c>
      <c r="JA7" s="14">
        <v>1</v>
      </c>
      <c r="JB7" s="14">
        <v>2</v>
      </c>
      <c r="JC7" s="14" t="s">
        <v>600</v>
      </c>
      <c r="JD7" s="14">
        <v>200</v>
      </c>
      <c r="JE7" s="14">
        <v>200</v>
      </c>
      <c r="JJ7" s="14">
        <v>400</v>
      </c>
      <c r="JL7" s="14">
        <v>250</v>
      </c>
      <c r="JN7" s="14">
        <v>236.6</v>
      </c>
      <c r="JQ7" s="14">
        <v>486.6</v>
      </c>
      <c r="JX7" s="14">
        <v>0</v>
      </c>
      <c r="KE7" s="14">
        <v>0</v>
      </c>
      <c r="KL7" s="14">
        <v>0</v>
      </c>
      <c r="KS7" s="14">
        <v>0</v>
      </c>
      <c r="KZ7" s="14">
        <v>0</v>
      </c>
      <c r="LA7" s="14" t="s">
        <v>638</v>
      </c>
      <c r="LB7" s="14">
        <v>110.8</v>
      </c>
      <c r="LC7" s="14">
        <v>20</v>
      </c>
      <c r="LE7" s="14">
        <v>240.7</v>
      </c>
      <c r="LH7" s="14">
        <v>371.5</v>
      </c>
      <c r="LI7" s="14">
        <v>310.8</v>
      </c>
      <c r="LJ7" s="14">
        <v>470</v>
      </c>
      <c r="LK7" s="14">
        <v>0</v>
      </c>
      <c r="LL7" s="14">
        <v>477.3</v>
      </c>
      <c r="LM7" s="14">
        <v>0</v>
      </c>
      <c r="LN7" s="14">
        <v>0</v>
      </c>
      <c r="LO7" s="14">
        <v>1258.0999999999999</v>
      </c>
      <c r="LP7" s="14">
        <v>10.8</v>
      </c>
      <c r="LV7" s="14">
        <v>10.8</v>
      </c>
      <c r="LW7" s="14">
        <v>300</v>
      </c>
      <c r="LX7" s="14">
        <v>265</v>
      </c>
      <c r="LZ7" s="14">
        <v>477.3</v>
      </c>
      <c r="MC7" s="14">
        <v>1042.3</v>
      </c>
      <c r="ME7" s="14">
        <v>205</v>
      </c>
      <c r="MJ7" s="14">
        <v>205</v>
      </c>
      <c r="MQ7" s="14">
        <v>0</v>
      </c>
      <c r="MX7" s="14">
        <v>0</v>
      </c>
      <c r="MY7" s="14">
        <v>310.8</v>
      </c>
      <c r="MZ7" s="14">
        <v>470</v>
      </c>
      <c r="NA7" s="14">
        <v>0</v>
      </c>
      <c r="NB7" s="14">
        <v>477.3</v>
      </c>
      <c r="NC7" s="14">
        <v>0</v>
      </c>
      <c r="ND7" s="14">
        <v>0</v>
      </c>
      <c r="NE7" s="14">
        <v>1258.0999999999999</v>
      </c>
      <c r="NF7" s="14" t="s">
        <v>601</v>
      </c>
      <c r="RI7" s="14" t="s">
        <v>602</v>
      </c>
      <c r="VL7" s="14" t="s">
        <v>603</v>
      </c>
      <c r="ZO7" s="14" t="s">
        <v>604</v>
      </c>
      <c r="ADR7" s="14" t="s">
        <v>605</v>
      </c>
    </row>
    <row r="8" spans="1:904" x14ac:dyDescent="0.25">
      <c r="A8" s="14">
        <v>122</v>
      </c>
      <c r="B8" s="14" t="s">
        <v>590</v>
      </c>
      <c r="C8" s="16">
        <f t="shared" si="0"/>
        <v>42780</v>
      </c>
      <c r="D8" s="14" t="s">
        <v>639</v>
      </c>
      <c r="E8" s="14" t="s">
        <v>640</v>
      </c>
      <c r="F8" s="14" t="s">
        <v>641</v>
      </c>
      <c r="G8" s="14" t="s">
        <v>642</v>
      </c>
      <c r="H8" s="14" t="s">
        <v>643</v>
      </c>
      <c r="I8" s="14" t="s">
        <v>618</v>
      </c>
      <c r="J8" s="14" t="s">
        <v>596</v>
      </c>
      <c r="L8" s="14">
        <v>1</v>
      </c>
      <c r="O8" s="14">
        <v>1150</v>
      </c>
      <c r="U8" s="14">
        <v>1150</v>
      </c>
      <c r="AB8" s="14">
        <v>0</v>
      </c>
      <c r="AI8" s="14">
        <v>0</v>
      </c>
      <c r="AP8" s="14">
        <v>0</v>
      </c>
      <c r="AW8" s="14">
        <v>0</v>
      </c>
      <c r="BD8" s="14">
        <v>0</v>
      </c>
      <c r="BE8" s="14">
        <v>1150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1150</v>
      </c>
      <c r="BL8" s="14">
        <v>1</v>
      </c>
      <c r="BR8" s="14">
        <v>1</v>
      </c>
      <c r="BY8" s="14">
        <v>0</v>
      </c>
      <c r="CF8" s="14">
        <v>0</v>
      </c>
      <c r="CM8" s="14">
        <v>0</v>
      </c>
      <c r="CT8" s="14">
        <v>0</v>
      </c>
      <c r="DA8" s="14">
        <v>0</v>
      </c>
      <c r="DB8" s="14">
        <v>1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1</v>
      </c>
      <c r="DI8" s="14" t="s">
        <v>597</v>
      </c>
      <c r="DJ8" s="14" t="s">
        <v>598</v>
      </c>
      <c r="DK8" s="14" t="s">
        <v>598</v>
      </c>
      <c r="DL8" s="14" t="s">
        <v>598</v>
      </c>
      <c r="DM8" s="14" t="s">
        <v>598</v>
      </c>
      <c r="DN8" s="14" t="s">
        <v>598</v>
      </c>
      <c r="DO8" s="14" t="s">
        <v>598</v>
      </c>
      <c r="DP8" s="14" t="s">
        <v>598</v>
      </c>
      <c r="DQ8" s="14" t="s">
        <v>598</v>
      </c>
      <c r="DR8" s="14" t="s">
        <v>598</v>
      </c>
      <c r="DS8" s="14" t="s">
        <v>598</v>
      </c>
      <c r="DT8" s="14" t="s">
        <v>598</v>
      </c>
      <c r="DU8" s="14" t="s">
        <v>598</v>
      </c>
      <c r="DV8" s="14" t="s">
        <v>598</v>
      </c>
      <c r="DW8" s="14" t="s">
        <v>598</v>
      </c>
      <c r="DX8" s="14" t="s">
        <v>598</v>
      </c>
      <c r="DY8" s="14" t="s">
        <v>598</v>
      </c>
      <c r="DZ8" s="14" t="s">
        <v>598</v>
      </c>
      <c r="EA8" s="14" t="s">
        <v>598</v>
      </c>
      <c r="EB8" s="14" t="s">
        <v>598</v>
      </c>
      <c r="EC8" s="14" t="s">
        <v>598</v>
      </c>
      <c r="ED8" s="14" t="s">
        <v>598</v>
      </c>
      <c r="EE8" s="14" t="s">
        <v>598</v>
      </c>
      <c r="EF8" s="14" t="s">
        <v>598</v>
      </c>
      <c r="EG8" s="14" t="s">
        <v>598</v>
      </c>
      <c r="EH8" s="14" t="s">
        <v>598</v>
      </c>
      <c r="EI8" s="14" t="s">
        <v>598</v>
      </c>
      <c r="EJ8" s="14" t="s">
        <v>598</v>
      </c>
      <c r="EK8" s="14" t="s">
        <v>598</v>
      </c>
      <c r="EL8" s="14" t="s">
        <v>598</v>
      </c>
      <c r="EM8" s="14" t="s">
        <v>598</v>
      </c>
      <c r="EN8" s="14" t="s">
        <v>598</v>
      </c>
      <c r="EO8" s="14" t="s">
        <v>598</v>
      </c>
      <c r="EP8" s="14" t="s">
        <v>598</v>
      </c>
      <c r="EQ8" s="14" t="s">
        <v>598</v>
      </c>
      <c r="ER8" s="14" t="s">
        <v>598</v>
      </c>
      <c r="ES8" s="14">
        <v>645</v>
      </c>
      <c r="EY8" s="14">
        <v>645</v>
      </c>
      <c r="FF8" s="14">
        <v>0</v>
      </c>
      <c r="FG8" s="14">
        <v>375</v>
      </c>
      <c r="FM8" s="14">
        <v>375</v>
      </c>
      <c r="FT8" s="14">
        <v>0</v>
      </c>
      <c r="FU8" s="14">
        <v>35</v>
      </c>
      <c r="GA8" s="14">
        <v>35</v>
      </c>
      <c r="GB8" s="14">
        <v>55</v>
      </c>
      <c r="GH8" s="14">
        <v>55</v>
      </c>
      <c r="GO8" s="14">
        <v>0</v>
      </c>
      <c r="GP8" s="14" t="s">
        <v>644</v>
      </c>
      <c r="GQ8" s="14">
        <v>35</v>
      </c>
      <c r="GW8" s="14">
        <v>35</v>
      </c>
      <c r="GX8" s="14">
        <v>1145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1145</v>
      </c>
      <c r="HE8" s="14">
        <v>430</v>
      </c>
      <c r="HK8" s="14">
        <v>430</v>
      </c>
      <c r="HL8" s="14">
        <v>35</v>
      </c>
      <c r="HR8" s="14">
        <v>35</v>
      </c>
      <c r="HS8" s="14">
        <v>680</v>
      </c>
      <c r="HY8" s="14">
        <v>680</v>
      </c>
      <c r="IF8" s="14">
        <v>0</v>
      </c>
      <c r="IM8" s="14">
        <v>0</v>
      </c>
      <c r="IN8" s="14">
        <v>1145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1145</v>
      </c>
      <c r="IU8" s="14">
        <v>33</v>
      </c>
      <c r="IW8" s="14">
        <v>67</v>
      </c>
      <c r="IZ8" s="14">
        <v>1</v>
      </c>
      <c r="JA8" s="14">
        <v>3</v>
      </c>
      <c r="JB8" s="14">
        <v>1</v>
      </c>
      <c r="JC8" s="14" t="s">
        <v>600</v>
      </c>
      <c r="JD8" s="14">
        <v>645</v>
      </c>
      <c r="JJ8" s="14">
        <v>645</v>
      </c>
      <c r="JQ8" s="14">
        <v>0</v>
      </c>
      <c r="JR8" s="14">
        <v>375</v>
      </c>
      <c r="JX8" s="14">
        <v>375</v>
      </c>
      <c r="KE8" s="14">
        <v>0</v>
      </c>
      <c r="KF8" s="14">
        <v>35</v>
      </c>
      <c r="KL8" s="14">
        <v>35</v>
      </c>
      <c r="KM8" s="14">
        <v>55</v>
      </c>
      <c r="KS8" s="14">
        <v>55</v>
      </c>
      <c r="KZ8" s="14">
        <v>0</v>
      </c>
      <c r="LB8" s="14">
        <v>35</v>
      </c>
      <c r="LH8" s="14">
        <v>35</v>
      </c>
      <c r="LI8" s="14">
        <v>1145</v>
      </c>
      <c r="LJ8" s="14">
        <v>0</v>
      </c>
      <c r="LK8" s="14">
        <v>0</v>
      </c>
      <c r="LL8" s="14">
        <v>0</v>
      </c>
      <c r="LM8" s="14">
        <v>0</v>
      </c>
      <c r="LN8" s="14">
        <v>0</v>
      </c>
      <c r="LO8" s="14">
        <v>1145</v>
      </c>
      <c r="LP8" s="14">
        <v>35</v>
      </c>
      <c r="LV8" s="14">
        <v>35</v>
      </c>
      <c r="LW8" s="14">
        <v>430</v>
      </c>
      <c r="MC8" s="14">
        <v>430</v>
      </c>
      <c r="MD8" s="14">
        <v>680</v>
      </c>
      <c r="MJ8" s="14">
        <v>680</v>
      </c>
      <c r="MQ8" s="14">
        <v>0</v>
      </c>
      <c r="MX8" s="14">
        <v>0</v>
      </c>
      <c r="MY8" s="14">
        <v>1145</v>
      </c>
      <c r="MZ8" s="14">
        <v>0</v>
      </c>
      <c r="NA8" s="14">
        <v>0</v>
      </c>
      <c r="NB8" s="14">
        <v>0</v>
      </c>
      <c r="NC8" s="14">
        <v>0</v>
      </c>
      <c r="ND8" s="14">
        <v>0</v>
      </c>
      <c r="NE8" s="14">
        <v>1145</v>
      </c>
      <c r="NF8" s="14" t="s">
        <v>601</v>
      </c>
      <c r="RI8" s="14" t="s">
        <v>602</v>
      </c>
      <c r="VL8" s="14" t="s">
        <v>603</v>
      </c>
      <c r="ZO8" s="14" t="s">
        <v>604</v>
      </c>
      <c r="ADR8" s="14" t="s">
        <v>605</v>
      </c>
    </row>
    <row r="9" spans="1:904" x14ac:dyDescent="0.25">
      <c r="A9" s="14">
        <v>162</v>
      </c>
      <c r="B9" s="14" t="s">
        <v>590</v>
      </c>
      <c r="C9" s="16">
        <f>VLOOKUP(A9,[4]RawData!Z:AA,2,FALSE)</f>
        <v>42772.408333333333</v>
      </c>
      <c r="D9" s="14" t="s">
        <v>645</v>
      </c>
      <c r="E9" s="14" t="s">
        <v>646</v>
      </c>
      <c r="F9" s="14" t="s">
        <v>647</v>
      </c>
      <c r="G9" s="14" t="s">
        <v>648</v>
      </c>
      <c r="H9" s="14" t="s">
        <v>649</v>
      </c>
      <c r="I9" s="14" t="s">
        <v>624</v>
      </c>
      <c r="J9" s="14" t="s">
        <v>596</v>
      </c>
      <c r="L9" s="14">
        <v>2</v>
      </c>
      <c r="M9" s="14">
        <v>1</v>
      </c>
      <c r="U9" s="14">
        <v>0</v>
      </c>
      <c r="AB9" s="14">
        <v>0</v>
      </c>
      <c r="AI9" s="14">
        <v>0</v>
      </c>
      <c r="AP9" s="14">
        <v>0</v>
      </c>
      <c r="AW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R9" s="14">
        <v>0</v>
      </c>
      <c r="BY9" s="14">
        <v>0</v>
      </c>
      <c r="CF9" s="14">
        <v>0</v>
      </c>
      <c r="CM9" s="14">
        <v>0</v>
      </c>
      <c r="CT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 t="s">
        <v>598</v>
      </c>
      <c r="DJ9" s="14" t="s">
        <v>598</v>
      </c>
      <c r="DK9" s="14" t="s">
        <v>598</v>
      </c>
      <c r="DL9" s="14" t="s">
        <v>598</v>
      </c>
      <c r="DM9" s="14" t="s">
        <v>598</v>
      </c>
      <c r="DN9" s="14" t="s">
        <v>598</v>
      </c>
      <c r="DO9" s="14" t="s">
        <v>598</v>
      </c>
      <c r="DP9" s="14" t="s">
        <v>598</v>
      </c>
      <c r="DQ9" s="14" t="s">
        <v>598</v>
      </c>
      <c r="DR9" s="14" t="s">
        <v>598</v>
      </c>
      <c r="DS9" s="14" t="s">
        <v>598</v>
      </c>
      <c r="DT9" s="14" t="s">
        <v>598</v>
      </c>
      <c r="DU9" s="14" t="s">
        <v>598</v>
      </c>
      <c r="DV9" s="14" t="s">
        <v>598</v>
      </c>
      <c r="DW9" s="14" t="s">
        <v>598</v>
      </c>
      <c r="DX9" s="14" t="s">
        <v>598</v>
      </c>
      <c r="DY9" s="14" t="s">
        <v>598</v>
      </c>
      <c r="DZ9" s="14" t="s">
        <v>598</v>
      </c>
      <c r="EA9" s="14" t="s">
        <v>598</v>
      </c>
      <c r="EB9" s="14" t="s">
        <v>598</v>
      </c>
      <c r="EC9" s="14" t="s">
        <v>598</v>
      </c>
      <c r="ED9" s="14" t="s">
        <v>598</v>
      </c>
      <c r="EE9" s="14" t="s">
        <v>598</v>
      </c>
      <c r="EF9" s="14" t="s">
        <v>598</v>
      </c>
      <c r="EG9" s="14" t="s">
        <v>598</v>
      </c>
      <c r="EH9" s="14" t="s">
        <v>598</v>
      </c>
      <c r="EI9" s="14" t="s">
        <v>598</v>
      </c>
      <c r="EJ9" s="14" t="s">
        <v>598</v>
      </c>
      <c r="EK9" s="14" t="s">
        <v>598</v>
      </c>
      <c r="EL9" s="14" t="s">
        <v>598</v>
      </c>
      <c r="EM9" s="14" t="s">
        <v>598</v>
      </c>
      <c r="EN9" s="14" t="s">
        <v>598</v>
      </c>
      <c r="EO9" s="14" t="s">
        <v>598</v>
      </c>
      <c r="EP9" s="14" t="s">
        <v>598</v>
      </c>
      <c r="EQ9" s="14" t="s">
        <v>598</v>
      </c>
      <c r="ER9" s="14" t="s">
        <v>598</v>
      </c>
      <c r="EY9" s="14">
        <v>0</v>
      </c>
      <c r="FF9" s="14">
        <v>0</v>
      </c>
      <c r="FM9" s="14">
        <v>0</v>
      </c>
      <c r="FT9" s="14">
        <v>0</v>
      </c>
      <c r="GA9" s="14">
        <v>0</v>
      </c>
      <c r="GH9" s="14">
        <v>0</v>
      </c>
      <c r="GO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K9" s="14">
        <v>0</v>
      </c>
      <c r="HR9" s="14">
        <v>0</v>
      </c>
      <c r="HY9" s="14">
        <v>0</v>
      </c>
      <c r="IF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Z9" s="14">
        <v>1</v>
      </c>
      <c r="JA9" s="14">
        <v>2</v>
      </c>
      <c r="JB9" s="14">
        <v>2</v>
      </c>
      <c r="JC9" s="14" t="s">
        <v>600</v>
      </c>
      <c r="NF9" s="14" t="s">
        <v>601</v>
      </c>
      <c r="RI9" s="14" t="s">
        <v>602</v>
      </c>
      <c r="VL9" s="14" t="s">
        <v>603</v>
      </c>
      <c r="ZO9" s="14" t="s">
        <v>604</v>
      </c>
      <c r="ADR9" s="14" t="s">
        <v>605</v>
      </c>
    </row>
    <row r="10" spans="1:904" x14ac:dyDescent="0.25">
      <c r="A10" s="14">
        <v>226</v>
      </c>
      <c r="B10" s="14" t="s">
        <v>590</v>
      </c>
      <c r="C10" s="16">
        <f>$C$3</f>
        <v>42780</v>
      </c>
      <c r="D10" s="14" t="s">
        <v>650</v>
      </c>
      <c r="E10" s="14" t="s">
        <v>651</v>
      </c>
      <c r="F10" s="14" t="s">
        <v>652</v>
      </c>
      <c r="G10" s="14" t="s">
        <v>653</v>
      </c>
      <c r="H10" s="14">
        <v>-2603</v>
      </c>
      <c r="I10" s="14" t="s">
        <v>611</v>
      </c>
      <c r="J10" s="14" t="s">
        <v>596</v>
      </c>
      <c r="L10" s="14">
        <v>1</v>
      </c>
      <c r="O10" s="14">
        <v>500</v>
      </c>
      <c r="R10" s="14">
        <v>75</v>
      </c>
      <c r="U10" s="14">
        <v>575</v>
      </c>
      <c r="AB10" s="14">
        <v>0</v>
      </c>
      <c r="AC10" s="14">
        <v>1377</v>
      </c>
      <c r="AF10" s="14">
        <v>500</v>
      </c>
      <c r="AG10" s="14">
        <v>287</v>
      </c>
      <c r="AH10" s="14">
        <v>280</v>
      </c>
      <c r="AI10" s="14">
        <v>2444</v>
      </c>
      <c r="AP10" s="14">
        <v>0</v>
      </c>
      <c r="AW10" s="14">
        <v>0</v>
      </c>
      <c r="BD10" s="14">
        <v>0</v>
      </c>
      <c r="BE10" s="14">
        <v>1877</v>
      </c>
      <c r="BF10" s="14">
        <v>0</v>
      </c>
      <c r="BG10" s="14">
        <v>0</v>
      </c>
      <c r="BH10" s="14">
        <v>575</v>
      </c>
      <c r="BI10" s="14">
        <v>287</v>
      </c>
      <c r="BJ10" s="14">
        <v>280</v>
      </c>
      <c r="BK10" s="14">
        <v>3019</v>
      </c>
      <c r="BL10" s="14">
        <v>1</v>
      </c>
      <c r="BO10" s="14">
        <v>1</v>
      </c>
      <c r="BR10" s="14">
        <v>2</v>
      </c>
      <c r="BY10" s="14">
        <v>0</v>
      </c>
      <c r="BZ10" s="14">
        <v>3</v>
      </c>
      <c r="CC10" s="14">
        <v>1</v>
      </c>
      <c r="CD10" s="14">
        <v>2</v>
      </c>
      <c r="CE10" s="14">
        <v>1</v>
      </c>
      <c r="CF10" s="14">
        <v>7</v>
      </c>
      <c r="CM10" s="14">
        <v>0</v>
      </c>
      <c r="CT10" s="14">
        <v>0</v>
      </c>
      <c r="DA10" s="14">
        <v>0</v>
      </c>
      <c r="DB10" s="14">
        <v>4</v>
      </c>
      <c r="DC10" s="14">
        <v>0</v>
      </c>
      <c r="DD10" s="14">
        <v>0</v>
      </c>
      <c r="DE10" s="14">
        <v>2</v>
      </c>
      <c r="DF10" s="14">
        <v>2</v>
      </c>
      <c r="DG10" s="14">
        <v>1</v>
      </c>
      <c r="DH10" s="14">
        <v>9</v>
      </c>
      <c r="DI10" s="14" t="s">
        <v>597</v>
      </c>
      <c r="DJ10" s="14" t="s">
        <v>598</v>
      </c>
      <c r="DK10" s="14" t="s">
        <v>598</v>
      </c>
      <c r="DL10" s="14" t="s">
        <v>597</v>
      </c>
      <c r="DM10" s="14" t="s">
        <v>598</v>
      </c>
      <c r="DN10" s="14" t="s">
        <v>598</v>
      </c>
      <c r="DO10" s="14" t="s">
        <v>598</v>
      </c>
      <c r="DP10" s="14" t="s">
        <v>598</v>
      </c>
      <c r="DQ10" s="14" t="s">
        <v>598</v>
      </c>
      <c r="DR10" s="14" t="s">
        <v>598</v>
      </c>
      <c r="DS10" s="14" t="s">
        <v>598</v>
      </c>
      <c r="DT10" s="14" t="s">
        <v>598</v>
      </c>
      <c r="DU10" s="14" t="s">
        <v>597</v>
      </c>
      <c r="DV10" s="14" t="s">
        <v>598</v>
      </c>
      <c r="DW10" s="14" t="s">
        <v>598</v>
      </c>
      <c r="DX10" s="14" t="s">
        <v>597</v>
      </c>
      <c r="DY10" s="14" t="s">
        <v>597</v>
      </c>
      <c r="DZ10" s="14" t="s">
        <v>597</v>
      </c>
      <c r="EA10" s="14" t="s">
        <v>598</v>
      </c>
      <c r="EB10" s="14" t="s">
        <v>598</v>
      </c>
      <c r="EC10" s="14" t="s">
        <v>598</v>
      </c>
      <c r="ED10" s="14" t="s">
        <v>598</v>
      </c>
      <c r="EE10" s="14" t="s">
        <v>598</v>
      </c>
      <c r="EF10" s="14" t="s">
        <v>598</v>
      </c>
      <c r="EG10" s="14" t="s">
        <v>598</v>
      </c>
      <c r="EH10" s="14" t="s">
        <v>598</v>
      </c>
      <c r="EI10" s="14" t="s">
        <v>598</v>
      </c>
      <c r="EJ10" s="14" t="s">
        <v>598</v>
      </c>
      <c r="EK10" s="14" t="s">
        <v>598</v>
      </c>
      <c r="EL10" s="14" t="s">
        <v>598</v>
      </c>
      <c r="EM10" s="14" t="s">
        <v>598</v>
      </c>
      <c r="EN10" s="14" t="s">
        <v>598</v>
      </c>
      <c r="EO10" s="14" t="s">
        <v>598</v>
      </c>
      <c r="EP10" s="14" t="s">
        <v>598</v>
      </c>
      <c r="EQ10" s="14" t="s">
        <v>598</v>
      </c>
      <c r="ER10" s="14" t="s">
        <v>598</v>
      </c>
      <c r="ES10" s="14">
        <v>1863</v>
      </c>
      <c r="EV10" s="14">
        <v>575</v>
      </c>
      <c r="EW10" s="14">
        <v>287</v>
      </c>
      <c r="EY10" s="14">
        <v>2725</v>
      </c>
      <c r="FF10" s="14">
        <v>0</v>
      </c>
      <c r="FM10" s="14">
        <v>0</v>
      </c>
      <c r="FT10" s="14">
        <v>0</v>
      </c>
      <c r="FU10" s="14">
        <v>6</v>
      </c>
      <c r="GA10" s="14">
        <v>6</v>
      </c>
      <c r="GB10" s="14">
        <v>8</v>
      </c>
      <c r="GH10" s="14">
        <v>8</v>
      </c>
      <c r="GO10" s="14">
        <v>0</v>
      </c>
      <c r="GP10" s="14" t="s">
        <v>654</v>
      </c>
      <c r="GV10" s="14">
        <v>280</v>
      </c>
      <c r="GW10" s="14">
        <v>280</v>
      </c>
      <c r="GX10" s="14">
        <v>1877</v>
      </c>
      <c r="GY10" s="14">
        <v>0</v>
      </c>
      <c r="GZ10" s="14">
        <v>0</v>
      </c>
      <c r="HA10" s="14">
        <v>575</v>
      </c>
      <c r="HB10" s="14">
        <v>287</v>
      </c>
      <c r="HC10" s="14">
        <v>280</v>
      </c>
      <c r="HD10" s="14">
        <v>3019</v>
      </c>
      <c r="HJ10" s="14">
        <v>280</v>
      </c>
      <c r="HK10" s="14">
        <v>280</v>
      </c>
      <c r="HL10" s="14">
        <v>50</v>
      </c>
      <c r="HR10" s="14">
        <v>50</v>
      </c>
      <c r="HS10" s="14">
        <v>1827</v>
      </c>
      <c r="HV10" s="14">
        <v>575</v>
      </c>
      <c r="HW10" s="14">
        <v>287</v>
      </c>
      <c r="HY10" s="14">
        <v>2689</v>
      </c>
      <c r="IF10" s="14">
        <v>0</v>
      </c>
      <c r="IM10" s="14">
        <v>0</v>
      </c>
      <c r="IN10" s="14">
        <v>1877</v>
      </c>
      <c r="IO10" s="14">
        <v>0</v>
      </c>
      <c r="IP10" s="14">
        <v>0</v>
      </c>
      <c r="IQ10" s="14">
        <v>575</v>
      </c>
      <c r="IR10" s="14">
        <v>287</v>
      </c>
      <c r="IS10" s="14">
        <v>280</v>
      </c>
      <c r="IT10" s="14">
        <v>3019</v>
      </c>
      <c r="IV10" s="14">
        <v>50</v>
      </c>
      <c r="IW10" s="14">
        <v>50</v>
      </c>
      <c r="IZ10" s="14">
        <v>1</v>
      </c>
      <c r="JA10" s="14">
        <v>1</v>
      </c>
      <c r="JB10" s="14">
        <v>1</v>
      </c>
      <c r="JC10" s="14" t="s">
        <v>600</v>
      </c>
      <c r="JD10" s="14">
        <v>500</v>
      </c>
      <c r="JG10" s="14">
        <v>75</v>
      </c>
      <c r="JJ10" s="14">
        <v>575</v>
      </c>
      <c r="JQ10" s="14">
        <v>0</v>
      </c>
      <c r="JX10" s="14">
        <v>0</v>
      </c>
      <c r="KE10" s="14">
        <v>0</v>
      </c>
      <c r="KL10" s="14">
        <v>0</v>
      </c>
      <c r="KS10" s="14">
        <v>0</v>
      </c>
      <c r="KZ10" s="14">
        <v>0</v>
      </c>
      <c r="LH10" s="14">
        <v>0</v>
      </c>
      <c r="LI10" s="14">
        <v>500</v>
      </c>
      <c r="LJ10" s="14">
        <v>0</v>
      </c>
      <c r="LK10" s="14">
        <v>0</v>
      </c>
      <c r="LL10" s="14">
        <v>75</v>
      </c>
      <c r="LM10" s="14">
        <v>0</v>
      </c>
      <c r="LN10" s="14">
        <v>0</v>
      </c>
      <c r="LO10" s="14">
        <v>575</v>
      </c>
      <c r="LP10" s="14">
        <v>50</v>
      </c>
      <c r="LV10" s="14">
        <v>50</v>
      </c>
      <c r="MC10" s="14">
        <v>0</v>
      </c>
      <c r="MD10" s="14">
        <v>450</v>
      </c>
      <c r="MG10" s="14">
        <v>75</v>
      </c>
      <c r="MJ10" s="14">
        <v>525</v>
      </c>
      <c r="MQ10" s="14">
        <v>0</v>
      </c>
      <c r="MX10" s="14">
        <v>0</v>
      </c>
      <c r="MY10" s="14">
        <v>500</v>
      </c>
      <c r="MZ10" s="14">
        <v>0</v>
      </c>
      <c r="NA10" s="14">
        <v>0</v>
      </c>
      <c r="NB10" s="14">
        <v>75</v>
      </c>
      <c r="NC10" s="14">
        <v>0</v>
      </c>
      <c r="ND10" s="14">
        <v>0</v>
      </c>
      <c r="NE10" s="14">
        <v>575</v>
      </c>
      <c r="NF10" s="14" t="s">
        <v>601</v>
      </c>
      <c r="RI10" s="14" t="s">
        <v>602</v>
      </c>
      <c r="RJ10" s="14">
        <v>1363</v>
      </c>
      <c r="RM10" s="14">
        <v>500</v>
      </c>
      <c r="RN10" s="14">
        <v>287</v>
      </c>
      <c r="RP10" s="14">
        <v>2150</v>
      </c>
      <c r="RW10" s="14">
        <v>0</v>
      </c>
      <c r="SD10" s="14">
        <v>0</v>
      </c>
      <c r="SK10" s="14">
        <v>0</v>
      </c>
      <c r="SL10" s="14">
        <v>6</v>
      </c>
      <c r="SR10" s="14">
        <v>6</v>
      </c>
      <c r="SS10" s="14">
        <v>8</v>
      </c>
      <c r="SY10" s="14">
        <v>8</v>
      </c>
      <c r="TF10" s="14">
        <v>0</v>
      </c>
      <c r="TG10" s="14" t="s">
        <v>654</v>
      </c>
      <c r="TM10" s="14">
        <v>280</v>
      </c>
      <c r="TN10" s="14">
        <v>280</v>
      </c>
      <c r="TO10" s="14">
        <v>1377</v>
      </c>
      <c r="TP10" s="14">
        <v>0</v>
      </c>
      <c r="TQ10" s="14">
        <v>0</v>
      </c>
      <c r="TR10" s="14">
        <v>500</v>
      </c>
      <c r="TS10" s="14">
        <v>287</v>
      </c>
      <c r="TT10" s="14">
        <v>280</v>
      </c>
      <c r="TU10" s="14">
        <v>2444</v>
      </c>
      <c r="UB10" s="14">
        <v>0</v>
      </c>
      <c r="UH10" s="14">
        <v>280</v>
      </c>
      <c r="UI10" s="14">
        <v>280</v>
      </c>
      <c r="UJ10" s="14">
        <v>1377</v>
      </c>
      <c r="UM10" s="14">
        <v>500</v>
      </c>
      <c r="UN10" s="14">
        <v>287</v>
      </c>
      <c r="UP10" s="14">
        <v>2164</v>
      </c>
      <c r="UW10" s="14">
        <v>0</v>
      </c>
      <c r="VD10" s="14">
        <v>0</v>
      </c>
      <c r="VE10" s="14">
        <v>1377</v>
      </c>
      <c r="VF10" s="14">
        <v>0</v>
      </c>
      <c r="VG10" s="14">
        <v>0</v>
      </c>
      <c r="VH10" s="14">
        <v>500</v>
      </c>
      <c r="VI10" s="14">
        <v>287</v>
      </c>
      <c r="VJ10" s="14">
        <v>280</v>
      </c>
      <c r="VK10" s="14">
        <v>2444</v>
      </c>
      <c r="VL10" s="14" t="s">
        <v>603</v>
      </c>
      <c r="ZO10" s="14" t="s">
        <v>604</v>
      </c>
      <c r="ADR10" s="14" t="s">
        <v>605</v>
      </c>
    </row>
    <row r="11" spans="1:904" x14ac:dyDescent="0.25">
      <c r="A11" s="14">
        <v>77</v>
      </c>
      <c r="B11" s="14" t="s">
        <v>590</v>
      </c>
      <c r="C11" s="16">
        <f>VLOOKUP(A11,[4]RawData!Z:AA,2,FALSE)</f>
        <v>42747.280555555553</v>
      </c>
      <c r="D11" s="14" t="s">
        <v>655</v>
      </c>
      <c r="E11" s="14" t="s">
        <v>656</v>
      </c>
      <c r="F11" s="14" t="s">
        <v>657</v>
      </c>
      <c r="G11" s="14" t="s">
        <v>658</v>
      </c>
      <c r="H11" s="14">
        <v>85237982627</v>
      </c>
      <c r="I11" s="14" t="s">
        <v>659</v>
      </c>
      <c r="J11" s="14" t="s">
        <v>596</v>
      </c>
      <c r="L11" s="14">
        <v>2</v>
      </c>
      <c r="M11" s="14">
        <v>6</v>
      </c>
      <c r="N11" s="14" t="s">
        <v>660</v>
      </c>
      <c r="U11" s="14">
        <v>0</v>
      </c>
      <c r="AB11" s="14">
        <v>0</v>
      </c>
      <c r="AI11" s="14">
        <v>0</v>
      </c>
      <c r="AP11" s="14">
        <v>0</v>
      </c>
      <c r="AW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R11" s="14">
        <v>0</v>
      </c>
      <c r="BY11" s="14">
        <v>0</v>
      </c>
      <c r="CF11" s="14">
        <v>0</v>
      </c>
      <c r="CM11" s="14">
        <v>0</v>
      </c>
      <c r="CT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 t="s">
        <v>598</v>
      </c>
      <c r="DJ11" s="14" t="s">
        <v>598</v>
      </c>
      <c r="DK11" s="14" t="s">
        <v>598</v>
      </c>
      <c r="DL11" s="14" t="s">
        <v>598</v>
      </c>
      <c r="DM11" s="14" t="s">
        <v>598</v>
      </c>
      <c r="DN11" s="14" t="s">
        <v>598</v>
      </c>
      <c r="DO11" s="14" t="s">
        <v>598</v>
      </c>
      <c r="DP11" s="14" t="s">
        <v>598</v>
      </c>
      <c r="DQ11" s="14" t="s">
        <v>598</v>
      </c>
      <c r="DR11" s="14" t="s">
        <v>598</v>
      </c>
      <c r="DS11" s="14" t="s">
        <v>598</v>
      </c>
      <c r="DT11" s="14" t="s">
        <v>598</v>
      </c>
      <c r="DU11" s="14" t="s">
        <v>598</v>
      </c>
      <c r="DV11" s="14" t="s">
        <v>598</v>
      </c>
      <c r="DW11" s="14" t="s">
        <v>598</v>
      </c>
      <c r="DX11" s="14" t="s">
        <v>598</v>
      </c>
      <c r="DY11" s="14" t="s">
        <v>598</v>
      </c>
      <c r="DZ11" s="14" t="s">
        <v>598</v>
      </c>
      <c r="EA11" s="14" t="s">
        <v>598</v>
      </c>
      <c r="EB11" s="14" t="s">
        <v>598</v>
      </c>
      <c r="EC11" s="14" t="s">
        <v>598</v>
      </c>
      <c r="ED11" s="14" t="s">
        <v>598</v>
      </c>
      <c r="EE11" s="14" t="s">
        <v>598</v>
      </c>
      <c r="EF11" s="14" t="s">
        <v>598</v>
      </c>
      <c r="EG11" s="14" t="s">
        <v>598</v>
      </c>
      <c r="EH11" s="14" t="s">
        <v>598</v>
      </c>
      <c r="EI11" s="14" t="s">
        <v>598</v>
      </c>
      <c r="EJ11" s="14" t="s">
        <v>598</v>
      </c>
      <c r="EK11" s="14" t="s">
        <v>598</v>
      </c>
      <c r="EL11" s="14" t="s">
        <v>598</v>
      </c>
      <c r="EM11" s="14" t="s">
        <v>598</v>
      </c>
      <c r="EN11" s="14" t="s">
        <v>598</v>
      </c>
      <c r="EO11" s="14" t="s">
        <v>598</v>
      </c>
      <c r="EP11" s="14" t="s">
        <v>598</v>
      </c>
      <c r="EQ11" s="14" t="s">
        <v>598</v>
      </c>
      <c r="ER11" s="14" t="s">
        <v>598</v>
      </c>
      <c r="EY11" s="14">
        <v>0</v>
      </c>
      <c r="FF11" s="14">
        <v>0</v>
      </c>
      <c r="FM11" s="14">
        <v>0</v>
      </c>
      <c r="FT11" s="14">
        <v>0</v>
      </c>
      <c r="GA11" s="14">
        <v>0</v>
      </c>
      <c r="GH11" s="14">
        <v>0</v>
      </c>
      <c r="GO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K11" s="14">
        <v>0</v>
      </c>
      <c r="HR11" s="14">
        <v>0</v>
      </c>
      <c r="HY11" s="14">
        <v>0</v>
      </c>
      <c r="IF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Z11" s="14">
        <v>1</v>
      </c>
      <c r="JA11" s="14">
        <v>3</v>
      </c>
      <c r="JB11" s="14">
        <v>1</v>
      </c>
      <c r="JC11" s="14" t="s">
        <v>600</v>
      </c>
      <c r="NF11" s="14" t="s">
        <v>601</v>
      </c>
      <c r="RI11" s="14" t="s">
        <v>602</v>
      </c>
      <c r="VL11" s="14" t="s">
        <v>603</v>
      </c>
      <c r="ZO11" s="14" t="s">
        <v>604</v>
      </c>
      <c r="ADR11" s="14" t="s">
        <v>605</v>
      </c>
    </row>
    <row r="12" spans="1:904" x14ac:dyDescent="0.25">
      <c r="A12" s="14">
        <v>117</v>
      </c>
      <c r="B12" s="14" t="s">
        <v>590</v>
      </c>
      <c r="C12" s="16">
        <f>VLOOKUP(A12,[4]RawData!Z:AA,2,FALSE)</f>
        <v>42760.369444444441</v>
      </c>
      <c r="D12" s="14" t="s">
        <v>661</v>
      </c>
      <c r="E12" s="14" t="s">
        <v>662</v>
      </c>
      <c r="F12" s="14" t="s">
        <v>663</v>
      </c>
      <c r="G12" s="14" t="s">
        <v>664</v>
      </c>
      <c r="H12" s="14">
        <v>-14384</v>
      </c>
      <c r="I12" s="14" t="s">
        <v>595</v>
      </c>
      <c r="J12" s="14" t="s">
        <v>596</v>
      </c>
      <c r="L12" s="14">
        <v>1</v>
      </c>
      <c r="O12" s="14">
        <v>280</v>
      </c>
      <c r="U12" s="14">
        <v>280</v>
      </c>
      <c r="AB12" s="14">
        <v>0</v>
      </c>
      <c r="AI12" s="14">
        <v>0</v>
      </c>
      <c r="AP12" s="14">
        <v>0</v>
      </c>
      <c r="AW12" s="14">
        <v>0</v>
      </c>
      <c r="BD12" s="14">
        <v>0</v>
      </c>
      <c r="BE12" s="14">
        <v>280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280</v>
      </c>
      <c r="BL12" s="14">
        <v>1</v>
      </c>
      <c r="BR12" s="14">
        <v>1</v>
      </c>
      <c r="BY12" s="14">
        <v>0</v>
      </c>
      <c r="CF12" s="14">
        <v>0</v>
      </c>
      <c r="CM12" s="14">
        <v>0</v>
      </c>
      <c r="CT12" s="14">
        <v>0</v>
      </c>
      <c r="DA12" s="14">
        <v>0</v>
      </c>
      <c r="DB12" s="14">
        <v>1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1</v>
      </c>
      <c r="DI12" s="14" t="s">
        <v>597</v>
      </c>
      <c r="DJ12" s="14" t="s">
        <v>598</v>
      </c>
      <c r="DK12" s="14" t="s">
        <v>598</v>
      </c>
      <c r="DL12" s="14" t="s">
        <v>598</v>
      </c>
      <c r="DM12" s="14" t="s">
        <v>598</v>
      </c>
      <c r="DN12" s="14" t="s">
        <v>598</v>
      </c>
      <c r="DO12" s="14" t="s">
        <v>598</v>
      </c>
      <c r="DP12" s="14" t="s">
        <v>598</v>
      </c>
      <c r="DQ12" s="14" t="s">
        <v>598</v>
      </c>
      <c r="DR12" s="14" t="s">
        <v>598</v>
      </c>
      <c r="DS12" s="14" t="s">
        <v>598</v>
      </c>
      <c r="DT12" s="14" t="s">
        <v>598</v>
      </c>
      <c r="DU12" s="14" t="s">
        <v>598</v>
      </c>
      <c r="DV12" s="14" t="s">
        <v>598</v>
      </c>
      <c r="DW12" s="14" t="s">
        <v>598</v>
      </c>
      <c r="DX12" s="14" t="s">
        <v>598</v>
      </c>
      <c r="DY12" s="14" t="s">
        <v>598</v>
      </c>
      <c r="DZ12" s="14" t="s">
        <v>598</v>
      </c>
      <c r="EA12" s="14" t="s">
        <v>598</v>
      </c>
      <c r="EB12" s="14" t="s">
        <v>598</v>
      </c>
      <c r="EC12" s="14" t="s">
        <v>598</v>
      </c>
      <c r="ED12" s="14" t="s">
        <v>598</v>
      </c>
      <c r="EE12" s="14" t="s">
        <v>598</v>
      </c>
      <c r="EF12" s="14" t="s">
        <v>598</v>
      </c>
      <c r="EG12" s="14" t="s">
        <v>598</v>
      </c>
      <c r="EH12" s="14" t="s">
        <v>598</v>
      </c>
      <c r="EI12" s="14" t="s">
        <v>598</v>
      </c>
      <c r="EJ12" s="14" t="s">
        <v>598</v>
      </c>
      <c r="EK12" s="14" t="s">
        <v>598</v>
      </c>
      <c r="EL12" s="14" t="s">
        <v>598</v>
      </c>
      <c r="EM12" s="14" t="s">
        <v>598</v>
      </c>
      <c r="EN12" s="14" t="s">
        <v>598</v>
      </c>
      <c r="EO12" s="14" t="s">
        <v>598</v>
      </c>
      <c r="EP12" s="14" t="s">
        <v>598</v>
      </c>
      <c r="EQ12" s="14" t="s">
        <v>598</v>
      </c>
      <c r="ER12" s="14" t="s">
        <v>598</v>
      </c>
      <c r="ES12" s="14">
        <v>158</v>
      </c>
      <c r="EY12" s="14">
        <v>158</v>
      </c>
      <c r="EZ12" s="14">
        <v>18</v>
      </c>
      <c r="FF12" s="14">
        <v>18</v>
      </c>
      <c r="FG12" s="14">
        <v>100</v>
      </c>
      <c r="FM12" s="14">
        <v>100</v>
      </c>
      <c r="FT12" s="14">
        <v>0</v>
      </c>
      <c r="GA12" s="14">
        <v>0</v>
      </c>
      <c r="GH12" s="14">
        <v>0</v>
      </c>
      <c r="GO12" s="14">
        <v>0</v>
      </c>
      <c r="GP12" s="14" t="s">
        <v>665</v>
      </c>
      <c r="GQ12" s="14">
        <v>4</v>
      </c>
      <c r="GW12" s="14">
        <v>4</v>
      </c>
      <c r="GX12" s="14">
        <v>280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280</v>
      </c>
      <c r="HK12" s="14">
        <v>0</v>
      </c>
      <c r="HL12" s="14">
        <v>88.5</v>
      </c>
      <c r="HR12" s="14">
        <v>88.5</v>
      </c>
      <c r="HS12" s="14">
        <v>191.5</v>
      </c>
      <c r="HY12" s="14">
        <v>191.5</v>
      </c>
      <c r="IF12" s="14">
        <v>0</v>
      </c>
      <c r="IM12" s="14">
        <v>0</v>
      </c>
      <c r="IN12" s="14">
        <v>280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280</v>
      </c>
      <c r="IU12" s="14">
        <v>31.6</v>
      </c>
      <c r="IW12" s="14">
        <v>68.400000000000006</v>
      </c>
      <c r="IZ12" s="14">
        <v>2</v>
      </c>
      <c r="JA12" s="14">
        <v>2</v>
      </c>
      <c r="JB12" s="14">
        <v>1</v>
      </c>
      <c r="JC12" s="14" t="s">
        <v>600</v>
      </c>
      <c r="NF12" s="14" t="s">
        <v>601</v>
      </c>
      <c r="RI12" s="14" t="s">
        <v>602</v>
      </c>
      <c r="VL12" s="14" t="s">
        <v>603</v>
      </c>
      <c r="ZO12" s="14" t="s">
        <v>604</v>
      </c>
      <c r="ADR12" s="14" t="s">
        <v>605</v>
      </c>
    </row>
    <row r="13" spans="1:904" x14ac:dyDescent="0.25">
      <c r="A13" s="14">
        <v>168</v>
      </c>
      <c r="B13" s="14" t="s">
        <v>590</v>
      </c>
      <c r="C13" s="16">
        <f>VLOOKUP(A13,[4]RawData!Z:AA,2,FALSE)</f>
        <v>42772.083333333336</v>
      </c>
      <c r="D13" s="14" t="s">
        <v>666</v>
      </c>
      <c r="E13" s="14" t="s">
        <v>667</v>
      </c>
      <c r="F13" s="14" t="s">
        <v>668</v>
      </c>
      <c r="G13" s="14" t="s">
        <v>669</v>
      </c>
      <c r="H13" s="14" t="s">
        <v>670</v>
      </c>
      <c r="I13" s="14" t="s">
        <v>624</v>
      </c>
      <c r="J13" s="14" t="s">
        <v>625</v>
      </c>
      <c r="L13" s="14">
        <v>2</v>
      </c>
      <c r="M13" s="14">
        <v>1</v>
      </c>
      <c r="U13" s="14">
        <v>0</v>
      </c>
      <c r="AB13" s="14">
        <v>0</v>
      </c>
      <c r="AI13" s="14">
        <v>0</v>
      </c>
      <c r="AP13" s="14">
        <v>0</v>
      </c>
      <c r="AW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R13" s="14">
        <v>0</v>
      </c>
      <c r="BY13" s="14">
        <v>0</v>
      </c>
      <c r="CF13" s="14">
        <v>0</v>
      </c>
      <c r="CM13" s="14">
        <v>0</v>
      </c>
      <c r="CT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 t="s">
        <v>598</v>
      </c>
      <c r="DJ13" s="14" t="s">
        <v>598</v>
      </c>
      <c r="DK13" s="14" t="s">
        <v>598</v>
      </c>
      <c r="DL13" s="14" t="s">
        <v>598</v>
      </c>
      <c r="DM13" s="14" t="s">
        <v>598</v>
      </c>
      <c r="DN13" s="14" t="s">
        <v>598</v>
      </c>
      <c r="DO13" s="14" t="s">
        <v>598</v>
      </c>
      <c r="DP13" s="14" t="s">
        <v>598</v>
      </c>
      <c r="DQ13" s="14" t="s">
        <v>598</v>
      </c>
      <c r="DR13" s="14" t="s">
        <v>598</v>
      </c>
      <c r="DS13" s="14" t="s">
        <v>598</v>
      </c>
      <c r="DT13" s="14" t="s">
        <v>598</v>
      </c>
      <c r="DU13" s="14" t="s">
        <v>598</v>
      </c>
      <c r="DV13" s="14" t="s">
        <v>598</v>
      </c>
      <c r="DW13" s="14" t="s">
        <v>598</v>
      </c>
      <c r="DX13" s="14" t="s">
        <v>598</v>
      </c>
      <c r="DY13" s="14" t="s">
        <v>598</v>
      </c>
      <c r="DZ13" s="14" t="s">
        <v>598</v>
      </c>
      <c r="EA13" s="14" t="s">
        <v>598</v>
      </c>
      <c r="EB13" s="14" t="s">
        <v>598</v>
      </c>
      <c r="EC13" s="14" t="s">
        <v>598</v>
      </c>
      <c r="ED13" s="14" t="s">
        <v>598</v>
      </c>
      <c r="EE13" s="14" t="s">
        <v>598</v>
      </c>
      <c r="EF13" s="14" t="s">
        <v>598</v>
      </c>
      <c r="EG13" s="14" t="s">
        <v>598</v>
      </c>
      <c r="EH13" s="14" t="s">
        <v>598</v>
      </c>
      <c r="EI13" s="14" t="s">
        <v>598</v>
      </c>
      <c r="EJ13" s="14" t="s">
        <v>598</v>
      </c>
      <c r="EK13" s="14" t="s">
        <v>598</v>
      </c>
      <c r="EL13" s="14" t="s">
        <v>598</v>
      </c>
      <c r="EM13" s="14" t="s">
        <v>598</v>
      </c>
      <c r="EN13" s="14" t="s">
        <v>598</v>
      </c>
      <c r="EO13" s="14" t="s">
        <v>598</v>
      </c>
      <c r="EP13" s="14" t="s">
        <v>598</v>
      </c>
      <c r="EQ13" s="14" t="s">
        <v>598</v>
      </c>
      <c r="ER13" s="14" t="s">
        <v>598</v>
      </c>
      <c r="EY13" s="14">
        <v>0</v>
      </c>
      <c r="FF13" s="14">
        <v>0</v>
      </c>
      <c r="FM13" s="14">
        <v>0</v>
      </c>
      <c r="FT13" s="14">
        <v>0</v>
      </c>
      <c r="GA13" s="14">
        <v>0</v>
      </c>
      <c r="GH13" s="14">
        <v>0</v>
      </c>
      <c r="GO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K13" s="14">
        <v>0</v>
      </c>
      <c r="HR13" s="14">
        <v>0</v>
      </c>
      <c r="HY13" s="14">
        <v>0</v>
      </c>
      <c r="IF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Z13" s="14">
        <v>1</v>
      </c>
      <c r="JA13" s="14">
        <v>3</v>
      </c>
      <c r="JB13" s="14">
        <v>2</v>
      </c>
      <c r="JC13" s="14" t="s">
        <v>600</v>
      </c>
      <c r="NF13" s="14" t="s">
        <v>601</v>
      </c>
      <c r="RI13" s="14" t="s">
        <v>602</v>
      </c>
      <c r="VL13" s="14" t="s">
        <v>603</v>
      </c>
      <c r="ZO13" s="14" t="s">
        <v>604</v>
      </c>
      <c r="ADR13" s="14" t="s">
        <v>605</v>
      </c>
    </row>
    <row r="14" spans="1:904" x14ac:dyDescent="0.25">
      <c r="A14" s="14">
        <v>170</v>
      </c>
      <c r="B14" s="14" t="s">
        <v>590</v>
      </c>
      <c r="C14" s="16">
        <f>$C$3</f>
        <v>42780</v>
      </c>
      <c r="D14" s="14" t="s">
        <v>671</v>
      </c>
      <c r="E14" s="14" t="s">
        <v>672</v>
      </c>
      <c r="F14" s="14" t="s">
        <v>673</v>
      </c>
      <c r="G14" s="14" t="s">
        <v>674</v>
      </c>
      <c r="H14" s="14">
        <v>22644662</v>
      </c>
      <c r="I14" s="14" t="s">
        <v>618</v>
      </c>
      <c r="J14" s="14" t="s">
        <v>596</v>
      </c>
      <c r="L14" s="14">
        <v>1</v>
      </c>
      <c r="O14" s="14">
        <v>12.5</v>
      </c>
      <c r="U14" s="14">
        <v>12.5</v>
      </c>
      <c r="AB14" s="14">
        <v>0</v>
      </c>
      <c r="AI14" s="14">
        <v>0</v>
      </c>
      <c r="AP14" s="14">
        <v>0</v>
      </c>
      <c r="AW14" s="14">
        <v>0</v>
      </c>
      <c r="BD14" s="14">
        <v>0</v>
      </c>
      <c r="BE14" s="14">
        <v>12.5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12.5</v>
      </c>
      <c r="BL14" s="14">
        <v>1</v>
      </c>
      <c r="BR14" s="14">
        <v>1</v>
      </c>
      <c r="BY14" s="14">
        <v>0</v>
      </c>
      <c r="CF14" s="14">
        <v>0</v>
      </c>
      <c r="CM14" s="14">
        <v>0</v>
      </c>
      <c r="CT14" s="14">
        <v>0</v>
      </c>
      <c r="DA14" s="14">
        <v>0</v>
      </c>
      <c r="DB14" s="14">
        <v>1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1</v>
      </c>
      <c r="DI14" s="14" t="s">
        <v>597</v>
      </c>
      <c r="DJ14" s="14" t="s">
        <v>598</v>
      </c>
      <c r="DK14" s="14" t="s">
        <v>598</v>
      </c>
      <c r="DL14" s="14" t="s">
        <v>598</v>
      </c>
      <c r="DM14" s="14" t="s">
        <v>598</v>
      </c>
      <c r="DN14" s="14" t="s">
        <v>598</v>
      </c>
      <c r="DO14" s="14" t="s">
        <v>598</v>
      </c>
      <c r="DP14" s="14" t="s">
        <v>598</v>
      </c>
      <c r="DQ14" s="14" t="s">
        <v>598</v>
      </c>
      <c r="DR14" s="14" t="s">
        <v>598</v>
      </c>
      <c r="DS14" s="14" t="s">
        <v>598</v>
      </c>
      <c r="DT14" s="14" t="s">
        <v>598</v>
      </c>
      <c r="DU14" s="14" t="s">
        <v>598</v>
      </c>
      <c r="DV14" s="14" t="s">
        <v>598</v>
      </c>
      <c r="DW14" s="14" t="s">
        <v>598</v>
      </c>
      <c r="DX14" s="14" t="s">
        <v>598</v>
      </c>
      <c r="DY14" s="14" t="s">
        <v>598</v>
      </c>
      <c r="DZ14" s="14" t="s">
        <v>598</v>
      </c>
      <c r="EA14" s="14" t="s">
        <v>598</v>
      </c>
      <c r="EB14" s="14" t="s">
        <v>598</v>
      </c>
      <c r="EC14" s="14" t="s">
        <v>598</v>
      </c>
      <c r="ED14" s="14" t="s">
        <v>598</v>
      </c>
      <c r="EE14" s="14" t="s">
        <v>598</v>
      </c>
      <c r="EF14" s="14" t="s">
        <v>598</v>
      </c>
      <c r="EG14" s="14" t="s">
        <v>598</v>
      </c>
      <c r="EH14" s="14" t="s">
        <v>598</v>
      </c>
      <c r="EI14" s="14" t="s">
        <v>598</v>
      </c>
      <c r="EJ14" s="14" t="s">
        <v>598</v>
      </c>
      <c r="EK14" s="14" t="s">
        <v>598</v>
      </c>
      <c r="EL14" s="14" t="s">
        <v>598</v>
      </c>
      <c r="EM14" s="14" t="s">
        <v>598</v>
      </c>
      <c r="EN14" s="14" t="s">
        <v>598</v>
      </c>
      <c r="EO14" s="14" t="s">
        <v>598</v>
      </c>
      <c r="EP14" s="14" t="s">
        <v>598</v>
      </c>
      <c r="EQ14" s="14" t="s">
        <v>598</v>
      </c>
      <c r="ER14" s="14" t="s">
        <v>598</v>
      </c>
      <c r="EY14" s="14">
        <v>0</v>
      </c>
      <c r="FF14" s="14">
        <v>0</v>
      </c>
      <c r="FM14" s="14">
        <v>0</v>
      </c>
      <c r="FT14" s="14">
        <v>0</v>
      </c>
      <c r="GA14" s="14">
        <v>0</v>
      </c>
      <c r="GH14" s="14">
        <v>0</v>
      </c>
      <c r="GI14" s="14">
        <v>12.5</v>
      </c>
      <c r="GO14" s="14">
        <v>12.5</v>
      </c>
      <c r="GW14" s="14">
        <v>0</v>
      </c>
      <c r="GX14" s="14">
        <v>12.5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12.5</v>
      </c>
      <c r="HK14" s="14">
        <v>0</v>
      </c>
      <c r="HL14" s="14">
        <v>12.5</v>
      </c>
      <c r="HR14" s="14">
        <v>12.5</v>
      </c>
      <c r="HY14" s="14">
        <v>0</v>
      </c>
      <c r="IF14" s="14">
        <v>0</v>
      </c>
      <c r="IM14" s="14">
        <v>0</v>
      </c>
      <c r="IN14" s="14">
        <v>12.5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12.5</v>
      </c>
      <c r="IW14" s="14">
        <v>100</v>
      </c>
      <c r="IZ14" s="14">
        <v>3</v>
      </c>
      <c r="JA14" s="14">
        <v>3</v>
      </c>
      <c r="JB14" s="14">
        <v>2</v>
      </c>
      <c r="JC14" s="14" t="s">
        <v>600</v>
      </c>
      <c r="JJ14" s="14">
        <v>0</v>
      </c>
      <c r="JQ14" s="14">
        <v>0</v>
      </c>
      <c r="JX14" s="14">
        <v>0</v>
      </c>
      <c r="KE14" s="14">
        <v>0</v>
      </c>
      <c r="KL14" s="14">
        <v>0</v>
      </c>
      <c r="KS14" s="14">
        <v>0</v>
      </c>
      <c r="KT14" s="14">
        <v>12.5</v>
      </c>
      <c r="KZ14" s="14">
        <v>12.5</v>
      </c>
      <c r="LH14" s="14">
        <v>0</v>
      </c>
      <c r="LI14" s="14">
        <v>12.5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12.5</v>
      </c>
      <c r="LP14" s="14">
        <v>12.5</v>
      </c>
      <c r="LV14" s="14">
        <v>12.5</v>
      </c>
      <c r="MC14" s="14">
        <v>0</v>
      </c>
      <c r="MJ14" s="14">
        <v>0</v>
      </c>
      <c r="MQ14" s="14">
        <v>0</v>
      </c>
      <c r="MX14" s="14">
        <v>0</v>
      </c>
      <c r="MY14" s="14">
        <v>12.5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12.5</v>
      </c>
      <c r="NF14" s="14" t="s">
        <v>601</v>
      </c>
      <c r="RI14" s="14" t="s">
        <v>602</v>
      </c>
      <c r="VL14" s="14" t="s">
        <v>603</v>
      </c>
      <c r="ZO14" s="14" t="s">
        <v>604</v>
      </c>
      <c r="ADR14" s="14" t="s">
        <v>605</v>
      </c>
    </row>
    <row r="15" spans="1:904" x14ac:dyDescent="0.25">
      <c r="A15" s="14">
        <v>236</v>
      </c>
      <c r="B15" s="14" t="s">
        <v>590</v>
      </c>
      <c r="C15" s="16">
        <f>$C$3</f>
        <v>42780</v>
      </c>
      <c r="D15" s="14" t="s">
        <v>675</v>
      </c>
      <c r="E15" s="14" t="s">
        <v>676</v>
      </c>
      <c r="F15" s="14" t="s">
        <v>677</v>
      </c>
      <c r="G15" s="14" t="s">
        <v>678</v>
      </c>
      <c r="H15" s="14">
        <v>6565088808</v>
      </c>
      <c r="I15" s="14" t="s">
        <v>595</v>
      </c>
      <c r="J15" s="14" t="s">
        <v>679</v>
      </c>
      <c r="L15" s="14">
        <v>1</v>
      </c>
      <c r="R15" s="14">
        <v>350</v>
      </c>
      <c r="U15" s="14">
        <v>350</v>
      </c>
      <c r="AB15" s="14">
        <v>0</v>
      </c>
      <c r="AI15" s="14">
        <v>0</v>
      </c>
      <c r="AP15" s="14">
        <v>0</v>
      </c>
      <c r="AW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350</v>
      </c>
      <c r="BI15" s="14">
        <v>0</v>
      </c>
      <c r="BJ15" s="14">
        <v>0</v>
      </c>
      <c r="BK15" s="14">
        <v>350</v>
      </c>
      <c r="BO15" s="14">
        <v>1</v>
      </c>
      <c r="BR15" s="14">
        <v>1</v>
      </c>
      <c r="BY15" s="14">
        <v>0</v>
      </c>
      <c r="CF15" s="14">
        <v>0</v>
      </c>
      <c r="CM15" s="14">
        <v>0</v>
      </c>
      <c r="CT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1</v>
      </c>
      <c r="DF15" s="14">
        <v>0</v>
      </c>
      <c r="DG15" s="14">
        <v>0</v>
      </c>
      <c r="DH15" s="14">
        <v>1</v>
      </c>
      <c r="DI15" s="14" t="s">
        <v>598</v>
      </c>
      <c r="DJ15" s="14" t="s">
        <v>598</v>
      </c>
      <c r="DK15" s="14" t="s">
        <v>598</v>
      </c>
      <c r="DL15" s="14" t="s">
        <v>597</v>
      </c>
      <c r="DM15" s="14" t="s">
        <v>598</v>
      </c>
      <c r="DN15" s="14" t="s">
        <v>598</v>
      </c>
      <c r="DO15" s="14" t="s">
        <v>598</v>
      </c>
      <c r="DP15" s="14" t="s">
        <v>598</v>
      </c>
      <c r="DQ15" s="14" t="s">
        <v>598</v>
      </c>
      <c r="DR15" s="14" t="s">
        <v>598</v>
      </c>
      <c r="DS15" s="14" t="s">
        <v>598</v>
      </c>
      <c r="DT15" s="14" t="s">
        <v>598</v>
      </c>
      <c r="DU15" s="14" t="s">
        <v>598</v>
      </c>
      <c r="DV15" s="14" t="s">
        <v>598</v>
      </c>
      <c r="DW15" s="14" t="s">
        <v>598</v>
      </c>
      <c r="DX15" s="14" t="s">
        <v>598</v>
      </c>
      <c r="DY15" s="14" t="s">
        <v>598</v>
      </c>
      <c r="DZ15" s="14" t="s">
        <v>598</v>
      </c>
      <c r="EA15" s="14" t="s">
        <v>598</v>
      </c>
      <c r="EB15" s="14" t="s">
        <v>598</v>
      </c>
      <c r="EC15" s="14" t="s">
        <v>598</v>
      </c>
      <c r="ED15" s="14" t="s">
        <v>598</v>
      </c>
      <c r="EE15" s="14" t="s">
        <v>598</v>
      </c>
      <c r="EF15" s="14" t="s">
        <v>598</v>
      </c>
      <c r="EG15" s="14" t="s">
        <v>598</v>
      </c>
      <c r="EH15" s="14" t="s">
        <v>598</v>
      </c>
      <c r="EI15" s="14" t="s">
        <v>598</v>
      </c>
      <c r="EJ15" s="14" t="s">
        <v>598</v>
      </c>
      <c r="EK15" s="14" t="s">
        <v>598</v>
      </c>
      <c r="EL15" s="14" t="s">
        <v>598</v>
      </c>
      <c r="EM15" s="14" t="s">
        <v>598</v>
      </c>
      <c r="EN15" s="14" t="s">
        <v>598</v>
      </c>
      <c r="EO15" s="14" t="s">
        <v>598</v>
      </c>
      <c r="EP15" s="14" t="s">
        <v>598</v>
      </c>
      <c r="EQ15" s="14" t="s">
        <v>598</v>
      </c>
      <c r="ER15" s="14" t="s">
        <v>598</v>
      </c>
      <c r="EY15" s="14">
        <v>0</v>
      </c>
      <c r="FF15" s="14">
        <v>0</v>
      </c>
      <c r="FM15" s="14">
        <v>0</v>
      </c>
      <c r="FT15" s="14">
        <v>0</v>
      </c>
      <c r="GA15" s="14">
        <v>0</v>
      </c>
      <c r="GH15" s="14">
        <v>0</v>
      </c>
      <c r="GO15" s="14">
        <v>0</v>
      </c>
      <c r="GP15" s="14" t="s">
        <v>680</v>
      </c>
      <c r="GT15" s="14">
        <v>350</v>
      </c>
      <c r="GW15" s="14">
        <v>350</v>
      </c>
      <c r="GX15" s="14">
        <v>0</v>
      </c>
      <c r="GY15" s="14">
        <v>0</v>
      </c>
      <c r="GZ15" s="14">
        <v>0</v>
      </c>
      <c r="HA15" s="14">
        <v>350</v>
      </c>
      <c r="HB15" s="14">
        <v>0</v>
      </c>
      <c r="HC15" s="14">
        <v>0</v>
      </c>
      <c r="HD15" s="14">
        <v>350</v>
      </c>
      <c r="HH15" s="14">
        <v>350</v>
      </c>
      <c r="HK15" s="14">
        <v>350</v>
      </c>
      <c r="HR15" s="14">
        <v>0</v>
      </c>
      <c r="HY15" s="14">
        <v>0</v>
      </c>
      <c r="IF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350</v>
      </c>
      <c r="IR15" s="14">
        <v>0</v>
      </c>
      <c r="IS15" s="14">
        <v>0</v>
      </c>
      <c r="IT15" s="14">
        <v>350</v>
      </c>
      <c r="IW15" s="14">
        <v>100</v>
      </c>
      <c r="IZ15" s="14">
        <v>1</v>
      </c>
      <c r="JA15" s="14">
        <v>2</v>
      </c>
      <c r="JB15" s="14">
        <v>1</v>
      </c>
      <c r="JC15" s="14" t="s">
        <v>600</v>
      </c>
      <c r="JJ15" s="14">
        <v>0</v>
      </c>
      <c r="JQ15" s="14">
        <v>0</v>
      </c>
      <c r="JX15" s="14">
        <v>0</v>
      </c>
      <c r="KE15" s="14">
        <v>0</v>
      </c>
      <c r="KL15" s="14">
        <v>0</v>
      </c>
      <c r="KS15" s="14">
        <v>0</v>
      </c>
      <c r="KZ15" s="14">
        <v>0</v>
      </c>
      <c r="LA15" s="14" t="s">
        <v>680</v>
      </c>
      <c r="LE15" s="14">
        <v>350</v>
      </c>
      <c r="LH15" s="14">
        <v>350</v>
      </c>
      <c r="LI15" s="14">
        <v>0</v>
      </c>
      <c r="LJ15" s="14">
        <v>0</v>
      </c>
      <c r="LK15" s="14">
        <v>0</v>
      </c>
      <c r="LL15" s="14">
        <v>350</v>
      </c>
      <c r="LM15" s="14">
        <v>0</v>
      </c>
      <c r="LN15" s="14">
        <v>0</v>
      </c>
      <c r="LO15" s="14">
        <v>350</v>
      </c>
      <c r="LV15" s="14">
        <v>0</v>
      </c>
      <c r="LZ15" s="14">
        <v>350</v>
      </c>
      <c r="MC15" s="14">
        <v>350</v>
      </c>
      <c r="MJ15" s="14">
        <v>0</v>
      </c>
      <c r="MQ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350</v>
      </c>
      <c r="NC15" s="14">
        <v>0</v>
      </c>
      <c r="ND15" s="14">
        <v>0</v>
      </c>
      <c r="NE15" s="14">
        <v>350</v>
      </c>
      <c r="NF15" s="14" t="s">
        <v>601</v>
      </c>
      <c r="RI15" s="14" t="s">
        <v>602</v>
      </c>
      <c r="VL15" s="14" t="s">
        <v>603</v>
      </c>
      <c r="ZO15" s="14" t="s">
        <v>604</v>
      </c>
      <c r="ADR15" s="14" t="s">
        <v>605</v>
      </c>
    </row>
    <row r="16" spans="1:904" x14ac:dyDescent="0.25">
      <c r="A16" s="14">
        <v>115</v>
      </c>
      <c r="B16" s="14" t="s">
        <v>590</v>
      </c>
      <c r="C16" s="16">
        <f>VLOOKUP(A16,[4]RawData!Z:AA,2,FALSE)</f>
        <v>42775.331944444442</v>
      </c>
      <c r="D16" s="14" t="s">
        <v>681</v>
      </c>
      <c r="E16" s="14" t="s">
        <v>682</v>
      </c>
      <c r="F16" s="14" t="s">
        <v>683</v>
      </c>
      <c r="G16" s="14" t="s">
        <v>684</v>
      </c>
      <c r="H16" s="14" t="s">
        <v>685</v>
      </c>
      <c r="I16" s="14" t="s">
        <v>595</v>
      </c>
      <c r="J16" s="14" t="s">
        <v>596</v>
      </c>
      <c r="L16" s="14">
        <v>2</v>
      </c>
      <c r="U16" s="14">
        <v>0</v>
      </c>
      <c r="AB16" s="14">
        <v>0</v>
      </c>
      <c r="AI16" s="14">
        <v>0</v>
      </c>
      <c r="AP16" s="14">
        <v>0</v>
      </c>
      <c r="AW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R16" s="14">
        <v>0</v>
      </c>
      <c r="BY16" s="14">
        <v>0</v>
      </c>
      <c r="CF16" s="14">
        <v>0</v>
      </c>
      <c r="CM16" s="14">
        <v>0</v>
      </c>
      <c r="CT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 t="s">
        <v>598</v>
      </c>
      <c r="DJ16" s="14" t="s">
        <v>598</v>
      </c>
      <c r="DK16" s="14" t="s">
        <v>598</v>
      </c>
      <c r="DL16" s="14" t="s">
        <v>598</v>
      </c>
      <c r="DM16" s="14" t="s">
        <v>598</v>
      </c>
      <c r="DN16" s="14" t="s">
        <v>598</v>
      </c>
      <c r="DO16" s="14" t="s">
        <v>598</v>
      </c>
      <c r="DP16" s="14" t="s">
        <v>598</v>
      </c>
      <c r="DQ16" s="14" t="s">
        <v>598</v>
      </c>
      <c r="DR16" s="14" t="s">
        <v>598</v>
      </c>
      <c r="DS16" s="14" t="s">
        <v>598</v>
      </c>
      <c r="DT16" s="14" t="s">
        <v>598</v>
      </c>
      <c r="DU16" s="14" t="s">
        <v>598</v>
      </c>
      <c r="DV16" s="14" t="s">
        <v>598</v>
      </c>
      <c r="DW16" s="14" t="s">
        <v>598</v>
      </c>
      <c r="DX16" s="14" t="s">
        <v>598</v>
      </c>
      <c r="DY16" s="14" t="s">
        <v>598</v>
      </c>
      <c r="DZ16" s="14" t="s">
        <v>598</v>
      </c>
      <c r="EA16" s="14" t="s">
        <v>598</v>
      </c>
      <c r="EB16" s="14" t="s">
        <v>598</v>
      </c>
      <c r="EC16" s="14" t="s">
        <v>598</v>
      </c>
      <c r="ED16" s="14" t="s">
        <v>598</v>
      </c>
      <c r="EE16" s="14" t="s">
        <v>598</v>
      </c>
      <c r="EF16" s="14" t="s">
        <v>598</v>
      </c>
      <c r="EG16" s="14" t="s">
        <v>598</v>
      </c>
      <c r="EH16" s="14" t="s">
        <v>598</v>
      </c>
      <c r="EI16" s="14" t="s">
        <v>598</v>
      </c>
      <c r="EJ16" s="14" t="s">
        <v>598</v>
      </c>
      <c r="EK16" s="14" t="s">
        <v>598</v>
      </c>
      <c r="EL16" s="14" t="s">
        <v>598</v>
      </c>
      <c r="EM16" s="14" t="s">
        <v>598</v>
      </c>
      <c r="EN16" s="14" t="s">
        <v>598</v>
      </c>
      <c r="EO16" s="14" t="s">
        <v>598</v>
      </c>
      <c r="EP16" s="14" t="s">
        <v>598</v>
      </c>
      <c r="EQ16" s="14" t="s">
        <v>598</v>
      </c>
      <c r="ER16" s="14" t="s">
        <v>598</v>
      </c>
      <c r="EY16" s="14">
        <v>0</v>
      </c>
      <c r="FF16" s="14">
        <v>0</v>
      </c>
      <c r="FM16" s="14">
        <v>0</v>
      </c>
      <c r="FT16" s="14">
        <v>0</v>
      </c>
      <c r="GA16" s="14">
        <v>0</v>
      </c>
      <c r="GH16" s="14">
        <v>0</v>
      </c>
      <c r="GO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K16" s="14">
        <v>0</v>
      </c>
      <c r="HR16" s="14">
        <v>0</v>
      </c>
      <c r="HY16" s="14">
        <v>0</v>
      </c>
      <c r="IF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Z16" s="14">
        <v>1</v>
      </c>
      <c r="JA16" s="14">
        <v>2</v>
      </c>
      <c r="JB16" s="14">
        <v>2</v>
      </c>
      <c r="JC16" s="14" t="s">
        <v>600</v>
      </c>
      <c r="NF16" s="14" t="s">
        <v>601</v>
      </c>
      <c r="RI16" s="14" t="s">
        <v>602</v>
      </c>
      <c r="VL16" s="14" t="s">
        <v>603</v>
      </c>
      <c r="ZO16" s="14" t="s">
        <v>604</v>
      </c>
      <c r="ADR16" s="14" t="s">
        <v>605</v>
      </c>
    </row>
    <row r="17" spans="1:798" x14ac:dyDescent="0.25">
      <c r="A17" s="14">
        <v>88</v>
      </c>
      <c r="B17" s="14" t="s">
        <v>590</v>
      </c>
      <c r="C17" s="16">
        <f>$C$3</f>
        <v>42780</v>
      </c>
      <c r="D17" s="14" t="s">
        <v>686</v>
      </c>
      <c r="E17" s="14" t="s">
        <v>687</v>
      </c>
      <c r="F17" s="14" t="s">
        <v>688</v>
      </c>
      <c r="G17" s="14" t="s">
        <v>689</v>
      </c>
      <c r="H17" s="14">
        <v>-68031736</v>
      </c>
      <c r="I17" s="14" t="s">
        <v>595</v>
      </c>
      <c r="J17" s="14" t="s">
        <v>596</v>
      </c>
      <c r="L17" s="14">
        <v>1</v>
      </c>
      <c r="O17" s="14">
        <v>281.52</v>
      </c>
      <c r="P17" s="14">
        <v>265</v>
      </c>
      <c r="U17" s="14">
        <v>546.52</v>
      </c>
      <c r="AB17" s="14">
        <v>0</v>
      </c>
      <c r="AI17" s="14">
        <v>0</v>
      </c>
      <c r="AJ17" s="14">
        <v>132.34</v>
      </c>
      <c r="AP17" s="14">
        <v>132.34</v>
      </c>
      <c r="AW17" s="14">
        <v>0</v>
      </c>
      <c r="BD17" s="14">
        <v>0</v>
      </c>
      <c r="BE17" s="14">
        <v>413.86</v>
      </c>
      <c r="BF17" s="14">
        <v>265</v>
      </c>
      <c r="BG17" s="14">
        <v>0</v>
      </c>
      <c r="BH17" s="14">
        <v>0</v>
      </c>
      <c r="BI17" s="14">
        <v>0</v>
      </c>
      <c r="BJ17" s="14">
        <v>0</v>
      </c>
      <c r="BK17" s="14">
        <v>678.86</v>
      </c>
      <c r="BL17" s="14">
        <v>1</v>
      </c>
      <c r="BM17" s="14">
        <v>1</v>
      </c>
      <c r="BR17" s="14">
        <v>2</v>
      </c>
      <c r="BY17" s="14">
        <v>0</v>
      </c>
      <c r="CF17" s="14">
        <v>0</v>
      </c>
      <c r="CG17" s="14">
        <v>1</v>
      </c>
      <c r="CM17" s="14">
        <v>1</v>
      </c>
      <c r="CT17" s="14">
        <v>0</v>
      </c>
      <c r="DA17" s="14">
        <v>0</v>
      </c>
      <c r="DB17" s="14">
        <v>2</v>
      </c>
      <c r="DC17" s="14">
        <v>1</v>
      </c>
      <c r="DD17" s="14">
        <v>0</v>
      </c>
      <c r="DE17" s="14">
        <v>0</v>
      </c>
      <c r="DF17" s="14">
        <v>0</v>
      </c>
      <c r="DG17" s="14">
        <v>0</v>
      </c>
      <c r="DH17" s="14">
        <v>3</v>
      </c>
      <c r="DI17" s="14" t="s">
        <v>597</v>
      </c>
      <c r="DJ17" s="14" t="s">
        <v>597</v>
      </c>
      <c r="DK17" s="14" t="s">
        <v>598</v>
      </c>
      <c r="DL17" s="14" t="s">
        <v>598</v>
      </c>
      <c r="DM17" s="14" t="s">
        <v>598</v>
      </c>
      <c r="DN17" s="14" t="s">
        <v>598</v>
      </c>
      <c r="DO17" s="14" t="s">
        <v>598</v>
      </c>
      <c r="DP17" s="14" t="s">
        <v>598</v>
      </c>
      <c r="DQ17" s="14" t="s">
        <v>598</v>
      </c>
      <c r="DR17" s="14" t="s">
        <v>598</v>
      </c>
      <c r="DS17" s="14" t="s">
        <v>598</v>
      </c>
      <c r="DT17" s="14" t="s">
        <v>598</v>
      </c>
      <c r="DU17" s="14" t="s">
        <v>598</v>
      </c>
      <c r="DV17" s="14" t="s">
        <v>598</v>
      </c>
      <c r="DW17" s="14" t="s">
        <v>598</v>
      </c>
      <c r="DX17" s="14" t="s">
        <v>598</v>
      </c>
      <c r="DY17" s="14" t="s">
        <v>598</v>
      </c>
      <c r="DZ17" s="14" t="s">
        <v>598</v>
      </c>
      <c r="EA17" s="14" t="s">
        <v>597</v>
      </c>
      <c r="EB17" s="14" t="s">
        <v>598</v>
      </c>
      <c r="EC17" s="14" t="s">
        <v>598</v>
      </c>
      <c r="ED17" s="14" t="s">
        <v>598</v>
      </c>
      <c r="EE17" s="14" t="s">
        <v>598</v>
      </c>
      <c r="EF17" s="14" t="s">
        <v>598</v>
      </c>
      <c r="EG17" s="14" t="s">
        <v>598</v>
      </c>
      <c r="EH17" s="14" t="s">
        <v>598</v>
      </c>
      <c r="EI17" s="14" t="s">
        <v>598</v>
      </c>
      <c r="EJ17" s="14" t="s">
        <v>598</v>
      </c>
      <c r="EK17" s="14" t="s">
        <v>598</v>
      </c>
      <c r="EL17" s="14" t="s">
        <v>598</v>
      </c>
      <c r="EM17" s="14" t="s">
        <v>598</v>
      </c>
      <c r="EN17" s="14" t="s">
        <v>598</v>
      </c>
      <c r="EO17" s="14" t="s">
        <v>598</v>
      </c>
      <c r="EP17" s="14" t="s">
        <v>598</v>
      </c>
      <c r="EQ17" s="14" t="s">
        <v>598</v>
      </c>
      <c r="ER17" s="14" t="s">
        <v>598</v>
      </c>
      <c r="ES17" s="14">
        <v>134</v>
      </c>
      <c r="ET17" s="14">
        <v>265</v>
      </c>
      <c r="EY17" s="14">
        <v>399</v>
      </c>
      <c r="FF17" s="14">
        <v>0</v>
      </c>
      <c r="FM17" s="14">
        <v>0</v>
      </c>
      <c r="FN17" s="14">
        <v>20</v>
      </c>
      <c r="FT17" s="14">
        <v>20</v>
      </c>
      <c r="FU17" s="14">
        <v>30</v>
      </c>
      <c r="GA17" s="14">
        <v>30</v>
      </c>
      <c r="GH17" s="14">
        <v>0</v>
      </c>
      <c r="GO17" s="14">
        <v>0</v>
      </c>
      <c r="GP17" s="14" t="s">
        <v>690</v>
      </c>
      <c r="GQ17" s="14">
        <v>229.86</v>
      </c>
      <c r="GW17" s="14">
        <v>229.86</v>
      </c>
      <c r="GX17" s="14">
        <v>413.86</v>
      </c>
      <c r="GY17" s="14">
        <v>265</v>
      </c>
      <c r="GZ17" s="14">
        <v>0</v>
      </c>
      <c r="HA17" s="14">
        <v>0</v>
      </c>
      <c r="HB17" s="14">
        <v>0</v>
      </c>
      <c r="HC17" s="14">
        <v>0</v>
      </c>
      <c r="HD17" s="14">
        <v>678.86</v>
      </c>
      <c r="HE17" s="14">
        <v>279.86</v>
      </c>
      <c r="HK17" s="14">
        <v>279.86</v>
      </c>
      <c r="HL17" s="14">
        <v>134</v>
      </c>
      <c r="HM17" s="14">
        <v>265</v>
      </c>
      <c r="HR17" s="14">
        <v>399</v>
      </c>
      <c r="HY17" s="14">
        <v>0</v>
      </c>
      <c r="IF17" s="14">
        <v>0</v>
      </c>
      <c r="IM17" s="14">
        <v>0</v>
      </c>
      <c r="IN17" s="14">
        <v>413.86</v>
      </c>
      <c r="IO17" s="14">
        <v>265</v>
      </c>
      <c r="IP17" s="14">
        <v>0</v>
      </c>
      <c r="IQ17" s="14">
        <v>0</v>
      </c>
      <c r="IR17" s="14">
        <v>0</v>
      </c>
      <c r="IS17" s="14">
        <v>0</v>
      </c>
      <c r="IT17" s="14">
        <v>678.86</v>
      </c>
      <c r="IV17" s="14">
        <v>100</v>
      </c>
      <c r="IZ17" s="14">
        <v>1</v>
      </c>
      <c r="JA17" s="14">
        <v>1</v>
      </c>
      <c r="JB17" s="14">
        <v>2</v>
      </c>
      <c r="JC17" s="14" t="s">
        <v>600</v>
      </c>
      <c r="NF17" s="14" t="s">
        <v>601</v>
      </c>
      <c r="RI17" s="14" t="s">
        <v>602</v>
      </c>
      <c r="VL17" s="14" t="s">
        <v>603</v>
      </c>
      <c r="ZO17" s="14" t="s">
        <v>604</v>
      </c>
      <c r="ADR17" s="14" t="s">
        <v>605</v>
      </c>
    </row>
    <row r="18" spans="1:798" x14ac:dyDescent="0.25">
      <c r="A18" s="14">
        <v>114</v>
      </c>
      <c r="B18" s="14" t="s">
        <v>590</v>
      </c>
      <c r="C18" s="16">
        <f>VLOOKUP(A18,[4]RawData!Z:AA,2,FALSE)</f>
        <v>42774.097222222219</v>
      </c>
      <c r="D18" s="14" t="s">
        <v>691</v>
      </c>
      <c r="E18" s="14" t="s">
        <v>692</v>
      </c>
      <c r="F18" s="14" t="s">
        <v>693</v>
      </c>
      <c r="G18" s="14" t="s">
        <v>694</v>
      </c>
      <c r="H18" s="14" t="s">
        <v>695</v>
      </c>
      <c r="I18" s="14" t="s">
        <v>611</v>
      </c>
      <c r="J18" s="14" t="s">
        <v>596</v>
      </c>
      <c r="L18" s="14">
        <v>1</v>
      </c>
      <c r="O18" s="14">
        <v>566</v>
      </c>
      <c r="U18" s="14">
        <v>566</v>
      </c>
      <c r="AB18" s="14">
        <v>0</v>
      </c>
      <c r="AI18" s="14">
        <v>0</v>
      </c>
      <c r="AJ18" s="14">
        <v>361</v>
      </c>
      <c r="AP18" s="14">
        <v>361</v>
      </c>
      <c r="AW18" s="14">
        <v>0</v>
      </c>
      <c r="BD18" s="14">
        <v>0</v>
      </c>
      <c r="BE18" s="14">
        <v>927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927</v>
      </c>
      <c r="BL18" s="14">
        <v>1</v>
      </c>
      <c r="BR18" s="14">
        <v>1</v>
      </c>
      <c r="BY18" s="14">
        <v>0</v>
      </c>
      <c r="CF18" s="14">
        <v>0</v>
      </c>
      <c r="CG18" s="14">
        <v>1</v>
      </c>
      <c r="CM18" s="14">
        <v>1</v>
      </c>
      <c r="CT18" s="14">
        <v>0</v>
      </c>
      <c r="DA18" s="14">
        <v>0</v>
      </c>
      <c r="DB18" s="14">
        <v>2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2</v>
      </c>
      <c r="DI18" s="14" t="s">
        <v>597</v>
      </c>
      <c r="DJ18" s="14" t="s">
        <v>598</v>
      </c>
      <c r="DK18" s="14" t="s">
        <v>598</v>
      </c>
      <c r="DL18" s="14" t="s">
        <v>598</v>
      </c>
      <c r="DM18" s="14" t="s">
        <v>598</v>
      </c>
      <c r="DN18" s="14" t="s">
        <v>598</v>
      </c>
      <c r="DO18" s="14" t="s">
        <v>598</v>
      </c>
      <c r="DP18" s="14" t="s">
        <v>598</v>
      </c>
      <c r="DQ18" s="14" t="s">
        <v>598</v>
      </c>
      <c r="DR18" s="14" t="s">
        <v>598</v>
      </c>
      <c r="DS18" s="14" t="s">
        <v>598</v>
      </c>
      <c r="DT18" s="14" t="s">
        <v>598</v>
      </c>
      <c r="DU18" s="14" t="s">
        <v>598</v>
      </c>
      <c r="DV18" s="14" t="s">
        <v>598</v>
      </c>
      <c r="DW18" s="14" t="s">
        <v>598</v>
      </c>
      <c r="DX18" s="14" t="s">
        <v>598</v>
      </c>
      <c r="DY18" s="14" t="s">
        <v>598</v>
      </c>
      <c r="DZ18" s="14" t="s">
        <v>598</v>
      </c>
      <c r="EA18" s="14" t="s">
        <v>597</v>
      </c>
      <c r="EB18" s="14" t="s">
        <v>598</v>
      </c>
      <c r="EC18" s="14" t="s">
        <v>598</v>
      </c>
      <c r="ED18" s="14" t="s">
        <v>598</v>
      </c>
      <c r="EE18" s="14" t="s">
        <v>598</v>
      </c>
      <c r="EF18" s="14" t="s">
        <v>598</v>
      </c>
      <c r="EG18" s="14" t="s">
        <v>598</v>
      </c>
      <c r="EH18" s="14" t="s">
        <v>598</v>
      </c>
      <c r="EI18" s="14" t="s">
        <v>598</v>
      </c>
      <c r="EJ18" s="14" t="s">
        <v>598</v>
      </c>
      <c r="EK18" s="14" t="s">
        <v>598</v>
      </c>
      <c r="EL18" s="14" t="s">
        <v>598</v>
      </c>
      <c r="EM18" s="14" t="s">
        <v>598</v>
      </c>
      <c r="EN18" s="14" t="s">
        <v>598</v>
      </c>
      <c r="EO18" s="14" t="s">
        <v>598</v>
      </c>
      <c r="EP18" s="14" t="s">
        <v>598</v>
      </c>
      <c r="EQ18" s="14" t="s">
        <v>598</v>
      </c>
      <c r="ER18" s="14" t="s">
        <v>598</v>
      </c>
      <c r="EY18" s="14">
        <v>0</v>
      </c>
      <c r="FF18" s="14">
        <v>0</v>
      </c>
      <c r="FM18" s="14">
        <v>0</v>
      </c>
      <c r="FT18" s="14">
        <v>0</v>
      </c>
      <c r="GA18" s="14">
        <v>0</v>
      </c>
      <c r="GH18" s="14">
        <v>0</v>
      </c>
      <c r="GO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K18" s="14">
        <v>0</v>
      </c>
      <c r="HR18" s="14">
        <v>0</v>
      </c>
      <c r="HY18" s="14">
        <v>0</v>
      </c>
      <c r="IF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3</v>
      </c>
      <c r="IW18" s="14">
        <v>97</v>
      </c>
      <c r="JB18" s="14">
        <v>1</v>
      </c>
      <c r="JC18" s="14" t="s">
        <v>600</v>
      </c>
      <c r="JJ18" s="14">
        <v>0</v>
      </c>
      <c r="JQ18" s="14">
        <v>0</v>
      </c>
      <c r="JX18" s="14">
        <v>0</v>
      </c>
      <c r="KE18" s="14">
        <v>0</v>
      </c>
      <c r="KL18" s="14">
        <v>0</v>
      </c>
      <c r="KS18" s="14">
        <v>0</v>
      </c>
      <c r="KZ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V18" s="14">
        <v>0</v>
      </c>
      <c r="MC18" s="14">
        <v>0</v>
      </c>
      <c r="MJ18" s="14">
        <v>0</v>
      </c>
      <c r="MQ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 t="s">
        <v>601</v>
      </c>
      <c r="RI18" s="14" t="s">
        <v>602</v>
      </c>
      <c r="VL18" s="14" t="s">
        <v>603</v>
      </c>
      <c r="VS18" s="14">
        <v>0</v>
      </c>
      <c r="VZ18" s="14">
        <v>0</v>
      </c>
      <c r="WG18" s="14">
        <v>0</v>
      </c>
      <c r="WN18" s="14">
        <v>0</v>
      </c>
      <c r="WU18" s="14">
        <v>0</v>
      </c>
      <c r="XB18" s="14">
        <v>0</v>
      </c>
      <c r="XI18" s="14">
        <v>0</v>
      </c>
      <c r="XQ18" s="14">
        <v>0</v>
      </c>
      <c r="XR18" s="14">
        <v>0</v>
      </c>
      <c r="XS18" s="14">
        <v>0</v>
      </c>
      <c r="XT18" s="14">
        <v>0</v>
      </c>
      <c r="XU18" s="14">
        <v>0</v>
      </c>
      <c r="XV18" s="14">
        <v>0</v>
      </c>
      <c r="XW18" s="14">
        <v>0</v>
      </c>
      <c r="XX18" s="14">
        <v>0</v>
      </c>
      <c r="YE18" s="14">
        <v>0</v>
      </c>
      <c r="YL18" s="14">
        <v>0</v>
      </c>
      <c r="YS18" s="14">
        <v>0</v>
      </c>
      <c r="YZ18" s="14">
        <v>0</v>
      </c>
      <c r="ZG18" s="14">
        <v>0</v>
      </c>
      <c r="ZH18" s="14">
        <v>0</v>
      </c>
      <c r="ZI18" s="14">
        <v>0</v>
      </c>
      <c r="ZJ18" s="14">
        <v>0</v>
      </c>
      <c r="ZK18" s="14">
        <v>0</v>
      </c>
      <c r="ZL18" s="14">
        <v>0</v>
      </c>
      <c r="ZM18" s="14">
        <v>0</v>
      </c>
      <c r="ZN18" s="14">
        <v>0</v>
      </c>
      <c r="ZO18" s="14" t="s">
        <v>604</v>
      </c>
      <c r="ADR18" s="14" t="s">
        <v>605</v>
      </c>
    </row>
    <row r="19" spans="1:798" x14ac:dyDescent="0.25">
      <c r="A19" s="14">
        <v>110</v>
      </c>
      <c r="B19" s="14" t="s">
        <v>590</v>
      </c>
      <c r="C19" s="16">
        <f>VLOOKUP(A19,[4]RawData!Z:AA,2,FALSE)</f>
        <v>42760.140972222223</v>
      </c>
      <c r="D19" s="14" t="s">
        <v>696</v>
      </c>
      <c r="E19" s="14" t="s">
        <v>697</v>
      </c>
      <c r="F19" s="14" t="s">
        <v>698</v>
      </c>
      <c r="G19" s="14" t="s">
        <v>699</v>
      </c>
      <c r="H19" s="14">
        <v>61292576129</v>
      </c>
      <c r="I19" s="14" t="s">
        <v>624</v>
      </c>
      <c r="J19" s="14" t="s">
        <v>625</v>
      </c>
      <c r="L19" s="14">
        <v>1</v>
      </c>
      <c r="O19" s="14">
        <v>1408</v>
      </c>
      <c r="P19" s="14">
        <v>30</v>
      </c>
      <c r="S19" s="14">
        <v>5</v>
      </c>
      <c r="U19" s="14">
        <v>1443</v>
      </c>
      <c r="AB19" s="14">
        <v>0</v>
      </c>
      <c r="AI19" s="14">
        <v>0</v>
      </c>
      <c r="AP19" s="14">
        <v>0</v>
      </c>
      <c r="AW19" s="14">
        <v>0</v>
      </c>
      <c r="BD19" s="14">
        <v>0</v>
      </c>
      <c r="BE19" s="14">
        <v>1408</v>
      </c>
      <c r="BF19" s="14">
        <v>30</v>
      </c>
      <c r="BG19" s="14">
        <v>0</v>
      </c>
      <c r="BH19" s="14">
        <v>0</v>
      </c>
      <c r="BI19" s="14">
        <v>5</v>
      </c>
      <c r="BJ19" s="14">
        <v>0</v>
      </c>
      <c r="BK19" s="14">
        <v>1443</v>
      </c>
      <c r="BL19" s="14">
        <v>4</v>
      </c>
      <c r="BM19" s="14">
        <v>1</v>
      </c>
      <c r="BP19" s="14">
        <v>1</v>
      </c>
      <c r="BR19" s="14">
        <v>6</v>
      </c>
      <c r="BY19" s="14">
        <v>0</v>
      </c>
      <c r="CF19" s="14">
        <v>0</v>
      </c>
      <c r="CM19" s="14">
        <v>0</v>
      </c>
      <c r="CT19" s="14">
        <v>0</v>
      </c>
      <c r="DA19" s="14">
        <v>0</v>
      </c>
      <c r="DB19" s="14">
        <v>4</v>
      </c>
      <c r="DC19" s="14">
        <v>1</v>
      </c>
      <c r="DD19" s="14">
        <v>0</v>
      </c>
      <c r="DE19" s="14">
        <v>0</v>
      </c>
      <c r="DF19" s="14">
        <v>1</v>
      </c>
      <c r="DG19" s="14">
        <v>0</v>
      </c>
      <c r="DH19" s="14">
        <v>6</v>
      </c>
      <c r="DI19" s="14" t="s">
        <v>597</v>
      </c>
      <c r="DJ19" s="14" t="s">
        <v>597</v>
      </c>
      <c r="DK19" s="14" t="s">
        <v>598</v>
      </c>
      <c r="DL19" s="14" t="s">
        <v>598</v>
      </c>
      <c r="DM19" s="14" t="s">
        <v>597</v>
      </c>
      <c r="DN19" s="14" t="s">
        <v>598</v>
      </c>
      <c r="DO19" s="14" t="s">
        <v>598</v>
      </c>
      <c r="DP19" s="14" t="s">
        <v>598</v>
      </c>
      <c r="DQ19" s="14" t="s">
        <v>598</v>
      </c>
      <c r="DR19" s="14" t="s">
        <v>598</v>
      </c>
      <c r="DS19" s="14" t="s">
        <v>598</v>
      </c>
      <c r="DT19" s="14" t="s">
        <v>598</v>
      </c>
      <c r="DU19" s="14" t="s">
        <v>598</v>
      </c>
      <c r="DV19" s="14" t="s">
        <v>598</v>
      </c>
      <c r="DW19" s="14" t="s">
        <v>598</v>
      </c>
      <c r="DX19" s="14" t="s">
        <v>598</v>
      </c>
      <c r="DY19" s="14" t="s">
        <v>598</v>
      </c>
      <c r="DZ19" s="14" t="s">
        <v>598</v>
      </c>
      <c r="EA19" s="14" t="s">
        <v>598</v>
      </c>
      <c r="EB19" s="14" t="s">
        <v>598</v>
      </c>
      <c r="EC19" s="14" t="s">
        <v>598</v>
      </c>
      <c r="ED19" s="14" t="s">
        <v>598</v>
      </c>
      <c r="EE19" s="14" t="s">
        <v>598</v>
      </c>
      <c r="EF19" s="14" t="s">
        <v>598</v>
      </c>
      <c r="EG19" s="14" t="s">
        <v>598</v>
      </c>
      <c r="EH19" s="14" t="s">
        <v>598</v>
      </c>
      <c r="EI19" s="14" t="s">
        <v>598</v>
      </c>
      <c r="EJ19" s="14" t="s">
        <v>598</v>
      </c>
      <c r="EK19" s="14" t="s">
        <v>598</v>
      </c>
      <c r="EL19" s="14" t="s">
        <v>598</v>
      </c>
      <c r="EM19" s="14" t="s">
        <v>598</v>
      </c>
      <c r="EN19" s="14" t="s">
        <v>598</v>
      </c>
      <c r="EO19" s="14" t="s">
        <v>598</v>
      </c>
      <c r="EP19" s="14" t="s">
        <v>598</v>
      </c>
      <c r="EQ19" s="14" t="s">
        <v>598</v>
      </c>
      <c r="ER19" s="14" t="s">
        <v>598</v>
      </c>
      <c r="ES19" s="14">
        <v>728.17</v>
      </c>
      <c r="EY19" s="14">
        <v>728.17</v>
      </c>
      <c r="EZ19" s="14">
        <v>89.78</v>
      </c>
      <c r="FF19" s="14">
        <v>89.78</v>
      </c>
      <c r="FM19" s="14">
        <v>0</v>
      </c>
      <c r="FN19" s="14">
        <v>116.05</v>
      </c>
      <c r="FT19" s="14">
        <v>116.05</v>
      </c>
      <c r="GA19" s="14">
        <v>0</v>
      </c>
      <c r="GH19" s="14">
        <v>0</v>
      </c>
      <c r="GJ19" s="14">
        <v>30</v>
      </c>
      <c r="GO19" s="14">
        <v>30</v>
      </c>
      <c r="GP19" s="14" t="s">
        <v>700</v>
      </c>
      <c r="GQ19" s="14">
        <v>474</v>
      </c>
      <c r="GU19" s="14">
        <v>5</v>
      </c>
      <c r="GW19" s="14">
        <v>479</v>
      </c>
      <c r="GX19" s="14">
        <v>1408</v>
      </c>
      <c r="GY19" s="14">
        <v>30</v>
      </c>
      <c r="GZ19" s="14">
        <v>0</v>
      </c>
      <c r="HA19" s="14">
        <v>0</v>
      </c>
      <c r="HB19" s="14">
        <v>5</v>
      </c>
      <c r="HC19" s="14">
        <v>0</v>
      </c>
      <c r="HD19" s="14">
        <v>1443</v>
      </c>
      <c r="HE19" s="14">
        <v>1108.74</v>
      </c>
      <c r="HF19" s="14">
        <v>30</v>
      </c>
      <c r="HI19" s="14">
        <v>5</v>
      </c>
      <c r="HK19" s="14">
        <v>1143.74</v>
      </c>
      <c r="HL19" s="14">
        <v>299.26</v>
      </c>
      <c r="HR19" s="14">
        <v>299.26</v>
      </c>
      <c r="HY19" s="14">
        <v>0</v>
      </c>
      <c r="IF19" s="14">
        <v>0</v>
      </c>
      <c r="IM19" s="14">
        <v>0</v>
      </c>
      <c r="IN19" s="14">
        <v>1408</v>
      </c>
      <c r="IO19" s="14">
        <v>30</v>
      </c>
      <c r="IP19" s="14">
        <v>0</v>
      </c>
      <c r="IQ19" s="14">
        <v>0</v>
      </c>
      <c r="IR19" s="14">
        <v>5</v>
      </c>
      <c r="IS19" s="14">
        <v>0</v>
      </c>
      <c r="IT19" s="14">
        <v>1443</v>
      </c>
      <c r="IV19" s="14">
        <v>22</v>
      </c>
      <c r="IW19" s="14">
        <v>78</v>
      </c>
      <c r="IZ19" s="14">
        <v>3</v>
      </c>
      <c r="JA19" s="14">
        <v>3</v>
      </c>
      <c r="JB19" s="14">
        <v>1</v>
      </c>
      <c r="JC19" s="14" t="s">
        <v>600</v>
      </c>
      <c r="JD19" s="14">
        <v>728.17</v>
      </c>
      <c r="JJ19" s="14">
        <v>728.17</v>
      </c>
      <c r="JK19" s="14">
        <v>89.78</v>
      </c>
      <c r="JQ19" s="14">
        <v>89.78</v>
      </c>
      <c r="JX19" s="14">
        <v>0</v>
      </c>
      <c r="JY19" s="14">
        <v>116.05</v>
      </c>
      <c r="KE19" s="14">
        <v>116.05</v>
      </c>
      <c r="KL19" s="14">
        <v>0</v>
      </c>
      <c r="KS19" s="14">
        <v>0</v>
      </c>
      <c r="KU19" s="14">
        <v>30</v>
      </c>
      <c r="KZ19" s="14">
        <v>30</v>
      </c>
      <c r="LA19" s="14" t="s">
        <v>700</v>
      </c>
      <c r="LB19" s="14">
        <v>474</v>
      </c>
      <c r="LF19" s="14">
        <v>5</v>
      </c>
      <c r="LH19" s="14">
        <v>479</v>
      </c>
      <c r="LI19" s="14">
        <v>1408</v>
      </c>
      <c r="LJ19" s="14">
        <v>30</v>
      </c>
      <c r="LK19" s="14">
        <v>0</v>
      </c>
      <c r="LL19" s="14">
        <v>0</v>
      </c>
      <c r="LM19" s="14">
        <v>5</v>
      </c>
      <c r="LN19" s="14">
        <v>0</v>
      </c>
      <c r="LO19" s="14">
        <v>1443</v>
      </c>
      <c r="LP19" s="14">
        <v>299.26</v>
      </c>
      <c r="LV19" s="14">
        <v>299.26</v>
      </c>
      <c r="LW19" s="14">
        <v>1143.74</v>
      </c>
      <c r="MC19" s="14">
        <v>1143.74</v>
      </c>
      <c r="MJ19" s="14">
        <v>0</v>
      </c>
      <c r="MQ19" s="14">
        <v>0</v>
      </c>
      <c r="MX19" s="14">
        <v>0</v>
      </c>
      <c r="MY19" s="14">
        <v>1443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1443</v>
      </c>
      <c r="NF19" s="14" t="s">
        <v>601</v>
      </c>
      <c r="RI19" s="14" t="s">
        <v>602</v>
      </c>
      <c r="VL19" s="14" t="s">
        <v>603</v>
      </c>
      <c r="ZO19" s="14" t="s">
        <v>604</v>
      </c>
      <c r="ADR19" s="14" t="s">
        <v>605</v>
      </c>
    </row>
    <row r="20" spans="1:798" x14ac:dyDescent="0.25">
      <c r="A20" s="14">
        <v>242</v>
      </c>
      <c r="B20" s="14" t="s">
        <v>590</v>
      </c>
      <c r="C20" s="16">
        <f t="shared" ref="C20:C21" si="1">$C$3</f>
        <v>42780</v>
      </c>
      <c r="D20" s="14" t="s">
        <v>701</v>
      </c>
      <c r="E20" s="14" t="s">
        <v>702</v>
      </c>
      <c r="F20" s="14" t="s">
        <v>703</v>
      </c>
      <c r="G20" s="14" t="s">
        <v>704</v>
      </c>
      <c r="H20" s="14" t="s">
        <v>705</v>
      </c>
      <c r="I20" s="14" t="s">
        <v>624</v>
      </c>
      <c r="J20" s="14" t="s">
        <v>625</v>
      </c>
      <c r="L20" s="14">
        <v>1</v>
      </c>
      <c r="O20" s="14">
        <v>469</v>
      </c>
      <c r="Q20" s="14">
        <v>100</v>
      </c>
      <c r="U20" s="14">
        <v>569</v>
      </c>
      <c r="AB20" s="14">
        <v>0</v>
      </c>
      <c r="AI20" s="14">
        <v>0</v>
      </c>
      <c r="AP20" s="14">
        <v>0</v>
      </c>
      <c r="AW20" s="14">
        <v>0</v>
      </c>
      <c r="BD20" s="14">
        <v>0</v>
      </c>
      <c r="BE20" s="14">
        <v>469</v>
      </c>
      <c r="BF20" s="14">
        <v>0</v>
      </c>
      <c r="BG20" s="14">
        <v>100</v>
      </c>
      <c r="BH20" s="14">
        <v>0</v>
      </c>
      <c r="BI20" s="14">
        <v>0</v>
      </c>
      <c r="BJ20" s="14">
        <v>0</v>
      </c>
      <c r="BK20" s="14">
        <v>569</v>
      </c>
      <c r="BL20" s="14">
        <v>1</v>
      </c>
      <c r="BN20" s="14">
        <v>1</v>
      </c>
      <c r="BR20" s="14">
        <v>2</v>
      </c>
      <c r="BY20" s="14">
        <v>0</v>
      </c>
      <c r="CF20" s="14">
        <v>0</v>
      </c>
      <c r="CM20" s="14">
        <v>0</v>
      </c>
      <c r="CT20" s="14">
        <v>0</v>
      </c>
      <c r="DA20" s="14">
        <v>0</v>
      </c>
      <c r="DB20" s="14">
        <v>1</v>
      </c>
      <c r="DC20" s="14">
        <v>0</v>
      </c>
      <c r="DD20" s="14">
        <v>1</v>
      </c>
      <c r="DE20" s="14">
        <v>0</v>
      </c>
      <c r="DF20" s="14">
        <v>0</v>
      </c>
      <c r="DG20" s="14">
        <v>0</v>
      </c>
      <c r="DH20" s="14">
        <v>2</v>
      </c>
      <c r="DI20" s="14" t="s">
        <v>597</v>
      </c>
      <c r="DJ20" s="14" t="s">
        <v>598</v>
      </c>
      <c r="DK20" s="14" t="s">
        <v>597</v>
      </c>
      <c r="DL20" s="14" t="s">
        <v>598</v>
      </c>
      <c r="DM20" s="14" t="s">
        <v>598</v>
      </c>
      <c r="DN20" s="14" t="s">
        <v>598</v>
      </c>
      <c r="DO20" s="14" t="s">
        <v>598</v>
      </c>
      <c r="DP20" s="14" t="s">
        <v>598</v>
      </c>
      <c r="DQ20" s="14" t="s">
        <v>598</v>
      </c>
      <c r="DR20" s="14" t="s">
        <v>598</v>
      </c>
      <c r="DS20" s="14" t="s">
        <v>598</v>
      </c>
      <c r="DT20" s="14" t="s">
        <v>598</v>
      </c>
      <c r="DU20" s="14" t="s">
        <v>598</v>
      </c>
      <c r="DV20" s="14" t="s">
        <v>598</v>
      </c>
      <c r="DW20" s="14" t="s">
        <v>598</v>
      </c>
      <c r="DX20" s="14" t="s">
        <v>598</v>
      </c>
      <c r="DY20" s="14" t="s">
        <v>598</v>
      </c>
      <c r="DZ20" s="14" t="s">
        <v>598</v>
      </c>
      <c r="EA20" s="14" t="s">
        <v>598</v>
      </c>
      <c r="EB20" s="14" t="s">
        <v>598</v>
      </c>
      <c r="EC20" s="14" t="s">
        <v>598</v>
      </c>
      <c r="ED20" s="14" t="s">
        <v>598</v>
      </c>
      <c r="EE20" s="14" t="s">
        <v>598</v>
      </c>
      <c r="EF20" s="14" t="s">
        <v>598</v>
      </c>
      <c r="EG20" s="14" t="s">
        <v>598</v>
      </c>
      <c r="EH20" s="14" t="s">
        <v>598</v>
      </c>
      <c r="EI20" s="14" t="s">
        <v>598</v>
      </c>
      <c r="EJ20" s="14" t="s">
        <v>598</v>
      </c>
      <c r="EK20" s="14" t="s">
        <v>598</v>
      </c>
      <c r="EL20" s="14" t="s">
        <v>598</v>
      </c>
      <c r="EM20" s="14" t="s">
        <v>598</v>
      </c>
      <c r="EN20" s="14" t="s">
        <v>598</v>
      </c>
      <c r="EO20" s="14" t="s">
        <v>598</v>
      </c>
      <c r="EP20" s="14" t="s">
        <v>598</v>
      </c>
      <c r="EQ20" s="14" t="s">
        <v>598</v>
      </c>
      <c r="ER20" s="14" t="s">
        <v>598</v>
      </c>
      <c r="EY20" s="14">
        <v>0</v>
      </c>
      <c r="FF20" s="14">
        <v>0</v>
      </c>
      <c r="FM20" s="14">
        <v>0</v>
      </c>
      <c r="FT20" s="14">
        <v>0</v>
      </c>
      <c r="GA20" s="14">
        <v>0</v>
      </c>
      <c r="GH20" s="14">
        <v>0</v>
      </c>
      <c r="GO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427.8</v>
      </c>
      <c r="HG20" s="14">
        <v>100</v>
      </c>
      <c r="HK20" s="14">
        <v>527.79999999999995</v>
      </c>
      <c r="HL20" s="14">
        <v>40.5</v>
      </c>
      <c r="HR20" s="14">
        <v>40.5</v>
      </c>
      <c r="HY20" s="14">
        <v>0</v>
      </c>
      <c r="IF20" s="14">
        <v>0</v>
      </c>
      <c r="IM20" s="14">
        <v>0</v>
      </c>
      <c r="IN20" s="14">
        <v>468.3</v>
      </c>
      <c r="IO20" s="14">
        <v>0</v>
      </c>
      <c r="IP20" s="14">
        <v>100</v>
      </c>
      <c r="IQ20" s="14">
        <v>0</v>
      </c>
      <c r="IR20" s="14">
        <v>0</v>
      </c>
      <c r="IS20" s="14">
        <v>0</v>
      </c>
      <c r="IT20" s="14">
        <v>568.29999999999995</v>
      </c>
      <c r="JB20" s="14">
        <v>1</v>
      </c>
      <c r="JC20" s="14" t="s">
        <v>600</v>
      </c>
      <c r="JJ20" s="14">
        <v>0</v>
      </c>
      <c r="JQ20" s="14">
        <v>0</v>
      </c>
      <c r="JX20" s="14">
        <v>0</v>
      </c>
      <c r="KE20" s="14">
        <v>0</v>
      </c>
      <c r="KL20" s="14">
        <v>0</v>
      </c>
      <c r="KS20" s="14">
        <v>0</v>
      </c>
      <c r="KZ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40.5</v>
      </c>
      <c r="LR20" s="14">
        <v>100</v>
      </c>
      <c r="LV20" s="14">
        <v>140.5</v>
      </c>
      <c r="LW20" s="14">
        <v>427.8</v>
      </c>
      <c r="MC20" s="14">
        <v>427.8</v>
      </c>
      <c r="MJ20" s="14">
        <v>0</v>
      </c>
      <c r="MQ20" s="14">
        <v>0</v>
      </c>
      <c r="MX20" s="14">
        <v>0</v>
      </c>
      <c r="MY20" s="14">
        <v>468.3</v>
      </c>
      <c r="MZ20" s="14">
        <v>0</v>
      </c>
      <c r="NA20" s="14">
        <v>100</v>
      </c>
      <c r="NB20" s="14">
        <v>0</v>
      </c>
      <c r="NC20" s="14">
        <v>0</v>
      </c>
      <c r="ND20" s="14">
        <v>0</v>
      </c>
      <c r="NE20" s="14">
        <v>568.29999999999995</v>
      </c>
      <c r="NF20" s="14" t="s">
        <v>601</v>
      </c>
      <c r="RI20" s="14" t="s">
        <v>602</v>
      </c>
      <c r="VL20" s="14" t="s">
        <v>603</v>
      </c>
      <c r="ZO20" s="14" t="s">
        <v>604</v>
      </c>
      <c r="ADR20" s="14" t="s">
        <v>605</v>
      </c>
    </row>
    <row r="21" spans="1:798" x14ac:dyDescent="0.25">
      <c r="A21" s="14">
        <v>237</v>
      </c>
      <c r="B21" s="14" t="s">
        <v>590</v>
      </c>
      <c r="C21" s="16">
        <f t="shared" si="1"/>
        <v>42780</v>
      </c>
      <c r="D21" s="14" t="s">
        <v>706</v>
      </c>
      <c r="E21" s="14" t="s">
        <v>707</v>
      </c>
      <c r="F21" s="14" t="s">
        <v>708</v>
      </c>
      <c r="G21" s="14" t="s">
        <v>709</v>
      </c>
      <c r="H21" s="14">
        <v>25837774</v>
      </c>
      <c r="I21" s="14" t="s">
        <v>618</v>
      </c>
      <c r="J21" s="14" t="s">
        <v>596</v>
      </c>
      <c r="L21" s="14">
        <v>1</v>
      </c>
      <c r="O21" s="14">
        <v>1252.2</v>
      </c>
      <c r="U21" s="14">
        <v>1252.2</v>
      </c>
      <c r="AB21" s="14">
        <v>0</v>
      </c>
      <c r="AI21" s="14">
        <v>0</v>
      </c>
      <c r="AP21" s="14">
        <v>0</v>
      </c>
      <c r="AW21" s="14">
        <v>0</v>
      </c>
      <c r="BD21" s="14">
        <v>0</v>
      </c>
      <c r="BE21" s="14">
        <v>1252.2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1252.2</v>
      </c>
      <c r="BL21" s="14">
        <v>2</v>
      </c>
      <c r="BR21" s="14">
        <v>2</v>
      </c>
      <c r="BY21" s="14">
        <v>0</v>
      </c>
      <c r="CF21" s="14">
        <v>0</v>
      </c>
      <c r="CM21" s="14">
        <v>0</v>
      </c>
      <c r="CT21" s="14">
        <v>0</v>
      </c>
      <c r="DA21" s="14">
        <v>0</v>
      </c>
      <c r="DB21" s="14">
        <v>2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2</v>
      </c>
      <c r="DI21" s="14" t="s">
        <v>597</v>
      </c>
      <c r="DJ21" s="14" t="s">
        <v>598</v>
      </c>
      <c r="DK21" s="14" t="s">
        <v>598</v>
      </c>
      <c r="DL21" s="14" t="s">
        <v>598</v>
      </c>
      <c r="DM21" s="14" t="s">
        <v>598</v>
      </c>
      <c r="DN21" s="14" t="s">
        <v>598</v>
      </c>
      <c r="DO21" s="14" t="s">
        <v>598</v>
      </c>
      <c r="DP21" s="14" t="s">
        <v>598</v>
      </c>
      <c r="DQ21" s="14" t="s">
        <v>598</v>
      </c>
      <c r="DR21" s="14" t="s">
        <v>598</v>
      </c>
      <c r="DS21" s="14" t="s">
        <v>598</v>
      </c>
      <c r="DT21" s="14" t="s">
        <v>598</v>
      </c>
      <c r="DU21" s="14" t="s">
        <v>598</v>
      </c>
      <c r="DV21" s="14" t="s">
        <v>598</v>
      </c>
      <c r="DW21" s="14" t="s">
        <v>598</v>
      </c>
      <c r="DX21" s="14" t="s">
        <v>598</v>
      </c>
      <c r="DY21" s="14" t="s">
        <v>598</v>
      </c>
      <c r="DZ21" s="14" t="s">
        <v>598</v>
      </c>
      <c r="EA21" s="14" t="s">
        <v>598</v>
      </c>
      <c r="EB21" s="14" t="s">
        <v>598</v>
      </c>
      <c r="EC21" s="14" t="s">
        <v>598</v>
      </c>
      <c r="ED21" s="14" t="s">
        <v>598</v>
      </c>
      <c r="EE21" s="14" t="s">
        <v>598</v>
      </c>
      <c r="EF21" s="14" t="s">
        <v>598</v>
      </c>
      <c r="EG21" s="14" t="s">
        <v>598</v>
      </c>
      <c r="EH21" s="14" t="s">
        <v>598</v>
      </c>
      <c r="EI21" s="14" t="s">
        <v>598</v>
      </c>
      <c r="EJ21" s="14" t="s">
        <v>598</v>
      </c>
      <c r="EK21" s="14" t="s">
        <v>598</v>
      </c>
      <c r="EL21" s="14" t="s">
        <v>598</v>
      </c>
      <c r="EM21" s="14" t="s">
        <v>598</v>
      </c>
      <c r="EN21" s="14" t="s">
        <v>598</v>
      </c>
      <c r="EO21" s="14" t="s">
        <v>598</v>
      </c>
      <c r="EP21" s="14" t="s">
        <v>598</v>
      </c>
      <c r="EQ21" s="14" t="s">
        <v>598</v>
      </c>
      <c r="ER21" s="14" t="s">
        <v>598</v>
      </c>
      <c r="ES21" s="14">
        <v>520</v>
      </c>
      <c r="EY21" s="14">
        <v>520</v>
      </c>
      <c r="FF21" s="14">
        <v>0</v>
      </c>
      <c r="FG21" s="14">
        <v>460</v>
      </c>
      <c r="FM21" s="14">
        <v>460</v>
      </c>
      <c r="FT21" s="14">
        <v>0</v>
      </c>
      <c r="FU21" s="14">
        <v>10</v>
      </c>
      <c r="GA21" s="14">
        <v>10</v>
      </c>
      <c r="GB21" s="14">
        <v>146.4</v>
      </c>
      <c r="GH21" s="14">
        <v>146.4</v>
      </c>
      <c r="GI21" s="14">
        <v>23</v>
      </c>
      <c r="GO21" s="14">
        <v>23</v>
      </c>
      <c r="GP21" s="14" t="s">
        <v>710</v>
      </c>
      <c r="GQ21" s="14">
        <v>92.8</v>
      </c>
      <c r="GW21" s="14">
        <v>92.8</v>
      </c>
      <c r="GX21" s="14">
        <v>1252.2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1252.2</v>
      </c>
      <c r="HE21" s="14">
        <v>589.29999999999995</v>
      </c>
      <c r="HK21" s="14">
        <v>589.29999999999995</v>
      </c>
      <c r="HL21" s="14">
        <v>297.89999999999998</v>
      </c>
      <c r="HR21" s="14">
        <v>297.89999999999998</v>
      </c>
      <c r="HS21" s="14">
        <v>365</v>
      </c>
      <c r="HY21" s="14">
        <v>365</v>
      </c>
      <c r="IF21" s="14">
        <v>0</v>
      </c>
      <c r="IM21" s="14">
        <v>0</v>
      </c>
      <c r="IN21" s="14">
        <v>1252.2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1252.2</v>
      </c>
      <c r="IZ21" s="14">
        <v>1</v>
      </c>
      <c r="JA21" s="14">
        <v>2</v>
      </c>
      <c r="JB21" s="14">
        <v>1</v>
      </c>
      <c r="JC21" s="14" t="s">
        <v>600</v>
      </c>
      <c r="JD21" s="14">
        <v>520</v>
      </c>
      <c r="JJ21" s="14">
        <v>520</v>
      </c>
      <c r="JQ21" s="14">
        <v>0</v>
      </c>
      <c r="JR21" s="14">
        <v>460</v>
      </c>
      <c r="JX21" s="14">
        <v>460</v>
      </c>
      <c r="KE21" s="14">
        <v>0</v>
      </c>
      <c r="KF21" s="14">
        <v>10</v>
      </c>
      <c r="KL21" s="14">
        <v>10</v>
      </c>
      <c r="KM21" s="14">
        <v>146.4</v>
      </c>
      <c r="KS21" s="14">
        <v>146.4</v>
      </c>
      <c r="KT21" s="14">
        <v>23</v>
      </c>
      <c r="KZ21" s="14">
        <v>23</v>
      </c>
      <c r="LA21" s="14" t="s">
        <v>711</v>
      </c>
      <c r="LB21" s="14">
        <v>92.8</v>
      </c>
      <c r="LH21" s="14">
        <v>92.8</v>
      </c>
      <c r="LI21" s="14">
        <v>1252.2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1252.2</v>
      </c>
      <c r="LP21" s="14">
        <v>589.29999999999995</v>
      </c>
      <c r="LV21" s="14">
        <v>589.29999999999995</v>
      </c>
      <c r="LW21" s="14">
        <v>297.89999999999998</v>
      </c>
      <c r="MC21" s="14">
        <v>297.89999999999998</v>
      </c>
      <c r="MD21" s="14">
        <v>365</v>
      </c>
      <c r="MJ21" s="14">
        <v>365</v>
      </c>
      <c r="MQ21" s="14">
        <v>0</v>
      </c>
      <c r="MX21" s="14">
        <v>0</v>
      </c>
      <c r="MY21" s="14">
        <v>1252.2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1252.2</v>
      </c>
      <c r="NF21" s="14" t="s">
        <v>601</v>
      </c>
      <c r="RI21" s="14" t="s">
        <v>602</v>
      </c>
      <c r="VL21" s="14" t="s">
        <v>603</v>
      </c>
      <c r="ZO21" s="14" t="s">
        <v>604</v>
      </c>
      <c r="ADR21" s="14" t="s">
        <v>605</v>
      </c>
    </row>
    <row r="22" spans="1:798" x14ac:dyDescent="0.25">
      <c r="A22" s="14">
        <v>71</v>
      </c>
      <c r="B22" s="14" t="s">
        <v>590</v>
      </c>
      <c r="C22" s="16">
        <f>VLOOKUP(A22,[4]RawData!Z:AA,2,FALSE)</f>
        <v>42779.143750000003</v>
      </c>
      <c r="D22" s="14" t="s">
        <v>712</v>
      </c>
      <c r="E22" s="14" t="s">
        <v>713</v>
      </c>
      <c r="F22" s="14" t="s">
        <v>714</v>
      </c>
      <c r="G22" s="14" t="s">
        <v>715</v>
      </c>
      <c r="H22" s="14" t="s">
        <v>716</v>
      </c>
      <c r="I22" s="14" t="s">
        <v>624</v>
      </c>
      <c r="J22" s="14" t="s">
        <v>625</v>
      </c>
      <c r="L22" s="14">
        <v>1</v>
      </c>
      <c r="R22" s="14">
        <v>1633.92</v>
      </c>
      <c r="U22" s="14">
        <v>1633.92</v>
      </c>
      <c r="Y22" s="14">
        <v>684.11</v>
      </c>
      <c r="AB22" s="14">
        <v>684.11</v>
      </c>
      <c r="AI22" s="14">
        <v>0</v>
      </c>
      <c r="AP22" s="14">
        <v>0</v>
      </c>
      <c r="AW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2318.0300000000002</v>
      </c>
      <c r="BI22" s="14">
        <v>0</v>
      </c>
      <c r="BJ22" s="14">
        <v>0</v>
      </c>
      <c r="BK22" s="14">
        <v>2318.0300000000002</v>
      </c>
      <c r="BO22" s="14">
        <v>3</v>
      </c>
      <c r="BR22" s="14">
        <v>3</v>
      </c>
      <c r="BV22" s="14">
        <v>1</v>
      </c>
      <c r="BY22" s="14">
        <v>1</v>
      </c>
      <c r="CF22" s="14">
        <v>0</v>
      </c>
      <c r="CM22" s="14">
        <v>0</v>
      </c>
      <c r="CT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4</v>
      </c>
      <c r="DF22" s="14">
        <v>0</v>
      </c>
      <c r="DG22" s="14">
        <v>0</v>
      </c>
      <c r="DH22" s="14">
        <v>4</v>
      </c>
      <c r="DI22" s="14" t="s">
        <v>598</v>
      </c>
      <c r="DJ22" s="14" t="s">
        <v>598</v>
      </c>
      <c r="DK22" s="14" t="s">
        <v>598</v>
      </c>
      <c r="DL22" s="14" t="s">
        <v>597</v>
      </c>
      <c r="DM22" s="14" t="s">
        <v>598</v>
      </c>
      <c r="DN22" s="14" t="s">
        <v>598</v>
      </c>
      <c r="DO22" s="14" t="s">
        <v>598</v>
      </c>
      <c r="DP22" s="14" t="s">
        <v>598</v>
      </c>
      <c r="DQ22" s="14" t="s">
        <v>598</v>
      </c>
      <c r="DR22" s="14" t="s">
        <v>597</v>
      </c>
      <c r="DS22" s="14" t="s">
        <v>598</v>
      </c>
      <c r="DT22" s="14" t="s">
        <v>598</v>
      </c>
      <c r="DU22" s="14" t="s">
        <v>598</v>
      </c>
      <c r="DV22" s="14" t="s">
        <v>598</v>
      </c>
      <c r="DW22" s="14" t="s">
        <v>598</v>
      </c>
      <c r="DX22" s="14" t="s">
        <v>598</v>
      </c>
      <c r="DY22" s="14" t="s">
        <v>598</v>
      </c>
      <c r="DZ22" s="14" t="s">
        <v>598</v>
      </c>
      <c r="EA22" s="14" t="s">
        <v>598</v>
      </c>
      <c r="EB22" s="14" t="s">
        <v>598</v>
      </c>
      <c r="EC22" s="14" t="s">
        <v>598</v>
      </c>
      <c r="ED22" s="14" t="s">
        <v>598</v>
      </c>
      <c r="EE22" s="14" t="s">
        <v>598</v>
      </c>
      <c r="EF22" s="14" t="s">
        <v>598</v>
      </c>
      <c r="EG22" s="14" t="s">
        <v>598</v>
      </c>
      <c r="EH22" s="14" t="s">
        <v>598</v>
      </c>
      <c r="EI22" s="14" t="s">
        <v>598</v>
      </c>
      <c r="EJ22" s="14" t="s">
        <v>598</v>
      </c>
      <c r="EK22" s="14" t="s">
        <v>598</v>
      </c>
      <c r="EL22" s="14" t="s">
        <v>598</v>
      </c>
      <c r="EM22" s="14" t="s">
        <v>598</v>
      </c>
      <c r="EN22" s="14" t="s">
        <v>598</v>
      </c>
      <c r="EO22" s="14" t="s">
        <v>598</v>
      </c>
      <c r="EP22" s="14" t="s">
        <v>598</v>
      </c>
      <c r="EQ22" s="14" t="s">
        <v>598</v>
      </c>
      <c r="ER22" s="14" t="s">
        <v>598</v>
      </c>
      <c r="EV22" s="14">
        <v>2256.75</v>
      </c>
      <c r="EY22" s="14">
        <v>2256.75</v>
      </c>
      <c r="FF22" s="14">
        <v>0</v>
      </c>
      <c r="FJ22" s="14">
        <v>61.28</v>
      </c>
      <c r="FM22" s="14">
        <v>61.28</v>
      </c>
      <c r="FT22" s="14">
        <v>0</v>
      </c>
      <c r="GA22" s="14">
        <v>0</v>
      </c>
      <c r="GH22" s="14">
        <v>0</v>
      </c>
      <c r="GO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2318.0300000000002</v>
      </c>
      <c r="HB22" s="14">
        <v>0</v>
      </c>
      <c r="HC22" s="14">
        <v>0</v>
      </c>
      <c r="HD22" s="14">
        <v>2318.0300000000002</v>
      </c>
      <c r="HK22" s="14">
        <v>0</v>
      </c>
      <c r="HO22" s="14">
        <v>587.16999999999996</v>
      </c>
      <c r="HR22" s="14">
        <v>587.16999999999996</v>
      </c>
      <c r="HV22" s="14">
        <v>1730.86</v>
      </c>
      <c r="HY22" s="14">
        <v>1730.86</v>
      </c>
      <c r="IF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2318.0300000000002</v>
      </c>
      <c r="IR22" s="14">
        <v>0</v>
      </c>
      <c r="IS22" s="14">
        <v>0</v>
      </c>
      <c r="IT22" s="14">
        <v>2318.0300000000002</v>
      </c>
      <c r="IW22" s="14">
        <v>100</v>
      </c>
      <c r="IZ22" s="14">
        <v>3</v>
      </c>
      <c r="JA22" s="14">
        <v>3</v>
      </c>
      <c r="JB22" s="14">
        <v>1</v>
      </c>
      <c r="JC22" s="14" t="s">
        <v>600</v>
      </c>
      <c r="JG22" s="14">
        <v>1572.64</v>
      </c>
      <c r="JJ22" s="14">
        <v>1572.64</v>
      </c>
      <c r="JQ22" s="14">
        <v>0</v>
      </c>
      <c r="JU22" s="14">
        <v>61.28</v>
      </c>
      <c r="JX22" s="14">
        <v>61.28</v>
      </c>
      <c r="KE22" s="14">
        <v>0</v>
      </c>
      <c r="KL22" s="14">
        <v>0</v>
      </c>
      <c r="KS22" s="14">
        <v>0</v>
      </c>
      <c r="KZ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1633.92</v>
      </c>
      <c r="LM22" s="14">
        <v>0</v>
      </c>
      <c r="LN22" s="14">
        <v>0</v>
      </c>
      <c r="LO22" s="14">
        <v>1633.92</v>
      </c>
      <c r="LS22" s="14">
        <v>245.12</v>
      </c>
      <c r="LV22" s="14">
        <v>245.12</v>
      </c>
      <c r="MC22" s="14">
        <v>0</v>
      </c>
      <c r="MG22" s="14">
        <v>1388.8</v>
      </c>
      <c r="MJ22" s="14">
        <v>1388.8</v>
      </c>
      <c r="MQ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1633.92</v>
      </c>
      <c r="NC22" s="14">
        <v>0</v>
      </c>
      <c r="ND22" s="14">
        <v>0</v>
      </c>
      <c r="NE22" s="14">
        <v>1633.92</v>
      </c>
      <c r="NF22" s="14" t="s">
        <v>601</v>
      </c>
      <c r="NJ22" s="14">
        <v>684.11</v>
      </c>
      <c r="NM22" s="14">
        <v>684.11</v>
      </c>
      <c r="NT22" s="14">
        <v>0</v>
      </c>
      <c r="OA22" s="14">
        <v>0</v>
      </c>
      <c r="OH22" s="14">
        <v>0</v>
      </c>
      <c r="OO22" s="14">
        <v>0</v>
      </c>
      <c r="OV22" s="14">
        <v>0</v>
      </c>
      <c r="PC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684.11</v>
      </c>
      <c r="PP22" s="14">
        <v>0</v>
      </c>
      <c r="PQ22" s="14">
        <v>0</v>
      </c>
      <c r="PR22" s="14">
        <v>684.11</v>
      </c>
      <c r="PV22" s="14">
        <v>342.05</v>
      </c>
      <c r="PY22" s="14">
        <v>342.05</v>
      </c>
      <c r="QF22" s="14">
        <v>0</v>
      </c>
      <c r="QJ22" s="14">
        <v>342.06</v>
      </c>
      <c r="QM22" s="14">
        <v>342.06</v>
      </c>
      <c r="QT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684.11</v>
      </c>
      <c r="RF22" s="14">
        <v>0</v>
      </c>
      <c r="RG22" s="14">
        <v>0</v>
      </c>
      <c r="RH22" s="14">
        <v>684.11</v>
      </c>
      <c r="RI22" s="14" t="s">
        <v>602</v>
      </c>
      <c r="VL22" s="14" t="s">
        <v>603</v>
      </c>
      <c r="ZO22" s="14" t="s">
        <v>604</v>
      </c>
      <c r="ADR22" s="14" t="s">
        <v>605</v>
      </c>
    </row>
    <row r="23" spans="1:798" x14ac:dyDescent="0.25">
      <c r="A23" s="14">
        <v>184</v>
      </c>
      <c r="B23" s="14" t="s">
        <v>590</v>
      </c>
      <c r="C23" s="16">
        <f>$C$3</f>
        <v>42780</v>
      </c>
      <c r="D23" s="14" t="s">
        <v>717</v>
      </c>
      <c r="E23" s="14" t="s">
        <v>718</v>
      </c>
      <c r="F23" s="14" t="s">
        <v>719</v>
      </c>
      <c r="G23" s="14" t="s">
        <v>720</v>
      </c>
      <c r="H23" s="14" t="s">
        <v>721</v>
      </c>
      <c r="I23" s="14" t="s">
        <v>618</v>
      </c>
      <c r="J23" s="14" t="s">
        <v>596</v>
      </c>
      <c r="L23" s="14">
        <v>2</v>
      </c>
      <c r="U23" s="14">
        <v>0</v>
      </c>
      <c r="AB23" s="14">
        <v>0</v>
      </c>
      <c r="AI23" s="14">
        <v>0</v>
      </c>
      <c r="AP23" s="14">
        <v>0</v>
      </c>
      <c r="AW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R23" s="14">
        <v>0</v>
      </c>
      <c r="BY23" s="14">
        <v>0</v>
      </c>
      <c r="CF23" s="14">
        <v>0</v>
      </c>
      <c r="CM23" s="14">
        <v>0</v>
      </c>
      <c r="CT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 t="s">
        <v>598</v>
      </c>
      <c r="DJ23" s="14" t="s">
        <v>598</v>
      </c>
      <c r="DK23" s="14" t="s">
        <v>598</v>
      </c>
      <c r="DL23" s="14" t="s">
        <v>598</v>
      </c>
      <c r="DM23" s="14" t="s">
        <v>598</v>
      </c>
      <c r="DN23" s="14" t="s">
        <v>598</v>
      </c>
      <c r="DO23" s="14" t="s">
        <v>598</v>
      </c>
      <c r="DP23" s="14" t="s">
        <v>598</v>
      </c>
      <c r="DQ23" s="14" t="s">
        <v>598</v>
      </c>
      <c r="DR23" s="14" t="s">
        <v>598</v>
      </c>
      <c r="DS23" s="14" t="s">
        <v>598</v>
      </c>
      <c r="DT23" s="14" t="s">
        <v>598</v>
      </c>
      <c r="DU23" s="14" t="s">
        <v>598</v>
      </c>
      <c r="DV23" s="14" t="s">
        <v>598</v>
      </c>
      <c r="DW23" s="14" t="s">
        <v>598</v>
      </c>
      <c r="DX23" s="14" t="s">
        <v>598</v>
      </c>
      <c r="DY23" s="14" t="s">
        <v>598</v>
      </c>
      <c r="DZ23" s="14" t="s">
        <v>598</v>
      </c>
      <c r="EA23" s="14" t="s">
        <v>598</v>
      </c>
      <c r="EB23" s="14" t="s">
        <v>598</v>
      </c>
      <c r="EC23" s="14" t="s">
        <v>598</v>
      </c>
      <c r="ED23" s="14" t="s">
        <v>598</v>
      </c>
      <c r="EE23" s="14" t="s">
        <v>598</v>
      </c>
      <c r="EF23" s="14" t="s">
        <v>598</v>
      </c>
      <c r="EG23" s="14" t="s">
        <v>598</v>
      </c>
      <c r="EH23" s="14" t="s">
        <v>598</v>
      </c>
      <c r="EI23" s="14" t="s">
        <v>598</v>
      </c>
      <c r="EJ23" s="14" t="s">
        <v>598</v>
      </c>
      <c r="EK23" s="14" t="s">
        <v>598</v>
      </c>
      <c r="EL23" s="14" t="s">
        <v>598</v>
      </c>
      <c r="EM23" s="14" t="s">
        <v>598</v>
      </c>
      <c r="EN23" s="14" t="s">
        <v>598</v>
      </c>
      <c r="EO23" s="14" t="s">
        <v>598</v>
      </c>
      <c r="EP23" s="14" t="s">
        <v>598</v>
      </c>
      <c r="EQ23" s="14" t="s">
        <v>598</v>
      </c>
      <c r="ER23" s="14" t="s">
        <v>598</v>
      </c>
      <c r="EY23" s="14">
        <v>0</v>
      </c>
      <c r="FF23" s="14">
        <v>0</v>
      </c>
      <c r="FM23" s="14">
        <v>0</v>
      </c>
      <c r="FT23" s="14">
        <v>0</v>
      </c>
      <c r="GA23" s="14">
        <v>0</v>
      </c>
      <c r="GH23" s="14">
        <v>0</v>
      </c>
      <c r="GO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K23" s="14">
        <v>0</v>
      </c>
      <c r="HR23" s="14">
        <v>0</v>
      </c>
      <c r="HY23" s="14">
        <v>0</v>
      </c>
      <c r="IF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JB23" s="14">
        <v>2</v>
      </c>
      <c r="JC23" s="14" t="s">
        <v>600</v>
      </c>
      <c r="NF23" s="14" t="s">
        <v>601</v>
      </c>
      <c r="RI23" s="14" t="s">
        <v>602</v>
      </c>
      <c r="VL23" s="14" t="s">
        <v>603</v>
      </c>
      <c r="ZO23" s="14" t="s">
        <v>604</v>
      </c>
      <c r="ADR23" s="14" t="s">
        <v>605</v>
      </c>
    </row>
    <row r="24" spans="1:798" x14ac:dyDescent="0.25">
      <c r="A24" s="14">
        <v>76</v>
      </c>
      <c r="B24" s="14" t="s">
        <v>590</v>
      </c>
      <c r="C24" s="16">
        <f>VLOOKUP(A24,[4]RawData!Z:AA,2,FALSE)</f>
        <v>42747.182638888888</v>
      </c>
      <c r="D24" s="14" t="s">
        <v>722</v>
      </c>
      <c r="E24" s="14" t="s">
        <v>723</v>
      </c>
      <c r="F24" s="14" t="s">
        <v>647</v>
      </c>
      <c r="G24" s="14" t="s">
        <v>724</v>
      </c>
      <c r="H24" s="14" t="s">
        <v>725</v>
      </c>
      <c r="I24" s="14" t="s">
        <v>595</v>
      </c>
      <c r="J24" s="14" t="s">
        <v>596</v>
      </c>
      <c r="L24" s="14">
        <v>1</v>
      </c>
      <c r="R24" s="14">
        <v>500</v>
      </c>
      <c r="U24" s="14">
        <v>500</v>
      </c>
      <c r="AB24" s="14">
        <v>0</v>
      </c>
      <c r="AC24" s="14">
        <v>560</v>
      </c>
      <c r="AI24" s="14">
        <v>560</v>
      </c>
      <c r="AP24" s="14">
        <v>0</v>
      </c>
      <c r="AW24" s="14">
        <v>0</v>
      </c>
      <c r="BD24" s="14">
        <v>0</v>
      </c>
      <c r="BE24" s="14">
        <v>560</v>
      </c>
      <c r="BF24" s="14">
        <v>0</v>
      </c>
      <c r="BG24" s="14">
        <v>0</v>
      </c>
      <c r="BH24" s="14">
        <v>500</v>
      </c>
      <c r="BI24" s="14">
        <v>0</v>
      </c>
      <c r="BJ24" s="14">
        <v>0</v>
      </c>
      <c r="BK24" s="14">
        <v>1060</v>
      </c>
      <c r="BO24" s="14">
        <v>1</v>
      </c>
      <c r="BR24" s="14">
        <v>1</v>
      </c>
      <c r="BY24" s="14">
        <v>0</v>
      </c>
      <c r="BZ24" s="14">
        <v>1</v>
      </c>
      <c r="CF24" s="14">
        <v>1</v>
      </c>
      <c r="CM24" s="14">
        <v>0</v>
      </c>
      <c r="CT24" s="14">
        <v>0</v>
      </c>
      <c r="DA24" s="14">
        <v>0</v>
      </c>
      <c r="DB24" s="14">
        <v>1</v>
      </c>
      <c r="DC24" s="14">
        <v>0</v>
      </c>
      <c r="DD24" s="14">
        <v>0</v>
      </c>
      <c r="DE24" s="14">
        <v>1</v>
      </c>
      <c r="DF24" s="14">
        <v>0</v>
      </c>
      <c r="DG24" s="14">
        <v>0</v>
      </c>
      <c r="DH24" s="14">
        <v>2</v>
      </c>
      <c r="DI24" s="14" t="s">
        <v>598</v>
      </c>
      <c r="DJ24" s="14" t="s">
        <v>598</v>
      </c>
      <c r="DK24" s="14" t="s">
        <v>598</v>
      </c>
      <c r="DL24" s="14" t="s">
        <v>597</v>
      </c>
      <c r="DM24" s="14" t="s">
        <v>598</v>
      </c>
      <c r="DN24" s="14" t="s">
        <v>598</v>
      </c>
      <c r="DO24" s="14" t="s">
        <v>598</v>
      </c>
      <c r="DP24" s="14" t="s">
        <v>598</v>
      </c>
      <c r="DQ24" s="14" t="s">
        <v>598</v>
      </c>
      <c r="DR24" s="14" t="s">
        <v>598</v>
      </c>
      <c r="DS24" s="14" t="s">
        <v>598</v>
      </c>
      <c r="DT24" s="14" t="s">
        <v>598</v>
      </c>
      <c r="DU24" s="14" t="s">
        <v>597</v>
      </c>
      <c r="DV24" s="14" t="s">
        <v>598</v>
      </c>
      <c r="DW24" s="14" t="s">
        <v>598</v>
      </c>
      <c r="DX24" s="14" t="s">
        <v>598</v>
      </c>
      <c r="DY24" s="14" t="s">
        <v>598</v>
      </c>
      <c r="DZ24" s="14" t="s">
        <v>598</v>
      </c>
      <c r="EA24" s="14" t="s">
        <v>598</v>
      </c>
      <c r="EB24" s="14" t="s">
        <v>598</v>
      </c>
      <c r="EC24" s="14" t="s">
        <v>598</v>
      </c>
      <c r="ED24" s="14" t="s">
        <v>598</v>
      </c>
      <c r="EE24" s="14" t="s">
        <v>598</v>
      </c>
      <c r="EF24" s="14" t="s">
        <v>598</v>
      </c>
      <c r="EG24" s="14" t="s">
        <v>598</v>
      </c>
      <c r="EH24" s="14" t="s">
        <v>598</v>
      </c>
      <c r="EI24" s="14" t="s">
        <v>598</v>
      </c>
      <c r="EJ24" s="14" t="s">
        <v>598</v>
      </c>
      <c r="EK24" s="14" t="s">
        <v>598</v>
      </c>
      <c r="EL24" s="14" t="s">
        <v>598</v>
      </c>
      <c r="EM24" s="14" t="s">
        <v>598</v>
      </c>
      <c r="EN24" s="14" t="s">
        <v>598</v>
      </c>
      <c r="EO24" s="14" t="s">
        <v>598</v>
      </c>
      <c r="EP24" s="14" t="s">
        <v>598</v>
      </c>
      <c r="EQ24" s="14" t="s">
        <v>598</v>
      </c>
      <c r="ER24" s="14" t="s">
        <v>598</v>
      </c>
      <c r="ES24" s="14">
        <v>160</v>
      </c>
      <c r="EV24" s="14">
        <v>500</v>
      </c>
      <c r="EY24" s="14">
        <v>660</v>
      </c>
      <c r="EZ24" s="14">
        <v>150</v>
      </c>
      <c r="FF24" s="14">
        <v>150</v>
      </c>
      <c r="FG24" s="14">
        <v>150</v>
      </c>
      <c r="FM24" s="14">
        <v>150</v>
      </c>
      <c r="FT24" s="14">
        <v>0</v>
      </c>
      <c r="GA24" s="14">
        <v>0</v>
      </c>
      <c r="GH24" s="14">
        <v>0</v>
      </c>
      <c r="GO24" s="14">
        <v>0</v>
      </c>
      <c r="GP24" s="14" t="s">
        <v>726</v>
      </c>
      <c r="GQ24" s="14">
        <v>100</v>
      </c>
      <c r="GW24" s="14">
        <v>100</v>
      </c>
      <c r="GX24" s="14">
        <v>560</v>
      </c>
      <c r="GY24" s="14">
        <v>0</v>
      </c>
      <c r="GZ24" s="14">
        <v>0</v>
      </c>
      <c r="HA24" s="14">
        <v>500</v>
      </c>
      <c r="HB24" s="14">
        <v>0</v>
      </c>
      <c r="HC24" s="14">
        <v>0</v>
      </c>
      <c r="HD24" s="14">
        <v>1060</v>
      </c>
      <c r="HE24" s="14">
        <v>450</v>
      </c>
      <c r="HK24" s="14">
        <v>450</v>
      </c>
      <c r="HL24" s="14">
        <v>50</v>
      </c>
      <c r="HR24" s="14">
        <v>50</v>
      </c>
      <c r="HS24" s="14">
        <v>60</v>
      </c>
      <c r="HV24" s="14">
        <v>500</v>
      </c>
      <c r="HY24" s="14">
        <v>560</v>
      </c>
      <c r="IF24" s="14">
        <v>0</v>
      </c>
      <c r="IM24" s="14">
        <v>0</v>
      </c>
      <c r="IN24" s="14">
        <v>560</v>
      </c>
      <c r="IO24" s="14">
        <v>0</v>
      </c>
      <c r="IP24" s="14">
        <v>0</v>
      </c>
      <c r="IQ24" s="14">
        <v>500</v>
      </c>
      <c r="IR24" s="14">
        <v>0</v>
      </c>
      <c r="IS24" s="14">
        <v>0</v>
      </c>
      <c r="IT24" s="14">
        <v>1060</v>
      </c>
      <c r="IU24" s="14">
        <v>100</v>
      </c>
      <c r="IZ24" s="14">
        <v>1</v>
      </c>
      <c r="JA24" s="14">
        <v>3</v>
      </c>
      <c r="JB24" s="14">
        <v>1</v>
      </c>
      <c r="JC24" s="14" t="s">
        <v>600</v>
      </c>
      <c r="JG24" s="14">
        <v>500</v>
      </c>
      <c r="JJ24" s="14">
        <v>500</v>
      </c>
      <c r="JQ24" s="14">
        <v>0</v>
      </c>
      <c r="JX24" s="14">
        <v>0</v>
      </c>
      <c r="KE24" s="14">
        <v>0</v>
      </c>
      <c r="KL24" s="14">
        <v>0</v>
      </c>
      <c r="KS24" s="14">
        <v>0</v>
      </c>
      <c r="KZ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500</v>
      </c>
      <c r="LM24" s="14">
        <v>0</v>
      </c>
      <c r="LN24" s="14">
        <v>0</v>
      </c>
      <c r="LO24" s="14">
        <v>500</v>
      </c>
      <c r="LV24" s="14">
        <v>0</v>
      </c>
      <c r="MC24" s="14">
        <v>0</v>
      </c>
      <c r="MG24" s="14">
        <v>500</v>
      </c>
      <c r="MJ24" s="14">
        <v>500</v>
      </c>
      <c r="MQ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500</v>
      </c>
      <c r="NC24" s="14">
        <v>0</v>
      </c>
      <c r="ND24" s="14">
        <v>0</v>
      </c>
      <c r="NE24" s="14">
        <v>500</v>
      </c>
      <c r="NF24" s="14" t="s">
        <v>601</v>
      </c>
      <c r="RI24" s="14" t="s">
        <v>602</v>
      </c>
      <c r="RJ24" s="14">
        <v>160</v>
      </c>
      <c r="RP24" s="14">
        <v>160</v>
      </c>
      <c r="RQ24" s="14">
        <v>150</v>
      </c>
      <c r="RW24" s="14">
        <v>150</v>
      </c>
      <c r="RX24" s="14">
        <v>150</v>
      </c>
      <c r="SD24" s="14">
        <v>150</v>
      </c>
      <c r="SK24" s="14">
        <v>0</v>
      </c>
      <c r="SR24" s="14">
        <v>0</v>
      </c>
      <c r="SY24" s="14">
        <v>0</v>
      </c>
      <c r="TF24" s="14">
        <v>0</v>
      </c>
      <c r="TG24" s="14" t="s">
        <v>726</v>
      </c>
      <c r="TH24" s="14">
        <v>100</v>
      </c>
      <c r="TN24" s="14">
        <v>100</v>
      </c>
      <c r="TO24" s="14">
        <v>560</v>
      </c>
      <c r="TP24" s="14">
        <v>0</v>
      </c>
      <c r="TQ24" s="14">
        <v>0</v>
      </c>
      <c r="TR24" s="14">
        <v>0</v>
      </c>
      <c r="TS24" s="14">
        <v>0</v>
      </c>
      <c r="TT24" s="14">
        <v>0</v>
      </c>
      <c r="TU24" s="14">
        <v>560</v>
      </c>
      <c r="TV24" s="14">
        <v>50</v>
      </c>
      <c r="UB24" s="14">
        <v>50</v>
      </c>
      <c r="UC24" s="14">
        <v>450</v>
      </c>
      <c r="UI24" s="14">
        <v>450</v>
      </c>
      <c r="UJ24" s="14">
        <v>60</v>
      </c>
      <c r="UP24" s="14">
        <v>60</v>
      </c>
      <c r="UW24" s="14">
        <v>0</v>
      </c>
      <c r="VD24" s="14">
        <v>0</v>
      </c>
      <c r="VE24" s="14">
        <v>560</v>
      </c>
      <c r="VF24" s="14">
        <v>0</v>
      </c>
      <c r="VG24" s="14">
        <v>0</v>
      </c>
      <c r="VH24" s="14">
        <v>0</v>
      </c>
      <c r="VI24" s="14">
        <v>0</v>
      </c>
      <c r="VJ24" s="14">
        <v>0</v>
      </c>
      <c r="VK24" s="14">
        <v>560</v>
      </c>
      <c r="VL24" s="14" t="s">
        <v>603</v>
      </c>
      <c r="ZO24" s="14" t="s">
        <v>604</v>
      </c>
      <c r="ADR24" s="14" t="s">
        <v>605</v>
      </c>
    </row>
    <row r="25" spans="1:798" x14ac:dyDescent="0.25">
      <c r="A25" s="14">
        <v>100</v>
      </c>
      <c r="B25" s="14" t="s">
        <v>590</v>
      </c>
      <c r="C25" s="16">
        <f>VLOOKUP(A25,[4]RawData!Z:AA,2,FALSE)</f>
        <v>42752.604166666664</v>
      </c>
      <c r="D25" s="14" t="s">
        <v>727</v>
      </c>
      <c r="E25" s="14" t="s">
        <v>728</v>
      </c>
      <c r="F25" s="14" t="s">
        <v>729</v>
      </c>
      <c r="G25" s="14" t="s">
        <v>730</v>
      </c>
      <c r="H25" s="14">
        <v>7974221882</v>
      </c>
      <c r="I25" s="14" t="s">
        <v>731</v>
      </c>
      <c r="J25" s="14" t="s">
        <v>732</v>
      </c>
      <c r="L25" s="14">
        <v>1</v>
      </c>
      <c r="U25" s="14">
        <v>0</v>
      </c>
      <c r="V25" s="14">
        <v>90</v>
      </c>
      <c r="W25" s="14">
        <v>612</v>
      </c>
      <c r="AB25" s="14">
        <v>702</v>
      </c>
      <c r="AI25" s="14">
        <v>0</v>
      </c>
      <c r="AP25" s="14">
        <v>0</v>
      </c>
      <c r="AW25" s="14">
        <v>0</v>
      </c>
      <c r="BD25" s="14">
        <v>0</v>
      </c>
      <c r="BE25" s="14">
        <v>90</v>
      </c>
      <c r="BF25" s="14">
        <v>612</v>
      </c>
      <c r="BG25" s="14">
        <v>0</v>
      </c>
      <c r="BH25" s="14">
        <v>0</v>
      </c>
      <c r="BI25" s="14">
        <v>0</v>
      </c>
      <c r="BJ25" s="14">
        <v>0</v>
      </c>
      <c r="BK25" s="14">
        <v>702</v>
      </c>
      <c r="BR25" s="14">
        <v>0</v>
      </c>
      <c r="BS25" s="14">
        <v>1</v>
      </c>
      <c r="BT25" s="14">
        <v>9</v>
      </c>
      <c r="BY25" s="14">
        <v>10</v>
      </c>
      <c r="CF25" s="14">
        <v>0</v>
      </c>
      <c r="CM25" s="14">
        <v>0</v>
      </c>
      <c r="CT25" s="14">
        <v>0</v>
      </c>
      <c r="DA25" s="14">
        <v>0</v>
      </c>
      <c r="DB25" s="14">
        <v>1</v>
      </c>
      <c r="DC25" s="14">
        <v>9</v>
      </c>
      <c r="DD25" s="14">
        <v>0</v>
      </c>
      <c r="DE25" s="14">
        <v>0</v>
      </c>
      <c r="DF25" s="14">
        <v>0</v>
      </c>
      <c r="DG25" s="14">
        <v>0</v>
      </c>
      <c r="DH25" s="14">
        <v>10</v>
      </c>
      <c r="DI25" s="14" t="s">
        <v>598</v>
      </c>
      <c r="DJ25" s="14" t="s">
        <v>598</v>
      </c>
      <c r="DK25" s="14" t="s">
        <v>598</v>
      </c>
      <c r="DL25" s="14" t="s">
        <v>598</v>
      </c>
      <c r="DM25" s="14" t="s">
        <v>598</v>
      </c>
      <c r="DN25" s="14" t="s">
        <v>598</v>
      </c>
      <c r="DO25" s="14" t="s">
        <v>597</v>
      </c>
      <c r="DP25" s="14" t="s">
        <v>597</v>
      </c>
      <c r="DQ25" s="14" t="s">
        <v>598</v>
      </c>
      <c r="DR25" s="14" t="s">
        <v>598</v>
      </c>
      <c r="DS25" s="14" t="s">
        <v>598</v>
      </c>
      <c r="DT25" s="14" t="s">
        <v>598</v>
      </c>
      <c r="DU25" s="14" t="s">
        <v>598</v>
      </c>
      <c r="DV25" s="14" t="s">
        <v>598</v>
      </c>
      <c r="DW25" s="14" t="s">
        <v>598</v>
      </c>
      <c r="DX25" s="14" t="s">
        <v>598</v>
      </c>
      <c r="DY25" s="14" t="s">
        <v>598</v>
      </c>
      <c r="DZ25" s="14" t="s">
        <v>598</v>
      </c>
      <c r="EA25" s="14" t="s">
        <v>598</v>
      </c>
      <c r="EB25" s="14" t="s">
        <v>598</v>
      </c>
      <c r="EC25" s="14" t="s">
        <v>598</v>
      </c>
      <c r="ED25" s="14" t="s">
        <v>598</v>
      </c>
      <c r="EE25" s="14" t="s">
        <v>598</v>
      </c>
      <c r="EF25" s="14" t="s">
        <v>598</v>
      </c>
      <c r="EG25" s="14" t="s">
        <v>598</v>
      </c>
      <c r="EH25" s="14" t="s">
        <v>598</v>
      </c>
      <c r="EI25" s="14" t="s">
        <v>598</v>
      </c>
      <c r="EJ25" s="14" t="s">
        <v>598</v>
      </c>
      <c r="EK25" s="14" t="s">
        <v>598</v>
      </c>
      <c r="EL25" s="14" t="s">
        <v>598</v>
      </c>
      <c r="EM25" s="14" t="s">
        <v>598</v>
      </c>
      <c r="EN25" s="14" t="s">
        <v>598</v>
      </c>
      <c r="EO25" s="14" t="s">
        <v>598</v>
      </c>
      <c r="EP25" s="14" t="s">
        <v>598</v>
      </c>
      <c r="EQ25" s="14" t="s">
        <v>598</v>
      </c>
      <c r="ER25" s="14" t="s">
        <v>598</v>
      </c>
      <c r="ES25" s="14">
        <v>90</v>
      </c>
      <c r="EY25" s="14">
        <v>90</v>
      </c>
      <c r="FF25" s="14">
        <v>0</v>
      </c>
      <c r="FM25" s="14">
        <v>0</v>
      </c>
      <c r="FT25" s="14">
        <v>0</v>
      </c>
      <c r="GA25" s="14">
        <v>0</v>
      </c>
      <c r="GH25" s="14">
        <v>0</v>
      </c>
      <c r="GO25" s="14">
        <v>0</v>
      </c>
      <c r="GP25" s="14" t="s">
        <v>733</v>
      </c>
      <c r="GR25" s="14">
        <v>612</v>
      </c>
      <c r="GW25" s="14">
        <v>612</v>
      </c>
      <c r="GX25" s="14">
        <v>90</v>
      </c>
      <c r="GY25" s="14">
        <v>612</v>
      </c>
      <c r="GZ25" s="14">
        <v>0</v>
      </c>
      <c r="HA25" s="14">
        <v>0</v>
      </c>
      <c r="HB25" s="14">
        <v>0</v>
      </c>
      <c r="HC25" s="14">
        <v>0</v>
      </c>
      <c r="HD25" s="14">
        <v>702</v>
      </c>
      <c r="HK25" s="14">
        <v>0</v>
      </c>
      <c r="HL25" s="14">
        <v>90</v>
      </c>
      <c r="HM25" s="14">
        <v>612</v>
      </c>
      <c r="HR25" s="14">
        <v>702</v>
      </c>
      <c r="HY25" s="14">
        <v>0</v>
      </c>
      <c r="IF25" s="14">
        <v>0</v>
      </c>
      <c r="IM25" s="14">
        <v>0</v>
      </c>
      <c r="IN25" s="14">
        <v>90</v>
      </c>
      <c r="IO25" s="14">
        <v>612</v>
      </c>
      <c r="IP25" s="14">
        <v>0</v>
      </c>
      <c r="IQ25" s="14">
        <v>0</v>
      </c>
      <c r="IR25" s="14">
        <v>0</v>
      </c>
      <c r="IS25" s="14">
        <v>0</v>
      </c>
      <c r="IT25" s="14">
        <v>702</v>
      </c>
      <c r="IW25" s="14">
        <v>100</v>
      </c>
      <c r="IZ25" s="14">
        <v>1</v>
      </c>
      <c r="JA25" s="14">
        <v>3</v>
      </c>
      <c r="JB25" s="14">
        <v>1</v>
      </c>
      <c r="JC25" s="14" t="s">
        <v>600</v>
      </c>
      <c r="NF25" s="14" t="s">
        <v>601</v>
      </c>
      <c r="NG25" s="14">
        <v>90</v>
      </c>
      <c r="NM25" s="14">
        <v>90</v>
      </c>
      <c r="NT25" s="14">
        <v>0</v>
      </c>
      <c r="OA25" s="14">
        <v>0</v>
      </c>
      <c r="OH25" s="14">
        <v>0</v>
      </c>
      <c r="OO25" s="14">
        <v>0</v>
      </c>
      <c r="OV25" s="14">
        <v>0</v>
      </c>
      <c r="PC25" s="14">
        <v>0</v>
      </c>
      <c r="PF25" s="14">
        <v>612</v>
      </c>
      <c r="PK25" s="14">
        <v>612</v>
      </c>
      <c r="PL25" s="14">
        <v>90</v>
      </c>
      <c r="PM25" s="14">
        <v>612</v>
      </c>
      <c r="PN25" s="14">
        <v>0</v>
      </c>
      <c r="PO25" s="14">
        <v>0</v>
      </c>
      <c r="PP25" s="14">
        <v>0</v>
      </c>
      <c r="PQ25" s="14">
        <v>0</v>
      </c>
      <c r="PR25" s="14">
        <v>702</v>
      </c>
      <c r="PS25" s="14">
        <v>90</v>
      </c>
      <c r="PT25" s="14">
        <v>612</v>
      </c>
      <c r="PY25" s="14">
        <v>702</v>
      </c>
      <c r="QF25" s="14">
        <v>0</v>
      </c>
      <c r="QM25" s="14">
        <v>0</v>
      </c>
      <c r="QT25" s="14">
        <v>0</v>
      </c>
      <c r="RA25" s="14">
        <v>0</v>
      </c>
      <c r="RB25" s="14">
        <v>90</v>
      </c>
      <c r="RC25" s="14">
        <v>612</v>
      </c>
      <c r="RD25" s="14">
        <v>0</v>
      </c>
      <c r="RE25" s="14">
        <v>0</v>
      </c>
      <c r="RF25" s="14">
        <v>0</v>
      </c>
      <c r="RG25" s="14">
        <v>0</v>
      </c>
      <c r="RH25" s="14">
        <v>702</v>
      </c>
      <c r="RI25" s="14" t="s">
        <v>602</v>
      </c>
      <c r="VL25" s="14" t="s">
        <v>603</v>
      </c>
      <c r="ZO25" s="14" t="s">
        <v>604</v>
      </c>
      <c r="ADR25" s="14" t="s">
        <v>605</v>
      </c>
    </row>
    <row r="26" spans="1:798" x14ac:dyDescent="0.25">
      <c r="A26" s="14">
        <v>73</v>
      </c>
      <c r="B26" s="14" t="s">
        <v>590</v>
      </c>
      <c r="C26" s="16">
        <f>VLOOKUP(A26,[4]RawData!Z:AA,2,FALSE)</f>
        <v>42759.268055555556</v>
      </c>
      <c r="D26" s="14" t="s">
        <v>734</v>
      </c>
      <c r="E26" s="14" t="s">
        <v>735</v>
      </c>
      <c r="F26" s="14" t="s">
        <v>736</v>
      </c>
      <c r="G26" s="14" t="s">
        <v>737</v>
      </c>
      <c r="H26" s="14">
        <v>-6821</v>
      </c>
      <c r="I26" s="14" t="s">
        <v>738</v>
      </c>
      <c r="J26" s="14" t="s">
        <v>739</v>
      </c>
      <c r="L26" s="14">
        <v>1</v>
      </c>
      <c r="O26" s="14">
        <v>6140</v>
      </c>
      <c r="P26" s="14">
        <v>2622</v>
      </c>
      <c r="S26" s="14">
        <v>125</v>
      </c>
      <c r="U26" s="14">
        <v>8887</v>
      </c>
      <c r="AB26" s="14">
        <v>0</v>
      </c>
      <c r="AI26" s="14">
        <v>0</v>
      </c>
      <c r="AP26" s="14">
        <v>0</v>
      </c>
      <c r="AW26" s="14">
        <v>0</v>
      </c>
      <c r="BD26" s="14">
        <v>0</v>
      </c>
      <c r="BE26" s="14">
        <v>6140</v>
      </c>
      <c r="BF26" s="14">
        <v>2622</v>
      </c>
      <c r="BG26" s="14">
        <v>0</v>
      </c>
      <c r="BH26" s="14">
        <v>0</v>
      </c>
      <c r="BI26" s="14">
        <v>125</v>
      </c>
      <c r="BJ26" s="14">
        <v>0</v>
      </c>
      <c r="BK26" s="14">
        <v>8887</v>
      </c>
      <c r="BL26" s="14">
        <v>1</v>
      </c>
      <c r="BM26" s="14">
        <v>1</v>
      </c>
      <c r="BP26" s="14">
        <v>1</v>
      </c>
      <c r="BR26" s="14">
        <v>3</v>
      </c>
      <c r="BY26" s="14">
        <v>0</v>
      </c>
      <c r="CF26" s="14">
        <v>0</v>
      </c>
      <c r="CM26" s="14">
        <v>0</v>
      </c>
      <c r="CT26" s="14">
        <v>0</v>
      </c>
      <c r="DA26" s="14">
        <v>0</v>
      </c>
      <c r="DB26" s="14">
        <v>1</v>
      </c>
      <c r="DC26" s="14">
        <v>1</v>
      </c>
      <c r="DD26" s="14">
        <v>0</v>
      </c>
      <c r="DE26" s="14">
        <v>0</v>
      </c>
      <c r="DF26" s="14">
        <v>1</v>
      </c>
      <c r="DG26" s="14">
        <v>0</v>
      </c>
      <c r="DH26" s="14">
        <v>3</v>
      </c>
      <c r="DI26" s="14" t="s">
        <v>597</v>
      </c>
      <c r="DJ26" s="14" t="s">
        <v>597</v>
      </c>
      <c r="DK26" s="14" t="s">
        <v>598</v>
      </c>
      <c r="DL26" s="14" t="s">
        <v>598</v>
      </c>
      <c r="DM26" s="14" t="s">
        <v>597</v>
      </c>
      <c r="DN26" s="14" t="s">
        <v>598</v>
      </c>
      <c r="DO26" s="14" t="s">
        <v>598</v>
      </c>
      <c r="DP26" s="14" t="s">
        <v>598</v>
      </c>
      <c r="DQ26" s="14" t="s">
        <v>598</v>
      </c>
      <c r="DR26" s="14" t="s">
        <v>598</v>
      </c>
      <c r="DS26" s="14" t="s">
        <v>598</v>
      </c>
      <c r="DT26" s="14" t="s">
        <v>598</v>
      </c>
      <c r="DU26" s="14" t="s">
        <v>598</v>
      </c>
      <c r="DV26" s="14" t="s">
        <v>598</v>
      </c>
      <c r="DW26" s="14" t="s">
        <v>598</v>
      </c>
      <c r="DX26" s="14" t="s">
        <v>598</v>
      </c>
      <c r="DY26" s="14" t="s">
        <v>598</v>
      </c>
      <c r="DZ26" s="14" t="s">
        <v>598</v>
      </c>
      <c r="EA26" s="14" t="s">
        <v>598</v>
      </c>
      <c r="EB26" s="14" t="s">
        <v>598</v>
      </c>
      <c r="EC26" s="14" t="s">
        <v>598</v>
      </c>
      <c r="ED26" s="14" t="s">
        <v>598</v>
      </c>
      <c r="EE26" s="14" t="s">
        <v>598</v>
      </c>
      <c r="EF26" s="14" t="s">
        <v>598</v>
      </c>
      <c r="EG26" s="14" t="s">
        <v>598</v>
      </c>
      <c r="EH26" s="14" t="s">
        <v>598</v>
      </c>
      <c r="EI26" s="14" t="s">
        <v>598</v>
      </c>
      <c r="EJ26" s="14" t="s">
        <v>598</v>
      </c>
      <c r="EK26" s="14" t="s">
        <v>598</v>
      </c>
      <c r="EL26" s="14" t="s">
        <v>598</v>
      </c>
      <c r="EM26" s="14" t="s">
        <v>598</v>
      </c>
      <c r="EN26" s="14" t="s">
        <v>598</v>
      </c>
      <c r="EO26" s="14" t="s">
        <v>598</v>
      </c>
      <c r="EP26" s="14" t="s">
        <v>598</v>
      </c>
      <c r="EQ26" s="14" t="s">
        <v>598</v>
      </c>
      <c r="ER26" s="14" t="s">
        <v>598</v>
      </c>
      <c r="EY26" s="14">
        <v>0</v>
      </c>
      <c r="EZ26" s="14">
        <v>512</v>
      </c>
      <c r="FF26" s="14">
        <v>512</v>
      </c>
      <c r="FM26" s="14">
        <v>0</v>
      </c>
      <c r="FT26" s="14">
        <v>0</v>
      </c>
      <c r="GA26" s="14">
        <v>0</v>
      </c>
      <c r="GH26" s="14">
        <v>0</v>
      </c>
      <c r="GO26" s="14">
        <v>0</v>
      </c>
      <c r="GP26" s="14" t="s">
        <v>740</v>
      </c>
      <c r="GQ26" s="14">
        <v>5628</v>
      </c>
      <c r="GR26" s="14">
        <v>2622</v>
      </c>
      <c r="GU26" s="14">
        <v>125</v>
      </c>
      <c r="GW26" s="14">
        <v>8375</v>
      </c>
      <c r="GX26" s="14">
        <v>6140</v>
      </c>
      <c r="GY26" s="14">
        <v>2622</v>
      </c>
      <c r="GZ26" s="14">
        <v>0</v>
      </c>
      <c r="HA26" s="14">
        <v>0</v>
      </c>
      <c r="HB26" s="14">
        <v>125</v>
      </c>
      <c r="HC26" s="14">
        <v>0</v>
      </c>
      <c r="HD26" s="14">
        <v>8887</v>
      </c>
      <c r="HE26" s="14">
        <v>6140</v>
      </c>
      <c r="HF26" s="14">
        <v>2622</v>
      </c>
      <c r="HI26" s="14">
        <v>125</v>
      </c>
      <c r="HK26" s="14">
        <v>8887</v>
      </c>
      <c r="HR26" s="14">
        <v>0</v>
      </c>
      <c r="HY26" s="14">
        <v>0</v>
      </c>
      <c r="IF26" s="14">
        <v>0</v>
      </c>
      <c r="IM26" s="14">
        <v>0</v>
      </c>
      <c r="IN26" s="14">
        <v>6140</v>
      </c>
      <c r="IO26" s="14">
        <v>2622</v>
      </c>
      <c r="IP26" s="14">
        <v>0</v>
      </c>
      <c r="IQ26" s="14">
        <v>0</v>
      </c>
      <c r="IR26" s="14">
        <v>125</v>
      </c>
      <c r="IS26" s="14">
        <v>0</v>
      </c>
      <c r="IT26" s="14">
        <v>8887</v>
      </c>
      <c r="IU26" s="14">
        <v>99</v>
      </c>
      <c r="IW26" s="14">
        <v>1</v>
      </c>
      <c r="IZ26" s="14">
        <v>3</v>
      </c>
      <c r="JA26" s="14">
        <v>3</v>
      </c>
      <c r="JB26" s="14">
        <v>1</v>
      </c>
      <c r="JC26" s="14" t="s">
        <v>600</v>
      </c>
      <c r="JJ26" s="14">
        <v>0</v>
      </c>
      <c r="JK26" s="14">
        <v>512</v>
      </c>
      <c r="JQ26" s="14">
        <v>512</v>
      </c>
      <c r="JX26" s="14">
        <v>0</v>
      </c>
      <c r="KE26" s="14">
        <v>0</v>
      </c>
      <c r="KL26" s="14">
        <v>0</v>
      </c>
      <c r="KS26" s="14">
        <v>0</v>
      </c>
      <c r="KZ26" s="14">
        <v>0</v>
      </c>
      <c r="LA26" s="14" t="s">
        <v>740</v>
      </c>
      <c r="LB26" s="14">
        <v>5628</v>
      </c>
      <c r="LC26" s="14">
        <v>2622</v>
      </c>
      <c r="LF26" s="14">
        <v>125</v>
      </c>
      <c r="LH26" s="14">
        <v>8375</v>
      </c>
      <c r="LI26" s="14">
        <v>6140</v>
      </c>
      <c r="LJ26" s="14">
        <v>2622</v>
      </c>
      <c r="LK26" s="14">
        <v>0</v>
      </c>
      <c r="LL26" s="14">
        <v>0</v>
      </c>
      <c r="LM26" s="14">
        <v>125</v>
      </c>
      <c r="LN26" s="14">
        <v>0</v>
      </c>
      <c r="LO26" s="14">
        <v>8887</v>
      </c>
      <c r="LV26" s="14">
        <v>0</v>
      </c>
      <c r="LW26" s="14">
        <v>6140</v>
      </c>
      <c r="LX26" s="14">
        <v>2622</v>
      </c>
      <c r="MA26" s="14">
        <v>125</v>
      </c>
      <c r="MC26" s="14">
        <v>8887</v>
      </c>
      <c r="MJ26" s="14">
        <v>0</v>
      </c>
      <c r="MQ26" s="14">
        <v>0</v>
      </c>
      <c r="MX26" s="14">
        <v>0</v>
      </c>
      <c r="MY26" s="14">
        <v>6140</v>
      </c>
      <c r="MZ26" s="14">
        <v>2622</v>
      </c>
      <c r="NA26" s="14">
        <v>0</v>
      </c>
      <c r="NB26" s="14">
        <v>0</v>
      </c>
      <c r="NC26" s="14">
        <v>125</v>
      </c>
      <c r="ND26" s="14">
        <v>0</v>
      </c>
      <c r="NE26" s="14">
        <v>8887</v>
      </c>
      <c r="NF26" s="14" t="s">
        <v>601</v>
      </c>
      <c r="RI26" s="14" t="s">
        <v>602</v>
      </c>
      <c r="VL26" s="14" t="s">
        <v>603</v>
      </c>
      <c r="ZO26" s="14" t="s">
        <v>604</v>
      </c>
      <c r="ADR26" s="14" t="s">
        <v>605</v>
      </c>
    </row>
    <row r="27" spans="1:798" x14ac:dyDescent="0.25">
      <c r="A27" s="14">
        <v>74</v>
      </c>
      <c r="B27" s="14" t="s">
        <v>590</v>
      </c>
      <c r="C27" s="16">
        <f>$C$3</f>
        <v>42780</v>
      </c>
      <c r="D27" s="14" t="s">
        <v>741</v>
      </c>
      <c r="E27" s="14" t="s">
        <v>742</v>
      </c>
      <c r="F27" s="14" t="s">
        <v>743</v>
      </c>
      <c r="G27" s="14" t="s">
        <v>744</v>
      </c>
      <c r="H27" s="14">
        <v>61282393780</v>
      </c>
      <c r="I27" s="14" t="s">
        <v>624</v>
      </c>
      <c r="J27" s="14" t="s">
        <v>625</v>
      </c>
      <c r="L27" s="14">
        <v>2</v>
      </c>
      <c r="M27" s="14">
        <v>6</v>
      </c>
      <c r="N27" s="14" t="s">
        <v>745</v>
      </c>
      <c r="U27" s="14">
        <v>0</v>
      </c>
      <c r="AB27" s="14">
        <v>0</v>
      </c>
      <c r="AI27" s="14">
        <v>0</v>
      </c>
      <c r="AP27" s="14">
        <v>0</v>
      </c>
      <c r="AW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R27" s="14">
        <v>0</v>
      </c>
      <c r="BY27" s="14">
        <v>0</v>
      </c>
      <c r="CF27" s="14">
        <v>0</v>
      </c>
      <c r="CM27" s="14">
        <v>0</v>
      </c>
      <c r="CT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 t="s">
        <v>598</v>
      </c>
      <c r="DJ27" s="14" t="s">
        <v>598</v>
      </c>
      <c r="DK27" s="14" t="s">
        <v>598</v>
      </c>
      <c r="DL27" s="14" t="s">
        <v>598</v>
      </c>
      <c r="DM27" s="14" t="s">
        <v>598</v>
      </c>
      <c r="DN27" s="14" t="s">
        <v>598</v>
      </c>
      <c r="DO27" s="14" t="s">
        <v>598</v>
      </c>
      <c r="DP27" s="14" t="s">
        <v>598</v>
      </c>
      <c r="DQ27" s="14" t="s">
        <v>598</v>
      </c>
      <c r="DR27" s="14" t="s">
        <v>598</v>
      </c>
      <c r="DS27" s="14" t="s">
        <v>598</v>
      </c>
      <c r="DT27" s="14" t="s">
        <v>598</v>
      </c>
      <c r="DU27" s="14" t="s">
        <v>598</v>
      </c>
      <c r="DV27" s="14" t="s">
        <v>598</v>
      </c>
      <c r="DW27" s="14" t="s">
        <v>598</v>
      </c>
      <c r="DX27" s="14" t="s">
        <v>598</v>
      </c>
      <c r="DY27" s="14" t="s">
        <v>598</v>
      </c>
      <c r="DZ27" s="14" t="s">
        <v>598</v>
      </c>
      <c r="EA27" s="14" t="s">
        <v>598</v>
      </c>
      <c r="EB27" s="14" t="s">
        <v>598</v>
      </c>
      <c r="EC27" s="14" t="s">
        <v>598</v>
      </c>
      <c r="ED27" s="14" t="s">
        <v>598</v>
      </c>
      <c r="EE27" s="14" t="s">
        <v>598</v>
      </c>
      <c r="EF27" s="14" t="s">
        <v>598</v>
      </c>
      <c r="EG27" s="14" t="s">
        <v>598</v>
      </c>
      <c r="EH27" s="14" t="s">
        <v>598</v>
      </c>
      <c r="EI27" s="14" t="s">
        <v>598</v>
      </c>
      <c r="EJ27" s="14" t="s">
        <v>598</v>
      </c>
      <c r="EK27" s="14" t="s">
        <v>598</v>
      </c>
      <c r="EL27" s="14" t="s">
        <v>598</v>
      </c>
      <c r="EM27" s="14" t="s">
        <v>598</v>
      </c>
      <c r="EN27" s="14" t="s">
        <v>598</v>
      </c>
      <c r="EO27" s="14" t="s">
        <v>598</v>
      </c>
      <c r="EP27" s="14" t="s">
        <v>598</v>
      </c>
      <c r="EQ27" s="14" t="s">
        <v>598</v>
      </c>
      <c r="ER27" s="14" t="s">
        <v>598</v>
      </c>
      <c r="EY27" s="14">
        <v>0</v>
      </c>
      <c r="FF27" s="14">
        <v>0</v>
      </c>
      <c r="FM27" s="14">
        <v>0</v>
      </c>
      <c r="FT27" s="14">
        <v>0</v>
      </c>
      <c r="GA27" s="14">
        <v>0</v>
      </c>
      <c r="GH27" s="14">
        <v>0</v>
      </c>
      <c r="GO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K27" s="14">
        <v>0</v>
      </c>
      <c r="HR27" s="14">
        <v>0</v>
      </c>
      <c r="HY27" s="14">
        <v>0</v>
      </c>
      <c r="IF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Z27" s="14">
        <v>1</v>
      </c>
      <c r="JA27" s="14">
        <v>2</v>
      </c>
      <c r="JB27" s="14">
        <v>1</v>
      </c>
      <c r="JC27" s="14" t="s">
        <v>600</v>
      </c>
      <c r="NF27" s="14" t="s">
        <v>601</v>
      </c>
      <c r="RI27" s="14" t="s">
        <v>602</v>
      </c>
      <c r="VL27" s="14" t="s">
        <v>603</v>
      </c>
      <c r="ZO27" s="14" t="s">
        <v>604</v>
      </c>
      <c r="ADR27" s="14" t="s">
        <v>605</v>
      </c>
    </row>
    <row r="28" spans="1:798" x14ac:dyDescent="0.25">
      <c r="A28" s="14">
        <v>182</v>
      </c>
      <c r="B28" s="14" t="s">
        <v>590</v>
      </c>
      <c r="C28" s="16">
        <f>VLOOKUP(A28,[4]RawData!Z:AA,2,FALSE)</f>
        <v>42774.168055555558</v>
      </c>
      <c r="D28" s="14" t="s">
        <v>746</v>
      </c>
      <c r="E28" s="14" t="s">
        <v>747</v>
      </c>
      <c r="F28" s="14" t="s">
        <v>748</v>
      </c>
      <c r="G28" s="14" t="s">
        <v>749</v>
      </c>
      <c r="H28" s="14">
        <v>60888301</v>
      </c>
      <c r="I28" s="14" t="s">
        <v>618</v>
      </c>
      <c r="J28" s="14" t="s">
        <v>596</v>
      </c>
      <c r="L28" s="14">
        <v>1</v>
      </c>
      <c r="O28" s="14">
        <v>100</v>
      </c>
      <c r="U28" s="14">
        <v>100</v>
      </c>
      <c r="AB28" s="14">
        <v>0</v>
      </c>
      <c r="AI28" s="14">
        <v>0</v>
      </c>
      <c r="AP28" s="14">
        <v>0</v>
      </c>
      <c r="AW28" s="14">
        <v>0</v>
      </c>
      <c r="BD28" s="14">
        <v>0</v>
      </c>
      <c r="BE28" s="14">
        <v>100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100</v>
      </c>
      <c r="BL28" s="14">
        <v>1</v>
      </c>
      <c r="BR28" s="14">
        <v>1</v>
      </c>
      <c r="BY28" s="14">
        <v>0</v>
      </c>
      <c r="CF28" s="14">
        <v>0</v>
      </c>
      <c r="CM28" s="14">
        <v>0</v>
      </c>
      <c r="CT28" s="14">
        <v>0</v>
      </c>
      <c r="DA28" s="14">
        <v>0</v>
      </c>
      <c r="DB28" s="14">
        <v>1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1</v>
      </c>
      <c r="DI28" s="14" t="s">
        <v>597</v>
      </c>
      <c r="DJ28" s="14" t="s">
        <v>598</v>
      </c>
      <c r="DK28" s="14" t="s">
        <v>598</v>
      </c>
      <c r="DL28" s="14" t="s">
        <v>598</v>
      </c>
      <c r="DM28" s="14" t="s">
        <v>598</v>
      </c>
      <c r="DN28" s="14" t="s">
        <v>598</v>
      </c>
      <c r="DO28" s="14" t="s">
        <v>598</v>
      </c>
      <c r="DP28" s="14" t="s">
        <v>598</v>
      </c>
      <c r="DQ28" s="14" t="s">
        <v>598</v>
      </c>
      <c r="DR28" s="14" t="s">
        <v>598</v>
      </c>
      <c r="DS28" s="14" t="s">
        <v>598</v>
      </c>
      <c r="DT28" s="14" t="s">
        <v>598</v>
      </c>
      <c r="DU28" s="14" t="s">
        <v>598</v>
      </c>
      <c r="DV28" s="14" t="s">
        <v>598</v>
      </c>
      <c r="DW28" s="14" t="s">
        <v>598</v>
      </c>
      <c r="DX28" s="14" t="s">
        <v>598</v>
      </c>
      <c r="DY28" s="14" t="s">
        <v>598</v>
      </c>
      <c r="DZ28" s="14" t="s">
        <v>598</v>
      </c>
      <c r="EA28" s="14" t="s">
        <v>598</v>
      </c>
      <c r="EB28" s="14" t="s">
        <v>598</v>
      </c>
      <c r="EC28" s="14" t="s">
        <v>598</v>
      </c>
      <c r="ED28" s="14" t="s">
        <v>598</v>
      </c>
      <c r="EE28" s="14" t="s">
        <v>598</v>
      </c>
      <c r="EF28" s="14" t="s">
        <v>598</v>
      </c>
      <c r="EG28" s="14" t="s">
        <v>598</v>
      </c>
      <c r="EH28" s="14" t="s">
        <v>598</v>
      </c>
      <c r="EI28" s="14" t="s">
        <v>598</v>
      </c>
      <c r="EJ28" s="14" t="s">
        <v>598</v>
      </c>
      <c r="EK28" s="14" t="s">
        <v>598</v>
      </c>
      <c r="EL28" s="14" t="s">
        <v>598</v>
      </c>
      <c r="EM28" s="14" t="s">
        <v>598</v>
      </c>
      <c r="EN28" s="14" t="s">
        <v>598</v>
      </c>
      <c r="EO28" s="14" t="s">
        <v>598</v>
      </c>
      <c r="EP28" s="14" t="s">
        <v>598</v>
      </c>
      <c r="EQ28" s="14" t="s">
        <v>598</v>
      </c>
      <c r="ER28" s="14" t="s">
        <v>598</v>
      </c>
      <c r="EY28" s="14">
        <v>0</v>
      </c>
      <c r="FF28" s="14">
        <v>0</v>
      </c>
      <c r="FM28" s="14">
        <v>0</v>
      </c>
      <c r="FT28" s="14">
        <v>0</v>
      </c>
      <c r="GA28" s="14">
        <v>0</v>
      </c>
      <c r="GH28" s="14">
        <v>0</v>
      </c>
      <c r="GI28" s="14">
        <v>100</v>
      </c>
      <c r="GO28" s="14">
        <v>100</v>
      </c>
      <c r="GW28" s="14">
        <v>0</v>
      </c>
      <c r="GX28" s="14">
        <v>100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100</v>
      </c>
      <c r="HE28" s="14">
        <v>100</v>
      </c>
      <c r="HK28" s="14">
        <v>100</v>
      </c>
      <c r="HR28" s="14">
        <v>0</v>
      </c>
      <c r="HY28" s="14">
        <v>0</v>
      </c>
      <c r="IF28" s="14">
        <v>0</v>
      </c>
      <c r="IM28" s="14">
        <v>0</v>
      </c>
      <c r="IN28" s="14">
        <v>100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100</v>
      </c>
      <c r="IU28" s="14">
        <v>0</v>
      </c>
      <c r="IV28" s="14">
        <v>0</v>
      </c>
      <c r="IW28" s="14">
        <v>100</v>
      </c>
      <c r="IZ28" s="14">
        <v>2</v>
      </c>
      <c r="JA28" s="14">
        <v>3</v>
      </c>
      <c r="JB28" s="14">
        <v>1</v>
      </c>
      <c r="JC28" s="14" t="s">
        <v>600</v>
      </c>
      <c r="JJ28" s="14">
        <v>0</v>
      </c>
      <c r="JQ28" s="14">
        <v>0</v>
      </c>
      <c r="JX28" s="14">
        <v>0</v>
      </c>
      <c r="KE28" s="14">
        <v>0</v>
      </c>
      <c r="KL28" s="14">
        <v>0</v>
      </c>
      <c r="KS28" s="14">
        <v>0</v>
      </c>
      <c r="KT28" s="14">
        <v>100</v>
      </c>
      <c r="KZ28" s="14">
        <v>100</v>
      </c>
      <c r="LH28" s="14">
        <v>0</v>
      </c>
      <c r="LI28" s="14">
        <v>100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100</v>
      </c>
      <c r="LV28" s="14">
        <v>0</v>
      </c>
      <c r="LW28" s="14">
        <v>100</v>
      </c>
      <c r="MC28" s="14">
        <v>100</v>
      </c>
      <c r="MJ28" s="14">
        <v>0</v>
      </c>
      <c r="MQ28" s="14">
        <v>0</v>
      </c>
      <c r="MX28" s="14">
        <v>0</v>
      </c>
      <c r="MY28" s="14">
        <v>100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100</v>
      </c>
      <c r="NF28" s="14" t="s">
        <v>601</v>
      </c>
      <c r="RI28" s="14" t="s">
        <v>602</v>
      </c>
      <c r="VL28" s="14" t="s">
        <v>603</v>
      </c>
      <c r="ZO28" s="14" t="s">
        <v>604</v>
      </c>
      <c r="ADR28" s="14" t="s">
        <v>605</v>
      </c>
    </row>
    <row r="29" spans="1:798" x14ac:dyDescent="0.25">
      <c r="A29" s="14">
        <v>92</v>
      </c>
      <c r="B29" s="14" t="s">
        <v>590</v>
      </c>
      <c r="C29" s="16">
        <f>VLOOKUP(A29,[4]RawData!Z:AA,2,FALSE)</f>
        <v>42773.090277777781</v>
      </c>
      <c r="D29" s="14" t="s">
        <v>750</v>
      </c>
      <c r="E29" s="14" t="s">
        <v>751</v>
      </c>
      <c r="F29" s="14" t="s">
        <v>752</v>
      </c>
      <c r="G29" s="14" t="s">
        <v>753</v>
      </c>
      <c r="H29" s="14" t="s">
        <v>754</v>
      </c>
      <c r="I29" s="14" t="s">
        <v>611</v>
      </c>
      <c r="J29" s="14" t="s">
        <v>596</v>
      </c>
      <c r="L29" s="14">
        <v>1</v>
      </c>
      <c r="O29" s="14">
        <v>95</v>
      </c>
      <c r="U29" s="14">
        <v>95</v>
      </c>
      <c r="V29" s="14">
        <v>748.56</v>
      </c>
      <c r="W29" s="14">
        <v>742.38</v>
      </c>
      <c r="AB29" s="14">
        <v>1490.94</v>
      </c>
      <c r="AC29" s="14">
        <v>994.5</v>
      </c>
      <c r="AD29" s="14">
        <v>1644.25</v>
      </c>
      <c r="AI29" s="14">
        <v>2638.75</v>
      </c>
      <c r="AJ29" s="14">
        <v>15</v>
      </c>
      <c r="AK29" s="14">
        <v>1101.3399999999999</v>
      </c>
      <c r="AP29" s="14">
        <v>1116.3399999999999</v>
      </c>
      <c r="AW29" s="14">
        <v>0</v>
      </c>
      <c r="BD29" s="14">
        <v>0</v>
      </c>
      <c r="BE29" s="14">
        <v>1853.06</v>
      </c>
      <c r="BF29" s="14">
        <v>3487.97</v>
      </c>
      <c r="BG29" s="14">
        <v>0</v>
      </c>
      <c r="BH29" s="14">
        <v>0</v>
      </c>
      <c r="BI29" s="14">
        <v>0</v>
      </c>
      <c r="BJ29" s="14">
        <v>0</v>
      </c>
      <c r="BK29" s="14">
        <v>5341.03</v>
      </c>
      <c r="BL29" s="14">
        <v>1</v>
      </c>
      <c r="BR29" s="14">
        <v>1</v>
      </c>
      <c r="BS29" s="14">
        <v>3</v>
      </c>
      <c r="BT29" s="14">
        <v>7</v>
      </c>
      <c r="BY29" s="14">
        <v>10</v>
      </c>
      <c r="BZ29" s="14">
        <v>3</v>
      </c>
      <c r="CA29" s="14">
        <v>9</v>
      </c>
      <c r="CF29" s="14">
        <v>12</v>
      </c>
      <c r="CG29" s="14">
        <v>1</v>
      </c>
      <c r="CH29" s="14">
        <v>2</v>
      </c>
      <c r="CM29" s="14">
        <v>3</v>
      </c>
      <c r="CT29" s="14">
        <v>0</v>
      </c>
      <c r="DA29" s="14">
        <v>0</v>
      </c>
      <c r="DB29" s="14">
        <v>8</v>
      </c>
      <c r="DC29" s="14">
        <v>18</v>
      </c>
      <c r="DD29" s="14">
        <v>0</v>
      </c>
      <c r="DE29" s="14">
        <v>0</v>
      </c>
      <c r="DF29" s="14">
        <v>0</v>
      </c>
      <c r="DG29" s="14">
        <v>0</v>
      </c>
      <c r="DH29" s="14">
        <v>26</v>
      </c>
      <c r="DI29" s="14" t="s">
        <v>597</v>
      </c>
      <c r="DJ29" s="14" t="s">
        <v>598</v>
      </c>
      <c r="DK29" s="14" t="s">
        <v>598</v>
      </c>
      <c r="DL29" s="14" t="s">
        <v>598</v>
      </c>
      <c r="DM29" s="14" t="s">
        <v>598</v>
      </c>
      <c r="DN29" s="14" t="s">
        <v>598</v>
      </c>
      <c r="DO29" s="14" t="s">
        <v>597</v>
      </c>
      <c r="DP29" s="14" t="s">
        <v>597</v>
      </c>
      <c r="DQ29" s="14" t="s">
        <v>598</v>
      </c>
      <c r="DR29" s="14" t="s">
        <v>598</v>
      </c>
      <c r="DS29" s="14" t="s">
        <v>598</v>
      </c>
      <c r="DT29" s="14" t="s">
        <v>598</v>
      </c>
      <c r="DU29" s="14" t="s">
        <v>597</v>
      </c>
      <c r="DV29" s="14" t="s">
        <v>597</v>
      </c>
      <c r="DW29" s="14" t="s">
        <v>598</v>
      </c>
      <c r="DX29" s="14" t="s">
        <v>598</v>
      </c>
      <c r="DY29" s="14" t="s">
        <v>598</v>
      </c>
      <c r="DZ29" s="14" t="s">
        <v>598</v>
      </c>
      <c r="EA29" s="14" t="s">
        <v>597</v>
      </c>
      <c r="EB29" s="14" t="s">
        <v>597</v>
      </c>
      <c r="EC29" s="14" t="s">
        <v>598</v>
      </c>
      <c r="ED29" s="14" t="s">
        <v>598</v>
      </c>
      <c r="EE29" s="14" t="s">
        <v>598</v>
      </c>
      <c r="EF29" s="14" t="s">
        <v>598</v>
      </c>
      <c r="EG29" s="14" t="s">
        <v>598</v>
      </c>
      <c r="EH29" s="14" t="s">
        <v>598</v>
      </c>
      <c r="EI29" s="14" t="s">
        <v>598</v>
      </c>
      <c r="EJ29" s="14" t="s">
        <v>598</v>
      </c>
      <c r="EK29" s="14" t="s">
        <v>598</v>
      </c>
      <c r="EL29" s="14" t="s">
        <v>598</v>
      </c>
      <c r="EM29" s="14" t="s">
        <v>598</v>
      </c>
      <c r="EN29" s="14" t="s">
        <v>598</v>
      </c>
      <c r="EO29" s="14" t="s">
        <v>598</v>
      </c>
      <c r="EP29" s="14" t="s">
        <v>598</v>
      </c>
      <c r="EQ29" s="14" t="s">
        <v>598</v>
      </c>
      <c r="ER29" s="14" t="s">
        <v>598</v>
      </c>
      <c r="ES29" s="14">
        <v>1159.77</v>
      </c>
      <c r="ET29" s="14">
        <v>1702.36</v>
      </c>
      <c r="EY29" s="14">
        <v>2862.13</v>
      </c>
      <c r="EZ29" s="14">
        <v>63.98</v>
      </c>
      <c r="FF29" s="14">
        <v>63.98</v>
      </c>
      <c r="FG29" s="14">
        <v>203.05</v>
      </c>
      <c r="FH29" s="14">
        <v>1639.05</v>
      </c>
      <c r="FM29" s="14">
        <v>1842.1</v>
      </c>
      <c r="FT29" s="14">
        <v>0</v>
      </c>
      <c r="FU29" s="14">
        <v>27.57</v>
      </c>
      <c r="GA29" s="14">
        <v>27.57</v>
      </c>
      <c r="GB29" s="14">
        <v>259.04000000000002</v>
      </c>
      <c r="GH29" s="14">
        <v>259.04000000000002</v>
      </c>
      <c r="GI29" s="14">
        <v>3.5</v>
      </c>
      <c r="GO29" s="14">
        <v>3.5</v>
      </c>
      <c r="GP29" s="14" t="s">
        <v>755</v>
      </c>
      <c r="GQ29" s="14">
        <v>136.16</v>
      </c>
      <c r="GR29" s="14">
        <v>146.55000000000001</v>
      </c>
      <c r="GW29" s="14">
        <v>282.70999999999998</v>
      </c>
      <c r="GX29" s="14">
        <v>1853.07</v>
      </c>
      <c r="GY29" s="14">
        <v>3487.96</v>
      </c>
      <c r="GZ29" s="14">
        <v>0</v>
      </c>
      <c r="HA29" s="14">
        <v>0</v>
      </c>
      <c r="HB29" s="14">
        <v>0</v>
      </c>
      <c r="HC29" s="14">
        <v>0</v>
      </c>
      <c r="HD29" s="14">
        <v>5341.03</v>
      </c>
      <c r="HE29" s="14">
        <v>382.04</v>
      </c>
      <c r="HF29" s="14">
        <v>1639.06</v>
      </c>
      <c r="HK29" s="14">
        <v>2021.1</v>
      </c>
      <c r="HL29" s="14">
        <v>916.52</v>
      </c>
      <c r="HM29" s="14">
        <v>753.22</v>
      </c>
      <c r="HR29" s="14">
        <v>1669.74</v>
      </c>
      <c r="HS29" s="14">
        <v>554.5</v>
      </c>
      <c r="HT29" s="14">
        <v>1095.69</v>
      </c>
      <c r="HY29" s="14">
        <v>1650.19</v>
      </c>
      <c r="IF29" s="14">
        <v>0</v>
      </c>
      <c r="IM29" s="14">
        <v>0</v>
      </c>
      <c r="IN29" s="14">
        <v>1853.06</v>
      </c>
      <c r="IO29" s="14">
        <v>3487.97</v>
      </c>
      <c r="IP29" s="14">
        <v>0</v>
      </c>
      <c r="IQ29" s="14">
        <v>0</v>
      </c>
      <c r="IR29" s="14">
        <v>0</v>
      </c>
      <c r="IS29" s="14">
        <v>0</v>
      </c>
      <c r="IT29" s="14">
        <v>5341.03</v>
      </c>
      <c r="IU29" s="14">
        <v>0</v>
      </c>
      <c r="IV29" s="14">
        <v>0</v>
      </c>
      <c r="IW29" s="14">
        <v>100</v>
      </c>
      <c r="IY29" s="14">
        <v>0</v>
      </c>
      <c r="IZ29" s="14">
        <v>1</v>
      </c>
      <c r="JA29" s="14">
        <v>2</v>
      </c>
      <c r="JB29" s="14">
        <v>1</v>
      </c>
      <c r="JC29" s="14" t="s">
        <v>600</v>
      </c>
      <c r="JD29" s="14">
        <v>50</v>
      </c>
      <c r="JJ29" s="14">
        <v>50</v>
      </c>
      <c r="JQ29" s="14">
        <v>0</v>
      </c>
      <c r="JX29" s="14">
        <v>0</v>
      </c>
      <c r="KE29" s="14">
        <v>0</v>
      </c>
      <c r="KL29" s="14">
        <v>0</v>
      </c>
      <c r="KM29" s="14">
        <v>20</v>
      </c>
      <c r="KS29" s="14">
        <v>20</v>
      </c>
      <c r="KZ29" s="14">
        <v>0</v>
      </c>
      <c r="LA29" s="14" t="s">
        <v>680</v>
      </c>
      <c r="LB29" s="14">
        <v>25</v>
      </c>
      <c r="LH29" s="14">
        <v>25</v>
      </c>
      <c r="LI29" s="14">
        <v>95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95</v>
      </c>
      <c r="LP29" s="14">
        <v>75</v>
      </c>
      <c r="LV29" s="14">
        <v>75</v>
      </c>
      <c r="MC29" s="14">
        <v>0</v>
      </c>
      <c r="MD29" s="14">
        <v>20</v>
      </c>
      <c r="MJ29" s="14">
        <v>20</v>
      </c>
      <c r="MQ29" s="14">
        <v>0</v>
      </c>
      <c r="MX29" s="14">
        <v>0</v>
      </c>
      <c r="MY29" s="14">
        <v>95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95</v>
      </c>
      <c r="NF29" s="14" t="s">
        <v>601</v>
      </c>
      <c r="NG29" s="14">
        <v>377.87</v>
      </c>
      <c r="NH29" s="14">
        <v>690.83</v>
      </c>
      <c r="NM29" s="14">
        <v>1068.7</v>
      </c>
      <c r="NN29" s="14">
        <v>61.98</v>
      </c>
      <c r="NT29" s="14">
        <v>61.98</v>
      </c>
      <c r="NU29" s="14">
        <v>53.04</v>
      </c>
      <c r="OA29" s="14">
        <v>53.04</v>
      </c>
      <c r="OH29" s="14">
        <v>0</v>
      </c>
      <c r="OI29" s="14">
        <v>27.57</v>
      </c>
      <c r="OO29" s="14">
        <v>27.57</v>
      </c>
      <c r="OP29" s="14">
        <v>121.74</v>
      </c>
      <c r="OV29" s="14">
        <v>121.74</v>
      </c>
      <c r="PC29" s="14">
        <v>0</v>
      </c>
      <c r="PE29" s="14">
        <v>106.36</v>
      </c>
      <c r="PF29" s="14">
        <v>51.55</v>
      </c>
      <c r="PK29" s="14">
        <v>157.91</v>
      </c>
      <c r="PL29" s="14">
        <v>748.56</v>
      </c>
      <c r="PM29" s="14">
        <v>742.38</v>
      </c>
      <c r="PN29" s="14">
        <v>0</v>
      </c>
      <c r="PO29" s="14">
        <v>0</v>
      </c>
      <c r="PP29" s="14">
        <v>0</v>
      </c>
      <c r="PQ29" s="14">
        <v>0</v>
      </c>
      <c r="PR29" s="14">
        <v>1490.94</v>
      </c>
      <c r="PS29" s="14">
        <v>684.91</v>
      </c>
      <c r="PT29" s="14">
        <v>682.38</v>
      </c>
      <c r="PY29" s="14">
        <v>1367.29</v>
      </c>
      <c r="PZ29" s="14">
        <v>47.04</v>
      </c>
      <c r="QF29" s="14">
        <v>47.04</v>
      </c>
      <c r="QG29" s="14">
        <v>16.61</v>
      </c>
      <c r="QH29" s="14">
        <v>60</v>
      </c>
      <c r="QM29" s="14">
        <v>76.61</v>
      </c>
      <c r="QT29" s="14">
        <v>0</v>
      </c>
      <c r="RA29" s="14">
        <v>0</v>
      </c>
      <c r="RB29" s="14">
        <v>748.56</v>
      </c>
      <c r="RC29" s="14">
        <v>742.38</v>
      </c>
      <c r="RD29" s="14">
        <v>0</v>
      </c>
      <c r="RE29" s="14">
        <v>0</v>
      </c>
      <c r="RF29" s="14">
        <v>0</v>
      </c>
      <c r="RG29" s="14">
        <v>0</v>
      </c>
      <c r="RH29" s="14">
        <v>1490.94</v>
      </c>
      <c r="RI29" s="14" t="s">
        <v>602</v>
      </c>
      <c r="RJ29" s="14">
        <v>716.9</v>
      </c>
      <c r="RK29" s="14">
        <v>940.69</v>
      </c>
      <c r="RP29" s="14">
        <v>1657.59</v>
      </c>
      <c r="RQ29" s="14">
        <v>2</v>
      </c>
      <c r="RW29" s="14">
        <v>2</v>
      </c>
      <c r="RX29" s="14">
        <v>150</v>
      </c>
      <c r="RY29" s="14">
        <v>608.55999999999995</v>
      </c>
      <c r="SD29" s="14">
        <v>758.56</v>
      </c>
      <c r="SK29" s="14">
        <v>0</v>
      </c>
      <c r="SR29" s="14">
        <v>0</v>
      </c>
      <c r="SS29" s="14">
        <v>117.3</v>
      </c>
      <c r="SY29" s="14">
        <v>117.3</v>
      </c>
      <c r="SZ29" s="14">
        <v>3.5</v>
      </c>
      <c r="TF29" s="14">
        <v>3.5</v>
      </c>
      <c r="TH29" s="14">
        <v>4.8</v>
      </c>
      <c r="TI29" s="14">
        <v>95</v>
      </c>
      <c r="TN29" s="14">
        <v>99.8</v>
      </c>
      <c r="TO29" s="14">
        <v>994.5</v>
      </c>
      <c r="TP29" s="14">
        <v>1644.25</v>
      </c>
      <c r="TQ29" s="14">
        <v>0</v>
      </c>
      <c r="TR29" s="14">
        <v>0</v>
      </c>
      <c r="TS29" s="14">
        <v>0</v>
      </c>
      <c r="TT29" s="14">
        <v>0</v>
      </c>
      <c r="TU29" s="14">
        <v>2638.75</v>
      </c>
      <c r="TV29" s="14">
        <v>140</v>
      </c>
      <c r="UB29" s="14">
        <v>140</v>
      </c>
      <c r="UC29" s="14">
        <v>335</v>
      </c>
      <c r="UD29" s="14">
        <v>608.55999999999995</v>
      </c>
      <c r="UI29" s="14">
        <v>943.56</v>
      </c>
      <c r="UJ29" s="14">
        <v>519.5</v>
      </c>
      <c r="UK29" s="14">
        <v>1035.69</v>
      </c>
      <c r="UP29" s="14">
        <v>1555.19</v>
      </c>
      <c r="UW29" s="14">
        <v>0</v>
      </c>
      <c r="VD29" s="14">
        <v>0</v>
      </c>
      <c r="VE29" s="14">
        <v>994.5</v>
      </c>
      <c r="VF29" s="14">
        <v>1644.25</v>
      </c>
      <c r="VG29" s="14">
        <v>0</v>
      </c>
      <c r="VH29" s="14">
        <v>0</v>
      </c>
      <c r="VI29" s="14">
        <v>0</v>
      </c>
      <c r="VJ29" s="14">
        <v>0</v>
      </c>
      <c r="VK29" s="14">
        <v>2638.75</v>
      </c>
      <c r="VL29" s="14" t="s">
        <v>603</v>
      </c>
      <c r="VM29" s="14">
        <v>15</v>
      </c>
      <c r="VN29" s="14">
        <v>70.84</v>
      </c>
      <c r="VS29" s="14">
        <v>85.84</v>
      </c>
      <c r="VZ29" s="14">
        <v>0</v>
      </c>
      <c r="WB29" s="14">
        <v>1030.5</v>
      </c>
      <c r="WG29" s="14">
        <v>1030.5</v>
      </c>
      <c r="WN29" s="14">
        <v>0</v>
      </c>
      <c r="WU29" s="14">
        <v>0</v>
      </c>
      <c r="XB29" s="14">
        <v>0</v>
      </c>
      <c r="XI29" s="14">
        <v>0</v>
      </c>
      <c r="XQ29" s="14">
        <v>0</v>
      </c>
      <c r="XR29" s="14">
        <v>15</v>
      </c>
      <c r="XS29" s="14">
        <v>1101.3399999999999</v>
      </c>
      <c r="XT29" s="14">
        <v>0</v>
      </c>
      <c r="XU29" s="14">
        <v>0</v>
      </c>
      <c r="XV29" s="14">
        <v>0</v>
      </c>
      <c r="XW29" s="14">
        <v>0</v>
      </c>
      <c r="XX29" s="14">
        <v>1116.3399999999999</v>
      </c>
      <c r="XZ29" s="14">
        <v>70.84</v>
      </c>
      <c r="YE29" s="14">
        <v>70.84</v>
      </c>
      <c r="YG29" s="14">
        <v>1030.5</v>
      </c>
      <c r="YL29" s="14">
        <v>1030.5</v>
      </c>
      <c r="YM29" s="14">
        <v>15</v>
      </c>
      <c r="YS29" s="14">
        <v>15</v>
      </c>
      <c r="YZ29" s="14">
        <v>0</v>
      </c>
      <c r="ZG29" s="14">
        <v>0</v>
      </c>
      <c r="ZH29" s="14">
        <v>15</v>
      </c>
      <c r="ZI29" s="14">
        <v>1101.3399999999999</v>
      </c>
      <c r="ZJ29" s="14">
        <v>0</v>
      </c>
      <c r="ZK29" s="14">
        <v>0</v>
      </c>
      <c r="ZL29" s="14">
        <v>0</v>
      </c>
      <c r="ZM29" s="14">
        <v>0</v>
      </c>
      <c r="ZN29" s="14">
        <v>1116.3399999999999</v>
      </c>
      <c r="ZO29" s="14" t="s">
        <v>604</v>
      </c>
      <c r="ADR29" s="14" t="s">
        <v>605</v>
      </c>
    </row>
    <row r="30" spans="1:798" x14ac:dyDescent="0.25">
      <c r="A30" s="14">
        <v>84</v>
      </c>
      <c r="B30" s="14" t="s">
        <v>590</v>
      </c>
      <c r="C30" s="16">
        <f>$C$3</f>
        <v>42780</v>
      </c>
      <c r="D30" s="14" t="s">
        <v>756</v>
      </c>
      <c r="E30" s="14" t="s">
        <v>757</v>
      </c>
      <c r="F30" s="14" t="s">
        <v>721</v>
      </c>
      <c r="G30" s="14" t="s">
        <v>758</v>
      </c>
      <c r="H30" s="14" t="s">
        <v>759</v>
      </c>
      <c r="I30" s="14" t="s">
        <v>611</v>
      </c>
      <c r="J30" s="14" t="s">
        <v>596</v>
      </c>
      <c r="L30" s="14">
        <v>1</v>
      </c>
      <c r="O30" s="14">
        <v>258</v>
      </c>
      <c r="U30" s="14">
        <v>258</v>
      </c>
      <c r="W30" s="14">
        <v>746</v>
      </c>
      <c r="AB30" s="14">
        <v>746</v>
      </c>
      <c r="AC30" s="14">
        <v>1950</v>
      </c>
      <c r="AI30" s="14">
        <v>1950</v>
      </c>
      <c r="AP30" s="14">
        <v>0</v>
      </c>
      <c r="AW30" s="14">
        <v>0</v>
      </c>
      <c r="BD30" s="14">
        <v>0</v>
      </c>
      <c r="BE30" s="14">
        <v>2208</v>
      </c>
      <c r="BF30" s="14">
        <v>746</v>
      </c>
      <c r="BG30" s="14">
        <v>0</v>
      </c>
      <c r="BH30" s="14">
        <v>0</v>
      </c>
      <c r="BI30" s="14">
        <v>0</v>
      </c>
      <c r="BJ30" s="14">
        <v>0</v>
      </c>
      <c r="BK30" s="14">
        <v>2954</v>
      </c>
      <c r="BL30" s="14">
        <v>1</v>
      </c>
      <c r="BR30" s="14">
        <v>1</v>
      </c>
      <c r="BT30" s="14">
        <v>1</v>
      </c>
      <c r="BY30" s="14">
        <v>1</v>
      </c>
      <c r="BZ30" s="14">
        <v>1</v>
      </c>
      <c r="CF30" s="14">
        <v>1</v>
      </c>
      <c r="CM30" s="14">
        <v>0</v>
      </c>
      <c r="CT30" s="14">
        <v>0</v>
      </c>
      <c r="DA30" s="14">
        <v>0</v>
      </c>
      <c r="DB30" s="14">
        <v>2</v>
      </c>
      <c r="DC30" s="14">
        <v>1</v>
      </c>
      <c r="DD30" s="14">
        <v>0</v>
      </c>
      <c r="DE30" s="14">
        <v>0</v>
      </c>
      <c r="DF30" s="14">
        <v>0</v>
      </c>
      <c r="DG30" s="14">
        <v>0</v>
      </c>
      <c r="DH30" s="14">
        <v>3</v>
      </c>
      <c r="DI30" s="14" t="s">
        <v>597</v>
      </c>
      <c r="DJ30" s="14" t="s">
        <v>598</v>
      </c>
      <c r="DK30" s="14" t="s">
        <v>598</v>
      </c>
      <c r="DL30" s="14" t="s">
        <v>598</v>
      </c>
      <c r="DM30" s="14" t="s">
        <v>598</v>
      </c>
      <c r="DN30" s="14" t="s">
        <v>598</v>
      </c>
      <c r="DO30" s="14" t="s">
        <v>598</v>
      </c>
      <c r="DP30" s="14" t="s">
        <v>597</v>
      </c>
      <c r="DQ30" s="14" t="s">
        <v>598</v>
      </c>
      <c r="DR30" s="14" t="s">
        <v>598</v>
      </c>
      <c r="DS30" s="14" t="s">
        <v>598</v>
      </c>
      <c r="DT30" s="14" t="s">
        <v>598</v>
      </c>
      <c r="DU30" s="14" t="s">
        <v>597</v>
      </c>
      <c r="DV30" s="14" t="s">
        <v>598</v>
      </c>
      <c r="DW30" s="14" t="s">
        <v>598</v>
      </c>
      <c r="DX30" s="14" t="s">
        <v>598</v>
      </c>
      <c r="DY30" s="14" t="s">
        <v>598</v>
      </c>
      <c r="DZ30" s="14" t="s">
        <v>598</v>
      </c>
      <c r="EA30" s="14" t="s">
        <v>598</v>
      </c>
      <c r="EB30" s="14" t="s">
        <v>598</v>
      </c>
      <c r="EC30" s="14" t="s">
        <v>598</v>
      </c>
      <c r="ED30" s="14" t="s">
        <v>598</v>
      </c>
      <c r="EE30" s="14" t="s">
        <v>598</v>
      </c>
      <c r="EF30" s="14" t="s">
        <v>598</v>
      </c>
      <c r="EG30" s="14" t="s">
        <v>598</v>
      </c>
      <c r="EH30" s="14" t="s">
        <v>598</v>
      </c>
      <c r="EI30" s="14" t="s">
        <v>598</v>
      </c>
      <c r="EJ30" s="14" t="s">
        <v>598</v>
      </c>
      <c r="EK30" s="14" t="s">
        <v>598</v>
      </c>
      <c r="EL30" s="14" t="s">
        <v>598</v>
      </c>
      <c r="EM30" s="14" t="s">
        <v>598</v>
      </c>
      <c r="EN30" s="14" t="s">
        <v>598</v>
      </c>
      <c r="EO30" s="14" t="s">
        <v>598</v>
      </c>
      <c r="EP30" s="14" t="s">
        <v>598</v>
      </c>
      <c r="EQ30" s="14" t="s">
        <v>598</v>
      </c>
      <c r="ER30" s="14" t="s">
        <v>598</v>
      </c>
      <c r="ES30" s="14">
        <v>800</v>
      </c>
      <c r="EY30" s="14">
        <v>800</v>
      </c>
      <c r="EZ30" s="14">
        <v>68</v>
      </c>
      <c r="FA30" s="14">
        <v>107</v>
      </c>
      <c r="FF30" s="14">
        <v>175</v>
      </c>
      <c r="FM30" s="14">
        <v>0</v>
      </c>
      <c r="FN30" s="14">
        <v>66</v>
      </c>
      <c r="FO30" s="14">
        <v>639</v>
      </c>
      <c r="FT30" s="14">
        <v>705</v>
      </c>
      <c r="FU30" s="14">
        <v>129</v>
      </c>
      <c r="GA30" s="14">
        <v>129</v>
      </c>
      <c r="GH30" s="14">
        <v>0</v>
      </c>
      <c r="GO30" s="14">
        <v>0</v>
      </c>
      <c r="GQ30" s="14">
        <v>1145</v>
      </c>
      <c r="GW30" s="14">
        <v>1145</v>
      </c>
      <c r="GX30" s="14">
        <v>2208</v>
      </c>
      <c r="GY30" s="14">
        <v>746</v>
      </c>
      <c r="GZ30" s="14">
        <v>0</v>
      </c>
      <c r="HA30" s="14">
        <v>0</v>
      </c>
      <c r="HB30" s="14">
        <v>0</v>
      </c>
      <c r="HC30" s="14">
        <v>0</v>
      </c>
      <c r="HD30" s="14">
        <v>2954</v>
      </c>
      <c r="HE30" s="14">
        <v>40</v>
      </c>
      <c r="HF30" s="14">
        <v>639</v>
      </c>
      <c r="HK30" s="14">
        <v>679</v>
      </c>
      <c r="HL30" s="14">
        <v>426</v>
      </c>
      <c r="HM30" s="14">
        <v>107</v>
      </c>
      <c r="HR30" s="14">
        <v>533</v>
      </c>
      <c r="HS30" s="14">
        <v>1742</v>
      </c>
      <c r="HY30" s="14">
        <v>1742</v>
      </c>
      <c r="IF30" s="14">
        <v>0</v>
      </c>
      <c r="IM30" s="14">
        <v>0</v>
      </c>
      <c r="IN30" s="14">
        <v>2208</v>
      </c>
      <c r="IO30" s="14">
        <v>746</v>
      </c>
      <c r="IP30" s="14">
        <v>0</v>
      </c>
      <c r="IQ30" s="14">
        <v>0</v>
      </c>
      <c r="IR30" s="14">
        <v>0</v>
      </c>
      <c r="IS30" s="14">
        <v>0</v>
      </c>
      <c r="IT30" s="14">
        <v>2954</v>
      </c>
      <c r="IW30" s="14">
        <v>100</v>
      </c>
      <c r="IZ30" s="14">
        <v>3</v>
      </c>
      <c r="JA30" s="14">
        <v>3</v>
      </c>
      <c r="JB30" s="14">
        <v>1</v>
      </c>
      <c r="JC30" s="14" t="s">
        <v>600</v>
      </c>
      <c r="JD30" s="14">
        <v>200</v>
      </c>
      <c r="JJ30" s="14">
        <v>200</v>
      </c>
      <c r="JQ30" s="14">
        <v>0</v>
      </c>
      <c r="JX30" s="14">
        <v>0</v>
      </c>
      <c r="JY30" s="14">
        <v>58</v>
      </c>
      <c r="KE30" s="14">
        <v>58</v>
      </c>
      <c r="KL30" s="14">
        <v>0</v>
      </c>
      <c r="KS30" s="14">
        <v>0</v>
      </c>
      <c r="KZ30" s="14">
        <v>0</v>
      </c>
      <c r="LH30" s="14">
        <v>0</v>
      </c>
      <c r="LI30" s="14">
        <v>258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258</v>
      </c>
      <c r="LP30" s="14">
        <v>258</v>
      </c>
      <c r="LV30" s="14">
        <v>258</v>
      </c>
      <c r="MC30" s="14">
        <v>0</v>
      </c>
      <c r="MJ30" s="14">
        <v>0</v>
      </c>
      <c r="MQ30" s="14">
        <v>0</v>
      </c>
      <c r="MX30" s="14">
        <v>0</v>
      </c>
      <c r="MY30" s="14">
        <v>258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258</v>
      </c>
      <c r="NF30" s="14" t="s">
        <v>601</v>
      </c>
      <c r="NM30" s="14">
        <v>0</v>
      </c>
      <c r="NO30" s="14">
        <v>107</v>
      </c>
      <c r="NT30" s="14">
        <v>107</v>
      </c>
      <c r="OA30" s="14">
        <v>0</v>
      </c>
      <c r="OC30" s="14">
        <v>639</v>
      </c>
      <c r="OH30" s="14">
        <v>639</v>
      </c>
      <c r="OO30" s="14">
        <v>0</v>
      </c>
      <c r="OV30" s="14">
        <v>0</v>
      </c>
      <c r="PC30" s="14">
        <v>0</v>
      </c>
      <c r="PK30" s="14">
        <v>0</v>
      </c>
      <c r="PL30" s="14">
        <v>0</v>
      </c>
      <c r="PM30" s="14">
        <v>746</v>
      </c>
      <c r="PN30" s="14">
        <v>0</v>
      </c>
      <c r="PO30" s="14">
        <v>0</v>
      </c>
      <c r="PP30" s="14">
        <v>0</v>
      </c>
      <c r="PQ30" s="14">
        <v>0</v>
      </c>
      <c r="PR30" s="14">
        <v>746</v>
      </c>
      <c r="PT30" s="14">
        <v>107</v>
      </c>
      <c r="PY30" s="14">
        <v>107</v>
      </c>
      <c r="QA30" s="14">
        <v>639</v>
      </c>
      <c r="QF30" s="14">
        <v>639</v>
      </c>
      <c r="QM30" s="14">
        <v>0</v>
      </c>
      <c r="QT30" s="14">
        <v>0</v>
      </c>
      <c r="RA30" s="14">
        <v>0</v>
      </c>
      <c r="RB30" s="14">
        <v>0</v>
      </c>
      <c r="RC30" s="14">
        <v>746</v>
      </c>
      <c r="RD30" s="14">
        <v>0</v>
      </c>
      <c r="RE30" s="14">
        <v>0</v>
      </c>
      <c r="RF30" s="14">
        <v>0</v>
      </c>
      <c r="RG30" s="14">
        <v>0</v>
      </c>
      <c r="RH30" s="14">
        <v>746</v>
      </c>
      <c r="RI30" s="14" t="s">
        <v>602</v>
      </c>
      <c r="RJ30" s="14">
        <v>600</v>
      </c>
      <c r="RP30" s="14">
        <v>600</v>
      </c>
      <c r="RQ30" s="14">
        <v>68</v>
      </c>
      <c r="RW30" s="14">
        <v>68</v>
      </c>
      <c r="SD30" s="14">
        <v>0</v>
      </c>
      <c r="SE30" s="14">
        <v>8</v>
      </c>
      <c r="SK30" s="14">
        <v>8</v>
      </c>
      <c r="SL30" s="14">
        <v>129</v>
      </c>
      <c r="SR30" s="14">
        <v>129</v>
      </c>
      <c r="SY30" s="14">
        <v>0</v>
      </c>
      <c r="TF30" s="14">
        <v>0</v>
      </c>
      <c r="TH30" s="14">
        <v>1145</v>
      </c>
      <c r="TN30" s="14">
        <v>1145</v>
      </c>
      <c r="TO30" s="14">
        <v>1950</v>
      </c>
      <c r="TP30" s="14">
        <v>0</v>
      </c>
      <c r="TQ30" s="14">
        <v>0</v>
      </c>
      <c r="TR30" s="14">
        <v>0</v>
      </c>
      <c r="TS30" s="14">
        <v>0</v>
      </c>
      <c r="TT30" s="14">
        <v>0</v>
      </c>
      <c r="TU30" s="14">
        <v>1950</v>
      </c>
      <c r="TV30" s="14">
        <v>168</v>
      </c>
      <c r="UB30" s="14">
        <v>168</v>
      </c>
      <c r="UC30" s="14">
        <v>40</v>
      </c>
      <c r="UI30" s="14">
        <v>40</v>
      </c>
      <c r="UJ30" s="14">
        <v>1742</v>
      </c>
      <c r="UP30" s="14">
        <v>1742</v>
      </c>
      <c r="UW30" s="14">
        <v>0</v>
      </c>
      <c r="VD30" s="14">
        <v>0</v>
      </c>
      <c r="VE30" s="14">
        <v>1950</v>
      </c>
      <c r="VF30" s="14">
        <v>0</v>
      </c>
      <c r="VG30" s="14">
        <v>0</v>
      </c>
      <c r="VH30" s="14">
        <v>0</v>
      </c>
      <c r="VI30" s="14">
        <v>0</v>
      </c>
      <c r="VJ30" s="14">
        <v>0</v>
      </c>
      <c r="VK30" s="14">
        <v>1950</v>
      </c>
      <c r="VL30" s="14" t="s">
        <v>603</v>
      </c>
      <c r="ZO30" s="14" t="s">
        <v>604</v>
      </c>
      <c r="ADR30" s="14" t="s">
        <v>605</v>
      </c>
    </row>
    <row r="31" spans="1:798" x14ac:dyDescent="0.25">
      <c r="A31" s="14">
        <v>183</v>
      </c>
      <c r="B31" s="14" t="s">
        <v>590</v>
      </c>
      <c r="C31" s="16">
        <f>VLOOKUP(A31,[4]RawData!Z:AA,2,FALSE)</f>
        <v>42774.283333333333</v>
      </c>
      <c r="D31" s="14" t="s">
        <v>760</v>
      </c>
      <c r="E31" s="14" t="s">
        <v>761</v>
      </c>
      <c r="F31" s="14" t="s">
        <v>762</v>
      </c>
      <c r="G31" s="14" t="s">
        <v>763</v>
      </c>
      <c r="H31" s="14">
        <v>37106834</v>
      </c>
      <c r="I31" s="14" t="s">
        <v>618</v>
      </c>
      <c r="J31" s="14" t="s">
        <v>596</v>
      </c>
      <c r="L31" s="14">
        <v>1</v>
      </c>
      <c r="O31" s="14">
        <v>36</v>
      </c>
      <c r="U31" s="14">
        <v>36</v>
      </c>
      <c r="V31" s="14">
        <v>79</v>
      </c>
      <c r="AB31" s="14">
        <v>79</v>
      </c>
      <c r="AI31" s="14">
        <v>0</v>
      </c>
      <c r="AP31" s="14">
        <v>0</v>
      </c>
      <c r="AW31" s="14">
        <v>0</v>
      </c>
      <c r="BD31" s="14">
        <v>0</v>
      </c>
      <c r="BE31" s="14">
        <v>115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115</v>
      </c>
      <c r="BL31" s="14">
        <v>1</v>
      </c>
      <c r="BR31" s="14">
        <v>1</v>
      </c>
      <c r="BS31" s="14">
        <v>2</v>
      </c>
      <c r="BY31" s="14">
        <v>2</v>
      </c>
      <c r="CF31" s="14">
        <v>0</v>
      </c>
      <c r="CM31" s="14">
        <v>0</v>
      </c>
      <c r="CT31" s="14">
        <v>0</v>
      </c>
      <c r="DA31" s="14">
        <v>0</v>
      </c>
      <c r="DB31" s="14">
        <v>3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3</v>
      </c>
      <c r="DI31" s="14" t="s">
        <v>597</v>
      </c>
      <c r="DJ31" s="14" t="s">
        <v>598</v>
      </c>
      <c r="DK31" s="14" t="s">
        <v>598</v>
      </c>
      <c r="DL31" s="14" t="s">
        <v>598</v>
      </c>
      <c r="DM31" s="14" t="s">
        <v>598</v>
      </c>
      <c r="DN31" s="14" t="s">
        <v>598</v>
      </c>
      <c r="DO31" s="14" t="s">
        <v>597</v>
      </c>
      <c r="DP31" s="14" t="s">
        <v>598</v>
      </c>
      <c r="DQ31" s="14" t="s">
        <v>598</v>
      </c>
      <c r="DR31" s="14" t="s">
        <v>598</v>
      </c>
      <c r="DS31" s="14" t="s">
        <v>598</v>
      </c>
      <c r="DT31" s="14" t="s">
        <v>598</v>
      </c>
      <c r="DU31" s="14" t="s">
        <v>598</v>
      </c>
      <c r="DV31" s="14" t="s">
        <v>598</v>
      </c>
      <c r="DW31" s="14" t="s">
        <v>598</v>
      </c>
      <c r="DX31" s="14" t="s">
        <v>598</v>
      </c>
      <c r="DY31" s="14" t="s">
        <v>598</v>
      </c>
      <c r="DZ31" s="14" t="s">
        <v>598</v>
      </c>
      <c r="EA31" s="14" t="s">
        <v>598</v>
      </c>
      <c r="EB31" s="14" t="s">
        <v>598</v>
      </c>
      <c r="EC31" s="14" t="s">
        <v>598</v>
      </c>
      <c r="ED31" s="14" t="s">
        <v>598</v>
      </c>
      <c r="EE31" s="14" t="s">
        <v>598</v>
      </c>
      <c r="EF31" s="14" t="s">
        <v>598</v>
      </c>
      <c r="EG31" s="14" t="s">
        <v>598</v>
      </c>
      <c r="EH31" s="14" t="s">
        <v>598</v>
      </c>
      <c r="EI31" s="14" t="s">
        <v>598</v>
      </c>
      <c r="EJ31" s="14" t="s">
        <v>598</v>
      </c>
      <c r="EK31" s="14" t="s">
        <v>598</v>
      </c>
      <c r="EL31" s="14" t="s">
        <v>598</v>
      </c>
      <c r="EM31" s="14" t="s">
        <v>598</v>
      </c>
      <c r="EN31" s="14" t="s">
        <v>598</v>
      </c>
      <c r="EO31" s="14" t="s">
        <v>598</v>
      </c>
      <c r="EP31" s="14" t="s">
        <v>598</v>
      </c>
      <c r="EQ31" s="14" t="s">
        <v>598</v>
      </c>
      <c r="ER31" s="14" t="s">
        <v>598</v>
      </c>
      <c r="EY31" s="14">
        <v>0</v>
      </c>
      <c r="EZ31" s="14">
        <v>25</v>
      </c>
      <c r="FF31" s="14">
        <v>25</v>
      </c>
      <c r="FM31" s="14">
        <v>0</v>
      </c>
      <c r="FT31" s="14">
        <v>0</v>
      </c>
      <c r="GA31" s="14">
        <v>0</v>
      </c>
      <c r="GH31" s="14">
        <v>0</v>
      </c>
      <c r="GO31" s="14">
        <v>0</v>
      </c>
      <c r="GP31" s="14" t="s">
        <v>726</v>
      </c>
      <c r="GQ31" s="14">
        <v>90</v>
      </c>
      <c r="GW31" s="14">
        <v>90</v>
      </c>
      <c r="GX31" s="14">
        <v>115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115</v>
      </c>
      <c r="HE31" s="14">
        <v>115</v>
      </c>
      <c r="HK31" s="14">
        <v>115</v>
      </c>
      <c r="HR31" s="14">
        <v>0</v>
      </c>
      <c r="HY31" s="14">
        <v>0</v>
      </c>
      <c r="IF31" s="14">
        <v>0</v>
      </c>
      <c r="IM31" s="14">
        <v>0</v>
      </c>
      <c r="IN31" s="14">
        <v>115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115</v>
      </c>
      <c r="IW31" s="14">
        <v>100</v>
      </c>
      <c r="IZ31" s="14">
        <v>1</v>
      </c>
      <c r="JA31" s="14">
        <v>2</v>
      </c>
      <c r="JB31" s="14">
        <v>1</v>
      </c>
      <c r="JC31" s="14" t="s">
        <v>600</v>
      </c>
      <c r="JJ31" s="14">
        <v>0</v>
      </c>
      <c r="JQ31" s="14">
        <v>0</v>
      </c>
      <c r="JX31" s="14">
        <v>0</v>
      </c>
      <c r="KE31" s="14">
        <v>0</v>
      </c>
      <c r="KL31" s="14">
        <v>0</v>
      </c>
      <c r="KS31" s="14">
        <v>0</v>
      </c>
      <c r="KZ31" s="14">
        <v>0</v>
      </c>
      <c r="LA31" s="14" t="s">
        <v>764</v>
      </c>
      <c r="LB31" s="14">
        <v>36</v>
      </c>
      <c r="LH31" s="14">
        <v>36</v>
      </c>
      <c r="LI31" s="14">
        <v>36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36</v>
      </c>
      <c r="LV31" s="14">
        <v>0</v>
      </c>
      <c r="LW31" s="14">
        <v>36</v>
      </c>
      <c r="MC31" s="14">
        <v>36</v>
      </c>
      <c r="MJ31" s="14">
        <v>0</v>
      </c>
      <c r="MQ31" s="14">
        <v>0</v>
      </c>
      <c r="MX31" s="14">
        <v>0</v>
      </c>
      <c r="MY31" s="14">
        <v>36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36</v>
      </c>
      <c r="NF31" s="14" t="s">
        <v>601</v>
      </c>
      <c r="RI31" s="14" t="s">
        <v>602</v>
      </c>
      <c r="VL31" s="14" t="s">
        <v>603</v>
      </c>
      <c r="ZO31" s="14" t="s">
        <v>604</v>
      </c>
      <c r="ADR31" s="14" t="s">
        <v>605</v>
      </c>
    </row>
    <row r="32" spans="1:798" x14ac:dyDescent="0.25">
      <c r="A32" s="14">
        <v>116</v>
      </c>
      <c r="B32" s="14" t="s">
        <v>590</v>
      </c>
      <c r="C32" s="16">
        <f>VLOOKUP(A32,[4]RawData!Z:AA,2,FALSE)</f>
        <v>42760.325694444444</v>
      </c>
      <c r="D32" s="14" t="s">
        <v>765</v>
      </c>
      <c r="E32" s="14" t="s">
        <v>766</v>
      </c>
      <c r="F32" s="14" t="s">
        <v>767</v>
      </c>
      <c r="G32" s="14" t="s">
        <v>768</v>
      </c>
      <c r="H32" s="14" t="s">
        <v>769</v>
      </c>
      <c r="I32" s="14" t="s">
        <v>595</v>
      </c>
      <c r="J32" s="14" t="s">
        <v>596</v>
      </c>
      <c r="L32" s="14">
        <v>1</v>
      </c>
      <c r="P32" s="14">
        <v>497</v>
      </c>
      <c r="R32" s="14">
        <v>1699</v>
      </c>
      <c r="U32" s="14">
        <v>2196</v>
      </c>
      <c r="AB32" s="14">
        <v>0</v>
      </c>
      <c r="AI32" s="14">
        <v>0</v>
      </c>
      <c r="AP32" s="14">
        <v>0</v>
      </c>
      <c r="AW32" s="14">
        <v>0</v>
      </c>
      <c r="BD32" s="14">
        <v>0</v>
      </c>
      <c r="BE32" s="14">
        <v>0</v>
      </c>
      <c r="BF32" s="14">
        <v>497</v>
      </c>
      <c r="BG32" s="14">
        <v>0</v>
      </c>
      <c r="BH32" s="14">
        <v>1699</v>
      </c>
      <c r="BI32" s="14">
        <v>0</v>
      </c>
      <c r="BJ32" s="14">
        <v>0</v>
      </c>
      <c r="BK32" s="14">
        <v>2196</v>
      </c>
      <c r="BM32" s="14">
        <v>1</v>
      </c>
      <c r="BO32" s="14">
        <v>1</v>
      </c>
      <c r="BR32" s="14">
        <v>2</v>
      </c>
      <c r="BY32" s="14">
        <v>0</v>
      </c>
      <c r="CF32" s="14">
        <v>0</v>
      </c>
      <c r="CM32" s="14">
        <v>0</v>
      </c>
      <c r="CT32" s="14">
        <v>0</v>
      </c>
      <c r="DA32" s="14">
        <v>0</v>
      </c>
      <c r="DB32" s="14">
        <v>0</v>
      </c>
      <c r="DC32" s="14">
        <v>1</v>
      </c>
      <c r="DD32" s="14">
        <v>0</v>
      </c>
      <c r="DE32" s="14">
        <v>1</v>
      </c>
      <c r="DF32" s="14">
        <v>0</v>
      </c>
      <c r="DG32" s="14">
        <v>0</v>
      </c>
      <c r="DH32" s="14">
        <v>2</v>
      </c>
      <c r="DI32" s="14" t="s">
        <v>598</v>
      </c>
      <c r="DJ32" s="14" t="s">
        <v>597</v>
      </c>
      <c r="DK32" s="14" t="s">
        <v>598</v>
      </c>
      <c r="DL32" s="14" t="s">
        <v>597</v>
      </c>
      <c r="DM32" s="14" t="s">
        <v>598</v>
      </c>
      <c r="DN32" s="14" t="s">
        <v>598</v>
      </c>
      <c r="DO32" s="14" t="s">
        <v>598</v>
      </c>
      <c r="DP32" s="14" t="s">
        <v>598</v>
      </c>
      <c r="DQ32" s="14" t="s">
        <v>598</v>
      </c>
      <c r="DR32" s="14" t="s">
        <v>598</v>
      </c>
      <c r="DS32" s="14" t="s">
        <v>598</v>
      </c>
      <c r="DT32" s="14" t="s">
        <v>598</v>
      </c>
      <c r="DU32" s="14" t="s">
        <v>598</v>
      </c>
      <c r="DV32" s="14" t="s">
        <v>598</v>
      </c>
      <c r="DW32" s="14" t="s">
        <v>598</v>
      </c>
      <c r="DX32" s="14" t="s">
        <v>598</v>
      </c>
      <c r="DY32" s="14" t="s">
        <v>598</v>
      </c>
      <c r="DZ32" s="14" t="s">
        <v>598</v>
      </c>
      <c r="EA32" s="14" t="s">
        <v>598</v>
      </c>
      <c r="EB32" s="14" t="s">
        <v>598</v>
      </c>
      <c r="EC32" s="14" t="s">
        <v>598</v>
      </c>
      <c r="ED32" s="14" t="s">
        <v>598</v>
      </c>
      <c r="EE32" s="14" t="s">
        <v>598</v>
      </c>
      <c r="EF32" s="14" t="s">
        <v>598</v>
      </c>
      <c r="EG32" s="14" t="s">
        <v>598</v>
      </c>
      <c r="EH32" s="14" t="s">
        <v>598</v>
      </c>
      <c r="EI32" s="14" t="s">
        <v>598</v>
      </c>
      <c r="EJ32" s="14" t="s">
        <v>598</v>
      </c>
      <c r="EK32" s="14" t="s">
        <v>598</v>
      </c>
      <c r="EL32" s="14" t="s">
        <v>598</v>
      </c>
      <c r="EM32" s="14" t="s">
        <v>598</v>
      </c>
      <c r="EN32" s="14" t="s">
        <v>598</v>
      </c>
      <c r="EO32" s="14" t="s">
        <v>598</v>
      </c>
      <c r="EP32" s="14" t="s">
        <v>598</v>
      </c>
      <c r="EQ32" s="14" t="s">
        <v>598</v>
      </c>
      <c r="ER32" s="14" t="s">
        <v>598</v>
      </c>
      <c r="ET32" s="14">
        <v>497</v>
      </c>
      <c r="EY32" s="14">
        <v>497</v>
      </c>
      <c r="FC32" s="14">
        <v>1274</v>
      </c>
      <c r="FF32" s="14">
        <v>1274</v>
      </c>
      <c r="FJ32" s="14">
        <v>425</v>
      </c>
      <c r="FM32" s="14">
        <v>425</v>
      </c>
      <c r="FT32" s="14">
        <v>0</v>
      </c>
      <c r="GA32" s="14">
        <v>0</v>
      </c>
      <c r="GH32" s="14">
        <v>0</v>
      </c>
      <c r="GO32" s="14">
        <v>0</v>
      </c>
      <c r="GW32" s="14">
        <v>0</v>
      </c>
      <c r="GX32" s="14">
        <v>0</v>
      </c>
      <c r="GY32" s="14">
        <v>497</v>
      </c>
      <c r="GZ32" s="14">
        <v>0</v>
      </c>
      <c r="HA32" s="14">
        <v>1699</v>
      </c>
      <c r="HB32" s="14">
        <v>0</v>
      </c>
      <c r="HC32" s="14">
        <v>0</v>
      </c>
      <c r="HD32" s="14">
        <v>2196</v>
      </c>
      <c r="HH32" s="14">
        <v>1699</v>
      </c>
      <c r="HK32" s="14">
        <v>1699</v>
      </c>
      <c r="HR32" s="14">
        <v>0</v>
      </c>
      <c r="HT32" s="14">
        <v>497</v>
      </c>
      <c r="HY32" s="14">
        <v>497</v>
      </c>
      <c r="IF32" s="14">
        <v>0</v>
      </c>
      <c r="IM32" s="14">
        <v>0</v>
      </c>
      <c r="IN32" s="14">
        <v>0</v>
      </c>
      <c r="IO32" s="14">
        <v>497</v>
      </c>
      <c r="IP32" s="14">
        <v>0</v>
      </c>
      <c r="IQ32" s="14">
        <v>1699</v>
      </c>
      <c r="IR32" s="14">
        <v>0</v>
      </c>
      <c r="IS32" s="14">
        <v>0</v>
      </c>
      <c r="IT32" s="14">
        <v>2196</v>
      </c>
      <c r="IW32" s="14">
        <v>100</v>
      </c>
      <c r="IZ32" s="14">
        <v>1</v>
      </c>
      <c r="JA32" s="14">
        <v>3</v>
      </c>
      <c r="JB32" s="14">
        <v>1</v>
      </c>
      <c r="JC32" s="14" t="s">
        <v>600</v>
      </c>
      <c r="JE32" s="14">
        <v>497</v>
      </c>
      <c r="JJ32" s="14">
        <v>497</v>
      </c>
      <c r="JN32" s="14">
        <v>1274</v>
      </c>
      <c r="JQ32" s="14">
        <v>1274</v>
      </c>
      <c r="JU32" s="14">
        <v>425</v>
      </c>
      <c r="JX32" s="14">
        <v>425</v>
      </c>
      <c r="KE32" s="14">
        <v>0</v>
      </c>
      <c r="KL32" s="14">
        <v>0</v>
      </c>
      <c r="KS32" s="14">
        <v>0</v>
      </c>
      <c r="KZ32" s="14">
        <v>0</v>
      </c>
      <c r="LH32" s="14">
        <v>0</v>
      </c>
      <c r="LI32" s="14">
        <v>0</v>
      </c>
      <c r="LJ32" s="14">
        <v>497</v>
      </c>
      <c r="LK32" s="14">
        <v>0</v>
      </c>
      <c r="LL32" s="14">
        <v>1699</v>
      </c>
      <c r="LM32" s="14">
        <v>0</v>
      </c>
      <c r="LN32" s="14">
        <v>0</v>
      </c>
      <c r="LO32" s="14">
        <v>2196</v>
      </c>
      <c r="LV32" s="14">
        <v>0</v>
      </c>
      <c r="LZ32" s="14">
        <v>1699</v>
      </c>
      <c r="MC32" s="14">
        <v>1699</v>
      </c>
      <c r="ME32" s="14">
        <v>497</v>
      </c>
      <c r="MJ32" s="14">
        <v>497</v>
      </c>
      <c r="MQ32" s="14">
        <v>0</v>
      </c>
      <c r="MX32" s="14">
        <v>0</v>
      </c>
      <c r="MY32" s="14">
        <v>0</v>
      </c>
      <c r="MZ32" s="14">
        <v>497</v>
      </c>
      <c r="NA32" s="14">
        <v>0</v>
      </c>
      <c r="NB32" s="14">
        <v>1699</v>
      </c>
      <c r="NC32" s="14">
        <v>0</v>
      </c>
      <c r="ND32" s="14">
        <v>0</v>
      </c>
      <c r="NE32" s="14">
        <v>2196</v>
      </c>
      <c r="NF32" s="14" t="s">
        <v>601</v>
      </c>
      <c r="RI32" s="14" t="s">
        <v>602</v>
      </c>
      <c r="VL32" s="14" t="s">
        <v>603</v>
      </c>
      <c r="ZO32" s="14" t="s">
        <v>604</v>
      </c>
      <c r="ADR32" s="14" t="s">
        <v>605</v>
      </c>
    </row>
    <row r="33" spans="1:798" x14ac:dyDescent="0.25">
      <c r="A33" s="14">
        <v>85</v>
      </c>
      <c r="B33" s="14" t="s">
        <v>590</v>
      </c>
      <c r="C33" s="16">
        <f t="shared" ref="C33:C36" si="2">$C$3</f>
        <v>42780</v>
      </c>
      <c r="D33" s="14" t="s">
        <v>770</v>
      </c>
      <c r="E33" s="14" t="s">
        <v>771</v>
      </c>
      <c r="F33" s="14" t="s">
        <v>772</v>
      </c>
      <c r="G33" s="14" t="s">
        <v>773</v>
      </c>
      <c r="H33" s="14">
        <v>9737341461</v>
      </c>
      <c r="I33" s="14" t="s">
        <v>611</v>
      </c>
      <c r="J33" s="14" t="s">
        <v>596</v>
      </c>
      <c r="L33" s="14">
        <v>1</v>
      </c>
      <c r="O33" s="14">
        <v>162</v>
      </c>
      <c r="P33" s="14">
        <v>476</v>
      </c>
      <c r="U33" s="14">
        <v>638</v>
      </c>
      <c r="V33" s="14">
        <v>601</v>
      </c>
      <c r="W33" s="14">
        <v>174</v>
      </c>
      <c r="AA33" s="14">
        <v>694</v>
      </c>
      <c r="AB33" s="14">
        <v>1469</v>
      </c>
      <c r="AC33" s="14">
        <v>302</v>
      </c>
      <c r="AD33" s="14">
        <v>275</v>
      </c>
      <c r="AI33" s="14">
        <v>577</v>
      </c>
      <c r="AJ33" s="14">
        <v>15</v>
      </c>
      <c r="AP33" s="14">
        <v>15</v>
      </c>
      <c r="AW33" s="14">
        <v>0</v>
      </c>
      <c r="BD33" s="14">
        <v>0</v>
      </c>
      <c r="BE33" s="14">
        <v>1080</v>
      </c>
      <c r="BF33" s="14">
        <v>925</v>
      </c>
      <c r="BG33" s="14">
        <v>0</v>
      </c>
      <c r="BH33" s="14">
        <v>0</v>
      </c>
      <c r="BI33" s="14">
        <v>0</v>
      </c>
      <c r="BJ33" s="14">
        <v>694</v>
      </c>
      <c r="BK33" s="14">
        <v>2699</v>
      </c>
      <c r="BL33" s="14">
        <v>2</v>
      </c>
      <c r="BM33" s="14">
        <v>1</v>
      </c>
      <c r="BR33" s="14">
        <v>3</v>
      </c>
      <c r="BS33" s="14">
        <v>3</v>
      </c>
      <c r="BT33" s="14">
        <v>1</v>
      </c>
      <c r="BX33" s="14">
        <v>2</v>
      </c>
      <c r="BY33" s="14">
        <v>6</v>
      </c>
      <c r="BZ33" s="14">
        <v>3</v>
      </c>
      <c r="CA33" s="14">
        <v>1</v>
      </c>
      <c r="CF33" s="14">
        <v>4</v>
      </c>
      <c r="CG33" s="14">
        <v>1</v>
      </c>
      <c r="CM33" s="14">
        <v>1</v>
      </c>
      <c r="CT33" s="14">
        <v>0</v>
      </c>
      <c r="DA33" s="14">
        <v>0</v>
      </c>
      <c r="DB33" s="14">
        <v>9</v>
      </c>
      <c r="DC33" s="14">
        <v>3</v>
      </c>
      <c r="DD33" s="14">
        <v>0</v>
      </c>
      <c r="DE33" s="14">
        <v>0</v>
      </c>
      <c r="DF33" s="14">
        <v>0</v>
      </c>
      <c r="DG33" s="14">
        <v>2</v>
      </c>
      <c r="DH33" s="14">
        <v>14</v>
      </c>
      <c r="DI33" s="14" t="s">
        <v>597</v>
      </c>
      <c r="DJ33" s="14" t="s">
        <v>597</v>
      </c>
      <c r="DK33" s="14" t="s">
        <v>598</v>
      </c>
      <c r="DL33" s="14" t="s">
        <v>598</v>
      </c>
      <c r="DM33" s="14" t="s">
        <v>598</v>
      </c>
      <c r="DN33" s="14" t="s">
        <v>598</v>
      </c>
      <c r="DO33" s="14" t="s">
        <v>597</v>
      </c>
      <c r="DP33" s="14" t="s">
        <v>597</v>
      </c>
      <c r="DQ33" s="14" t="s">
        <v>598</v>
      </c>
      <c r="DR33" s="14" t="s">
        <v>598</v>
      </c>
      <c r="DS33" s="14" t="s">
        <v>598</v>
      </c>
      <c r="DT33" s="14" t="s">
        <v>597</v>
      </c>
      <c r="DU33" s="14" t="s">
        <v>597</v>
      </c>
      <c r="DV33" s="14" t="s">
        <v>597</v>
      </c>
      <c r="DW33" s="14" t="s">
        <v>598</v>
      </c>
      <c r="DX33" s="14" t="s">
        <v>598</v>
      </c>
      <c r="DY33" s="14" t="s">
        <v>598</v>
      </c>
      <c r="DZ33" s="14" t="s">
        <v>598</v>
      </c>
      <c r="EA33" s="14" t="s">
        <v>597</v>
      </c>
      <c r="EB33" s="14" t="s">
        <v>598</v>
      </c>
      <c r="EC33" s="14" t="s">
        <v>598</v>
      </c>
      <c r="ED33" s="14" t="s">
        <v>598</v>
      </c>
      <c r="EE33" s="14" t="s">
        <v>598</v>
      </c>
      <c r="EF33" s="14" t="s">
        <v>598</v>
      </c>
      <c r="EG33" s="14" t="s">
        <v>598</v>
      </c>
      <c r="EH33" s="14" t="s">
        <v>598</v>
      </c>
      <c r="EI33" s="14" t="s">
        <v>598</v>
      </c>
      <c r="EJ33" s="14" t="s">
        <v>598</v>
      </c>
      <c r="EK33" s="14" t="s">
        <v>598</v>
      </c>
      <c r="EL33" s="14" t="s">
        <v>598</v>
      </c>
      <c r="EM33" s="14" t="s">
        <v>598</v>
      </c>
      <c r="EN33" s="14" t="s">
        <v>598</v>
      </c>
      <c r="EO33" s="14" t="s">
        <v>598</v>
      </c>
      <c r="EP33" s="14" t="s">
        <v>598</v>
      </c>
      <c r="EQ33" s="14" t="s">
        <v>598</v>
      </c>
      <c r="ER33" s="14" t="s">
        <v>598</v>
      </c>
      <c r="ES33" s="14">
        <v>360</v>
      </c>
      <c r="ET33" s="14">
        <v>245</v>
      </c>
      <c r="EX33" s="14">
        <v>508</v>
      </c>
      <c r="EY33" s="14">
        <v>1113</v>
      </c>
      <c r="EZ33" s="14">
        <v>164</v>
      </c>
      <c r="FA33" s="14">
        <v>228</v>
      </c>
      <c r="FE33" s="14">
        <v>37</v>
      </c>
      <c r="FF33" s="14">
        <v>429</v>
      </c>
      <c r="FG33" s="14">
        <v>148</v>
      </c>
      <c r="FH33" s="14">
        <v>442</v>
      </c>
      <c r="FL33" s="14">
        <v>104</v>
      </c>
      <c r="FM33" s="14">
        <v>694</v>
      </c>
      <c r="FT33" s="14">
        <v>0</v>
      </c>
      <c r="FU33" s="14">
        <v>42</v>
      </c>
      <c r="FZ33" s="14">
        <v>37</v>
      </c>
      <c r="GA33" s="14">
        <v>79</v>
      </c>
      <c r="GB33" s="14">
        <v>3</v>
      </c>
      <c r="GG33" s="14">
        <v>9</v>
      </c>
      <c r="GH33" s="14">
        <v>12</v>
      </c>
      <c r="GO33" s="14">
        <v>0</v>
      </c>
      <c r="GQ33" s="14">
        <v>372</v>
      </c>
      <c r="GW33" s="14">
        <v>372</v>
      </c>
      <c r="GX33" s="14">
        <v>1089</v>
      </c>
      <c r="GY33" s="14">
        <v>915</v>
      </c>
      <c r="GZ33" s="14">
        <v>0</v>
      </c>
      <c r="HA33" s="14">
        <v>0</v>
      </c>
      <c r="HB33" s="14">
        <v>0</v>
      </c>
      <c r="HC33" s="14">
        <v>695</v>
      </c>
      <c r="HD33" s="14">
        <v>2699</v>
      </c>
      <c r="HE33" s="14">
        <v>137</v>
      </c>
      <c r="HF33" s="14">
        <v>34</v>
      </c>
      <c r="HJ33" s="14">
        <v>15</v>
      </c>
      <c r="HK33" s="14">
        <v>186</v>
      </c>
      <c r="HL33" s="14">
        <v>675</v>
      </c>
      <c r="HM33" s="14">
        <v>453.69991400000004</v>
      </c>
      <c r="HQ33" s="14">
        <v>130</v>
      </c>
      <c r="HR33" s="14">
        <v>1274</v>
      </c>
      <c r="HS33" s="14">
        <v>277</v>
      </c>
      <c r="HT33" s="14">
        <v>413</v>
      </c>
      <c r="HX33" s="14">
        <v>549</v>
      </c>
      <c r="HY33" s="14">
        <v>1239</v>
      </c>
      <c r="IF33" s="14">
        <v>0</v>
      </c>
      <c r="IM33" s="14">
        <v>0</v>
      </c>
      <c r="IN33" s="14">
        <v>1089</v>
      </c>
      <c r="IO33" s="14">
        <v>916</v>
      </c>
      <c r="IP33" s="14">
        <v>0</v>
      </c>
      <c r="IQ33" s="14">
        <v>0</v>
      </c>
      <c r="IR33" s="14">
        <v>0</v>
      </c>
      <c r="IS33" s="14">
        <v>694</v>
      </c>
      <c r="IT33" s="14">
        <v>2699</v>
      </c>
      <c r="IU33" s="14">
        <v>0.5</v>
      </c>
      <c r="IW33" s="14">
        <v>99.5</v>
      </c>
      <c r="IZ33" s="14">
        <v>1</v>
      </c>
      <c r="JA33" s="14">
        <v>3</v>
      </c>
      <c r="JB33" s="14">
        <v>1</v>
      </c>
      <c r="JC33" s="14" t="s">
        <v>600</v>
      </c>
      <c r="NF33" s="14" t="s">
        <v>601</v>
      </c>
      <c r="RI33" s="14" t="s">
        <v>602</v>
      </c>
      <c r="VL33" s="14" t="s">
        <v>603</v>
      </c>
      <c r="ZO33" s="14" t="s">
        <v>604</v>
      </c>
      <c r="ADR33" s="14" t="s">
        <v>605</v>
      </c>
    </row>
    <row r="34" spans="1:798" x14ac:dyDescent="0.25">
      <c r="A34" s="14">
        <v>91</v>
      </c>
      <c r="B34" s="14" t="s">
        <v>590</v>
      </c>
      <c r="C34" s="16">
        <f t="shared" si="2"/>
        <v>42780</v>
      </c>
      <c r="D34" s="14" t="s">
        <v>774</v>
      </c>
      <c r="E34" s="14" t="s">
        <v>774</v>
      </c>
      <c r="F34" s="14" t="s">
        <v>775</v>
      </c>
      <c r="G34" s="14" t="s">
        <v>776</v>
      </c>
      <c r="H34" s="14">
        <v>2261513460</v>
      </c>
      <c r="I34" s="14" t="s">
        <v>777</v>
      </c>
      <c r="J34" s="14" t="s">
        <v>778</v>
      </c>
      <c r="L34" s="14">
        <v>1</v>
      </c>
      <c r="O34" s="14">
        <v>1420</v>
      </c>
      <c r="P34" s="14">
        <v>840</v>
      </c>
      <c r="U34" s="14">
        <v>2260</v>
      </c>
      <c r="AB34" s="14">
        <v>0</v>
      </c>
      <c r="AI34" s="14">
        <v>0</v>
      </c>
      <c r="AP34" s="14">
        <v>0</v>
      </c>
      <c r="AW34" s="14">
        <v>0</v>
      </c>
      <c r="BD34" s="14">
        <v>0</v>
      </c>
      <c r="BE34" s="14">
        <v>1420</v>
      </c>
      <c r="BF34" s="14">
        <v>840</v>
      </c>
      <c r="BG34" s="14">
        <v>0</v>
      </c>
      <c r="BH34" s="14">
        <v>0</v>
      </c>
      <c r="BI34" s="14">
        <v>0</v>
      </c>
      <c r="BJ34" s="14">
        <v>0</v>
      </c>
      <c r="BK34" s="14">
        <v>2260</v>
      </c>
      <c r="BL34" s="14">
        <v>1</v>
      </c>
      <c r="BM34" s="14">
        <v>1</v>
      </c>
      <c r="BR34" s="14">
        <v>2</v>
      </c>
      <c r="BY34" s="14">
        <v>0</v>
      </c>
      <c r="CF34" s="14">
        <v>0</v>
      </c>
      <c r="CM34" s="14">
        <v>0</v>
      </c>
      <c r="CT34" s="14">
        <v>0</v>
      </c>
      <c r="DA34" s="14">
        <v>0</v>
      </c>
      <c r="DB34" s="14">
        <v>1</v>
      </c>
      <c r="DC34" s="14">
        <v>1</v>
      </c>
      <c r="DD34" s="14">
        <v>0</v>
      </c>
      <c r="DE34" s="14">
        <v>0</v>
      </c>
      <c r="DF34" s="14">
        <v>0</v>
      </c>
      <c r="DG34" s="14">
        <v>0</v>
      </c>
      <c r="DH34" s="14">
        <v>2</v>
      </c>
      <c r="DI34" s="14" t="s">
        <v>597</v>
      </c>
      <c r="DJ34" s="14" t="s">
        <v>597</v>
      </c>
      <c r="DK34" s="14" t="s">
        <v>598</v>
      </c>
      <c r="DL34" s="14" t="s">
        <v>598</v>
      </c>
      <c r="DM34" s="14" t="s">
        <v>598</v>
      </c>
      <c r="DN34" s="14" t="s">
        <v>598</v>
      </c>
      <c r="DO34" s="14" t="s">
        <v>598</v>
      </c>
      <c r="DP34" s="14" t="s">
        <v>598</v>
      </c>
      <c r="DQ34" s="14" t="s">
        <v>598</v>
      </c>
      <c r="DR34" s="14" t="s">
        <v>598</v>
      </c>
      <c r="DS34" s="14" t="s">
        <v>598</v>
      </c>
      <c r="DT34" s="14" t="s">
        <v>598</v>
      </c>
      <c r="DU34" s="14" t="s">
        <v>598</v>
      </c>
      <c r="DV34" s="14" t="s">
        <v>598</v>
      </c>
      <c r="DW34" s="14" t="s">
        <v>598</v>
      </c>
      <c r="DX34" s="14" t="s">
        <v>598</v>
      </c>
      <c r="DY34" s="14" t="s">
        <v>598</v>
      </c>
      <c r="DZ34" s="14" t="s">
        <v>598</v>
      </c>
      <c r="EA34" s="14" t="s">
        <v>598</v>
      </c>
      <c r="EB34" s="14" t="s">
        <v>598</v>
      </c>
      <c r="EC34" s="14" t="s">
        <v>598</v>
      </c>
      <c r="ED34" s="14" t="s">
        <v>598</v>
      </c>
      <c r="EE34" s="14" t="s">
        <v>598</v>
      </c>
      <c r="EF34" s="14" t="s">
        <v>598</v>
      </c>
      <c r="EG34" s="14" t="s">
        <v>598</v>
      </c>
      <c r="EH34" s="14" t="s">
        <v>598</v>
      </c>
      <c r="EI34" s="14" t="s">
        <v>598</v>
      </c>
      <c r="EJ34" s="14" t="s">
        <v>598</v>
      </c>
      <c r="EK34" s="14" t="s">
        <v>598</v>
      </c>
      <c r="EL34" s="14" t="s">
        <v>598</v>
      </c>
      <c r="EM34" s="14" t="s">
        <v>598</v>
      </c>
      <c r="EN34" s="14" t="s">
        <v>598</v>
      </c>
      <c r="EO34" s="14" t="s">
        <v>598</v>
      </c>
      <c r="EP34" s="14" t="s">
        <v>598</v>
      </c>
      <c r="EQ34" s="14" t="s">
        <v>598</v>
      </c>
      <c r="ER34" s="14" t="s">
        <v>598</v>
      </c>
      <c r="EY34" s="14">
        <v>0</v>
      </c>
      <c r="FF34" s="14">
        <v>0</v>
      </c>
      <c r="FM34" s="14">
        <v>0</v>
      </c>
      <c r="FT34" s="14">
        <v>0</v>
      </c>
      <c r="GA34" s="14">
        <v>0</v>
      </c>
      <c r="GH34" s="14">
        <v>0</v>
      </c>
      <c r="GI34" s="14">
        <v>2260</v>
      </c>
      <c r="GO34" s="14">
        <v>2260</v>
      </c>
      <c r="GW34" s="14">
        <v>0</v>
      </c>
      <c r="GX34" s="14">
        <v>2260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2260</v>
      </c>
      <c r="HE34" s="14">
        <v>1420</v>
      </c>
      <c r="HF34" s="14">
        <v>840</v>
      </c>
      <c r="HK34" s="14">
        <v>2260</v>
      </c>
      <c r="HR34" s="14">
        <v>0</v>
      </c>
      <c r="HY34" s="14">
        <v>0</v>
      </c>
      <c r="IF34" s="14">
        <v>0</v>
      </c>
      <c r="IM34" s="14">
        <v>0</v>
      </c>
      <c r="IN34" s="14">
        <v>1420</v>
      </c>
      <c r="IO34" s="14">
        <v>840</v>
      </c>
      <c r="IP34" s="14">
        <v>0</v>
      </c>
      <c r="IQ34" s="14">
        <v>0</v>
      </c>
      <c r="IR34" s="14">
        <v>0</v>
      </c>
      <c r="IS34" s="14">
        <v>0</v>
      </c>
      <c r="IT34" s="14">
        <v>2260</v>
      </c>
      <c r="IU34" s="14">
        <v>100</v>
      </c>
      <c r="IZ34" s="14">
        <v>1</v>
      </c>
      <c r="JA34" s="14">
        <v>1</v>
      </c>
      <c r="JB34" s="14">
        <v>2</v>
      </c>
      <c r="JC34" s="14" t="s">
        <v>600</v>
      </c>
      <c r="JJ34" s="14">
        <v>0</v>
      </c>
      <c r="JQ34" s="14">
        <v>0</v>
      </c>
      <c r="JX34" s="14">
        <v>0</v>
      </c>
      <c r="KE34" s="14">
        <v>0</v>
      </c>
      <c r="KL34" s="14">
        <v>0</v>
      </c>
      <c r="KS34" s="14">
        <v>0</v>
      </c>
      <c r="KT34" s="14">
        <v>2260</v>
      </c>
      <c r="KZ34" s="14">
        <v>2260</v>
      </c>
      <c r="LH34" s="14">
        <v>0</v>
      </c>
      <c r="LI34" s="14">
        <v>2260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2260</v>
      </c>
      <c r="LV34" s="14">
        <v>0</v>
      </c>
      <c r="LW34" s="14">
        <v>2260</v>
      </c>
      <c r="MC34" s="14">
        <v>2260</v>
      </c>
      <c r="MJ34" s="14">
        <v>0</v>
      </c>
      <c r="MQ34" s="14">
        <v>0</v>
      </c>
      <c r="MX34" s="14">
        <v>0</v>
      </c>
      <c r="MY34" s="14">
        <v>2260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2260</v>
      </c>
      <c r="NF34" s="14" t="s">
        <v>601</v>
      </c>
      <c r="RI34" s="14" t="s">
        <v>602</v>
      </c>
      <c r="VL34" s="14" t="s">
        <v>603</v>
      </c>
      <c r="ZO34" s="14" t="s">
        <v>604</v>
      </c>
      <c r="ADR34" s="14" t="s">
        <v>605</v>
      </c>
    </row>
    <row r="35" spans="1:798" x14ac:dyDescent="0.25">
      <c r="A35" s="14">
        <v>229</v>
      </c>
      <c r="B35" s="14" t="s">
        <v>590</v>
      </c>
      <c r="C35" s="16">
        <f t="shared" si="2"/>
        <v>42780</v>
      </c>
      <c r="D35" s="14" t="s">
        <v>779</v>
      </c>
      <c r="E35" s="14" t="s">
        <v>780</v>
      </c>
      <c r="F35" s="14" t="s">
        <v>781</v>
      </c>
      <c r="G35" s="14" t="s">
        <v>782</v>
      </c>
      <c r="H35" s="14">
        <v>61477309659</v>
      </c>
      <c r="I35" s="14" t="s">
        <v>624</v>
      </c>
      <c r="J35" s="14" t="s">
        <v>625</v>
      </c>
      <c r="L35" s="14">
        <v>2</v>
      </c>
      <c r="M35" s="14">
        <v>6</v>
      </c>
      <c r="N35" s="14" t="s">
        <v>783</v>
      </c>
      <c r="U35" s="14">
        <v>0</v>
      </c>
      <c r="AB35" s="14">
        <v>0</v>
      </c>
      <c r="AI35" s="14">
        <v>0</v>
      </c>
      <c r="AP35" s="14">
        <v>0</v>
      </c>
      <c r="AW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R35" s="14">
        <v>0</v>
      </c>
      <c r="BY35" s="14">
        <v>0</v>
      </c>
      <c r="CF35" s="14">
        <v>0</v>
      </c>
      <c r="CM35" s="14">
        <v>0</v>
      </c>
      <c r="CT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 t="s">
        <v>598</v>
      </c>
      <c r="DJ35" s="14" t="s">
        <v>598</v>
      </c>
      <c r="DK35" s="14" t="s">
        <v>598</v>
      </c>
      <c r="DL35" s="14" t="s">
        <v>598</v>
      </c>
      <c r="DM35" s="14" t="s">
        <v>598</v>
      </c>
      <c r="DN35" s="14" t="s">
        <v>598</v>
      </c>
      <c r="DO35" s="14" t="s">
        <v>598</v>
      </c>
      <c r="DP35" s="14" t="s">
        <v>598</v>
      </c>
      <c r="DQ35" s="14" t="s">
        <v>598</v>
      </c>
      <c r="DR35" s="14" t="s">
        <v>598</v>
      </c>
      <c r="DS35" s="14" t="s">
        <v>598</v>
      </c>
      <c r="DT35" s="14" t="s">
        <v>598</v>
      </c>
      <c r="DU35" s="14" t="s">
        <v>598</v>
      </c>
      <c r="DV35" s="14" t="s">
        <v>598</v>
      </c>
      <c r="DW35" s="14" t="s">
        <v>598</v>
      </c>
      <c r="DX35" s="14" t="s">
        <v>598</v>
      </c>
      <c r="DY35" s="14" t="s">
        <v>598</v>
      </c>
      <c r="DZ35" s="14" t="s">
        <v>598</v>
      </c>
      <c r="EA35" s="14" t="s">
        <v>598</v>
      </c>
      <c r="EB35" s="14" t="s">
        <v>598</v>
      </c>
      <c r="EC35" s="14" t="s">
        <v>598</v>
      </c>
      <c r="ED35" s="14" t="s">
        <v>598</v>
      </c>
      <c r="EE35" s="14" t="s">
        <v>598</v>
      </c>
      <c r="EF35" s="14" t="s">
        <v>598</v>
      </c>
      <c r="EG35" s="14" t="s">
        <v>598</v>
      </c>
      <c r="EH35" s="14" t="s">
        <v>598</v>
      </c>
      <c r="EI35" s="14" t="s">
        <v>598</v>
      </c>
      <c r="EJ35" s="14" t="s">
        <v>598</v>
      </c>
      <c r="EK35" s="14" t="s">
        <v>598</v>
      </c>
      <c r="EL35" s="14" t="s">
        <v>598</v>
      </c>
      <c r="EM35" s="14" t="s">
        <v>598</v>
      </c>
      <c r="EN35" s="14" t="s">
        <v>598</v>
      </c>
      <c r="EO35" s="14" t="s">
        <v>598</v>
      </c>
      <c r="EP35" s="14" t="s">
        <v>598</v>
      </c>
      <c r="EQ35" s="14" t="s">
        <v>598</v>
      </c>
      <c r="ER35" s="14" t="s">
        <v>598</v>
      </c>
      <c r="EY35" s="14">
        <v>0</v>
      </c>
      <c r="FF35" s="14">
        <v>0</v>
      </c>
      <c r="FM35" s="14">
        <v>0</v>
      </c>
      <c r="FT35" s="14">
        <v>0</v>
      </c>
      <c r="GA35" s="14">
        <v>0</v>
      </c>
      <c r="GH35" s="14">
        <v>0</v>
      </c>
      <c r="GO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K35" s="14">
        <v>0</v>
      </c>
      <c r="HR35" s="14">
        <v>0</v>
      </c>
      <c r="HY35" s="14">
        <v>0</v>
      </c>
      <c r="IF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Z35" s="14">
        <v>1</v>
      </c>
      <c r="JA35" s="14">
        <v>1</v>
      </c>
      <c r="JB35" s="14">
        <v>1</v>
      </c>
      <c r="JC35" s="14" t="s">
        <v>600</v>
      </c>
      <c r="NF35" s="14" t="s">
        <v>601</v>
      </c>
      <c r="RI35" s="14" t="s">
        <v>602</v>
      </c>
      <c r="VL35" s="14" t="s">
        <v>603</v>
      </c>
      <c r="ZO35" s="14" t="s">
        <v>604</v>
      </c>
      <c r="ADR35" s="14" t="s">
        <v>605</v>
      </c>
    </row>
    <row r="36" spans="1:798" x14ac:dyDescent="0.25">
      <c r="A36" s="14">
        <v>235</v>
      </c>
      <c r="B36" s="14" t="s">
        <v>590</v>
      </c>
      <c r="C36" s="16">
        <f t="shared" si="2"/>
        <v>42780</v>
      </c>
      <c r="D36" s="14" t="s">
        <v>784</v>
      </c>
      <c r="E36" s="14" t="s">
        <v>785</v>
      </c>
      <c r="F36" s="14" t="s">
        <v>786</v>
      </c>
      <c r="G36" s="14" t="s">
        <v>787</v>
      </c>
      <c r="H36" s="14" t="s">
        <v>788</v>
      </c>
      <c r="I36" s="14" t="s">
        <v>738</v>
      </c>
      <c r="J36" s="14" t="s">
        <v>739</v>
      </c>
      <c r="L36" s="14">
        <v>1</v>
      </c>
      <c r="R36" s="14">
        <v>25676</v>
      </c>
      <c r="U36" s="14">
        <v>25676</v>
      </c>
      <c r="AB36" s="14">
        <v>0</v>
      </c>
      <c r="AI36" s="14">
        <v>0</v>
      </c>
      <c r="AP36" s="14">
        <v>0</v>
      </c>
      <c r="AW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25676</v>
      </c>
      <c r="BI36" s="14">
        <v>0</v>
      </c>
      <c r="BJ36" s="14">
        <v>0</v>
      </c>
      <c r="BK36" s="14">
        <v>25676</v>
      </c>
      <c r="BO36" s="14">
        <v>1</v>
      </c>
      <c r="BR36" s="14">
        <v>1</v>
      </c>
      <c r="BY36" s="14">
        <v>0</v>
      </c>
      <c r="CF36" s="14">
        <v>0</v>
      </c>
      <c r="CM36" s="14">
        <v>0</v>
      </c>
      <c r="CT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1</v>
      </c>
      <c r="DF36" s="14">
        <v>0</v>
      </c>
      <c r="DG36" s="14">
        <v>0</v>
      </c>
      <c r="DH36" s="14">
        <v>1</v>
      </c>
      <c r="DI36" s="14" t="s">
        <v>598</v>
      </c>
      <c r="DJ36" s="14" t="s">
        <v>598</v>
      </c>
      <c r="DK36" s="14" t="s">
        <v>598</v>
      </c>
      <c r="DL36" s="14" t="s">
        <v>597</v>
      </c>
      <c r="DM36" s="14" t="s">
        <v>598</v>
      </c>
      <c r="DN36" s="14" t="s">
        <v>598</v>
      </c>
      <c r="DO36" s="14" t="s">
        <v>598</v>
      </c>
      <c r="DP36" s="14" t="s">
        <v>598</v>
      </c>
      <c r="DQ36" s="14" t="s">
        <v>598</v>
      </c>
      <c r="DR36" s="14" t="s">
        <v>598</v>
      </c>
      <c r="DS36" s="14" t="s">
        <v>598</v>
      </c>
      <c r="DT36" s="14" t="s">
        <v>598</v>
      </c>
      <c r="DU36" s="14" t="s">
        <v>598</v>
      </c>
      <c r="DV36" s="14" t="s">
        <v>598</v>
      </c>
      <c r="DW36" s="14" t="s">
        <v>598</v>
      </c>
      <c r="DX36" s="14" t="s">
        <v>598</v>
      </c>
      <c r="DY36" s="14" t="s">
        <v>598</v>
      </c>
      <c r="DZ36" s="14" t="s">
        <v>598</v>
      </c>
      <c r="EA36" s="14" t="s">
        <v>598</v>
      </c>
      <c r="EB36" s="14" t="s">
        <v>598</v>
      </c>
      <c r="EC36" s="14" t="s">
        <v>598</v>
      </c>
      <c r="ED36" s="14" t="s">
        <v>598</v>
      </c>
      <c r="EE36" s="14" t="s">
        <v>598</v>
      </c>
      <c r="EF36" s="14" t="s">
        <v>598</v>
      </c>
      <c r="EG36" s="14" t="s">
        <v>598</v>
      </c>
      <c r="EH36" s="14" t="s">
        <v>598</v>
      </c>
      <c r="EI36" s="14" t="s">
        <v>598</v>
      </c>
      <c r="EJ36" s="14" t="s">
        <v>598</v>
      </c>
      <c r="EK36" s="14" t="s">
        <v>598</v>
      </c>
      <c r="EL36" s="14" t="s">
        <v>598</v>
      </c>
      <c r="EM36" s="14" t="s">
        <v>598</v>
      </c>
      <c r="EN36" s="14" t="s">
        <v>598</v>
      </c>
      <c r="EO36" s="14" t="s">
        <v>598</v>
      </c>
      <c r="EP36" s="14" t="s">
        <v>598</v>
      </c>
      <c r="EQ36" s="14" t="s">
        <v>598</v>
      </c>
      <c r="ER36" s="14" t="s">
        <v>598</v>
      </c>
      <c r="EV36" s="14">
        <v>24500</v>
      </c>
      <c r="EY36" s="14">
        <v>24500</v>
      </c>
      <c r="FF36" s="14">
        <v>0</v>
      </c>
      <c r="FM36" s="14">
        <v>0</v>
      </c>
      <c r="FT36" s="14">
        <v>0</v>
      </c>
      <c r="GA36" s="14">
        <v>0</v>
      </c>
      <c r="GH36" s="14">
        <v>0</v>
      </c>
      <c r="GO36" s="14">
        <v>0</v>
      </c>
      <c r="GT36" s="14">
        <v>1176</v>
      </c>
      <c r="GW36" s="14">
        <v>1176</v>
      </c>
      <c r="GX36" s="14">
        <v>0</v>
      </c>
      <c r="GY36" s="14">
        <v>0</v>
      </c>
      <c r="GZ36" s="14">
        <v>0</v>
      </c>
      <c r="HA36" s="14">
        <v>25676</v>
      </c>
      <c r="HB36" s="14">
        <v>0</v>
      </c>
      <c r="HC36" s="14">
        <v>0</v>
      </c>
      <c r="HD36" s="14">
        <v>25676</v>
      </c>
      <c r="HH36" s="14">
        <v>1176</v>
      </c>
      <c r="HK36" s="14">
        <v>1176</v>
      </c>
      <c r="HO36" s="14">
        <v>24500</v>
      </c>
      <c r="HR36" s="14">
        <v>24500</v>
      </c>
      <c r="HY36" s="14">
        <v>0</v>
      </c>
      <c r="IF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25676</v>
      </c>
      <c r="IR36" s="14">
        <v>0</v>
      </c>
      <c r="IS36" s="14">
        <v>0</v>
      </c>
      <c r="IT36" s="14">
        <v>25676</v>
      </c>
      <c r="IV36" s="14">
        <v>95.2</v>
      </c>
      <c r="IY36" s="14">
        <v>4.8</v>
      </c>
      <c r="IZ36" s="14">
        <v>1</v>
      </c>
      <c r="JA36" s="14">
        <v>1</v>
      </c>
      <c r="JB36" s="14">
        <v>1</v>
      </c>
      <c r="JC36" s="14" t="s">
        <v>600</v>
      </c>
      <c r="JG36" s="14">
        <v>24500</v>
      </c>
      <c r="JJ36" s="14">
        <v>24500</v>
      </c>
      <c r="JQ36" s="14">
        <v>0</v>
      </c>
      <c r="JX36" s="14">
        <v>0</v>
      </c>
      <c r="KE36" s="14">
        <v>0</v>
      </c>
      <c r="KL36" s="14">
        <v>0</v>
      </c>
      <c r="KS36" s="14">
        <v>0</v>
      </c>
      <c r="KZ36" s="14">
        <v>0</v>
      </c>
      <c r="LE36" s="14">
        <v>1176</v>
      </c>
      <c r="LH36" s="14">
        <v>1176</v>
      </c>
      <c r="LI36" s="14">
        <v>0</v>
      </c>
      <c r="LJ36" s="14">
        <v>0</v>
      </c>
      <c r="LK36" s="14">
        <v>0</v>
      </c>
      <c r="LL36" s="14">
        <v>25676</v>
      </c>
      <c r="LM36" s="14">
        <v>0</v>
      </c>
      <c r="LN36" s="14">
        <v>0</v>
      </c>
      <c r="LO36" s="14">
        <v>25676</v>
      </c>
      <c r="LS36" s="14">
        <v>24500</v>
      </c>
      <c r="LV36" s="14">
        <v>24500</v>
      </c>
      <c r="LZ36" s="14">
        <v>1176</v>
      </c>
      <c r="MC36" s="14">
        <v>1176</v>
      </c>
      <c r="MJ36" s="14">
        <v>0</v>
      </c>
      <c r="MQ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25676</v>
      </c>
      <c r="NC36" s="14">
        <v>0</v>
      </c>
      <c r="ND36" s="14">
        <v>0</v>
      </c>
      <c r="NE36" s="14">
        <v>25676</v>
      </c>
      <c r="NF36" s="14" t="s">
        <v>601</v>
      </c>
      <c r="RI36" s="14" t="s">
        <v>602</v>
      </c>
      <c r="VL36" s="14" t="s">
        <v>603</v>
      </c>
      <c r="ZO36" s="14" t="s">
        <v>604</v>
      </c>
      <c r="ADR36" s="14" t="s">
        <v>605</v>
      </c>
    </row>
    <row r="37" spans="1:798" x14ac:dyDescent="0.25">
      <c r="A37" s="14">
        <v>75</v>
      </c>
      <c r="B37" s="14" t="s">
        <v>590</v>
      </c>
      <c r="C37" s="16">
        <f>VLOOKUP(A37,[4]RawData!Z:AA,2,FALSE)</f>
        <v>42772.365277777775</v>
      </c>
      <c r="D37" s="14" t="s">
        <v>789</v>
      </c>
      <c r="E37" s="14" t="s">
        <v>790</v>
      </c>
      <c r="F37" s="14" t="s">
        <v>791</v>
      </c>
      <c r="G37" s="14" t="s">
        <v>792</v>
      </c>
      <c r="H37" s="14" t="s">
        <v>793</v>
      </c>
      <c r="I37" s="14" t="s">
        <v>618</v>
      </c>
      <c r="J37" s="14" t="s">
        <v>596</v>
      </c>
      <c r="L37" s="14">
        <v>1</v>
      </c>
      <c r="O37" s="14">
        <v>70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70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70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70</v>
      </c>
      <c r="BL37" s="14">
        <v>1</v>
      </c>
      <c r="BR37" s="14">
        <v>1</v>
      </c>
      <c r="BY37" s="14">
        <v>0</v>
      </c>
      <c r="CF37" s="14">
        <v>0</v>
      </c>
      <c r="CM37" s="14">
        <v>0</v>
      </c>
      <c r="CT37" s="14">
        <v>0</v>
      </c>
      <c r="DA37" s="14">
        <v>0</v>
      </c>
      <c r="DB37" s="14">
        <v>1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1</v>
      </c>
      <c r="DI37" s="14" t="s">
        <v>597</v>
      </c>
      <c r="DJ37" s="14" t="s">
        <v>598</v>
      </c>
      <c r="DK37" s="14" t="s">
        <v>598</v>
      </c>
      <c r="DL37" s="14" t="s">
        <v>598</v>
      </c>
      <c r="DM37" s="14" t="s">
        <v>598</v>
      </c>
      <c r="DN37" s="14" t="s">
        <v>598</v>
      </c>
      <c r="DO37" s="14" t="s">
        <v>598</v>
      </c>
      <c r="DP37" s="14" t="s">
        <v>598</v>
      </c>
      <c r="DQ37" s="14" t="s">
        <v>598</v>
      </c>
      <c r="DR37" s="14" t="s">
        <v>598</v>
      </c>
      <c r="DS37" s="14" t="s">
        <v>598</v>
      </c>
      <c r="DT37" s="14" t="s">
        <v>598</v>
      </c>
      <c r="DU37" s="14" t="s">
        <v>598</v>
      </c>
      <c r="DV37" s="14" t="s">
        <v>598</v>
      </c>
      <c r="DW37" s="14" t="s">
        <v>598</v>
      </c>
      <c r="DX37" s="14" t="s">
        <v>598</v>
      </c>
      <c r="DY37" s="14" t="s">
        <v>598</v>
      </c>
      <c r="DZ37" s="14" t="s">
        <v>598</v>
      </c>
      <c r="EA37" s="14" t="s">
        <v>598</v>
      </c>
      <c r="EB37" s="14" t="s">
        <v>598</v>
      </c>
      <c r="EC37" s="14" t="s">
        <v>598</v>
      </c>
      <c r="ED37" s="14" t="s">
        <v>598</v>
      </c>
      <c r="EE37" s="14" t="s">
        <v>598</v>
      </c>
      <c r="EF37" s="14" t="s">
        <v>598</v>
      </c>
      <c r="EG37" s="14" t="s">
        <v>598</v>
      </c>
      <c r="EH37" s="14" t="s">
        <v>598</v>
      </c>
      <c r="EI37" s="14" t="s">
        <v>598</v>
      </c>
      <c r="EJ37" s="14" t="s">
        <v>598</v>
      </c>
      <c r="EK37" s="14" t="s">
        <v>598</v>
      </c>
      <c r="EL37" s="14" t="s">
        <v>598</v>
      </c>
      <c r="EM37" s="14" t="s">
        <v>598</v>
      </c>
      <c r="EN37" s="14" t="s">
        <v>598</v>
      </c>
      <c r="EO37" s="14" t="s">
        <v>598</v>
      </c>
      <c r="EP37" s="14" t="s">
        <v>598</v>
      </c>
      <c r="EQ37" s="14" t="s">
        <v>598</v>
      </c>
      <c r="ER37" s="14" t="s">
        <v>598</v>
      </c>
      <c r="ES37" s="14">
        <v>70</v>
      </c>
      <c r="EY37" s="14">
        <v>70</v>
      </c>
      <c r="EZ37" s="14">
        <v>0</v>
      </c>
      <c r="FF37" s="14">
        <v>0</v>
      </c>
      <c r="FG37" s="14">
        <v>0</v>
      </c>
      <c r="FM37" s="14">
        <v>0</v>
      </c>
      <c r="FN37" s="14">
        <v>0</v>
      </c>
      <c r="FT37" s="14">
        <v>0</v>
      </c>
      <c r="FU37" s="14">
        <v>0</v>
      </c>
      <c r="GA37" s="14">
        <v>0</v>
      </c>
      <c r="GB37" s="14">
        <v>0</v>
      </c>
      <c r="GH37" s="14">
        <v>0</v>
      </c>
      <c r="GI37" s="14">
        <v>0</v>
      </c>
      <c r="GO37" s="14">
        <v>0</v>
      </c>
      <c r="GQ37" s="14">
        <v>0</v>
      </c>
      <c r="GW37" s="14">
        <v>0</v>
      </c>
      <c r="GX37" s="14">
        <v>70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70</v>
      </c>
      <c r="HE37" s="14">
        <v>60</v>
      </c>
      <c r="HK37" s="14">
        <v>60</v>
      </c>
      <c r="HL37" s="14">
        <v>10</v>
      </c>
      <c r="HR37" s="14">
        <v>10</v>
      </c>
      <c r="HS37" s="14">
        <v>0</v>
      </c>
      <c r="HY37" s="14">
        <v>0</v>
      </c>
      <c r="HZ37" s="14">
        <v>0</v>
      </c>
      <c r="IF37" s="14">
        <v>0</v>
      </c>
      <c r="IG37" s="14">
        <v>0</v>
      </c>
      <c r="IM37" s="14">
        <v>0</v>
      </c>
      <c r="IN37" s="14">
        <v>70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70</v>
      </c>
      <c r="IU37" s="14">
        <v>86</v>
      </c>
      <c r="IV37" s="14">
        <v>14</v>
      </c>
      <c r="IW37" s="14">
        <v>0</v>
      </c>
      <c r="IY37" s="14">
        <v>0</v>
      </c>
      <c r="IZ37" s="14">
        <v>1</v>
      </c>
      <c r="JA37" s="14">
        <v>3</v>
      </c>
      <c r="JB37" s="14">
        <v>1</v>
      </c>
      <c r="JC37" s="14" t="s">
        <v>600</v>
      </c>
      <c r="JD37" s="14">
        <v>70</v>
      </c>
      <c r="JJ37" s="14">
        <v>70</v>
      </c>
      <c r="JK37" s="14">
        <v>0</v>
      </c>
      <c r="JQ37" s="14">
        <v>0</v>
      </c>
      <c r="JR37" s="14">
        <v>0</v>
      </c>
      <c r="JX37" s="14">
        <v>0</v>
      </c>
      <c r="JY37" s="14">
        <v>0</v>
      </c>
      <c r="KE37" s="14">
        <v>0</v>
      </c>
      <c r="KF37" s="14">
        <v>0</v>
      </c>
      <c r="KL37" s="14">
        <v>0</v>
      </c>
      <c r="KM37" s="14">
        <v>0</v>
      </c>
      <c r="KS37" s="14">
        <v>0</v>
      </c>
      <c r="KT37" s="14">
        <v>0</v>
      </c>
      <c r="KZ37" s="14">
        <v>0</v>
      </c>
      <c r="LB37" s="14">
        <v>0</v>
      </c>
      <c r="LH37" s="14">
        <v>0</v>
      </c>
      <c r="LI37" s="14">
        <v>70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70</v>
      </c>
      <c r="LP37" s="14">
        <v>10</v>
      </c>
      <c r="LV37" s="14">
        <v>10</v>
      </c>
      <c r="LW37" s="14">
        <v>60</v>
      </c>
      <c r="MC37" s="14">
        <v>60</v>
      </c>
      <c r="MD37" s="14">
        <v>0</v>
      </c>
      <c r="MJ37" s="14">
        <v>0</v>
      </c>
      <c r="MK37" s="14">
        <v>0</v>
      </c>
      <c r="MQ37" s="14">
        <v>0</v>
      </c>
      <c r="MR37" s="14">
        <v>0</v>
      </c>
      <c r="MX37" s="14">
        <v>0</v>
      </c>
      <c r="MY37" s="14">
        <v>70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70</v>
      </c>
      <c r="NF37" s="14" t="s">
        <v>601</v>
      </c>
      <c r="RI37" s="14" t="s">
        <v>602</v>
      </c>
      <c r="VL37" s="14" t="s">
        <v>603</v>
      </c>
      <c r="ZO37" s="14" t="s">
        <v>604</v>
      </c>
      <c r="ADR37" s="14" t="s">
        <v>605</v>
      </c>
    </row>
    <row r="38" spans="1:798" x14ac:dyDescent="0.25">
      <c r="A38" s="14">
        <v>160</v>
      </c>
      <c r="B38" s="14" t="s">
        <v>590</v>
      </c>
      <c r="C38" s="16">
        <f>VLOOKUP(A38,[4]RawData!Z:AA,2,FALSE)</f>
        <v>42769.145138888889</v>
      </c>
      <c r="D38" s="14" t="s">
        <v>794</v>
      </c>
      <c r="E38" s="14" t="s">
        <v>795</v>
      </c>
      <c r="F38" s="14" t="s">
        <v>796</v>
      </c>
      <c r="G38" s="14" t="s">
        <v>797</v>
      </c>
      <c r="H38" s="14" t="s">
        <v>798</v>
      </c>
      <c r="I38" s="14" t="s">
        <v>624</v>
      </c>
      <c r="J38" s="14" t="s">
        <v>625</v>
      </c>
      <c r="L38" s="14">
        <v>1</v>
      </c>
      <c r="R38" s="14">
        <v>115</v>
      </c>
      <c r="U38" s="14">
        <v>115</v>
      </c>
      <c r="AB38" s="14">
        <v>0</v>
      </c>
      <c r="AI38" s="14">
        <v>0</v>
      </c>
      <c r="AP38" s="14">
        <v>0</v>
      </c>
      <c r="AW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115</v>
      </c>
      <c r="BI38" s="14">
        <v>0</v>
      </c>
      <c r="BJ38" s="14">
        <v>0</v>
      </c>
      <c r="BK38" s="14">
        <v>115</v>
      </c>
      <c r="BO38" s="14">
        <v>2</v>
      </c>
      <c r="BR38" s="14">
        <v>2</v>
      </c>
      <c r="BY38" s="14">
        <v>0</v>
      </c>
      <c r="CF38" s="14">
        <v>0</v>
      </c>
      <c r="CM38" s="14">
        <v>0</v>
      </c>
      <c r="CT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2</v>
      </c>
      <c r="DF38" s="14">
        <v>0</v>
      </c>
      <c r="DG38" s="14">
        <v>0</v>
      </c>
      <c r="DH38" s="14">
        <v>2</v>
      </c>
      <c r="DI38" s="14" t="s">
        <v>598</v>
      </c>
      <c r="DJ38" s="14" t="s">
        <v>598</v>
      </c>
      <c r="DK38" s="14" t="s">
        <v>598</v>
      </c>
      <c r="DL38" s="14" t="s">
        <v>597</v>
      </c>
      <c r="DM38" s="14" t="s">
        <v>598</v>
      </c>
      <c r="DN38" s="14" t="s">
        <v>598</v>
      </c>
      <c r="DO38" s="14" t="s">
        <v>598</v>
      </c>
      <c r="DP38" s="14" t="s">
        <v>598</v>
      </c>
      <c r="DQ38" s="14" t="s">
        <v>598</v>
      </c>
      <c r="DR38" s="14" t="s">
        <v>598</v>
      </c>
      <c r="DS38" s="14" t="s">
        <v>598</v>
      </c>
      <c r="DT38" s="14" t="s">
        <v>598</v>
      </c>
      <c r="DU38" s="14" t="s">
        <v>598</v>
      </c>
      <c r="DV38" s="14" t="s">
        <v>598</v>
      </c>
      <c r="DW38" s="14" t="s">
        <v>598</v>
      </c>
      <c r="DX38" s="14" t="s">
        <v>598</v>
      </c>
      <c r="DY38" s="14" t="s">
        <v>598</v>
      </c>
      <c r="DZ38" s="14" t="s">
        <v>598</v>
      </c>
      <c r="EA38" s="14" t="s">
        <v>598</v>
      </c>
      <c r="EB38" s="14" t="s">
        <v>598</v>
      </c>
      <c r="EC38" s="14" t="s">
        <v>598</v>
      </c>
      <c r="ED38" s="14" t="s">
        <v>598</v>
      </c>
      <c r="EE38" s="14" t="s">
        <v>598</v>
      </c>
      <c r="EF38" s="14" t="s">
        <v>598</v>
      </c>
      <c r="EG38" s="14" t="s">
        <v>598</v>
      </c>
      <c r="EH38" s="14" t="s">
        <v>598</v>
      </c>
      <c r="EI38" s="14" t="s">
        <v>598</v>
      </c>
      <c r="EJ38" s="14" t="s">
        <v>598</v>
      </c>
      <c r="EK38" s="14" t="s">
        <v>598</v>
      </c>
      <c r="EL38" s="14" t="s">
        <v>598</v>
      </c>
      <c r="EM38" s="14" t="s">
        <v>598</v>
      </c>
      <c r="EN38" s="14" t="s">
        <v>598</v>
      </c>
      <c r="EO38" s="14" t="s">
        <v>598</v>
      </c>
      <c r="EP38" s="14" t="s">
        <v>598</v>
      </c>
      <c r="EQ38" s="14" t="s">
        <v>598</v>
      </c>
      <c r="ER38" s="14" t="s">
        <v>598</v>
      </c>
      <c r="EY38" s="14">
        <v>0</v>
      </c>
      <c r="FF38" s="14">
        <v>0</v>
      </c>
      <c r="FM38" s="14">
        <v>0</v>
      </c>
      <c r="FT38" s="14">
        <v>0</v>
      </c>
      <c r="GA38" s="14">
        <v>0</v>
      </c>
      <c r="GH38" s="14">
        <v>0</v>
      </c>
      <c r="GO38" s="14">
        <v>0</v>
      </c>
      <c r="GP38" s="14" t="s">
        <v>799</v>
      </c>
      <c r="GT38" s="14">
        <v>115</v>
      </c>
      <c r="GW38" s="14">
        <v>115</v>
      </c>
      <c r="GX38" s="14">
        <v>0</v>
      </c>
      <c r="GY38" s="14">
        <v>0</v>
      </c>
      <c r="GZ38" s="14">
        <v>0</v>
      </c>
      <c r="HA38" s="14">
        <v>115</v>
      </c>
      <c r="HB38" s="14">
        <v>0</v>
      </c>
      <c r="HC38" s="14">
        <v>0</v>
      </c>
      <c r="HD38" s="14">
        <v>115</v>
      </c>
      <c r="HH38" s="14">
        <v>23</v>
      </c>
      <c r="HK38" s="14">
        <v>23</v>
      </c>
      <c r="HO38" s="14">
        <v>40</v>
      </c>
      <c r="HR38" s="14">
        <v>40</v>
      </c>
      <c r="HV38" s="14">
        <v>52</v>
      </c>
      <c r="HY38" s="14">
        <v>52</v>
      </c>
      <c r="IF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115</v>
      </c>
      <c r="IR38" s="14">
        <v>0</v>
      </c>
      <c r="IS38" s="14">
        <v>0</v>
      </c>
      <c r="IT38" s="14">
        <v>115</v>
      </c>
      <c r="IW38" s="14">
        <v>100</v>
      </c>
      <c r="IZ38" s="14">
        <v>1</v>
      </c>
      <c r="JA38" s="14">
        <v>3</v>
      </c>
      <c r="JB38" s="14">
        <v>1</v>
      </c>
      <c r="JC38" s="14" t="s">
        <v>600</v>
      </c>
      <c r="JJ38" s="14">
        <v>0</v>
      </c>
      <c r="JQ38" s="14">
        <v>0</v>
      </c>
      <c r="JX38" s="14">
        <v>0</v>
      </c>
      <c r="KE38" s="14">
        <v>0</v>
      </c>
      <c r="KL38" s="14">
        <v>0</v>
      </c>
      <c r="KS38" s="14">
        <v>0</v>
      </c>
      <c r="KZ38" s="14">
        <v>0</v>
      </c>
      <c r="LA38" s="14" t="s">
        <v>799</v>
      </c>
      <c r="LE38" s="14">
        <v>115</v>
      </c>
      <c r="LH38" s="14">
        <v>115</v>
      </c>
      <c r="LI38" s="14">
        <v>0</v>
      </c>
      <c r="LJ38" s="14">
        <v>0</v>
      </c>
      <c r="LK38" s="14">
        <v>0</v>
      </c>
      <c r="LL38" s="14">
        <v>115</v>
      </c>
      <c r="LM38" s="14">
        <v>0</v>
      </c>
      <c r="LN38" s="14">
        <v>0</v>
      </c>
      <c r="LO38" s="14">
        <v>115</v>
      </c>
      <c r="LS38" s="14">
        <v>40</v>
      </c>
      <c r="LV38" s="14">
        <v>40</v>
      </c>
      <c r="LZ38" s="14">
        <v>23</v>
      </c>
      <c r="MC38" s="14">
        <v>23</v>
      </c>
      <c r="MG38" s="14">
        <v>52</v>
      </c>
      <c r="MJ38" s="14">
        <v>52</v>
      </c>
      <c r="MQ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115</v>
      </c>
      <c r="NC38" s="14">
        <v>0</v>
      </c>
      <c r="ND38" s="14">
        <v>0</v>
      </c>
      <c r="NE38" s="14">
        <v>115</v>
      </c>
      <c r="NF38" s="14" t="s">
        <v>601</v>
      </c>
      <c r="RI38" s="14" t="s">
        <v>602</v>
      </c>
      <c r="VL38" s="14" t="s">
        <v>603</v>
      </c>
      <c r="ZO38" s="14" t="s">
        <v>604</v>
      </c>
      <c r="ADR38" s="14" t="s">
        <v>605</v>
      </c>
    </row>
    <row r="39" spans="1:798" x14ac:dyDescent="0.25">
      <c r="A39" s="14">
        <v>86</v>
      </c>
      <c r="B39" s="14" t="s">
        <v>590</v>
      </c>
      <c r="C39" s="16">
        <f>VLOOKUP(A39,[4]RawData!Z:AA,2,FALSE)</f>
        <v>42751.07916666667</v>
      </c>
      <c r="D39" s="14" t="s">
        <v>800</v>
      </c>
      <c r="E39" s="14" t="s">
        <v>801</v>
      </c>
      <c r="F39" s="14" t="s">
        <v>802</v>
      </c>
      <c r="G39" s="14" t="s">
        <v>803</v>
      </c>
      <c r="H39" s="14" t="s">
        <v>804</v>
      </c>
      <c r="I39" s="14" t="s">
        <v>624</v>
      </c>
      <c r="J39" s="14" t="s">
        <v>625</v>
      </c>
      <c r="L39" s="14">
        <v>1</v>
      </c>
      <c r="P39" s="14">
        <v>620</v>
      </c>
      <c r="U39" s="14">
        <v>620</v>
      </c>
      <c r="AB39" s="14">
        <v>0</v>
      </c>
      <c r="AI39" s="14">
        <v>0</v>
      </c>
      <c r="AP39" s="14">
        <v>0</v>
      </c>
      <c r="AW39" s="14">
        <v>0</v>
      </c>
      <c r="BD39" s="14">
        <v>0</v>
      </c>
      <c r="BE39" s="14">
        <v>0</v>
      </c>
      <c r="BF39" s="14">
        <v>620</v>
      </c>
      <c r="BG39" s="14">
        <v>0</v>
      </c>
      <c r="BH39" s="14">
        <v>0</v>
      </c>
      <c r="BI39" s="14">
        <v>0</v>
      </c>
      <c r="BJ39" s="14">
        <v>0</v>
      </c>
      <c r="BK39" s="14">
        <v>620</v>
      </c>
      <c r="BM39" s="14">
        <v>2</v>
      </c>
      <c r="BR39" s="14">
        <v>2</v>
      </c>
      <c r="BY39" s="14">
        <v>0</v>
      </c>
      <c r="CF39" s="14">
        <v>0</v>
      </c>
      <c r="CM39" s="14">
        <v>0</v>
      </c>
      <c r="CT39" s="14">
        <v>0</v>
      </c>
      <c r="DA39" s="14">
        <v>0</v>
      </c>
      <c r="DB39" s="14">
        <v>0</v>
      </c>
      <c r="DC39" s="14">
        <v>2</v>
      </c>
      <c r="DD39" s="14">
        <v>0</v>
      </c>
      <c r="DE39" s="14">
        <v>0</v>
      </c>
      <c r="DF39" s="14">
        <v>0</v>
      </c>
      <c r="DG39" s="14">
        <v>0</v>
      </c>
      <c r="DH39" s="14">
        <v>2</v>
      </c>
      <c r="DI39" s="14" t="s">
        <v>598</v>
      </c>
      <c r="DJ39" s="14" t="s">
        <v>597</v>
      </c>
      <c r="DK39" s="14" t="s">
        <v>598</v>
      </c>
      <c r="DL39" s="14" t="s">
        <v>598</v>
      </c>
      <c r="DM39" s="14" t="s">
        <v>598</v>
      </c>
      <c r="DN39" s="14" t="s">
        <v>598</v>
      </c>
      <c r="DO39" s="14" t="s">
        <v>598</v>
      </c>
      <c r="DP39" s="14" t="s">
        <v>598</v>
      </c>
      <c r="DQ39" s="14" t="s">
        <v>598</v>
      </c>
      <c r="DR39" s="14" t="s">
        <v>598</v>
      </c>
      <c r="DS39" s="14" t="s">
        <v>598</v>
      </c>
      <c r="DT39" s="14" t="s">
        <v>598</v>
      </c>
      <c r="DU39" s="14" t="s">
        <v>598</v>
      </c>
      <c r="DV39" s="14" t="s">
        <v>598</v>
      </c>
      <c r="DW39" s="14" t="s">
        <v>598</v>
      </c>
      <c r="DX39" s="14" t="s">
        <v>598</v>
      </c>
      <c r="DY39" s="14" t="s">
        <v>598</v>
      </c>
      <c r="DZ39" s="14" t="s">
        <v>598</v>
      </c>
      <c r="EA39" s="14" t="s">
        <v>598</v>
      </c>
      <c r="EB39" s="14" t="s">
        <v>598</v>
      </c>
      <c r="EC39" s="14" t="s">
        <v>598</v>
      </c>
      <c r="ED39" s="14" t="s">
        <v>598</v>
      </c>
      <c r="EE39" s="14" t="s">
        <v>598</v>
      </c>
      <c r="EF39" s="14" t="s">
        <v>598</v>
      </c>
      <c r="EG39" s="14" t="s">
        <v>598</v>
      </c>
      <c r="EH39" s="14" t="s">
        <v>598</v>
      </c>
      <c r="EI39" s="14" t="s">
        <v>598</v>
      </c>
      <c r="EJ39" s="14" t="s">
        <v>598</v>
      </c>
      <c r="EK39" s="14" t="s">
        <v>598</v>
      </c>
      <c r="EL39" s="14" t="s">
        <v>598</v>
      </c>
      <c r="EM39" s="14" t="s">
        <v>598</v>
      </c>
      <c r="EN39" s="14" t="s">
        <v>598</v>
      </c>
      <c r="EO39" s="14" t="s">
        <v>598</v>
      </c>
      <c r="EP39" s="14" t="s">
        <v>598</v>
      </c>
      <c r="EQ39" s="14" t="s">
        <v>598</v>
      </c>
      <c r="ER39" s="14" t="s">
        <v>598</v>
      </c>
      <c r="ET39" s="14">
        <v>620</v>
      </c>
      <c r="EY39" s="14">
        <v>620</v>
      </c>
      <c r="FF39" s="14">
        <v>0</v>
      </c>
      <c r="FM39" s="14">
        <v>0</v>
      </c>
      <c r="FT39" s="14">
        <v>0</v>
      </c>
      <c r="GA39" s="14">
        <v>0</v>
      </c>
      <c r="GH39" s="14">
        <v>0</v>
      </c>
      <c r="GO39" s="14">
        <v>0</v>
      </c>
      <c r="GW39" s="14">
        <v>0</v>
      </c>
      <c r="GX39" s="14">
        <v>0</v>
      </c>
      <c r="GY39" s="14">
        <v>620</v>
      </c>
      <c r="GZ39" s="14">
        <v>0</v>
      </c>
      <c r="HA39" s="14">
        <v>0</v>
      </c>
      <c r="HB39" s="14">
        <v>0</v>
      </c>
      <c r="HC39" s="14">
        <v>0</v>
      </c>
      <c r="HD39" s="14">
        <v>620</v>
      </c>
      <c r="HF39" s="14">
        <v>620</v>
      </c>
      <c r="HK39" s="14">
        <v>620</v>
      </c>
      <c r="HR39" s="14">
        <v>0</v>
      </c>
      <c r="HY39" s="14">
        <v>0</v>
      </c>
      <c r="IF39" s="14">
        <v>0</v>
      </c>
      <c r="IM39" s="14">
        <v>0</v>
      </c>
      <c r="IN39" s="14">
        <v>0</v>
      </c>
      <c r="IO39" s="14">
        <v>620</v>
      </c>
      <c r="IP39" s="14">
        <v>0</v>
      </c>
      <c r="IQ39" s="14">
        <v>0</v>
      </c>
      <c r="IR39" s="14">
        <v>0</v>
      </c>
      <c r="IS39" s="14">
        <v>0</v>
      </c>
      <c r="IT39" s="14">
        <v>620</v>
      </c>
      <c r="IW39" s="14">
        <v>100</v>
      </c>
      <c r="IZ39" s="14">
        <v>3</v>
      </c>
      <c r="JA39" s="14">
        <v>2</v>
      </c>
      <c r="JB39" s="14">
        <v>1</v>
      </c>
      <c r="JC39" s="14" t="s">
        <v>600</v>
      </c>
      <c r="JE39" s="14">
        <v>620</v>
      </c>
      <c r="JJ39" s="14">
        <v>620</v>
      </c>
      <c r="JQ39" s="14">
        <v>0</v>
      </c>
      <c r="JX39" s="14">
        <v>0</v>
      </c>
      <c r="KE39" s="14">
        <v>0</v>
      </c>
      <c r="KL39" s="14">
        <v>0</v>
      </c>
      <c r="KS39" s="14">
        <v>0</v>
      </c>
      <c r="KZ39" s="14">
        <v>0</v>
      </c>
      <c r="LH39" s="14">
        <v>0</v>
      </c>
      <c r="LI39" s="14">
        <v>0</v>
      </c>
      <c r="LJ39" s="14">
        <v>620</v>
      </c>
      <c r="LK39" s="14">
        <v>0</v>
      </c>
      <c r="LL39" s="14">
        <v>0</v>
      </c>
      <c r="LM39" s="14">
        <v>0</v>
      </c>
      <c r="LN39" s="14">
        <v>0</v>
      </c>
      <c r="LO39" s="14">
        <v>620</v>
      </c>
      <c r="LV39" s="14">
        <v>0</v>
      </c>
      <c r="LX39" s="14">
        <v>620</v>
      </c>
      <c r="MC39" s="14">
        <v>620</v>
      </c>
      <c r="MJ39" s="14">
        <v>0</v>
      </c>
      <c r="MQ39" s="14">
        <v>0</v>
      </c>
      <c r="MX39" s="14">
        <v>0</v>
      </c>
      <c r="MY39" s="14">
        <v>0</v>
      </c>
      <c r="MZ39" s="14">
        <v>620</v>
      </c>
      <c r="NA39" s="14">
        <v>0</v>
      </c>
      <c r="NB39" s="14">
        <v>0</v>
      </c>
      <c r="NC39" s="14">
        <v>0</v>
      </c>
      <c r="ND39" s="14">
        <v>0</v>
      </c>
      <c r="NE39" s="14">
        <v>620</v>
      </c>
      <c r="NF39" s="14" t="s">
        <v>601</v>
      </c>
      <c r="RI39" s="14" t="s">
        <v>602</v>
      </c>
      <c r="VL39" s="14" t="s">
        <v>603</v>
      </c>
      <c r="ZO39" s="14" t="s">
        <v>604</v>
      </c>
      <c r="ADR39" s="14" t="s">
        <v>605</v>
      </c>
    </row>
    <row r="40" spans="1:798" x14ac:dyDescent="0.25">
      <c r="A40" s="14">
        <v>179</v>
      </c>
      <c r="B40" s="14" t="s">
        <v>590</v>
      </c>
      <c r="C40" s="16">
        <f>VLOOKUP(A40,[4]RawData!Z:AA,2,FALSE)</f>
        <v>42779.606249999997</v>
      </c>
      <c r="D40" s="14" t="s">
        <v>805</v>
      </c>
      <c r="E40" s="14" t="s">
        <v>806</v>
      </c>
      <c r="F40" s="14" t="s">
        <v>807</v>
      </c>
      <c r="G40" s="14" t="s">
        <v>808</v>
      </c>
      <c r="H40" s="14">
        <v>2077432603</v>
      </c>
      <c r="I40" s="14" t="s">
        <v>611</v>
      </c>
      <c r="J40" s="14" t="s">
        <v>596</v>
      </c>
      <c r="L40" s="14">
        <v>1</v>
      </c>
      <c r="O40" s="14">
        <v>115.2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115.2</v>
      </c>
      <c r="V40" s="14">
        <v>680.2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680.2</v>
      </c>
      <c r="AC40" s="14">
        <v>103.3</v>
      </c>
      <c r="AD40" s="14">
        <v>185.8</v>
      </c>
      <c r="AE40" s="14">
        <v>0</v>
      </c>
      <c r="AF40" s="14">
        <v>0</v>
      </c>
      <c r="AG40" s="14">
        <v>0</v>
      </c>
      <c r="AH40" s="14">
        <v>315</v>
      </c>
      <c r="AI40" s="14">
        <v>604.1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898.7</v>
      </c>
      <c r="BF40" s="14">
        <v>185.8</v>
      </c>
      <c r="BG40" s="14">
        <v>0</v>
      </c>
      <c r="BH40" s="14">
        <v>0</v>
      </c>
      <c r="BI40" s="14">
        <v>0</v>
      </c>
      <c r="BJ40" s="14">
        <v>315</v>
      </c>
      <c r="BK40" s="14">
        <v>1399.5</v>
      </c>
      <c r="BL40" s="14">
        <v>2</v>
      </c>
      <c r="BR40" s="14">
        <v>2</v>
      </c>
      <c r="BS40" s="14">
        <v>3</v>
      </c>
      <c r="BY40" s="14">
        <v>3</v>
      </c>
      <c r="BZ40" s="14">
        <v>1</v>
      </c>
      <c r="CA40" s="14">
        <v>4</v>
      </c>
      <c r="CE40" s="14">
        <v>1</v>
      </c>
      <c r="CF40" s="14">
        <v>6</v>
      </c>
      <c r="CM40" s="14">
        <v>0</v>
      </c>
      <c r="CT40" s="14">
        <v>0</v>
      </c>
      <c r="DA40" s="14">
        <v>0</v>
      </c>
      <c r="DB40" s="14">
        <v>6</v>
      </c>
      <c r="DC40" s="14">
        <v>4</v>
      </c>
      <c r="DD40" s="14">
        <v>0</v>
      </c>
      <c r="DE40" s="14">
        <v>0</v>
      </c>
      <c r="DF40" s="14">
        <v>0</v>
      </c>
      <c r="DG40" s="14">
        <v>1</v>
      </c>
      <c r="DH40" s="14">
        <v>11</v>
      </c>
      <c r="DI40" s="14" t="s">
        <v>597</v>
      </c>
      <c r="DJ40" s="14" t="s">
        <v>598</v>
      </c>
      <c r="DK40" s="14" t="s">
        <v>598</v>
      </c>
      <c r="DL40" s="14" t="s">
        <v>598</v>
      </c>
      <c r="DM40" s="14" t="s">
        <v>598</v>
      </c>
      <c r="DN40" s="14" t="s">
        <v>598</v>
      </c>
      <c r="DO40" s="14" t="s">
        <v>597</v>
      </c>
      <c r="DP40" s="14" t="s">
        <v>598</v>
      </c>
      <c r="DQ40" s="14" t="s">
        <v>598</v>
      </c>
      <c r="DR40" s="14" t="s">
        <v>598</v>
      </c>
      <c r="DS40" s="14" t="s">
        <v>598</v>
      </c>
      <c r="DT40" s="14" t="s">
        <v>598</v>
      </c>
      <c r="DU40" s="14" t="s">
        <v>597</v>
      </c>
      <c r="DV40" s="14" t="s">
        <v>597</v>
      </c>
      <c r="DW40" s="14" t="s">
        <v>598</v>
      </c>
      <c r="DX40" s="14" t="s">
        <v>598</v>
      </c>
      <c r="DY40" s="14" t="s">
        <v>598</v>
      </c>
      <c r="DZ40" s="14" t="s">
        <v>597</v>
      </c>
      <c r="EA40" s="14" t="s">
        <v>598</v>
      </c>
      <c r="EB40" s="14" t="s">
        <v>598</v>
      </c>
      <c r="EC40" s="14" t="s">
        <v>598</v>
      </c>
      <c r="ED40" s="14" t="s">
        <v>598</v>
      </c>
      <c r="EE40" s="14" t="s">
        <v>598</v>
      </c>
      <c r="EF40" s="14" t="s">
        <v>598</v>
      </c>
      <c r="EG40" s="14" t="s">
        <v>598</v>
      </c>
      <c r="EH40" s="14" t="s">
        <v>598</v>
      </c>
      <c r="EI40" s="14" t="s">
        <v>598</v>
      </c>
      <c r="EJ40" s="14" t="s">
        <v>598</v>
      </c>
      <c r="EK40" s="14" t="s">
        <v>598</v>
      </c>
      <c r="EL40" s="14" t="s">
        <v>598</v>
      </c>
      <c r="EM40" s="14" t="s">
        <v>598</v>
      </c>
      <c r="EN40" s="14" t="s">
        <v>598</v>
      </c>
      <c r="EO40" s="14" t="s">
        <v>598</v>
      </c>
      <c r="EP40" s="14" t="s">
        <v>598</v>
      </c>
      <c r="EQ40" s="14" t="s">
        <v>598</v>
      </c>
      <c r="ER40" s="14" t="s">
        <v>598</v>
      </c>
      <c r="ES40" s="14">
        <v>747.1</v>
      </c>
      <c r="ET40" s="14">
        <v>131.4</v>
      </c>
      <c r="EX40" s="14">
        <v>117.5</v>
      </c>
      <c r="EY40" s="14">
        <v>996</v>
      </c>
      <c r="EZ40" s="14">
        <v>91.8</v>
      </c>
      <c r="FE40" s="14">
        <v>125.5</v>
      </c>
      <c r="FF40" s="14">
        <v>217.3</v>
      </c>
      <c r="FL40" s="14">
        <v>54</v>
      </c>
      <c r="FM40" s="14">
        <v>54</v>
      </c>
      <c r="FT40" s="14">
        <v>0</v>
      </c>
      <c r="FU40" s="14">
        <v>8.8000000000000007</v>
      </c>
      <c r="GA40" s="14">
        <v>8.8000000000000007</v>
      </c>
      <c r="GB40" s="14">
        <v>15</v>
      </c>
      <c r="GG40" s="14">
        <v>18.100000000000001</v>
      </c>
      <c r="GH40" s="14">
        <v>33.1</v>
      </c>
      <c r="GO40" s="14">
        <v>0</v>
      </c>
      <c r="GQ40" s="14">
        <v>90.3</v>
      </c>
      <c r="GR40" s="14">
        <v>0</v>
      </c>
      <c r="GW40" s="14">
        <v>90.3</v>
      </c>
      <c r="GX40" s="14">
        <v>953</v>
      </c>
      <c r="GY40" s="14">
        <v>131.4</v>
      </c>
      <c r="GZ40" s="14">
        <v>0</v>
      </c>
      <c r="HA40" s="14">
        <v>0</v>
      </c>
      <c r="HB40" s="14">
        <v>0</v>
      </c>
      <c r="HC40" s="14">
        <v>315.10000000000002</v>
      </c>
      <c r="HD40" s="14">
        <v>1399.5</v>
      </c>
      <c r="HE40" s="14">
        <v>56.7</v>
      </c>
      <c r="HJ40" s="14">
        <v>94</v>
      </c>
      <c r="HK40" s="14">
        <v>150.69999999999999</v>
      </c>
      <c r="HL40" s="14">
        <v>429.3</v>
      </c>
      <c r="HR40" s="14">
        <v>429.3</v>
      </c>
      <c r="HS40" s="14">
        <v>467</v>
      </c>
      <c r="HT40" s="14">
        <v>131.4</v>
      </c>
      <c r="HX40" s="14">
        <v>221.1</v>
      </c>
      <c r="HY40" s="14">
        <v>819.5</v>
      </c>
      <c r="IF40" s="14">
        <v>0</v>
      </c>
      <c r="IM40" s="14">
        <v>0</v>
      </c>
      <c r="IN40" s="14">
        <v>953</v>
      </c>
      <c r="IO40" s="14">
        <v>131.4</v>
      </c>
      <c r="IP40" s="14">
        <v>0</v>
      </c>
      <c r="IQ40" s="14">
        <v>0</v>
      </c>
      <c r="IR40" s="14">
        <v>0</v>
      </c>
      <c r="IS40" s="14">
        <v>315.10000000000002</v>
      </c>
      <c r="IT40" s="14">
        <v>1399.5</v>
      </c>
      <c r="IW40" s="14">
        <v>100</v>
      </c>
      <c r="IZ40" s="14">
        <v>1</v>
      </c>
      <c r="JA40" s="14">
        <v>3</v>
      </c>
      <c r="JB40" s="14">
        <v>1</v>
      </c>
      <c r="JC40" s="14" t="s">
        <v>600</v>
      </c>
      <c r="JD40" s="14">
        <v>62</v>
      </c>
      <c r="JJ40" s="14">
        <v>62</v>
      </c>
      <c r="JK40" s="14">
        <v>14.4</v>
      </c>
      <c r="JQ40" s="14">
        <v>14.4</v>
      </c>
      <c r="JX40" s="14">
        <v>0</v>
      </c>
      <c r="KE40" s="14">
        <v>0</v>
      </c>
      <c r="KL40" s="14">
        <v>0</v>
      </c>
      <c r="KS40" s="14">
        <v>0</v>
      </c>
      <c r="KZ40" s="14">
        <v>0</v>
      </c>
      <c r="LA40" s="14" t="s">
        <v>680</v>
      </c>
      <c r="LB40" s="14">
        <v>38.799999999999997</v>
      </c>
      <c r="LH40" s="14">
        <v>38.799999999999997</v>
      </c>
      <c r="LI40" s="14">
        <v>115.2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115.2</v>
      </c>
      <c r="LP40" s="14">
        <v>57.2</v>
      </c>
      <c r="LV40" s="14">
        <v>57.2</v>
      </c>
      <c r="LW40" s="14">
        <v>15.7</v>
      </c>
      <c r="MC40" s="14">
        <v>15.7</v>
      </c>
      <c r="MD40" s="14">
        <v>42.3</v>
      </c>
      <c r="MJ40" s="14">
        <v>42.3</v>
      </c>
      <c r="MQ40" s="14">
        <v>0</v>
      </c>
      <c r="MX40" s="14">
        <v>0</v>
      </c>
      <c r="MY40" s="14">
        <v>115.2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115.2</v>
      </c>
      <c r="NF40" s="14" t="s">
        <v>601</v>
      </c>
      <c r="NG40" s="14">
        <v>608.1</v>
      </c>
      <c r="NM40" s="14">
        <v>608.1</v>
      </c>
      <c r="NN40" s="14">
        <v>46.2</v>
      </c>
      <c r="NT40" s="14">
        <v>46.2</v>
      </c>
      <c r="OA40" s="14">
        <v>0</v>
      </c>
      <c r="OH40" s="14">
        <v>0</v>
      </c>
      <c r="OI40" s="14">
        <v>8.8000000000000007</v>
      </c>
      <c r="OO40" s="14">
        <v>8.8000000000000007</v>
      </c>
      <c r="OV40" s="14">
        <v>0</v>
      </c>
      <c r="PC40" s="14">
        <v>0</v>
      </c>
      <c r="PE40" s="14">
        <v>17.100000000000001</v>
      </c>
      <c r="PK40" s="14">
        <v>17.100000000000001</v>
      </c>
      <c r="PL40" s="14">
        <v>680.2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680.2</v>
      </c>
      <c r="PS40" s="14">
        <v>372.2</v>
      </c>
      <c r="PY40" s="14">
        <v>372.2</v>
      </c>
      <c r="QF40" s="14">
        <v>0</v>
      </c>
      <c r="QG40" s="14">
        <v>308</v>
      </c>
      <c r="QM40" s="14">
        <v>308</v>
      </c>
      <c r="QT40" s="14">
        <v>0</v>
      </c>
      <c r="RA40" s="14">
        <v>0</v>
      </c>
      <c r="RB40" s="14">
        <v>680.2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680.2</v>
      </c>
      <c r="RI40" s="14" t="s">
        <v>602</v>
      </c>
      <c r="RJ40" s="14">
        <v>77</v>
      </c>
      <c r="RK40" s="14">
        <v>131.4</v>
      </c>
      <c r="RO40" s="14">
        <v>117.5</v>
      </c>
      <c r="RP40" s="14">
        <v>325.89999999999998</v>
      </c>
      <c r="RQ40" s="14">
        <v>31.2</v>
      </c>
      <c r="RV40" s="14">
        <v>125.5</v>
      </c>
      <c r="RW40" s="14">
        <v>156.69999999999999</v>
      </c>
      <c r="SC40" s="14">
        <v>54</v>
      </c>
      <c r="SD40" s="14">
        <v>54</v>
      </c>
      <c r="SK40" s="14">
        <v>0</v>
      </c>
      <c r="SR40" s="14">
        <v>0</v>
      </c>
      <c r="SS40" s="14">
        <v>15</v>
      </c>
      <c r="SX40" s="14">
        <v>18.100000000000001</v>
      </c>
      <c r="SY40" s="14">
        <v>33.1</v>
      </c>
      <c r="TF40" s="14">
        <v>0</v>
      </c>
      <c r="TH40" s="14">
        <v>34.4</v>
      </c>
      <c r="TN40" s="14">
        <v>34.4</v>
      </c>
      <c r="TO40" s="14">
        <v>157.6</v>
      </c>
      <c r="TP40" s="14">
        <v>131.4</v>
      </c>
      <c r="TQ40" s="14">
        <v>0</v>
      </c>
      <c r="TR40" s="14">
        <v>0</v>
      </c>
      <c r="TS40" s="14">
        <v>0</v>
      </c>
      <c r="TT40" s="14">
        <v>315.10000000000002</v>
      </c>
      <c r="TU40" s="14">
        <v>604.1</v>
      </c>
      <c r="UB40" s="14">
        <v>0</v>
      </c>
      <c r="UC40" s="14">
        <v>136.19999999999999</v>
      </c>
      <c r="UI40" s="14">
        <v>136.19999999999999</v>
      </c>
      <c r="UJ40" s="14">
        <v>467.9</v>
      </c>
      <c r="UP40" s="14">
        <v>467.9</v>
      </c>
      <c r="UW40" s="14">
        <v>0</v>
      </c>
      <c r="VD40" s="14">
        <v>0</v>
      </c>
      <c r="VE40" s="14">
        <v>604.1</v>
      </c>
      <c r="VF40" s="14">
        <v>0</v>
      </c>
      <c r="VG40" s="14">
        <v>0</v>
      </c>
      <c r="VH40" s="14">
        <v>0</v>
      </c>
      <c r="VI40" s="14">
        <v>0</v>
      </c>
      <c r="VJ40" s="14">
        <v>0</v>
      </c>
      <c r="VK40" s="14">
        <v>604.1</v>
      </c>
      <c r="VL40" s="14" t="s">
        <v>603</v>
      </c>
      <c r="ZO40" s="14" t="s">
        <v>604</v>
      </c>
      <c r="ADR40" s="14" t="s">
        <v>605</v>
      </c>
    </row>
    <row r="41" spans="1:798" x14ac:dyDescent="0.25">
      <c r="A41" s="14">
        <v>108</v>
      </c>
      <c r="B41" s="14" t="s">
        <v>590</v>
      </c>
      <c r="C41" s="16">
        <f>$C$3</f>
        <v>42780</v>
      </c>
      <c r="D41" s="14" t="s">
        <v>809</v>
      </c>
      <c r="E41" s="14" t="s">
        <v>810</v>
      </c>
      <c r="F41" s="14" t="s">
        <v>811</v>
      </c>
      <c r="G41" s="14" t="s">
        <v>812</v>
      </c>
      <c r="H41" s="14" t="s">
        <v>813</v>
      </c>
      <c r="I41" s="14" t="s">
        <v>595</v>
      </c>
      <c r="J41" s="14" t="s">
        <v>596</v>
      </c>
      <c r="L41" s="14">
        <v>1</v>
      </c>
      <c r="O41" s="14">
        <v>1500</v>
      </c>
      <c r="U41" s="14">
        <v>1500</v>
      </c>
      <c r="AB41" s="14">
        <v>0</v>
      </c>
      <c r="AI41" s="14">
        <v>0</v>
      </c>
      <c r="AP41" s="14">
        <v>0</v>
      </c>
      <c r="AW41" s="14">
        <v>0</v>
      </c>
      <c r="BD41" s="14">
        <v>0</v>
      </c>
      <c r="BE41" s="14">
        <v>1500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1500</v>
      </c>
      <c r="BL41" s="14">
        <v>1</v>
      </c>
      <c r="BR41" s="14">
        <v>1</v>
      </c>
      <c r="BY41" s="14">
        <v>0</v>
      </c>
      <c r="CF41" s="14">
        <v>0</v>
      </c>
      <c r="CM41" s="14">
        <v>0</v>
      </c>
      <c r="CT41" s="14">
        <v>0</v>
      </c>
      <c r="DA41" s="14">
        <v>0</v>
      </c>
      <c r="DB41" s="14">
        <v>1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1</v>
      </c>
      <c r="DI41" s="14" t="s">
        <v>597</v>
      </c>
      <c r="DJ41" s="14" t="s">
        <v>598</v>
      </c>
      <c r="DK41" s="14" t="s">
        <v>598</v>
      </c>
      <c r="DL41" s="14" t="s">
        <v>598</v>
      </c>
      <c r="DM41" s="14" t="s">
        <v>598</v>
      </c>
      <c r="DN41" s="14" t="s">
        <v>598</v>
      </c>
      <c r="DO41" s="14" t="s">
        <v>598</v>
      </c>
      <c r="DP41" s="14" t="s">
        <v>598</v>
      </c>
      <c r="DQ41" s="14" t="s">
        <v>598</v>
      </c>
      <c r="DR41" s="14" t="s">
        <v>598</v>
      </c>
      <c r="DS41" s="14" t="s">
        <v>598</v>
      </c>
      <c r="DT41" s="14" t="s">
        <v>598</v>
      </c>
      <c r="DU41" s="14" t="s">
        <v>598</v>
      </c>
      <c r="DV41" s="14" t="s">
        <v>598</v>
      </c>
      <c r="DW41" s="14" t="s">
        <v>598</v>
      </c>
      <c r="DX41" s="14" t="s">
        <v>598</v>
      </c>
      <c r="DY41" s="14" t="s">
        <v>598</v>
      </c>
      <c r="DZ41" s="14" t="s">
        <v>598</v>
      </c>
      <c r="EA41" s="14" t="s">
        <v>598</v>
      </c>
      <c r="EB41" s="14" t="s">
        <v>598</v>
      </c>
      <c r="EC41" s="14" t="s">
        <v>598</v>
      </c>
      <c r="ED41" s="14" t="s">
        <v>598</v>
      </c>
      <c r="EE41" s="14" t="s">
        <v>598</v>
      </c>
      <c r="EF41" s="14" t="s">
        <v>598</v>
      </c>
      <c r="EG41" s="14" t="s">
        <v>598</v>
      </c>
      <c r="EH41" s="14" t="s">
        <v>598</v>
      </c>
      <c r="EI41" s="14" t="s">
        <v>598</v>
      </c>
      <c r="EJ41" s="14" t="s">
        <v>598</v>
      </c>
      <c r="EK41" s="14" t="s">
        <v>598</v>
      </c>
      <c r="EL41" s="14" t="s">
        <v>598</v>
      </c>
      <c r="EM41" s="14" t="s">
        <v>598</v>
      </c>
      <c r="EN41" s="14" t="s">
        <v>598</v>
      </c>
      <c r="EO41" s="14" t="s">
        <v>598</v>
      </c>
      <c r="EP41" s="14" t="s">
        <v>598</v>
      </c>
      <c r="EQ41" s="14" t="s">
        <v>598</v>
      </c>
      <c r="ER41" s="14" t="s">
        <v>598</v>
      </c>
      <c r="ES41" s="14">
        <v>725</v>
      </c>
      <c r="EY41" s="14">
        <v>725</v>
      </c>
      <c r="FF41" s="14">
        <v>0</v>
      </c>
      <c r="FG41" s="14">
        <v>100</v>
      </c>
      <c r="FM41" s="14">
        <v>100</v>
      </c>
      <c r="FT41" s="14">
        <v>0</v>
      </c>
      <c r="GA41" s="14">
        <v>0</v>
      </c>
      <c r="GH41" s="14">
        <v>0</v>
      </c>
      <c r="GO41" s="14">
        <v>0</v>
      </c>
      <c r="GP41" s="14" t="s">
        <v>814</v>
      </c>
      <c r="GQ41" s="14">
        <v>675</v>
      </c>
      <c r="GW41" s="14">
        <v>675</v>
      </c>
      <c r="GX41" s="14">
        <v>1500</v>
      </c>
      <c r="GY41" s="14">
        <v>0</v>
      </c>
      <c r="GZ41" s="14">
        <v>0</v>
      </c>
      <c r="HA41" s="14">
        <v>0</v>
      </c>
      <c r="HB41" s="14">
        <v>0</v>
      </c>
      <c r="HC41" s="14">
        <v>0</v>
      </c>
      <c r="HD41" s="14">
        <v>1500</v>
      </c>
      <c r="HE41" s="14">
        <v>775</v>
      </c>
      <c r="HK41" s="14">
        <v>775</v>
      </c>
      <c r="HR41" s="14">
        <v>0</v>
      </c>
      <c r="HS41" s="14">
        <v>725</v>
      </c>
      <c r="HY41" s="14">
        <v>725</v>
      </c>
      <c r="IF41" s="14">
        <v>0</v>
      </c>
      <c r="IM41" s="14">
        <v>0</v>
      </c>
      <c r="IN41" s="14">
        <v>1500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1500</v>
      </c>
      <c r="IU41" s="14">
        <v>58</v>
      </c>
      <c r="IY41" s="14">
        <v>42</v>
      </c>
      <c r="IZ41" s="14">
        <v>1</v>
      </c>
      <c r="JA41" s="14">
        <v>2</v>
      </c>
      <c r="JB41" s="14">
        <v>1</v>
      </c>
      <c r="JC41" s="14" t="s">
        <v>600</v>
      </c>
      <c r="JD41" s="14">
        <v>725</v>
      </c>
      <c r="JJ41" s="14">
        <v>725</v>
      </c>
      <c r="JQ41" s="14">
        <v>0</v>
      </c>
      <c r="JR41" s="14">
        <v>100</v>
      </c>
      <c r="JX41" s="14">
        <v>100</v>
      </c>
      <c r="KE41" s="14">
        <v>0</v>
      </c>
      <c r="KL41" s="14">
        <v>0</v>
      </c>
      <c r="KS41" s="14">
        <v>0</v>
      </c>
      <c r="KZ41" s="14">
        <v>0</v>
      </c>
      <c r="LA41" s="14" t="s">
        <v>815</v>
      </c>
      <c r="LB41" s="14">
        <v>675</v>
      </c>
      <c r="LH41" s="14">
        <v>675</v>
      </c>
      <c r="LI41" s="14">
        <v>1500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1500</v>
      </c>
      <c r="LV41" s="14">
        <v>0</v>
      </c>
      <c r="LW41" s="14">
        <v>775</v>
      </c>
      <c r="MC41" s="14">
        <v>775</v>
      </c>
      <c r="MD41" s="14">
        <v>725</v>
      </c>
      <c r="MJ41" s="14">
        <v>725</v>
      </c>
      <c r="MQ41" s="14">
        <v>0</v>
      </c>
      <c r="MX41" s="14">
        <v>0</v>
      </c>
      <c r="MY41" s="14">
        <v>1500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1500</v>
      </c>
      <c r="NF41" s="14" t="s">
        <v>601</v>
      </c>
      <c r="RI41" s="14" t="s">
        <v>602</v>
      </c>
      <c r="VL41" s="14" t="s">
        <v>603</v>
      </c>
      <c r="ZO41" s="14" t="s">
        <v>604</v>
      </c>
      <c r="ADR41" s="14" t="s">
        <v>605</v>
      </c>
    </row>
    <row r="42" spans="1:798" x14ac:dyDescent="0.25">
      <c r="A42" s="14">
        <v>96</v>
      </c>
      <c r="B42" s="14" t="s">
        <v>590</v>
      </c>
      <c r="C42" s="16">
        <f>VLOOKUP(A42,[4]RawData!Z:AA,2,FALSE)</f>
        <v>42751.05</v>
      </c>
      <c r="D42" s="14" t="s">
        <v>816</v>
      </c>
      <c r="E42" s="14" t="s">
        <v>817</v>
      </c>
      <c r="F42" s="14" t="s">
        <v>807</v>
      </c>
      <c r="G42" s="14" t="s">
        <v>818</v>
      </c>
      <c r="H42" s="14" t="s">
        <v>819</v>
      </c>
      <c r="I42" s="14" t="s">
        <v>624</v>
      </c>
      <c r="J42" s="14" t="s">
        <v>625</v>
      </c>
      <c r="L42" s="14">
        <v>1</v>
      </c>
      <c r="Q42" s="14">
        <v>520</v>
      </c>
      <c r="U42" s="14">
        <v>520</v>
      </c>
      <c r="AB42" s="14">
        <v>0</v>
      </c>
      <c r="AI42" s="14">
        <v>0</v>
      </c>
      <c r="AP42" s="14">
        <v>0</v>
      </c>
      <c r="AW42" s="14">
        <v>0</v>
      </c>
      <c r="BD42" s="14">
        <v>0</v>
      </c>
      <c r="BE42" s="14">
        <v>0</v>
      </c>
      <c r="BF42" s="14">
        <v>0</v>
      </c>
      <c r="BG42" s="14">
        <v>520</v>
      </c>
      <c r="BH42" s="14">
        <v>0</v>
      </c>
      <c r="BI42" s="14">
        <v>0</v>
      </c>
      <c r="BJ42" s="14">
        <v>0</v>
      </c>
      <c r="BK42" s="14">
        <v>520</v>
      </c>
      <c r="BN42" s="14">
        <v>2</v>
      </c>
      <c r="BR42" s="14">
        <v>2</v>
      </c>
      <c r="BY42" s="14">
        <v>0</v>
      </c>
      <c r="CF42" s="14">
        <v>0</v>
      </c>
      <c r="CM42" s="14">
        <v>0</v>
      </c>
      <c r="CT42" s="14">
        <v>0</v>
      </c>
      <c r="DA42" s="14">
        <v>0</v>
      </c>
      <c r="DB42" s="14">
        <v>0</v>
      </c>
      <c r="DC42" s="14">
        <v>0</v>
      </c>
      <c r="DD42" s="14">
        <v>2</v>
      </c>
      <c r="DE42" s="14">
        <v>0</v>
      </c>
      <c r="DF42" s="14">
        <v>0</v>
      </c>
      <c r="DG42" s="14">
        <v>0</v>
      </c>
      <c r="DH42" s="14">
        <v>2</v>
      </c>
      <c r="DI42" s="14" t="s">
        <v>598</v>
      </c>
      <c r="DJ42" s="14" t="s">
        <v>598</v>
      </c>
      <c r="DK42" s="14" t="s">
        <v>597</v>
      </c>
      <c r="DL42" s="14" t="s">
        <v>598</v>
      </c>
      <c r="DM42" s="14" t="s">
        <v>598</v>
      </c>
      <c r="DN42" s="14" t="s">
        <v>598</v>
      </c>
      <c r="DO42" s="14" t="s">
        <v>598</v>
      </c>
      <c r="DP42" s="14" t="s">
        <v>598</v>
      </c>
      <c r="DQ42" s="14" t="s">
        <v>598</v>
      </c>
      <c r="DR42" s="14" t="s">
        <v>598</v>
      </c>
      <c r="DS42" s="14" t="s">
        <v>598</v>
      </c>
      <c r="DT42" s="14" t="s">
        <v>598</v>
      </c>
      <c r="DU42" s="14" t="s">
        <v>598</v>
      </c>
      <c r="DV42" s="14" t="s">
        <v>598</v>
      </c>
      <c r="DW42" s="14" t="s">
        <v>598</v>
      </c>
      <c r="DX42" s="14" t="s">
        <v>598</v>
      </c>
      <c r="DY42" s="14" t="s">
        <v>598</v>
      </c>
      <c r="DZ42" s="14" t="s">
        <v>598</v>
      </c>
      <c r="EA42" s="14" t="s">
        <v>598</v>
      </c>
      <c r="EB42" s="14" t="s">
        <v>598</v>
      </c>
      <c r="EC42" s="14" t="s">
        <v>598</v>
      </c>
      <c r="ED42" s="14" t="s">
        <v>598</v>
      </c>
      <c r="EE42" s="14" t="s">
        <v>598</v>
      </c>
      <c r="EF42" s="14" t="s">
        <v>598</v>
      </c>
      <c r="EG42" s="14" t="s">
        <v>598</v>
      </c>
      <c r="EH42" s="14" t="s">
        <v>598</v>
      </c>
      <c r="EI42" s="14" t="s">
        <v>598</v>
      </c>
      <c r="EJ42" s="14" t="s">
        <v>598</v>
      </c>
      <c r="EK42" s="14" t="s">
        <v>598</v>
      </c>
      <c r="EL42" s="14" t="s">
        <v>598</v>
      </c>
      <c r="EM42" s="14" t="s">
        <v>598</v>
      </c>
      <c r="EN42" s="14" t="s">
        <v>598</v>
      </c>
      <c r="EO42" s="14" t="s">
        <v>598</v>
      </c>
      <c r="EP42" s="14" t="s">
        <v>598</v>
      </c>
      <c r="EQ42" s="14" t="s">
        <v>598</v>
      </c>
      <c r="ER42" s="14" t="s">
        <v>598</v>
      </c>
      <c r="EU42" s="14">
        <v>503</v>
      </c>
      <c r="EY42" s="14">
        <v>503</v>
      </c>
      <c r="FF42" s="14">
        <v>0</v>
      </c>
      <c r="FM42" s="14">
        <v>0</v>
      </c>
      <c r="FT42" s="14">
        <v>0</v>
      </c>
      <c r="GA42" s="14">
        <v>0</v>
      </c>
      <c r="GH42" s="14">
        <v>0</v>
      </c>
      <c r="GK42" s="14">
        <v>17</v>
      </c>
      <c r="GO42" s="14">
        <v>17</v>
      </c>
      <c r="GW42" s="14">
        <v>0</v>
      </c>
      <c r="GX42" s="14">
        <v>0</v>
      </c>
      <c r="GY42" s="14">
        <v>0</v>
      </c>
      <c r="GZ42" s="14">
        <v>520</v>
      </c>
      <c r="HA42" s="14">
        <v>0</v>
      </c>
      <c r="HB42" s="14">
        <v>0</v>
      </c>
      <c r="HC42" s="14">
        <v>0</v>
      </c>
      <c r="HD42" s="14">
        <v>520</v>
      </c>
      <c r="HG42" s="14">
        <v>505</v>
      </c>
      <c r="HK42" s="14">
        <v>505</v>
      </c>
      <c r="HN42" s="14">
        <v>15</v>
      </c>
      <c r="HR42" s="14">
        <v>15</v>
      </c>
      <c r="HY42" s="14">
        <v>0</v>
      </c>
      <c r="IF42" s="14">
        <v>0</v>
      </c>
      <c r="IM42" s="14">
        <v>0</v>
      </c>
      <c r="IN42" s="14">
        <v>0</v>
      </c>
      <c r="IO42" s="14">
        <v>0</v>
      </c>
      <c r="IP42" s="14">
        <v>520</v>
      </c>
      <c r="IQ42" s="14">
        <v>0</v>
      </c>
      <c r="IR42" s="14">
        <v>0</v>
      </c>
      <c r="IS42" s="14">
        <v>0</v>
      </c>
      <c r="IT42" s="14">
        <v>520</v>
      </c>
      <c r="IW42" s="14">
        <v>100</v>
      </c>
      <c r="IZ42" s="14">
        <v>1</v>
      </c>
      <c r="JA42" s="14">
        <v>2</v>
      </c>
      <c r="JB42" s="14">
        <v>1</v>
      </c>
      <c r="JC42" s="14" t="s">
        <v>600</v>
      </c>
      <c r="JF42" s="14">
        <v>503</v>
      </c>
      <c r="JJ42" s="14">
        <v>503</v>
      </c>
      <c r="JQ42" s="14">
        <v>0</v>
      </c>
      <c r="JX42" s="14">
        <v>0</v>
      </c>
      <c r="KE42" s="14">
        <v>0</v>
      </c>
      <c r="KL42" s="14">
        <v>0</v>
      </c>
      <c r="KS42" s="14">
        <v>0</v>
      </c>
      <c r="KV42" s="14">
        <v>17</v>
      </c>
      <c r="KZ42" s="14">
        <v>17</v>
      </c>
      <c r="LH42" s="14">
        <v>0</v>
      </c>
      <c r="LI42" s="14">
        <v>0</v>
      </c>
      <c r="LJ42" s="14">
        <v>0</v>
      </c>
      <c r="LK42" s="14">
        <v>520</v>
      </c>
      <c r="LL42" s="14">
        <v>0</v>
      </c>
      <c r="LM42" s="14">
        <v>0</v>
      </c>
      <c r="LN42" s="14">
        <v>0</v>
      </c>
      <c r="LO42" s="14">
        <v>520</v>
      </c>
      <c r="LR42" s="14">
        <v>15</v>
      </c>
      <c r="LV42" s="14">
        <v>15</v>
      </c>
      <c r="LY42" s="14">
        <v>505</v>
      </c>
      <c r="MC42" s="14">
        <v>505</v>
      </c>
      <c r="MJ42" s="14">
        <v>0</v>
      </c>
      <c r="MQ42" s="14">
        <v>0</v>
      </c>
      <c r="MX42" s="14">
        <v>0</v>
      </c>
      <c r="MY42" s="14">
        <v>0</v>
      </c>
      <c r="MZ42" s="14">
        <v>0</v>
      </c>
      <c r="NA42" s="14">
        <v>520</v>
      </c>
      <c r="NB42" s="14">
        <v>0</v>
      </c>
      <c r="NC42" s="14">
        <v>0</v>
      </c>
      <c r="ND42" s="14">
        <v>0</v>
      </c>
      <c r="NE42" s="14">
        <v>520</v>
      </c>
      <c r="NF42" s="14" t="s">
        <v>601</v>
      </c>
      <c r="RI42" s="14" t="s">
        <v>602</v>
      </c>
      <c r="VL42" s="14" t="s">
        <v>603</v>
      </c>
      <c r="ZO42" s="14" t="s">
        <v>604</v>
      </c>
      <c r="ADR42" s="14" t="s">
        <v>605</v>
      </c>
    </row>
    <row r="43" spans="1:798" x14ac:dyDescent="0.25">
      <c r="A43" s="14">
        <v>231</v>
      </c>
      <c r="B43" s="14" t="s">
        <v>590</v>
      </c>
      <c r="C43" s="16">
        <f>$C$3</f>
        <v>42780</v>
      </c>
      <c r="D43" s="14" t="s">
        <v>820</v>
      </c>
      <c r="E43" s="14" t="s">
        <v>738</v>
      </c>
      <c r="F43" s="14" t="s">
        <v>821</v>
      </c>
      <c r="G43" s="14" t="s">
        <v>822</v>
      </c>
      <c r="H43" s="14">
        <v>-8851</v>
      </c>
      <c r="I43" s="14" t="s">
        <v>738</v>
      </c>
      <c r="J43" s="14" t="s">
        <v>739</v>
      </c>
      <c r="L43" s="14">
        <v>1</v>
      </c>
      <c r="O43" s="14">
        <v>184246</v>
      </c>
      <c r="P43" s="14">
        <v>38200</v>
      </c>
      <c r="Q43" s="14">
        <v>5180</v>
      </c>
      <c r="R43" s="14">
        <v>2230</v>
      </c>
      <c r="S43" s="14">
        <v>0</v>
      </c>
      <c r="T43" s="14">
        <v>20878</v>
      </c>
      <c r="U43" s="14">
        <v>250734</v>
      </c>
      <c r="AB43" s="14">
        <v>0</v>
      </c>
      <c r="AI43" s="14">
        <v>0</v>
      </c>
      <c r="AP43" s="14">
        <v>0</v>
      </c>
      <c r="AW43" s="14">
        <v>0</v>
      </c>
      <c r="BD43" s="14">
        <v>0</v>
      </c>
      <c r="BE43" s="14">
        <v>184246</v>
      </c>
      <c r="BF43" s="14">
        <v>38200</v>
      </c>
      <c r="BG43" s="14">
        <v>5180</v>
      </c>
      <c r="BH43" s="14">
        <v>2230</v>
      </c>
      <c r="BI43" s="14">
        <v>0</v>
      </c>
      <c r="BJ43" s="14">
        <v>20878</v>
      </c>
      <c r="BK43" s="14">
        <v>250734</v>
      </c>
      <c r="BL43" s="14">
        <v>1</v>
      </c>
      <c r="BM43" s="14">
        <v>1</v>
      </c>
      <c r="BN43" s="14">
        <v>2</v>
      </c>
      <c r="BO43" s="14">
        <v>1</v>
      </c>
      <c r="BQ43" s="14">
        <v>3</v>
      </c>
      <c r="BR43" s="14">
        <v>8</v>
      </c>
      <c r="BY43" s="14">
        <v>0</v>
      </c>
      <c r="CF43" s="14">
        <v>0</v>
      </c>
      <c r="CM43" s="14">
        <v>0</v>
      </c>
      <c r="CT43" s="14">
        <v>0</v>
      </c>
      <c r="DA43" s="14">
        <v>0</v>
      </c>
      <c r="DB43" s="14">
        <v>1</v>
      </c>
      <c r="DC43" s="14">
        <v>1</v>
      </c>
      <c r="DD43" s="14">
        <v>2</v>
      </c>
      <c r="DE43" s="14">
        <v>1</v>
      </c>
      <c r="DF43" s="14">
        <v>0</v>
      </c>
      <c r="DG43" s="14">
        <v>3</v>
      </c>
      <c r="DH43" s="14">
        <v>8</v>
      </c>
      <c r="DI43" s="14" t="s">
        <v>597</v>
      </c>
      <c r="DJ43" s="14" t="s">
        <v>597</v>
      </c>
      <c r="DK43" s="14" t="s">
        <v>597</v>
      </c>
      <c r="DL43" s="14" t="s">
        <v>597</v>
      </c>
      <c r="DM43" s="14" t="s">
        <v>598</v>
      </c>
      <c r="DN43" s="14" t="s">
        <v>597</v>
      </c>
      <c r="DO43" s="14" t="s">
        <v>598</v>
      </c>
      <c r="DP43" s="14" t="s">
        <v>598</v>
      </c>
      <c r="DQ43" s="14" t="s">
        <v>598</v>
      </c>
      <c r="DR43" s="14" t="s">
        <v>598</v>
      </c>
      <c r="DS43" s="14" t="s">
        <v>598</v>
      </c>
      <c r="DT43" s="14" t="s">
        <v>598</v>
      </c>
      <c r="DU43" s="14" t="s">
        <v>598</v>
      </c>
      <c r="DV43" s="14" t="s">
        <v>598</v>
      </c>
      <c r="DW43" s="14" t="s">
        <v>598</v>
      </c>
      <c r="DX43" s="14" t="s">
        <v>598</v>
      </c>
      <c r="DY43" s="14" t="s">
        <v>598</v>
      </c>
      <c r="DZ43" s="14" t="s">
        <v>598</v>
      </c>
      <c r="EA43" s="14" t="s">
        <v>598</v>
      </c>
      <c r="EB43" s="14" t="s">
        <v>598</v>
      </c>
      <c r="EC43" s="14" t="s">
        <v>598</v>
      </c>
      <c r="ED43" s="14" t="s">
        <v>598</v>
      </c>
      <c r="EE43" s="14" t="s">
        <v>598</v>
      </c>
      <c r="EF43" s="14" t="s">
        <v>598</v>
      </c>
      <c r="EG43" s="14" t="s">
        <v>598</v>
      </c>
      <c r="EH43" s="14" t="s">
        <v>598</v>
      </c>
      <c r="EI43" s="14" t="s">
        <v>598</v>
      </c>
      <c r="EJ43" s="14" t="s">
        <v>598</v>
      </c>
      <c r="EK43" s="14" t="s">
        <v>598</v>
      </c>
      <c r="EL43" s="14" t="s">
        <v>598</v>
      </c>
      <c r="EM43" s="14" t="s">
        <v>598</v>
      </c>
      <c r="EN43" s="14" t="s">
        <v>598</v>
      </c>
      <c r="EO43" s="14" t="s">
        <v>598</v>
      </c>
      <c r="EP43" s="14" t="s">
        <v>598</v>
      </c>
      <c r="EQ43" s="14" t="s">
        <v>598</v>
      </c>
      <c r="ER43" s="14" t="s">
        <v>598</v>
      </c>
      <c r="ES43" s="14">
        <v>27637</v>
      </c>
      <c r="EX43" s="14">
        <v>5158</v>
      </c>
      <c r="EY43" s="14">
        <v>32795</v>
      </c>
      <c r="FE43" s="14">
        <v>1205</v>
      </c>
      <c r="FF43" s="14">
        <v>1205</v>
      </c>
      <c r="FJ43" s="14">
        <v>1784</v>
      </c>
      <c r="FM43" s="14">
        <v>1784</v>
      </c>
      <c r="FT43" s="14">
        <v>0</v>
      </c>
      <c r="GA43" s="14">
        <v>0</v>
      </c>
      <c r="GH43" s="14">
        <v>0</v>
      </c>
      <c r="GO43" s="14">
        <v>0</v>
      </c>
      <c r="GQ43" s="14">
        <v>156609</v>
      </c>
      <c r="GR43" s="14">
        <v>38200</v>
      </c>
      <c r="GS43" s="14">
        <v>5180</v>
      </c>
      <c r="GT43" s="14">
        <v>446</v>
      </c>
      <c r="GV43" s="14">
        <v>14515</v>
      </c>
      <c r="GW43" s="14">
        <v>214950</v>
      </c>
      <c r="GX43" s="14">
        <v>184246</v>
      </c>
      <c r="GY43" s="14">
        <v>38200</v>
      </c>
      <c r="GZ43" s="14">
        <v>5180</v>
      </c>
      <c r="HA43" s="14">
        <v>2230</v>
      </c>
      <c r="HB43" s="14">
        <v>0</v>
      </c>
      <c r="HC43" s="14">
        <v>20878</v>
      </c>
      <c r="HD43" s="14">
        <v>250734</v>
      </c>
      <c r="HE43" s="14">
        <v>184264</v>
      </c>
      <c r="HF43" s="14">
        <v>38200</v>
      </c>
      <c r="HG43" s="14">
        <v>5180</v>
      </c>
      <c r="HH43" s="14">
        <v>2230</v>
      </c>
      <c r="HJ43" s="14">
        <v>20878</v>
      </c>
      <c r="HK43" s="14">
        <v>250752</v>
      </c>
      <c r="HR43" s="14">
        <v>0</v>
      </c>
      <c r="HY43" s="14">
        <v>0</v>
      </c>
      <c r="IF43" s="14">
        <v>0</v>
      </c>
      <c r="IM43" s="14">
        <v>0</v>
      </c>
      <c r="IN43" s="14">
        <v>184264</v>
      </c>
      <c r="IO43" s="14">
        <v>38200</v>
      </c>
      <c r="IP43" s="14">
        <v>5180</v>
      </c>
      <c r="IQ43" s="14">
        <v>2230</v>
      </c>
      <c r="IR43" s="14">
        <v>0</v>
      </c>
      <c r="IS43" s="14">
        <v>20878</v>
      </c>
      <c r="IT43" s="14">
        <v>250752</v>
      </c>
      <c r="IU43" s="14">
        <v>77</v>
      </c>
      <c r="IW43" s="14">
        <v>23</v>
      </c>
      <c r="IZ43" s="14">
        <v>1</v>
      </c>
      <c r="JA43" s="14">
        <v>3</v>
      </c>
      <c r="JB43" s="14">
        <v>1</v>
      </c>
      <c r="JC43" s="14" t="s">
        <v>600</v>
      </c>
      <c r="JD43" s="14">
        <v>27637</v>
      </c>
      <c r="JI43" s="14">
        <v>5158</v>
      </c>
      <c r="JJ43" s="14">
        <v>32795</v>
      </c>
      <c r="JP43" s="14">
        <v>1205</v>
      </c>
      <c r="JQ43" s="14">
        <v>1205</v>
      </c>
      <c r="JU43" s="14">
        <v>1784</v>
      </c>
      <c r="JX43" s="14">
        <v>1784</v>
      </c>
      <c r="KE43" s="14">
        <v>0</v>
      </c>
      <c r="KL43" s="14">
        <v>0</v>
      </c>
      <c r="KS43" s="14">
        <v>0</v>
      </c>
      <c r="KZ43" s="14">
        <v>0</v>
      </c>
      <c r="LB43" s="14">
        <v>156609</v>
      </c>
      <c r="LC43" s="14">
        <v>38200</v>
      </c>
      <c r="LD43" s="14">
        <v>5180</v>
      </c>
      <c r="LE43" s="14">
        <v>446</v>
      </c>
      <c r="LG43" s="14">
        <v>14515</v>
      </c>
      <c r="LH43" s="14">
        <v>214950</v>
      </c>
      <c r="LI43" s="14">
        <v>184246</v>
      </c>
      <c r="LJ43" s="14">
        <v>38200</v>
      </c>
      <c r="LK43" s="14">
        <v>5180</v>
      </c>
      <c r="LL43" s="14">
        <v>2230</v>
      </c>
      <c r="LM43" s="14">
        <v>0</v>
      </c>
      <c r="LN43" s="14">
        <v>20878</v>
      </c>
      <c r="LO43" s="14">
        <v>250734</v>
      </c>
      <c r="LV43" s="14">
        <v>0</v>
      </c>
      <c r="LW43" s="14">
        <v>18246</v>
      </c>
      <c r="LX43" s="14">
        <v>38200</v>
      </c>
      <c r="LY43" s="14">
        <v>5180</v>
      </c>
      <c r="LZ43" s="14">
        <v>2230</v>
      </c>
      <c r="MB43" s="14">
        <v>20878</v>
      </c>
      <c r="MC43" s="14">
        <v>84734</v>
      </c>
      <c r="MJ43" s="14">
        <v>0</v>
      </c>
      <c r="MQ43" s="14">
        <v>0</v>
      </c>
      <c r="MX43" s="14">
        <v>0</v>
      </c>
      <c r="MY43" s="14">
        <v>18246</v>
      </c>
      <c r="MZ43" s="14">
        <v>38200</v>
      </c>
      <c r="NA43" s="14">
        <v>5180</v>
      </c>
      <c r="NB43" s="14">
        <v>2230</v>
      </c>
      <c r="NC43" s="14">
        <v>0</v>
      </c>
      <c r="ND43" s="14">
        <v>20878</v>
      </c>
      <c r="NE43" s="14">
        <v>84734</v>
      </c>
      <c r="NF43" s="14" t="s">
        <v>601</v>
      </c>
      <c r="RI43" s="14" t="s">
        <v>602</v>
      </c>
      <c r="VL43" s="14" t="s">
        <v>603</v>
      </c>
      <c r="ZO43" s="14" t="s">
        <v>604</v>
      </c>
      <c r="ADR43" s="14" t="s">
        <v>605</v>
      </c>
    </row>
    <row r="44" spans="1:798" x14ac:dyDescent="0.25">
      <c r="A44" s="14">
        <v>120</v>
      </c>
      <c r="B44" s="14" t="s">
        <v>590</v>
      </c>
      <c r="C44" s="16">
        <f>VLOOKUP(A44,[4]RawData!Z:AA,2,FALSE)</f>
        <v>42761.040972222225</v>
      </c>
      <c r="D44" s="14" t="s">
        <v>823</v>
      </c>
      <c r="E44" s="14" t="s">
        <v>824</v>
      </c>
      <c r="F44" s="14" t="s">
        <v>825</v>
      </c>
      <c r="G44" s="14" t="s">
        <v>826</v>
      </c>
      <c r="H44" s="14" t="s">
        <v>827</v>
      </c>
      <c r="I44" s="14" t="s">
        <v>738</v>
      </c>
      <c r="J44" s="14" t="s">
        <v>739</v>
      </c>
      <c r="L44" s="14">
        <v>2</v>
      </c>
      <c r="M44" s="14">
        <v>6</v>
      </c>
      <c r="N44" s="14" t="s">
        <v>828</v>
      </c>
      <c r="U44" s="14">
        <v>0</v>
      </c>
      <c r="AB44" s="14">
        <v>0</v>
      </c>
      <c r="AI44" s="14">
        <v>0</v>
      </c>
      <c r="AP44" s="14">
        <v>0</v>
      </c>
      <c r="AW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R44" s="14">
        <v>0</v>
      </c>
      <c r="BY44" s="14">
        <v>0</v>
      </c>
      <c r="CF44" s="14">
        <v>0</v>
      </c>
      <c r="CM44" s="14">
        <v>0</v>
      </c>
      <c r="CT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 t="s">
        <v>598</v>
      </c>
      <c r="DJ44" s="14" t="s">
        <v>598</v>
      </c>
      <c r="DK44" s="14" t="s">
        <v>598</v>
      </c>
      <c r="DL44" s="14" t="s">
        <v>598</v>
      </c>
      <c r="DM44" s="14" t="s">
        <v>598</v>
      </c>
      <c r="DN44" s="14" t="s">
        <v>598</v>
      </c>
      <c r="DO44" s="14" t="s">
        <v>598</v>
      </c>
      <c r="DP44" s="14" t="s">
        <v>598</v>
      </c>
      <c r="DQ44" s="14" t="s">
        <v>598</v>
      </c>
      <c r="DR44" s="14" t="s">
        <v>598</v>
      </c>
      <c r="DS44" s="14" t="s">
        <v>598</v>
      </c>
      <c r="DT44" s="14" t="s">
        <v>598</v>
      </c>
      <c r="DU44" s="14" t="s">
        <v>598</v>
      </c>
      <c r="DV44" s="14" t="s">
        <v>598</v>
      </c>
      <c r="DW44" s="14" t="s">
        <v>598</v>
      </c>
      <c r="DX44" s="14" t="s">
        <v>598</v>
      </c>
      <c r="DY44" s="14" t="s">
        <v>598</v>
      </c>
      <c r="DZ44" s="14" t="s">
        <v>598</v>
      </c>
      <c r="EA44" s="14" t="s">
        <v>598</v>
      </c>
      <c r="EB44" s="14" t="s">
        <v>598</v>
      </c>
      <c r="EC44" s="14" t="s">
        <v>598</v>
      </c>
      <c r="ED44" s="14" t="s">
        <v>598</v>
      </c>
      <c r="EE44" s="14" t="s">
        <v>598</v>
      </c>
      <c r="EF44" s="14" t="s">
        <v>598</v>
      </c>
      <c r="EG44" s="14" t="s">
        <v>598</v>
      </c>
      <c r="EH44" s="14" t="s">
        <v>598</v>
      </c>
      <c r="EI44" s="14" t="s">
        <v>598</v>
      </c>
      <c r="EJ44" s="14" t="s">
        <v>598</v>
      </c>
      <c r="EK44" s="14" t="s">
        <v>598</v>
      </c>
      <c r="EL44" s="14" t="s">
        <v>598</v>
      </c>
      <c r="EM44" s="14" t="s">
        <v>598</v>
      </c>
      <c r="EN44" s="14" t="s">
        <v>598</v>
      </c>
      <c r="EO44" s="14" t="s">
        <v>598</v>
      </c>
      <c r="EP44" s="14" t="s">
        <v>598</v>
      </c>
      <c r="EQ44" s="14" t="s">
        <v>598</v>
      </c>
      <c r="ER44" s="14" t="s">
        <v>598</v>
      </c>
      <c r="EY44" s="14">
        <v>0</v>
      </c>
      <c r="FF44" s="14">
        <v>0</v>
      </c>
      <c r="FM44" s="14">
        <v>0</v>
      </c>
      <c r="FT44" s="14">
        <v>0</v>
      </c>
      <c r="GA44" s="14">
        <v>0</v>
      </c>
      <c r="GH44" s="14">
        <v>0</v>
      </c>
      <c r="GO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K44" s="14">
        <v>0</v>
      </c>
      <c r="HR44" s="14">
        <v>0</v>
      </c>
      <c r="HY44" s="14">
        <v>0</v>
      </c>
      <c r="IF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Z44" s="14">
        <v>1</v>
      </c>
      <c r="JA44" s="14">
        <v>3</v>
      </c>
      <c r="JB44" s="14">
        <v>1</v>
      </c>
      <c r="JC44" s="14" t="s">
        <v>600</v>
      </c>
      <c r="NF44" s="14" t="s">
        <v>601</v>
      </c>
      <c r="RI44" s="14" t="s">
        <v>602</v>
      </c>
      <c r="VL44" s="14" t="s">
        <v>603</v>
      </c>
      <c r="ZO44" s="14" t="s">
        <v>604</v>
      </c>
      <c r="ADR44" s="14" t="s">
        <v>605</v>
      </c>
    </row>
    <row r="45" spans="1:798" x14ac:dyDescent="0.25">
      <c r="A45" s="14">
        <v>118</v>
      </c>
      <c r="B45" s="14" t="s">
        <v>590</v>
      </c>
      <c r="C45" s="16">
        <f>VLOOKUP(A45,[4]RawData!Z:AA,2,FALSE)</f>
        <v>42760.336805555555</v>
      </c>
      <c r="D45" s="14" t="s">
        <v>829</v>
      </c>
      <c r="E45" s="14" t="s">
        <v>830</v>
      </c>
      <c r="F45" s="14" t="s">
        <v>831</v>
      </c>
      <c r="G45" s="14" t="s">
        <v>832</v>
      </c>
      <c r="H45" s="14">
        <v>85297392141</v>
      </c>
      <c r="I45" s="14" t="s">
        <v>659</v>
      </c>
      <c r="J45" s="14" t="s">
        <v>833</v>
      </c>
      <c r="L45" s="14">
        <v>1</v>
      </c>
      <c r="O45" s="14">
        <v>811</v>
      </c>
      <c r="U45" s="14">
        <v>811</v>
      </c>
      <c r="AB45" s="14">
        <v>0</v>
      </c>
      <c r="AI45" s="14">
        <v>0</v>
      </c>
      <c r="AP45" s="14">
        <v>0</v>
      </c>
      <c r="AW45" s="14">
        <v>0</v>
      </c>
      <c r="BD45" s="14">
        <v>0</v>
      </c>
      <c r="BE45" s="14">
        <v>811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811</v>
      </c>
      <c r="BL45" s="14">
        <v>1</v>
      </c>
      <c r="BR45" s="14">
        <v>1</v>
      </c>
      <c r="BY45" s="14">
        <v>0</v>
      </c>
      <c r="CF45" s="14">
        <v>0</v>
      </c>
      <c r="CM45" s="14">
        <v>0</v>
      </c>
      <c r="CT45" s="14">
        <v>0</v>
      </c>
      <c r="DA45" s="14">
        <v>0</v>
      </c>
      <c r="DB45" s="14">
        <v>1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1</v>
      </c>
      <c r="DI45" s="14" t="s">
        <v>597</v>
      </c>
      <c r="DJ45" s="14" t="s">
        <v>598</v>
      </c>
      <c r="DK45" s="14" t="s">
        <v>598</v>
      </c>
      <c r="DL45" s="14" t="s">
        <v>598</v>
      </c>
      <c r="DM45" s="14" t="s">
        <v>598</v>
      </c>
      <c r="DN45" s="14" t="s">
        <v>598</v>
      </c>
      <c r="DO45" s="14" t="s">
        <v>598</v>
      </c>
      <c r="DP45" s="14" t="s">
        <v>598</v>
      </c>
      <c r="DQ45" s="14" t="s">
        <v>598</v>
      </c>
      <c r="DR45" s="14" t="s">
        <v>598</v>
      </c>
      <c r="DS45" s="14" t="s">
        <v>598</v>
      </c>
      <c r="DT45" s="14" t="s">
        <v>598</v>
      </c>
      <c r="DU45" s="14" t="s">
        <v>598</v>
      </c>
      <c r="DV45" s="14" t="s">
        <v>598</v>
      </c>
      <c r="DW45" s="14" t="s">
        <v>598</v>
      </c>
      <c r="DX45" s="14" t="s">
        <v>598</v>
      </c>
      <c r="DY45" s="14" t="s">
        <v>598</v>
      </c>
      <c r="DZ45" s="14" t="s">
        <v>598</v>
      </c>
      <c r="EA45" s="14" t="s">
        <v>598</v>
      </c>
      <c r="EB45" s="14" t="s">
        <v>598</v>
      </c>
      <c r="EC45" s="14" t="s">
        <v>598</v>
      </c>
      <c r="ED45" s="14" t="s">
        <v>598</v>
      </c>
      <c r="EE45" s="14" t="s">
        <v>598</v>
      </c>
      <c r="EF45" s="14" t="s">
        <v>598</v>
      </c>
      <c r="EG45" s="14" t="s">
        <v>598</v>
      </c>
      <c r="EH45" s="14" t="s">
        <v>598</v>
      </c>
      <c r="EI45" s="14" t="s">
        <v>598</v>
      </c>
      <c r="EJ45" s="14" t="s">
        <v>598</v>
      </c>
      <c r="EK45" s="14" t="s">
        <v>598</v>
      </c>
      <c r="EL45" s="14" t="s">
        <v>598</v>
      </c>
      <c r="EM45" s="14" t="s">
        <v>598</v>
      </c>
      <c r="EN45" s="14" t="s">
        <v>598</v>
      </c>
      <c r="EO45" s="14" t="s">
        <v>598</v>
      </c>
      <c r="EP45" s="14" t="s">
        <v>598</v>
      </c>
      <c r="EQ45" s="14" t="s">
        <v>598</v>
      </c>
      <c r="ER45" s="14" t="s">
        <v>598</v>
      </c>
      <c r="ES45" s="14">
        <v>711</v>
      </c>
      <c r="EY45" s="14">
        <v>711</v>
      </c>
      <c r="FF45" s="14">
        <v>0</v>
      </c>
      <c r="FM45" s="14">
        <v>0</v>
      </c>
      <c r="FT45" s="14">
        <v>0</v>
      </c>
      <c r="GA45" s="14">
        <v>0</v>
      </c>
      <c r="GH45" s="14">
        <v>0</v>
      </c>
      <c r="GI45" s="14">
        <v>100</v>
      </c>
      <c r="GO45" s="14">
        <v>100</v>
      </c>
      <c r="GW45" s="14">
        <v>0</v>
      </c>
      <c r="GX45" s="14">
        <v>811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811</v>
      </c>
      <c r="HK45" s="14">
        <v>0</v>
      </c>
      <c r="HL45" s="14">
        <v>811</v>
      </c>
      <c r="HR45" s="14">
        <v>811</v>
      </c>
      <c r="HY45" s="14">
        <v>0</v>
      </c>
      <c r="IF45" s="14">
        <v>0</v>
      </c>
      <c r="IM45" s="14">
        <v>0</v>
      </c>
      <c r="IN45" s="14">
        <v>811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811</v>
      </c>
      <c r="IU45" s="14">
        <v>100</v>
      </c>
      <c r="IZ45" s="14">
        <v>2</v>
      </c>
      <c r="JA45" s="14">
        <v>2</v>
      </c>
      <c r="JB45" s="14">
        <v>1</v>
      </c>
      <c r="JC45" s="14" t="s">
        <v>600</v>
      </c>
      <c r="JD45" s="14">
        <v>811</v>
      </c>
      <c r="JJ45" s="14">
        <v>811</v>
      </c>
      <c r="JQ45" s="14">
        <v>0</v>
      </c>
      <c r="JX45" s="14">
        <v>0</v>
      </c>
      <c r="KE45" s="14">
        <v>0</v>
      </c>
      <c r="KL45" s="14">
        <v>0</v>
      </c>
      <c r="KS45" s="14">
        <v>0</v>
      </c>
      <c r="KZ45" s="14">
        <v>0</v>
      </c>
      <c r="LH45" s="14">
        <v>0</v>
      </c>
      <c r="LI45" s="14">
        <v>811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14">
        <v>811</v>
      </c>
      <c r="LP45" s="14">
        <v>811</v>
      </c>
      <c r="LV45" s="14">
        <v>811</v>
      </c>
      <c r="MC45" s="14">
        <v>0</v>
      </c>
      <c r="MJ45" s="14">
        <v>0</v>
      </c>
      <c r="MQ45" s="14">
        <v>0</v>
      </c>
      <c r="MX45" s="14">
        <v>0</v>
      </c>
      <c r="MY45" s="14">
        <v>811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811</v>
      </c>
      <c r="NF45" s="14" t="s">
        <v>601</v>
      </c>
      <c r="RI45" s="14" t="s">
        <v>602</v>
      </c>
      <c r="VL45" s="14" t="s">
        <v>603</v>
      </c>
      <c r="ZO45" s="14" t="s">
        <v>604</v>
      </c>
      <c r="ADR45" s="14" t="s">
        <v>605</v>
      </c>
    </row>
    <row r="46" spans="1:798" x14ac:dyDescent="0.25">
      <c r="A46" s="14">
        <v>241</v>
      </c>
      <c r="B46" s="14" t="s">
        <v>590</v>
      </c>
      <c r="C46" s="16">
        <f>$C$3</f>
        <v>42780</v>
      </c>
      <c r="D46" s="14" t="s">
        <v>834</v>
      </c>
      <c r="E46" s="14" t="s">
        <v>835</v>
      </c>
      <c r="F46" s="14" t="s">
        <v>836</v>
      </c>
      <c r="G46" s="14" t="s">
        <v>837</v>
      </c>
      <c r="H46" s="14" t="s">
        <v>838</v>
      </c>
      <c r="I46" s="14" t="s">
        <v>738</v>
      </c>
      <c r="J46" s="14" t="s">
        <v>739</v>
      </c>
      <c r="L46" s="14">
        <v>1</v>
      </c>
      <c r="O46" s="14">
        <v>100</v>
      </c>
      <c r="P46" s="14">
        <v>300</v>
      </c>
      <c r="U46" s="14">
        <v>400</v>
      </c>
      <c r="AB46" s="14">
        <v>0</v>
      </c>
      <c r="AI46" s="14">
        <v>0</v>
      </c>
      <c r="AP46" s="14">
        <v>0</v>
      </c>
      <c r="AW46" s="14">
        <v>0</v>
      </c>
      <c r="BD46" s="14">
        <v>0</v>
      </c>
      <c r="BE46" s="14">
        <v>100</v>
      </c>
      <c r="BF46" s="14">
        <v>300</v>
      </c>
      <c r="BG46" s="14">
        <v>0</v>
      </c>
      <c r="BH46" s="14">
        <v>0</v>
      </c>
      <c r="BI46" s="14">
        <v>0</v>
      </c>
      <c r="BJ46" s="14">
        <v>0</v>
      </c>
      <c r="BK46" s="14">
        <v>400</v>
      </c>
      <c r="BL46" s="14">
        <v>2</v>
      </c>
      <c r="BM46" s="14">
        <v>3</v>
      </c>
      <c r="BR46" s="14">
        <v>5</v>
      </c>
      <c r="BY46" s="14">
        <v>0</v>
      </c>
      <c r="CF46" s="14">
        <v>0</v>
      </c>
      <c r="CM46" s="14">
        <v>0</v>
      </c>
      <c r="CT46" s="14">
        <v>0</v>
      </c>
      <c r="DA46" s="14">
        <v>0</v>
      </c>
      <c r="DB46" s="14">
        <v>2</v>
      </c>
      <c r="DC46" s="14">
        <v>3</v>
      </c>
      <c r="DD46" s="14">
        <v>0</v>
      </c>
      <c r="DE46" s="14">
        <v>0</v>
      </c>
      <c r="DF46" s="14">
        <v>0</v>
      </c>
      <c r="DG46" s="14">
        <v>0</v>
      </c>
      <c r="DH46" s="14">
        <v>5</v>
      </c>
      <c r="DI46" s="14" t="s">
        <v>597</v>
      </c>
      <c r="DJ46" s="14" t="s">
        <v>597</v>
      </c>
      <c r="DK46" s="14" t="s">
        <v>598</v>
      </c>
      <c r="DL46" s="14" t="s">
        <v>598</v>
      </c>
      <c r="DM46" s="14" t="s">
        <v>598</v>
      </c>
      <c r="DN46" s="14" t="s">
        <v>598</v>
      </c>
      <c r="DO46" s="14" t="s">
        <v>598</v>
      </c>
      <c r="DP46" s="14" t="s">
        <v>598</v>
      </c>
      <c r="DQ46" s="14" t="s">
        <v>598</v>
      </c>
      <c r="DR46" s="14" t="s">
        <v>598</v>
      </c>
      <c r="DS46" s="14" t="s">
        <v>598</v>
      </c>
      <c r="DT46" s="14" t="s">
        <v>598</v>
      </c>
      <c r="DU46" s="14" t="s">
        <v>598</v>
      </c>
      <c r="DV46" s="14" t="s">
        <v>598</v>
      </c>
      <c r="DW46" s="14" t="s">
        <v>598</v>
      </c>
      <c r="DX46" s="14" t="s">
        <v>598</v>
      </c>
      <c r="DY46" s="14" t="s">
        <v>598</v>
      </c>
      <c r="DZ46" s="14" t="s">
        <v>598</v>
      </c>
      <c r="EA46" s="14" t="s">
        <v>598</v>
      </c>
      <c r="EB46" s="14" t="s">
        <v>598</v>
      </c>
      <c r="EC46" s="14" t="s">
        <v>598</v>
      </c>
      <c r="ED46" s="14" t="s">
        <v>598</v>
      </c>
      <c r="EE46" s="14" t="s">
        <v>598</v>
      </c>
      <c r="EF46" s="14" t="s">
        <v>598</v>
      </c>
      <c r="EG46" s="14" t="s">
        <v>598</v>
      </c>
      <c r="EH46" s="14" t="s">
        <v>598</v>
      </c>
      <c r="EI46" s="14" t="s">
        <v>598</v>
      </c>
      <c r="EJ46" s="14" t="s">
        <v>598</v>
      </c>
      <c r="EK46" s="14" t="s">
        <v>598</v>
      </c>
      <c r="EL46" s="14" t="s">
        <v>598</v>
      </c>
      <c r="EM46" s="14" t="s">
        <v>598</v>
      </c>
      <c r="EN46" s="14" t="s">
        <v>598</v>
      </c>
      <c r="EO46" s="14" t="s">
        <v>598</v>
      </c>
      <c r="EP46" s="14" t="s">
        <v>598</v>
      </c>
      <c r="EQ46" s="14" t="s">
        <v>598</v>
      </c>
      <c r="ER46" s="14" t="s">
        <v>598</v>
      </c>
      <c r="EY46" s="14">
        <v>0</v>
      </c>
      <c r="FF46" s="14">
        <v>0</v>
      </c>
      <c r="FM46" s="14">
        <v>0</v>
      </c>
      <c r="FT46" s="14">
        <v>0</v>
      </c>
      <c r="GA46" s="14">
        <v>0</v>
      </c>
      <c r="GH46" s="14">
        <v>0</v>
      </c>
      <c r="GO46" s="14">
        <v>0</v>
      </c>
      <c r="GP46" s="14" t="s">
        <v>839</v>
      </c>
      <c r="GQ46" s="14">
        <v>100</v>
      </c>
      <c r="GR46" s="14">
        <v>300</v>
      </c>
      <c r="GW46" s="14">
        <v>400</v>
      </c>
      <c r="GX46" s="14">
        <v>100</v>
      </c>
      <c r="GY46" s="14">
        <v>300</v>
      </c>
      <c r="GZ46" s="14">
        <v>0</v>
      </c>
      <c r="HA46" s="14">
        <v>0</v>
      </c>
      <c r="HB46" s="14">
        <v>0</v>
      </c>
      <c r="HC46" s="14">
        <v>0</v>
      </c>
      <c r="HD46" s="14">
        <v>400</v>
      </c>
      <c r="HE46" s="14">
        <v>100</v>
      </c>
      <c r="HF46" s="14">
        <v>300</v>
      </c>
      <c r="HK46" s="14">
        <v>400</v>
      </c>
      <c r="HR46" s="14">
        <v>0</v>
      </c>
      <c r="HY46" s="14">
        <v>0</v>
      </c>
      <c r="IF46" s="14">
        <v>0</v>
      </c>
      <c r="IM46" s="14">
        <v>0</v>
      </c>
      <c r="IN46" s="14">
        <v>100</v>
      </c>
      <c r="IO46" s="14">
        <v>300</v>
      </c>
      <c r="IP46" s="14">
        <v>0</v>
      </c>
      <c r="IQ46" s="14">
        <v>0</v>
      </c>
      <c r="IR46" s="14">
        <v>0</v>
      </c>
      <c r="IS46" s="14">
        <v>0</v>
      </c>
      <c r="IT46" s="14">
        <v>400</v>
      </c>
      <c r="IU46" s="14">
        <v>10</v>
      </c>
      <c r="IW46" s="14">
        <v>90</v>
      </c>
      <c r="IY46" s="14">
        <v>0</v>
      </c>
      <c r="IZ46" s="14">
        <v>1</v>
      </c>
      <c r="JA46" s="14">
        <v>3</v>
      </c>
      <c r="JB46" s="14">
        <v>1</v>
      </c>
      <c r="JC46" s="14" t="s">
        <v>600</v>
      </c>
      <c r="JJ46" s="14">
        <v>0</v>
      </c>
      <c r="JQ46" s="14">
        <v>0</v>
      </c>
      <c r="JX46" s="14">
        <v>0</v>
      </c>
      <c r="KE46" s="14">
        <v>0</v>
      </c>
      <c r="KL46" s="14">
        <v>0</v>
      </c>
      <c r="KS46" s="14">
        <v>0</v>
      </c>
      <c r="KZ46" s="14">
        <v>0</v>
      </c>
      <c r="LA46" s="14" t="s">
        <v>840</v>
      </c>
      <c r="LB46" s="14">
        <v>100</v>
      </c>
      <c r="LC46" s="14">
        <v>300</v>
      </c>
      <c r="LH46" s="14">
        <v>400</v>
      </c>
      <c r="LI46" s="14">
        <v>100</v>
      </c>
      <c r="LJ46" s="14">
        <v>300</v>
      </c>
      <c r="LK46" s="14">
        <v>0</v>
      </c>
      <c r="LL46" s="14">
        <v>0</v>
      </c>
      <c r="LM46" s="14">
        <v>0</v>
      </c>
      <c r="LN46" s="14">
        <v>0</v>
      </c>
      <c r="LO46" s="14">
        <v>400</v>
      </c>
      <c r="LV46" s="14">
        <v>0</v>
      </c>
      <c r="LW46" s="14">
        <v>100</v>
      </c>
      <c r="LX46" s="14">
        <v>300</v>
      </c>
      <c r="MC46" s="14">
        <v>400</v>
      </c>
      <c r="MJ46" s="14">
        <v>0</v>
      </c>
      <c r="MQ46" s="14">
        <v>0</v>
      </c>
      <c r="MX46" s="14">
        <v>0</v>
      </c>
      <c r="MY46" s="14">
        <v>100</v>
      </c>
      <c r="MZ46" s="14">
        <v>300</v>
      </c>
      <c r="NA46" s="14">
        <v>0</v>
      </c>
      <c r="NB46" s="14">
        <v>0</v>
      </c>
      <c r="NC46" s="14">
        <v>0</v>
      </c>
      <c r="ND46" s="14">
        <v>0</v>
      </c>
      <c r="NE46" s="14">
        <v>400</v>
      </c>
      <c r="NF46" s="14" t="s">
        <v>601</v>
      </c>
      <c r="RI46" s="14" t="s">
        <v>602</v>
      </c>
      <c r="VL46" s="14" t="s">
        <v>603</v>
      </c>
      <c r="ZO46" s="14" t="s">
        <v>604</v>
      </c>
      <c r="ADR46" s="14" t="s">
        <v>605</v>
      </c>
    </row>
    <row r="47" spans="1:798" x14ac:dyDescent="0.25">
      <c r="A47" s="14">
        <v>87</v>
      </c>
      <c r="B47" s="14" t="s">
        <v>590</v>
      </c>
      <c r="C47" s="16">
        <f>VLOOKUP(A47,[4]RawData!Z:AA,2,FALSE)</f>
        <v>42748.282638888886</v>
      </c>
      <c r="D47" s="14" t="s">
        <v>841</v>
      </c>
      <c r="E47" s="14" t="s">
        <v>842</v>
      </c>
      <c r="F47" s="14" t="s">
        <v>843</v>
      </c>
      <c r="G47" s="14" t="s">
        <v>844</v>
      </c>
      <c r="H47" s="14" t="s">
        <v>845</v>
      </c>
      <c r="I47" s="14" t="s">
        <v>777</v>
      </c>
      <c r="J47" s="14" t="s">
        <v>596</v>
      </c>
      <c r="L47" s="14">
        <v>2</v>
      </c>
      <c r="M47" s="14">
        <v>6</v>
      </c>
      <c r="N47" s="14" t="s">
        <v>846</v>
      </c>
      <c r="U47" s="14">
        <v>0</v>
      </c>
      <c r="AB47" s="14">
        <v>0</v>
      </c>
      <c r="AI47" s="14">
        <v>0</v>
      </c>
      <c r="AP47" s="14">
        <v>0</v>
      </c>
      <c r="AW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R47" s="14">
        <v>0</v>
      </c>
      <c r="BY47" s="14">
        <v>0</v>
      </c>
      <c r="CF47" s="14">
        <v>0</v>
      </c>
      <c r="CM47" s="14">
        <v>0</v>
      </c>
      <c r="CT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 t="s">
        <v>598</v>
      </c>
      <c r="DJ47" s="14" t="s">
        <v>598</v>
      </c>
      <c r="DK47" s="14" t="s">
        <v>598</v>
      </c>
      <c r="DL47" s="14" t="s">
        <v>598</v>
      </c>
      <c r="DM47" s="14" t="s">
        <v>598</v>
      </c>
      <c r="DN47" s="14" t="s">
        <v>598</v>
      </c>
      <c r="DO47" s="14" t="s">
        <v>598</v>
      </c>
      <c r="DP47" s="14" t="s">
        <v>598</v>
      </c>
      <c r="DQ47" s="14" t="s">
        <v>598</v>
      </c>
      <c r="DR47" s="14" t="s">
        <v>598</v>
      </c>
      <c r="DS47" s="14" t="s">
        <v>598</v>
      </c>
      <c r="DT47" s="14" t="s">
        <v>598</v>
      </c>
      <c r="DU47" s="14" t="s">
        <v>598</v>
      </c>
      <c r="DV47" s="14" t="s">
        <v>598</v>
      </c>
      <c r="DW47" s="14" t="s">
        <v>598</v>
      </c>
      <c r="DX47" s="14" t="s">
        <v>598</v>
      </c>
      <c r="DY47" s="14" t="s">
        <v>598</v>
      </c>
      <c r="DZ47" s="14" t="s">
        <v>598</v>
      </c>
      <c r="EA47" s="14" t="s">
        <v>598</v>
      </c>
      <c r="EB47" s="14" t="s">
        <v>598</v>
      </c>
      <c r="EC47" s="14" t="s">
        <v>598</v>
      </c>
      <c r="ED47" s="14" t="s">
        <v>598</v>
      </c>
      <c r="EE47" s="14" t="s">
        <v>598</v>
      </c>
      <c r="EF47" s="14" t="s">
        <v>598</v>
      </c>
      <c r="EG47" s="14" t="s">
        <v>598</v>
      </c>
      <c r="EH47" s="14" t="s">
        <v>598</v>
      </c>
      <c r="EI47" s="14" t="s">
        <v>598</v>
      </c>
      <c r="EJ47" s="14" t="s">
        <v>598</v>
      </c>
      <c r="EK47" s="14" t="s">
        <v>598</v>
      </c>
      <c r="EL47" s="14" t="s">
        <v>598</v>
      </c>
      <c r="EM47" s="14" t="s">
        <v>598</v>
      </c>
      <c r="EN47" s="14" t="s">
        <v>598</v>
      </c>
      <c r="EO47" s="14" t="s">
        <v>598</v>
      </c>
      <c r="EP47" s="14" t="s">
        <v>598</v>
      </c>
      <c r="EQ47" s="14" t="s">
        <v>598</v>
      </c>
      <c r="ER47" s="14" t="s">
        <v>598</v>
      </c>
      <c r="EY47" s="14">
        <v>0</v>
      </c>
      <c r="FF47" s="14">
        <v>0</v>
      </c>
      <c r="FM47" s="14">
        <v>0</v>
      </c>
      <c r="FT47" s="14">
        <v>0</v>
      </c>
      <c r="GA47" s="14">
        <v>0</v>
      </c>
      <c r="GH47" s="14">
        <v>0</v>
      </c>
      <c r="GO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K47" s="14">
        <v>0</v>
      </c>
      <c r="HR47" s="14">
        <v>0</v>
      </c>
      <c r="HY47" s="14">
        <v>0</v>
      </c>
      <c r="IF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Z47" s="14">
        <v>1</v>
      </c>
      <c r="JA47" s="14">
        <v>1</v>
      </c>
      <c r="JB47" s="14">
        <v>2</v>
      </c>
      <c r="JC47" s="14" t="s">
        <v>600</v>
      </c>
      <c r="NF47" s="14" t="s">
        <v>601</v>
      </c>
      <c r="RI47" s="14" t="s">
        <v>602</v>
      </c>
      <c r="VL47" s="14" t="s">
        <v>603</v>
      </c>
      <c r="ZO47" s="14" t="s">
        <v>604</v>
      </c>
      <c r="ADR47" s="14" t="s">
        <v>605</v>
      </c>
    </row>
    <row r="48" spans="1:798" x14ac:dyDescent="0.25">
      <c r="A48" s="14">
        <v>97</v>
      </c>
      <c r="B48" s="14" t="s">
        <v>590</v>
      </c>
      <c r="C48" s="16">
        <f>$C$3</f>
        <v>42780</v>
      </c>
      <c r="D48" s="14" t="s">
        <v>847</v>
      </c>
      <c r="E48" s="14" t="s">
        <v>848</v>
      </c>
      <c r="F48" s="14" t="s">
        <v>849</v>
      </c>
      <c r="G48" s="14" t="s">
        <v>850</v>
      </c>
      <c r="H48" s="14">
        <v>6592469260</v>
      </c>
      <c r="I48" s="14" t="s">
        <v>624</v>
      </c>
      <c r="J48" s="14" t="s">
        <v>625</v>
      </c>
      <c r="L48" s="14">
        <v>1</v>
      </c>
      <c r="O48" s="14">
        <v>150</v>
      </c>
      <c r="P48" s="14">
        <v>300</v>
      </c>
      <c r="U48" s="14">
        <v>450</v>
      </c>
      <c r="AB48" s="14">
        <v>0</v>
      </c>
      <c r="AI48" s="14">
        <v>0</v>
      </c>
      <c r="AP48" s="14">
        <v>0</v>
      </c>
      <c r="AW48" s="14">
        <v>0</v>
      </c>
      <c r="BD48" s="14">
        <v>0</v>
      </c>
      <c r="BE48" s="14">
        <v>150</v>
      </c>
      <c r="BF48" s="14">
        <v>300</v>
      </c>
      <c r="BG48" s="14">
        <v>0</v>
      </c>
      <c r="BH48" s="14">
        <v>0</v>
      </c>
      <c r="BI48" s="14">
        <v>0</v>
      </c>
      <c r="BJ48" s="14">
        <v>0</v>
      </c>
      <c r="BK48" s="14">
        <v>450</v>
      </c>
      <c r="BL48" s="14">
        <v>1</v>
      </c>
      <c r="BM48" s="14">
        <v>2</v>
      </c>
      <c r="BR48" s="14">
        <v>3</v>
      </c>
      <c r="BY48" s="14">
        <v>0</v>
      </c>
      <c r="CF48" s="14">
        <v>0</v>
      </c>
      <c r="CM48" s="14">
        <v>0</v>
      </c>
      <c r="CT48" s="14">
        <v>0</v>
      </c>
      <c r="DA48" s="14">
        <v>0</v>
      </c>
      <c r="DB48" s="14">
        <v>1</v>
      </c>
      <c r="DC48" s="14">
        <v>2</v>
      </c>
      <c r="DD48" s="14">
        <v>0</v>
      </c>
      <c r="DE48" s="14">
        <v>0</v>
      </c>
      <c r="DF48" s="14">
        <v>0</v>
      </c>
      <c r="DG48" s="14">
        <v>0</v>
      </c>
      <c r="DH48" s="14">
        <v>3</v>
      </c>
      <c r="DI48" s="14" t="s">
        <v>597</v>
      </c>
      <c r="DJ48" s="14" t="s">
        <v>597</v>
      </c>
      <c r="DK48" s="14" t="s">
        <v>598</v>
      </c>
      <c r="DL48" s="14" t="s">
        <v>598</v>
      </c>
      <c r="DM48" s="14" t="s">
        <v>598</v>
      </c>
      <c r="DN48" s="14" t="s">
        <v>598</v>
      </c>
      <c r="DO48" s="14" t="s">
        <v>598</v>
      </c>
      <c r="DP48" s="14" t="s">
        <v>598</v>
      </c>
      <c r="DQ48" s="14" t="s">
        <v>598</v>
      </c>
      <c r="DR48" s="14" t="s">
        <v>598</v>
      </c>
      <c r="DS48" s="14" t="s">
        <v>598</v>
      </c>
      <c r="DT48" s="14" t="s">
        <v>598</v>
      </c>
      <c r="DU48" s="14" t="s">
        <v>598</v>
      </c>
      <c r="DV48" s="14" t="s">
        <v>598</v>
      </c>
      <c r="DW48" s="14" t="s">
        <v>598</v>
      </c>
      <c r="DX48" s="14" t="s">
        <v>598</v>
      </c>
      <c r="DY48" s="14" t="s">
        <v>598</v>
      </c>
      <c r="DZ48" s="14" t="s">
        <v>598</v>
      </c>
      <c r="EA48" s="14" t="s">
        <v>598</v>
      </c>
      <c r="EB48" s="14" t="s">
        <v>598</v>
      </c>
      <c r="EC48" s="14" t="s">
        <v>598</v>
      </c>
      <c r="ED48" s="14" t="s">
        <v>598</v>
      </c>
      <c r="EE48" s="14" t="s">
        <v>598</v>
      </c>
      <c r="EF48" s="14" t="s">
        <v>598</v>
      </c>
      <c r="EG48" s="14" t="s">
        <v>598</v>
      </c>
      <c r="EH48" s="14" t="s">
        <v>598</v>
      </c>
      <c r="EI48" s="14" t="s">
        <v>598</v>
      </c>
      <c r="EJ48" s="14" t="s">
        <v>598</v>
      </c>
      <c r="EK48" s="14" t="s">
        <v>598</v>
      </c>
      <c r="EL48" s="14" t="s">
        <v>598</v>
      </c>
      <c r="EM48" s="14" t="s">
        <v>598</v>
      </c>
      <c r="EN48" s="14" t="s">
        <v>598</v>
      </c>
      <c r="EO48" s="14" t="s">
        <v>598</v>
      </c>
      <c r="EP48" s="14" t="s">
        <v>598</v>
      </c>
      <c r="EQ48" s="14" t="s">
        <v>598</v>
      </c>
      <c r="ER48" s="14" t="s">
        <v>598</v>
      </c>
      <c r="ES48" s="14">
        <v>150</v>
      </c>
      <c r="ET48" s="14">
        <v>300</v>
      </c>
      <c r="EY48" s="14">
        <v>450</v>
      </c>
      <c r="FF48" s="14">
        <v>0</v>
      </c>
      <c r="FM48" s="14">
        <v>0</v>
      </c>
      <c r="FT48" s="14">
        <v>0</v>
      </c>
      <c r="GA48" s="14">
        <v>0</v>
      </c>
      <c r="GH48" s="14">
        <v>0</v>
      </c>
      <c r="GO48" s="14">
        <v>0</v>
      </c>
      <c r="GW48" s="14">
        <v>0</v>
      </c>
      <c r="GX48" s="14">
        <v>150</v>
      </c>
      <c r="GY48" s="14">
        <v>300</v>
      </c>
      <c r="GZ48" s="14">
        <v>0</v>
      </c>
      <c r="HA48" s="14">
        <v>0</v>
      </c>
      <c r="HB48" s="14">
        <v>0</v>
      </c>
      <c r="HC48" s="14">
        <v>0</v>
      </c>
      <c r="HD48" s="14">
        <v>450</v>
      </c>
      <c r="HE48" s="14">
        <v>150</v>
      </c>
      <c r="HF48" s="14">
        <v>300</v>
      </c>
      <c r="HK48" s="14">
        <v>450</v>
      </c>
      <c r="HR48" s="14">
        <v>0</v>
      </c>
      <c r="HY48" s="14">
        <v>0</v>
      </c>
      <c r="IF48" s="14">
        <v>0</v>
      </c>
      <c r="IM48" s="14">
        <v>0</v>
      </c>
      <c r="IN48" s="14">
        <v>150</v>
      </c>
      <c r="IO48" s="14">
        <v>300</v>
      </c>
      <c r="IP48" s="14">
        <v>0</v>
      </c>
      <c r="IQ48" s="14">
        <v>0</v>
      </c>
      <c r="IR48" s="14">
        <v>0</v>
      </c>
      <c r="IS48" s="14">
        <v>0</v>
      </c>
      <c r="IT48" s="14">
        <v>450</v>
      </c>
      <c r="IW48" s="14">
        <v>100</v>
      </c>
      <c r="IZ48" s="14">
        <v>1</v>
      </c>
      <c r="JA48" s="14">
        <v>2</v>
      </c>
      <c r="JB48" s="14">
        <v>1</v>
      </c>
      <c r="JC48" s="14" t="s">
        <v>600</v>
      </c>
      <c r="JD48" s="14">
        <v>150</v>
      </c>
      <c r="JE48" s="14">
        <v>300</v>
      </c>
      <c r="JJ48" s="14">
        <v>450</v>
      </c>
      <c r="JQ48" s="14">
        <v>0</v>
      </c>
      <c r="JX48" s="14">
        <v>0</v>
      </c>
      <c r="KE48" s="14">
        <v>0</v>
      </c>
      <c r="KL48" s="14">
        <v>0</v>
      </c>
      <c r="KS48" s="14">
        <v>0</v>
      </c>
      <c r="KZ48" s="14">
        <v>0</v>
      </c>
      <c r="LH48" s="14">
        <v>0</v>
      </c>
      <c r="LI48" s="14">
        <v>150</v>
      </c>
      <c r="LJ48" s="14">
        <v>300</v>
      </c>
      <c r="LK48" s="14">
        <v>0</v>
      </c>
      <c r="LL48" s="14">
        <v>0</v>
      </c>
      <c r="LM48" s="14">
        <v>0</v>
      </c>
      <c r="LN48" s="14">
        <v>0</v>
      </c>
      <c r="LO48" s="14">
        <v>450</v>
      </c>
      <c r="LP48" s="14">
        <v>150</v>
      </c>
      <c r="LV48" s="14">
        <v>150</v>
      </c>
      <c r="LX48" s="14">
        <v>300</v>
      </c>
      <c r="MC48" s="14">
        <v>300</v>
      </c>
      <c r="MJ48" s="14">
        <v>0</v>
      </c>
      <c r="MQ48" s="14">
        <v>0</v>
      </c>
      <c r="MX48" s="14">
        <v>0</v>
      </c>
      <c r="MY48" s="14">
        <v>150</v>
      </c>
      <c r="MZ48" s="14">
        <v>300</v>
      </c>
      <c r="NA48" s="14">
        <v>0</v>
      </c>
      <c r="NB48" s="14">
        <v>0</v>
      </c>
      <c r="NC48" s="14">
        <v>0</v>
      </c>
      <c r="ND48" s="14">
        <v>0</v>
      </c>
      <c r="NE48" s="14">
        <v>450</v>
      </c>
      <c r="NF48" s="14" t="s">
        <v>601</v>
      </c>
      <c r="RI48" s="14" t="s">
        <v>602</v>
      </c>
      <c r="VL48" s="14" t="s">
        <v>603</v>
      </c>
      <c r="ZO48" s="14" t="s">
        <v>604</v>
      </c>
      <c r="ADR48" s="14" t="s">
        <v>605</v>
      </c>
    </row>
    <row r="49" spans="1:798" x14ac:dyDescent="0.25">
      <c r="A49" s="14">
        <v>181</v>
      </c>
      <c r="B49" s="14" t="s">
        <v>590</v>
      </c>
      <c r="C49" s="16">
        <f>VLOOKUP(A49,[4]RawData!Z:AA,2,FALSE)</f>
        <v>42774.34652777778</v>
      </c>
      <c r="D49" s="14" t="s">
        <v>851</v>
      </c>
      <c r="E49" s="14" t="s">
        <v>852</v>
      </c>
      <c r="F49" s="14" t="s">
        <v>853</v>
      </c>
      <c r="G49" s="14" t="s">
        <v>854</v>
      </c>
      <c r="H49" s="14">
        <v>82006982</v>
      </c>
      <c r="I49" s="14" t="s">
        <v>595</v>
      </c>
      <c r="J49" s="14" t="s">
        <v>679</v>
      </c>
      <c r="L49" s="14">
        <v>1</v>
      </c>
      <c r="U49" s="14">
        <v>0</v>
      </c>
      <c r="AB49" s="14">
        <v>0</v>
      </c>
      <c r="AI49" s="14">
        <v>0</v>
      </c>
      <c r="AJ49" s="14">
        <v>72.5</v>
      </c>
      <c r="AP49" s="14">
        <v>72.5</v>
      </c>
      <c r="AW49" s="14">
        <v>0</v>
      </c>
      <c r="BD49" s="14">
        <v>0</v>
      </c>
      <c r="BE49" s="14">
        <v>72.5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72.5</v>
      </c>
      <c r="BR49" s="14">
        <v>0</v>
      </c>
      <c r="BY49" s="14">
        <v>0</v>
      </c>
      <c r="CF49" s="14">
        <v>0</v>
      </c>
      <c r="CG49" s="14">
        <v>1</v>
      </c>
      <c r="CM49" s="14">
        <v>1</v>
      </c>
      <c r="CT49" s="14">
        <v>0</v>
      </c>
      <c r="DA49" s="14">
        <v>0</v>
      </c>
      <c r="DB49" s="14">
        <v>1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1</v>
      </c>
      <c r="DI49" s="14" t="s">
        <v>598</v>
      </c>
      <c r="DJ49" s="14" t="s">
        <v>598</v>
      </c>
      <c r="DK49" s="14" t="s">
        <v>598</v>
      </c>
      <c r="DL49" s="14" t="s">
        <v>598</v>
      </c>
      <c r="DM49" s="14" t="s">
        <v>598</v>
      </c>
      <c r="DN49" s="14" t="s">
        <v>598</v>
      </c>
      <c r="DO49" s="14" t="s">
        <v>598</v>
      </c>
      <c r="DP49" s="14" t="s">
        <v>598</v>
      </c>
      <c r="DQ49" s="14" t="s">
        <v>598</v>
      </c>
      <c r="DR49" s="14" t="s">
        <v>598</v>
      </c>
      <c r="DS49" s="14" t="s">
        <v>598</v>
      </c>
      <c r="DT49" s="14" t="s">
        <v>598</v>
      </c>
      <c r="DU49" s="14" t="s">
        <v>598</v>
      </c>
      <c r="DV49" s="14" t="s">
        <v>598</v>
      </c>
      <c r="DW49" s="14" t="s">
        <v>598</v>
      </c>
      <c r="DX49" s="14" t="s">
        <v>598</v>
      </c>
      <c r="DY49" s="14" t="s">
        <v>598</v>
      </c>
      <c r="DZ49" s="14" t="s">
        <v>598</v>
      </c>
      <c r="EA49" s="14" t="s">
        <v>597</v>
      </c>
      <c r="EB49" s="14" t="s">
        <v>598</v>
      </c>
      <c r="EC49" s="14" t="s">
        <v>598</v>
      </c>
      <c r="ED49" s="14" t="s">
        <v>598</v>
      </c>
      <c r="EE49" s="14" t="s">
        <v>598</v>
      </c>
      <c r="EF49" s="14" t="s">
        <v>598</v>
      </c>
      <c r="EG49" s="14" t="s">
        <v>598</v>
      </c>
      <c r="EH49" s="14" t="s">
        <v>598</v>
      </c>
      <c r="EI49" s="14" t="s">
        <v>598</v>
      </c>
      <c r="EJ49" s="14" t="s">
        <v>598</v>
      </c>
      <c r="EK49" s="14" t="s">
        <v>598</v>
      </c>
      <c r="EL49" s="14" t="s">
        <v>598</v>
      </c>
      <c r="EM49" s="14" t="s">
        <v>598</v>
      </c>
      <c r="EN49" s="14" t="s">
        <v>598</v>
      </c>
      <c r="EO49" s="14" t="s">
        <v>598</v>
      </c>
      <c r="EP49" s="14" t="s">
        <v>598</v>
      </c>
      <c r="EQ49" s="14" t="s">
        <v>598</v>
      </c>
      <c r="ER49" s="14" t="s">
        <v>598</v>
      </c>
      <c r="EY49" s="14">
        <v>0</v>
      </c>
      <c r="FF49" s="14">
        <v>0</v>
      </c>
      <c r="FM49" s="14">
        <v>0</v>
      </c>
      <c r="FN49" s="14">
        <v>61.7</v>
      </c>
      <c r="FT49" s="14">
        <v>61.7</v>
      </c>
      <c r="FU49" s="14">
        <v>10.8</v>
      </c>
      <c r="GA49" s="14">
        <v>10.8</v>
      </c>
      <c r="GH49" s="14">
        <v>0</v>
      </c>
      <c r="GO49" s="14">
        <v>0</v>
      </c>
      <c r="GW49" s="14">
        <v>0</v>
      </c>
      <c r="GX49" s="14">
        <v>72.5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72.5</v>
      </c>
      <c r="HE49" s="14">
        <v>72.5</v>
      </c>
      <c r="HK49" s="14">
        <v>72.5</v>
      </c>
      <c r="HR49" s="14">
        <v>0</v>
      </c>
      <c r="HY49" s="14">
        <v>0</v>
      </c>
      <c r="IF49" s="14">
        <v>0</v>
      </c>
      <c r="IM49" s="14">
        <v>0</v>
      </c>
      <c r="IN49" s="14">
        <v>72.5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72.5</v>
      </c>
      <c r="IW49" s="14">
        <v>100</v>
      </c>
      <c r="IZ49" s="14">
        <v>1</v>
      </c>
      <c r="JA49" s="14">
        <v>1</v>
      </c>
      <c r="JB49" s="14">
        <v>1</v>
      </c>
      <c r="JC49" s="14" t="s">
        <v>600</v>
      </c>
      <c r="NF49" s="14" t="s">
        <v>601</v>
      </c>
      <c r="RI49" s="14" t="s">
        <v>602</v>
      </c>
      <c r="VL49" s="14" t="s">
        <v>603</v>
      </c>
      <c r="VS49" s="14">
        <v>0</v>
      </c>
      <c r="VZ49" s="14">
        <v>0</v>
      </c>
      <c r="WG49" s="14">
        <v>0</v>
      </c>
      <c r="WH49" s="14">
        <v>61.7</v>
      </c>
      <c r="WN49" s="14">
        <v>61.7</v>
      </c>
      <c r="WO49" s="14">
        <v>10.8</v>
      </c>
      <c r="WU49" s="14">
        <v>10.8</v>
      </c>
      <c r="XB49" s="14">
        <v>0</v>
      </c>
      <c r="XI49" s="14">
        <v>0</v>
      </c>
      <c r="XQ49" s="14">
        <v>0</v>
      </c>
      <c r="XR49" s="14">
        <v>72.5</v>
      </c>
      <c r="XS49" s="14">
        <v>0</v>
      </c>
      <c r="XT49" s="14">
        <v>0</v>
      </c>
      <c r="XU49" s="14">
        <v>0</v>
      </c>
      <c r="XV49" s="14">
        <v>0</v>
      </c>
      <c r="XW49" s="14">
        <v>0</v>
      </c>
      <c r="XX49" s="14">
        <v>72.5</v>
      </c>
      <c r="YE49" s="14">
        <v>0</v>
      </c>
      <c r="YF49" s="14">
        <v>72.5</v>
      </c>
      <c r="YL49" s="14">
        <v>72.5</v>
      </c>
      <c r="YS49" s="14">
        <v>0</v>
      </c>
      <c r="YZ49" s="14">
        <v>0</v>
      </c>
      <c r="ZG49" s="14">
        <v>0</v>
      </c>
      <c r="ZH49" s="14">
        <v>72.5</v>
      </c>
      <c r="ZI49" s="14">
        <v>0</v>
      </c>
      <c r="ZJ49" s="14">
        <v>0</v>
      </c>
      <c r="ZK49" s="14">
        <v>0</v>
      </c>
      <c r="ZL49" s="14">
        <v>0</v>
      </c>
      <c r="ZM49" s="14">
        <v>0</v>
      </c>
      <c r="ZN49" s="14">
        <v>72.5</v>
      </c>
      <c r="ZO49" s="14" t="s">
        <v>604</v>
      </c>
      <c r="ADR49" s="14" t="s">
        <v>605</v>
      </c>
    </row>
    <row r="50" spans="1:798" x14ac:dyDescent="0.25">
      <c r="A50" s="14">
        <v>218</v>
      </c>
      <c r="B50" s="14" t="s">
        <v>590</v>
      </c>
      <c r="C50" s="16">
        <f t="shared" ref="C50:C51" si="3">$C$3</f>
        <v>42780</v>
      </c>
      <c r="D50" s="14" t="s">
        <v>855</v>
      </c>
      <c r="E50" s="14" t="s">
        <v>856</v>
      </c>
      <c r="F50" s="14" t="s">
        <v>673</v>
      </c>
      <c r="G50" s="14" t="s">
        <v>857</v>
      </c>
      <c r="H50" s="14">
        <v>25455828</v>
      </c>
      <c r="I50" s="14" t="s">
        <v>618</v>
      </c>
      <c r="J50" s="14" t="s">
        <v>596</v>
      </c>
      <c r="L50" s="14">
        <v>1</v>
      </c>
      <c r="P50" s="14">
        <v>55</v>
      </c>
      <c r="U50" s="14">
        <v>55</v>
      </c>
      <c r="AB50" s="14">
        <v>0</v>
      </c>
      <c r="AI50" s="14">
        <v>0</v>
      </c>
      <c r="AP50" s="14">
        <v>0</v>
      </c>
      <c r="AW50" s="14">
        <v>0</v>
      </c>
      <c r="BD50" s="14">
        <v>0</v>
      </c>
      <c r="BE50" s="14">
        <v>0</v>
      </c>
      <c r="BF50" s="14">
        <v>55</v>
      </c>
      <c r="BG50" s="14">
        <v>0</v>
      </c>
      <c r="BH50" s="14">
        <v>0</v>
      </c>
      <c r="BI50" s="14">
        <v>0</v>
      </c>
      <c r="BJ50" s="14">
        <v>0</v>
      </c>
      <c r="BK50" s="14">
        <v>55</v>
      </c>
      <c r="BM50" s="14">
        <v>1</v>
      </c>
      <c r="BR50" s="14">
        <v>1</v>
      </c>
      <c r="BY50" s="14">
        <v>0</v>
      </c>
      <c r="CF50" s="14">
        <v>0</v>
      </c>
      <c r="CM50" s="14">
        <v>0</v>
      </c>
      <c r="CT50" s="14">
        <v>0</v>
      </c>
      <c r="DA50" s="14">
        <v>0</v>
      </c>
      <c r="DB50" s="14">
        <v>0</v>
      </c>
      <c r="DC50" s="14">
        <v>1</v>
      </c>
      <c r="DD50" s="14">
        <v>0</v>
      </c>
      <c r="DE50" s="14">
        <v>0</v>
      </c>
      <c r="DF50" s="14">
        <v>0</v>
      </c>
      <c r="DG50" s="14">
        <v>0</v>
      </c>
      <c r="DH50" s="14">
        <v>1</v>
      </c>
      <c r="DI50" s="14" t="s">
        <v>598</v>
      </c>
      <c r="DJ50" s="14" t="s">
        <v>597</v>
      </c>
      <c r="DK50" s="14" t="s">
        <v>598</v>
      </c>
      <c r="DL50" s="14" t="s">
        <v>598</v>
      </c>
      <c r="DM50" s="14" t="s">
        <v>598</v>
      </c>
      <c r="DN50" s="14" t="s">
        <v>598</v>
      </c>
      <c r="DO50" s="14" t="s">
        <v>598</v>
      </c>
      <c r="DP50" s="14" t="s">
        <v>598</v>
      </c>
      <c r="DQ50" s="14" t="s">
        <v>598</v>
      </c>
      <c r="DR50" s="14" t="s">
        <v>598</v>
      </c>
      <c r="DS50" s="14" t="s">
        <v>598</v>
      </c>
      <c r="DT50" s="14" t="s">
        <v>598</v>
      </c>
      <c r="DU50" s="14" t="s">
        <v>598</v>
      </c>
      <c r="DV50" s="14" t="s">
        <v>598</v>
      </c>
      <c r="DW50" s="14" t="s">
        <v>598</v>
      </c>
      <c r="DX50" s="14" t="s">
        <v>598</v>
      </c>
      <c r="DY50" s="14" t="s">
        <v>598</v>
      </c>
      <c r="DZ50" s="14" t="s">
        <v>598</v>
      </c>
      <c r="EA50" s="14" t="s">
        <v>598</v>
      </c>
      <c r="EB50" s="14" t="s">
        <v>598</v>
      </c>
      <c r="EC50" s="14" t="s">
        <v>598</v>
      </c>
      <c r="ED50" s="14" t="s">
        <v>598</v>
      </c>
      <c r="EE50" s="14" t="s">
        <v>598</v>
      </c>
      <c r="EF50" s="14" t="s">
        <v>598</v>
      </c>
      <c r="EG50" s="14" t="s">
        <v>598</v>
      </c>
      <c r="EH50" s="14" t="s">
        <v>598</v>
      </c>
      <c r="EI50" s="14" t="s">
        <v>598</v>
      </c>
      <c r="EJ50" s="14" t="s">
        <v>598</v>
      </c>
      <c r="EK50" s="14" t="s">
        <v>598</v>
      </c>
      <c r="EL50" s="14" t="s">
        <v>598</v>
      </c>
      <c r="EM50" s="14" t="s">
        <v>598</v>
      </c>
      <c r="EN50" s="14" t="s">
        <v>598</v>
      </c>
      <c r="EO50" s="14" t="s">
        <v>598</v>
      </c>
      <c r="EP50" s="14" t="s">
        <v>598</v>
      </c>
      <c r="EQ50" s="14" t="s">
        <v>598</v>
      </c>
      <c r="ER50" s="14" t="s">
        <v>598</v>
      </c>
      <c r="EY50" s="14">
        <v>0</v>
      </c>
      <c r="FF50" s="14">
        <v>0</v>
      </c>
      <c r="FM50" s="14">
        <v>0</v>
      </c>
      <c r="FT50" s="14">
        <v>0</v>
      </c>
      <c r="GA50" s="14">
        <v>0</v>
      </c>
      <c r="GC50" s="14">
        <v>50</v>
      </c>
      <c r="GH50" s="14">
        <v>50</v>
      </c>
      <c r="GO50" s="14">
        <v>0</v>
      </c>
      <c r="GP50" s="14" t="s">
        <v>858</v>
      </c>
      <c r="GR50" s="14">
        <v>5</v>
      </c>
      <c r="GW50" s="14">
        <v>5</v>
      </c>
      <c r="GX50" s="14">
        <v>0</v>
      </c>
      <c r="GY50" s="14">
        <v>55</v>
      </c>
      <c r="GZ50" s="14">
        <v>0</v>
      </c>
      <c r="HA50" s="14">
        <v>0</v>
      </c>
      <c r="HB50" s="14">
        <v>0</v>
      </c>
      <c r="HC50" s="14">
        <v>0</v>
      </c>
      <c r="HD50" s="14">
        <v>55</v>
      </c>
      <c r="HF50" s="14">
        <v>55</v>
      </c>
      <c r="HK50" s="14">
        <v>55</v>
      </c>
      <c r="HR50" s="14">
        <v>0</v>
      </c>
      <c r="HY50" s="14">
        <v>0</v>
      </c>
      <c r="IF50" s="14">
        <v>0</v>
      </c>
      <c r="IM50" s="14">
        <v>0</v>
      </c>
      <c r="IN50" s="14">
        <v>0</v>
      </c>
      <c r="IO50" s="14">
        <v>55</v>
      </c>
      <c r="IP50" s="14">
        <v>0</v>
      </c>
      <c r="IQ50" s="14">
        <v>0</v>
      </c>
      <c r="IR50" s="14">
        <v>0</v>
      </c>
      <c r="IS50" s="14">
        <v>0</v>
      </c>
      <c r="IT50" s="14">
        <v>55</v>
      </c>
      <c r="IU50" s="14">
        <v>0</v>
      </c>
      <c r="IW50" s="14">
        <v>100</v>
      </c>
      <c r="IZ50" s="14">
        <v>1</v>
      </c>
      <c r="JA50" s="14">
        <v>3</v>
      </c>
      <c r="JB50" s="14">
        <v>1</v>
      </c>
      <c r="JC50" s="14" t="s">
        <v>600</v>
      </c>
      <c r="JJ50" s="14">
        <v>0</v>
      </c>
      <c r="JQ50" s="14">
        <v>0</v>
      </c>
      <c r="JX50" s="14">
        <v>0</v>
      </c>
      <c r="KE50" s="14">
        <v>0</v>
      </c>
      <c r="KL50" s="14">
        <v>0</v>
      </c>
      <c r="KN50" s="14">
        <v>50</v>
      </c>
      <c r="KS50" s="14">
        <v>50</v>
      </c>
      <c r="KZ50" s="14">
        <v>0</v>
      </c>
      <c r="LA50" s="14" t="s">
        <v>858</v>
      </c>
      <c r="LC50" s="14">
        <v>5</v>
      </c>
      <c r="LH50" s="14">
        <v>5</v>
      </c>
      <c r="LI50" s="14">
        <v>0</v>
      </c>
      <c r="LJ50" s="14">
        <v>55</v>
      </c>
      <c r="LK50" s="14">
        <v>0</v>
      </c>
      <c r="LL50" s="14">
        <v>0</v>
      </c>
      <c r="LM50" s="14">
        <v>0</v>
      </c>
      <c r="LN50" s="14">
        <v>0</v>
      </c>
      <c r="LO50" s="14">
        <v>55</v>
      </c>
      <c r="LV50" s="14">
        <v>0</v>
      </c>
      <c r="LX50" s="14">
        <v>55</v>
      </c>
      <c r="MC50" s="14">
        <v>55</v>
      </c>
      <c r="MJ50" s="14">
        <v>0</v>
      </c>
      <c r="MQ50" s="14">
        <v>0</v>
      </c>
      <c r="MX50" s="14">
        <v>0</v>
      </c>
      <c r="MY50" s="14">
        <v>0</v>
      </c>
      <c r="MZ50" s="14">
        <v>55</v>
      </c>
      <c r="NA50" s="14">
        <v>0</v>
      </c>
      <c r="NB50" s="14">
        <v>0</v>
      </c>
      <c r="NC50" s="14">
        <v>0</v>
      </c>
      <c r="ND50" s="14">
        <v>0</v>
      </c>
      <c r="NE50" s="14">
        <v>55</v>
      </c>
      <c r="NF50" s="14" t="s">
        <v>601</v>
      </c>
      <c r="RI50" s="14" t="s">
        <v>602</v>
      </c>
      <c r="VL50" s="14" t="s">
        <v>603</v>
      </c>
      <c r="ZO50" s="14" t="s">
        <v>604</v>
      </c>
      <c r="ADR50" s="14" t="s">
        <v>605</v>
      </c>
    </row>
    <row r="51" spans="1:798" x14ac:dyDescent="0.25">
      <c r="A51" s="14">
        <v>233</v>
      </c>
      <c r="B51" s="14" t="s">
        <v>859</v>
      </c>
      <c r="C51" s="16">
        <f t="shared" si="3"/>
        <v>42780</v>
      </c>
      <c r="D51" s="14" t="s">
        <v>860</v>
      </c>
      <c r="E51" s="14" t="s">
        <v>861</v>
      </c>
      <c r="F51" s="14" t="s">
        <v>652</v>
      </c>
      <c r="G51" s="14" t="s">
        <v>862</v>
      </c>
      <c r="H51" s="14">
        <v>4043955444</v>
      </c>
      <c r="I51" s="14" t="s">
        <v>611</v>
      </c>
      <c r="J51" s="14" t="s">
        <v>596</v>
      </c>
      <c r="L51" s="14">
        <v>1</v>
      </c>
      <c r="U51" s="14">
        <v>0</v>
      </c>
      <c r="AB51" s="14">
        <v>0</v>
      </c>
      <c r="AC51" s="14">
        <v>2000</v>
      </c>
      <c r="AD51" s="14">
        <v>1000</v>
      </c>
      <c r="AH51" s="14">
        <v>1000</v>
      </c>
      <c r="AI51" s="14">
        <v>4000</v>
      </c>
      <c r="AP51" s="14">
        <v>0</v>
      </c>
      <c r="AW51" s="14">
        <v>0</v>
      </c>
      <c r="BD51" s="14">
        <v>0</v>
      </c>
      <c r="BE51" s="14">
        <v>2000</v>
      </c>
      <c r="BF51" s="14">
        <v>1000</v>
      </c>
      <c r="BG51" s="14">
        <v>0</v>
      </c>
      <c r="BH51" s="14">
        <v>0</v>
      </c>
      <c r="BI51" s="14">
        <v>0</v>
      </c>
      <c r="BJ51" s="14">
        <v>1000</v>
      </c>
      <c r="BK51" s="14">
        <v>4000</v>
      </c>
      <c r="BR51" s="14">
        <v>0</v>
      </c>
      <c r="BY51" s="14">
        <v>0</v>
      </c>
      <c r="BZ51" s="14">
        <v>3</v>
      </c>
      <c r="CA51" s="14">
        <v>5</v>
      </c>
      <c r="CE51" s="14">
        <v>1</v>
      </c>
      <c r="CF51" s="14">
        <v>9</v>
      </c>
      <c r="CM51" s="14">
        <v>0</v>
      </c>
      <c r="CT51" s="14">
        <v>0</v>
      </c>
      <c r="DA51" s="14">
        <v>0</v>
      </c>
      <c r="DB51" s="14">
        <v>3</v>
      </c>
      <c r="DC51" s="14">
        <v>5</v>
      </c>
      <c r="DD51" s="14">
        <v>0</v>
      </c>
      <c r="DE51" s="14">
        <v>0</v>
      </c>
      <c r="DF51" s="14">
        <v>0</v>
      </c>
      <c r="DG51" s="14">
        <v>1</v>
      </c>
      <c r="DH51" s="14">
        <v>9</v>
      </c>
      <c r="DI51" s="14" t="s">
        <v>598</v>
      </c>
      <c r="DJ51" s="14" t="s">
        <v>598</v>
      </c>
      <c r="DK51" s="14" t="s">
        <v>598</v>
      </c>
      <c r="DL51" s="14" t="s">
        <v>598</v>
      </c>
      <c r="DM51" s="14" t="s">
        <v>598</v>
      </c>
      <c r="DN51" s="14" t="s">
        <v>598</v>
      </c>
      <c r="DO51" s="14" t="s">
        <v>598</v>
      </c>
      <c r="DP51" s="14" t="s">
        <v>598</v>
      </c>
      <c r="DQ51" s="14" t="s">
        <v>598</v>
      </c>
      <c r="DR51" s="14" t="s">
        <v>598</v>
      </c>
      <c r="DS51" s="14" t="s">
        <v>598</v>
      </c>
      <c r="DT51" s="14" t="s">
        <v>598</v>
      </c>
      <c r="DU51" s="14" t="s">
        <v>597</v>
      </c>
      <c r="DV51" s="14" t="s">
        <v>597</v>
      </c>
      <c r="DW51" s="14" t="s">
        <v>598</v>
      </c>
      <c r="DX51" s="14" t="s">
        <v>598</v>
      </c>
      <c r="DY51" s="14" t="s">
        <v>598</v>
      </c>
      <c r="DZ51" s="14" t="s">
        <v>597</v>
      </c>
      <c r="EA51" s="14" t="s">
        <v>598</v>
      </c>
      <c r="EB51" s="14" t="s">
        <v>598</v>
      </c>
      <c r="EC51" s="14" t="s">
        <v>598</v>
      </c>
      <c r="ED51" s="14" t="s">
        <v>598</v>
      </c>
      <c r="EE51" s="14" t="s">
        <v>598</v>
      </c>
      <c r="EF51" s="14" t="s">
        <v>598</v>
      </c>
      <c r="EG51" s="14" t="s">
        <v>598</v>
      </c>
      <c r="EH51" s="14" t="s">
        <v>598</v>
      </c>
      <c r="EI51" s="14" t="s">
        <v>598</v>
      </c>
      <c r="EJ51" s="14" t="s">
        <v>598</v>
      </c>
      <c r="EK51" s="14" t="s">
        <v>598</v>
      </c>
      <c r="EL51" s="14" t="s">
        <v>598</v>
      </c>
      <c r="EM51" s="14" t="s">
        <v>598</v>
      </c>
      <c r="EN51" s="14" t="s">
        <v>598</v>
      </c>
      <c r="EO51" s="14" t="s">
        <v>598</v>
      </c>
      <c r="EP51" s="14" t="s">
        <v>598</v>
      </c>
      <c r="EQ51" s="14" t="s">
        <v>598</v>
      </c>
      <c r="ER51" s="14" t="s">
        <v>598</v>
      </c>
      <c r="ES51" s="14">
        <v>1000</v>
      </c>
      <c r="ET51" s="14">
        <v>1000</v>
      </c>
      <c r="EY51" s="14">
        <v>2000</v>
      </c>
      <c r="EZ51" s="14">
        <v>500</v>
      </c>
      <c r="FE51" s="14">
        <v>500</v>
      </c>
      <c r="FF51" s="14">
        <v>1000</v>
      </c>
      <c r="FG51" s="14">
        <v>500</v>
      </c>
      <c r="FM51" s="14">
        <v>500</v>
      </c>
      <c r="FT51" s="14">
        <v>0</v>
      </c>
      <c r="FU51" s="14">
        <v>100</v>
      </c>
      <c r="GA51" s="14">
        <v>100</v>
      </c>
      <c r="GH51" s="14">
        <v>0</v>
      </c>
      <c r="GI51" s="14">
        <v>50</v>
      </c>
      <c r="GO51" s="14">
        <v>50</v>
      </c>
      <c r="GP51" s="14" t="s">
        <v>863</v>
      </c>
      <c r="GR51" s="14">
        <v>350</v>
      </c>
      <c r="GW51" s="14">
        <v>350</v>
      </c>
      <c r="GX51" s="14">
        <v>2150</v>
      </c>
      <c r="GY51" s="14">
        <v>1350</v>
      </c>
      <c r="GZ51" s="14">
        <v>0</v>
      </c>
      <c r="HA51" s="14">
        <v>0</v>
      </c>
      <c r="HB51" s="14">
        <v>0</v>
      </c>
      <c r="HC51" s="14">
        <v>500</v>
      </c>
      <c r="HD51" s="14">
        <v>4000</v>
      </c>
      <c r="HE51" s="14">
        <v>250</v>
      </c>
      <c r="HF51" s="14">
        <v>250</v>
      </c>
      <c r="HK51" s="14">
        <v>500</v>
      </c>
      <c r="HL51" s="14">
        <v>250</v>
      </c>
      <c r="HM51" s="14">
        <v>250</v>
      </c>
      <c r="HR51" s="14">
        <v>500</v>
      </c>
      <c r="HS51" s="14">
        <v>1500</v>
      </c>
      <c r="HT51" s="14">
        <v>474.58150000000001</v>
      </c>
      <c r="HY51" s="14">
        <v>3000</v>
      </c>
      <c r="IF51" s="14">
        <v>0</v>
      </c>
      <c r="IM51" s="14">
        <v>0</v>
      </c>
      <c r="IN51" s="14">
        <v>2000</v>
      </c>
      <c r="IO51" s="14">
        <v>2000</v>
      </c>
      <c r="IP51" s="14">
        <v>0</v>
      </c>
      <c r="IQ51" s="14">
        <v>0</v>
      </c>
      <c r="IR51" s="14">
        <v>0</v>
      </c>
      <c r="IS51" s="14">
        <v>0</v>
      </c>
      <c r="IT51" s="14">
        <v>4000</v>
      </c>
      <c r="IU51" s="14">
        <v>0</v>
      </c>
      <c r="IV51" s="14">
        <v>5</v>
      </c>
      <c r="IW51" s="14">
        <v>95</v>
      </c>
      <c r="IZ51" s="14">
        <v>3</v>
      </c>
      <c r="JA51" s="14">
        <v>3</v>
      </c>
      <c r="JB51" s="14">
        <v>2</v>
      </c>
      <c r="JC51" s="14" t="s">
        <v>600</v>
      </c>
      <c r="NF51" s="14" t="s">
        <v>601</v>
      </c>
      <c r="RI51" s="14" t="s">
        <v>602</v>
      </c>
      <c r="RJ51" s="14">
        <v>1000</v>
      </c>
      <c r="RK51" s="14">
        <v>1000</v>
      </c>
      <c r="RP51" s="14">
        <v>2000</v>
      </c>
      <c r="RQ51" s="14">
        <v>500</v>
      </c>
      <c r="RV51" s="14">
        <v>500</v>
      </c>
      <c r="RW51" s="14">
        <v>1000</v>
      </c>
      <c r="RX51" s="14">
        <v>500</v>
      </c>
      <c r="SD51" s="14">
        <v>500</v>
      </c>
      <c r="SK51" s="14">
        <v>0</v>
      </c>
      <c r="SL51" s="14">
        <v>100</v>
      </c>
      <c r="SR51" s="14">
        <v>100</v>
      </c>
      <c r="SY51" s="14">
        <v>0</v>
      </c>
      <c r="SZ51" s="14">
        <v>50</v>
      </c>
      <c r="TF51" s="14">
        <v>50</v>
      </c>
      <c r="TG51" s="14" t="s">
        <v>864</v>
      </c>
      <c r="TI51" s="14">
        <v>350</v>
      </c>
      <c r="TN51" s="14">
        <v>350</v>
      </c>
      <c r="TO51" s="14">
        <v>2150</v>
      </c>
      <c r="TP51" s="14">
        <v>1350</v>
      </c>
      <c r="TQ51" s="14">
        <v>0</v>
      </c>
      <c r="TR51" s="14">
        <v>0</v>
      </c>
      <c r="TS51" s="14">
        <v>0</v>
      </c>
      <c r="TT51" s="14">
        <v>500</v>
      </c>
      <c r="TU51" s="14">
        <v>4000</v>
      </c>
      <c r="TV51" s="14">
        <v>250</v>
      </c>
      <c r="TW51" s="14">
        <v>250</v>
      </c>
      <c r="UB51" s="14">
        <v>500</v>
      </c>
      <c r="UC51" s="14">
        <v>250</v>
      </c>
      <c r="UD51" s="14">
        <v>250</v>
      </c>
      <c r="UI51" s="14">
        <v>500</v>
      </c>
      <c r="UJ51" s="14">
        <v>1500</v>
      </c>
      <c r="UK51" s="14">
        <v>1500</v>
      </c>
      <c r="UP51" s="14">
        <v>3000</v>
      </c>
      <c r="UW51" s="14">
        <v>0</v>
      </c>
      <c r="VD51" s="14">
        <v>0</v>
      </c>
      <c r="VE51" s="14">
        <v>2000</v>
      </c>
      <c r="VF51" s="14">
        <v>2000</v>
      </c>
      <c r="VG51" s="14">
        <v>0</v>
      </c>
      <c r="VH51" s="14">
        <v>0</v>
      </c>
      <c r="VI51" s="14">
        <v>0</v>
      </c>
      <c r="VJ51" s="14">
        <v>0</v>
      </c>
      <c r="VK51" s="14">
        <v>4000</v>
      </c>
      <c r="VL51" s="14" t="s">
        <v>603</v>
      </c>
      <c r="ZO51" s="14" t="s">
        <v>604</v>
      </c>
      <c r="ADR51" s="14" t="s">
        <v>605</v>
      </c>
    </row>
    <row r="52" spans="1:798" x14ac:dyDescent="0.25">
      <c r="A52" s="14">
        <v>81</v>
      </c>
      <c r="B52" s="14" t="s">
        <v>859</v>
      </c>
      <c r="C52" s="16">
        <f>VLOOKUP(A52,[4]RawData!Z:AA,2,FALSE)</f>
        <v>42747.760416666664</v>
      </c>
      <c r="D52" s="14" t="s">
        <v>865</v>
      </c>
      <c r="E52" s="14" t="s">
        <v>866</v>
      </c>
      <c r="F52" s="14" t="s">
        <v>867</v>
      </c>
      <c r="G52" s="14" t="s">
        <v>868</v>
      </c>
      <c r="H52" s="14">
        <v>6175365542</v>
      </c>
      <c r="I52" s="14" t="s">
        <v>611</v>
      </c>
      <c r="J52" s="14" t="s">
        <v>596</v>
      </c>
      <c r="L52" s="14">
        <v>1</v>
      </c>
      <c r="U52" s="14">
        <v>0</v>
      </c>
      <c r="AB52" s="14">
        <v>0</v>
      </c>
      <c r="AC52" s="14">
        <v>141.33000000000001</v>
      </c>
      <c r="AI52" s="14">
        <v>141.33000000000001</v>
      </c>
      <c r="AP52" s="14">
        <v>0</v>
      </c>
      <c r="AW52" s="14">
        <v>0</v>
      </c>
      <c r="BD52" s="14">
        <v>0</v>
      </c>
      <c r="BE52" s="14">
        <v>141.33000000000001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141.33000000000001</v>
      </c>
      <c r="BR52" s="14">
        <v>0</v>
      </c>
      <c r="BY52" s="14">
        <v>0</v>
      </c>
      <c r="BZ52" s="14">
        <v>2</v>
      </c>
      <c r="CF52" s="14">
        <v>2</v>
      </c>
      <c r="CM52" s="14">
        <v>0</v>
      </c>
      <c r="CT52" s="14">
        <v>0</v>
      </c>
      <c r="DA52" s="14">
        <v>0</v>
      </c>
      <c r="DB52" s="14">
        <v>2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2</v>
      </c>
      <c r="DI52" s="14" t="s">
        <v>598</v>
      </c>
      <c r="DJ52" s="14" t="s">
        <v>598</v>
      </c>
      <c r="DK52" s="14" t="s">
        <v>598</v>
      </c>
      <c r="DL52" s="14" t="s">
        <v>598</v>
      </c>
      <c r="DM52" s="14" t="s">
        <v>598</v>
      </c>
      <c r="DN52" s="14" t="s">
        <v>598</v>
      </c>
      <c r="DO52" s="14" t="s">
        <v>598</v>
      </c>
      <c r="DP52" s="14" t="s">
        <v>598</v>
      </c>
      <c r="DQ52" s="14" t="s">
        <v>598</v>
      </c>
      <c r="DR52" s="14" t="s">
        <v>598</v>
      </c>
      <c r="DS52" s="14" t="s">
        <v>598</v>
      </c>
      <c r="DT52" s="14" t="s">
        <v>598</v>
      </c>
      <c r="DU52" s="14" t="s">
        <v>597</v>
      </c>
      <c r="DV52" s="14" t="s">
        <v>598</v>
      </c>
      <c r="DW52" s="14" t="s">
        <v>598</v>
      </c>
      <c r="DX52" s="14" t="s">
        <v>598</v>
      </c>
      <c r="DY52" s="14" t="s">
        <v>598</v>
      </c>
      <c r="DZ52" s="14" t="s">
        <v>598</v>
      </c>
      <c r="EA52" s="14" t="s">
        <v>598</v>
      </c>
      <c r="EB52" s="14" t="s">
        <v>598</v>
      </c>
      <c r="EC52" s="14" t="s">
        <v>598</v>
      </c>
      <c r="ED52" s="14" t="s">
        <v>598</v>
      </c>
      <c r="EE52" s="14" t="s">
        <v>598</v>
      </c>
      <c r="EF52" s="14" t="s">
        <v>598</v>
      </c>
      <c r="EG52" s="14" t="s">
        <v>598</v>
      </c>
      <c r="EH52" s="14" t="s">
        <v>598</v>
      </c>
      <c r="EI52" s="14" t="s">
        <v>598</v>
      </c>
      <c r="EJ52" s="14" t="s">
        <v>598</v>
      </c>
      <c r="EK52" s="14" t="s">
        <v>598</v>
      </c>
      <c r="EL52" s="14" t="s">
        <v>598</v>
      </c>
      <c r="EM52" s="14" t="s">
        <v>598</v>
      </c>
      <c r="EN52" s="14" t="s">
        <v>598</v>
      </c>
      <c r="EO52" s="14" t="s">
        <v>598</v>
      </c>
      <c r="EP52" s="14" t="s">
        <v>598</v>
      </c>
      <c r="EQ52" s="14" t="s">
        <v>598</v>
      </c>
      <c r="ER52" s="14" t="s">
        <v>598</v>
      </c>
      <c r="ES52" s="14">
        <v>50</v>
      </c>
      <c r="EY52" s="14">
        <v>50</v>
      </c>
      <c r="FF52" s="14">
        <v>0</v>
      </c>
      <c r="FM52" s="14">
        <v>0</v>
      </c>
      <c r="FT52" s="14">
        <v>0</v>
      </c>
      <c r="FU52" s="14">
        <v>1</v>
      </c>
      <c r="GA52" s="14">
        <v>1</v>
      </c>
      <c r="GB52" s="14">
        <v>24</v>
      </c>
      <c r="GH52" s="14">
        <v>24</v>
      </c>
      <c r="GI52" s="14">
        <v>16.329999999999998</v>
      </c>
      <c r="GO52" s="14">
        <v>16.329999999999998</v>
      </c>
      <c r="GP52" s="14" t="s">
        <v>869</v>
      </c>
      <c r="GQ52" s="14">
        <v>50</v>
      </c>
      <c r="GW52" s="14">
        <v>50</v>
      </c>
      <c r="GX52" s="14">
        <v>141.33000000000001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141.33000000000001</v>
      </c>
      <c r="HE52" s="14">
        <v>50</v>
      </c>
      <c r="HK52" s="14">
        <v>50</v>
      </c>
      <c r="HR52" s="14">
        <v>0</v>
      </c>
      <c r="HS52" s="14">
        <v>91.33</v>
      </c>
      <c r="HY52" s="14">
        <v>91.33</v>
      </c>
      <c r="IF52" s="14">
        <v>0</v>
      </c>
      <c r="IM52" s="14">
        <v>0</v>
      </c>
      <c r="IN52" s="14">
        <v>141.33000000000001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141.33000000000001</v>
      </c>
      <c r="IW52" s="14">
        <v>100</v>
      </c>
      <c r="IZ52" s="14">
        <v>1</v>
      </c>
      <c r="JA52" s="14">
        <v>1</v>
      </c>
      <c r="JB52" s="14">
        <v>1</v>
      </c>
      <c r="JC52" s="14" t="s">
        <v>600</v>
      </c>
      <c r="NF52" s="14" t="s">
        <v>601</v>
      </c>
      <c r="RI52" s="14" t="s">
        <v>602</v>
      </c>
      <c r="RJ52" s="14">
        <v>50</v>
      </c>
      <c r="RP52" s="14">
        <v>50</v>
      </c>
      <c r="RW52" s="14">
        <v>0</v>
      </c>
      <c r="SD52" s="14">
        <v>0</v>
      </c>
      <c r="SK52" s="14">
        <v>0</v>
      </c>
      <c r="SL52" s="14">
        <v>1</v>
      </c>
      <c r="SR52" s="14">
        <v>1</v>
      </c>
      <c r="SS52" s="14">
        <v>24</v>
      </c>
      <c r="SY52" s="14">
        <v>24</v>
      </c>
      <c r="SZ52" s="14">
        <v>16.329999999999998</v>
      </c>
      <c r="TF52" s="14">
        <v>16.329999999999998</v>
      </c>
      <c r="TG52" s="14" t="s">
        <v>869</v>
      </c>
      <c r="TH52" s="14">
        <v>50</v>
      </c>
      <c r="TN52" s="14">
        <v>50</v>
      </c>
      <c r="TO52" s="14">
        <v>141.33000000000001</v>
      </c>
      <c r="TP52" s="14">
        <v>0</v>
      </c>
      <c r="TQ52" s="14">
        <v>0</v>
      </c>
      <c r="TR52" s="14">
        <v>0</v>
      </c>
      <c r="TS52" s="14">
        <v>0</v>
      </c>
      <c r="TT52" s="14">
        <v>0</v>
      </c>
      <c r="TU52" s="14">
        <v>141.33000000000001</v>
      </c>
      <c r="UB52" s="14">
        <v>0</v>
      </c>
      <c r="UC52" s="14">
        <v>50</v>
      </c>
      <c r="UI52" s="14">
        <v>50</v>
      </c>
      <c r="UJ52" s="14">
        <v>91.33</v>
      </c>
      <c r="UP52" s="14">
        <v>91.33</v>
      </c>
      <c r="UW52" s="14">
        <v>0</v>
      </c>
      <c r="VD52" s="14">
        <v>0</v>
      </c>
      <c r="VE52" s="14">
        <v>141.33000000000001</v>
      </c>
      <c r="VF52" s="14">
        <v>0</v>
      </c>
      <c r="VG52" s="14">
        <v>0</v>
      </c>
      <c r="VH52" s="14">
        <v>0</v>
      </c>
      <c r="VI52" s="14">
        <v>0</v>
      </c>
      <c r="VJ52" s="14">
        <v>0</v>
      </c>
      <c r="VK52" s="14">
        <v>141.33000000000001</v>
      </c>
      <c r="VL52" s="14" t="s">
        <v>603</v>
      </c>
      <c r="ZO52" s="14" t="s">
        <v>604</v>
      </c>
      <c r="ADR52" s="14" t="s">
        <v>605</v>
      </c>
    </row>
    <row r="53" spans="1:798" x14ac:dyDescent="0.25">
      <c r="A53" s="14">
        <v>68</v>
      </c>
      <c r="B53" s="14" t="s">
        <v>859</v>
      </c>
      <c r="C53" s="16">
        <f>VLOOKUP(A53,[4]RawData!Z:AA,2,FALSE)</f>
        <v>42746.9</v>
      </c>
      <c r="D53" s="14" t="s">
        <v>870</v>
      </c>
      <c r="E53" s="14" t="s">
        <v>871</v>
      </c>
      <c r="F53" s="14" t="s">
        <v>693</v>
      </c>
      <c r="G53" s="14" t="s">
        <v>872</v>
      </c>
      <c r="H53" s="14">
        <v>8184096565</v>
      </c>
      <c r="I53" s="14" t="s">
        <v>611</v>
      </c>
      <c r="J53" s="14" t="s">
        <v>596</v>
      </c>
      <c r="L53" s="14">
        <v>1</v>
      </c>
      <c r="U53" s="14">
        <v>0</v>
      </c>
      <c r="AB53" s="14">
        <v>0</v>
      </c>
      <c r="AC53" s="14">
        <v>600</v>
      </c>
      <c r="AI53" s="14">
        <v>600</v>
      </c>
      <c r="AP53" s="14">
        <v>0</v>
      </c>
      <c r="AW53" s="14">
        <v>0</v>
      </c>
      <c r="BD53" s="14">
        <v>0</v>
      </c>
      <c r="BE53" s="14">
        <v>600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600</v>
      </c>
      <c r="BR53" s="14">
        <v>0</v>
      </c>
      <c r="BY53" s="14">
        <v>0</v>
      </c>
      <c r="BZ53" s="14">
        <v>2</v>
      </c>
      <c r="CF53" s="14">
        <v>2</v>
      </c>
      <c r="CM53" s="14">
        <v>0</v>
      </c>
      <c r="CT53" s="14">
        <v>0</v>
      </c>
      <c r="DA53" s="14">
        <v>0</v>
      </c>
      <c r="DB53" s="14">
        <v>2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2</v>
      </c>
      <c r="DI53" s="14" t="s">
        <v>598</v>
      </c>
      <c r="DJ53" s="14" t="s">
        <v>598</v>
      </c>
      <c r="DK53" s="14" t="s">
        <v>598</v>
      </c>
      <c r="DL53" s="14" t="s">
        <v>598</v>
      </c>
      <c r="DM53" s="14" t="s">
        <v>598</v>
      </c>
      <c r="DN53" s="14" t="s">
        <v>598</v>
      </c>
      <c r="DO53" s="14" t="s">
        <v>598</v>
      </c>
      <c r="DP53" s="14" t="s">
        <v>598</v>
      </c>
      <c r="DQ53" s="14" t="s">
        <v>598</v>
      </c>
      <c r="DR53" s="14" t="s">
        <v>598</v>
      </c>
      <c r="DS53" s="14" t="s">
        <v>598</v>
      </c>
      <c r="DT53" s="14" t="s">
        <v>598</v>
      </c>
      <c r="DU53" s="14" t="s">
        <v>597</v>
      </c>
      <c r="DV53" s="14" t="s">
        <v>598</v>
      </c>
      <c r="DW53" s="14" t="s">
        <v>598</v>
      </c>
      <c r="DX53" s="14" t="s">
        <v>598</v>
      </c>
      <c r="DY53" s="14" t="s">
        <v>598</v>
      </c>
      <c r="DZ53" s="14" t="s">
        <v>598</v>
      </c>
      <c r="EA53" s="14" t="s">
        <v>598</v>
      </c>
      <c r="EB53" s="14" t="s">
        <v>598</v>
      </c>
      <c r="EC53" s="14" t="s">
        <v>598</v>
      </c>
      <c r="ED53" s="14" t="s">
        <v>598</v>
      </c>
      <c r="EE53" s="14" t="s">
        <v>598</v>
      </c>
      <c r="EF53" s="14" t="s">
        <v>598</v>
      </c>
      <c r="EG53" s="14" t="s">
        <v>598</v>
      </c>
      <c r="EH53" s="14" t="s">
        <v>598</v>
      </c>
      <c r="EI53" s="14" t="s">
        <v>598</v>
      </c>
      <c r="EJ53" s="14" t="s">
        <v>598</v>
      </c>
      <c r="EK53" s="14" t="s">
        <v>598</v>
      </c>
      <c r="EL53" s="14" t="s">
        <v>598</v>
      </c>
      <c r="EM53" s="14" t="s">
        <v>598</v>
      </c>
      <c r="EN53" s="14" t="s">
        <v>598</v>
      </c>
      <c r="EO53" s="14" t="s">
        <v>598</v>
      </c>
      <c r="EP53" s="14" t="s">
        <v>598</v>
      </c>
      <c r="EQ53" s="14" t="s">
        <v>598</v>
      </c>
      <c r="ER53" s="14" t="s">
        <v>598</v>
      </c>
      <c r="ES53" s="14">
        <v>600</v>
      </c>
      <c r="EY53" s="14">
        <v>600</v>
      </c>
      <c r="FF53" s="14">
        <v>0</v>
      </c>
      <c r="FM53" s="14">
        <v>0</v>
      </c>
      <c r="FT53" s="14">
        <v>0</v>
      </c>
      <c r="GA53" s="14">
        <v>0</v>
      </c>
      <c r="GH53" s="14">
        <v>0</v>
      </c>
      <c r="GO53" s="14">
        <v>0</v>
      </c>
      <c r="GW53" s="14">
        <v>0</v>
      </c>
      <c r="GX53" s="14">
        <v>600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600</v>
      </c>
      <c r="HK53" s="14">
        <v>0</v>
      </c>
      <c r="HL53" s="14">
        <v>35</v>
      </c>
      <c r="HR53" s="14">
        <v>35</v>
      </c>
      <c r="HS53" s="14">
        <v>565</v>
      </c>
      <c r="HY53" s="14">
        <v>565</v>
      </c>
      <c r="IF53" s="14">
        <v>0</v>
      </c>
      <c r="IM53" s="14">
        <v>0</v>
      </c>
      <c r="IN53" s="14">
        <v>600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600</v>
      </c>
      <c r="IU53" s="14">
        <v>0</v>
      </c>
      <c r="IV53" s="14">
        <v>20</v>
      </c>
      <c r="IW53" s="14">
        <v>80</v>
      </c>
      <c r="IZ53" s="14">
        <v>2</v>
      </c>
      <c r="JA53" s="14">
        <v>2</v>
      </c>
      <c r="JB53" s="14">
        <v>1</v>
      </c>
      <c r="JC53" s="14" t="s">
        <v>600</v>
      </c>
      <c r="NF53" s="14" t="s">
        <v>601</v>
      </c>
      <c r="RI53" s="14" t="s">
        <v>602</v>
      </c>
      <c r="RJ53" s="14">
        <v>600</v>
      </c>
      <c r="RP53" s="14">
        <v>600</v>
      </c>
      <c r="RW53" s="14">
        <v>0</v>
      </c>
      <c r="SD53" s="14">
        <v>0</v>
      </c>
      <c r="SK53" s="14">
        <v>0</v>
      </c>
      <c r="SR53" s="14">
        <v>0</v>
      </c>
      <c r="SY53" s="14">
        <v>0</v>
      </c>
      <c r="TF53" s="14">
        <v>0</v>
      </c>
      <c r="TN53" s="14">
        <v>0</v>
      </c>
      <c r="TO53" s="14">
        <v>600</v>
      </c>
      <c r="TP53" s="14">
        <v>0</v>
      </c>
      <c r="TQ53" s="14">
        <v>0</v>
      </c>
      <c r="TR53" s="14">
        <v>0</v>
      </c>
      <c r="TS53" s="14">
        <v>0</v>
      </c>
      <c r="TT53" s="14">
        <v>0</v>
      </c>
      <c r="TU53" s="14">
        <v>600</v>
      </c>
      <c r="TV53" s="14">
        <v>35</v>
      </c>
      <c r="UB53" s="14">
        <v>35</v>
      </c>
      <c r="UI53" s="14">
        <v>0</v>
      </c>
      <c r="UJ53" s="14">
        <v>565</v>
      </c>
      <c r="UP53" s="14">
        <v>565</v>
      </c>
      <c r="UW53" s="14">
        <v>0</v>
      </c>
      <c r="VD53" s="14">
        <v>0</v>
      </c>
      <c r="VE53" s="14">
        <v>600</v>
      </c>
      <c r="VF53" s="14">
        <v>0</v>
      </c>
      <c r="VG53" s="14">
        <v>0</v>
      </c>
      <c r="VH53" s="14">
        <v>0</v>
      </c>
      <c r="VI53" s="14">
        <v>0</v>
      </c>
      <c r="VJ53" s="14">
        <v>0</v>
      </c>
      <c r="VK53" s="14">
        <v>600</v>
      </c>
      <c r="VL53" s="14" t="s">
        <v>603</v>
      </c>
      <c r="ZO53" s="14" t="s">
        <v>604</v>
      </c>
      <c r="ADR53" s="14" t="s">
        <v>605</v>
      </c>
    </row>
    <row r="54" spans="1:798" x14ac:dyDescent="0.25">
      <c r="A54" s="14">
        <v>180</v>
      </c>
      <c r="B54" s="14" t="s">
        <v>859</v>
      </c>
      <c r="C54" s="16">
        <f>$C$3</f>
        <v>42780</v>
      </c>
      <c r="D54" s="14" t="s">
        <v>873</v>
      </c>
      <c r="E54" s="14" t="s">
        <v>874</v>
      </c>
      <c r="F54" s="14" t="s">
        <v>875</v>
      </c>
      <c r="G54" s="14" t="s">
        <v>876</v>
      </c>
      <c r="H54" s="14" t="s">
        <v>877</v>
      </c>
      <c r="I54" s="14" t="s">
        <v>611</v>
      </c>
      <c r="J54" s="14" t="s">
        <v>596</v>
      </c>
      <c r="L54" s="14">
        <v>1</v>
      </c>
      <c r="U54" s="14">
        <v>0</v>
      </c>
      <c r="AB54" s="14">
        <v>0</v>
      </c>
      <c r="AC54" s="14">
        <v>616.70000000000005</v>
      </c>
      <c r="AI54" s="14">
        <v>616.70000000000005</v>
      </c>
      <c r="AP54" s="14">
        <v>0</v>
      </c>
      <c r="AW54" s="14">
        <v>0</v>
      </c>
      <c r="BD54" s="14">
        <v>0</v>
      </c>
      <c r="BE54" s="14">
        <v>616.70000000000005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616.70000000000005</v>
      </c>
      <c r="BR54" s="14">
        <v>0</v>
      </c>
      <c r="BY54" s="14">
        <v>0</v>
      </c>
      <c r="BZ54" s="14">
        <v>2</v>
      </c>
      <c r="CF54" s="14">
        <v>2</v>
      </c>
      <c r="CM54" s="14">
        <v>0</v>
      </c>
      <c r="CT54" s="14">
        <v>0</v>
      </c>
      <c r="DA54" s="14">
        <v>0</v>
      </c>
      <c r="DB54" s="14">
        <v>2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2</v>
      </c>
      <c r="DI54" s="14" t="s">
        <v>598</v>
      </c>
      <c r="DJ54" s="14" t="s">
        <v>598</v>
      </c>
      <c r="DK54" s="14" t="s">
        <v>598</v>
      </c>
      <c r="DL54" s="14" t="s">
        <v>598</v>
      </c>
      <c r="DM54" s="14" t="s">
        <v>598</v>
      </c>
      <c r="DN54" s="14" t="s">
        <v>598</v>
      </c>
      <c r="DO54" s="14" t="s">
        <v>598</v>
      </c>
      <c r="DP54" s="14" t="s">
        <v>598</v>
      </c>
      <c r="DQ54" s="14" t="s">
        <v>598</v>
      </c>
      <c r="DR54" s="14" t="s">
        <v>598</v>
      </c>
      <c r="DS54" s="14" t="s">
        <v>598</v>
      </c>
      <c r="DT54" s="14" t="s">
        <v>598</v>
      </c>
      <c r="DU54" s="14" t="s">
        <v>597</v>
      </c>
      <c r="DV54" s="14" t="s">
        <v>598</v>
      </c>
      <c r="DW54" s="14" t="s">
        <v>598</v>
      </c>
      <c r="DX54" s="14" t="s">
        <v>598</v>
      </c>
      <c r="DY54" s="14" t="s">
        <v>598</v>
      </c>
      <c r="DZ54" s="14" t="s">
        <v>598</v>
      </c>
      <c r="EA54" s="14" t="s">
        <v>598</v>
      </c>
      <c r="EB54" s="14" t="s">
        <v>598</v>
      </c>
      <c r="EC54" s="14" t="s">
        <v>598</v>
      </c>
      <c r="ED54" s="14" t="s">
        <v>598</v>
      </c>
      <c r="EE54" s="14" t="s">
        <v>598</v>
      </c>
      <c r="EF54" s="14" t="s">
        <v>598</v>
      </c>
      <c r="EG54" s="14" t="s">
        <v>598</v>
      </c>
      <c r="EH54" s="14" t="s">
        <v>598</v>
      </c>
      <c r="EI54" s="14" t="s">
        <v>598</v>
      </c>
      <c r="EJ54" s="14" t="s">
        <v>598</v>
      </c>
      <c r="EK54" s="14" t="s">
        <v>598</v>
      </c>
      <c r="EL54" s="14" t="s">
        <v>598</v>
      </c>
      <c r="EM54" s="14" t="s">
        <v>598</v>
      </c>
      <c r="EN54" s="14" t="s">
        <v>598</v>
      </c>
      <c r="EO54" s="14" t="s">
        <v>598</v>
      </c>
      <c r="EP54" s="14" t="s">
        <v>598</v>
      </c>
      <c r="EQ54" s="14" t="s">
        <v>598</v>
      </c>
      <c r="ER54" s="14" t="s">
        <v>598</v>
      </c>
      <c r="ES54" s="14">
        <v>609.9</v>
      </c>
      <c r="EY54" s="14">
        <v>609.9</v>
      </c>
      <c r="FF54" s="14">
        <v>0</v>
      </c>
      <c r="FM54" s="14">
        <v>0</v>
      </c>
      <c r="FT54" s="14">
        <v>0</v>
      </c>
      <c r="FU54" s="14">
        <v>6.8</v>
      </c>
      <c r="GA54" s="14">
        <v>6.8</v>
      </c>
      <c r="GH54" s="14">
        <v>0</v>
      </c>
      <c r="GO54" s="14">
        <v>0</v>
      </c>
      <c r="GW54" s="14">
        <v>0</v>
      </c>
      <c r="GX54" s="14">
        <v>616.70000000000005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616.70000000000005</v>
      </c>
      <c r="HK54" s="14">
        <v>0</v>
      </c>
      <c r="HR54" s="14">
        <v>0</v>
      </c>
      <c r="HS54" s="14">
        <v>616.70000000000005</v>
      </c>
      <c r="HY54" s="14">
        <v>616.70000000000005</v>
      </c>
      <c r="IF54" s="14">
        <v>0</v>
      </c>
      <c r="IM54" s="14">
        <v>0</v>
      </c>
      <c r="IN54" s="14">
        <v>616.70000000000005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616.70000000000005</v>
      </c>
      <c r="IW54" s="14">
        <v>100</v>
      </c>
      <c r="IZ54" s="14">
        <v>3</v>
      </c>
      <c r="JA54" s="14">
        <v>3</v>
      </c>
      <c r="JB54" s="14">
        <v>1</v>
      </c>
      <c r="JC54" s="14" t="s">
        <v>600</v>
      </c>
      <c r="NF54" s="14" t="s">
        <v>601</v>
      </c>
      <c r="RI54" s="14" t="s">
        <v>602</v>
      </c>
      <c r="RJ54" s="14">
        <v>609.9</v>
      </c>
      <c r="RP54" s="14">
        <v>609.9</v>
      </c>
      <c r="RW54" s="14">
        <v>0</v>
      </c>
      <c r="SD54" s="14">
        <v>0</v>
      </c>
      <c r="SK54" s="14">
        <v>0</v>
      </c>
      <c r="SL54" s="14">
        <v>6.8</v>
      </c>
      <c r="SR54" s="14">
        <v>6.8</v>
      </c>
      <c r="SY54" s="14">
        <v>0</v>
      </c>
      <c r="TF54" s="14">
        <v>0</v>
      </c>
      <c r="TN54" s="14">
        <v>0</v>
      </c>
      <c r="TO54" s="14">
        <v>616.70000000000005</v>
      </c>
      <c r="TP54" s="14">
        <v>0</v>
      </c>
      <c r="TQ54" s="14">
        <v>0</v>
      </c>
      <c r="TR54" s="14">
        <v>0</v>
      </c>
      <c r="TS54" s="14">
        <v>0</v>
      </c>
      <c r="TT54" s="14">
        <v>0</v>
      </c>
      <c r="TU54" s="14">
        <v>616.70000000000005</v>
      </c>
      <c r="UB54" s="14">
        <v>0</v>
      </c>
      <c r="UI54" s="14">
        <v>0</v>
      </c>
      <c r="UJ54" s="14">
        <v>616.70000000000005</v>
      </c>
      <c r="UP54" s="14">
        <v>616.70000000000005</v>
      </c>
      <c r="UW54" s="14">
        <v>0</v>
      </c>
      <c r="VD54" s="14">
        <v>0</v>
      </c>
      <c r="VE54" s="14">
        <v>616.70000000000005</v>
      </c>
      <c r="VF54" s="14">
        <v>0</v>
      </c>
      <c r="VG54" s="14">
        <v>0</v>
      </c>
      <c r="VH54" s="14">
        <v>0</v>
      </c>
      <c r="VI54" s="14">
        <v>0</v>
      </c>
      <c r="VJ54" s="14">
        <v>0</v>
      </c>
      <c r="VK54" s="14">
        <v>616.70000000000005</v>
      </c>
      <c r="VL54" s="14" t="s">
        <v>603</v>
      </c>
      <c r="ZO54" s="14" t="s">
        <v>604</v>
      </c>
      <c r="ADR54" s="14" t="s">
        <v>605</v>
      </c>
    </row>
    <row r="55" spans="1:798" x14ac:dyDescent="0.25">
      <c r="A55" s="14">
        <v>165</v>
      </c>
      <c r="B55" s="14" t="s">
        <v>859</v>
      </c>
      <c r="C55" s="16">
        <f>VLOOKUP(A55,[4]RawData!Z:AA,2,FALSE)</f>
        <v>42769.956250000003</v>
      </c>
      <c r="D55" s="14" t="s">
        <v>878</v>
      </c>
      <c r="E55" s="14" t="s">
        <v>879</v>
      </c>
      <c r="F55" s="14" t="s">
        <v>880</v>
      </c>
      <c r="G55" s="14" t="s">
        <v>881</v>
      </c>
      <c r="H55" s="14" t="s">
        <v>882</v>
      </c>
      <c r="I55" s="14" t="s">
        <v>611</v>
      </c>
      <c r="J55" s="14" t="s">
        <v>596</v>
      </c>
      <c r="L55" s="14">
        <v>1</v>
      </c>
      <c r="U55" s="14">
        <v>0</v>
      </c>
      <c r="AB55" s="14">
        <v>0</v>
      </c>
      <c r="AC55" s="14">
        <v>225</v>
      </c>
      <c r="AI55" s="14">
        <v>225</v>
      </c>
      <c r="AP55" s="14">
        <v>0</v>
      </c>
      <c r="AW55" s="14">
        <v>0</v>
      </c>
      <c r="BD55" s="14">
        <v>0</v>
      </c>
      <c r="BE55" s="14">
        <v>225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225</v>
      </c>
      <c r="BR55" s="14">
        <v>0</v>
      </c>
      <c r="BY55" s="14">
        <v>0</v>
      </c>
      <c r="BZ55" s="14">
        <v>1</v>
      </c>
      <c r="CF55" s="14">
        <v>1</v>
      </c>
      <c r="CM55" s="14">
        <v>0</v>
      </c>
      <c r="CT55" s="14">
        <v>0</v>
      </c>
      <c r="DA55" s="14">
        <v>0</v>
      </c>
      <c r="DB55" s="14">
        <v>1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1</v>
      </c>
      <c r="DI55" s="14" t="s">
        <v>598</v>
      </c>
      <c r="DJ55" s="14" t="s">
        <v>598</v>
      </c>
      <c r="DK55" s="14" t="s">
        <v>598</v>
      </c>
      <c r="DL55" s="14" t="s">
        <v>598</v>
      </c>
      <c r="DM55" s="14" t="s">
        <v>598</v>
      </c>
      <c r="DN55" s="14" t="s">
        <v>598</v>
      </c>
      <c r="DO55" s="14" t="s">
        <v>598</v>
      </c>
      <c r="DP55" s="14" t="s">
        <v>598</v>
      </c>
      <c r="DQ55" s="14" t="s">
        <v>598</v>
      </c>
      <c r="DR55" s="14" t="s">
        <v>598</v>
      </c>
      <c r="DS55" s="14" t="s">
        <v>598</v>
      </c>
      <c r="DT55" s="14" t="s">
        <v>598</v>
      </c>
      <c r="DU55" s="14" t="s">
        <v>597</v>
      </c>
      <c r="DV55" s="14" t="s">
        <v>598</v>
      </c>
      <c r="DW55" s="14" t="s">
        <v>598</v>
      </c>
      <c r="DX55" s="14" t="s">
        <v>598</v>
      </c>
      <c r="DY55" s="14" t="s">
        <v>598</v>
      </c>
      <c r="DZ55" s="14" t="s">
        <v>598</v>
      </c>
      <c r="EA55" s="14" t="s">
        <v>598</v>
      </c>
      <c r="EB55" s="14" t="s">
        <v>598</v>
      </c>
      <c r="EC55" s="14" t="s">
        <v>598</v>
      </c>
      <c r="ED55" s="14" t="s">
        <v>598</v>
      </c>
      <c r="EE55" s="14" t="s">
        <v>598</v>
      </c>
      <c r="EF55" s="14" t="s">
        <v>598</v>
      </c>
      <c r="EG55" s="14" t="s">
        <v>598</v>
      </c>
      <c r="EH55" s="14" t="s">
        <v>598</v>
      </c>
      <c r="EI55" s="14" t="s">
        <v>598</v>
      </c>
      <c r="EJ55" s="14" t="s">
        <v>598</v>
      </c>
      <c r="EK55" s="14" t="s">
        <v>598</v>
      </c>
      <c r="EL55" s="14" t="s">
        <v>598</v>
      </c>
      <c r="EM55" s="14" t="s">
        <v>598</v>
      </c>
      <c r="EN55" s="14" t="s">
        <v>598</v>
      </c>
      <c r="EO55" s="14" t="s">
        <v>598</v>
      </c>
      <c r="EP55" s="14" t="s">
        <v>598</v>
      </c>
      <c r="EQ55" s="14" t="s">
        <v>598</v>
      </c>
      <c r="ER55" s="14" t="s">
        <v>598</v>
      </c>
      <c r="ES55" s="14">
        <v>225</v>
      </c>
      <c r="EY55" s="14">
        <v>225</v>
      </c>
      <c r="FF55" s="14">
        <v>0</v>
      </c>
      <c r="FM55" s="14">
        <v>0</v>
      </c>
      <c r="FT55" s="14">
        <v>0</v>
      </c>
      <c r="GA55" s="14">
        <v>0</v>
      </c>
      <c r="GH55" s="14">
        <v>0</v>
      </c>
      <c r="GO55" s="14">
        <v>0</v>
      </c>
      <c r="GW55" s="14">
        <v>0</v>
      </c>
      <c r="GX55" s="14">
        <v>225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225</v>
      </c>
      <c r="HK55" s="14">
        <v>0</v>
      </c>
      <c r="HR55" s="14">
        <v>0</v>
      </c>
      <c r="HS55" s="14">
        <v>225</v>
      </c>
      <c r="HY55" s="14">
        <v>225</v>
      </c>
      <c r="IF55" s="14">
        <v>0</v>
      </c>
      <c r="IM55" s="14">
        <v>0</v>
      </c>
      <c r="IN55" s="14">
        <v>225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225</v>
      </c>
      <c r="IU55" s="14">
        <v>100</v>
      </c>
      <c r="IZ55" s="14">
        <v>2</v>
      </c>
      <c r="JA55" s="14">
        <v>2</v>
      </c>
      <c r="JB55" s="14">
        <v>2</v>
      </c>
      <c r="JC55" s="14" t="s">
        <v>600</v>
      </c>
      <c r="NF55" s="14" t="s">
        <v>601</v>
      </c>
      <c r="RI55" s="14" t="s">
        <v>602</v>
      </c>
      <c r="RJ55" s="14">
        <v>225</v>
      </c>
      <c r="RP55" s="14">
        <v>225</v>
      </c>
      <c r="RW55" s="14">
        <v>0</v>
      </c>
      <c r="SD55" s="14">
        <v>0</v>
      </c>
      <c r="SK55" s="14">
        <v>0</v>
      </c>
      <c r="SR55" s="14">
        <v>0</v>
      </c>
      <c r="SY55" s="14">
        <v>0</v>
      </c>
      <c r="TF55" s="14">
        <v>0</v>
      </c>
      <c r="TN55" s="14">
        <v>0</v>
      </c>
      <c r="TO55" s="14">
        <v>225</v>
      </c>
      <c r="TP55" s="14">
        <v>0</v>
      </c>
      <c r="TQ55" s="14">
        <v>0</v>
      </c>
      <c r="TR55" s="14">
        <v>0</v>
      </c>
      <c r="TS55" s="14">
        <v>0</v>
      </c>
      <c r="TT55" s="14">
        <v>0</v>
      </c>
      <c r="TU55" s="14">
        <v>225</v>
      </c>
      <c r="UB55" s="14">
        <v>0</v>
      </c>
      <c r="UI55" s="14">
        <v>0</v>
      </c>
      <c r="UJ55" s="14">
        <v>225</v>
      </c>
      <c r="UP55" s="14">
        <v>225</v>
      </c>
      <c r="UW55" s="14">
        <v>0</v>
      </c>
      <c r="VD55" s="14">
        <v>0</v>
      </c>
      <c r="VE55" s="14">
        <v>225</v>
      </c>
      <c r="VF55" s="14">
        <v>0</v>
      </c>
      <c r="VG55" s="14">
        <v>0</v>
      </c>
      <c r="VH55" s="14">
        <v>0</v>
      </c>
      <c r="VI55" s="14">
        <v>0</v>
      </c>
      <c r="VJ55" s="14">
        <v>0</v>
      </c>
      <c r="VK55" s="14">
        <v>225</v>
      </c>
      <c r="VL55" s="14" t="s">
        <v>603</v>
      </c>
      <c r="ZO55" s="14" t="s">
        <v>604</v>
      </c>
      <c r="ADR55" s="14" t="s">
        <v>605</v>
      </c>
    </row>
    <row r="56" spans="1:798" x14ac:dyDescent="0.25">
      <c r="A56" s="14">
        <v>65</v>
      </c>
      <c r="B56" s="14" t="s">
        <v>859</v>
      </c>
      <c r="C56" s="16">
        <f>$C$3</f>
        <v>42780</v>
      </c>
      <c r="D56" s="14" t="s">
        <v>883</v>
      </c>
      <c r="E56" s="14" t="s">
        <v>884</v>
      </c>
      <c r="F56" s="14" t="s">
        <v>885</v>
      </c>
      <c r="G56" s="14" t="s">
        <v>886</v>
      </c>
      <c r="H56" s="14" t="s">
        <v>887</v>
      </c>
      <c r="I56" s="14" t="s">
        <v>611</v>
      </c>
      <c r="J56" s="14" t="s">
        <v>596</v>
      </c>
      <c r="L56" s="14">
        <v>2</v>
      </c>
      <c r="M56" s="14">
        <v>6</v>
      </c>
      <c r="N56" s="14" t="s">
        <v>888</v>
      </c>
      <c r="U56" s="14">
        <v>0</v>
      </c>
      <c r="AB56" s="14">
        <v>0</v>
      </c>
      <c r="AI56" s="14">
        <v>0</v>
      </c>
      <c r="AP56" s="14">
        <v>0</v>
      </c>
      <c r="AW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R56" s="14">
        <v>0</v>
      </c>
      <c r="BY56" s="14">
        <v>0</v>
      </c>
      <c r="CF56" s="14">
        <v>0</v>
      </c>
      <c r="CM56" s="14">
        <v>0</v>
      </c>
      <c r="CT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 t="s">
        <v>598</v>
      </c>
      <c r="DJ56" s="14" t="s">
        <v>598</v>
      </c>
      <c r="DK56" s="14" t="s">
        <v>598</v>
      </c>
      <c r="DL56" s="14" t="s">
        <v>598</v>
      </c>
      <c r="DM56" s="14" t="s">
        <v>598</v>
      </c>
      <c r="DN56" s="14" t="s">
        <v>598</v>
      </c>
      <c r="DO56" s="14" t="s">
        <v>598</v>
      </c>
      <c r="DP56" s="14" t="s">
        <v>598</v>
      </c>
      <c r="DQ56" s="14" t="s">
        <v>598</v>
      </c>
      <c r="DR56" s="14" t="s">
        <v>598</v>
      </c>
      <c r="DS56" s="14" t="s">
        <v>598</v>
      </c>
      <c r="DT56" s="14" t="s">
        <v>598</v>
      </c>
      <c r="DU56" s="14" t="s">
        <v>598</v>
      </c>
      <c r="DV56" s="14" t="s">
        <v>598</v>
      </c>
      <c r="DW56" s="14" t="s">
        <v>598</v>
      </c>
      <c r="DX56" s="14" t="s">
        <v>598</v>
      </c>
      <c r="DY56" s="14" t="s">
        <v>598</v>
      </c>
      <c r="DZ56" s="14" t="s">
        <v>598</v>
      </c>
      <c r="EA56" s="14" t="s">
        <v>598</v>
      </c>
      <c r="EB56" s="14" t="s">
        <v>598</v>
      </c>
      <c r="EC56" s="14" t="s">
        <v>598</v>
      </c>
      <c r="ED56" s="14" t="s">
        <v>598</v>
      </c>
      <c r="EE56" s="14" t="s">
        <v>598</v>
      </c>
      <c r="EF56" s="14" t="s">
        <v>598</v>
      </c>
      <c r="EG56" s="14" t="s">
        <v>598</v>
      </c>
      <c r="EH56" s="14" t="s">
        <v>598</v>
      </c>
      <c r="EI56" s="14" t="s">
        <v>598</v>
      </c>
      <c r="EJ56" s="14" t="s">
        <v>598</v>
      </c>
      <c r="EK56" s="14" t="s">
        <v>598</v>
      </c>
      <c r="EL56" s="14" t="s">
        <v>598</v>
      </c>
      <c r="EM56" s="14" t="s">
        <v>598</v>
      </c>
      <c r="EN56" s="14" t="s">
        <v>598</v>
      </c>
      <c r="EO56" s="14" t="s">
        <v>598</v>
      </c>
      <c r="EP56" s="14" t="s">
        <v>598</v>
      </c>
      <c r="EQ56" s="14" t="s">
        <v>598</v>
      </c>
      <c r="ER56" s="14" t="s">
        <v>598</v>
      </c>
      <c r="EY56" s="14">
        <v>0</v>
      </c>
      <c r="FF56" s="14">
        <v>0</v>
      </c>
      <c r="FM56" s="14">
        <v>0</v>
      </c>
      <c r="FT56" s="14">
        <v>0</v>
      </c>
      <c r="GA56" s="14">
        <v>0</v>
      </c>
      <c r="GH56" s="14">
        <v>0</v>
      </c>
      <c r="GO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K56" s="14">
        <v>0</v>
      </c>
      <c r="HR56" s="14">
        <v>0</v>
      </c>
      <c r="HY56" s="14">
        <v>0</v>
      </c>
      <c r="IF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Z56" s="14">
        <v>1</v>
      </c>
      <c r="JA56" s="14">
        <v>3</v>
      </c>
      <c r="JB56" s="14">
        <v>1</v>
      </c>
      <c r="JC56" s="14" t="s">
        <v>600</v>
      </c>
      <c r="NF56" s="14" t="s">
        <v>601</v>
      </c>
      <c r="RI56" s="14" t="s">
        <v>602</v>
      </c>
      <c r="VL56" s="14" t="s">
        <v>603</v>
      </c>
      <c r="ZO56" s="14" t="s">
        <v>604</v>
      </c>
      <c r="ADR56" s="14" t="s">
        <v>605</v>
      </c>
    </row>
    <row r="57" spans="1:798" x14ac:dyDescent="0.25">
      <c r="A57" s="14">
        <v>109</v>
      </c>
      <c r="B57" s="14" t="s">
        <v>889</v>
      </c>
      <c r="C57" s="16">
        <f>VLOOKUP(A57,[4]RawData!Z:AA,2,FALSE)</f>
        <v>42755.96875</v>
      </c>
      <c r="D57" s="14" t="s">
        <v>890</v>
      </c>
      <c r="E57" s="14" t="s">
        <v>891</v>
      </c>
      <c r="F57" s="14" t="s">
        <v>892</v>
      </c>
      <c r="G57" s="14" t="s">
        <v>893</v>
      </c>
      <c r="H57" s="14">
        <v>4989122238961</v>
      </c>
      <c r="I57" s="14" t="s">
        <v>894</v>
      </c>
      <c r="J57" s="14" t="s">
        <v>732</v>
      </c>
      <c r="L57" s="14">
        <v>1</v>
      </c>
      <c r="U57" s="14">
        <v>0</v>
      </c>
      <c r="V57" s="14">
        <v>100</v>
      </c>
      <c r="AB57" s="14">
        <v>100</v>
      </c>
      <c r="AI57" s="14">
        <v>0</v>
      </c>
      <c r="AP57" s="14">
        <v>0</v>
      </c>
      <c r="AW57" s="14">
        <v>0</v>
      </c>
      <c r="BD57" s="14">
        <v>0</v>
      </c>
      <c r="BE57" s="14">
        <v>100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100</v>
      </c>
      <c r="BR57" s="14">
        <v>0</v>
      </c>
      <c r="BS57" s="14">
        <v>2</v>
      </c>
      <c r="BY57" s="14">
        <v>2</v>
      </c>
      <c r="CF57" s="14">
        <v>0</v>
      </c>
      <c r="CM57" s="14">
        <v>0</v>
      </c>
      <c r="CT57" s="14">
        <v>0</v>
      </c>
      <c r="DA57" s="14">
        <v>0</v>
      </c>
      <c r="DB57" s="14">
        <v>2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2</v>
      </c>
      <c r="DI57" s="14" t="s">
        <v>598</v>
      </c>
      <c r="DJ57" s="14" t="s">
        <v>598</v>
      </c>
      <c r="DK57" s="14" t="s">
        <v>598</v>
      </c>
      <c r="DL57" s="14" t="s">
        <v>598</v>
      </c>
      <c r="DM57" s="14" t="s">
        <v>598</v>
      </c>
      <c r="DN57" s="14" t="s">
        <v>598</v>
      </c>
      <c r="DO57" s="14" t="s">
        <v>597</v>
      </c>
      <c r="DP57" s="14" t="s">
        <v>598</v>
      </c>
      <c r="DQ57" s="14" t="s">
        <v>598</v>
      </c>
      <c r="DR57" s="14" t="s">
        <v>598</v>
      </c>
      <c r="DS57" s="14" t="s">
        <v>598</v>
      </c>
      <c r="DT57" s="14" t="s">
        <v>598</v>
      </c>
      <c r="DU57" s="14" t="s">
        <v>598</v>
      </c>
      <c r="DV57" s="14" t="s">
        <v>598</v>
      </c>
      <c r="DW57" s="14" t="s">
        <v>598</v>
      </c>
      <c r="DX57" s="14" t="s">
        <v>598</v>
      </c>
      <c r="DY57" s="14" t="s">
        <v>598</v>
      </c>
      <c r="DZ57" s="14" t="s">
        <v>598</v>
      </c>
      <c r="EA57" s="14" t="s">
        <v>598</v>
      </c>
      <c r="EB57" s="14" t="s">
        <v>598</v>
      </c>
      <c r="EC57" s="14" t="s">
        <v>598</v>
      </c>
      <c r="ED57" s="14" t="s">
        <v>598</v>
      </c>
      <c r="EE57" s="14" t="s">
        <v>598</v>
      </c>
      <c r="EF57" s="14" t="s">
        <v>598</v>
      </c>
      <c r="EG57" s="14" t="s">
        <v>598</v>
      </c>
      <c r="EH57" s="14" t="s">
        <v>598</v>
      </c>
      <c r="EI57" s="14" t="s">
        <v>598</v>
      </c>
      <c r="EJ57" s="14" t="s">
        <v>598</v>
      </c>
      <c r="EK57" s="14" t="s">
        <v>598</v>
      </c>
      <c r="EL57" s="14" t="s">
        <v>598</v>
      </c>
      <c r="EM57" s="14" t="s">
        <v>598</v>
      </c>
      <c r="EN57" s="14" t="s">
        <v>598</v>
      </c>
      <c r="EO57" s="14" t="s">
        <v>598</v>
      </c>
      <c r="EP57" s="14" t="s">
        <v>598</v>
      </c>
      <c r="EQ57" s="14" t="s">
        <v>598</v>
      </c>
      <c r="ER57" s="14" t="s">
        <v>598</v>
      </c>
      <c r="EY57" s="14">
        <v>0</v>
      </c>
      <c r="EZ57" s="14">
        <v>40</v>
      </c>
      <c r="FF57" s="14">
        <v>40</v>
      </c>
      <c r="FM57" s="14">
        <v>0</v>
      </c>
      <c r="FT57" s="14">
        <v>0</v>
      </c>
      <c r="GA57" s="14">
        <v>0</v>
      </c>
      <c r="GB57" s="14">
        <v>20</v>
      </c>
      <c r="GH57" s="14">
        <v>20</v>
      </c>
      <c r="GI57" s="14">
        <v>40</v>
      </c>
      <c r="GO57" s="14">
        <v>40</v>
      </c>
      <c r="GW57" s="14">
        <v>0</v>
      </c>
      <c r="GX57" s="14">
        <v>100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100</v>
      </c>
      <c r="HK57" s="14">
        <v>0</v>
      </c>
      <c r="HL57" s="14">
        <v>100</v>
      </c>
      <c r="HR57" s="14">
        <v>100</v>
      </c>
      <c r="HY57" s="14">
        <v>0</v>
      </c>
      <c r="IF57" s="14">
        <v>0</v>
      </c>
      <c r="IM57" s="14">
        <v>0</v>
      </c>
      <c r="IN57" s="14">
        <v>100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100</v>
      </c>
      <c r="IX57" s="14" t="s">
        <v>895</v>
      </c>
      <c r="IY57" s="14">
        <v>100</v>
      </c>
      <c r="IZ57" s="14">
        <v>1</v>
      </c>
      <c r="JA57" s="14">
        <v>3</v>
      </c>
      <c r="JB57" s="14">
        <v>1</v>
      </c>
      <c r="JC57" s="14" t="s">
        <v>600</v>
      </c>
      <c r="NF57" s="14" t="s">
        <v>601</v>
      </c>
      <c r="NM57" s="14">
        <v>0</v>
      </c>
      <c r="NN57" s="14">
        <v>40</v>
      </c>
      <c r="NT57" s="14">
        <v>40</v>
      </c>
      <c r="OA57" s="14">
        <v>0</v>
      </c>
      <c r="OH57" s="14">
        <v>0</v>
      </c>
      <c r="OO57" s="14">
        <v>0</v>
      </c>
      <c r="OP57" s="14">
        <v>20</v>
      </c>
      <c r="OV57" s="14">
        <v>20</v>
      </c>
      <c r="OW57" s="14">
        <v>40</v>
      </c>
      <c r="PC57" s="14">
        <v>40</v>
      </c>
      <c r="PK57" s="14">
        <v>0</v>
      </c>
      <c r="PL57" s="14">
        <v>100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100</v>
      </c>
      <c r="PS57" s="14">
        <v>100</v>
      </c>
      <c r="PY57" s="14">
        <v>100</v>
      </c>
      <c r="QF57" s="14">
        <v>0</v>
      </c>
      <c r="QM57" s="14">
        <v>0</v>
      </c>
      <c r="QT57" s="14">
        <v>0</v>
      </c>
      <c r="RA57" s="14">
        <v>0</v>
      </c>
      <c r="RB57" s="14">
        <v>100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100</v>
      </c>
      <c r="RI57" s="14" t="s">
        <v>602</v>
      </c>
      <c r="VL57" s="14" t="s">
        <v>603</v>
      </c>
      <c r="ZO57" s="14" t="s">
        <v>604</v>
      </c>
      <c r="ADR57" s="14" t="s">
        <v>605</v>
      </c>
    </row>
    <row r="58" spans="1:798" x14ac:dyDescent="0.25">
      <c r="A58" s="14">
        <v>169</v>
      </c>
      <c r="B58" s="14" t="s">
        <v>889</v>
      </c>
      <c r="C58" s="16">
        <f>VLOOKUP(A58,[4]RawData!Z:AA,2,FALSE)</f>
        <v>42772.517361111109</v>
      </c>
      <c r="D58" s="14" t="s">
        <v>896</v>
      </c>
      <c r="E58" s="14" t="s">
        <v>897</v>
      </c>
      <c r="F58" s="14" t="s">
        <v>775</v>
      </c>
      <c r="G58" s="14" t="s">
        <v>898</v>
      </c>
      <c r="H58" s="14" t="s">
        <v>899</v>
      </c>
      <c r="I58" s="14" t="s">
        <v>900</v>
      </c>
      <c r="J58" s="14" t="s">
        <v>732</v>
      </c>
      <c r="L58" s="14">
        <v>1</v>
      </c>
      <c r="U58" s="14">
        <v>0</v>
      </c>
      <c r="V58" s="14">
        <v>596</v>
      </c>
      <c r="AB58" s="14">
        <v>596</v>
      </c>
      <c r="AI58" s="14">
        <v>0</v>
      </c>
      <c r="AP58" s="14">
        <v>0</v>
      </c>
      <c r="AW58" s="14">
        <v>0</v>
      </c>
      <c r="BD58" s="14">
        <v>0</v>
      </c>
      <c r="BE58" s="14">
        <v>596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596</v>
      </c>
      <c r="BR58" s="14">
        <v>0</v>
      </c>
      <c r="BS58" s="14">
        <v>1</v>
      </c>
      <c r="BY58" s="14">
        <v>1</v>
      </c>
      <c r="CF58" s="14">
        <v>0</v>
      </c>
      <c r="CM58" s="14">
        <v>0</v>
      </c>
      <c r="CT58" s="14">
        <v>0</v>
      </c>
      <c r="DA58" s="14">
        <v>0</v>
      </c>
      <c r="DB58" s="14">
        <v>1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1</v>
      </c>
      <c r="DI58" s="14" t="s">
        <v>598</v>
      </c>
      <c r="DJ58" s="14" t="s">
        <v>598</v>
      </c>
      <c r="DK58" s="14" t="s">
        <v>598</v>
      </c>
      <c r="DL58" s="14" t="s">
        <v>598</v>
      </c>
      <c r="DM58" s="14" t="s">
        <v>598</v>
      </c>
      <c r="DN58" s="14" t="s">
        <v>598</v>
      </c>
      <c r="DO58" s="14" t="s">
        <v>597</v>
      </c>
      <c r="DP58" s="14" t="s">
        <v>598</v>
      </c>
      <c r="DQ58" s="14" t="s">
        <v>598</v>
      </c>
      <c r="DR58" s="14" t="s">
        <v>598</v>
      </c>
      <c r="DS58" s="14" t="s">
        <v>598</v>
      </c>
      <c r="DT58" s="14" t="s">
        <v>598</v>
      </c>
      <c r="DU58" s="14" t="s">
        <v>598</v>
      </c>
      <c r="DV58" s="14" t="s">
        <v>598</v>
      </c>
      <c r="DW58" s="14" t="s">
        <v>598</v>
      </c>
      <c r="DX58" s="14" t="s">
        <v>598</v>
      </c>
      <c r="DY58" s="14" t="s">
        <v>598</v>
      </c>
      <c r="DZ58" s="14" t="s">
        <v>598</v>
      </c>
      <c r="EA58" s="14" t="s">
        <v>598</v>
      </c>
      <c r="EB58" s="14" t="s">
        <v>598</v>
      </c>
      <c r="EC58" s="14" t="s">
        <v>598</v>
      </c>
      <c r="ED58" s="14" t="s">
        <v>598</v>
      </c>
      <c r="EE58" s="14" t="s">
        <v>598</v>
      </c>
      <c r="EF58" s="14" t="s">
        <v>598</v>
      </c>
      <c r="EG58" s="14" t="s">
        <v>598</v>
      </c>
      <c r="EH58" s="14" t="s">
        <v>598</v>
      </c>
      <c r="EI58" s="14" t="s">
        <v>598</v>
      </c>
      <c r="EJ58" s="14" t="s">
        <v>598</v>
      </c>
      <c r="EK58" s="14" t="s">
        <v>598</v>
      </c>
      <c r="EL58" s="14" t="s">
        <v>598</v>
      </c>
      <c r="EM58" s="14" t="s">
        <v>598</v>
      </c>
      <c r="EN58" s="14" t="s">
        <v>598</v>
      </c>
      <c r="EO58" s="14" t="s">
        <v>598</v>
      </c>
      <c r="EP58" s="14" t="s">
        <v>598</v>
      </c>
      <c r="EQ58" s="14" t="s">
        <v>598</v>
      </c>
      <c r="ER58" s="14" t="s">
        <v>598</v>
      </c>
      <c r="ES58" s="14">
        <v>195.8</v>
      </c>
      <c r="EY58" s="14">
        <v>195.8</v>
      </c>
      <c r="EZ58" s="14">
        <v>185.46</v>
      </c>
      <c r="FF58" s="14">
        <v>185.46</v>
      </c>
      <c r="FM58" s="14">
        <v>0</v>
      </c>
      <c r="FT58" s="14">
        <v>0</v>
      </c>
      <c r="GA58" s="14">
        <v>0</v>
      </c>
      <c r="GB58" s="14">
        <v>68.174999999999997</v>
      </c>
      <c r="GH58" s="14">
        <v>68.180000000000007</v>
      </c>
      <c r="GI58" s="14">
        <v>146.56</v>
      </c>
      <c r="GO58" s="14">
        <v>146.56</v>
      </c>
      <c r="GW58" s="14">
        <v>0</v>
      </c>
      <c r="GX58" s="14">
        <v>596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596</v>
      </c>
      <c r="HK58" s="14">
        <v>0</v>
      </c>
      <c r="HL58" s="14">
        <v>416.49</v>
      </c>
      <c r="HR58" s="14">
        <v>416.49</v>
      </c>
      <c r="HS58" s="14">
        <v>170.96</v>
      </c>
      <c r="HY58" s="14">
        <v>170.96</v>
      </c>
      <c r="HZ58" s="14">
        <v>8.5500000000000007</v>
      </c>
      <c r="IF58" s="14">
        <v>8.5500000000000007</v>
      </c>
      <c r="IM58" s="14">
        <v>0</v>
      </c>
      <c r="IN58" s="14">
        <v>596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596</v>
      </c>
      <c r="IU58" s="14">
        <v>22</v>
      </c>
      <c r="IV58" s="14">
        <v>4</v>
      </c>
      <c r="IW58" s="14">
        <v>74</v>
      </c>
      <c r="IZ58" s="14">
        <v>1</v>
      </c>
      <c r="JA58" s="14">
        <v>3</v>
      </c>
      <c r="JB58" s="14">
        <v>2</v>
      </c>
      <c r="JC58" s="14" t="s">
        <v>600</v>
      </c>
      <c r="NF58" s="14" t="s">
        <v>601</v>
      </c>
      <c r="NG58" s="14">
        <v>195.8</v>
      </c>
      <c r="NM58" s="14">
        <v>195.8</v>
      </c>
      <c r="NN58" s="14">
        <v>185.46</v>
      </c>
      <c r="NT58" s="14">
        <v>185.46</v>
      </c>
      <c r="OA58" s="14">
        <v>0</v>
      </c>
      <c r="OH58" s="14">
        <v>0</v>
      </c>
      <c r="OO58" s="14">
        <v>0</v>
      </c>
      <c r="OP58" s="14">
        <v>68.174999999999997</v>
      </c>
      <c r="OV58" s="14">
        <v>68.180000000000007</v>
      </c>
      <c r="OW58" s="14">
        <v>146.565</v>
      </c>
      <c r="PC58" s="14">
        <v>146.57</v>
      </c>
      <c r="PK58" s="14">
        <v>0</v>
      </c>
      <c r="PL58" s="14">
        <v>596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596</v>
      </c>
      <c r="PS58" s="14">
        <v>416.49</v>
      </c>
      <c r="PY58" s="14">
        <v>416.49</v>
      </c>
      <c r="QF58" s="14">
        <v>0</v>
      </c>
      <c r="QG58" s="14">
        <v>170.96</v>
      </c>
      <c r="QM58" s="14">
        <v>170.96</v>
      </c>
      <c r="QN58" s="14">
        <v>8.5500000000000007</v>
      </c>
      <c r="QT58" s="14">
        <v>8.5500000000000007</v>
      </c>
      <c r="RA58" s="14">
        <v>0</v>
      </c>
      <c r="RB58" s="14">
        <v>596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596</v>
      </c>
      <c r="RI58" s="14" t="s">
        <v>602</v>
      </c>
      <c r="VL58" s="14" t="s">
        <v>603</v>
      </c>
      <c r="ZO58" s="14" t="s">
        <v>604</v>
      </c>
      <c r="ADR58" s="14" t="s">
        <v>605</v>
      </c>
    </row>
    <row r="59" spans="1:798" x14ac:dyDescent="0.25">
      <c r="A59" s="14">
        <v>208</v>
      </c>
      <c r="B59" s="14" t="s">
        <v>889</v>
      </c>
      <c r="C59" s="16">
        <f>$C$3</f>
        <v>42780</v>
      </c>
      <c r="D59" s="14" t="s">
        <v>901</v>
      </c>
      <c r="E59" s="14" t="s">
        <v>902</v>
      </c>
      <c r="F59" s="14" t="s">
        <v>903</v>
      </c>
      <c r="G59" s="14" t="s">
        <v>904</v>
      </c>
      <c r="H59" s="14">
        <v>496971473504</v>
      </c>
      <c r="I59" s="14" t="s">
        <v>894</v>
      </c>
      <c r="J59" s="14" t="s">
        <v>732</v>
      </c>
      <c r="L59" s="14">
        <v>1</v>
      </c>
      <c r="U59" s="14">
        <v>0</v>
      </c>
      <c r="W59" s="14">
        <v>867.6</v>
      </c>
      <c r="X59" s="14">
        <v>16.5</v>
      </c>
      <c r="Y59" s="14">
        <v>195</v>
      </c>
      <c r="Z59" s="14">
        <v>168</v>
      </c>
      <c r="AA59" s="14">
        <v>148</v>
      </c>
      <c r="AB59" s="14">
        <v>1395.1</v>
      </c>
      <c r="AI59" s="14">
        <v>0</v>
      </c>
      <c r="AP59" s="14">
        <v>0</v>
      </c>
      <c r="AW59" s="14">
        <v>0</v>
      </c>
      <c r="BD59" s="14">
        <v>0</v>
      </c>
      <c r="BE59" s="14">
        <v>0</v>
      </c>
      <c r="BF59" s="14">
        <v>867.6</v>
      </c>
      <c r="BG59" s="14">
        <v>16.5</v>
      </c>
      <c r="BH59" s="14">
        <v>195</v>
      </c>
      <c r="BI59" s="14">
        <v>168</v>
      </c>
      <c r="BJ59" s="14">
        <v>148</v>
      </c>
      <c r="BK59" s="14">
        <v>1395.1</v>
      </c>
      <c r="BR59" s="14">
        <v>0</v>
      </c>
      <c r="BT59" s="14">
        <v>7</v>
      </c>
      <c r="BU59" s="14">
        <v>1</v>
      </c>
      <c r="BV59" s="14">
        <v>1</v>
      </c>
      <c r="BW59" s="14">
        <v>1</v>
      </c>
      <c r="BX59" s="14">
        <v>4</v>
      </c>
      <c r="BY59" s="14">
        <v>14</v>
      </c>
      <c r="CF59" s="14">
        <v>0</v>
      </c>
      <c r="CM59" s="14">
        <v>0</v>
      </c>
      <c r="CT59" s="14">
        <v>0</v>
      </c>
      <c r="DA59" s="14">
        <v>0</v>
      </c>
      <c r="DB59" s="14">
        <v>0</v>
      </c>
      <c r="DC59" s="14">
        <v>7</v>
      </c>
      <c r="DD59" s="14">
        <v>1</v>
      </c>
      <c r="DE59" s="14">
        <v>1</v>
      </c>
      <c r="DF59" s="14">
        <v>1</v>
      </c>
      <c r="DG59" s="14">
        <v>4</v>
      </c>
      <c r="DH59" s="14">
        <v>14</v>
      </c>
      <c r="DI59" s="14" t="s">
        <v>598</v>
      </c>
      <c r="DJ59" s="14" t="s">
        <v>598</v>
      </c>
      <c r="DK59" s="14" t="s">
        <v>598</v>
      </c>
      <c r="DL59" s="14" t="s">
        <v>598</v>
      </c>
      <c r="DM59" s="14" t="s">
        <v>598</v>
      </c>
      <c r="DN59" s="14" t="s">
        <v>598</v>
      </c>
      <c r="DO59" s="14" t="s">
        <v>598</v>
      </c>
      <c r="DP59" s="14" t="s">
        <v>597</v>
      </c>
      <c r="DQ59" s="14" t="s">
        <v>597</v>
      </c>
      <c r="DR59" s="14" t="s">
        <v>597</v>
      </c>
      <c r="DS59" s="14" t="s">
        <v>597</v>
      </c>
      <c r="DT59" s="14" t="s">
        <v>597</v>
      </c>
      <c r="DU59" s="14" t="s">
        <v>598</v>
      </c>
      <c r="DV59" s="14" t="s">
        <v>598</v>
      </c>
      <c r="DW59" s="14" t="s">
        <v>598</v>
      </c>
      <c r="DX59" s="14" t="s">
        <v>598</v>
      </c>
      <c r="DY59" s="14" t="s">
        <v>598</v>
      </c>
      <c r="DZ59" s="14" t="s">
        <v>598</v>
      </c>
      <c r="EA59" s="14" t="s">
        <v>598</v>
      </c>
      <c r="EB59" s="14" t="s">
        <v>598</v>
      </c>
      <c r="EC59" s="14" t="s">
        <v>598</v>
      </c>
      <c r="ED59" s="14" t="s">
        <v>598</v>
      </c>
      <c r="EE59" s="14" t="s">
        <v>598</v>
      </c>
      <c r="EF59" s="14" t="s">
        <v>598</v>
      </c>
      <c r="EG59" s="14" t="s">
        <v>598</v>
      </c>
      <c r="EH59" s="14" t="s">
        <v>598</v>
      </c>
      <c r="EI59" s="14" t="s">
        <v>598</v>
      </c>
      <c r="EJ59" s="14" t="s">
        <v>598</v>
      </c>
      <c r="EK59" s="14" t="s">
        <v>598</v>
      </c>
      <c r="EL59" s="14" t="s">
        <v>598</v>
      </c>
      <c r="EM59" s="14" t="s">
        <v>598</v>
      </c>
      <c r="EN59" s="14" t="s">
        <v>598</v>
      </c>
      <c r="EO59" s="14" t="s">
        <v>598</v>
      </c>
      <c r="EP59" s="14" t="s">
        <v>598</v>
      </c>
      <c r="EQ59" s="14" t="s">
        <v>598</v>
      </c>
      <c r="ER59" s="14" t="s">
        <v>598</v>
      </c>
      <c r="EU59" s="14">
        <v>16.5</v>
      </c>
      <c r="EY59" s="14">
        <v>16.5</v>
      </c>
      <c r="FF59" s="14">
        <v>0</v>
      </c>
      <c r="FM59" s="14">
        <v>0</v>
      </c>
      <c r="FT59" s="14">
        <v>0</v>
      </c>
      <c r="FY59" s="14">
        <v>56</v>
      </c>
      <c r="GA59" s="14">
        <v>56</v>
      </c>
      <c r="GH59" s="14">
        <v>0</v>
      </c>
      <c r="GO59" s="14">
        <v>0</v>
      </c>
      <c r="GP59" s="14" t="s">
        <v>905</v>
      </c>
      <c r="GR59" s="14">
        <v>867.6</v>
      </c>
      <c r="GT59" s="14">
        <v>195</v>
      </c>
      <c r="GU59" s="14">
        <v>112</v>
      </c>
      <c r="GV59" s="14">
        <v>148</v>
      </c>
      <c r="GW59" s="14">
        <v>1322.6</v>
      </c>
      <c r="GX59" s="14">
        <v>0</v>
      </c>
      <c r="GY59" s="14">
        <v>867.6</v>
      </c>
      <c r="GZ59" s="14">
        <v>16.5</v>
      </c>
      <c r="HA59" s="14">
        <v>195</v>
      </c>
      <c r="HB59" s="14">
        <v>168</v>
      </c>
      <c r="HC59" s="14">
        <v>148</v>
      </c>
      <c r="HD59" s="14">
        <v>1395.1</v>
      </c>
      <c r="HK59" s="14">
        <v>0</v>
      </c>
      <c r="HM59" s="14">
        <v>867.6</v>
      </c>
      <c r="HN59" s="14">
        <v>16.5</v>
      </c>
      <c r="HO59" s="14">
        <v>195</v>
      </c>
      <c r="HP59" s="14">
        <v>168</v>
      </c>
      <c r="HQ59" s="14">
        <v>148</v>
      </c>
      <c r="HR59" s="14">
        <v>1395.1</v>
      </c>
      <c r="HY59" s="14">
        <v>0</v>
      </c>
      <c r="IF59" s="14">
        <v>0</v>
      </c>
      <c r="IM59" s="14">
        <v>0</v>
      </c>
      <c r="IN59" s="14">
        <v>0</v>
      </c>
      <c r="IO59" s="14">
        <v>867.6</v>
      </c>
      <c r="IP59" s="14">
        <v>16.5</v>
      </c>
      <c r="IQ59" s="14">
        <v>195</v>
      </c>
      <c r="IR59" s="14">
        <v>168</v>
      </c>
      <c r="IS59" s="14">
        <v>148</v>
      </c>
      <c r="IT59" s="14">
        <v>1395.1</v>
      </c>
      <c r="IW59" s="14">
        <v>100</v>
      </c>
      <c r="IZ59" s="14">
        <v>1</v>
      </c>
      <c r="JA59" s="14">
        <v>1</v>
      </c>
      <c r="JB59" s="14">
        <v>1</v>
      </c>
      <c r="JC59" s="14" t="s">
        <v>600</v>
      </c>
      <c r="NF59" s="14" t="s">
        <v>601</v>
      </c>
      <c r="NI59" s="14">
        <v>16.5</v>
      </c>
      <c r="NM59" s="14">
        <v>16.5</v>
      </c>
      <c r="NT59" s="14">
        <v>0</v>
      </c>
      <c r="OA59" s="14">
        <v>0</v>
      </c>
      <c r="OH59" s="14">
        <v>0</v>
      </c>
      <c r="OM59" s="14">
        <v>56</v>
      </c>
      <c r="OO59" s="14">
        <v>56</v>
      </c>
      <c r="OV59" s="14">
        <v>0</v>
      </c>
      <c r="PC59" s="14">
        <v>0</v>
      </c>
      <c r="PD59" s="14" t="s">
        <v>905</v>
      </c>
      <c r="PF59" s="14">
        <v>867.6</v>
      </c>
      <c r="PH59" s="14">
        <v>195</v>
      </c>
      <c r="PI59" s="14">
        <v>112</v>
      </c>
      <c r="PJ59" s="14">
        <v>148</v>
      </c>
      <c r="PK59" s="14">
        <v>1322.6</v>
      </c>
      <c r="PL59" s="14">
        <v>0</v>
      </c>
      <c r="PM59" s="14">
        <v>867.6</v>
      </c>
      <c r="PN59" s="14">
        <v>16.5</v>
      </c>
      <c r="PO59" s="14">
        <v>195</v>
      </c>
      <c r="PP59" s="14">
        <v>168</v>
      </c>
      <c r="PQ59" s="14">
        <v>148</v>
      </c>
      <c r="PR59" s="14">
        <v>1395.1</v>
      </c>
      <c r="PT59" s="14">
        <v>867.6</v>
      </c>
      <c r="PU59" s="14">
        <v>16.5</v>
      </c>
      <c r="PV59" s="14">
        <v>195</v>
      </c>
      <c r="PW59" s="14">
        <v>168</v>
      </c>
      <c r="PX59" s="14">
        <v>148</v>
      </c>
      <c r="PY59" s="14">
        <v>1395.1</v>
      </c>
      <c r="QF59" s="14">
        <v>0</v>
      </c>
      <c r="QM59" s="14">
        <v>0</v>
      </c>
      <c r="QT59" s="14">
        <v>0</v>
      </c>
      <c r="RA59" s="14">
        <v>0</v>
      </c>
      <c r="RB59" s="14">
        <v>0</v>
      </c>
      <c r="RC59" s="14">
        <v>867.6</v>
      </c>
      <c r="RD59" s="14">
        <v>16.5</v>
      </c>
      <c r="RE59" s="14">
        <v>195</v>
      </c>
      <c r="RF59" s="14">
        <v>168</v>
      </c>
      <c r="RG59" s="14">
        <v>148</v>
      </c>
      <c r="RH59" s="14">
        <v>1395.1</v>
      </c>
      <c r="RI59" s="14" t="s">
        <v>602</v>
      </c>
      <c r="VL59" s="14" t="s">
        <v>603</v>
      </c>
      <c r="ZO59" s="14" t="s">
        <v>604</v>
      </c>
      <c r="ADR59" s="14" t="s">
        <v>605</v>
      </c>
    </row>
    <row r="60" spans="1:798" x14ac:dyDescent="0.25">
      <c r="A60" s="14">
        <v>203</v>
      </c>
      <c r="B60" s="14" t="s">
        <v>889</v>
      </c>
      <c r="C60" s="16">
        <f>VLOOKUP(A60,[4]RawData!Z:AA,2,FALSE)</f>
        <v>42779.351388888892</v>
      </c>
      <c r="D60" s="14" t="s">
        <v>906</v>
      </c>
      <c r="E60" s="14" t="s">
        <v>907</v>
      </c>
      <c r="F60" s="14" t="s">
        <v>908</v>
      </c>
      <c r="G60" s="14" t="s">
        <v>909</v>
      </c>
      <c r="H60" s="14" t="s">
        <v>910</v>
      </c>
      <c r="I60" s="14" t="s">
        <v>894</v>
      </c>
      <c r="J60" s="14" t="s">
        <v>732</v>
      </c>
      <c r="L60" s="14">
        <v>1</v>
      </c>
      <c r="U60" s="14">
        <v>0</v>
      </c>
      <c r="V60" s="14">
        <v>40</v>
      </c>
      <c r="W60" s="14">
        <v>170</v>
      </c>
      <c r="AB60" s="14">
        <v>210</v>
      </c>
      <c r="AI60" s="14">
        <v>0</v>
      </c>
      <c r="AP60" s="14">
        <v>0</v>
      </c>
      <c r="AW60" s="14">
        <v>0</v>
      </c>
      <c r="BD60" s="14">
        <v>0</v>
      </c>
      <c r="BE60" s="14">
        <v>40</v>
      </c>
      <c r="BF60" s="14">
        <v>170</v>
      </c>
      <c r="BG60" s="14">
        <v>0</v>
      </c>
      <c r="BH60" s="14">
        <v>0</v>
      </c>
      <c r="BI60" s="14">
        <v>0</v>
      </c>
      <c r="BJ60" s="14">
        <v>0</v>
      </c>
      <c r="BK60" s="14">
        <v>210</v>
      </c>
      <c r="BR60" s="14">
        <v>0</v>
      </c>
      <c r="BS60" s="14">
        <v>1</v>
      </c>
      <c r="BT60" s="14">
        <v>2</v>
      </c>
      <c r="BY60" s="14">
        <v>3</v>
      </c>
      <c r="CF60" s="14">
        <v>0</v>
      </c>
      <c r="CM60" s="14">
        <v>0</v>
      </c>
      <c r="CT60" s="14">
        <v>0</v>
      </c>
      <c r="DA60" s="14">
        <v>0</v>
      </c>
      <c r="DB60" s="14">
        <v>1</v>
      </c>
      <c r="DC60" s="14">
        <v>2</v>
      </c>
      <c r="DD60" s="14">
        <v>0</v>
      </c>
      <c r="DE60" s="14">
        <v>0</v>
      </c>
      <c r="DF60" s="14">
        <v>0</v>
      </c>
      <c r="DG60" s="14">
        <v>0</v>
      </c>
      <c r="DH60" s="14">
        <v>3</v>
      </c>
      <c r="DI60" s="14" t="s">
        <v>598</v>
      </c>
      <c r="DJ60" s="14" t="s">
        <v>598</v>
      </c>
      <c r="DK60" s="14" t="s">
        <v>598</v>
      </c>
      <c r="DL60" s="14" t="s">
        <v>598</v>
      </c>
      <c r="DM60" s="14" t="s">
        <v>598</v>
      </c>
      <c r="DN60" s="14" t="s">
        <v>598</v>
      </c>
      <c r="DO60" s="14" t="s">
        <v>597</v>
      </c>
      <c r="DP60" s="14" t="s">
        <v>597</v>
      </c>
      <c r="DQ60" s="14" t="s">
        <v>598</v>
      </c>
      <c r="DR60" s="14" t="s">
        <v>598</v>
      </c>
      <c r="DS60" s="14" t="s">
        <v>598</v>
      </c>
      <c r="DT60" s="14" t="s">
        <v>598</v>
      </c>
      <c r="DU60" s="14" t="s">
        <v>598</v>
      </c>
      <c r="DV60" s="14" t="s">
        <v>598</v>
      </c>
      <c r="DW60" s="14" t="s">
        <v>598</v>
      </c>
      <c r="DX60" s="14" t="s">
        <v>598</v>
      </c>
      <c r="DY60" s="14" t="s">
        <v>598</v>
      </c>
      <c r="DZ60" s="14" t="s">
        <v>598</v>
      </c>
      <c r="EA60" s="14" t="s">
        <v>598</v>
      </c>
      <c r="EB60" s="14" t="s">
        <v>598</v>
      </c>
      <c r="EC60" s="14" t="s">
        <v>598</v>
      </c>
      <c r="ED60" s="14" t="s">
        <v>598</v>
      </c>
      <c r="EE60" s="14" t="s">
        <v>598</v>
      </c>
      <c r="EF60" s="14" t="s">
        <v>598</v>
      </c>
      <c r="EG60" s="14" t="s">
        <v>598</v>
      </c>
      <c r="EH60" s="14" t="s">
        <v>598</v>
      </c>
      <c r="EI60" s="14" t="s">
        <v>598</v>
      </c>
      <c r="EJ60" s="14" t="s">
        <v>598</v>
      </c>
      <c r="EK60" s="14" t="s">
        <v>598</v>
      </c>
      <c r="EL60" s="14" t="s">
        <v>598</v>
      </c>
      <c r="EM60" s="14" t="s">
        <v>598</v>
      </c>
      <c r="EN60" s="14" t="s">
        <v>598</v>
      </c>
      <c r="EO60" s="14" t="s">
        <v>598</v>
      </c>
      <c r="EP60" s="14" t="s">
        <v>598</v>
      </c>
      <c r="EQ60" s="14" t="s">
        <v>598</v>
      </c>
      <c r="ER60" s="14" t="s">
        <v>598</v>
      </c>
      <c r="ET60" s="14">
        <v>150</v>
      </c>
      <c r="EY60" s="14">
        <v>150</v>
      </c>
      <c r="FF60" s="14">
        <v>0</v>
      </c>
      <c r="FM60" s="14">
        <v>0</v>
      </c>
      <c r="FT60" s="14">
        <v>0</v>
      </c>
      <c r="FU60" s="14">
        <v>40</v>
      </c>
      <c r="FV60" s="14">
        <v>10</v>
      </c>
      <c r="GA60" s="14">
        <v>50</v>
      </c>
      <c r="GH60" s="14">
        <v>0</v>
      </c>
      <c r="GJ60" s="14">
        <v>10</v>
      </c>
      <c r="GO60" s="14">
        <v>10</v>
      </c>
      <c r="GW60" s="14">
        <v>0</v>
      </c>
      <c r="GX60" s="14">
        <v>40</v>
      </c>
      <c r="GY60" s="14">
        <v>170</v>
      </c>
      <c r="GZ60" s="14">
        <v>0</v>
      </c>
      <c r="HA60" s="14">
        <v>0</v>
      </c>
      <c r="HB60" s="14">
        <v>0</v>
      </c>
      <c r="HC60" s="14">
        <v>0</v>
      </c>
      <c r="HD60" s="14">
        <v>210</v>
      </c>
      <c r="HK60" s="14">
        <v>0</v>
      </c>
      <c r="HL60" s="14">
        <v>40</v>
      </c>
      <c r="HM60" s="14">
        <v>170</v>
      </c>
      <c r="HR60" s="14">
        <v>210</v>
      </c>
      <c r="HY60" s="14">
        <v>0</v>
      </c>
      <c r="IF60" s="14">
        <v>0</v>
      </c>
      <c r="IM60" s="14">
        <v>0</v>
      </c>
      <c r="IN60" s="14">
        <v>40</v>
      </c>
      <c r="IO60" s="14">
        <v>170</v>
      </c>
      <c r="IP60" s="14">
        <v>0</v>
      </c>
      <c r="IQ60" s="14">
        <v>0</v>
      </c>
      <c r="IR60" s="14">
        <v>0</v>
      </c>
      <c r="IS60" s="14">
        <v>0</v>
      </c>
      <c r="IT60" s="14">
        <v>210</v>
      </c>
      <c r="IU60" s="14">
        <v>0</v>
      </c>
      <c r="IV60" s="14">
        <v>80</v>
      </c>
      <c r="IW60" s="14">
        <v>20</v>
      </c>
      <c r="IZ60" s="14">
        <v>3</v>
      </c>
      <c r="JA60" s="14">
        <v>3</v>
      </c>
      <c r="JB60" s="14">
        <v>1</v>
      </c>
      <c r="JC60" s="14" t="s">
        <v>600</v>
      </c>
      <c r="NF60" s="14" t="s">
        <v>601</v>
      </c>
      <c r="NH60" s="14">
        <v>150</v>
      </c>
      <c r="NM60" s="14">
        <v>150</v>
      </c>
      <c r="NT60" s="14">
        <v>0</v>
      </c>
      <c r="OA60" s="14">
        <v>0</v>
      </c>
      <c r="OH60" s="14">
        <v>0</v>
      </c>
      <c r="OI60" s="14">
        <v>40</v>
      </c>
      <c r="OJ60" s="14">
        <v>10</v>
      </c>
      <c r="OO60" s="14">
        <v>50</v>
      </c>
      <c r="OV60" s="14">
        <v>0</v>
      </c>
      <c r="OX60" s="14">
        <v>10</v>
      </c>
      <c r="PC60" s="14">
        <v>10</v>
      </c>
      <c r="PK60" s="14">
        <v>0</v>
      </c>
      <c r="PL60" s="14">
        <v>40</v>
      </c>
      <c r="PM60" s="14">
        <v>170</v>
      </c>
      <c r="PN60" s="14">
        <v>0</v>
      </c>
      <c r="PO60" s="14">
        <v>0</v>
      </c>
      <c r="PP60" s="14">
        <v>0</v>
      </c>
      <c r="PQ60" s="14">
        <v>0</v>
      </c>
      <c r="PR60" s="14">
        <v>210</v>
      </c>
      <c r="PS60" s="14">
        <v>40</v>
      </c>
      <c r="PT60" s="14">
        <v>170</v>
      </c>
      <c r="PY60" s="14">
        <v>210</v>
      </c>
      <c r="QF60" s="14">
        <v>0</v>
      </c>
      <c r="QM60" s="14">
        <v>0</v>
      </c>
      <c r="QT60" s="14">
        <v>0</v>
      </c>
      <c r="RA60" s="14">
        <v>0</v>
      </c>
      <c r="RB60" s="14">
        <v>40</v>
      </c>
      <c r="RC60" s="14">
        <v>170</v>
      </c>
      <c r="RD60" s="14">
        <v>0</v>
      </c>
      <c r="RE60" s="14">
        <v>0</v>
      </c>
      <c r="RF60" s="14">
        <v>0</v>
      </c>
      <c r="RG60" s="14">
        <v>0</v>
      </c>
      <c r="RH60" s="14">
        <v>210</v>
      </c>
      <c r="RI60" s="14" t="s">
        <v>602</v>
      </c>
      <c r="VL60" s="14" t="s">
        <v>603</v>
      </c>
      <c r="ZO60" s="14" t="s">
        <v>604</v>
      </c>
      <c r="ADR60" s="14" t="s">
        <v>605</v>
      </c>
    </row>
    <row r="61" spans="1:798" x14ac:dyDescent="0.25">
      <c r="A61" s="14">
        <v>202</v>
      </c>
      <c r="B61" s="14" t="s">
        <v>889</v>
      </c>
      <c r="C61" s="16">
        <f t="shared" ref="C61:C62" si="4">$C$3</f>
        <v>42780</v>
      </c>
      <c r="D61" s="14" t="s">
        <v>911</v>
      </c>
      <c r="E61" s="14" t="s">
        <v>912</v>
      </c>
      <c r="F61" s="14" t="s">
        <v>913</v>
      </c>
      <c r="G61" s="14" t="s">
        <v>914</v>
      </c>
      <c r="H61" s="14" t="s">
        <v>915</v>
      </c>
      <c r="I61" s="14" t="s">
        <v>894</v>
      </c>
      <c r="J61" s="14" t="s">
        <v>732</v>
      </c>
      <c r="L61" s="14">
        <v>1</v>
      </c>
      <c r="U61" s="14">
        <v>0</v>
      </c>
      <c r="V61" s="14">
        <v>320</v>
      </c>
      <c r="Y61" s="14">
        <v>132</v>
      </c>
      <c r="AB61" s="14">
        <v>452</v>
      </c>
      <c r="AI61" s="14">
        <v>0</v>
      </c>
      <c r="AP61" s="14">
        <v>0</v>
      </c>
      <c r="AW61" s="14">
        <v>0</v>
      </c>
      <c r="BD61" s="14">
        <v>0</v>
      </c>
      <c r="BE61" s="14">
        <v>320</v>
      </c>
      <c r="BF61" s="14">
        <v>0</v>
      </c>
      <c r="BG61" s="14">
        <v>0</v>
      </c>
      <c r="BH61" s="14">
        <v>132</v>
      </c>
      <c r="BI61" s="14">
        <v>0</v>
      </c>
      <c r="BJ61" s="14">
        <v>0</v>
      </c>
      <c r="BK61" s="14">
        <v>452</v>
      </c>
      <c r="BR61" s="14">
        <v>0</v>
      </c>
      <c r="BS61" s="14">
        <v>3</v>
      </c>
      <c r="BV61" s="14">
        <v>2</v>
      </c>
      <c r="BY61" s="14">
        <v>5</v>
      </c>
      <c r="CF61" s="14">
        <v>0</v>
      </c>
      <c r="CM61" s="14">
        <v>0</v>
      </c>
      <c r="CT61" s="14">
        <v>0</v>
      </c>
      <c r="DA61" s="14">
        <v>0</v>
      </c>
      <c r="DB61" s="14">
        <v>3</v>
      </c>
      <c r="DC61" s="14">
        <v>0</v>
      </c>
      <c r="DD61" s="14">
        <v>0</v>
      </c>
      <c r="DE61" s="14">
        <v>2</v>
      </c>
      <c r="DF61" s="14">
        <v>0</v>
      </c>
      <c r="DG61" s="14">
        <v>0</v>
      </c>
      <c r="DH61" s="14">
        <v>5</v>
      </c>
      <c r="DI61" s="14" t="s">
        <v>598</v>
      </c>
      <c r="DJ61" s="14" t="s">
        <v>598</v>
      </c>
      <c r="DK61" s="14" t="s">
        <v>598</v>
      </c>
      <c r="DL61" s="14" t="s">
        <v>598</v>
      </c>
      <c r="DM61" s="14" t="s">
        <v>598</v>
      </c>
      <c r="DN61" s="14" t="s">
        <v>598</v>
      </c>
      <c r="DO61" s="14" t="s">
        <v>597</v>
      </c>
      <c r="DP61" s="14" t="s">
        <v>598</v>
      </c>
      <c r="DQ61" s="14" t="s">
        <v>598</v>
      </c>
      <c r="DR61" s="14" t="s">
        <v>597</v>
      </c>
      <c r="DS61" s="14" t="s">
        <v>598</v>
      </c>
      <c r="DT61" s="14" t="s">
        <v>598</v>
      </c>
      <c r="DU61" s="14" t="s">
        <v>598</v>
      </c>
      <c r="DV61" s="14" t="s">
        <v>598</v>
      </c>
      <c r="DW61" s="14" t="s">
        <v>598</v>
      </c>
      <c r="DX61" s="14" t="s">
        <v>598</v>
      </c>
      <c r="DY61" s="14" t="s">
        <v>598</v>
      </c>
      <c r="DZ61" s="14" t="s">
        <v>598</v>
      </c>
      <c r="EA61" s="14" t="s">
        <v>598</v>
      </c>
      <c r="EB61" s="14" t="s">
        <v>598</v>
      </c>
      <c r="EC61" s="14" t="s">
        <v>598</v>
      </c>
      <c r="ED61" s="14" t="s">
        <v>598</v>
      </c>
      <c r="EE61" s="14" t="s">
        <v>598</v>
      </c>
      <c r="EF61" s="14" t="s">
        <v>598</v>
      </c>
      <c r="EG61" s="14" t="s">
        <v>598</v>
      </c>
      <c r="EH61" s="14" t="s">
        <v>598</v>
      </c>
      <c r="EI61" s="14" t="s">
        <v>598</v>
      </c>
      <c r="EJ61" s="14" t="s">
        <v>598</v>
      </c>
      <c r="EK61" s="14" t="s">
        <v>598</v>
      </c>
      <c r="EL61" s="14" t="s">
        <v>598</v>
      </c>
      <c r="EM61" s="14" t="s">
        <v>598</v>
      </c>
      <c r="EN61" s="14" t="s">
        <v>598</v>
      </c>
      <c r="EO61" s="14" t="s">
        <v>598</v>
      </c>
      <c r="EP61" s="14" t="s">
        <v>598</v>
      </c>
      <c r="EQ61" s="14" t="s">
        <v>598</v>
      </c>
      <c r="ER61" s="14" t="s">
        <v>598</v>
      </c>
      <c r="ES61" s="14">
        <v>10</v>
      </c>
      <c r="EY61" s="14">
        <v>10</v>
      </c>
      <c r="EZ61" s="14">
        <v>300</v>
      </c>
      <c r="FC61" s="14">
        <v>132</v>
      </c>
      <c r="FF61" s="14">
        <v>432</v>
      </c>
      <c r="FM61" s="14">
        <v>0</v>
      </c>
      <c r="FT61" s="14">
        <v>0</v>
      </c>
      <c r="GA61" s="14">
        <v>0</v>
      </c>
      <c r="GB61" s="14">
        <v>10</v>
      </c>
      <c r="GH61" s="14">
        <v>10</v>
      </c>
      <c r="GO61" s="14">
        <v>0</v>
      </c>
      <c r="GW61" s="14">
        <v>0</v>
      </c>
      <c r="GX61" s="14">
        <v>320</v>
      </c>
      <c r="GY61" s="14">
        <v>0</v>
      </c>
      <c r="GZ61" s="14">
        <v>0</v>
      </c>
      <c r="HA61" s="14">
        <v>132</v>
      </c>
      <c r="HB61" s="14">
        <v>0</v>
      </c>
      <c r="HC61" s="14">
        <v>0</v>
      </c>
      <c r="HD61" s="14">
        <v>452</v>
      </c>
      <c r="HK61" s="14">
        <v>0</v>
      </c>
      <c r="HL61" s="14">
        <v>320</v>
      </c>
      <c r="HO61" s="14">
        <v>132</v>
      </c>
      <c r="HR61" s="14">
        <v>452</v>
      </c>
      <c r="HY61" s="14">
        <v>0</v>
      </c>
      <c r="IF61" s="14">
        <v>0</v>
      </c>
      <c r="IM61" s="14">
        <v>0</v>
      </c>
      <c r="IN61" s="14">
        <v>320</v>
      </c>
      <c r="IO61" s="14">
        <v>0</v>
      </c>
      <c r="IP61" s="14">
        <v>0</v>
      </c>
      <c r="IQ61" s="14">
        <v>132</v>
      </c>
      <c r="IR61" s="14">
        <v>0</v>
      </c>
      <c r="IS61" s="14">
        <v>0</v>
      </c>
      <c r="IT61" s="14">
        <v>452</v>
      </c>
      <c r="IU61" s="14">
        <v>0</v>
      </c>
      <c r="IV61" s="14">
        <v>0</v>
      </c>
      <c r="IW61" s="14">
        <v>100</v>
      </c>
      <c r="IY61" s="14">
        <v>0</v>
      </c>
      <c r="IZ61" s="14">
        <v>1</v>
      </c>
      <c r="JA61" s="14">
        <v>3</v>
      </c>
      <c r="JB61" s="14">
        <v>1</v>
      </c>
      <c r="JC61" s="14" t="s">
        <v>600</v>
      </c>
      <c r="NF61" s="14" t="s">
        <v>601</v>
      </c>
      <c r="NG61" s="14">
        <v>10</v>
      </c>
      <c r="NM61" s="14">
        <v>10</v>
      </c>
      <c r="NN61" s="14">
        <v>300</v>
      </c>
      <c r="NQ61" s="14">
        <v>132</v>
      </c>
      <c r="NT61" s="14">
        <v>432</v>
      </c>
      <c r="OA61" s="14">
        <v>0</v>
      </c>
      <c r="OH61" s="14">
        <v>0</v>
      </c>
      <c r="OO61" s="14">
        <v>0</v>
      </c>
      <c r="OP61" s="14">
        <v>10</v>
      </c>
      <c r="OV61" s="14">
        <v>10</v>
      </c>
      <c r="PC61" s="14">
        <v>0</v>
      </c>
      <c r="PK61" s="14">
        <v>0</v>
      </c>
      <c r="PL61" s="14">
        <v>320</v>
      </c>
      <c r="PM61" s="14">
        <v>0</v>
      </c>
      <c r="PN61" s="14">
        <v>0</v>
      </c>
      <c r="PO61" s="14">
        <v>132</v>
      </c>
      <c r="PP61" s="14">
        <v>0</v>
      </c>
      <c r="PQ61" s="14">
        <v>0</v>
      </c>
      <c r="PR61" s="14">
        <v>452</v>
      </c>
      <c r="PS61" s="14">
        <v>320</v>
      </c>
      <c r="PV61" s="14">
        <v>132</v>
      </c>
      <c r="PY61" s="14">
        <v>452</v>
      </c>
      <c r="QF61" s="14">
        <v>0</v>
      </c>
      <c r="QM61" s="14">
        <v>0</v>
      </c>
      <c r="QT61" s="14">
        <v>0</v>
      </c>
      <c r="RA61" s="14">
        <v>0</v>
      </c>
      <c r="RB61" s="14">
        <v>320</v>
      </c>
      <c r="RC61" s="14">
        <v>0</v>
      </c>
      <c r="RD61" s="14">
        <v>0</v>
      </c>
      <c r="RE61" s="14">
        <v>132</v>
      </c>
      <c r="RF61" s="14">
        <v>0</v>
      </c>
      <c r="RG61" s="14">
        <v>0</v>
      </c>
      <c r="RH61" s="14">
        <v>452</v>
      </c>
      <c r="RI61" s="14" t="s">
        <v>602</v>
      </c>
      <c r="VL61" s="14" t="s">
        <v>603</v>
      </c>
      <c r="ZO61" s="14" t="s">
        <v>604</v>
      </c>
      <c r="ADR61" s="14" t="s">
        <v>605</v>
      </c>
    </row>
    <row r="62" spans="1:798" x14ac:dyDescent="0.25">
      <c r="A62" s="14">
        <v>147</v>
      </c>
      <c r="B62" s="14" t="s">
        <v>889</v>
      </c>
      <c r="C62" s="16">
        <f t="shared" si="4"/>
        <v>42780</v>
      </c>
      <c r="D62" s="14" t="s">
        <v>916</v>
      </c>
      <c r="E62" s="14" t="s">
        <v>917</v>
      </c>
      <c r="F62" s="14" t="s">
        <v>918</v>
      </c>
      <c r="G62" s="14" t="s">
        <v>919</v>
      </c>
      <c r="H62" s="14" t="s">
        <v>920</v>
      </c>
      <c r="I62" s="14" t="s">
        <v>731</v>
      </c>
      <c r="J62" s="14" t="s">
        <v>732</v>
      </c>
      <c r="L62" s="14">
        <v>1</v>
      </c>
      <c r="R62" s="14">
        <v>380</v>
      </c>
      <c r="U62" s="14">
        <v>380</v>
      </c>
      <c r="AB62" s="14">
        <v>0</v>
      </c>
      <c r="AI62" s="14">
        <v>0</v>
      </c>
      <c r="AP62" s="14">
        <v>0</v>
      </c>
      <c r="AW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380</v>
      </c>
      <c r="BI62" s="14">
        <v>0</v>
      </c>
      <c r="BJ62" s="14">
        <v>0</v>
      </c>
      <c r="BK62" s="14">
        <v>380</v>
      </c>
      <c r="BO62" s="14">
        <v>1</v>
      </c>
      <c r="BR62" s="14">
        <v>1</v>
      </c>
      <c r="BY62" s="14">
        <v>0</v>
      </c>
      <c r="CF62" s="14">
        <v>0</v>
      </c>
      <c r="CM62" s="14">
        <v>0</v>
      </c>
      <c r="CT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1</v>
      </c>
      <c r="DF62" s="14">
        <v>0</v>
      </c>
      <c r="DG62" s="14">
        <v>0</v>
      </c>
      <c r="DH62" s="14">
        <v>1</v>
      </c>
      <c r="DI62" s="14" t="s">
        <v>598</v>
      </c>
      <c r="DJ62" s="14" t="s">
        <v>598</v>
      </c>
      <c r="DK62" s="14" t="s">
        <v>598</v>
      </c>
      <c r="DL62" s="14" t="s">
        <v>597</v>
      </c>
      <c r="DM62" s="14" t="s">
        <v>598</v>
      </c>
      <c r="DN62" s="14" t="s">
        <v>598</v>
      </c>
      <c r="DO62" s="14" t="s">
        <v>598</v>
      </c>
      <c r="DP62" s="14" t="s">
        <v>598</v>
      </c>
      <c r="DQ62" s="14" t="s">
        <v>598</v>
      </c>
      <c r="DR62" s="14" t="s">
        <v>598</v>
      </c>
      <c r="DS62" s="14" t="s">
        <v>598</v>
      </c>
      <c r="DT62" s="14" t="s">
        <v>598</v>
      </c>
      <c r="DU62" s="14" t="s">
        <v>598</v>
      </c>
      <c r="DV62" s="14" t="s">
        <v>598</v>
      </c>
      <c r="DW62" s="14" t="s">
        <v>598</v>
      </c>
      <c r="DX62" s="14" t="s">
        <v>598</v>
      </c>
      <c r="DY62" s="14" t="s">
        <v>598</v>
      </c>
      <c r="DZ62" s="14" t="s">
        <v>598</v>
      </c>
      <c r="EA62" s="14" t="s">
        <v>598</v>
      </c>
      <c r="EB62" s="14" t="s">
        <v>598</v>
      </c>
      <c r="EC62" s="14" t="s">
        <v>598</v>
      </c>
      <c r="ED62" s="14" t="s">
        <v>598</v>
      </c>
      <c r="EE62" s="14" t="s">
        <v>598</v>
      </c>
      <c r="EF62" s="14" t="s">
        <v>598</v>
      </c>
      <c r="EG62" s="14" t="s">
        <v>598</v>
      </c>
      <c r="EH62" s="14" t="s">
        <v>598</v>
      </c>
      <c r="EI62" s="14" t="s">
        <v>598</v>
      </c>
      <c r="EJ62" s="14" t="s">
        <v>598</v>
      </c>
      <c r="EK62" s="14" t="s">
        <v>598</v>
      </c>
      <c r="EL62" s="14" t="s">
        <v>598</v>
      </c>
      <c r="EM62" s="14" t="s">
        <v>598</v>
      </c>
      <c r="EN62" s="14" t="s">
        <v>598</v>
      </c>
      <c r="EO62" s="14" t="s">
        <v>598</v>
      </c>
      <c r="EP62" s="14" t="s">
        <v>598</v>
      </c>
      <c r="EQ62" s="14" t="s">
        <v>598</v>
      </c>
      <c r="ER62" s="14" t="s">
        <v>598</v>
      </c>
      <c r="EY62" s="14">
        <v>0</v>
      </c>
      <c r="FF62" s="14">
        <v>0</v>
      </c>
      <c r="FJ62" s="14">
        <v>378</v>
      </c>
      <c r="FM62" s="14">
        <v>378</v>
      </c>
      <c r="FT62" s="14">
        <v>0</v>
      </c>
      <c r="GA62" s="14">
        <v>0</v>
      </c>
      <c r="GH62" s="14">
        <v>0</v>
      </c>
      <c r="GO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378</v>
      </c>
      <c r="HB62" s="14">
        <v>0</v>
      </c>
      <c r="HC62" s="14">
        <v>0</v>
      </c>
      <c r="HD62" s="14">
        <v>378</v>
      </c>
      <c r="HH62" s="14">
        <v>380</v>
      </c>
      <c r="HK62" s="14">
        <v>380</v>
      </c>
      <c r="HR62" s="14">
        <v>0</v>
      </c>
      <c r="HY62" s="14">
        <v>0</v>
      </c>
      <c r="IF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380</v>
      </c>
      <c r="IR62" s="14">
        <v>0</v>
      </c>
      <c r="IS62" s="14">
        <v>0</v>
      </c>
      <c r="IT62" s="14">
        <v>380</v>
      </c>
      <c r="IW62" s="14">
        <v>100</v>
      </c>
      <c r="IZ62" s="14">
        <v>1</v>
      </c>
      <c r="JA62" s="14">
        <v>3</v>
      </c>
      <c r="JB62" s="14">
        <v>1</v>
      </c>
      <c r="JC62" s="14" t="s">
        <v>600</v>
      </c>
      <c r="JJ62" s="14">
        <v>0</v>
      </c>
      <c r="JQ62" s="14">
        <v>0</v>
      </c>
      <c r="JU62" s="14">
        <v>380</v>
      </c>
      <c r="JX62" s="14">
        <v>380</v>
      </c>
      <c r="KE62" s="14">
        <v>0</v>
      </c>
      <c r="KL62" s="14">
        <v>0</v>
      </c>
      <c r="KS62" s="14">
        <v>0</v>
      </c>
      <c r="KZ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380</v>
      </c>
      <c r="LM62" s="14">
        <v>0</v>
      </c>
      <c r="LN62" s="14">
        <v>0</v>
      </c>
      <c r="LO62" s="14">
        <v>380</v>
      </c>
      <c r="LV62" s="14">
        <v>0</v>
      </c>
      <c r="LZ62" s="14">
        <v>380</v>
      </c>
      <c r="MC62" s="14">
        <v>380</v>
      </c>
      <c r="MJ62" s="14">
        <v>0</v>
      </c>
      <c r="MQ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380</v>
      </c>
      <c r="NC62" s="14">
        <v>0</v>
      </c>
      <c r="ND62" s="14">
        <v>0</v>
      </c>
      <c r="NE62" s="14">
        <v>380</v>
      </c>
      <c r="NF62" s="14" t="s">
        <v>601</v>
      </c>
      <c r="RI62" s="14" t="s">
        <v>602</v>
      </c>
      <c r="VL62" s="14" t="s">
        <v>603</v>
      </c>
      <c r="ZO62" s="14" t="s">
        <v>604</v>
      </c>
      <c r="ADR62" s="14" t="s">
        <v>605</v>
      </c>
    </row>
    <row r="63" spans="1:798" x14ac:dyDescent="0.25">
      <c r="A63" s="14">
        <v>154</v>
      </c>
      <c r="B63" s="14" t="s">
        <v>889</v>
      </c>
      <c r="C63" s="16">
        <f>VLOOKUP(A63,[4]RawData!Z:AA,2,FALSE)</f>
        <v>42767.386111111111</v>
      </c>
      <c r="D63" s="14" t="s">
        <v>921</v>
      </c>
      <c r="E63" s="14" t="s">
        <v>922</v>
      </c>
      <c r="F63" s="14" t="s">
        <v>807</v>
      </c>
      <c r="G63" s="14" t="s">
        <v>923</v>
      </c>
      <c r="H63" s="14">
        <v>36347035</v>
      </c>
      <c r="I63" s="14" t="s">
        <v>900</v>
      </c>
      <c r="J63" s="14" t="s">
        <v>732</v>
      </c>
      <c r="L63" s="14">
        <v>1</v>
      </c>
      <c r="O63" s="14">
        <v>36</v>
      </c>
      <c r="Q63" s="14">
        <v>47</v>
      </c>
      <c r="R63" s="14">
        <v>32</v>
      </c>
      <c r="U63" s="14">
        <v>115</v>
      </c>
      <c r="V63" s="14">
        <v>95</v>
      </c>
      <c r="Y63" s="14">
        <v>100</v>
      </c>
      <c r="AB63" s="14">
        <v>195</v>
      </c>
      <c r="AC63" s="14">
        <v>53</v>
      </c>
      <c r="AE63" s="14">
        <v>37</v>
      </c>
      <c r="AF63" s="14">
        <v>105</v>
      </c>
      <c r="AI63" s="14">
        <v>195</v>
      </c>
      <c r="AP63" s="14">
        <v>0</v>
      </c>
      <c r="AW63" s="14">
        <v>0</v>
      </c>
      <c r="BD63" s="14">
        <v>0</v>
      </c>
      <c r="BE63" s="14">
        <v>184</v>
      </c>
      <c r="BF63" s="14">
        <v>0</v>
      </c>
      <c r="BG63" s="14">
        <v>84</v>
      </c>
      <c r="BH63" s="14">
        <v>237</v>
      </c>
      <c r="BI63" s="14">
        <v>0</v>
      </c>
      <c r="BJ63" s="14">
        <v>0</v>
      </c>
      <c r="BK63" s="14">
        <v>505</v>
      </c>
      <c r="BL63" s="14">
        <v>2</v>
      </c>
      <c r="BN63" s="14">
        <v>2</v>
      </c>
      <c r="BO63" s="14">
        <v>1</v>
      </c>
      <c r="BR63" s="14">
        <v>5</v>
      </c>
      <c r="BS63" s="14">
        <v>3</v>
      </c>
      <c r="BV63" s="14">
        <v>3</v>
      </c>
      <c r="BY63" s="14">
        <v>6</v>
      </c>
      <c r="BZ63" s="14">
        <v>2</v>
      </c>
      <c r="CB63" s="14">
        <v>1</v>
      </c>
      <c r="CC63" s="14">
        <v>3</v>
      </c>
      <c r="CF63" s="14">
        <v>6</v>
      </c>
      <c r="CM63" s="14">
        <v>0</v>
      </c>
      <c r="CT63" s="14">
        <v>0</v>
      </c>
      <c r="DA63" s="14">
        <v>0</v>
      </c>
      <c r="DB63" s="14">
        <v>7</v>
      </c>
      <c r="DC63" s="14">
        <v>0</v>
      </c>
      <c r="DD63" s="14">
        <v>3</v>
      </c>
      <c r="DE63" s="14">
        <v>7</v>
      </c>
      <c r="DF63" s="14">
        <v>0</v>
      </c>
      <c r="DG63" s="14">
        <v>0</v>
      </c>
      <c r="DH63" s="14">
        <v>17</v>
      </c>
      <c r="DI63" s="14" t="s">
        <v>597</v>
      </c>
      <c r="DJ63" s="14" t="s">
        <v>598</v>
      </c>
      <c r="DK63" s="14" t="s">
        <v>597</v>
      </c>
      <c r="DL63" s="14" t="s">
        <v>597</v>
      </c>
      <c r="DM63" s="14" t="s">
        <v>598</v>
      </c>
      <c r="DN63" s="14" t="s">
        <v>598</v>
      </c>
      <c r="DO63" s="14" t="s">
        <v>597</v>
      </c>
      <c r="DP63" s="14" t="s">
        <v>598</v>
      </c>
      <c r="DQ63" s="14" t="s">
        <v>598</v>
      </c>
      <c r="DR63" s="14" t="s">
        <v>597</v>
      </c>
      <c r="DS63" s="14" t="s">
        <v>598</v>
      </c>
      <c r="DT63" s="14" t="s">
        <v>598</v>
      </c>
      <c r="DU63" s="14" t="s">
        <v>597</v>
      </c>
      <c r="DV63" s="14" t="s">
        <v>598</v>
      </c>
      <c r="DW63" s="14" t="s">
        <v>597</v>
      </c>
      <c r="DX63" s="14" t="s">
        <v>597</v>
      </c>
      <c r="DY63" s="14" t="s">
        <v>598</v>
      </c>
      <c r="DZ63" s="14" t="s">
        <v>598</v>
      </c>
      <c r="EA63" s="14" t="s">
        <v>598</v>
      </c>
      <c r="EB63" s="14" t="s">
        <v>598</v>
      </c>
      <c r="EC63" s="14" t="s">
        <v>598</v>
      </c>
      <c r="ED63" s="14" t="s">
        <v>598</v>
      </c>
      <c r="EE63" s="14" t="s">
        <v>598</v>
      </c>
      <c r="EF63" s="14" t="s">
        <v>598</v>
      </c>
      <c r="EG63" s="14" t="s">
        <v>598</v>
      </c>
      <c r="EH63" s="14" t="s">
        <v>598</v>
      </c>
      <c r="EI63" s="14" t="s">
        <v>598</v>
      </c>
      <c r="EJ63" s="14" t="s">
        <v>598</v>
      </c>
      <c r="EK63" s="14" t="s">
        <v>598</v>
      </c>
      <c r="EL63" s="14" t="s">
        <v>598</v>
      </c>
      <c r="EM63" s="14" t="s">
        <v>598</v>
      </c>
      <c r="EN63" s="14" t="s">
        <v>598</v>
      </c>
      <c r="EO63" s="14" t="s">
        <v>598</v>
      </c>
      <c r="EP63" s="14" t="s">
        <v>598</v>
      </c>
      <c r="EQ63" s="14" t="s">
        <v>598</v>
      </c>
      <c r="ER63" s="14" t="s">
        <v>598</v>
      </c>
      <c r="ES63" s="14">
        <v>166</v>
      </c>
      <c r="EU63" s="14">
        <v>76</v>
      </c>
      <c r="EV63" s="14">
        <v>213</v>
      </c>
      <c r="EY63" s="14">
        <v>455</v>
      </c>
      <c r="FF63" s="14">
        <v>0</v>
      </c>
      <c r="FM63" s="14">
        <v>0</v>
      </c>
      <c r="FT63" s="14">
        <v>0</v>
      </c>
      <c r="GA63" s="14">
        <v>0</v>
      </c>
      <c r="GB63" s="14">
        <v>10</v>
      </c>
      <c r="GD63" s="14">
        <v>4</v>
      </c>
      <c r="GE63" s="14">
        <v>11</v>
      </c>
      <c r="GH63" s="14">
        <v>25</v>
      </c>
      <c r="GI63" s="14">
        <v>10</v>
      </c>
      <c r="GK63" s="14">
        <v>4</v>
      </c>
      <c r="GL63" s="14">
        <v>11</v>
      </c>
      <c r="GO63" s="14">
        <v>25</v>
      </c>
      <c r="GW63" s="14">
        <v>0</v>
      </c>
      <c r="GX63" s="14">
        <v>186</v>
      </c>
      <c r="GY63" s="14">
        <v>0</v>
      </c>
      <c r="GZ63" s="14">
        <v>84</v>
      </c>
      <c r="HA63" s="14">
        <v>235</v>
      </c>
      <c r="HB63" s="14">
        <v>0</v>
      </c>
      <c r="HC63" s="14">
        <v>0</v>
      </c>
      <c r="HD63" s="14">
        <v>505</v>
      </c>
      <c r="HK63" s="14">
        <v>0</v>
      </c>
      <c r="HL63" s="14">
        <v>184</v>
      </c>
      <c r="HN63" s="14">
        <v>84</v>
      </c>
      <c r="HO63" s="14">
        <v>237</v>
      </c>
      <c r="HR63" s="14">
        <v>505</v>
      </c>
      <c r="HY63" s="14">
        <v>0</v>
      </c>
      <c r="IF63" s="14">
        <v>0</v>
      </c>
      <c r="IM63" s="14">
        <v>0</v>
      </c>
      <c r="IN63" s="14">
        <v>184</v>
      </c>
      <c r="IO63" s="14">
        <v>0</v>
      </c>
      <c r="IP63" s="14">
        <v>84</v>
      </c>
      <c r="IQ63" s="14">
        <v>237</v>
      </c>
      <c r="IR63" s="14">
        <v>0</v>
      </c>
      <c r="IS63" s="14">
        <v>0</v>
      </c>
      <c r="IT63" s="14">
        <v>505</v>
      </c>
      <c r="IU63" s="14">
        <v>0</v>
      </c>
      <c r="IV63" s="14">
        <v>0</v>
      </c>
      <c r="IW63" s="14">
        <v>100</v>
      </c>
      <c r="IZ63" s="14">
        <v>1</v>
      </c>
      <c r="JA63" s="14">
        <v>3</v>
      </c>
      <c r="JB63" s="14">
        <v>1</v>
      </c>
      <c r="JC63" s="14" t="s">
        <v>600</v>
      </c>
      <c r="JD63" s="14">
        <v>38</v>
      </c>
      <c r="JF63" s="14">
        <v>17</v>
      </c>
      <c r="JG63" s="14">
        <v>49</v>
      </c>
      <c r="JJ63" s="14">
        <v>104</v>
      </c>
      <c r="JQ63" s="14">
        <v>0</v>
      </c>
      <c r="JX63" s="14">
        <v>0</v>
      </c>
      <c r="KE63" s="14">
        <v>0</v>
      </c>
      <c r="KL63" s="14">
        <v>0</v>
      </c>
      <c r="KM63" s="14">
        <v>2</v>
      </c>
      <c r="KO63" s="14">
        <v>1</v>
      </c>
      <c r="KP63" s="14">
        <v>2.5</v>
      </c>
      <c r="KS63" s="14">
        <v>5.5</v>
      </c>
      <c r="KT63" s="14">
        <v>2</v>
      </c>
      <c r="KV63" s="14">
        <v>1</v>
      </c>
      <c r="KW63" s="14">
        <v>2.5</v>
      </c>
      <c r="KZ63" s="14">
        <v>5.5</v>
      </c>
      <c r="LH63" s="14">
        <v>0</v>
      </c>
      <c r="LI63" s="14">
        <v>42</v>
      </c>
      <c r="LJ63" s="14">
        <v>0</v>
      </c>
      <c r="LK63" s="14">
        <v>19</v>
      </c>
      <c r="LL63" s="14">
        <v>54</v>
      </c>
      <c r="LM63" s="14">
        <v>0</v>
      </c>
      <c r="LN63" s="14">
        <v>0</v>
      </c>
      <c r="LO63" s="14">
        <v>115</v>
      </c>
      <c r="LP63" s="14">
        <v>42</v>
      </c>
      <c r="LR63" s="14">
        <v>19</v>
      </c>
      <c r="LS63" s="14">
        <v>54</v>
      </c>
      <c r="LV63" s="14">
        <v>115</v>
      </c>
      <c r="MC63" s="14">
        <v>0</v>
      </c>
      <c r="MJ63" s="14">
        <v>0</v>
      </c>
      <c r="MQ63" s="14">
        <v>0</v>
      </c>
      <c r="MX63" s="14">
        <v>0</v>
      </c>
      <c r="MY63" s="14">
        <v>42</v>
      </c>
      <c r="MZ63" s="14">
        <v>0</v>
      </c>
      <c r="NA63" s="14">
        <v>19</v>
      </c>
      <c r="NB63" s="14">
        <v>54</v>
      </c>
      <c r="NC63" s="14">
        <v>0</v>
      </c>
      <c r="ND63" s="14">
        <v>0</v>
      </c>
      <c r="NE63" s="14">
        <v>115</v>
      </c>
      <c r="NF63" s="14" t="s">
        <v>601</v>
      </c>
      <c r="NG63" s="14">
        <v>64</v>
      </c>
      <c r="NI63" s="14">
        <v>29</v>
      </c>
      <c r="NJ63" s="14">
        <v>82</v>
      </c>
      <c r="NM63" s="14">
        <v>175</v>
      </c>
      <c r="NT63" s="14">
        <v>0</v>
      </c>
      <c r="OA63" s="14">
        <v>0</v>
      </c>
      <c r="OH63" s="14">
        <v>0</v>
      </c>
      <c r="OO63" s="14">
        <v>0</v>
      </c>
      <c r="OP63" s="14">
        <v>3</v>
      </c>
      <c r="OR63" s="14">
        <v>2</v>
      </c>
      <c r="OS63" s="14">
        <v>5</v>
      </c>
      <c r="OV63" s="14">
        <v>10</v>
      </c>
      <c r="OW63" s="14">
        <v>3</v>
      </c>
      <c r="OY63" s="14">
        <v>2</v>
      </c>
      <c r="OZ63" s="14">
        <v>5</v>
      </c>
      <c r="PC63" s="14">
        <v>10</v>
      </c>
      <c r="PK63" s="14">
        <v>0</v>
      </c>
      <c r="PL63" s="14">
        <v>70</v>
      </c>
      <c r="PM63" s="14">
        <v>0</v>
      </c>
      <c r="PN63" s="14">
        <v>33</v>
      </c>
      <c r="PO63" s="14">
        <v>92</v>
      </c>
      <c r="PP63" s="14">
        <v>0</v>
      </c>
      <c r="PQ63" s="14">
        <v>0</v>
      </c>
      <c r="PR63" s="14">
        <v>195</v>
      </c>
      <c r="PS63" s="14">
        <v>71</v>
      </c>
      <c r="PU63" s="14">
        <v>32</v>
      </c>
      <c r="PV63" s="14">
        <v>92</v>
      </c>
      <c r="PY63" s="14">
        <v>195</v>
      </c>
      <c r="QF63" s="14">
        <v>0</v>
      </c>
      <c r="QM63" s="14">
        <v>0</v>
      </c>
      <c r="QT63" s="14">
        <v>0</v>
      </c>
      <c r="RA63" s="14">
        <v>0</v>
      </c>
      <c r="RB63" s="14">
        <v>71</v>
      </c>
      <c r="RC63" s="14">
        <v>0</v>
      </c>
      <c r="RD63" s="14">
        <v>32</v>
      </c>
      <c r="RE63" s="14">
        <v>92</v>
      </c>
      <c r="RF63" s="14">
        <v>0</v>
      </c>
      <c r="RG63" s="14">
        <v>0</v>
      </c>
      <c r="RH63" s="14">
        <v>195</v>
      </c>
      <c r="RI63" s="14" t="s">
        <v>602</v>
      </c>
      <c r="RJ63" s="14">
        <v>64</v>
      </c>
      <c r="RL63" s="14">
        <v>29</v>
      </c>
      <c r="RM63" s="14">
        <v>82</v>
      </c>
      <c r="RP63" s="14">
        <v>175</v>
      </c>
      <c r="RW63" s="14">
        <v>0</v>
      </c>
      <c r="SD63" s="14">
        <v>0</v>
      </c>
      <c r="SK63" s="14">
        <v>0</v>
      </c>
      <c r="SR63" s="14">
        <v>0</v>
      </c>
      <c r="SS63" s="14">
        <v>3</v>
      </c>
      <c r="SU63" s="14">
        <v>2</v>
      </c>
      <c r="SV63" s="14">
        <v>5</v>
      </c>
      <c r="SY63" s="14">
        <v>10</v>
      </c>
      <c r="SZ63" s="14">
        <v>3</v>
      </c>
      <c r="TB63" s="14">
        <v>2</v>
      </c>
      <c r="TC63" s="14">
        <v>5</v>
      </c>
      <c r="TF63" s="14">
        <v>10</v>
      </c>
      <c r="TN63" s="14">
        <v>0</v>
      </c>
      <c r="TO63" s="14">
        <v>70</v>
      </c>
      <c r="TP63" s="14">
        <v>0</v>
      </c>
      <c r="TQ63" s="14">
        <v>33</v>
      </c>
      <c r="TR63" s="14">
        <v>92</v>
      </c>
      <c r="TS63" s="14">
        <v>0</v>
      </c>
      <c r="TT63" s="14">
        <v>0</v>
      </c>
      <c r="TU63" s="14">
        <v>195</v>
      </c>
      <c r="TV63" s="14">
        <v>71</v>
      </c>
      <c r="TX63" s="14">
        <v>32</v>
      </c>
      <c r="TY63" s="14">
        <v>92</v>
      </c>
      <c r="UB63" s="14">
        <v>195</v>
      </c>
      <c r="UI63" s="14">
        <v>0</v>
      </c>
      <c r="UP63" s="14">
        <v>0</v>
      </c>
      <c r="UW63" s="14">
        <v>0</v>
      </c>
      <c r="VD63" s="14">
        <v>0</v>
      </c>
      <c r="VE63" s="14">
        <v>71</v>
      </c>
      <c r="VF63" s="14">
        <v>0</v>
      </c>
      <c r="VG63" s="14">
        <v>32</v>
      </c>
      <c r="VH63" s="14">
        <v>92</v>
      </c>
      <c r="VI63" s="14">
        <v>0</v>
      </c>
      <c r="VJ63" s="14">
        <v>0</v>
      </c>
      <c r="VK63" s="14">
        <v>195</v>
      </c>
      <c r="VL63" s="14" t="s">
        <v>603</v>
      </c>
      <c r="ZO63" s="14" t="s">
        <v>604</v>
      </c>
      <c r="ADR63" s="14" t="s">
        <v>605</v>
      </c>
    </row>
    <row r="64" spans="1:798" x14ac:dyDescent="0.25">
      <c r="A64" s="14">
        <v>189</v>
      </c>
      <c r="B64" s="14" t="s">
        <v>889</v>
      </c>
      <c r="C64" s="16">
        <f t="shared" ref="C64:C65" si="5">$C$3</f>
        <v>42780</v>
      </c>
      <c r="D64" s="14" t="s">
        <v>924</v>
      </c>
      <c r="E64" s="14" t="s">
        <v>925</v>
      </c>
      <c r="F64" s="14" t="s">
        <v>926</v>
      </c>
      <c r="G64" s="14" t="s">
        <v>927</v>
      </c>
      <c r="H64" s="14">
        <v>442079614311</v>
      </c>
      <c r="I64" s="14" t="s">
        <v>731</v>
      </c>
      <c r="J64" s="14" t="s">
        <v>732</v>
      </c>
      <c r="L64" s="14">
        <v>1</v>
      </c>
      <c r="U64" s="14">
        <v>0</v>
      </c>
      <c r="V64" s="14">
        <v>120</v>
      </c>
      <c r="W64" s="14">
        <v>150</v>
      </c>
      <c r="AB64" s="14">
        <v>270</v>
      </c>
      <c r="AI64" s="14">
        <v>0</v>
      </c>
      <c r="AP64" s="14">
        <v>0</v>
      </c>
      <c r="AW64" s="14">
        <v>0</v>
      </c>
      <c r="BD64" s="14">
        <v>0</v>
      </c>
      <c r="BE64" s="14">
        <v>120</v>
      </c>
      <c r="BF64" s="14">
        <v>150</v>
      </c>
      <c r="BG64" s="14">
        <v>0</v>
      </c>
      <c r="BH64" s="14">
        <v>0</v>
      </c>
      <c r="BI64" s="14">
        <v>0</v>
      </c>
      <c r="BJ64" s="14">
        <v>0</v>
      </c>
      <c r="BK64" s="14">
        <v>270</v>
      </c>
      <c r="BR64" s="14">
        <v>0</v>
      </c>
      <c r="BS64" s="14">
        <v>2</v>
      </c>
      <c r="BT64" s="14">
        <v>1</v>
      </c>
      <c r="BY64" s="14">
        <v>3</v>
      </c>
      <c r="CF64" s="14">
        <v>0</v>
      </c>
      <c r="CM64" s="14">
        <v>0</v>
      </c>
      <c r="CT64" s="14">
        <v>0</v>
      </c>
      <c r="DA64" s="14">
        <v>0</v>
      </c>
      <c r="DB64" s="14">
        <v>2</v>
      </c>
      <c r="DC64" s="14">
        <v>1</v>
      </c>
      <c r="DD64" s="14">
        <v>0</v>
      </c>
      <c r="DE64" s="14">
        <v>0</v>
      </c>
      <c r="DF64" s="14">
        <v>0</v>
      </c>
      <c r="DG64" s="14">
        <v>0</v>
      </c>
      <c r="DH64" s="14">
        <v>3</v>
      </c>
      <c r="DI64" s="14" t="s">
        <v>598</v>
      </c>
      <c r="DJ64" s="14" t="s">
        <v>598</v>
      </c>
      <c r="DK64" s="14" t="s">
        <v>598</v>
      </c>
      <c r="DL64" s="14" t="s">
        <v>598</v>
      </c>
      <c r="DM64" s="14" t="s">
        <v>598</v>
      </c>
      <c r="DN64" s="14" t="s">
        <v>598</v>
      </c>
      <c r="DO64" s="14" t="s">
        <v>597</v>
      </c>
      <c r="DP64" s="14" t="s">
        <v>597</v>
      </c>
      <c r="DQ64" s="14" t="s">
        <v>598</v>
      </c>
      <c r="DR64" s="14" t="s">
        <v>598</v>
      </c>
      <c r="DS64" s="14" t="s">
        <v>598</v>
      </c>
      <c r="DT64" s="14" t="s">
        <v>598</v>
      </c>
      <c r="DU64" s="14" t="s">
        <v>598</v>
      </c>
      <c r="DV64" s="14" t="s">
        <v>598</v>
      </c>
      <c r="DW64" s="14" t="s">
        <v>598</v>
      </c>
      <c r="DX64" s="14" t="s">
        <v>598</v>
      </c>
      <c r="DY64" s="14" t="s">
        <v>598</v>
      </c>
      <c r="DZ64" s="14" t="s">
        <v>598</v>
      </c>
      <c r="EA64" s="14" t="s">
        <v>598</v>
      </c>
      <c r="EB64" s="14" t="s">
        <v>598</v>
      </c>
      <c r="EC64" s="14" t="s">
        <v>598</v>
      </c>
      <c r="ED64" s="14" t="s">
        <v>598</v>
      </c>
      <c r="EE64" s="14" t="s">
        <v>598</v>
      </c>
      <c r="EF64" s="14" t="s">
        <v>598</v>
      </c>
      <c r="EG64" s="14" t="s">
        <v>598</v>
      </c>
      <c r="EH64" s="14" t="s">
        <v>598</v>
      </c>
      <c r="EI64" s="14" t="s">
        <v>598</v>
      </c>
      <c r="EJ64" s="14" t="s">
        <v>598</v>
      </c>
      <c r="EK64" s="14" t="s">
        <v>598</v>
      </c>
      <c r="EL64" s="14" t="s">
        <v>598</v>
      </c>
      <c r="EM64" s="14" t="s">
        <v>598</v>
      </c>
      <c r="EN64" s="14" t="s">
        <v>598</v>
      </c>
      <c r="EO64" s="14" t="s">
        <v>598</v>
      </c>
      <c r="EP64" s="14" t="s">
        <v>598</v>
      </c>
      <c r="EQ64" s="14" t="s">
        <v>598</v>
      </c>
      <c r="ER64" s="14" t="s">
        <v>598</v>
      </c>
      <c r="ES64" s="14">
        <v>60</v>
      </c>
      <c r="EY64" s="14">
        <v>60</v>
      </c>
      <c r="EZ64" s="14">
        <v>10</v>
      </c>
      <c r="FF64" s="14">
        <v>10</v>
      </c>
      <c r="FM64" s="14">
        <v>0</v>
      </c>
      <c r="FN64" s="14">
        <v>45</v>
      </c>
      <c r="FT64" s="14">
        <v>45</v>
      </c>
      <c r="GA64" s="14">
        <v>0</v>
      </c>
      <c r="GB64" s="14">
        <v>5</v>
      </c>
      <c r="GH64" s="14">
        <v>5</v>
      </c>
      <c r="GO64" s="14">
        <v>0</v>
      </c>
      <c r="GP64" s="14" t="s">
        <v>928</v>
      </c>
      <c r="GR64" s="14">
        <v>150</v>
      </c>
      <c r="GW64" s="14">
        <v>150</v>
      </c>
      <c r="GX64" s="14">
        <v>120</v>
      </c>
      <c r="GY64" s="14">
        <v>150</v>
      </c>
      <c r="GZ64" s="14">
        <v>0</v>
      </c>
      <c r="HA64" s="14">
        <v>0</v>
      </c>
      <c r="HB64" s="14">
        <v>0</v>
      </c>
      <c r="HC64" s="14">
        <v>0</v>
      </c>
      <c r="HD64" s="14">
        <v>270</v>
      </c>
      <c r="HF64" s="14">
        <v>150</v>
      </c>
      <c r="HK64" s="14">
        <v>150</v>
      </c>
      <c r="HL64" s="14">
        <v>120</v>
      </c>
      <c r="HR64" s="14">
        <v>120</v>
      </c>
      <c r="HY64" s="14">
        <v>0</v>
      </c>
      <c r="IF64" s="14">
        <v>0</v>
      </c>
      <c r="IM64" s="14">
        <v>0</v>
      </c>
      <c r="IN64" s="14">
        <v>120</v>
      </c>
      <c r="IO64" s="14">
        <v>150</v>
      </c>
      <c r="IP64" s="14">
        <v>0</v>
      </c>
      <c r="IQ64" s="14">
        <v>0</v>
      </c>
      <c r="IR64" s="14">
        <v>0</v>
      </c>
      <c r="IS64" s="14">
        <v>0</v>
      </c>
      <c r="IT64" s="14">
        <v>270</v>
      </c>
      <c r="IW64" s="14">
        <v>100</v>
      </c>
      <c r="IZ64" s="14">
        <v>1</v>
      </c>
      <c r="JA64" s="14">
        <v>3</v>
      </c>
      <c r="JB64" s="14">
        <v>1</v>
      </c>
      <c r="JC64" s="14" t="s">
        <v>600</v>
      </c>
      <c r="NF64" s="14" t="s">
        <v>601</v>
      </c>
      <c r="NG64" s="14">
        <v>60</v>
      </c>
      <c r="NM64" s="14">
        <v>60</v>
      </c>
      <c r="NN64" s="14">
        <v>10</v>
      </c>
      <c r="NT64" s="14">
        <v>10</v>
      </c>
      <c r="OA64" s="14">
        <v>0</v>
      </c>
      <c r="OB64" s="14">
        <v>45</v>
      </c>
      <c r="OH64" s="14">
        <v>45</v>
      </c>
      <c r="OO64" s="14">
        <v>0</v>
      </c>
      <c r="OP64" s="14">
        <v>5</v>
      </c>
      <c r="OV64" s="14">
        <v>5</v>
      </c>
      <c r="PC64" s="14">
        <v>0</v>
      </c>
      <c r="PD64" s="14" t="s">
        <v>928</v>
      </c>
      <c r="PF64" s="14">
        <v>150</v>
      </c>
      <c r="PK64" s="14">
        <v>150</v>
      </c>
      <c r="PL64" s="14">
        <v>120</v>
      </c>
      <c r="PM64" s="14">
        <v>150</v>
      </c>
      <c r="PN64" s="14">
        <v>0</v>
      </c>
      <c r="PO64" s="14">
        <v>0</v>
      </c>
      <c r="PP64" s="14">
        <v>0</v>
      </c>
      <c r="PQ64" s="14">
        <v>0</v>
      </c>
      <c r="PR64" s="14">
        <v>270</v>
      </c>
      <c r="PS64" s="14">
        <v>120</v>
      </c>
      <c r="PY64" s="14">
        <v>120</v>
      </c>
      <c r="QA64" s="14">
        <v>150</v>
      </c>
      <c r="QF64" s="14">
        <v>150</v>
      </c>
      <c r="QM64" s="14">
        <v>0</v>
      </c>
      <c r="QT64" s="14">
        <v>0</v>
      </c>
      <c r="RA64" s="14">
        <v>0</v>
      </c>
      <c r="RB64" s="14">
        <v>120</v>
      </c>
      <c r="RC64" s="14">
        <v>150</v>
      </c>
      <c r="RD64" s="14">
        <v>0</v>
      </c>
      <c r="RE64" s="14">
        <v>0</v>
      </c>
      <c r="RF64" s="14">
        <v>0</v>
      </c>
      <c r="RG64" s="14">
        <v>0</v>
      </c>
      <c r="RH64" s="14">
        <v>270</v>
      </c>
      <c r="RI64" s="14" t="s">
        <v>602</v>
      </c>
      <c r="VL64" s="14" t="s">
        <v>603</v>
      </c>
      <c r="ZO64" s="14" t="s">
        <v>604</v>
      </c>
      <c r="ADR64" s="14" t="s">
        <v>605</v>
      </c>
    </row>
    <row r="65" spans="1:798" x14ac:dyDescent="0.25">
      <c r="A65" s="14">
        <v>101</v>
      </c>
      <c r="B65" s="14" t="s">
        <v>889</v>
      </c>
      <c r="C65" s="16">
        <f t="shared" si="5"/>
        <v>42780</v>
      </c>
      <c r="D65" s="14" t="s">
        <v>929</v>
      </c>
      <c r="E65" s="14" t="s">
        <v>930</v>
      </c>
      <c r="F65" s="14" t="s">
        <v>931</v>
      </c>
      <c r="G65" s="14" t="s">
        <v>932</v>
      </c>
      <c r="H65" s="14">
        <v>33170375880</v>
      </c>
      <c r="I65" s="14" t="s">
        <v>611</v>
      </c>
      <c r="J65" s="14" t="s">
        <v>596</v>
      </c>
      <c r="L65" s="14">
        <v>1</v>
      </c>
      <c r="U65" s="14">
        <v>0</v>
      </c>
      <c r="AB65" s="14">
        <v>0</v>
      </c>
      <c r="AF65" s="14">
        <v>156</v>
      </c>
      <c r="AI65" s="14">
        <v>156</v>
      </c>
      <c r="AP65" s="14">
        <v>0</v>
      </c>
      <c r="AQ65" s="14">
        <v>584</v>
      </c>
      <c r="AW65" s="14">
        <v>584</v>
      </c>
      <c r="BD65" s="14">
        <v>0</v>
      </c>
      <c r="BE65" s="14">
        <v>584</v>
      </c>
      <c r="BF65" s="14">
        <v>0</v>
      </c>
      <c r="BG65" s="14">
        <v>0</v>
      </c>
      <c r="BH65" s="14">
        <v>156</v>
      </c>
      <c r="BI65" s="14">
        <v>0</v>
      </c>
      <c r="BJ65" s="14">
        <v>0</v>
      </c>
      <c r="BK65" s="14">
        <v>740</v>
      </c>
      <c r="BR65" s="14">
        <v>0</v>
      </c>
      <c r="BY65" s="14">
        <v>0</v>
      </c>
      <c r="CC65" s="14">
        <v>2</v>
      </c>
      <c r="CF65" s="14">
        <v>2</v>
      </c>
      <c r="CM65" s="14">
        <v>0</v>
      </c>
      <c r="CN65" s="14">
        <v>1</v>
      </c>
      <c r="CT65" s="14">
        <v>1</v>
      </c>
      <c r="DA65" s="14">
        <v>0</v>
      </c>
      <c r="DB65" s="14">
        <v>1</v>
      </c>
      <c r="DC65" s="14">
        <v>0</v>
      </c>
      <c r="DD65" s="14">
        <v>0</v>
      </c>
      <c r="DE65" s="14">
        <v>2</v>
      </c>
      <c r="DF65" s="14">
        <v>0</v>
      </c>
      <c r="DG65" s="14">
        <v>0</v>
      </c>
      <c r="DH65" s="14">
        <v>3</v>
      </c>
      <c r="DI65" s="14" t="s">
        <v>598</v>
      </c>
      <c r="DJ65" s="14" t="s">
        <v>598</v>
      </c>
      <c r="DK65" s="14" t="s">
        <v>598</v>
      </c>
      <c r="DL65" s="14" t="s">
        <v>598</v>
      </c>
      <c r="DM65" s="14" t="s">
        <v>598</v>
      </c>
      <c r="DN65" s="14" t="s">
        <v>598</v>
      </c>
      <c r="DO65" s="14" t="s">
        <v>598</v>
      </c>
      <c r="DP65" s="14" t="s">
        <v>598</v>
      </c>
      <c r="DQ65" s="14" t="s">
        <v>598</v>
      </c>
      <c r="DR65" s="14" t="s">
        <v>598</v>
      </c>
      <c r="DS65" s="14" t="s">
        <v>598</v>
      </c>
      <c r="DT65" s="14" t="s">
        <v>598</v>
      </c>
      <c r="DU65" s="14" t="s">
        <v>598</v>
      </c>
      <c r="DV65" s="14" t="s">
        <v>598</v>
      </c>
      <c r="DW65" s="14" t="s">
        <v>598</v>
      </c>
      <c r="DX65" s="14" t="s">
        <v>597</v>
      </c>
      <c r="DY65" s="14" t="s">
        <v>598</v>
      </c>
      <c r="DZ65" s="14" t="s">
        <v>598</v>
      </c>
      <c r="EA65" s="14" t="s">
        <v>598</v>
      </c>
      <c r="EB65" s="14" t="s">
        <v>598</v>
      </c>
      <c r="EC65" s="14" t="s">
        <v>598</v>
      </c>
      <c r="ED65" s="14" t="s">
        <v>598</v>
      </c>
      <c r="EE65" s="14" t="s">
        <v>598</v>
      </c>
      <c r="EF65" s="14" t="s">
        <v>598</v>
      </c>
      <c r="EG65" s="14" t="s">
        <v>597</v>
      </c>
      <c r="EH65" s="14" t="s">
        <v>598</v>
      </c>
      <c r="EI65" s="14" t="s">
        <v>598</v>
      </c>
      <c r="EJ65" s="14" t="s">
        <v>598</v>
      </c>
      <c r="EK65" s="14" t="s">
        <v>598</v>
      </c>
      <c r="EL65" s="14" t="s">
        <v>598</v>
      </c>
      <c r="EM65" s="14" t="s">
        <v>598</v>
      </c>
      <c r="EN65" s="14" t="s">
        <v>598</v>
      </c>
      <c r="EO65" s="14" t="s">
        <v>598</v>
      </c>
      <c r="EP65" s="14" t="s">
        <v>598</v>
      </c>
      <c r="EQ65" s="14" t="s">
        <v>598</v>
      </c>
      <c r="ER65" s="14" t="s">
        <v>598</v>
      </c>
      <c r="ES65" s="14">
        <v>576</v>
      </c>
      <c r="EV65" s="14">
        <v>25</v>
      </c>
      <c r="EY65" s="14">
        <v>601</v>
      </c>
      <c r="FF65" s="14">
        <v>0</v>
      </c>
      <c r="FM65" s="14">
        <v>0</v>
      </c>
      <c r="FT65" s="14">
        <v>0</v>
      </c>
      <c r="FX65" s="14">
        <v>20</v>
      </c>
      <c r="GA65" s="14">
        <v>20</v>
      </c>
      <c r="GE65" s="14">
        <v>77</v>
      </c>
      <c r="GH65" s="14">
        <v>77</v>
      </c>
      <c r="GI65" s="14">
        <v>0.3</v>
      </c>
      <c r="GL65" s="14">
        <v>31</v>
      </c>
      <c r="GO65" s="14">
        <v>31.3</v>
      </c>
      <c r="GP65" s="14" t="s">
        <v>933</v>
      </c>
      <c r="GQ65" s="14">
        <v>8</v>
      </c>
      <c r="GT65" s="14">
        <v>3</v>
      </c>
      <c r="GW65" s="14">
        <v>11</v>
      </c>
      <c r="GX65" s="14">
        <v>584.29999999999995</v>
      </c>
      <c r="GY65" s="14">
        <v>0</v>
      </c>
      <c r="GZ65" s="14">
        <v>0</v>
      </c>
      <c r="HA65" s="14">
        <v>156</v>
      </c>
      <c r="HB65" s="14">
        <v>0</v>
      </c>
      <c r="HC65" s="14">
        <v>0</v>
      </c>
      <c r="HD65" s="14">
        <v>740.3</v>
      </c>
      <c r="HK65" s="14">
        <v>0</v>
      </c>
      <c r="HL65" s="14">
        <v>500</v>
      </c>
      <c r="HO65" s="14">
        <v>45</v>
      </c>
      <c r="HR65" s="14">
        <v>545</v>
      </c>
      <c r="HS65" s="14">
        <v>84</v>
      </c>
      <c r="HV65" s="14">
        <v>111</v>
      </c>
      <c r="HY65" s="14">
        <v>195</v>
      </c>
      <c r="IF65" s="14">
        <v>0</v>
      </c>
      <c r="IM65" s="14">
        <v>0</v>
      </c>
      <c r="IN65" s="14">
        <v>584</v>
      </c>
      <c r="IO65" s="14">
        <v>0</v>
      </c>
      <c r="IP65" s="14">
        <v>0</v>
      </c>
      <c r="IQ65" s="14">
        <v>156</v>
      </c>
      <c r="IR65" s="14">
        <v>0</v>
      </c>
      <c r="IS65" s="14">
        <v>0</v>
      </c>
      <c r="IT65" s="14">
        <v>740</v>
      </c>
      <c r="IW65" s="14">
        <v>100</v>
      </c>
      <c r="IZ65" s="14">
        <v>1</v>
      </c>
      <c r="JA65" s="14">
        <v>1</v>
      </c>
      <c r="JB65" s="14">
        <v>1</v>
      </c>
      <c r="JC65" s="14" t="s">
        <v>600</v>
      </c>
      <c r="NF65" s="14" t="s">
        <v>601</v>
      </c>
      <c r="RI65" s="14" t="s">
        <v>602</v>
      </c>
      <c r="VL65" s="14" t="s">
        <v>603</v>
      </c>
      <c r="ZO65" s="14" t="s">
        <v>604</v>
      </c>
      <c r="ADR65" s="14" t="s">
        <v>605</v>
      </c>
    </row>
    <row r="66" spans="1:798" x14ac:dyDescent="0.25">
      <c r="A66" s="14">
        <v>51</v>
      </c>
      <c r="B66" s="14" t="s">
        <v>889</v>
      </c>
      <c r="C66" s="16">
        <f>VLOOKUP(A66,[4]RawData!Z:AA,2,FALSE)</f>
        <v>42766.359027777777</v>
      </c>
      <c r="D66" s="14" t="s">
        <v>934</v>
      </c>
      <c r="E66" s="14" t="s">
        <v>935</v>
      </c>
      <c r="F66" s="14" t="s">
        <v>936</v>
      </c>
      <c r="G66" s="14" t="s">
        <v>937</v>
      </c>
      <c r="H66" s="14">
        <v>352621346143</v>
      </c>
      <c r="I66" s="14" t="s">
        <v>938</v>
      </c>
      <c r="J66" s="14" t="s">
        <v>732</v>
      </c>
      <c r="L66" s="14">
        <v>2</v>
      </c>
      <c r="M66" s="14">
        <v>6</v>
      </c>
      <c r="N66" s="14" t="s">
        <v>939</v>
      </c>
      <c r="U66" s="14">
        <v>0</v>
      </c>
      <c r="AB66" s="14">
        <v>0</v>
      </c>
      <c r="AI66" s="14">
        <v>0</v>
      </c>
      <c r="AP66" s="14">
        <v>0</v>
      </c>
      <c r="AW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R66" s="14">
        <v>0</v>
      </c>
      <c r="BY66" s="14">
        <v>0</v>
      </c>
      <c r="CF66" s="14">
        <v>0</v>
      </c>
      <c r="CM66" s="14">
        <v>0</v>
      </c>
      <c r="CT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 t="s">
        <v>598</v>
      </c>
      <c r="DJ66" s="14" t="s">
        <v>598</v>
      </c>
      <c r="DK66" s="14" t="s">
        <v>598</v>
      </c>
      <c r="DL66" s="14" t="s">
        <v>598</v>
      </c>
      <c r="DM66" s="14" t="s">
        <v>598</v>
      </c>
      <c r="DN66" s="14" t="s">
        <v>598</v>
      </c>
      <c r="DO66" s="14" t="s">
        <v>598</v>
      </c>
      <c r="DP66" s="14" t="s">
        <v>598</v>
      </c>
      <c r="DQ66" s="14" t="s">
        <v>598</v>
      </c>
      <c r="DR66" s="14" t="s">
        <v>598</v>
      </c>
      <c r="DS66" s="14" t="s">
        <v>598</v>
      </c>
      <c r="DT66" s="14" t="s">
        <v>598</v>
      </c>
      <c r="DU66" s="14" t="s">
        <v>598</v>
      </c>
      <c r="DV66" s="14" t="s">
        <v>598</v>
      </c>
      <c r="DW66" s="14" t="s">
        <v>598</v>
      </c>
      <c r="DX66" s="14" t="s">
        <v>598</v>
      </c>
      <c r="DY66" s="14" t="s">
        <v>598</v>
      </c>
      <c r="DZ66" s="14" t="s">
        <v>598</v>
      </c>
      <c r="EA66" s="14" t="s">
        <v>598</v>
      </c>
      <c r="EB66" s="14" t="s">
        <v>598</v>
      </c>
      <c r="EC66" s="14" t="s">
        <v>598</v>
      </c>
      <c r="ED66" s="14" t="s">
        <v>598</v>
      </c>
      <c r="EE66" s="14" t="s">
        <v>598</v>
      </c>
      <c r="EF66" s="14" t="s">
        <v>598</v>
      </c>
      <c r="EG66" s="14" t="s">
        <v>598</v>
      </c>
      <c r="EH66" s="14" t="s">
        <v>598</v>
      </c>
      <c r="EI66" s="14" t="s">
        <v>598</v>
      </c>
      <c r="EJ66" s="14" t="s">
        <v>598</v>
      </c>
      <c r="EK66" s="14" t="s">
        <v>598</v>
      </c>
      <c r="EL66" s="14" t="s">
        <v>598</v>
      </c>
      <c r="EM66" s="14" t="s">
        <v>598</v>
      </c>
      <c r="EN66" s="14" t="s">
        <v>598</v>
      </c>
      <c r="EO66" s="14" t="s">
        <v>598</v>
      </c>
      <c r="EP66" s="14" t="s">
        <v>598</v>
      </c>
      <c r="EQ66" s="14" t="s">
        <v>598</v>
      </c>
      <c r="ER66" s="14" t="s">
        <v>598</v>
      </c>
      <c r="EY66" s="14">
        <v>0</v>
      </c>
      <c r="FF66" s="14">
        <v>0</v>
      </c>
      <c r="FM66" s="14">
        <v>0</v>
      </c>
      <c r="FT66" s="14">
        <v>0</v>
      </c>
      <c r="GA66" s="14">
        <v>0</v>
      </c>
      <c r="GH66" s="14">
        <v>0</v>
      </c>
      <c r="GO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K66" s="14">
        <v>0</v>
      </c>
      <c r="HR66" s="14">
        <v>0</v>
      </c>
      <c r="HY66" s="14">
        <v>0</v>
      </c>
      <c r="IF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Z66" s="14">
        <v>1</v>
      </c>
      <c r="JA66" s="14">
        <v>1</v>
      </c>
      <c r="JB66" s="14">
        <v>2</v>
      </c>
      <c r="JC66" s="14" t="s">
        <v>600</v>
      </c>
      <c r="NF66" s="14" t="s">
        <v>601</v>
      </c>
      <c r="RI66" s="14" t="s">
        <v>602</v>
      </c>
      <c r="VL66" s="14" t="s">
        <v>603</v>
      </c>
      <c r="ZO66" s="14" t="s">
        <v>604</v>
      </c>
      <c r="ADR66" s="14" t="s">
        <v>605</v>
      </c>
    </row>
    <row r="67" spans="1:798" x14ac:dyDescent="0.25">
      <c r="A67" s="14">
        <v>209</v>
      </c>
      <c r="B67" s="14" t="s">
        <v>889</v>
      </c>
      <c r="C67" s="16">
        <f>VLOOKUP(A67,[4]RawData!Z:AA,2,FALSE)</f>
        <v>42779.479166666664</v>
      </c>
      <c r="D67" s="14" t="s">
        <v>940</v>
      </c>
      <c r="E67" s="14" t="s">
        <v>941</v>
      </c>
      <c r="F67" s="14" t="s">
        <v>942</v>
      </c>
      <c r="G67" s="14" t="s">
        <v>943</v>
      </c>
      <c r="H67" s="14" t="s">
        <v>944</v>
      </c>
      <c r="I67" s="14" t="s">
        <v>731</v>
      </c>
      <c r="J67" s="14" t="s">
        <v>945</v>
      </c>
      <c r="L67" s="14">
        <v>1</v>
      </c>
      <c r="U67" s="14">
        <v>0</v>
      </c>
      <c r="W67" s="14">
        <v>100</v>
      </c>
      <c r="Y67" s="14">
        <v>50</v>
      </c>
      <c r="AB67" s="14">
        <v>150</v>
      </c>
      <c r="AI67" s="14">
        <v>0</v>
      </c>
      <c r="AP67" s="14">
        <v>0</v>
      </c>
      <c r="AW67" s="14">
        <v>0</v>
      </c>
      <c r="BD67" s="14">
        <v>0</v>
      </c>
      <c r="BE67" s="14">
        <v>0</v>
      </c>
      <c r="BF67" s="14">
        <v>100</v>
      </c>
      <c r="BG67" s="14">
        <v>0</v>
      </c>
      <c r="BH67" s="14">
        <v>50</v>
      </c>
      <c r="BI67" s="14">
        <v>0</v>
      </c>
      <c r="BJ67" s="14">
        <v>0</v>
      </c>
      <c r="BK67" s="14">
        <v>150</v>
      </c>
      <c r="BR67" s="14">
        <v>0</v>
      </c>
      <c r="BT67" s="14">
        <v>1</v>
      </c>
      <c r="BV67" s="14">
        <v>1</v>
      </c>
      <c r="BY67" s="14">
        <v>2</v>
      </c>
      <c r="CF67" s="14">
        <v>0</v>
      </c>
      <c r="CM67" s="14">
        <v>0</v>
      </c>
      <c r="CT67" s="14">
        <v>0</v>
      </c>
      <c r="DA67" s="14">
        <v>0</v>
      </c>
      <c r="DB67" s="14">
        <v>0</v>
      </c>
      <c r="DC67" s="14">
        <v>1</v>
      </c>
      <c r="DD67" s="14">
        <v>0</v>
      </c>
      <c r="DE67" s="14">
        <v>1</v>
      </c>
      <c r="DF67" s="14">
        <v>0</v>
      </c>
      <c r="DG67" s="14">
        <v>0</v>
      </c>
      <c r="DH67" s="14">
        <v>2</v>
      </c>
      <c r="DI67" s="14" t="s">
        <v>598</v>
      </c>
      <c r="DJ67" s="14" t="s">
        <v>598</v>
      </c>
      <c r="DK67" s="14" t="s">
        <v>598</v>
      </c>
      <c r="DL67" s="14" t="s">
        <v>598</v>
      </c>
      <c r="DM67" s="14" t="s">
        <v>598</v>
      </c>
      <c r="DN67" s="14" t="s">
        <v>598</v>
      </c>
      <c r="DO67" s="14" t="s">
        <v>598</v>
      </c>
      <c r="DP67" s="14" t="s">
        <v>597</v>
      </c>
      <c r="DQ67" s="14" t="s">
        <v>598</v>
      </c>
      <c r="DR67" s="14" t="s">
        <v>597</v>
      </c>
      <c r="DS67" s="14" t="s">
        <v>598</v>
      </c>
      <c r="DT67" s="14" t="s">
        <v>598</v>
      </c>
      <c r="DU67" s="14" t="s">
        <v>598</v>
      </c>
      <c r="DV67" s="14" t="s">
        <v>598</v>
      </c>
      <c r="DW67" s="14" t="s">
        <v>598</v>
      </c>
      <c r="DX67" s="14" t="s">
        <v>598</v>
      </c>
      <c r="DY67" s="14" t="s">
        <v>598</v>
      </c>
      <c r="DZ67" s="14" t="s">
        <v>598</v>
      </c>
      <c r="EA67" s="14" t="s">
        <v>598</v>
      </c>
      <c r="EB67" s="14" t="s">
        <v>598</v>
      </c>
      <c r="EC67" s="14" t="s">
        <v>598</v>
      </c>
      <c r="ED67" s="14" t="s">
        <v>598</v>
      </c>
      <c r="EE67" s="14" t="s">
        <v>598</v>
      </c>
      <c r="EF67" s="14" t="s">
        <v>598</v>
      </c>
      <c r="EG67" s="14" t="s">
        <v>598</v>
      </c>
      <c r="EH67" s="14" t="s">
        <v>598</v>
      </c>
      <c r="EI67" s="14" t="s">
        <v>598</v>
      </c>
      <c r="EJ67" s="14" t="s">
        <v>598</v>
      </c>
      <c r="EK67" s="14" t="s">
        <v>598</v>
      </c>
      <c r="EL67" s="14" t="s">
        <v>598</v>
      </c>
      <c r="EM67" s="14" t="s">
        <v>598</v>
      </c>
      <c r="EN67" s="14" t="s">
        <v>598</v>
      </c>
      <c r="EO67" s="14" t="s">
        <v>598</v>
      </c>
      <c r="EP67" s="14" t="s">
        <v>598</v>
      </c>
      <c r="EQ67" s="14" t="s">
        <v>598</v>
      </c>
      <c r="ER67" s="14" t="s">
        <v>598</v>
      </c>
      <c r="EV67" s="14">
        <v>8</v>
      </c>
      <c r="EY67" s="14">
        <v>8</v>
      </c>
      <c r="FF67" s="14">
        <v>0</v>
      </c>
      <c r="FM67" s="14">
        <v>0</v>
      </c>
      <c r="FO67" s="14">
        <v>100</v>
      </c>
      <c r="FT67" s="14">
        <v>100</v>
      </c>
      <c r="GA67" s="14">
        <v>0</v>
      </c>
      <c r="GH67" s="14">
        <v>0</v>
      </c>
      <c r="GO67" s="14">
        <v>0</v>
      </c>
      <c r="GP67" s="14" t="s">
        <v>928</v>
      </c>
      <c r="GT67" s="14">
        <v>42</v>
      </c>
      <c r="GW67" s="14">
        <v>42</v>
      </c>
      <c r="GX67" s="14">
        <v>0</v>
      </c>
      <c r="GY67" s="14">
        <v>100</v>
      </c>
      <c r="GZ67" s="14">
        <v>0</v>
      </c>
      <c r="HA67" s="14">
        <v>50</v>
      </c>
      <c r="HB67" s="14">
        <v>0</v>
      </c>
      <c r="HC67" s="14">
        <v>0</v>
      </c>
      <c r="HD67" s="14">
        <v>150</v>
      </c>
      <c r="HF67" s="14">
        <v>100</v>
      </c>
      <c r="HK67" s="14">
        <v>100</v>
      </c>
      <c r="HO67" s="14">
        <v>42</v>
      </c>
      <c r="HR67" s="14">
        <v>42</v>
      </c>
      <c r="HV67" s="14">
        <v>8</v>
      </c>
      <c r="HY67" s="14">
        <v>8</v>
      </c>
      <c r="IF67" s="14">
        <v>0</v>
      </c>
      <c r="IM67" s="14">
        <v>0</v>
      </c>
      <c r="IN67" s="14">
        <v>0</v>
      </c>
      <c r="IO67" s="14">
        <v>100</v>
      </c>
      <c r="IP67" s="14">
        <v>0</v>
      </c>
      <c r="IQ67" s="14">
        <v>50</v>
      </c>
      <c r="IR67" s="14">
        <v>0</v>
      </c>
      <c r="IS67" s="14">
        <v>0</v>
      </c>
      <c r="IT67" s="14">
        <v>150</v>
      </c>
      <c r="IU67" s="14">
        <v>67</v>
      </c>
      <c r="IW67" s="14">
        <v>33</v>
      </c>
      <c r="IZ67" s="14">
        <v>1</v>
      </c>
      <c r="JA67" s="14">
        <v>3</v>
      </c>
      <c r="JB67" s="14">
        <v>2</v>
      </c>
      <c r="JC67" s="14" t="s">
        <v>600</v>
      </c>
      <c r="NF67" s="14" t="s">
        <v>601</v>
      </c>
      <c r="NJ67" s="14">
        <v>8</v>
      </c>
      <c r="NM67" s="14">
        <v>8</v>
      </c>
      <c r="NT67" s="14">
        <v>0</v>
      </c>
      <c r="OA67" s="14">
        <v>0</v>
      </c>
      <c r="OC67" s="14">
        <v>100</v>
      </c>
      <c r="OH67" s="14">
        <v>100</v>
      </c>
      <c r="OO67" s="14">
        <v>0</v>
      </c>
      <c r="OV67" s="14">
        <v>0</v>
      </c>
      <c r="PC67" s="14">
        <v>0</v>
      </c>
      <c r="PD67" s="14" t="s">
        <v>928</v>
      </c>
      <c r="PH67" s="14">
        <v>42</v>
      </c>
      <c r="PK67" s="14">
        <v>42</v>
      </c>
      <c r="PL67" s="14">
        <v>0</v>
      </c>
      <c r="PM67" s="14">
        <v>100</v>
      </c>
      <c r="PN67" s="14">
        <v>0</v>
      </c>
      <c r="PO67" s="14">
        <v>50</v>
      </c>
      <c r="PP67" s="14">
        <v>0</v>
      </c>
      <c r="PQ67" s="14">
        <v>0</v>
      </c>
      <c r="PR67" s="14">
        <v>150</v>
      </c>
      <c r="PV67" s="14">
        <v>42</v>
      </c>
      <c r="PY67" s="14">
        <v>42</v>
      </c>
      <c r="QA67" s="14">
        <v>100</v>
      </c>
      <c r="QF67" s="14">
        <v>100</v>
      </c>
      <c r="QJ67" s="14">
        <v>8</v>
      </c>
      <c r="QM67" s="14">
        <v>8</v>
      </c>
      <c r="QT67" s="14">
        <v>0</v>
      </c>
      <c r="RA67" s="14">
        <v>0</v>
      </c>
      <c r="RB67" s="14">
        <v>0</v>
      </c>
      <c r="RC67" s="14">
        <v>100</v>
      </c>
      <c r="RD67" s="14">
        <v>0</v>
      </c>
      <c r="RE67" s="14">
        <v>50</v>
      </c>
      <c r="RF67" s="14">
        <v>0</v>
      </c>
      <c r="RG67" s="14">
        <v>0</v>
      </c>
      <c r="RH67" s="14">
        <v>150</v>
      </c>
      <c r="RI67" s="14" t="s">
        <v>602</v>
      </c>
      <c r="VL67" s="14" t="s">
        <v>603</v>
      </c>
      <c r="ZO67" s="14" t="s">
        <v>604</v>
      </c>
      <c r="ADR67" s="14" t="s">
        <v>605</v>
      </c>
    </row>
    <row r="68" spans="1:798" x14ac:dyDescent="0.25">
      <c r="A68" s="14">
        <v>159</v>
      </c>
      <c r="B68" s="14" t="s">
        <v>889</v>
      </c>
      <c r="C68" s="16">
        <f>VLOOKUP(A68,[4]RawData!Z:AA,2,FALSE)</f>
        <v>42768.642361111109</v>
      </c>
      <c r="D68" s="14" t="s">
        <v>946</v>
      </c>
      <c r="E68" s="14" t="s">
        <v>947</v>
      </c>
      <c r="F68" s="14" t="s">
        <v>948</v>
      </c>
      <c r="G68" s="14" t="s">
        <v>949</v>
      </c>
      <c r="H68" s="14">
        <v>46704546546</v>
      </c>
      <c r="I68" s="14" t="s">
        <v>950</v>
      </c>
      <c r="J68" s="14" t="s">
        <v>951</v>
      </c>
      <c r="L68" s="14">
        <v>1</v>
      </c>
      <c r="U68" s="14">
        <v>0</v>
      </c>
      <c r="V68" s="14">
        <v>2675.8</v>
      </c>
      <c r="AB68" s="14">
        <v>2675.8</v>
      </c>
      <c r="AI68" s="14">
        <v>0</v>
      </c>
      <c r="AP68" s="14">
        <v>0</v>
      </c>
      <c r="AW68" s="14">
        <v>0</v>
      </c>
      <c r="BD68" s="14">
        <v>0</v>
      </c>
      <c r="BE68" s="14">
        <v>2675.8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2675.8</v>
      </c>
      <c r="BR68" s="14">
        <v>0</v>
      </c>
      <c r="BS68" s="14">
        <v>1</v>
      </c>
      <c r="BY68" s="14">
        <v>1</v>
      </c>
      <c r="CF68" s="14">
        <v>0</v>
      </c>
      <c r="CM68" s="14">
        <v>0</v>
      </c>
      <c r="CT68" s="14">
        <v>0</v>
      </c>
      <c r="DA68" s="14">
        <v>0</v>
      </c>
      <c r="DB68" s="14">
        <v>1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1</v>
      </c>
      <c r="DI68" s="14" t="s">
        <v>598</v>
      </c>
      <c r="DJ68" s="14" t="s">
        <v>598</v>
      </c>
      <c r="DK68" s="14" t="s">
        <v>598</v>
      </c>
      <c r="DL68" s="14" t="s">
        <v>598</v>
      </c>
      <c r="DM68" s="14" t="s">
        <v>598</v>
      </c>
      <c r="DN68" s="14" t="s">
        <v>598</v>
      </c>
      <c r="DO68" s="14" t="s">
        <v>597</v>
      </c>
      <c r="DP68" s="14" t="s">
        <v>598</v>
      </c>
      <c r="DQ68" s="14" t="s">
        <v>598</v>
      </c>
      <c r="DR68" s="14" t="s">
        <v>598</v>
      </c>
      <c r="DS68" s="14" t="s">
        <v>598</v>
      </c>
      <c r="DT68" s="14" t="s">
        <v>598</v>
      </c>
      <c r="DU68" s="14" t="s">
        <v>598</v>
      </c>
      <c r="DV68" s="14" t="s">
        <v>598</v>
      </c>
      <c r="DW68" s="14" t="s">
        <v>598</v>
      </c>
      <c r="DX68" s="14" t="s">
        <v>598</v>
      </c>
      <c r="DY68" s="14" t="s">
        <v>598</v>
      </c>
      <c r="DZ68" s="14" t="s">
        <v>598</v>
      </c>
      <c r="EA68" s="14" t="s">
        <v>598</v>
      </c>
      <c r="EB68" s="14" t="s">
        <v>598</v>
      </c>
      <c r="EC68" s="14" t="s">
        <v>598</v>
      </c>
      <c r="ED68" s="14" t="s">
        <v>598</v>
      </c>
      <c r="EE68" s="14" t="s">
        <v>598</v>
      </c>
      <c r="EF68" s="14" t="s">
        <v>598</v>
      </c>
      <c r="EG68" s="14" t="s">
        <v>598</v>
      </c>
      <c r="EH68" s="14" t="s">
        <v>598</v>
      </c>
      <c r="EI68" s="14" t="s">
        <v>598</v>
      </c>
      <c r="EJ68" s="14" t="s">
        <v>598</v>
      </c>
      <c r="EK68" s="14" t="s">
        <v>598</v>
      </c>
      <c r="EL68" s="14" t="s">
        <v>598</v>
      </c>
      <c r="EM68" s="14" t="s">
        <v>598</v>
      </c>
      <c r="EN68" s="14" t="s">
        <v>598</v>
      </c>
      <c r="EO68" s="14" t="s">
        <v>598</v>
      </c>
      <c r="EP68" s="14" t="s">
        <v>598</v>
      </c>
      <c r="EQ68" s="14" t="s">
        <v>598</v>
      </c>
      <c r="ER68" s="14" t="s">
        <v>598</v>
      </c>
      <c r="EY68" s="14">
        <v>0</v>
      </c>
      <c r="EZ68" s="14">
        <v>1363.2</v>
      </c>
      <c r="FF68" s="14">
        <v>1363.2</v>
      </c>
      <c r="FG68" s="14">
        <v>1150</v>
      </c>
      <c r="FM68" s="14">
        <v>1150</v>
      </c>
      <c r="FT68" s="14">
        <v>0</v>
      </c>
      <c r="FU68" s="14">
        <v>100</v>
      </c>
      <c r="GA68" s="14">
        <v>100</v>
      </c>
      <c r="GH68" s="14">
        <v>0</v>
      </c>
      <c r="GO68" s="14">
        <v>0</v>
      </c>
      <c r="GP68" s="14" t="s">
        <v>952</v>
      </c>
      <c r="GQ68" s="14">
        <v>62.6</v>
      </c>
      <c r="GW68" s="14">
        <v>62.6</v>
      </c>
      <c r="GX68" s="14">
        <v>2675.8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2675.8</v>
      </c>
      <c r="HE68" s="14">
        <v>1150</v>
      </c>
      <c r="HK68" s="14">
        <v>1150</v>
      </c>
      <c r="HL68" s="14">
        <v>1525.8</v>
      </c>
      <c r="HR68" s="14">
        <v>1525.8</v>
      </c>
      <c r="HY68" s="14">
        <v>0</v>
      </c>
      <c r="IF68" s="14">
        <v>0</v>
      </c>
      <c r="IM68" s="14">
        <v>0</v>
      </c>
      <c r="IN68" s="14">
        <v>2675.8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2675.8</v>
      </c>
      <c r="IU68" s="14">
        <v>18</v>
      </c>
      <c r="IW68" s="14">
        <v>82</v>
      </c>
      <c r="IZ68" s="14">
        <v>3</v>
      </c>
      <c r="JA68" s="14">
        <v>3</v>
      </c>
      <c r="JB68" s="14">
        <v>2</v>
      </c>
      <c r="JC68" s="14" t="s">
        <v>600</v>
      </c>
      <c r="NF68" s="14" t="s">
        <v>601</v>
      </c>
      <c r="NM68" s="14">
        <v>0</v>
      </c>
      <c r="NN68" s="14">
        <v>1363.2</v>
      </c>
      <c r="NT68" s="14">
        <v>1363.2</v>
      </c>
      <c r="NU68" s="14">
        <v>1150</v>
      </c>
      <c r="OA68" s="14">
        <v>1150</v>
      </c>
      <c r="OH68" s="14">
        <v>0</v>
      </c>
      <c r="OI68" s="14">
        <v>100</v>
      </c>
      <c r="OO68" s="14">
        <v>100</v>
      </c>
      <c r="OV68" s="14">
        <v>0</v>
      </c>
      <c r="PC68" s="14">
        <v>0</v>
      </c>
      <c r="PD68" s="14" t="s">
        <v>952</v>
      </c>
      <c r="PE68" s="14">
        <v>62.6</v>
      </c>
      <c r="PK68" s="14">
        <v>62.6</v>
      </c>
      <c r="PL68" s="14">
        <v>2675.8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2675.8</v>
      </c>
      <c r="PS68" s="14">
        <v>1525.8</v>
      </c>
      <c r="PY68" s="14">
        <v>1525.8</v>
      </c>
      <c r="PZ68" s="14">
        <v>1150</v>
      </c>
      <c r="QF68" s="14">
        <v>1150</v>
      </c>
      <c r="QM68" s="14">
        <v>0</v>
      </c>
      <c r="QT68" s="14">
        <v>0</v>
      </c>
      <c r="RA68" s="14">
        <v>0</v>
      </c>
      <c r="RB68" s="14">
        <v>2675.8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2675.8</v>
      </c>
      <c r="RI68" s="14" t="s">
        <v>602</v>
      </c>
      <c r="VL68" s="14" t="s">
        <v>603</v>
      </c>
      <c r="ZO68" s="14" t="s">
        <v>604</v>
      </c>
      <c r="ADR68" s="14" t="s">
        <v>605</v>
      </c>
    </row>
    <row r="69" spans="1:798" x14ac:dyDescent="0.25">
      <c r="A69" s="14">
        <v>50</v>
      </c>
      <c r="B69" s="14" t="s">
        <v>889</v>
      </c>
      <c r="C69" s="16">
        <f>VLOOKUP(A69,[4]RawData!Z:AA,2,FALSE)</f>
        <v>42766.356249999997</v>
      </c>
      <c r="D69" s="14" t="s">
        <v>953</v>
      </c>
      <c r="E69" s="14" t="s">
        <v>954</v>
      </c>
      <c r="F69" s="14" t="s">
        <v>955</v>
      </c>
      <c r="G69" s="14" t="s">
        <v>956</v>
      </c>
      <c r="H69" s="14" t="s">
        <v>957</v>
      </c>
      <c r="I69" s="14" t="s">
        <v>894</v>
      </c>
      <c r="J69" s="14" t="s">
        <v>732</v>
      </c>
      <c r="L69" s="14">
        <v>2</v>
      </c>
      <c r="M69" s="14">
        <v>6</v>
      </c>
      <c r="N69" s="14" t="s">
        <v>958</v>
      </c>
      <c r="U69" s="14">
        <v>0</v>
      </c>
      <c r="AB69" s="14">
        <v>0</v>
      </c>
      <c r="AI69" s="14">
        <v>0</v>
      </c>
      <c r="AP69" s="14">
        <v>0</v>
      </c>
      <c r="AW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R69" s="14">
        <v>0</v>
      </c>
      <c r="BY69" s="14">
        <v>0</v>
      </c>
      <c r="CF69" s="14">
        <v>0</v>
      </c>
      <c r="CM69" s="14">
        <v>0</v>
      </c>
      <c r="CT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 t="s">
        <v>598</v>
      </c>
      <c r="DJ69" s="14" t="s">
        <v>598</v>
      </c>
      <c r="DK69" s="14" t="s">
        <v>598</v>
      </c>
      <c r="DL69" s="14" t="s">
        <v>598</v>
      </c>
      <c r="DM69" s="14" t="s">
        <v>598</v>
      </c>
      <c r="DN69" s="14" t="s">
        <v>598</v>
      </c>
      <c r="DO69" s="14" t="s">
        <v>598</v>
      </c>
      <c r="DP69" s="14" t="s">
        <v>598</v>
      </c>
      <c r="DQ69" s="14" t="s">
        <v>598</v>
      </c>
      <c r="DR69" s="14" t="s">
        <v>598</v>
      </c>
      <c r="DS69" s="14" t="s">
        <v>598</v>
      </c>
      <c r="DT69" s="14" t="s">
        <v>598</v>
      </c>
      <c r="DU69" s="14" t="s">
        <v>598</v>
      </c>
      <c r="DV69" s="14" t="s">
        <v>598</v>
      </c>
      <c r="DW69" s="14" t="s">
        <v>598</v>
      </c>
      <c r="DX69" s="14" t="s">
        <v>598</v>
      </c>
      <c r="DY69" s="14" t="s">
        <v>598</v>
      </c>
      <c r="DZ69" s="14" t="s">
        <v>598</v>
      </c>
      <c r="EA69" s="14" t="s">
        <v>598</v>
      </c>
      <c r="EB69" s="14" t="s">
        <v>598</v>
      </c>
      <c r="EC69" s="14" t="s">
        <v>598</v>
      </c>
      <c r="ED69" s="14" t="s">
        <v>598</v>
      </c>
      <c r="EE69" s="14" t="s">
        <v>598</v>
      </c>
      <c r="EF69" s="14" t="s">
        <v>598</v>
      </c>
      <c r="EG69" s="14" t="s">
        <v>598</v>
      </c>
      <c r="EH69" s="14" t="s">
        <v>598</v>
      </c>
      <c r="EI69" s="14" t="s">
        <v>598</v>
      </c>
      <c r="EJ69" s="14" t="s">
        <v>598</v>
      </c>
      <c r="EK69" s="14" t="s">
        <v>598</v>
      </c>
      <c r="EL69" s="14" t="s">
        <v>598</v>
      </c>
      <c r="EM69" s="14" t="s">
        <v>598</v>
      </c>
      <c r="EN69" s="14" t="s">
        <v>598</v>
      </c>
      <c r="EO69" s="14" t="s">
        <v>598</v>
      </c>
      <c r="EP69" s="14" t="s">
        <v>598</v>
      </c>
      <c r="EQ69" s="14" t="s">
        <v>598</v>
      </c>
      <c r="ER69" s="14" t="s">
        <v>598</v>
      </c>
      <c r="EY69" s="14">
        <v>0</v>
      </c>
      <c r="FF69" s="14">
        <v>0</v>
      </c>
      <c r="FM69" s="14">
        <v>0</v>
      </c>
      <c r="FT69" s="14">
        <v>0</v>
      </c>
      <c r="GA69" s="14">
        <v>0</v>
      </c>
      <c r="GH69" s="14">
        <v>0</v>
      </c>
      <c r="GO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K69" s="14">
        <v>0</v>
      </c>
      <c r="HR69" s="14">
        <v>0</v>
      </c>
      <c r="HY69" s="14">
        <v>0</v>
      </c>
      <c r="IF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Z69" s="14">
        <v>1</v>
      </c>
      <c r="JA69" s="14">
        <v>3</v>
      </c>
      <c r="JB69" s="14">
        <v>1</v>
      </c>
      <c r="JC69" s="14" t="s">
        <v>600</v>
      </c>
      <c r="NF69" s="14" t="s">
        <v>601</v>
      </c>
      <c r="RI69" s="14" t="s">
        <v>602</v>
      </c>
      <c r="VL69" s="14" t="s">
        <v>603</v>
      </c>
      <c r="ZO69" s="14" t="s">
        <v>604</v>
      </c>
      <c r="ADR69" s="14" t="s">
        <v>605</v>
      </c>
    </row>
    <row r="70" spans="1:798" x14ac:dyDescent="0.25">
      <c r="A70" s="14">
        <v>105</v>
      </c>
      <c r="B70" s="14" t="s">
        <v>889</v>
      </c>
      <c r="C70" s="16">
        <f>VLOOKUP(A70,[4]RawData!Z:AA,2,FALSE)</f>
        <v>42754.410416666666</v>
      </c>
      <c r="D70" s="14" t="s">
        <v>959</v>
      </c>
      <c r="E70" s="14" t="s">
        <v>960</v>
      </c>
      <c r="F70" s="14" t="s">
        <v>652</v>
      </c>
      <c r="G70" s="14" t="s">
        <v>961</v>
      </c>
      <c r="H70" s="14">
        <v>26785929</v>
      </c>
      <c r="I70" s="14" t="s">
        <v>894</v>
      </c>
      <c r="J70" s="14" t="s">
        <v>732</v>
      </c>
      <c r="L70" s="14">
        <v>2</v>
      </c>
      <c r="M70" s="14">
        <v>6</v>
      </c>
      <c r="N70" s="14" t="s">
        <v>962</v>
      </c>
      <c r="U70" s="14">
        <v>0</v>
      </c>
      <c r="AB70" s="14">
        <v>0</v>
      </c>
      <c r="AI70" s="14">
        <v>0</v>
      </c>
      <c r="AP70" s="14">
        <v>0</v>
      </c>
      <c r="AW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R70" s="14">
        <v>0</v>
      </c>
      <c r="BY70" s="14">
        <v>0</v>
      </c>
      <c r="CF70" s="14">
        <v>0</v>
      </c>
      <c r="CM70" s="14">
        <v>0</v>
      </c>
      <c r="CT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 t="s">
        <v>598</v>
      </c>
      <c r="DJ70" s="14" t="s">
        <v>598</v>
      </c>
      <c r="DK70" s="14" t="s">
        <v>598</v>
      </c>
      <c r="DL70" s="14" t="s">
        <v>598</v>
      </c>
      <c r="DM70" s="14" t="s">
        <v>598</v>
      </c>
      <c r="DN70" s="14" t="s">
        <v>598</v>
      </c>
      <c r="DO70" s="14" t="s">
        <v>598</v>
      </c>
      <c r="DP70" s="14" t="s">
        <v>598</v>
      </c>
      <c r="DQ70" s="14" t="s">
        <v>598</v>
      </c>
      <c r="DR70" s="14" t="s">
        <v>598</v>
      </c>
      <c r="DS70" s="14" t="s">
        <v>598</v>
      </c>
      <c r="DT70" s="14" t="s">
        <v>598</v>
      </c>
      <c r="DU70" s="14" t="s">
        <v>598</v>
      </c>
      <c r="DV70" s="14" t="s">
        <v>598</v>
      </c>
      <c r="DW70" s="14" t="s">
        <v>598</v>
      </c>
      <c r="DX70" s="14" t="s">
        <v>598</v>
      </c>
      <c r="DY70" s="14" t="s">
        <v>598</v>
      </c>
      <c r="DZ70" s="14" t="s">
        <v>598</v>
      </c>
      <c r="EA70" s="14" t="s">
        <v>598</v>
      </c>
      <c r="EB70" s="14" t="s">
        <v>598</v>
      </c>
      <c r="EC70" s="14" t="s">
        <v>598</v>
      </c>
      <c r="ED70" s="14" t="s">
        <v>598</v>
      </c>
      <c r="EE70" s="14" t="s">
        <v>598</v>
      </c>
      <c r="EF70" s="14" t="s">
        <v>598</v>
      </c>
      <c r="EG70" s="14" t="s">
        <v>598</v>
      </c>
      <c r="EH70" s="14" t="s">
        <v>598</v>
      </c>
      <c r="EI70" s="14" t="s">
        <v>598</v>
      </c>
      <c r="EJ70" s="14" t="s">
        <v>598</v>
      </c>
      <c r="EK70" s="14" t="s">
        <v>598</v>
      </c>
      <c r="EL70" s="14" t="s">
        <v>598</v>
      </c>
      <c r="EM70" s="14" t="s">
        <v>598</v>
      </c>
      <c r="EN70" s="14" t="s">
        <v>598</v>
      </c>
      <c r="EO70" s="14" t="s">
        <v>598</v>
      </c>
      <c r="EP70" s="14" t="s">
        <v>598</v>
      </c>
      <c r="EQ70" s="14" t="s">
        <v>598</v>
      </c>
      <c r="ER70" s="14" t="s">
        <v>598</v>
      </c>
      <c r="EY70" s="14">
        <v>0</v>
      </c>
      <c r="FF70" s="14">
        <v>0</v>
      </c>
      <c r="FM70" s="14">
        <v>0</v>
      </c>
      <c r="FT70" s="14">
        <v>0</v>
      </c>
      <c r="GA70" s="14">
        <v>0</v>
      </c>
      <c r="GH70" s="14">
        <v>0</v>
      </c>
      <c r="GO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K70" s="14">
        <v>0</v>
      </c>
      <c r="HR70" s="14">
        <v>0</v>
      </c>
      <c r="HY70" s="14">
        <v>0</v>
      </c>
      <c r="IF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Z70" s="14">
        <v>1</v>
      </c>
      <c r="JA70" s="14">
        <v>2</v>
      </c>
      <c r="JB70" s="14">
        <v>1</v>
      </c>
      <c r="JC70" s="14" t="s">
        <v>600</v>
      </c>
      <c r="NF70" s="14" t="s">
        <v>601</v>
      </c>
      <c r="RI70" s="14" t="s">
        <v>602</v>
      </c>
      <c r="VL70" s="14" t="s">
        <v>603</v>
      </c>
      <c r="ZO70" s="14" t="s">
        <v>604</v>
      </c>
      <c r="ADR70" s="14" t="s">
        <v>605</v>
      </c>
    </row>
    <row r="71" spans="1:798" x14ac:dyDescent="0.25">
      <c r="A71" s="14">
        <v>40</v>
      </c>
      <c r="B71" s="14" t="s">
        <v>889</v>
      </c>
      <c r="C71" s="16">
        <f t="shared" ref="C71:C74" si="6">$C$3</f>
        <v>42780</v>
      </c>
      <c r="D71" s="14" t="s">
        <v>963</v>
      </c>
      <c r="E71" s="14" t="s">
        <v>964</v>
      </c>
      <c r="F71" s="14" t="s">
        <v>965</v>
      </c>
      <c r="G71" s="14" t="s">
        <v>966</v>
      </c>
      <c r="H71" s="14" t="s">
        <v>967</v>
      </c>
      <c r="I71" s="14" t="s">
        <v>611</v>
      </c>
      <c r="J71" s="14" t="s">
        <v>732</v>
      </c>
      <c r="L71" s="14">
        <v>1</v>
      </c>
      <c r="O71" s="14">
        <v>233.02</v>
      </c>
      <c r="R71" s="14">
        <v>47.52</v>
      </c>
      <c r="U71" s="14">
        <v>280.54000000000002</v>
      </c>
      <c r="V71" s="14">
        <v>845.7</v>
      </c>
      <c r="W71" s="14">
        <v>534</v>
      </c>
      <c r="Y71" s="14">
        <v>443.6</v>
      </c>
      <c r="AA71" s="14">
        <v>393</v>
      </c>
      <c r="AB71" s="14">
        <v>2216.3000000000002</v>
      </c>
      <c r="AC71" s="14">
        <v>1203.1300000000001</v>
      </c>
      <c r="AD71" s="14">
        <v>459.01</v>
      </c>
      <c r="AF71" s="14">
        <v>95.03</v>
      </c>
      <c r="AH71" s="14">
        <v>71.75</v>
      </c>
      <c r="AI71" s="14">
        <v>1828.92</v>
      </c>
      <c r="AP71" s="14">
        <v>0</v>
      </c>
      <c r="AW71" s="14">
        <v>0</v>
      </c>
      <c r="BD71" s="14">
        <v>0</v>
      </c>
      <c r="BE71" s="14">
        <v>2281.85</v>
      </c>
      <c r="BF71" s="14">
        <v>993.01</v>
      </c>
      <c r="BG71" s="14">
        <v>0</v>
      </c>
      <c r="BH71" s="14">
        <v>586.15</v>
      </c>
      <c r="BI71" s="14">
        <v>0</v>
      </c>
      <c r="BJ71" s="14">
        <v>464.75</v>
      </c>
      <c r="BK71" s="14">
        <v>4325.76</v>
      </c>
      <c r="BL71" s="14">
        <v>1</v>
      </c>
      <c r="BO71" s="14">
        <v>1</v>
      </c>
      <c r="BR71" s="14">
        <v>2</v>
      </c>
      <c r="BS71" s="14">
        <v>7</v>
      </c>
      <c r="BT71" s="14">
        <v>3</v>
      </c>
      <c r="BV71" s="14">
        <v>3</v>
      </c>
      <c r="BX71" s="14">
        <v>1</v>
      </c>
      <c r="BY71" s="14">
        <v>14</v>
      </c>
      <c r="BZ71" s="14">
        <v>4</v>
      </c>
      <c r="CA71" s="14">
        <v>5</v>
      </c>
      <c r="CC71" s="14">
        <v>1</v>
      </c>
      <c r="CE71" s="14">
        <v>1</v>
      </c>
      <c r="CF71" s="14">
        <v>11</v>
      </c>
      <c r="CM71" s="14">
        <v>0</v>
      </c>
      <c r="CT71" s="14">
        <v>0</v>
      </c>
      <c r="DA71" s="14">
        <v>0</v>
      </c>
      <c r="DB71" s="14">
        <v>12</v>
      </c>
      <c r="DC71" s="14">
        <v>8</v>
      </c>
      <c r="DD71" s="14">
        <v>0</v>
      </c>
      <c r="DE71" s="14">
        <v>5</v>
      </c>
      <c r="DF71" s="14">
        <v>0</v>
      </c>
      <c r="DG71" s="14">
        <v>2</v>
      </c>
      <c r="DH71" s="14">
        <v>27</v>
      </c>
      <c r="DI71" s="14" t="s">
        <v>597</v>
      </c>
      <c r="DJ71" s="14" t="s">
        <v>598</v>
      </c>
      <c r="DK71" s="14" t="s">
        <v>598</v>
      </c>
      <c r="DL71" s="14" t="s">
        <v>597</v>
      </c>
      <c r="DM71" s="14" t="s">
        <v>598</v>
      </c>
      <c r="DN71" s="14" t="s">
        <v>598</v>
      </c>
      <c r="DO71" s="14" t="s">
        <v>597</v>
      </c>
      <c r="DP71" s="14" t="s">
        <v>597</v>
      </c>
      <c r="DQ71" s="14" t="s">
        <v>598</v>
      </c>
      <c r="DR71" s="14" t="s">
        <v>597</v>
      </c>
      <c r="DS71" s="14" t="s">
        <v>598</v>
      </c>
      <c r="DT71" s="14" t="s">
        <v>597</v>
      </c>
      <c r="DU71" s="14" t="s">
        <v>597</v>
      </c>
      <c r="DV71" s="14" t="s">
        <v>597</v>
      </c>
      <c r="DW71" s="14" t="s">
        <v>598</v>
      </c>
      <c r="DX71" s="14" t="s">
        <v>597</v>
      </c>
      <c r="DY71" s="14" t="s">
        <v>598</v>
      </c>
      <c r="DZ71" s="14" t="s">
        <v>597</v>
      </c>
      <c r="EA71" s="14" t="s">
        <v>598</v>
      </c>
      <c r="EB71" s="14" t="s">
        <v>598</v>
      </c>
      <c r="EC71" s="14" t="s">
        <v>598</v>
      </c>
      <c r="ED71" s="14" t="s">
        <v>598</v>
      </c>
      <c r="EE71" s="14" t="s">
        <v>598</v>
      </c>
      <c r="EF71" s="14" t="s">
        <v>598</v>
      </c>
      <c r="EG71" s="14" t="s">
        <v>598</v>
      </c>
      <c r="EH71" s="14" t="s">
        <v>598</v>
      </c>
      <c r="EI71" s="14" t="s">
        <v>598</v>
      </c>
      <c r="EJ71" s="14" t="s">
        <v>598</v>
      </c>
      <c r="EK71" s="14" t="s">
        <v>598</v>
      </c>
      <c r="EL71" s="14" t="s">
        <v>598</v>
      </c>
      <c r="EM71" s="14" t="s">
        <v>598</v>
      </c>
      <c r="EN71" s="14" t="s">
        <v>598</v>
      </c>
      <c r="EO71" s="14" t="s">
        <v>598</v>
      </c>
      <c r="EP71" s="14" t="s">
        <v>598</v>
      </c>
      <c r="EQ71" s="14" t="s">
        <v>598</v>
      </c>
      <c r="ER71" s="14" t="s">
        <v>598</v>
      </c>
      <c r="ES71" s="14">
        <v>1079.6099999999999</v>
      </c>
      <c r="ET71" s="14">
        <v>661.51</v>
      </c>
      <c r="EV71" s="14">
        <v>277.55</v>
      </c>
      <c r="EX71" s="14">
        <v>0</v>
      </c>
      <c r="EY71" s="14">
        <v>2018.67</v>
      </c>
      <c r="EZ71" s="14">
        <v>222.46</v>
      </c>
      <c r="FA71" s="14">
        <v>331.5</v>
      </c>
      <c r="FC71" s="14">
        <v>135</v>
      </c>
      <c r="FE71" s="14">
        <v>393</v>
      </c>
      <c r="FF71" s="14">
        <v>1081.96</v>
      </c>
      <c r="FG71" s="14">
        <v>89.9</v>
      </c>
      <c r="FM71" s="14">
        <v>89.9</v>
      </c>
      <c r="FN71" s="14">
        <v>57.02</v>
      </c>
      <c r="FT71" s="14">
        <v>57.02</v>
      </c>
      <c r="FU71" s="14">
        <v>121.6</v>
      </c>
      <c r="FZ71" s="14">
        <v>71.75</v>
      </c>
      <c r="GA71" s="14">
        <v>193.35</v>
      </c>
      <c r="GB71" s="14">
        <v>1</v>
      </c>
      <c r="GH71" s="14">
        <v>1</v>
      </c>
      <c r="GI71" s="14">
        <v>171.15</v>
      </c>
      <c r="GO71" s="14">
        <v>171.15</v>
      </c>
      <c r="GP71" s="14" t="s">
        <v>968</v>
      </c>
      <c r="GQ71" s="14">
        <v>539.11</v>
      </c>
      <c r="GT71" s="14">
        <v>173.6</v>
      </c>
      <c r="GW71" s="14">
        <v>712.71</v>
      </c>
      <c r="GX71" s="14">
        <v>2281.85</v>
      </c>
      <c r="GY71" s="14">
        <v>993.01</v>
      </c>
      <c r="GZ71" s="14">
        <v>0</v>
      </c>
      <c r="HA71" s="14">
        <v>586.15</v>
      </c>
      <c r="HB71" s="14">
        <v>0</v>
      </c>
      <c r="HC71" s="14">
        <v>464.75</v>
      </c>
      <c r="HD71" s="14">
        <v>4325.76</v>
      </c>
      <c r="HE71" s="14">
        <v>301.45</v>
      </c>
      <c r="HF71" s="14">
        <v>108.4</v>
      </c>
      <c r="HH71" s="14">
        <v>173.6</v>
      </c>
      <c r="HK71" s="14">
        <v>583.45000000000005</v>
      </c>
      <c r="HL71" s="14">
        <v>883.09</v>
      </c>
      <c r="HM71" s="14">
        <v>425.6</v>
      </c>
      <c r="HO71" s="14">
        <v>270</v>
      </c>
      <c r="HQ71" s="14">
        <v>393</v>
      </c>
      <c r="HR71" s="14">
        <v>1971.69</v>
      </c>
      <c r="HS71" s="14">
        <v>1097.32</v>
      </c>
      <c r="HT71" s="14">
        <v>459</v>
      </c>
      <c r="HV71" s="14">
        <v>142.55000000000001</v>
      </c>
      <c r="HX71" s="14">
        <v>71.75</v>
      </c>
      <c r="HY71" s="14">
        <v>1770.62</v>
      </c>
      <c r="IF71" s="14">
        <v>0</v>
      </c>
      <c r="IM71" s="14">
        <v>0</v>
      </c>
      <c r="IN71" s="14">
        <v>2281.86</v>
      </c>
      <c r="IO71" s="14">
        <v>993</v>
      </c>
      <c r="IP71" s="14">
        <v>0</v>
      </c>
      <c r="IQ71" s="14">
        <v>586.15</v>
      </c>
      <c r="IR71" s="14">
        <v>0</v>
      </c>
      <c r="IS71" s="14">
        <v>464.75</v>
      </c>
      <c r="IT71" s="14">
        <v>4325.76</v>
      </c>
      <c r="IU71" s="14">
        <v>6</v>
      </c>
      <c r="IW71" s="14">
        <v>94</v>
      </c>
      <c r="IZ71" s="14">
        <v>3</v>
      </c>
      <c r="JA71" s="14">
        <v>3</v>
      </c>
      <c r="JB71" s="14">
        <v>1</v>
      </c>
      <c r="JC71" s="14" t="s">
        <v>600</v>
      </c>
      <c r="JD71" s="14">
        <v>118.79</v>
      </c>
      <c r="JG71" s="14">
        <v>47.52</v>
      </c>
      <c r="JJ71" s="14">
        <v>166.31</v>
      </c>
      <c r="JK71" s="14">
        <v>23.76</v>
      </c>
      <c r="JQ71" s="14">
        <v>23.76</v>
      </c>
      <c r="JX71" s="14">
        <v>0</v>
      </c>
      <c r="KE71" s="14">
        <v>0</v>
      </c>
      <c r="KL71" s="14">
        <v>0</v>
      </c>
      <c r="KS71" s="14">
        <v>0</v>
      </c>
      <c r="KZ71" s="14">
        <v>0</v>
      </c>
      <c r="LA71" s="14" t="s">
        <v>969</v>
      </c>
      <c r="LB71" s="14">
        <v>90.47</v>
      </c>
      <c r="LH71" s="14">
        <v>90.47</v>
      </c>
      <c r="LI71" s="14">
        <v>233.02</v>
      </c>
      <c r="LJ71" s="14">
        <v>0</v>
      </c>
      <c r="LK71" s="14">
        <v>0</v>
      </c>
      <c r="LL71" s="14">
        <v>47.52</v>
      </c>
      <c r="LM71" s="14">
        <v>0</v>
      </c>
      <c r="LN71" s="14">
        <v>0</v>
      </c>
      <c r="LO71" s="14">
        <v>280.54000000000002</v>
      </c>
      <c r="LP71" s="14">
        <v>137.99</v>
      </c>
      <c r="LV71" s="14">
        <v>137.99</v>
      </c>
      <c r="MC71" s="14">
        <v>0</v>
      </c>
      <c r="MD71" s="14">
        <v>95.03</v>
      </c>
      <c r="MG71" s="14">
        <v>47.52</v>
      </c>
      <c r="MJ71" s="14">
        <v>142.55000000000001</v>
      </c>
      <c r="MQ71" s="14">
        <v>0</v>
      </c>
      <c r="MX71" s="14">
        <v>0</v>
      </c>
      <c r="MY71" s="14">
        <v>233.02</v>
      </c>
      <c r="MZ71" s="14">
        <v>0</v>
      </c>
      <c r="NA71" s="14">
        <v>0</v>
      </c>
      <c r="NB71" s="14">
        <v>47.52</v>
      </c>
      <c r="NC71" s="14">
        <v>0</v>
      </c>
      <c r="ND71" s="14">
        <v>0</v>
      </c>
      <c r="NE71" s="14">
        <v>280.54000000000002</v>
      </c>
      <c r="NF71" s="14" t="s">
        <v>601</v>
      </c>
      <c r="NG71" s="14">
        <v>419.5</v>
      </c>
      <c r="NH71" s="14">
        <v>202.5</v>
      </c>
      <c r="NJ71" s="14">
        <v>135</v>
      </c>
      <c r="NM71" s="14">
        <v>757</v>
      </c>
      <c r="NN71" s="14">
        <v>187.3</v>
      </c>
      <c r="NO71" s="14">
        <v>331.5</v>
      </c>
      <c r="NQ71" s="14">
        <v>135</v>
      </c>
      <c r="NS71" s="14">
        <v>393</v>
      </c>
      <c r="NT71" s="14">
        <v>1046.8</v>
      </c>
      <c r="NU71" s="14">
        <v>89.9</v>
      </c>
      <c r="OA71" s="14">
        <v>89.9</v>
      </c>
      <c r="OH71" s="14">
        <v>0</v>
      </c>
      <c r="OI71" s="14">
        <v>1.1000000000000001</v>
      </c>
      <c r="OO71" s="14">
        <v>1.1000000000000001</v>
      </c>
      <c r="OP71" s="14">
        <v>1</v>
      </c>
      <c r="OV71" s="14">
        <v>1</v>
      </c>
      <c r="OW71" s="14">
        <v>21</v>
      </c>
      <c r="OZ71" s="14">
        <v>173.6</v>
      </c>
      <c r="PC71" s="14">
        <v>194.6</v>
      </c>
      <c r="PD71" s="14" t="s">
        <v>969</v>
      </c>
      <c r="PE71" s="14">
        <v>125.9</v>
      </c>
      <c r="PK71" s="14">
        <v>125.9</v>
      </c>
      <c r="PL71" s="14">
        <v>845.7</v>
      </c>
      <c r="PM71" s="14">
        <v>534</v>
      </c>
      <c r="PN71" s="14">
        <v>0</v>
      </c>
      <c r="PO71" s="14">
        <v>443.6</v>
      </c>
      <c r="PP71" s="14">
        <v>0</v>
      </c>
      <c r="PQ71" s="14">
        <v>393</v>
      </c>
      <c r="PR71" s="14">
        <v>2216.3000000000002</v>
      </c>
      <c r="PS71" s="14">
        <v>745.1</v>
      </c>
      <c r="PT71" s="14">
        <v>425.6</v>
      </c>
      <c r="PV71" s="14">
        <v>270</v>
      </c>
      <c r="PX71" s="14">
        <v>393</v>
      </c>
      <c r="PY71" s="14">
        <v>1833.7</v>
      </c>
      <c r="PZ71" s="14">
        <v>93.8</v>
      </c>
      <c r="QA71" s="14">
        <v>108.4</v>
      </c>
      <c r="QC71" s="14">
        <v>173.6</v>
      </c>
      <c r="QF71" s="14">
        <v>375.8</v>
      </c>
      <c r="QG71" s="14">
        <v>6.8</v>
      </c>
      <c r="QM71" s="14">
        <v>6.8</v>
      </c>
      <c r="QT71" s="14">
        <v>0</v>
      </c>
      <c r="RA71" s="14">
        <v>0</v>
      </c>
      <c r="RB71" s="14">
        <v>845.7</v>
      </c>
      <c r="RC71" s="14">
        <v>534</v>
      </c>
      <c r="RD71" s="14">
        <v>0</v>
      </c>
      <c r="RE71" s="14">
        <v>443.6</v>
      </c>
      <c r="RF71" s="14">
        <v>0</v>
      </c>
      <c r="RG71" s="14">
        <v>393</v>
      </c>
      <c r="RH71" s="14">
        <v>2216.3000000000002</v>
      </c>
      <c r="RI71" s="14" t="s">
        <v>602</v>
      </c>
      <c r="RJ71" s="14">
        <v>541.30999999999995</v>
      </c>
      <c r="RK71" s="14">
        <v>459.01</v>
      </c>
      <c r="RM71" s="14">
        <v>95.03</v>
      </c>
      <c r="RP71" s="14">
        <v>1095.3499999999999</v>
      </c>
      <c r="RQ71" s="14">
        <v>11.4</v>
      </c>
      <c r="RW71" s="14">
        <v>11.4</v>
      </c>
      <c r="SD71" s="14">
        <v>0</v>
      </c>
      <c r="SE71" s="14">
        <v>57.02</v>
      </c>
      <c r="SK71" s="14">
        <v>57.02</v>
      </c>
      <c r="SL71" s="14">
        <v>120.51</v>
      </c>
      <c r="SQ71" s="14">
        <v>71.75</v>
      </c>
      <c r="SR71" s="14">
        <v>192.26</v>
      </c>
      <c r="SY71" s="14">
        <v>0</v>
      </c>
      <c r="SZ71" s="14">
        <v>150.06</v>
      </c>
      <c r="TF71" s="14">
        <v>150.06</v>
      </c>
      <c r="TG71" s="14" t="s">
        <v>969</v>
      </c>
      <c r="TH71" s="14">
        <v>322.83</v>
      </c>
      <c r="TN71" s="14">
        <v>322.83</v>
      </c>
      <c r="TO71" s="14">
        <v>1203.1300000000001</v>
      </c>
      <c r="TP71" s="14">
        <v>459.01</v>
      </c>
      <c r="TQ71" s="14">
        <v>0</v>
      </c>
      <c r="TR71" s="14">
        <v>95.03</v>
      </c>
      <c r="TS71" s="14">
        <v>0</v>
      </c>
      <c r="TT71" s="14">
        <v>71.75</v>
      </c>
      <c r="TU71" s="14">
        <v>1828.92</v>
      </c>
      <c r="UB71" s="14">
        <v>0</v>
      </c>
      <c r="UC71" s="14">
        <v>207.65</v>
      </c>
      <c r="UI71" s="14">
        <v>207.65</v>
      </c>
      <c r="UJ71" s="14">
        <v>995.48</v>
      </c>
      <c r="UK71" s="14">
        <v>459.01</v>
      </c>
      <c r="UM71" s="14">
        <v>95.03</v>
      </c>
      <c r="UO71" s="14">
        <v>71.75</v>
      </c>
      <c r="UP71" s="14">
        <v>1621.27</v>
      </c>
      <c r="UW71" s="14">
        <v>0</v>
      </c>
      <c r="VD71" s="14">
        <v>0</v>
      </c>
      <c r="VE71" s="14">
        <v>1203.1300000000001</v>
      </c>
      <c r="VF71" s="14">
        <v>459.01</v>
      </c>
      <c r="VG71" s="14">
        <v>0</v>
      </c>
      <c r="VH71" s="14">
        <v>95.03</v>
      </c>
      <c r="VI71" s="14">
        <v>0</v>
      </c>
      <c r="VJ71" s="14">
        <v>71.75</v>
      </c>
      <c r="VK71" s="14">
        <v>1828.92</v>
      </c>
      <c r="VL71" s="14" t="s">
        <v>603</v>
      </c>
      <c r="ZO71" s="14" t="s">
        <v>604</v>
      </c>
      <c r="ADR71" s="14" t="s">
        <v>605</v>
      </c>
    </row>
    <row r="72" spans="1:798" x14ac:dyDescent="0.25">
      <c r="A72" s="14">
        <v>219</v>
      </c>
      <c r="B72" s="14" t="s">
        <v>889</v>
      </c>
      <c r="C72" s="16">
        <f t="shared" si="6"/>
        <v>42780</v>
      </c>
      <c r="D72" s="14" t="s">
        <v>970</v>
      </c>
      <c r="E72" s="14" t="s">
        <v>971</v>
      </c>
      <c r="F72" s="14" t="s">
        <v>972</v>
      </c>
      <c r="G72" s="14" t="s">
        <v>973</v>
      </c>
      <c r="H72" s="14" t="s">
        <v>974</v>
      </c>
      <c r="I72" s="14" t="s">
        <v>950</v>
      </c>
      <c r="J72" s="14" t="s">
        <v>732</v>
      </c>
      <c r="L72" s="14">
        <v>1</v>
      </c>
      <c r="O72" s="14">
        <v>45</v>
      </c>
      <c r="U72" s="14">
        <v>45</v>
      </c>
      <c r="W72" s="14">
        <v>100</v>
      </c>
      <c r="Y72" s="14">
        <v>170</v>
      </c>
      <c r="AA72" s="14">
        <v>287</v>
      </c>
      <c r="AB72" s="14">
        <v>557</v>
      </c>
      <c r="AI72" s="14">
        <v>0</v>
      </c>
      <c r="AP72" s="14">
        <v>0</v>
      </c>
      <c r="AW72" s="14">
        <v>0</v>
      </c>
      <c r="BD72" s="14">
        <v>0</v>
      </c>
      <c r="BE72" s="14">
        <v>45</v>
      </c>
      <c r="BF72" s="14">
        <v>100</v>
      </c>
      <c r="BG72" s="14">
        <v>0</v>
      </c>
      <c r="BH72" s="14">
        <v>170</v>
      </c>
      <c r="BI72" s="14">
        <v>0</v>
      </c>
      <c r="BJ72" s="14">
        <v>287</v>
      </c>
      <c r="BK72" s="14">
        <v>602</v>
      </c>
      <c r="BL72" s="14">
        <v>1</v>
      </c>
      <c r="BR72" s="14">
        <v>1</v>
      </c>
      <c r="BT72" s="14">
        <v>1</v>
      </c>
      <c r="BV72" s="14">
        <v>1</v>
      </c>
      <c r="BX72" s="14">
        <v>1</v>
      </c>
      <c r="BY72" s="14">
        <v>3</v>
      </c>
      <c r="CF72" s="14">
        <v>0</v>
      </c>
      <c r="CM72" s="14">
        <v>0</v>
      </c>
      <c r="CT72" s="14">
        <v>0</v>
      </c>
      <c r="DA72" s="14">
        <v>0</v>
      </c>
      <c r="DB72" s="14">
        <v>1</v>
      </c>
      <c r="DC72" s="14">
        <v>1</v>
      </c>
      <c r="DD72" s="14">
        <v>0</v>
      </c>
      <c r="DE72" s="14">
        <v>1</v>
      </c>
      <c r="DF72" s="14">
        <v>0</v>
      </c>
      <c r="DG72" s="14">
        <v>1</v>
      </c>
      <c r="DH72" s="14">
        <v>4</v>
      </c>
      <c r="DI72" s="14" t="s">
        <v>597</v>
      </c>
      <c r="DJ72" s="14" t="s">
        <v>598</v>
      </c>
      <c r="DK72" s="14" t="s">
        <v>598</v>
      </c>
      <c r="DL72" s="14" t="s">
        <v>598</v>
      </c>
      <c r="DM72" s="14" t="s">
        <v>598</v>
      </c>
      <c r="DN72" s="14" t="s">
        <v>598</v>
      </c>
      <c r="DO72" s="14" t="s">
        <v>598</v>
      </c>
      <c r="DP72" s="14" t="s">
        <v>597</v>
      </c>
      <c r="DQ72" s="14" t="s">
        <v>598</v>
      </c>
      <c r="DR72" s="14" t="s">
        <v>597</v>
      </c>
      <c r="DS72" s="14" t="s">
        <v>598</v>
      </c>
      <c r="DT72" s="14" t="s">
        <v>597</v>
      </c>
      <c r="DU72" s="14" t="s">
        <v>598</v>
      </c>
      <c r="DV72" s="14" t="s">
        <v>598</v>
      </c>
      <c r="DW72" s="14" t="s">
        <v>598</v>
      </c>
      <c r="DX72" s="14" t="s">
        <v>598</v>
      </c>
      <c r="DY72" s="14" t="s">
        <v>598</v>
      </c>
      <c r="DZ72" s="14" t="s">
        <v>598</v>
      </c>
      <c r="EA72" s="14" t="s">
        <v>598</v>
      </c>
      <c r="EB72" s="14" t="s">
        <v>598</v>
      </c>
      <c r="EC72" s="14" t="s">
        <v>598</v>
      </c>
      <c r="ED72" s="14" t="s">
        <v>598</v>
      </c>
      <c r="EE72" s="14" t="s">
        <v>598</v>
      </c>
      <c r="EF72" s="14" t="s">
        <v>598</v>
      </c>
      <c r="EG72" s="14" t="s">
        <v>598</v>
      </c>
      <c r="EH72" s="14" t="s">
        <v>598</v>
      </c>
      <c r="EI72" s="14" t="s">
        <v>598</v>
      </c>
      <c r="EJ72" s="14" t="s">
        <v>598</v>
      </c>
      <c r="EK72" s="14" t="s">
        <v>598</v>
      </c>
      <c r="EL72" s="14" t="s">
        <v>598</v>
      </c>
      <c r="EM72" s="14" t="s">
        <v>598</v>
      </c>
      <c r="EN72" s="14" t="s">
        <v>598</v>
      </c>
      <c r="EO72" s="14" t="s">
        <v>598</v>
      </c>
      <c r="EP72" s="14" t="s">
        <v>598</v>
      </c>
      <c r="EQ72" s="14" t="s">
        <v>598</v>
      </c>
      <c r="ER72" s="14" t="s">
        <v>598</v>
      </c>
      <c r="ES72" s="14">
        <v>30</v>
      </c>
      <c r="ET72" s="14">
        <v>100</v>
      </c>
      <c r="EX72" s="14">
        <v>74</v>
      </c>
      <c r="EY72" s="14">
        <v>204</v>
      </c>
      <c r="FE72" s="14">
        <v>213</v>
      </c>
      <c r="FF72" s="14">
        <v>213</v>
      </c>
      <c r="FM72" s="14">
        <v>0</v>
      </c>
      <c r="FT72" s="14">
        <v>0</v>
      </c>
      <c r="GA72" s="14">
        <v>0</v>
      </c>
      <c r="GE72" s="14">
        <v>170</v>
      </c>
      <c r="GH72" s="14">
        <v>170</v>
      </c>
      <c r="GI72" s="14">
        <v>15</v>
      </c>
      <c r="GO72" s="14">
        <v>15</v>
      </c>
      <c r="GW72" s="14">
        <v>0</v>
      </c>
      <c r="GX72" s="14">
        <v>45</v>
      </c>
      <c r="GY72" s="14">
        <v>100</v>
      </c>
      <c r="GZ72" s="14">
        <v>0</v>
      </c>
      <c r="HA72" s="14">
        <v>170</v>
      </c>
      <c r="HB72" s="14">
        <v>0</v>
      </c>
      <c r="HC72" s="14">
        <v>287</v>
      </c>
      <c r="HD72" s="14">
        <v>602</v>
      </c>
      <c r="HK72" s="14">
        <v>0</v>
      </c>
      <c r="HL72" s="14">
        <v>45</v>
      </c>
      <c r="HM72" s="14">
        <v>100</v>
      </c>
      <c r="HO72" s="14">
        <v>170</v>
      </c>
      <c r="HQ72" s="14">
        <v>287</v>
      </c>
      <c r="HR72" s="14">
        <v>602</v>
      </c>
      <c r="HY72" s="14">
        <v>0</v>
      </c>
      <c r="IF72" s="14">
        <v>0</v>
      </c>
      <c r="IM72" s="14">
        <v>0</v>
      </c>
      <c r="IN72" s="14">
        <v>45</v>
      </c>
      <c r="IO72" s="14">
        <v>100</v>
      </c>
      <c r="IP72" s="14">
        <v>0</v>
      </c>
      <c r="IQ72" s="14">
        <v>170</v>
      </c>
      <c r="IR72" s="14">
        <v>0</v>
      </c>
      <c r="IS72" s="14">
        <v>287</v>
      </c>
      <c r="IT72" s="14">
        <v>602</v>
      </c>
      <c r="IW72" s="14">
        <v>100</v>
      </c>
      <c r="IZ72" s="14">
        <v>1</v>
      </c>
      <c r="JA72" s="14">
        <v>1</v>
      </c>
      <c r="JB72" s="14">
        <v>1</v>
      </c>
      <c r="JC72" s="14" t="s">
        <v>600</v>
      </c>
      <c r="JD72" s="14">
        <v>30</v>
      </c>
      <c r="JJ72" s="14">
        <v>30</v>
      </c>
      <c r="JQ72" s="14">
        <v>0</v>
      </c>
      <c r="JX72" s="14">
        <v>0</v>
      </c>
      <c r="KE72" s="14">
        <v>0</v>
      </c>
      <c r="KL72" s="14">
        <v>0</v>
      </c>
      <c r="KS72" s="14">
        <v>0</v>
      </c>
      <c r="KT72" s="14">
        <v>15</v>
      </c>
      <c r="KZ72" s="14">
        <v>15</v>
      </c>
      <c r="LH72" s="14">
        <v>0</v>
      </c>
      <c r="LI72" s="14">
        <v>45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45</v>
      </c>
      <c r="LP72" s="14">
        <v>45</v>
      </c>
      <c r="LV72" s="14">
        <v>45</v>
      </c>
      <c r="MC72" s="14">
        <v>0</v>
      </c>
      <c r="MJ72" s="14">
        <v>0</v>
      </c>
      <c r="MQ72" s="14">
        <v>0</v>
      </c>
      <c r="MX72" s="14">
        <v>0</v>
      </c>
      <c r="MY72" s="14">
        <v>45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45</v>
      </c>
      <c r="NF72" s="14" t="s">
        <v>601</v>
      </c>
      <c r="NH72" s="14">
        <v>100</v>
      </c>
      <c r="NL72" s="14">
        <v>83</v>
      </c>
      <c r="NM72" s="14">
        <v>183</v>
      </c>
      <c r="NS72" s="14">
        <v>204</v>
      </c>
      <c r="NT72" s="14">
        <v>204</v>
      </c>
      <c r="OA72" s="14">
        <v>0</v>
      </c>
      <c r="OH72" s="14">
        <v>0</v>
      </c>
      <c r="OO72" s="14">
        <v>0</v>
      </c>
      <c r="OS72" s="14">
        <v>170</v>
      </c>
      <c r="OV72" s="14">
        <v>170</v>
      </c>
      <c r="PC72" s="14">
        <v>0</v>
      </c>
      <c r="PK72" s="14">
        <v>0</v>
      </c>
      <c r="PL72" s="14">
        <v>0</v>
      </c>
      <c r="PM72" s="14">
        <v>100</v>
      </c>
      <c r="PN72" s="14">
        <v>0</v>
      </c>
      <c r="PO72" s="14">
        <v>170</v>
      </c>
      <c r="PP72" s="14">
        <v>0</v>
      </c>
      <c r="PQ72" s="14">
        <v>287</v>
      </c>
      <c r="PR72" s="14">
        <v>557</v>
      </c>
      <c r="PT72" s="14">
        <v>100</v>
      </c>
      <c r="PV72" s="14">
        <v>170</v>
      </c>
      <c r="PX72" s="14">
        <v>287</v>
      </c>
      <c r="PY72" s="14">
        <v>557</v>
      </c>
      <c r="QF72" s="14">
        <v>0</v>
      </c>
      <c r="QM72" s="14">
        <v>0</v>
      </c>
      <c r="QT72" s="14">
        <v>0</v>
      </c>
      <c r="RA72" s="14">
        <v>0</v>
      </c>
      <c r="RB72" s="14">
        <v>0</v>
      </c>
      <c r="RC72" s="14">
        <v>100</v>
      </c>
      <c r="RD72" s="14">
        <v>0</v>
      </c>
      <c r="RE72" s="14">
        <v>170</v>
      </c>
      <c r="RF72" s="14">
        <v>0</v>
      </c>
      <c r="RG72" s="14">
        <v>287</v>
      </c>
      <c r="RH72" s="14">
        <v>557</v>
      </c>
      <c r="RI72" s="14" t="s">
        <v>602</v>
      </c>
      <c r="VL72" s="14" t="s">
        <v>603</v>
      </c>
      <c r="ZO72" s="14" t="s">
        <v>604</v>
      </c>
      <c r="ADR72" s="14" t="s">
        <v>605</v>
      </c>
    </row>
    <row r="73" spans="1:798" x14ac:dyDescent="0.25">
      <c r="A73" s="14">
        <v>57</v>
      </c>
      <c r="B73" s="14" t="s">
        <v>889</v>
      </c>
      <c r="C73" s="16">
        <f t="shared" si="6"/>
        <v>42780</v>
      </c>
      <c r="D73" s="14" t="s">
        <v>975</v>
      </c>
      <c r="E73" s="14" t="s">
        <v>976</v>
      </c>
      <c r="F73" s="14" t="s">
        <v>977</v>
      </c>
      <c r="G73" s="14" t="s">
        <v>978</v>
      </c>
      <c r="H73" s="14">
        <v>622227735</v>
      </c>
      <c r="I73" s="14" t="s">
        <v>979</v>
      </c>
      <c r="J73" s="14" t="s">
        <v>732</v>
      </c>
      <c r="L73" s="14">
        <v>1</v>
      </c>
      <c r="U73" s="14">
        <v>0</v>
      </c>
      <c r="AB73" s="14">
        <v>0</v>
      </c>
      <c r="AI73" s="14">
        <v>0</v>
      </c>
      <c r="AJ73" s="14">
        <v>557</v>
      </c>
      <c r="AL73" s="14">
        <v>279</v>
      </c>
      <c r="AP73" s="14">
        <v>836</v>
      </c>
      <c r="AW73" s="14">
        <v>0</v>
      </c>
      <c r="BD73" s="14">
        <v>0</v>
      </c>
      <c r="BE73" s="14">
        <v>557</v>
      </c>
      <c r="BF73" s="14">
        <v>0</v>
      </c>
      <c r="BG73" s="14">
        <v>279</v>
      </c>
      <c r="BH73" s="14">
        <v>0</v>
      </c>
      <c r="BI73" s="14">
        <v>0</v>
      </c>
      <c r="BJ73" s="14">
        <v>0</v>
      </c>
      <c r="BK73" s="14">
        <v>836</v>
      </c>
      <c r="BR73" s="14">
        <v>0</v>
      </c>
      <c r="BY73" s="14">
        <v>0</v>
      </c>
      <c r="CF73" s="14">
        <v>0</v>
      </c>
      <c r="CG73" s="14">
        <v>3</v>
      </c>
      <c r="CI73" s="14">
        <v>1</v>
      </c>
      <c r="CM73" s="14">
        <v>4</v>
      </c>
      <c r="CT73" s="14">
        <v>0</v>
      </c>
      <c r="DA73" s="14">
        <v>0</v>
      </c>
      <c r="DB73" s="14">
        <v>3</v>
      </c>
      <c r="DC73" s="14">
        <v>0</v>
      </c>
      <c r="DD73" s="14">
        <v>1</v>
      </c>
      <c r="DE73" s="14">
        <v>0</v>
      </c>
      <c r="DF73" s="14">
        <v>0</v>
      </c>
      <c r="DG73" s="14">
        <v>0</v>
      </c>
      <c r="DH73" s="14">
        <v>4</v>
      </c>
      <c r="DI73" s="14" t="s">
        <v>598</v>
      </c>
      <c r="DJ73" s="14" t="s">
        <v>598</v>
      </c>
      <c r="DK73" s="14" t="s">
        <v>598</v>
      </c>
      <c r="DL73" s="14" t="s">
        <v>598</v>
      </c>
      <c r="DM73" s="14" t="s">
        <v>598</v>
      </c>
      <c r="DN73" s="14" t="s">
        <v>598</v>
      </c>
      <c r="DO73" s="14" t="s">
        <v>598</v>
      </c>
      <c r="DP73" s="14" t="s">
        <v>598</v>
      </c>
      <c r="DQ73" s="14" t="s">
        <v>598</v>
      </c>
      <c r="DR73" s="14" t="s">
        <v>598</v>
      </c>
      <c r="DS73" s="14" t="s">
        <v>598</v>
      </c>
      <c r="DT73" s="14" t="s">
        <v>598</v>
      </c>
      <c r="DU73" s="14" t="s">
        <v>598</v>
      </c>
      <c r="DV73" s="14" t="s">
        <v>598</v>
      </c>
      <c r="DW73" s="14" t="s">
        <v>598</v>
      </c>
      <c r="DX73" s="14" t="s">
        <v>598</v>
      </c>
      <c r="DY73" s="14" t="s">
        <v>598</v>
      </c>
      <c r="DZ73" s="14" t="s">
        <v>598</v>
      </c>
      <c r="EA73" s="14" t="s">
        <v>597</v>
      </c>
      <c r="EB73" s="14" t="s">
        <v>598</v>
      </c>
      <c r="EC73" s="14" t="s">
        <v>597</v>
      </c>
      <c r="ED73" s="14" t="s">
        <v>598</v>
      </c>
      <c r="EE73" s="14" t="s">
        <v>598</v>
      </c>
      <c r="EF73" s="14" t="s">
        <v>598</v>
      </c>
      <c r="EG73" s="14" t="s">
        <v>598</v>
      </c>
      <c r="EH73" s="14" t="s">
        <v>598</v>
      </c>
      <c r="EI73" s="14" t="s">
        <v>598</v>
      </c>
      <c r="EJ73" s="14" t="s">
        <v>598</v>
      </c>
      <c r="EK73" s="14" t="s">
        <v>598</v>
      </c>
      <c r="EL73" s="14" t="s">
        <v>598</v>
      </c>
      <c r="EM73" s="14" t="s">
        <v>598</v>
      </c>
      <c r="EN73" s="14" t="s">
        <v>598</v>
      </c>
      <c r="EO73" s="14" t="s">
        <v>598</v>
      </c>
      <c r="EP73" s="14" t="s">
        <v>598</v>
      </c>
      <c r="EQ73" s="14" t="s">
        <v>598</v>
      </c>
      <c r="ER73" s="14" t="s">
        <v>598</v>
      </c>
      <c r="ES73" s="14">
        <v>557</v>
      </c>
      <c r="EU73" s="14">
        <v>279</v>
      </c>
      <c r="EY73" s="14">
        <v>836</v>
      </c>
      <c r="FF73" s="14">
        <v>0</v>
      </c>
      <c r="FM73" s="14">
        <v>0</v>
      </c>
      <c r="FT73" s="14">
        <v>0</v>
      </c>
      <c r="GA73" s="14">
        <v>0</v>
      </c>
      <c r="GH73" s="14">
        <v>0</v>
      </c>
      <c r="GO73" s="14">
        <v>0</v>
      </c>
      <c r="GW73" s="14">
        <v>0</v>
      </c>
      <c r="GX73" s="14">
        <v>557</v>
      </c>
      <c r="GY73" s="14">
        <v>0</v>
      </c>
      <c r="GZ73" s="14">
        <v>279</v>
      </c>
      <c r="HA73" s="14">
        <v>0</v>
      </c>
      <c r="HB73" s="14">
        <v>0</v>
      </c>
      <c r="HC73" s="14">
        <v>0</v>
      </c>
      <c r="HD73" s="14">
        <v>836</v>
      </c>
      <c r="HK73" s="14">
        <v>0</v>
      </c>
      <c r="HL73" s="14">
        <v>557</v>
      </c>
      <c r="HN73" s="14">
        <v>279</v>
      </c>
      <c r="HR73" s="14">
        <v>836</v>
      </c>
      <c r="HY73" s="14">
        <v>0</v>
      </c>
      <c r="IF73" s="14">
        <v>0</v>
      </c>
      <c r="IM73" s="14">
        <v>0</v>
      </c>
      <c r="IN73" s="14">
        <v>557</v>
      </c>
      <c r="IO73" s="14">
        <v>0</v>
      </c>
      <c r="IP73" s="14">
        <v>279</v>
      </c>
      <c r="IQ73" s="14">
        <v>0</v>
      </c>
      <c r="IR73" s="14">
        <v>0</v>
      </c>
      <c r="IS73" s="14">
        <v>0</v>
      </c>
      <c r="IT73" s="14">
        <v>836</v>
      </c>
      <c r="IW73" s="14">
        <v>100</v>
      </c>
      <c r="IZ73" s="14">
        <v>1</v>
      </c>
      <c r="JA73" s="14">
        <v>3</v>
      </c>
      <c r="JB73" s="14">
        <v>1</v>
      </c>
      <c r="JC73" s="14" t="s">
        <v>600</v>
      </c>
      <c r="NF73" s="14" t="s">
        <v>601</v>
      </c>
      <c r="RI73" s="14" t="s">
        <v>602</v>
      </c>
      <c r="VL73" s="14" t="s">
        <v>603</v>
      </c>
      <c r="VM73" s="14">
        <v>557</v>
      </c>
      <c r="VO73" s="14">
        <v>279</v>
      </c>
      <c r="VS73" s="14">
        <v>836</v>
      </c>
      <c r="VZ73" s="14">
        <v>0</v>
      </c>
      <c r="WG73" s="14">
        <v>0</v>
      </c>
      <c r="WN73" s="14">
        <v>0</v>
      </c>
      <c r="WU73" s="14">
        <v>0</v>
      </c>
      <c r="XB73" s="14">
        <v>0</v>
      </c>
      <c r="XI73" s="14">
        <v>0</v>
      </c>
      <c r="XQ73" s="14">
        <v>0</v>
      </c>
      <c r="XR73" s="14">
        <v>557</v>
      </c>
      <c r="XS73" s="14">
        <v>0</v>
      </c>
      <c r="XT73" s="14">
        <v>279</v>
      </c>
      <c r="XU73" s="14">
        <v>0</v>
      </c>
      <c r="XV73" s="14">
        <v>0</v>
      </c>
      <c r="XW73" s="14">
        <v>0</v>
      </c>
      <c r="XX73" s="14">
        <v>836</v>
      </c>
      <c r="XY73" s="14">
        <v>557</v>
      </c>
      <c r="YA73" s="14">
        <v>279</v>
      </c>
      <c r="YE73" s="14">
        <v>836</v>
      </c>
      <c r="YL73" s="14">
        <v>0</v>
      </c>
      <c r="YS73" s="14">
        <v>0</v>
      </c>
      <c r="YZ73" s="14">
        <v>0</v>
      </c>
      <c r="ZG73" s="14">
        <v>0</v>
      </c>
      <c r="ZH73" s="14">
        <v>557</v>
      </c>
      <c r="ZI73" s="14">
        <v>0</v>
      </c>
      <c r="ZJ73" s="14">
        <v>279</v>
      </c>
      <c r="ZK73" s="14">
        <v>0</v>
      </c>
      <c r="ZL73" s="14">
        <v>0</v>
      </c>
      <c r="ZM73" s="14">
        <v>0</v>
      </c>
      <c r="ZN73" s="14">
        <v>836</v>
      </c>
      <c r="ZO73" s="14" t="s">
        <v>604</v>
      </c>
      <c r="ADR73" s="14" t="s">
        <v>605</v>
      </c>
    </row>
    <row r="74" spans="1:798" x14ac:dyDescent="0.25">
      <c r="A74" s="14">
        <v>64</v>
      </c>
      <c r="B74" s="14" t="s">
        <v>889</v>
      </c>
      <c r="C74" s="16">
        <f t="shared" si="6"/>
        <v>42780</v>
      </c>
      <c r="D74" s="14" t="s">
        <v>980</v>
      </c>
      <c r="E74" s="14" t="s">
        <v>981</v>
      </c>
      <c r="F74" s="14" t="s">
        <v>982</v>
      </c>
      <c r="G74" s="14" t="s">
        <v>983</v>
      </c>
      <c r="H74" s="14" t="s">
        <v>984</v>
      </c>
      <c r="I74" s="14" t="s">
        <v>611</v>
      </c>
      <c r="J74" s="14" t="s">
        <v>596</v>
      </c>
      <c r="L74" s="14">
        <v>1</v>
      </c>
      <c r="R74" s="14">
        <v>750</v>
      </c>
      <c r="U74" s="14">
        <v>750</v>
      </c>
      <c r="V74" s="14">
        <v>433.66</v>
      </c>
      <c r="AB74" s="14">
        <v>433.66</v>
      </c>
      <c r="AC74" s="14">
        <v>317</v>
      </c>
      <c r="AI74" s="14">
        <v>317</v>
      </c>
      <c r="AP74" s="14">
        <v>0</v>
      </c>
      <c r="AW74" s="14">
        <v>0</v>
      </c>
      <c r="BD74" s="14">
        <v>0</v>
      </c>
      <c r="BE74" s="14">
        <v>750.66</v>
      </c>
      <c r="BF74" s="14">
        <v>0</v>
      </c>
      <c r="BG74" s="14">
        <v>0</v>
      </c>
      <c r="BH74" s="14">
        <v>750</v>
      </c>
      <c r="BI74" s="14">
        <v>0</v>
      </c>
      <c r="BJ74" s="14">
        <v>0</v>
      </c>
      <c r="BK74" s="14">
        <v>1500.66</v>
      </c>
      <c r="BO74" s="14">
        <v>1</v>
      </c>
      <c r="BR74" s="14">
        <v>1</v>
      </c>
      <c r="BS74" s="14">
        <v>1</v>
      </c>
      <c r="BY74" s="14">
        <v>1</v>
      </c>
      <c r="BZ74" s="14">
        <v>1</v>
      </c>
      <c r="CF74" s="14">
        <v>1</v>
      </c>
      <c r="CM74" s="14">
        <v>0</v>
      </c>
      <c r="CT74" s="14">
        <v>0</v>
      </c>
      <c r="DA74" s="14">
        <v>0</v>
      </c>
      <c r="DB74" s="14">
        <v>2</v>
      </c>
      <c r="DC74" s="14">
        <v>0</v>
      </c>
      <c r="DD74" s="14">
        <v>0</v>
      </c>
      <c r="DE74" s="14">
        <v>1</v>
      </c>
      <c r="DF74" s="14">
        <v>0</v>
      </c>
      <c r="DG74" s="14">
        <v>0</v>
      </c>
      <c r="DH74" s="14">
        <v>3</v>
      </c>
      <c r="DI74" s="14" t="s">
        <v>598</v>
      </c>
      <c r="DJ74" s="14" t="s">
        <v>598</v>
      </c>
      <c r="DK74" s="14" t="s">
        <v>598</v>
      </c>
      <c r="DL74" s="14" t="s">
        <v>597</v>
      </c>
      <c r="DM74" s="14" t="s">
        <v>598</v>
      </c>
      <c r="DN74" s="14" t="s">
        <v>598</v>
      </c>
      <c r="DO74" s="14" t="s">
        <v>597</v>
      </c>
      <c r="DP74" s="14" t="s">
        <v>598</v>
      </c>
      <c r="DQ74" s="14" t="s">
        <v>598</v>
      </c>
      <c r="DR74" s="14" t="s">
        <v>598</v>
      </c>
      <c r="DS74" s="14" t="s">
        <v>598</v>
      </c>
      <c r="DT74" s="14" t="s">
        <v>598</v>
      </c>
      <c r="DU74" s="14" t="s">
        <v>597</v>
      </c>
      <c r="DV74" s="14" t="s">
        <v>598</v>
      </c>
      <c r="DW74" s="14" t="s">
        <v>598</v>
      </c>
      <c r="DX74" s="14" t="s">
        <v>598</v>
      </c>
      <c r="DY74" s="14" t="s">
        <v>598</v>
      </c>
      <c r="DZ74" s="14" t="s">
        <v>598</v>
      </c>
      <c r="EA74" s="14" t="s">
        <v>598</v>
      </c>
      <c r="EB74" s="14" t="s">
        <v>598</v>
      </c>
      <c r="EC74" s="14" t="s">
        <v>598</v>
      </c>
      <c r="ED74" s="14" t="s">
        <v>598</v>
      </c>
      <c r="EE74" s="14" t="s">
        <v>598</v>
      </c>
      <c r="EF74" s="14" t="s">
        <v>598</v>
      </c>
      <c r="EG74" s="14" t="s">
        <v>598</v>
      </c>
      <c r="EH74" s="14" t="s">
        <v>598</v>
      </c>
      <c r="EI74" s="14" t="s">
        <v>598</v>
      </c>
      <c r="EJ74" s="14" t="s">
        <v>598</v>
      </c>
      <c r="EK74" s="14" t="s">
        <v>598</v>
      </c>
      <c r="EL74" s="14" t="s">
        <v>598</v>
      </c>
      <c r="EM74" s="14" t="s">
        <v>598</v>
      </c>
      <c r="EN74" s="14" t="s">
        <v>598</v>
      </c>
      <c r="EO74" s="14" t="s">
        <v>598</v>
      </c>
      <c r="EP74" s="14" t="s">
        <v>598</v>
      </c>
      <c r="EQ74" s="14" t="s">
        <v>598</v>
      </c>
      <c r="ER74" s="14" t="s">
        <v>598</v>
      </c>
      <c r="ES74" s="14">
        <v>306.69</v>
      </c>
      <c r="EY74" s="14">
        <v>306.69</v>
      </c>
      <c r="EZ74" s="14">
        <v>183.41</v>
      </c>
      <c r="FF74" s="14">
        <v>183.41</v>
      </c>
      <c r="FJ74" s="14">
        <v>750</v>
      </c>
      <c r="FM74" s="14">
        <v>750</v>
      </c>
      <c r="FT74" s="14">
        <v>0</v>
      </c>
      <c r="GA74" s="14">
        <v>0</v>
      </c>
      <c r="GB74" s="14">
        <v>247.56</v>
      </c>
      <c r="GH74" s="14">
        <v>247.56</v>
      </c>
      <c r="GO74" s="14">
        <v>0</v>
      </c>
      <c r="GP74" s="14" t="s">
        <v>985</v>
      </c>
      <c r="GQ74" s="14">
        <v>13</v>
      </c>
      <c r="GW74" s="14">
        <v>13</v>
      </c>
      <c r="GX74" s="14">
        <v>750.66</v>
      </c>
      <c r="GY74" s="14">
        <v>0</v>
      </c>
      <c r="GZ74" s="14">
        <v>0</v>
      </c>
      <c r="HA74" s="14">
        <v>750</v>
      </c>
      <c r="HB74" s="14">
        <v>0</v>
      </c>
      <c r="HC74" s="14">
        <v>0</v>
      </c>
      <c r="HD74" s="14">
        <v>1500.66</v>
      </c>
      <c r="HE74" s="14">
        <v>46.38</v>
      </c>
      <c r="HH74" s="14">
        <v>750</v>
      </c>
      <c r="HK74" s="14">
        <v>796.38</v>
      </c>
      <c r="HL74" s="14">
        <v>541.28</v>
      </c>
      <c r="HR74" s="14">
        <v>541.28</v>
      </c>
      <c r="HS74" s="14">
        <v>163</v>
      </c>
      <c r="HY74" s="14">
        <v>163</v>
      </c>
      <c r="IF74" s="14">
        <v>0</v>
      </c>
      <c r="IM74" s="14">
        <v>0</v>
      </c>
      <c r="IN74" s="14">
        <v>750.66</v>
      </c>
      <c r="IO74" s="14">
        <v>0</v>
      </c>
      <c r="IP74" s="14">
        <v>0</v>
      </c>
      <c r="IQ74" s="14">
        <v>750</v>
      </c>
      <c r="IR74" s="14">
        <v>0</v>
      </c>
      <c r="IS74" s="14">
        <v>0</v>
      </c>
      <c r="IT74" s="14">
        <v>1500.66</v>
      </c>
      <c r="IW74" s="14">
        <v>100</v>
      </c>
      <c r="IZ74" s="14">
        <v>1</v>
      </c>
      <c r="JA74" s="14">
        <v>3</v>
      </c>
      <c r="JB74" s="14">
        <v>2</v>
      </c>
      <c r="JC74" s="14" t="s">
        <v>600</v>
      </c>
      <c r="JJ74" s="14">
        <v>0</v>
      </c>
      <c r="JQ74" s="14">
        <v>0</v>
      </c>
      <c r="JU74" s="14">
        <v>750</v>
      </c>
      <c r="JX74" s="14">
        <v>750</v>
      </c>
      <c r="KE74" s="14">
        <v>0</v>
      </c>
      <c r="KL74" s="14">
        <v>0</v>
      </c>
      <c r="KS74" s="14">
        <v>0</v>
      </c>
      <c r="KZ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750</v>
      </c>
      <c r="LM74" s="14">
        <v>0</v>
      </c>
      <c r="LN74" s="14">
        <v>0</v>
      </c>
      <c r="LO74" s="14">
        <v>750</v>
      </c>
      <c r="LV74" s="14">
        <v>0</v>
      </c>
      <c r="MC74" s="14">
        <v>0</v>
      </c>
      <c r="MJ74" s="14">
        <v>0</v>
      </c>
      <c r="MQ74" s="14">
        <v>0</v>
      </c>
      <c r="MU74" s="14">
        <v>750</v>
      </c>
      <c r="MX74" s="14">
        <v>750</v>
      </c>
      <c r="MY74" s="14">
        <v>0</v>
      </c>
      <c r="MZ74" s="14">
        <v>0</v>
      </c>
      <c r="NA74" s="14">
        <v>0</v>
      </c>
      <c r="NB74" s="14">
        <v>750</v>
      </c>
      <c r="NC74" s="14">
        <v>0</v>
      </c>
      <c r="ND74" s="14">
        <v>0</v>
      </c>
      <c r="NE74" s="14">
        <v>750</v>
      </c>
      <c r="NF74" s="14" t="s">
        <v>601</v>
      </c>
      <c r="NG74" s="14">
        <v>77.69</v>
      </c>
      <c r="NM74" s="14">
        <v>77.69</v>
      </c>
      <c r="NN74" s="14">
        <v>183.41</v>
      </c>
      <c r="NT74" s="14">
        <v>183.41</v>
      </c>
      <c r="OA74" s="14">
        <v>0</v>
      </c>
      <c r="OH74" s="14">
        <v>0</v>
      </c>
      <c r="OO74" s="14">
        <v>0</v>
      </c>
      <c r="OP74" s="14">
        <v>172.56</v>
      </c>
      <c r="OV74" s="14">
        <v>172.56</v>
      </c>
      <c r="PC74" s="14">
        <v>0</v>
      </c>
      <c r="PK74" s="14">
        <v>0</v>
      </c>
      <c r="PL74" s="14">
        <v>433.66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433.66</v>
      </c>
      <c r="PS74" s="14">
        <v>387.28</v>
      </c>
      <c r="PY74" s="14">
        <v>387.28</v>
      </c>
      <c r="PZ74" s="14">
        <v>46.38</v>
      </c>
      <c r="QF74" s="14">
        <v>46.38</v>
      </c>
      <c r="QM74" s="14">
        <v>0</v>
      </c>
      <c r="QT74" s="14">
        <v>0</v>
      </c>
      <c r="RA74" s="14">
        <v>0</v>
      </c>
      <c r="RB74" s="14">
        <v>433.66</v>
      </c>
      <c r="RC74" s="14">
        <v>0</v>
      </c>
      <c r="RD74" s="14">
        <v>0</v>
      </c>
      <c r="RE74" s="14">
        <v>0</v>
      </c>
      <c r="RF74" s="14">
        <v>0</v>
      </c>
      <c r="RG74" s="14">
        <v>0</v>
      </c>
      <c r="RH74" s="14">
        <v>433.66</v>
      </c>
      <c r="RI74" s="14" t="s">
        <v>602</v>
      </c>
      <c r="RJ74" s="14">
        <v>229</v>
      </c>
      <c r="RP74" s="14">
        <v>229</v>
      </c>
      <c r="RW74" s="14">
        <v>0</v>
      </c>
      <c r="SD74" s="14">
        <v>0</v>
      </c>
      <c r="SK74" s="14">
        <v>0</v>
      </c>
      <c r="SR74" s="14">
        <v>0</v>
      </c>
      <c r="SS74" s="14">
        <v>75</v>
      </c>
      <c r="SY74" s="14">
        <v>75</v>
      </c>
      <c r="TF74" s="14">
        <v>0</v>
      </c>
      <c r="TG74" s="14" t="s">
        <v>985</v>
      </c>
      <c r="TH74" s="14">
        <v>13</v>
      </c>
      <c r="TN74" s="14">
        <v>13</v>
      </c>
      <c r="TO74" s="14">
        <v>317</v>
      </c>
      <c r="TP74" s="14">
        <v>0</v>
      </c>
      <c r="TQ74" s="14">
        <v>0</v>
      </c>
      <c r="TR74" s="14">
        <v>0</v>
      </c>
      <c r="TS74" s="14">
        <v>0</v>
      </c>
      <c r="TT74" s="14">
        <v>0</v>
      </c>
      <c r="TU74" s="14">
        <v>317</v>
      </c>
      <c r="TV74" s="14">
        <v>154</v>
      </c>
      <c r="UB74" s="14">
        <v>154</v>
      </c>
      <c r="UI74" s="14">
        <v>0</v>
      </c>
      <c r="UJ74" s="14">
        <v>163</v>
      </c>
      <c r="UP74" s="14">
        <v>163</v>
      </c>
      <c r="UW74" s="14">
        <v>0</v>
      </c>
      <c r="VD74" s="14">
        <v>0</v>
      </c>
      <c r="VE74" s="14">
        <v>317</v>
      </c>
      <c r="VF74" s="14">
        <v>0</v>
      </c>
      <c r="VG74" s="14">
        <v>0</v>
      </c>
      <c r="VH74" s="14">
        <v>0</v>
      </c>
      <c r="VI74" s="14">
        <v>0</v>
      </c>
      <c r="VJ74" s="14">
        <v>0</v>
      </c>
      <c r="VK74" s="14">
        <v>317</v>
      </c>
      <c r="VL74" s="14" t="s">
        <v>603</v>
      </c>
      <c r="ZO74" s="14" t="s">
        <v>604</v>
      </c>
      <c r="ADR74" s="14" t="s">
        <v>605</v>
      </c>
    </row>
    <row r="75" spans="1:798" x14ac:dyDescent="0.25">
      <c r="A75" s="14">
        <v>60</v>
      </c>
      <c r="B75" s="14" t="s">
        <v>889</v>
      </c>
      <c r="C75" s="16">
        <f>VLOOKUP(A75,[4]RawData!Z:AA,2,FALSE)</f>
        <v>42773.713888888888</v>
      </c>
      <c r="D75" s="14" t="s">
        <v>986</v>
      </c>
      <c r="E75" s="14" t="s">
        <v>987</v>
      </c>
      <c r="F75" s="14" t="s">
        <v>807</v>
      </c>
      <c r="G75" s="14" t="s">
        <v>988</v>
      </c>
      <c r="H75" s="14">
        <v>7738161512</v>
      </c>
      <c r="I75" s="14" t="s">
        <v>731</v>
      </c>
      <c r="J75" s="14" t="s">
        <v>945</v>
      </c>
      <c r="L75" s="14">
        <v>1</v>
      </c>
      <c r="U75" s="14">
        <v>0</v>
      </c>
      <c r="AA75" s="14">
        <v>304</v>
      </c>
      <c r="AB75" s="14">
        <v>304</v>
      </c>
      <c r="AI75" s="14">
        <v>0</v>
      </c>
      <c r="AP75" s="14">
        <v>0</v>
      </c>
      <c r="AW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304</v>
      </c>
      <c r="BK75" s="14">
        <v>304</v>
      </c>
      <c r="BR75" s="14">
        <v>0</v>
      </c>
      <c r="BX75" s="14">
        <v>1</v>
      </c>
      <c r="BY75" s="14">
        <v>1</v>
      </c>
      <c r="CF75" s="14">
        <v>0</v>
      </c>
      <c r="CM75" s="14">
        <v>0</v>
      </c>
      <c r="CT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1</v>
      </c>
      <c r="DH75" s="14">
        <v>1</v>
      </c>
      <c r="DI75" s="14" t="s">
        <v>598</v>
      </c>
      <c r="DJ75" s="14" t="s">
        <v>598</v>
      </c>
      <c r="DK75" s="14" t="s">
        <v>598</v>
      </c>
      <c r="DL75" s="14" t="s">
        <v>598</v>
      </c>
      <c r="DM75" s="14" t="s">
        <v>598</v>
      </c>
      <c r="DN75" s="14" t="s">
        <v>598</v>
      </c>
      <c r="DO75" s="14" t="s">
        <v>598</v>
      </c>
      <c r="DP75" s="14" t="s">
        <v>598</v>
      </c>
      <c r="DQ75" s="14" t="s">
        <v>598</v>
      </c>
      <c r="DR75" s="14" t="s">
        <v>598</v>
      </c>
      <c r="DS75" s="14" t="s">
        <v>598</v>
      </c>
      <c r="DT75" s="14" t="s">
        <v>597</v>
      </c>
      <c r="DU75" s="14" t="s">
        <v>598</v>
      </c>
      <c r="DV75" s="14" t="s">
        <v>598</v>
      </c>
      <c r="DW75" s="14" t="s">
        <v>598</v>
      </c>
      <c r="DX75" s="14" t="s">
        <v>598</v>
      </c>
      <c r="DY75" s="14" t="s">
        <v>598</v>
      </c>
      <c r="DZ75" s="14" t="s">
        <v>598</v>
      </c>
      <c r="EA75" s="14" t="s">
        <v>598</v>
      </c>
      <c r="EB75" s="14" t="s">
        <v>598</v>
      </c>
      <c r="EC75" s="14" t="s">
        <v>598</v>
      </c>
      <c r="ED75" s="14" t="s">
        <v>598</v>
      </c>
      <c r="EE75" s="14" t="s">
        <v>598</v>
      </c>
      <c r="EF75" s="14" t="s">
        <v>598</v>
      </c>
      <c r="EG75" s="14" t="s">
        <v>598</v>
      </c>
      <c r="EH75" s="14" t="s">
        <v>598</v>
      </c>
      <c r="EI75" s="14" t="s">
        <v>598</v>
      </c>
      <c r="EJ75" s="14" t="s">
        <v>598</v>
      </c>
      <c r="EK75" s="14" t="s">
        <v>598</v>
      </c>
      <c r="EL75" s="14" t="s">
        <v>598</v>
      </c>
      <c r="EM75" s="14" t="s">
        <v>598</v>
      </c>
      <c r="EN75" s="14" t="s">
        <v>598</v>
      </c>
      <c r="EO75" s="14" t="s">
        <v>598</v>
      </c>
      <c r="EP75" s="14" t="s">
        <v>598</v>
      </c>
      <c r="EQ75" s="14" t="s">
        <v>598</v>
      </c>
      <c r="ER75" s="14" t="s">
        <v>598</v>
      </c>
      <c r="EX75" s="14">
        <v>225</v>
      </c>
      <c r="EY75" s="14">
        <v>225</v>
      </c>
      <c r="FE75" s="14">
        <v>15</v>
      </c>
      <c r="FF75" s="14">
        <v>15</v>
      </c>
      <c r="FM75" s="14">
        <v>0</v>
      </c>
      <c r="FT75" s="14">
        <v>0</v>
      </c>
      <c r="GA75" s="14">
        <v>0</v>
      </c>
      <c r="GG75" s="14">
        <v>9</v>
      </c>
      <c r="GH75" s="14">
        <v>9</v>
      </c>
      <c r="GO75" s="14">
        <v>0</v>
      </c>
      <c r="GP75" s="14" t="s">
        <v>989</v>
      </c>
      <c r="GV75" s="14">
        <v>55</v>
      </c>
      <c r="GW75" s="14">
        <v>55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304</v>
      </c>
      <c r="HD75" s="14">
        <v>304</v>
      </c>
      <c r="HJ75" s="14">
        <v>50</v>
      </c>
      <c r="HK75" s="14">
        <v>50</v>
      </c>
      <c r="HQ75" s="14">
        <v>254</v>
      </c>
      <c r="HR75" s="14">
        <v>254</v>
      </c>
      <c r="HY75" s="14">
        <v>0</v>
      </c>
      <c r="IF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304</v>
      </c>
      <c r="IT75" s="14">
        <v>304</v>
      </c>
      <c r="IW75" s="14">
        <v>100</v>
      </c>
      <c r="IZ75" s="14">
        <v>1</v>
      </c>
      <c r="JA75" s="14">
        <v>3</v>
      </c>
      <c r="JB75" s="14">
        <v>1</v>
      </c>
      <c r="JC75" s="14" t="s">
        <v>600</v>
      </c>
      <c r="JI75" s="14">
        <v>225</v>
      </c>
      <c r="JJ75" s="14">
        <v>225</v>
      </c>
      <c r="JP75" s="14">
        <v>15</v>
      </c>
      <c r="JQ75" s="14">
        <v>15</v>
      </c>
      <c r="JX75" s="14">
        <v>0</v>
      </c>
      <c r="KE75" s="14">
        <v>0</v>
      </c>
      <c r="KL75" s="14">
        <v>0</v>
      </c>
      <c r="KR75" s="14">
        <v>9</v>
      </c>
      <c r="KS75" s="14">
        <v>9</v>
      </c>
      <c r="KZ75" s="14">
        <v>0</v>
      </c>
      <c r="LA75" s="14" t="s">
        <v>990</v>
      </c>
      <c r="LG75" s="14">
        <v>55</v>
      </c>
      <c r="LH75" s="14">
        <v>55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304</v>
      </c>
      <c r="LO75" s="14">
        <v>304</v>
      </c>
      <c r="LU75" s="14">
        <v>254</v>
      </c>
      <c r="LV75" s="14">
        <v>254</v>
      </c>
      <c r="MB75" s="14">
        <v>50</v>
      </c>
      <c r="MC75" s="14">
        <v>50</v>
      </c>
      <c r="MJ75" s="14">
        <v>0</v>
      </c>
      <c r="MQ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304</v>
      </c>
      <c r="NE75" s="14">
        <v>304</v>
      </c>
      <c r="NF75" s="14" t="s">
        <v>601</v>
      </c>
      <c r="NL75" s="14">
        <v>225</v>
      </c>
      <c r="NM75" s="14">
        <v>225</v>
      </c>
      <c r="NS75" s="14">
        <v>15</v>
      </c>
      <c r="NT75" s="14">
        <v>15</v>
      </c>
      <c r="OA75" s="14">
        <v>0</v>
      </c>
      <c r="OH75" s="14">
        <v>0</v>
      </c>
      <c r="OO75" s="14">
        <v>0</v>
      </c>
      <c r="OU75" s="14">
        <v>9</v>
      </c>
      <c r="OV75" s="14">
        <v>9</v>
      </c>
      <c r="PC75" s="14">
        <v>0</v>
      </c>
      <c r="PJ75" s="14">
        <v>55</v>
      </c>
      <c r="PK75" s="14">
        <v>55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304</v>
      </c>
      <c r="PR75" s="14">
        <v>304</v>
      </c>
      <c r="PX75" s="14">
        <v>254</v>
      </c>
      <c r="PY75" s="14">
        <v>254</v>
      </c>
      <c r="QE75" s="14">
        <v>50</v>
      </c>
      <c r="QF75" s="14">
        <v>50</v>
      </c>
      <c r="QM75" s="14">
        <v>0</v>
      </c>
      <c r="QT75" s="14">
        <v>0</v>
      </c>
      <c r="RA75" s="14">
        <v>0</v>
      </c>
      <c r="RB75" s="14">
        <v>0</v>
      </c>
      <c r="RC75" s="14">
        <v>0</v>
      </c>
      <c r="RD75" s="14">
        <v>0</v>
      </c>
      <c r="RE75" s="14">
        <v>0</v>
      </c>
      <c r="RF75" s="14">
        <v>0</v>
      </c>
      <c r="RG75" s="14">
        <v>304</v>
      </c>
      <c r="RH75" s="14">
        <v>304</v>
      </c>
      <c r="RI75" s="14" t="s">
        <v>602</v>
      </c>
      <c r="VL75" s="14" t="s">
        <v>603</v>
      </c>
      <c r="ZO75" s="14" t="s">
        <v>604</v>
      </c>
      <c r="ADR75" s="14" t="s">
        <v>605</v>
      </c>
    </row>
    <row r="76" spans="1:798" x14ac:dyDescent="0.25">
      <c r="A76" s="14">
        <v>80</v>
      </c>
      <c r="B76" s="14" t="s">
        <v>889</v>
      </c>
      <c r="C76" s="16">
        <f>VLOOKUP(A76,[4]RawData!Z:AA,2,FALSE)</f>
        <v>42779.597916666666</v>
      </c>
      <c r="D76" s="14" t="s">
        <v>991</v>
      </c>
      <c r="E76" s="14" t="s">
        <v>992</v>
      </c>
      <c r="F76" s="14" t="s">
        <v>775</v>
      </c>
      <c r="G76" s="14" t="s">
        <v>993</v>
      </c>
      <c r="H76" s="14" t="s">
        <v>994</v>
      </c>
      <c r="I76" s="14" t="s">
        <v>894</v>
      </c>
      <c r="J76" s="14" t="s">
        <v>732</v>
      </c>
      <c r="L76" s="14">
        <v>1</v>
      </c>
      <c r="U76" s="14">
        <v>0</v>
      </c>
      <c r="V76" s="14">
        <v>150.5</v>
      </c>
      <c r="W76" s="14">
        <v>229</v>
      </c>
      <c r="Y76" s="14">
        <v>201.3</v>
      </c>
      <c r="AB76" s="14">
        <v>580.79999999999995</v>
      </c>
      <c r="AI76" s="14">
        <v>0</v>
      </c>
      <c r="AP76" s="14">
        <v>0</v>
      </c>
      <c r="AW76" s="14">
        <v>0</v>
      </c>
      <c r="BD76" s="14">
        <v>0</v>
      </c>
      <c r="BE76" s="14">
        <v>150.5</v>
      </c>
      <c r="BF76" s="14">
        <v>229</v>
      </c>
      <c r="BG76" s="14">
        <v>0</v>
      </c>
      <c r="BH76" s="14">
        <v>201.3</v>
      </c>
      <c r="BI76" s="14">
        <v>0</v>
      </c>
      <c r="BJ76" s="14">
        <v>0</v>
      </c>
      <c r="BK76" s="14">
        <v>580.79999999999995</v>
      </c>
      <c r="BR76" s="14">
        <v>0</v>
      </c>
      <c r="BS76" s="14">
        <v>1</v>
      </c>
      <c r="BT76" s="14">
        <v>4</v>
      </c>
      <c r="BV76" s="14">
        <v>3</v>
      </c>
      <c r="BY76" s="14">
        <v>8</v>
      </c>
      <c r="CF76" s="14">
        <v>0</v>
      </c>
      <c r="CM76" s="14">
        <v>0</v>
      </c>
      <c r="CT76" s="14">
        <v>0</v>
      </c>
      <c r="DA76" s="14">
        <v>0</v>
      </c>
      <c r="DB76" s="14">
        <v>1</v>
      </c>
      <c r="DC76" s="14">
        <v>4</v>
      </c>
      <c r="DD76" s="14">
        <v>0</v>
      </c>
      <c r="DE76" s="14">
        <v>3</v>
      </c>
      <c r="DF76" s="14">
        <v>0</v>
      </c>
      <c r="DG76" s="14">
        <v>0</v>
      </c>
      <c r="DH76" s="14">
        <v>8</v>
      </c>
      <c r="DI76" s="14" t="s">
        <v>598</v>
      </c>
      <c r="DJ76" s="14" t="s">
        <v>598</v>
      </c>
      <c r="DK76" s="14" t="s">
        <v>598</v>
      </c>
      <c r="DL76" s="14" t="s">
        <v>598</v>
      </c>
      <c r="DM76" s="14" t="s">
        <v>598</v>
      </c>
      <c r="DN76" s="14" t="s">
        <v>598</v>
      </c>
      <c r="DO76" s="14" t="s">
        <v>597</v>
      </c>
      <c r="DP76" s="14" t="s">
        <v>597</v>
      </c>
      <c r="DQ76" s="14" t="s">
        <v>598</v>
      </c>
      <c r="DR76" s="14" t="s">
        <v>597</v>
      </c>
      <c r="DS76" s="14" t="s">
        <v>598</v>
      </c>
      <c r="DT76" s="14" t="s">
        <v>598</v>
      </c>
      <c r="DU76" s="14" t="s">
        <v>598</v>
      </c>
      <c r="DV76" s="14" t="s">
        <v>598</v>
      </c>
      <c r="DW76" s="14" t="s">
        <v>598</v>
      </c>
      <c r="DX76" s="14" t="s">
        <v>598</v>
      </c>
      <c r="DY76" s="14" t="s">
        <v>598</v>
      </c>
      <c r="DZ76" s="14" t="s">
        <v>598</v>
      </c>
      <c r="EA76" s="14" t="s">
        <v>598</v>
      </c>
      <c r="EB76" s="14" t="s">
        <v>598</v>
      </c>
      <c r="EC76" s="14" t="s">
        <v>598</v>
      </c>
      <c r="ED76" s="14" t="s">
        <v>598</v>
      </c>
      <c r="EE76" s="14" t="s">
        <v>598</v>
      </c>
      <c r="EF76" s="14" t="s">
        <v>598</v>
      </c>
      <c r="EG76" s="14" t="s">
        <v>598</v>
      </c>
      <c r="EH76" s="14" t="s">
        <v>598</v>
      </c>
      <c r="EI76" s="14" t="s">
        <v>598</v>
      </c>
      <c r="EJ76" s="14" t="s">
        <v>598</v>
      </c>
      <c r="EK76" s="14" t="s">
        <v>598</v>
      </c>
      <c r="EL76" s="14" t="s">
        <v>598</v>
      </c>
      <c r="EM76" s="14" t="s">
        <v>598</v>
      </c>
      <c r="EN76" s="14" t="s">
        <v>598</v>
      </c>
      <c r="EO76" s="14" t="s">
        <v>598</v>
      </c>
      <c r="EP76" s="14" t="s">
        <v>598</v>
      </c>
      <c r="EQ76" s="14" t="s">
        <v>598</v>
      </c>
      <c r="ER76" s="14" t="s">
        <v>598</v>
      </c>
      <c r="ES76" s="14">
        <v>35</v>
      </c>
      <c r="ET76" s="14">
        <v>90</v>
      </c>
      <c r="EV76" s="14">
        <v>182.05</v>
      </c>
      <c r="EY76" s="14">
        <v>307.05</v>
      </c>
      <c r="EZ76" s="14">
        <v>26.5</v>
      </c>
      <c r="FA76" s="14">
        <v>139</v>
      </c>
      <c r="FC76" s="14">
        <v>19.25</v>
      </c>
      <c r="FF76" s="14">
        <v>184.75</v>
      </c>
      <c r="FM76" s="14">
        <v>0</v>
      </c>
      <c r="FT76" s="14">
        <v>0</v>
      </c>
      <c r="GA76" s="14">
        <v>0</v>
      </c>
      <c r="GB76" s="14">
        <v>46</v>
      </c>
      <c r="GH76" s="14">
        <v>46</v>
      </c>
      <c r="GO76" s="14">
        <v>0</v>
      </c>
      <c r="GP76" s="14" t="s">
        <v>995</v>
      </c>
      <c r="GQ76" s="14">
        <v>43</v>
      </c>
      <c r="GW76" s="14">
        <v>43</v>
      </c>
      <c r="GX76" s="14">
        <v>150.5</v>
      </c>
      <c r="GY76" s="14">
        <v>229</v>
      </c>
      <c r="GZ76" s="14">
        <v>0</v>
      </c>
      <c r="HA76" s="14">
        <v>201.3</v>
      </c>
      <c r="HB76" s="14">
        <v>0</v>
      </c>
      <c r="HC76" s="14">
        <v>0</v>
      </c>
      <c r="HD76" s="14">
        <v>580.79999999999995</v>
      </c>
      <c r="HK76" s="14">
        <v>0</v>
      </c>
      <c r="HL76" s="14">
        <v>150.5</v>
      </c>
      <c r="HM76" s="14">
        <v>229</v>
      </c>
      <c r="HO76" s="14">
        <v>201.3</v>
      </c>
      <c r="HR76" s="14">
        <v>580.79999999999995</v>
      </c>
      <c r="HY76" s="14">
        <v>0</v>
      </c>
      <c r="IF76" s="14">
        <v>0</v>
      </c>
      <c r="IM76" s="14">
        <v>0</v>
      </c>
      <c r="IN76" s="14">
        <v>150.5</v>
      </c>
      <c r="IO76" s="14">
        <v>229</v>
      </c>
      <c r="IP76" s="14">
        <v>0</v>
      </c>
      <c r="IQ76" s="14">
        <v>201.3</v>
      </c>
      <c r="IR76" s="14">
        <v>0</v>
      </c>
      <c r="IS76" s="14">
        <v>0</v>
      </c>
      <c r="IT76" s="14">
        <v>580.79999999999995</v>
      </c>
      <c r="IW76" s="14">
        <v>100</v>
      </c>
      <c r="IZ76" s="14">
        <v>1</v>
      </c>
      <c r="JA76" s="14">
        <v>3</v>
      </c>
      <c r="JB76" s="14">
        <v>1</v>
      </c>
      <c r="JC76" s="14" t="s">
        <v>600</v>
      </c>
      <c r="NF76" s="14" t="s">
        <v>601</v>
      </c>
      <c r="NG76" s="14">
        <v>35</v>
      </c>
      <c r="NH76" s="14">
        <v>90</v>
      </c>
      <c r="NJ76" s="14">
        <v>182.05</v>
      </c>
      <c r="NM76" s="14">
        <v>307.05</v>
      </c>
      <c r="NN76" s="14">
        <v>26.5</v>
      </c>
      <c r="NO76" s="14">
        <v>139</v>
      </c>
      <c r="NQ76" s="14">
        <v>19.25</v>
      </c>
      <c r="NT76" s="14">
        <v>184.75</v>
      </c>
      <c r="OA76" s="14">
        <v>0</v>
      </c>
      <c r="OH76" s="14">
        <v>0</v>
      </c>
      <c r="OO76" s="14">
        <v>0</v>
      </c>
      <c r="OP76" s="14">
        <v>46</v>
      </c>
      <c r="OV76" s="14">
        <v>46</v>
      </c>
      <c r="PC76" s="14">
        <v>0</v>
      </c>
      <c r="PD76" s="14" t="s">
        <v>995</v>
      </c>
      <c r="PE76" s="14">
        <v>43</v>
      </c>
      <c r="PK76" s="14">
        <v>43</v>
      </c>
      <c r="PL76" s="14">
        <v>150.5</v>
      </c>
      <c r="PM76" s="14">
        <v>229</v>
      </c>
      <c r="PN76" s="14">
        <v>0</v>
      </c>
      <c r="PO76" s="14">
        <v>201.3</v>
      </c>
      <c r="PP76" s="14">
        <v>0</v>
      </c>
      <c r="PQ76" s="14">
        <v>0</v>
      </c>
      <c r="PR76" s="14">
        <v>580.79999999999995</v>
      </c>
      <c r="PS76" s="14">
        <v>150.5</v>
      </c>
      <c r="PT76" s="14">
        <v>229</v>
      </c>
      <c r="PV76" s="14">
        <v>201.3</v>
      </c>
      <c r="PY76" s="14">
        <v>580.79999999999995</v>
      </c>
      <c r="QF76" s="14">
        <v>0</v>
      </c>
      <c r="QM76" s="14">
        <v>0</v>
      </c>
      <c r="QT76" s="14">
        <v>0</v>
      </c>
      <c r="RA76" s="14">
        <v>0</v>
      </c>
      <c r="RB76" s="14">
        <v>150.5</v>
      </c>
      <c r="RC76" s="14">
        <v>229</v>
      </c>
      <c r="RD76" s="14">
        <v>0</v>
      </c>
      <c r="RE76" s="14">
        <v>201.3</v>
      </c>
      <c r="RF76" s="14">
        <v>0</v>
      </c>
      <c r="RG76" s="14">
        <v>0</v>
      </c>
      <c r="RH76" s="14">
        <v>580.79999999999995</v>
      </c>
      <c r="RI76" s="14" t="s">
        <v>602</v>
      </c>
      <c r="VL76" s="14" t="s">
        <v>603</v>
      </c>
      <c r="ZO76" s="14" t="s">
        <v>604</v>
      </c>
      <c r="ADR76" s="14" t="s">
        <v>605</v>
      </c>
    </row>
    <row r="77" spans="1:798" x14ac:dyDescent="0.25">
      <c r="A77" s="14">
        <v>79</v>
      </c>
      <c r="B77" s="14" t="s">
        <v>889</v>
      </c>
      <c r="C77" s="16">
        <f t="shared" ref="C77:C78" si="7">$C$3</f>
        <v>42780</v>
      </c>
      <c r="D77" s="14" t="s">
        <v>996</v>
      </c>
      <c r="E77" s="14" t="s">
        <v>997</v>
      </c>
      <c r="F77" s="14" t="s">
        <v>998</v>
      </c>
      <c r="G77" s="14" t="s">
        <v>999</v>
      </c>
      <c r="H77" s="14">
        <v>31610990835</v>
      </c>
      <c r="I77" s="14" t="s">
        <v>979</v>
      </c>
      <c r="J77" s="14" t="s">
        <v>732</v>
      </c>
      <c r="L77" s="14">
        <v>1</v>
      </c>
      <c r="R77" s="14">
        <v>10</v>
      </c>
      <c r="U77" s="14">
        <v>10</v>
      </c>
      <c r="V77" s="14">
        <v>206.4</v>
      </c>
      <c r="W77" s="14">
        <v>464</v>
      </c>
      <c r="Y77" s="14">
        <v>16</v>
      </c>
      <c r="AA77" s="14">
        <v>571.5</v>
      </c>
      <c r="AB77" s="14">
        <v>1257.9000000000001</v>
      </c>
      <c r="AF77" s="14">
        <v>16</v>
      </c>
      <c r="AI77" s="14">
        <v>16</v>
      </c>
      <c r="AP77" s="14">
        <v>0</v>
      </c>
      <c r="AW77" s="14">
        <v>0</v>
      </c>
      <c r="BD77" s="14">
        <v>0</v>
      </c>
      <c r="BE77" s="14">
        <v>206.4</v>
      </c>
      <c r="BF77" s="14">
        <v>464</v>
      </c>
      <c r="BG77" s="14">
        <v>0</v>
      </c>
      <c r="BH77" s="14">
        <v>42</v>
      </c>
      <c r="BI77" s="14">
        <v>0</v>
      </c>
      <c r="BJ77" s="14">
        <v>571.5</v>
      </c>
      <c r="BK77" s="14">
        <v>1283.9000000000001</v>
      </c>
      <c r="BO77" s="14">
        <v>1</v>
      </c>
      <c r="BR77" s="14">
        <v>1</v>
      </c>
      <c r="BS77" s="14">
        <v>3</v>
      </c>
      <c r="BT77" s="14">
        <v>3</v>
      </c>
      <c r="BV77" s="14">
        <v>1</v>
      </c>
      <c r="BX77" s="14">
        <v>1</v>
      </c>
      <c r="BY77" s="14">
        <v>8</v>
      </c>
      <c r="CC77" s="14">
        <v>1</v>
      </c>
      <c r="CF77" s="14">
        <v>1</v>
      </c>
      <c r="CM77" s="14">
        <v>0</v>
      </c>
      <c r="CT77" s="14">
        <v>0</v>
      </c>
      <c r="DA77" s="14">
        <v>0</v>
      </c>
      <c r="DB77" s="14">
        <v>3</v>
      </c>
      <c r="DC77" s="14">
        <v>3</v>
      </c>
      <c r="DD77" s="14">
        <v>0</v>
      </c>
      <c r="DE77" s="14">
        <v>3</v>
      </c>
      <c r="DF77" s="14">
        <v>0</v>
      </c>
      <c r="DG77" s="14">
        <v>1</v>
      </c>
      <c r="DH77" s="14">
        <v>10</v>
      </c>
      <c r="DI77" s="14" t="s">
        <v>598</v>
      </c>
      <c r="DJ77" s="14" t="s">
        <v>598</v>
      </c>
      <c r="DK77" s="14" t="s">
        <v>598</v>
      </c>
      <c r="DL77" s="14" t="s">
        <v>597</v>
      </c>
      <c r="DM77" s="14" t="s">
        <v>598</v>
      </c>
      <c r="DN77" s="14" t="s">
        <v>598</v>
      </c>
      <c r="DO77" s="14" t="s">
        <v>597</v>
      </c>
      <c r="DP77" s="14" t="s">
        <v>597</v>
      </c>
      <c r="DQ77" s="14" t="s">
        <v>598</v>
      </c>
      <c r="DR77" s="14" t="s">
        <v>597</v>
      </c>
      <c r="DS77" s="14" t="s">
        <v>598</v>
      </c>
      <c r="DT77" s="14" t="s">
        <v>597</v>
      </c>
      <c r="DU77" s="14" t="s">
        <v>598</v>
      </c>
      <c r="DV77" s="14" t="s">
        <v>598</v>
      </c>
      <c r="DW77" s="14" t="s">
        <v>598</v>
      </c>
      <c r="DX77" s="14" t="s">
        <v>597</v>
      </c>
      <c r="DY77" s="14" t="s">
        <v>598</v>
      </c>
      <c r="DZ77" s="14" t="s">
        <v>598</v>
      </c>
      <c r="EA77" s="14" t="s">
        <v>598</v>
      </c>
      <c r="EB77" s="14" t="s">
        <v>598</v>
      </c>
      <c r="EC77" s="14" t="s">
        <v>598</v>
      </c>
      <c r="ED77" s="14" t="s">
        <v>598</v>
      </c>
      <c r="EE77" s="14" t="s">
        <v>598</v>
      </c>
      <c r="EF77" s="14" t="s">
        <v>598</v>
      </c>
      <c r="EG77" s="14" t="s">
        <v>598</v>
      </c>
      <c r="EH77" s="14" t="s">
        <v>598</v>
      </c>
      <c r="EI77" s="14" t="s">
        <v>598</v>
      </c>
      <c r="EJ77" s="14" t="s">
        <v>598</v>
      </c>
      <c r="EK77" s="14" t="s">
        <v>598</v>
      </c>
      <c r="EL77" s="14" t="s">
        <v>598</v>
      </c>
      <c r="EM77" s="14" t="s">
        <v>598</v>
      </c>
      <c r="EN77" s="14" t="s">
        <v>598</v>
      </c>
      <c r="EO77" s="14" t="s">
        <v>598</v>
      </c>
      <c r="EP77" s="14" t="s">
        <v>598</v>
      </c>
      <c r="EQ77" s="14" t="s">
        <v>598</v>
      </c>
      <c r="ER77" s="14" t="s">
        <v>598</v>
      </c>
      <c r="ES77" s="14">
        <v>131.4</v>
      </c>
      <c r="ET77" s="14">
        <v>464</v>
      </c>
      <c r="EV77" s="14">
        <v>42</v>
      </c>
      <c r="EX77" s="14">
        <v>521.5</v>
      </c>
      <c r="EY77" s="14">
        <v>1158.9000000000001</v>
      </c>
      <c r="EZ77" s="14">
        <v>75</v>
      </c>
      <c r="FE77" s="14">
        <v>50</v>
      </c>
      <c r="FF77" s="14">
        <v>125</v>
      </c>
      <c r="FM77" s="14">
        <v>0</v>
      </c>
      <c r="FT77" s="14">
        <v>0</v>
      </c>
      <c r="GA77" s="14">
        <v>0</v>
      </c>
      <c r="GH77" s="14">
        <v>0</v>
      </c>
      <c r="GO77" s="14">
        <v>0</v>
      </c>
      <c r="GW77" s="14">
        <v>0</v>
      </c>
      <c r="GX77" s="14">
        <v>206.4</v>
      </c>
      <c r="GY77" s="14">
        <v>464</v>
      </c>
      <c r="GZ77" s="14">
        <v>0</v>
      </c>
      <c r="HA77" s="14">
        <v>42</v>
      </c>
      <c r="HB77" s="14">
        <v>0</v>
      </c>
      <c r="HC77" s="14">
        <v>571.5</v>
      </c>
      <c r="HD77" s="14">
        <v>1283.9000000000001</v>
      </c>
      <c r="HK77" s="14">
        <v>0</v>
      </c>
      <c r="HL77" s="14">
        <v>206.4</v>
      </c>
      <c r="HM77" s="14">
        <v>464</v>
      </c>
      <c r="HO77" s="14">
        <v>42</v>
      </c>
      <c r="HQ77" s="14">
        <v>571.5</v>
      </c>
      <c r="HR77" s="14">
        <v>1283.9000000000001</v>
      </c>
      <c r="HY77" s="14">
        <v>0</v>
      </c>
      <c r="IF77" s="14">
        <v>0</v>
      </c>
      <c r="IM77" s="14">
        <v>0</v>
      </c>
      <c r="IN77" s="14">
        <v>206.4</v>
      </c>
      <c r="IO77" s="14">
        <v>464</v>
      </c>
      <c r="IP77" s="14">
        <v>0</v>
      </c>
      <c r="IQ77" s="14">
        <v>42</v>
      </c>
      <c r="IR77" s="14">
        <v>0</v>
      </c>
      <c r="IS77" s="14">
        <v>571.5</v>
      </c>
      <c r="IT77" s="14">
        <v>1283.9000000000001</v>
      </c>
      <c r="IW77" s="14">
        <v>100</v>
      </c>
      <c r="IZ77" s="14">
        <v>3</v>
      </c>
      <c r="JA77" s="14">
        <v>3</v>
      </c>
      <c r="JB77" s="14">
        <v>1</v>
      </c>
      <c r="JC77" s="14" t="s">
        <v>600</v>
      </c>
      <c r="JG77" s="14">
        <v>10</v>
      </c>
      <c r="JJ77" s="14">
        <v>10</v>
      </c>
      <c r="JQ77" s="14">
        <v>0</v>
      </c>
      <c r="JX77" s="14">
        <v>0</v>
      </c>
      <c r="KE77" s="14">
        <v>0</v>
      </c>
      <c r="KL77" s="14">
        <v>0</v>
      </c>
      <c r="KS77" s="14">
        <v>0</v>
      </c>
      <c r="KZ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10</v>
      </c>
      <c r="LM77" s="14">
        <v>0</v>
      </c>
      <c r="LN77" s="14">
        <v>0</v>
      </c>
      <c r="LO77" s="14">
        <v>10</v>
      </c>
      <c r="LS77" s="14">
        <v>10</v>
      </c>
      <c r="LV77" s="14">
        <v>10</v>
      </c>
      <c r="MC77" s="14">
        <v>0</v>
      </c>
      <c r="MJ77" s="14">
        <v>0</v>
      </c>
      <c r="MQ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10</v>
      </c>
      <c r="NC77" s="14">
        <v>0</v>
      </c>
      <c r="ND77" s="14">
        <v>0</v>
      </c>
      <c r="NE77" s="14">
        <v>10</v>
      </c>
      <c r="NF77" s="14" t="s">
        <v>601</v>
      </c>
      <c r="NG77" s="14">
        <v>131.4</v>
      </c>
      <c r="NH77" s="14">
        <v>464</v>
      </c>
      <c r="NJ77" s="14">
        <v>16</v>
      </c>
      <c r="NL77" s="14">
        <v>521.5</v>
      </c>
      <c r="NM77" s="14">
        <v>1132.9000000000001</v>
      </c>
      <c r="NN77" s="14">
        <v>75</v>
      </c>
      <c r="NS77" s="14">
        <v>50</v>
      </c>
      <c r="NT77" s="14">
        <v>125</v>
      </c>
      <c r="OA77" s="14">
        <v>0</v>
      </c>
      <c r="OH77" s="14">
        <v>0</v>
      </c>
      <c r="OO77" s="14">
        <v>0</v>
      </c>
      <c r="OV77" s="14">
        <v>0</v>
      </c>
      <c r="PC77" s="14">
        <v>0</v>
      </c>
      <c r="PK77" s="14">
        <v>0</v>
      </c>
      <c r="PL77" s="14">
        <v>206.4</v>
      </c>
      <c r="PM77" s="14">
        <v>464</v>
      </c>
      <c r="PN77" s="14">
        <v>0</v>
      </c>
      <c r="PO77" s="14">
        <v>16</v>
      </c>
      <c r="PP77" s="14">
        <v>0</v>
      </c>
      <c r="PQ77" s="14">
        <v>571.5</v>
      </c>
      <c r="PR77" s="14">
        <v>1257.9000000000001</v>
      </c>
      <c r="PS77" s="14">
        <v>206.4</v>
      </c>
      <c r="PT77" s="14">
        <v>464</v>
      </c>
      <c r="PV77" s="14">
        <v>16</v>
      </c>
      <c r="PX77" s="14">
        <v>571.5</v>
      </c>
      <c r="PY77" s="14">
        <v>1257.9000000000001</v>
      </c>
      <c r="QF77" s="14">
        <v>0</v>
      </c>
      <c r="QM77" s="14">
        <v>0</v>
      </c>
      <c r="QT77" s="14">
        <v>0</v>
      </c>
      <c r="RA77" s="14">
        <v>0</v>
      </c>
      <c r="RB77" s="14">
        <v>206.4</v>
      </c>
      <c r="RC77" s="14">
        <v>464</v>
      </c>
      <c r="RD77" s="14">
        <v>0</v>
      </c>
      <c r="RE77" s="14">
        <v>16</v>
      </c>
      <c r="RF77" s="14">
        <v>0</v>
      </c>
      <c r="RG77" s="14">
        <v>571.5</v>
      </c>
      <c r="RH77" s="14">
        <v>1257.9000000000001</v>
      </c>
      <c r="RI77" s="14" t="s">
        <v>602</v>
      </c>
      <c r="RM77" s="14">
        <v>16</v>
      </c>
      <c r="RP77" s="14">
        <v>16</v>
      </c>
      <c r="RW77" s="14">
        <v>0</v>
      </c>
      <c r="SD77" s="14">
        <v>0</v>
      </c>
      <c r="SK77" s="14">
        <v>0</v>
      </c>
      <c r="SR77" s="14">
        <v>0</v>
      </c>
      <c r="SY77" s="14">
        <v>0</v>
      </c>
      <c r="TF77" s="14">
        <v>0</v>
      </c>
      <c r="TN77" s="14">
        <v>0</v>
      </c>
      <c r="TO77" s="14">
        <v>0</v>
      </c>
      <c r="TP77" s="14">
        <v>0</v>
      </c>
      <c r="TQ77" s="14">
        <v>0</v>
      </c>
      <c r="TR77" s="14">
        <v>16</v>
      </c>
      <c r="TS77" s="14">
        <v>0</v>
      </c>
      <c r="TT77" s="14">
        <v>0</v>
      </c>
      <c r="TU77" s="14">
        <v>16</v>
      </c>
      <c r="TY77" s="14">
        <v>16</v>
      </c>
      <c r="UB77" s="14">
        <v>16</v>
      </c>
      <c r="UI77" s="14">
        <v>0</v>
      </c>
      <c r="UP77" s="14">
        <v>0</v>
      </c>
      <c r="UW77" s="14">
        <v>0</v>
      </c>
      <c r="VD77" s="14">
        <v>0</v>
      </c>
      <c r="VE77" s="14">
        <v>0</v>
      </c>
      <c r="VF77" s="14">
        <v>0</v>
      </c>
      <c r="VG77" s="14">
        <v>0</v>
      </c>
      <c r="VH77" s="14">
        <v>16</v>
      </c>
      <c r="VI77" s="14">
        <v>0</v>
      </c>
      <c r="VJ77" s="14">
        <v>0</v>
      </c>
      <c r="VK77" s="14">
        <v>16</v>
      </c>
      <c r="VL77" s="14" t="s">
        <v>603</v>
      </c>
      <c r="ZO77" s="14" t="s">
        <v>604</v>
      </c>
      <c r="ADR77" s="14" t="s">
        <v>605</v>
      </c>
    </row>
    <row r="78" spans="1:798" x14ac:dyDescent="0.25">
      <c r="A78" s="14">
        <v>37</v>
      </c>
      <c r="B78" s="14" t="s">
        <v>889</v>
      </c>
      <c r="C78" s="16">
        <f t="shared" si="7"/>
        <v>42780</v>
      </c>
      <c r="D78" s="14" t="s">
        <v>1000</v>
      </c>
      <c r="E78" s="14" t="s">
        <v>1001</v>
      </c>
      <c r="F78" s="14" t="s">
        <v>1002</v>
      </c>
      <c r="G78" s="14" t="s">
        <v>1003</v>
      </c>
      <c r="H78" s="14">
        <v>2073126345</v>
      </c>
      <c r="I78" s="14" t="s">
        <v>731</v>
      </c>
      <c r="J78" s="14" t="s">
        <v>945</v>
      </c>
      <c r="L78" s="14">
        <v>1</v>
      </c>
      <c r="U78" s="14">
        <v>0</v>
      </c>
      <c r="Y78" s="14">
        <v>30.7</v>
      </c>
      <c r="AB78" s="14">
        <v>30.7</v>
      </c>
      <c r="AI78" s="14">
        <v>0</v>
      </c>
      <c r="AP78" s="14">
        <v>0</v>
      </c>
      <c r="AW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30.7</v>
      </c>
      <c r="BI78" s="14">
        <v>0</v>
      </c>
      <c r="BJ78" s="14">
        <v>0</v>
      </c>
      <c r="BK78" s="14">
        <v>30.7</v>
      </c>
      <c r="BR78" s="14">
        <v>0</v>
      </c>
      <c r="BV78" s="14">
        <v>1</v>
      </c>
      <c r="BY78" s="14">
        <v>1</v>
      </c>
      <c r="CF78" s="14">
        <v>0</v>
      </c>
      <c r="CM78" s="14">
        <v>0</v>
      </c>
      <c r="CT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1</v>
      </c>
      <c r="DF78" s="14">
        <v>0</v>
      </c>
      <c r="DG78" s="14">
        <v>0</v>
      </c>
      <c r="DH78" s="14">
        <v>1</v>
      </c>
      <c r="DI78" s="14" t="s">
        <v>598</v>
      </c>
      <c r="DJ78" s="14" t="s">
        <v>598</v>
      </c>
      <c r="DK78" s="14" t="s">
        <v>598</v>
      </c>
      <c r="DL78" s="14" t="s">
        <v>598</v>
      </c>
      <c r="DM78" s="14" t="s">
        <v>598</v>
      </c>
      <c r="DN78" s="14" t="s">
        <v>598</v>
      </c>
      <c r="DO78" s="14" t="s">
        <v>598</v>
      </c>
      <c r="DP78" s="14" t="s">
        <v>598</v>
      </c>
      <c r="DQ78" s="14" t="s">
        <v>598</v>
      </c>
      <c r="DR78" s="14" t="s">
        <v>597</v>
      </c>
      <c r="DS78" s="14" t="s">
        <v>598</v>
      </c>
      <c r="DT78" s="14" t="s">
        <v>598</v>
      </c>
      <c r="DU78" s="14" t="s">
        <v>598</v>
      </c>
      <c r="DV78" s="14" t="s">
        <v>598</v>
      </c>
      <c r="DW78" s="14" t="s">
        <v>598</v>
      </c>
      <c r="DX78" s="14" t="s">
        <v>598</v>
      </c>
      <c r="DY78" s="14" t="s">
        <v>598</v>
      </c>
      <c r="DZ78" s="14" t="s">
        <v>598</v>
      </c>
      <c r="EA78" s="14" t="s">
        <v>598</v>
      </c>
      <c r="EB78" s="14" t="s">
        <v>598</v>
      </c>
      <c r="EC78" s="14" t="s">
        <v>598</v>
      </c>
      <c r="ED78" s="14" t="s">
        <v>598</v>
      </c>
      <c r="EE78" s="14" t="s">
        <v>598</v>
      </c>
      <c r="EF78" s="14" t="s">
        <v>598</v>
      </c>
      <c r="EG78" s="14" t="s">
        <v>598</v>
      </c>
      <c r="EH78" s="14" t="s">
        <v>598</v>
      </c>
      <c r="EI78" s="14" t="s">
        <v>598</v>
      </c>
      <c r="EJ78" s="14" t="s">
        <v>598</v>
      </c>
      <c r="EK78" s="14" t="s">
        <v>598</v>
      </c>
      <c r="EL78" s="14" t="s">
        <v>598</v>
      </c>
      <c r="EM78" s="14" t="s">
        <v>598</v>
      </c>
      <c r="EN78" s="14" t="s">
        <v>598</v>
      </c>
      <c r="EO78" s="14" t="s">
        <v>598</v>
      </c>
      <c r="EP78" s="14" t="s">
        <v>598</v>
      </c>
      <c r="EQ78" s="14" t="s">
        <v>598</v>
      </c>
      <c r="ER78" s="14" t="s">
        <v>598</v>
      </c>
      <c r="EY78" s="14">
        <v>0</v>
      </c>
      <c r="FF78" s="14">
        <v>0</v>
      </c>
      <c r="FM78" s="14">
        <v>0</v>
      </c>
      <c r="FT78" s="14">
        <v>0</v>
      </c>
      <c r="GA78" s="14">
        <v>0</v>
      </c>
      <c r="GH78" s="14">
        <v>0</v>
      </c>
      <c r="GO78" s="14">
        <v>0</v>
      </c>
      <c r="GP78" s="14" t="s">
        <v>1004</v>
      </c>
      <c r="GT78" s="14">
        <v>30.7</v>
      </c>
      <c r="GW78" s="14">
        <v>30.7</v>
      </c>
      <c r="GX78" s="14">
        <v>0</v>
      </c>
      <c r="GY78" s="14">
        <v>0</v>
      </c>
      <c r="GZ78" s="14">
        <v>0</v>
      </c>
      <c r="HA78" s="14">
        <v>30.7</v>
      </c>
      <c r="HB78" s="14">
        <v>0</v>
      </c>
      <c r="HC78" s="14">
        <v>0</v>
      </c>
      <c r="HD78" s="14">
        <v>30.7</v>
      </c>
      <c r="HH78" s="14">
        <v>30.7</v>
      </c>
      <c r="HK78" s="14">
        <v>30.7</v>
      </c>
      <c r="HR78" s="14">
        <v>0</v>
      </c>
      <c r="HY78" s="14">
        <v>0</v>
      </c>
      <c r="IF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30.7</v>
      </c>
      <c r="IR78" s="14">
        <v>0</v>
      </c>
      <c r="IS78" s="14">
        <v>0</v>
      </c>
      <c r="IT78" s="14">
        <v>30.7</v>
      </c>
      <c r="IU78" s="14">
        <v>0</v>
      </c>
      <c r="IW78" s="14">
        <v>100</v>
      </c>
      <c r="IZ78" s="14">
        <v>1</v>
      </c>
      <c r="JA78" s="14">
        <v>3</v>
      </c>
      <c r="JB78" s="14">
        <v>1</v>
      </c>
      <c r="JC78" s="14" t="s">
        <v>600</v>
      </c>
      <c r="NF78" s="14" t="s">
        <v>601</v>
      </c>
      <c r="NM78" s="14">
        <v>0</v>
      </c>
      <c r="NT78" s="14">
        <v>0</v>
      </c>
      <c r="OA78" s="14">
        <v>0</v>
      </c>
      <c r="OH78" s="14">
        <v>0</v>
      </c>
      <c r="OO78" s="14">
        <v>0</v>
      </c>
      <c r="OV78" s="14">
        <v>0</v>
      </c>
      <c r="PC78" s="14">
        <v>0</v>
      </c>
      <c r="PD78" s="14" t="s">
        <v>1005</v>
      </c>
      <c r="PH78" s="14">
        <v>30.7</v>
      </c>
      <c r="PK78" s="14">
        <v>30.7</v>
      </c>
      <c r="PL78" s="14">
        <v>0</v>
      </c>
      <c r="PM78" s="14">
        <v>0</v>
      </c>
      <c r="PN78" s="14">
        <v>0</v>
      </c>
      <c r="PO78" s="14">
        <v>30.7</v>
      </c>
      <c r="PP78" s="14">
        <v>0</v>
      </c>
      <c r="PQ78" s="14">
        <v>0</v>
      </c>
      <c r="PR78" s="14">
        <v>30.7</v>
      </c>
      <c r="PY78" s="14">
        <v>0</v>
      </c>
      <c r="QC78" s="14">
        <v>30.7</v>
      </c>
      <c r="QF78" s="14">
        <v>30.7</v>
      </c>
      <c r="QM78" s="14">
        <v>0</v>
      </c>
      <c r="QT78" s="14">
        <v>0</v>
      </c>
      <c r="RA78" s="14">
        <v>0</v>
      </c>
      <c r="RB78" s="14">
        <v>0</v>
      </c>
      <c r="RC78" s="14">
        <v>0</v>
      </c>
      <c r="RD78" s="14">
        <v>0</v>
      </c>
      <c r="RE78" s="14">
        <v>30.7</v>
      </c>
      <c r="RF78" s="14">
        <v>0</v>
      </c>
      <c r="RG78" s="14">
        <v>0</v>
      </c>
      <c r="RH78" s="14">
        <v>30.7</v>
      </c>
      <c r="RI78" s="14" t="s">
        <v>602</v>
      </c>
      <c r="VL78" s="14" t="s">
        <v>603</v>
      </c>
      <c r="ZO78" s="14" t="s">
        <v>604</v>
      </c>
      <c r="ADR78" s="14" t="s">
        <v>605</v>
      </c>
    </row>
    <row r="79" spans="1:798" x14ac:dyDescent="0.25">
      <c r="A79" s="14">
        <v>156</v>
      </c>
      <c r="B79" s="14" t="s">
        <v>889</v>
      </c>
      <c r="C79" s="16">
        <f>VLOOKUP(A79,[4]RawData!Z:AA,2,FALSE)</f>
        <v>42767.561111111114</v>
      </c>
      <c r="D79" s="14" t="s">
        <v>1006</v>
      </c>
      <c r="E79" s="14" t="s">
        <v>1007</v>
      </c>
      <c r="F79" s="14" t="s">
        <v>825</v>
      </c>
      <c r="G79" s="14" t="s">
        <v>1008</v>
      </c>
      <c r="H79" s="14">
        <v>2078615103</v>
      </c>
      <c r="I79" s="14" t="s">
        <v>731</v>
      </c>
      <c r="J79" s="14" t="s">
        <v>945</v>
      </c>
      <c r="L79" s="14">
        <v>1</v>
      </c>
      <c r="U79" s="14">
        <v>0</v>
      </c>
      <c r="V79" s="14">
        <v>0.3</v>
      </c>
      <c r="W79" s="14">
        <v>0.3</v>
      </c>
      <c r="AB79" s="14">
        <v>0.6</v>
      </c>
      <c r="AI79" s="14">
        <v>0</v>
      </c>
      <c r="AP79" s="14">
        <v>0</v>
      </c>
      <c r="AW79" s="14">
        <v>0</v>
      </c>
      <c r="BD79" s="14">
        <v>0</v>
      </c>
      <c r="BE79" s="14">
        <v>0.3</v>
      </c>
      <c r="BF79" s="14">
        <v>0.3</v>
      </c>
      <c r="BG79" s="14">
        <v>0</v>
      </c>
      <c r="BH79" s="14">
        <v>0</v>
      </c>
      <c r="BI79" s="14">
        <v>0</v>
      </c>
      <c r="BJ79" s="14">
        <v>0</v>
      </c>
      <c r="BK79" s="14">
        <v>0.6</v>
      </c>
      <c r="BR79" s="14">
        <v>0</v>
      </c>
      <c r="BS79" s="14">
        <v>1</v>
      </c>
      <c r="BT79" s="14">
        <v>1</v>
      </c>
      <c r="BY79" s="14">
        <v>2</v>
      </c>
      <c r="CF79" s="14">
        <v>0</v>
      </c>
      <c r="CM79" s="14">
        <v>0</v>
      </c>
      <c r="CT79" s="14">
        <v>0</v>
      </c>
      <c r="DA79" s="14">
        <v>0</v>
      </c>
      <c r="DB79" s="14">
        <v>1</v>
      </c>
      <c r="DC79" s="14">
        <v>1</v>
      </c>
      <c r="DD79" s="14">
        <v>0</v>
      </c>
      <c r="DE79" s="14">
        <v>0</v>
      </c>
      <c r="DF79" s="14">
        <v>0</v>
      </c>
      <c r="DG79" s="14">
        <v>0</v>
      </c>
      <c r="DH79" s="14">
        <v>2</v>
      </c>
      <c r="DI79" s="14" t="s">
        <v>598</v>
      </c>
      <c r="DJ79" s="14" t="s">
        <v>598</v>
      </c>
      <c r="DK79" s="14" t="s">
        <v>598</v>
      </c>
      <c r="DL79" s="14" t="s">
        <v>598</v>
      </c>
      <c r="DM79" s="14" t="s">
        <v>598</v>
      </c>
      <c r="DN79" s="14" t="s">
        <v>598</v>
      </c>
      <c r="DO79" s="14" t="s">
        <v>597</v>
      </c>
      <c r="DP79" s="14" t="s">
        <v>597</v>
      </c>
      <c r="DQ79" s="14" t="s">
        <v>598</v>
      </c>
      <c r="DR79" s="14" t="s">
        <v>598</v>
      </c>
      <c r="DS79" s="14" t="s">
        <v>598</v>
      </c>
      <c r="DT79" s="14" t="s">
        <v>598</v>
      </c>
      <c r="DU79" s="14" t="s">
        <v>598</v>
      </c>
      <c r="DV79" s="14" t="s">
        <v>598</v>
      </c>
      <c r="DW79" s="14" t="s">
        <v>598</v>
      </c>
      <c r="DX79" s="14" t="s">
        <v>598</v>
      </c>
      <c r="DY79" s="14" t="s">
        <v>598</v>
      </c>
      <c r="DZ79" s="14" t="s">
        <v>598</v>
      </c>
      <c r="EA79" s="14" t="s">
        <v>598</v>
      </c>
      <c r="EB79" s="14" t="s">
        <v>598</v>
      </c>
      <c r="EC79" s="14" t="s">
        <v>598</v>
      </c>
      <c r="ED79" s="14" t="s">
        <v>598</v>
      </c>
      <c r="EE79" s="14" t="s">
        <v>598</v>
      </c>
      <c r="EF79" s="14" t="s">
        <v>598</v>
      </c>
      <c r="EG79" s="14" t="s">
        <v>598</v>
      </c>
      <c r="EH79" s="14" t="s">
        <v>598</v>
      </c>
      <c r="EI79" s="14" t="s">
        <v>598</v>
      </c>
      <c r="EJ79" s="14" t="s">
        <v>598</v>
      </c>
      <c r="EK79" s="14" t="s">
        <v>598</v>
      </c>
      <c r="EL79" s="14" t="s">
        <v>598</v>
      </c>
      <c r="EM79" s="14" t="s">
        <v>598</v>
      </c>
      <c r="EN79" s="14" t="s">
        <v>598</v>
      </c>
      <c r="EO79" s="14" t="s">
        <v>598</v>
      </c>
      <c r="EP79" s="14" t="s">
        <v>598</v>
      </c>
      <c r="EQ79" s="14" t="s">
        <v>598</v>
      </c>
      <c r="ER79" s="14" t="s">
        <v>598</v>
      </c>
      <c r="ES79" s="14">
        <v>0.3</v>
      </c>
      <c r="ET79" s="14">
        <v>0.3</v>
      </c>
      <c r="EY79" s="14">
        <v>0.6</v>
      </c>
      <c r="FF79" s="14">
        <v>0</v>
      </c>
      <c r="FM79" s="14">
        <v>0</v>
      </c>
      <c r="FT79" s="14">
        <v>0</v>
      </c>
      <c r="GA79" s="14">
        <v>0</v>
      </c>
      <c r="GH79" s="14">
        <v>0</v>
      </c>
      <c r="GO79" s="14">
        <v>0</v>
      </c>
      <c r="GW79" s="14">
        <v>0</v>
      </c>
      <c r="GX79" s="14">
        <v>0.3</v>
      </c>
      <c r="GY79" s="14">
        <v>0.3</v>
      </c>
      <c r="GZ79" s="14">
        <v>0</v>
      </c>
      <c r="HA79" s="14">
        <v>0</v>
      </c>
      <c r="HB79" s="14">
        <v>0</v>
      </c>
      <c r="HC79" s="14">
        <v>0</v>
      </c>
      <c r="HD79" s="14">
        <v>0.6</v>
      </c>
      <c r="HK79" s="14">
        <v>0</v>
      </c>
      <c r="HL79" s="14">
        <v>0.3</v>
      </c>
      <c r="HM79" s="14">
        <v>0.3</v>
      </c>
      <c r="HR79" s="14">
        <v>0.6</v>
      </c>
      <c r="HY79" s="14">
        <v>0</v>
      </c>
      <c r="IF79" s="14">
        <v>0</v>
      </c>
      <c r="IM79" s="14">
        <v>0</v>
      </c>
      <c r="IN79" s="14">
        <v>0.3</v>
      </c>
      <c r="IO79" s="14">
        <v>0.3</v>
      </c>
      <c r="IP79" s="14">
        <v>0</v>
      </c>
      <c r="IQ79" s="14">
        <v>0</v>
      </c>
      <c r="IR79" s="14">
        <v>0</v>
      </c>
      <c r="IS79" s="14">
        <v>0</v>
      </c>
      <c r="IT79" s="14">
        <v>0.6</v>
      </c>
      <c r="IU79" s="14">
        <v>0</v>
      </c>
      <c r="IW79" s="14">
        <v>100</v>
      </c>
      <c r="IZ79" s="14">
        <v>1</v>
      </c>
      <c r="JA79" s="14">
        <v>3</v>
      </c>
      <c r="JB79" s="14">
        <v>1</v>
      </c>
      <c r="JC79" s="14" t="s">
        <v>600</v>
      </c>
      <c r="NF79" s="14" t="s">
        <v>601</v>
      </c>
      <c r="NG79" s="14">
        <v>0.3</v>
      </c>
      <c r="NH79" s="14">
        <v>0.3</v>
      </c>
      <c r="NM79" s="14">
        <v>0.6</v>
      </c>
      <c r="NT79" s="14">
        <v>0</v>
      </c>
      <c r="OA79" s="14">
        <v>0</v>
      </c>
      <c r="OH79" s="14">
        <v>0</v>
      </c>
      <c r="OO79" s="14">
        <v>0</v>
      </c>
      <c r="OV79" s="14">
        <v>0</v>
      </c>
      <c r="PC79" s="14">
        <v>0</v>
      </c>
      <c r="PK79" s="14">
        <v>0</v>
      </c>
      <c r="PL79" s="14">
        <v>0.3</v>
      </c>
      <c r="PM79" s="14">
        <v>0.3</v>
      </c>
      <c r="PN79" s="14">
        <v>0</v>
      </c>
      <c r="PO79" s="14">
        <v>0</v>
      </c>
      <c r="PP79" s="14">
        <v>0</v>
      </c>
      <c r="PQ79" s="14">
        <v>0</v>
      </c>
      <c r="PR79" s="14">
        <v>0.6</v>
      </c>
      <c r="PS79" s="14">
        <v>0.3</v>
      </c>
      <c r="PT79" s="14">
        <v>0.3</v>
      </c>
      <c r="PY79" s="14">
        <v>0.6</v>
      </c>
      <c r="QF79" s="14">
        <v>0</v>
      </c>
      <c r="QM79" s="14">
        <v>0</v>
      </c>
      <c r="QT79" s="14">
        <v>0</v>
      </c>
      <c r="RA79" s="14">
        <v>0</v>
      </c>
      <c r="RB79" s="14">
        <v>0.3</v>
      </c>
      <c r="RC79" s="14">
        <v>0.3</v>
      </c>
      <c r="RD79" s="14">
        <v>0</v>
      </c>
      <c r="RE79" s="14">
        <v>0</v>
      </c>
      <c r="RF79" s="14">
        <v>0</v>
      </c>
      <c r="RG79" s="14">
        <v>0</v>
      </c>
      <c r="RH79" s="14">
        <v>0.6</v>
      </c>
      <c r="RI79" s="14" t="s">
        <v>602</v>
      </c>
      <c r="VL79" s="14" t="s">
        <v>603</v>
      </c>
      <c r="ZO79" s="14" t="s">
        <v>604</v>
      </c>
      <c r="ADR79" s="14" t="s">
        <v>605</v>
      </c>
    </row>
    <row r="80" spans="1:798" x14ac:dyDescent="0.25">
      <c r="A80" s="14">
        <v>143</v>
      </c>
      <c r="B80" s="14" t="s">
        <v>889</v>
      </c>
      <c r="C80" s="16">
        <f>VLOOKUP(A80,[4]RawData!Z:AA,2,FALSE)</f>
        <v>42766.406944444447</v>
      </c>
      <c r="D80" s="14" t="s">
        <v>1009</v>
      </c>
      <c r="E80" s="14" t="s">
        <v>1010</v>
      </c>
      <c r="F80" s="14" t="s">
        <v>1011</v>
      </c>
      <c r="G80" s="14" t="s">
        <v>1012</v>
      </c>
      <c r="H80" s="14" t="s">
        <v>1013</v>
      </c>
      <c r="I80" s="14" t="s">
        <v>1014</v>
      </c>
      <c r="J80" s="14" t="s">
        <v>732</v>
      </c>
      <c r="L80" s="14">
        <v>2</v>
      </c>
      <c r="M80" s="14">
        <v>6</v>
      </c>
      <c r="N80" s="14" t="s">
        <v>1015</v>
      </c>
      <c r="U80" s="14">
        <v>0</v>
      </c>
      <c r="AB80" s="14">
        <v>0</v>
      </c>
      <c r="AI80" s="14">
        <v>0</v>
      </c>
      <c r="AP80" s="14">
        <v>0</v>
      </c>
      <c r="AW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R80" s="14">
        <v>0</v>
      </c>
      <c r="BY80" s="14">
        <v>0</v>
      </c>
      <c r="CF80" s="14">
        <v>0</v>
      </c>
      <c r="CM80" s="14">
        <v>0</v>
      </c>
      <c r="CT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 t="s">
        <v>598</v>
      </c>
      <c r="DJ80" s="14" t="s">
        <v>598</v>
      </c>
      <c r="DK80" s="14" t="s">
        <v>598</v>
      </c>
      <c r="DL80" s="14" t="s">
        <v>598</v>
      </c>
      <c r="DM80" s="14" t="s">
        <v>598</v>
      </c>
      <c r="DN80" s="14" t="s">
        <v>598</v>
      </c>
      <c r="DO80" s="14" t="s">
        <v>598</v>
      </c>
      <c r="DP80" s="14" t="s">
        <v>598</v>
      </c>
      <c r="DQ80" s="14" t="s">
        <v>598</v>
      </c>
      <c r="DR80" s="14" t="s">
        <v>598</v>
      </c>
      <c r="DS80" s="14" t="s">
        <v>598</v>
      </c>
      <c r="DT80" s="14" t="s">
        <v>598</v>
      </c>
      <c r="DU80" s="14" t="s">
        <v>598</v>
      </c>
      <c r="DV80" s="14" t="s">
        <v>598</v>
      </c>
      <c r="DW80" s="14" t="s">
        <v>598</v>
      </c>
      <c r="DX80" s="14" t="s">
        <v>598</v>
      </c>
      <c r="DY80" s="14" t="s">
        <v>598</v>
      </c>
      <c r="DZ80" s="14" t="s">
        <v>598</v>
      </c>
      <c r="EA80" s="14" t="s">
        <v>598</v>
      </c>
      <c r="EB80" s="14" t="s">
        <v>598</v>
      </c>
      <c r="EC80" s="14" t="s">
        <v>598</v>
      </c>
      <c r="ED80" s="14" t="s">
        <v>598</v>
      </c>
      <c r="EE80" s="14" t="s">
        <v>598</v>
      </c>
      <c r="EF80" s="14" t="s">
        <v>598</v>
      </c>
      <c r="EG80" s="14" t="s">
        <v>598</v>
      </c>
      <c r="EH80" s="14" t="s">
        <v>598</v>
      </c>
      <c r="EI80" s="14" t="s">
        <v>598</v>
      </c>
      <c r="EJ80" s="14" t="s">
        <v>598</v>
      </c>
      <c r="EK80" s="14" t="s">
        <v>598</v>
      </c>
      <c r="EL80" s="14" t="s">
        <v>598</v>
      </c>
      <c r="EM80" s="14" t="s">
        <v>598</v>
      </c>
      <c r="EN80" s="14" t="s">
        <v>598</v>
      </c>
      <c r="EO80" s="14" t="s">
        <v>598</v>
      </c>
      <c r="EP80" s="14" t="s">
        <v>598</v>
      </c>
      <c r="EQ80" s="14" t="s">
        <v>598</v>
      </c>
      <c r="ER80" s="14" t="s">
        <v>598</v>
      </c>
      <c r="EY80" s="14">
        <v>0</v>
      </c>
      <c r="FF80" s="14">
        <v>0</v>
      </c>
      <c r="FM80" s="14">
        <v>0</v>
      </c>
      <c r="FT80" s="14">
        <v>0</v>
      </c>
      <c r="GA80" s="14">
        <v>0</v>
      </c>
      <c r="GH80" s="14">
        <v>0</v>
      </c>
      <c r="GO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K80" s="14">
        <v>0</v>
      </c>
      <c r="HR80" s="14">
        <v>0</v>
      </c>
      <c r="HY80" s="14">
        <v>0</v>
      </c>
      <c r="IF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Z80" s="14">
        <v>1</v>
      </c>
      <c r="JA80" s="14">
        <v>1</v>
      </c>
      <c r="JB80" s="14">
        <v>1</v>
      </c>
      <c r="JC80" s="14" t="s">
        <v>600</v>
      </c>
      <c r="NF80" s="14" t="s">
        <v>601</v>
      </c>
      <c r="RI80" s="14" t="s">
        <v>602</v>
      </c>
      <c r="VL80" s="14" t="s">
        <v>603</v>
      </c>
      <c r="ZO80" s="14" t="s">
        <v>604</v>
      </c>
      <c r="ADR80" s="14" t="s">
        <v>605</v>
      </c>
    </row>
    <row r="81" spans="1:798" x14ac:dyDescent="0.25">
      <c r="A81" s="14">
        <v>141</v>
      </c>
      <c r="B81" s="14" t="s">
        <v>889</v>
      </c>
      <c r="C81" s="16">
        <f>VLOOKUP(A81,[4]RawData!Z:AA,2,FALSE)</f>
        <v>42766.361111111109</v>
      </c>
      <c r="D81" s="14" t="s">
        <v>1016</v>
      </c>
      <c r="E81" s="14" t="s">
        <v>1017</v>
      </c>
      <c r="F81" s="14" t="s">
        <v>1018</v>
      </c>
      <c r="G81" s="14" t="s">
        <v>1019</v>
      </c>
      <c r="H81" s="14">
        <v>352621889676</v>
      </c>
      <c r="I81" s="14" t="s">
        <v>618</v>
      </c>
      <c r="J81" s="14" t="s">
        <v>732</v>
      </c>
      <c r="L81" s="14">
        <v>2</v>
      </c>
      <c r="M81" s="14">
        <v>6</v>
      </c>
      <c r="N81" s="14" t="s">
        <v>1020</v>
      </c>
      <c r="U81" s="14">
        <v>0</v>
      </c>
      <c r="AB81" s="14">
        <v>0</v>
      </c>
      <c r="AI81" s="14">
        <v>0</v>
      </c>
      <c r="AP81" s="14">
        <v>0</v>
      </c>
      <c r="AW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R81" s="14">
        <v>0</v>
      </c>
      <c r="BY81" s="14">
        <v>0</v>
      </c>
      <c r="CF81" s="14">
        <v>0</v>
      </c>
      <c r="CM81" s="14">
        <v>0</v>
      </c>
      <c r="CT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 t="s">
        <v>598</v>
      </c>
      <c r="DJ81" s="14" t="s">
        <v>598</v>
      </c>
      <c r="DK81" s="14" t="s">
        <v>598</v>
      </c>
      <c r="DL81" s="14" t="s">
        <v>598</v>
      </c>
      <c r="DM81" s="14" t="s">
        <v>598</v>
      </c>
      <c r="DN81" s="14" t="s">
        <v>598</v>
      </c>
      <c r="DO81" s="14" t="s">
        <v>598</v>
      </c>
      <c r="DP81" s="14" t="s">
        <v>598</v>
      </c>
      <c r="DQ81" s="14" t="s">
        <v>598</v>
      </c>
      <c r="DR81" s="14" t="s">
        <v>598</v>
      </c>
      <c r="DS81" s="14" t="s">
        <v>598</v>
      </c>
      <c r="DT81" s="14" t="s">
        <v>598</v>
      </c>
      <c r="DU81" s="14" t="s">
        <v>598</v>
      </c>
      <c r="DV81" s="14" t="s">
        <v>598</v>
      </c>
      <c r="DW81" s="14" t="s">
        <v>598</v>
      </c>
      <c r="DX81" s="14" t="s">
        <v>598</v>
      </c>
      <c r="DY81" s="14" t="s">
        <v>598</v>
      </c>
      <c r="DZ81" s="14" t="s">
        <v>598</v>
      </c>
      <c r="EA81" s="14" t="s">
        <v>598</v>
      </c>
      <c r="EB81" s="14" t="s">
        <v>598</v>
      </c>
      <c r="EC81" s="14" t="s">
        <v>598</v>
      </c>
      <c r="ED81" s="14" t="s">
        <v>598</v>
      </c>
      <c r="EE81" s="14" t="s">
        <v>598</v>
      </c>
      <c r="EF81" s="14" t="s">
        <v>598</v>
      </c>
      <c r="EG81" s="14" t="s">
        <v>598</v>
      </c>
      <c r="EH81" s="14" t="s">
        <v>598</v>
      </c>
      <c r="EI81" s="14" t="s">
        <v>598</v>
      </c>
      <c r="EJ81" s="14" t="s">
        <v>598</v>
      </c>
      <c r="EK81" s="14" t="s">
        <v>598</v>
      </c>
      <c r="EL81" s="14" t="s">
        <v>598</v>
      </c>
      <c r="EM81" s="14" t="s">
        <v>598</v>
      </c>
      <c r="EN81" s="14" t="s">
        <v>598</v>
      </c>
      <c r="EO81" s="14" t="s">
        <v>598</v>
      </c>
      <c r="EP81" s="14" t="s">
        <v>598</v>
      </c>
      <c r="EQ81" s="14" t="s">
        <v>598</v>
      </c>
      <c r="ER81" s="14" t="s">
        <v>598</v>
      </c>
      <c r="EY81" s="14">
        <v>0</v>
      </c>
      <c r="FF81" s="14">
        <v>0</v>
      </c>
      <c r="FM81" s="14">
        <v>0</v>
      </c>
      <c r="FT81" s="14">
        <v>0</v>
      </c>
      <c r="GA81" s="14">
        <v>0</v>
      </c>
      <c r="GH81" s="14">
        <v>0</v>
      </c>
      <c r="GO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K81" s="14">
        <v>0</v>
      </c>
      <c r="HR81" s="14">
        <v>0</v>
      </c>
      <c r="HY81" s="14">
        <v>0</v>
      </c>
      <c r="IF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Z81" s="14">
        <v>1</v>
      </c>
      <c r="JA81" s="14">
        <v>2</v>
      </c>
      <c r="JB81" s="14">
        <v>1</v>
      </c>
      <c r="JC81" s="14" t="s">
        <v>600</v>
      </c>
      <c r="NF81" s="14" t="s">
        <v>601</v>
      </c>
      <c r="RI81" s="14" t="s">
        <v>602</v>
      </c>
      <c r="VL81" s="14" t="s">
        <v>603</v>
      </c>
      <c r="ZO81" s="14" t="s">
        <v>604</v>
      </c>
      <c r="ADR81" s="14" t="s">
        <v>605</v>
      </c>
    </row>
    <row r="82" spans="1:798" x14ac:dyDescent="0.25">
      <c r="A82" s="14">
        <v>107</v>
      </c>
      <c r="B82" s="14" t="s">
        <v>889</v>
      </c>
      <c r="C82" s="16">
        <f>VLOOKUP(A82,[4]RawData!Z:AA,2,FALSE)</f>
        <v>42754.489583333336</v>
      </c>
      <c r="D82" s="14" t="s">
        <v>1021</v>
      </c>
      <c r="E82" s="14" t="s">
        <v>1022</v>
      </c>
      <c r="F82" s="14" t="s">
        <v>673</v>
      </c>
      <c r="G82" s="14" t="s">
        <v>1023</v>
      </c>
      <c r="H82" s="14">
        <v>31433257100</v>
      </c>
      <c r="I82" s="14" t="s">
        <v>979</v>
      </c>
      <c r="J82" s="14" t="s">
        <v>732</v>
      </c>
      <c r="L82" s="14">
        <v>1</v>
      </c>
      <c r="U82" s="14">
        <v>0</v>
      </c>
      <c r="V82" s="14">
        <v>80</v>
      </c>
      <c r="AB82" s="14">
        <v>80</v>
      </c>
      <c r="AI82" s="14">
        <v>0</v>
      </c>
      <c r="AP82" s="14">
        <v>0</v>
      </c>
      <c r="AW82" s="14">
        <v>0</v>
      </c>
      <c r="BD82" s="14">
        <v>0</v>
      </c>
      <c r="BE82" s="14">
        <v>80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80</v>
      </c>
      <c r="BR82" s="14">
        <v>0</v>
      </c>
      <c r="BS82" s="14">
        <v>1</v>
      </c>
      <c r="BY82" s="14">
        <v>1</v>
      </c>
      <c r="CF82" s="14">
        <v>0</v>
      </c>
      <c r="CM82" s="14">
        <v>0</v>
      </c>
      <c r="CT82" s="14">
        <v>0</v>
      </c>
      <c r="DA82" s="14">
        <v>0</v>
      </c>
      <c r="DB82" s="14">
        <v>1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1</v>
      </c>
      <c r="DI82" s="14" t="s">
        <v>598</v>
      </c>
      <c r="DJ82" s="14" t="s">
        <v>598</v>
      </c>
      <c r="DK82" s="14" t="s">
        <v>598</v>
      </c>
      <c r="DL82" s="14" t="s">
        <v>598</v>
      </c>
      <c r="DM82" s="14" t="s">
        <v>598</v>
      </c>
      <c r="DN82" s="14" t="s">
        <v>598</v>
      </c>
      <c r="DO82" s="14" t="s">
        <v>597</v>
      </c>
      <c r="DP82" s="14" t="s">
        <v>598</v>
      </c>
      <c r="DQ82" s="14" t="s">
        <v>598</v>
      </c>
      <c r="DR82" s="14" t="s">
        <v>598</v>
      </c>
      <c r="DS82" s="14" t="s">
        <v>598</v>
      </c>
      <c r="DT82" s="14" t="s">
        <v>598</v>
      </c>
      <c r="DU82" s="14" t="s">
        <v>598</v>
      </c>
      <c r="DV82" s="14" t="s">
        <v>598</v>
      </c>
      <c r="DW82" s="14" t="s">
        <v>598</v>
      </c>
      <c r="DX82" s="14" t="s">
        <v>598</v>
      </c>
      <c r="DY82" s="14" t="s">
        <v>598</v>
      </c>
      <c r="DZ82" s="14" t="s">
        <v>598</v>
      </c>
      <c r="EA82" s="14" t="s">
        <v>598</v>
      </c>
      <c r="EB82" s="14" t="s">
        <v>598</v>
      </c>
      <c r="EC82" s="14" t="s">
        <v>598</v>
      </c>
      <c r="ED82" s="14" t="s">
        <v>598</v>
      </c>
      <c r="EE82" s="14" t="s">
        <v>598</v>
      </c>
      <c r="EF82" s="14" t="s">
        <v>598</v>
      </c>
      <c r="EG82" s="14" t="s">
        <v>598</v>
      </c>
      <c r="EH82" s="14" t="s">
        <v>598</v>
      </c>
      <c r="EI82" s="14" t="s">
        <v>598</v>
      </c>
      <c r="EJ82" s="14" t="s">
        <v>598</v>
      </c>
      <c r="EK82" s="14" t="s">
        <v>598</v>
      </c>
      <c r="EL82" s="14" t="s">
        <v>598</v>
      </c>
      <c r="EM82" s="14" t="s">
        <v>598</v>
      </c>
      <c r="EN82" s="14" t="s">
        <v>598</v>
      </c>
      <c r="EO82" s="14" t="s">
        <v>598</v>
      </c>
      <c r="EP82" s="14" t="s">
        <v>598</v>
      </c>
      <c r="EQ82" s="14" t="s">
        <v>598</v>
      </c>
      <c r="ER82" s="14" t="s">
        <v>598</v>
      </c>
      <c r="ES82" s="14">
        <v>80</v>
      </c>
      <c r="EY82" s="14">
        <v>80</v>
      </c>
      <c r="FF82" s="14">
        <v>0</v>
      </c>
      <c r="FM82" s="14">
        <v>0</v>
      </c>
      <c r="FT82" s="14">
        <v>0</v>
      </c>
      <c r="GA82" s="14">
        <v>0</v>
      </c>
      <c r="GH82" s="14">
        <v>0</v>
      </c>
      <c r="GO82" s="14">
        <v>0</v>
      </c>
      <c r="GW82" s="14">
        <v>0</v>
      </c>
      <c r="GX82" s="14">
        <v>80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80</v>
      </c>
      <c r="HK82" s="14">
        <v>0</v>
      </c>
      <c r="HL82" s="14">
        <v>80</v>
      </c>
      <c r="HR82" s="14">
        <v>80</v>
      </c>
      <c r="HY82" s="14">
        <v>0</v>
      </c>
      <c r="IF82" s="14">
        <v>0</v>
      </c>
      <c r="IM82" s="14">
        <v>0</v>
      </c>
      <c r="IN82" s="14">
        <v>80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80</v>
      </c>
      <c r="IW82" s="14">
        <v>100</v>
      </c>
      <c r="IZ82" s="14">
        <v>1</v>
      </c>
      <c r="JA82" s="14">
        <v>1</v>
      </c>
      <c r="JB82" s="14">
        <v>2</v>
      </c>
      <c r="JC82" s="14" t="s">
        <v>600</v>
      </c>
      <c r="NF82" s="14" t="s">
        <v>601</v>
      </c>
      <c r="NG82" s="14">
        <v>80</v>
      </c>
      <c r="NM82" s="14">
        <v>80</v>
      </c>
      <c r="NT82" s="14">
        <v>0</v>
      </c>
      <c r="OA82" s="14">
        <v>0</v>
      </c>
      <c r="OH82" s="14">
        <v>0</v>
      </c>
      <c r="OO82" s="14">
        <v>0</v>
      </c>
      <c r="OV82" s="14">
        <v>0</v>
      </c>
      <c r="PC82" s="14">
        <v>0</v>
      </c>
      <c r="PK82" s="14">
        <v>0</v>
      </c>
      <c r="PL82" s="14">
        <v>80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80</v>
      </c>
      <c r="PS82" s="14">
        <v>80</v>
      </c>
      <c r="PY82" s="14">
        <v>80</v>
      </c>
      <c r="QF82" s="14">
        <v>0</v>
      </c>
      <c r="QM82" s="14">
        <v>0</v>
      </c>
      <c r="QT82" s="14">
        <v>0</v>
      </c>
      <c r="RA82" s="14">
        <v>0</v>
      </c>
      <c r="RB82" s="14">
        <v>80</v>
      </c>
      <c r="RC82" s="14">
        <v>0</v>
      </c>
      <c r="RD82" s="14">
        <v>0</v>
      </c>
      <c r="RE82" s="14">
        <v>0</v>
      </c>
      <c r="RF82" s="14">
        <v>0</v>
      </c>
      <c r="RG82" s="14">
        <v>0</v>
      </c>
      <c r="RH82" s="14">
        <v>80</v>
      </c>
      <c r="RI82" s="14" t="s">
        <v>602</v>
      </c>
      <c r="VL82" s="14" t="s">
        <v>603</v>
      </c>
      <c r="ZO82" s="14" t="s">
        <v>604</v>
      </c>
      <c r="ADR82" s="14" t="s">
        <v>605</v>
      </c>
    </row>
    <row r="83" spans="1:798" x14ac:dyDescent="0.25">
      <c r="A83" s="14">
        <v>153</v>
      </c>
      <c r="B83" s="14" t="s">
        <v>889</v>
      </c>
      <c r="C83" s="16">
        <f>VLOOKUP(A83,[4]RawData!Z:AA,2,FALSE)</f>
        <v>42766.690972222219</v>
      </c>
      <c r="D83" s="14" t="s">
        <v>1024</v>
      </c>
      <c r="E83" s="14" t="s">
        <v>1025</v>
      </c>
      <c r="F83" s="14" t="s">
        <v>693</v>
      </c>
      <c r="G83" s="14" t="s">
        <v>1026</v>
      </c>
      <c r="H83" s="14">
        <v>3522484711</v>
      </c>
      <c r="I83" s="14" t="s">
        <v>938</v>
      </c>
      <c r="J83" s="14" t="s">
        <v>732</v>
      </c>
      <c r="L83" s="14">
        <v>1</v>
      </c>
      <c r="U83" s="14">
        <v>0</v>
      </c>
      <c r="V83" s="14">
        <v>100</v>
      </c>
      <c r="AB83" s="14">
        <v>100</v>
      </c>
      <c r="AI83" s="14">
        <v>0</v>
      </c>
      <c r="AP83" s="14">
        <v>0</v>
      </c>
      <c r="AW83" s="14">
        <v>0</v>
      </c>
      <c r="BD83" s="14">
        <v>0</v>
      </c>
      <c r="BE83" s="14">
        <v>100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100</v>
      </c>
      <c r="BR83" s="14">
        <v>0</v>
      </c>
      <c r="BS83" s="14">
        <v>1</v>
      </c>
      <c r="BY83" s="14">
        <v>1</v>
      </c>
      <c r="CF83" s="14">
        <v>0</v>
      </c>
      <c r="CM83" s="14">
        <v>0</v>
      </c>
      <c r="CT83" s="14">
        <v>0</v>
      </c>
      <c r="DA83" s="14">
        <v>0</v>
      </c>
      <c r="DB83" s="14">
        <v>1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1</v>
      </c>
      <c r="DI83" s="14" t="s">
        <v>598</v>
      </c>
      <c r="DJ83" s="14" t="s">
        <v>598</v>
      </c>
      <c r="DK83" s="14" t="s">
        <v>598</v>
      </c>
      <c r="DL83" s="14" t="s">
        <v>598</v>
      </c>
      <c r="DM83" s="14" t="s">
        <v>598</v>
      </c>
      <c r="DN83" s="14" t="s">
        <v>598</v>
      </c>
      <c r="DO83" s="14" t="s">
        <v>597</v>
      </c>
      <c r="DP83" s="14" t="s">
        <v>598</v>
      </c>
      <c r="DQ83" s="14" t="s">
        <v>598</v>
      </c>
      <c r="DR83" s="14" t="s">
        <v>598</v>
      </c>
      <c r="DS83" s="14" t="s">
        <v>598</v>
      </c>
      <c r="DT83" s="14" t="s">
        <v>598</v>
      </c>
      <c r="DU83" s="14" t="s">
        <v>598</v>
      </c>
      <c r="DV83" s="14" t="s">
        <v>598</v>
      </c>
      <c r="DW83" s="14" t="s">
        <v>598</v>
      </c>
      <c r="DX83" s="14" t="s">
        <v>598</v>
      </c>
      <c r="DY83" s="14" t="s">
        <v>598</v>
      </c>
      <c r="DZ83" s="14" t="s">
        <v>598</v>
      </c>
      <c r="EA83" s="14" t="s">
        <v>598</v>
      </c>
      <c r="EB83" s="14" t="s">
        <v>598</v>
      </c>
      <c r="EC83" s="14" t="s">
        <v>598</v>
      </c>
      <c r="ED83" s="14" t="s">
        <v>598</v>
      </c>
      <c r="EE83" s="14" t="s">
        <v>598</v>
      </c>
      <c r="EF83" s="14" t="s">
        <v>598</v>
      </c>
      <c r="EG83" s="14" t="s">
        <v>598</v>
      </c>
      <c r="EH83" s="14" t="s">
        <v>598</v>
      </c>
      <c r="EI83" s="14" t="s">
        <v>598</v>
      </c>
      <c r="EJ83" s="14" t="s">
        <v>598</v>
      </c>
      <c r="EK83" s="14" t="s">
        <v>598</v>
      </c>
      <c r="EL83" s="14" t="s">
        <v>598</v>
      </c>
      <c r="EM83" s="14" t="s">
        <v>598</v>
      </c>
      <c r="EN83" s="14" t="s">
        <v>598</v>
      </c>
      <c r="EO83" s="14" t="s">
        <v>598</v>
      </c>
      <c r="EP83" s="14" t="s">
        <v>598</v>
      </c>
      <c r="EQ83" s="14" t="s">
        <v>598</v>
      </c>
      <c r="ER83" s="14" t="s">
        <v>598</v>
      </c>
      <c r="ES83" s="14">
        <v>100</v>
      </c>
      <c r="EY83" s="14">
        <v>100</v>
      </c>
      <c r="FF83" s="14">
        <v>0</v>
      </c>
      <c r="FM83" s="14">
        <v>0</v>
      </c>
      <c r="FT83" s="14">
        <v>0</v>
      </c>
      <c r="GA83" s="14">
        <v>0</v>
      </c>
      <c r="GH83" s="14">
        <v>0</v>
      </c>
      <c r="GO83" s="14">
        <v>0</v>
      </c>
      <c r="GW83" s="14">
        <v>0</v>
      </c>
      <c r="GX83" s="14">
        <v>100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100</v>
      </c>
      <c r="HK83" s="14">
        <v>0</v>
      </c>
      <c r="HL83" s="14">
        <v>100</v>
      </c>
      <c r="HR83" s="14">
        <v>100</v>
      </c>
      <c r="HY83" s="14">
        <v>0</v>
      </c>
      <c r="IF83" s="14">
        <v>0</v>
      </c>
      <c r="IM83" s="14">
        <v>0</v>
      </c>
      <c r="IN83" s="14">
        <v>100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100</v>
      </c>
      <c r="IU83" s="14">
        <v>60</v>
      </c>
      <c r="IV83" s="14">
        <v>30</v>
      </c>
      <c r="IW83" s="14">
        <v>10</v>
      </c>
      <c r="IZ83" s="14">
        <v>3</v>
      </c>
      <c r="JA83" s="14">
        <v>3</v>
      </c>
      <c r="JB83" s="14">
        <v>2</v>
      </c>
      <c r="JC83" s="14" t="s">
        <v>600</v>
      </c>
      <c r="NF83" s="14" t="s">
        <v>601</v>
      </c>
      <c r="NG83" s="14">
        <v>100</v>
      </c>
      <c r="NM83" s="14">
        <v>100</v>
      </c>
      <c r="NT83" s="14">
        <v>0</v>
      </c>
      <c r="OA83" s="14">
        <v>0</v>
      </c>
      <c r="OH83" s="14">
        <v>0</v>
      </c>
      <c r="OO83" s="14">
        <v>0</v>
      </c>
      <c r="OV83" s="14">
        <v>0</v>
      </c>
      <c r="PC83" s="14">
        <v>0</v>
      </c>
      <c r="PK83" s="14">
        <v>0</v>
      </c>
      <c r="PL83" s="14">
        <v>100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100</v>
      </c>
      <c r="PS83" s="14">
        <v>100</v>
      </c>
      <c r="PY83" s="14">
        <v>100</v>
      </c>
      <c r="QF83" s="14">
        <v>0</v>
      </c>
      <c r="QM83" s="14">
        <v>0</v>
      </c>
      <c r="QT83" s="14">
        <v>0</v>
      </c>
      <c r="RA83" s="14">
        <v>0</v>
      </c>
      <c r="RB83" s="14">
        <v>100</v>
      </c>
      <c r="RC83" s="14">
        <v>0</v>
      </c>
      <c r="RD83" s="14">
        <v>0</v>
      </c>
      <c r="RE83" s="14">
        <v>0</v>
      </c>
      <c r="RF83" s="14">
        <v>0</v>
      </c>
      <c r="RG83" s="14">
        <v>0</v>
      </c>
      <c r="RH83" s="14">
        <v>100</v>
      </c>
      <c r="RI83" s="14" t="s">
        <v>602</v>
      </c>
      <c r="VL83" s="14" t="s">
        <v>603</v>
      </c>
      <c r="ZO83" s="14" t="s">
        <v>604</v>
      </c>
      <c r="ADR83" s="14" t="s">
        <v>605</v>
      </c>
    </row>
    <row r="84" spans="1:798" x14ac:dyDescent="0.25">
      <c r="A84" s="14">
        <v>49</v>
      </c>
      <c r="B84" s="14" t="s">
        <v>889</v>
      </c>
      <c r="C84" s="16">
        <f>VLOOKUP(A84,[4]RawData!Z:AA,2,FALSE)</f>
        <v>42761.388888888891</v>
      </c>
      <c r="D84" s="14" t="s">
        <v>1027</v>
      </c>
      <c r="E84" s="14" t="s">
        <v>1028</v>
      </c>
      <c r="F84" s="14" t="s">
        <v>1029</v>
      </c>
      <c r="G84" s="14" t="s">
        <v>1030</v>
      </c>
      <c r="H84" s="14">
        <v>2073991000</v>
      </c>
      <c r="I84" s="14" t="s">
        <v>731</v>
      </c>
      <c r="J84" s="14" t="s">
        <v>945</v>
      </c>
      <c r="L84" s="14">
        <v>1</v>
      </c>
      <c r="U84" s="14">
        <v>0</v>
      </c>
      <c r="V84" s="14">
        <v>200</v>
      </c>
      <c r="AB84" s="14">
        <v>200</v>
      </c>
      <c r="AI84" s="14">
        <v>0</v>
      </c>
      <c r="AP84" s="14">
        <v>0</v>
      </c>
      <c r="AW84" s="14">
        <v>0</v>
      </c>
      <c r="BD84" s="14">
        <v>0</v>
      </c>
      <c r="BE84" s="14">
        <v>200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200</v>
      </c>
      <c r="BR84" s="14">
        <v>0</v>
      </c>
      <c r="BS84" s="14">
        <v>1</v>
      </c>
      <c r="BY84" s="14">
        <v>1</v>
      </c>
      <c r="CF84" s="14">
        <v>0</v>
      </c>
      <c r="CM84" s="14">
        <v>0</v>
      </c>
      <c r="CT84" s="14">
        <v>0</v>
      </c>
      <c r="DA84" s="14">
        <v>0</v>
      </c>
      <c r="DB84" s="14">
        <v>1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1</v>
      </c>
      <c r="DI84" s="14" t="s">
        <v>598</v>
      </c>
      <c r="DJ84" s="14" t="s">
        <v>598</v>
      </c>
      <c r="DK84" s="14" t="s">
        <v>598</v>
      </c>
      <c r="DL84" s="14" t="s">
        <v>598</v>
      </c>
      <c r="DM84" s="14" t="s">
        <v>598</v>
      </c>
      <c r="DN84" s="14" t="s">
        <v>598</v>
      </c>
      <c r="DO84" s="14" t="s">
        <v>597</v>
      </c>
      <c r="DP84" s="14" t="s">
        <v>598</v>
      </c>
      <c r="DQ84" s="14" t="s">
        <v>598</v>
      </c>
      <c r="DR84" s="14" t="s">
        <v>598</v>
      </c>
      <c r="DS84" s="14" t="s">
        <v>598</v>
      </c>
      <c r="DT84" s="14" t="s">
        <v>598</v>
      </c>
      <c r="DU84" s="14" t="s">
        <v>598</v>
      </c>
      <c r="DV84" s="14" t="s">
        <v>598</v>
      </c>
      <c r="DW84" s="14" t="s">
        <v>598</v>
      </c>
      <c r="DX84" s="14" t="s">
        <v>598</v>
      </c>
      <c r="DY84" s="14" t="s">
        <v>598</v>
      </c>
      <c r="DZ84" s="14" t="s">
        <v>598</v>
      </c>
      <c r="EA84" s="14" t="s">
        <v>598</v>
      </c>
      <c r="EB84" s="14" t="s">
        <v>598</v>
      </c>
      <c r="EC84" s="14" t="s">
        <v>598</v>
      </c>
      <c r="ED84" s="14" t="s">
        <v>598</v>
      </c>
      <c r="EE84" s="14" t="s">
        <v>598</v>
      </c>
      <c r="EF84" s="14" t="s">
        <v>598</v>
      </c>
      <c r="EG84" s="14" t="s">
        <v>598</v>
      </c>
      <c r="EH84" s="14" t="s">
        <v>598</v>
      </c>
      <c r="EI84" s="14" t="s">
        <v>598</v>
      </c>
      <c r="EJ84" s="14" t="s">
        <v>598</v>
      </c>
      <c r="EK84" s="14" t="s">
        <v>598</v>
      </c>
      <c r="EL84" s="14" t="s">
        <v>598</v>
      </c>
      <c r="EM84" s="14" t="s">
        <v>598</v>
      </c>
      <c r="EN84" s="14" t="s">
        <v>598</v>
      </c>
      <c r="EO84" s="14" t="s">
        <v>598</v>
      </c>
      <c r="EP84" s="14" t="s">
        <v>598</v>
      </c>
      <c r="EQ84" s="14" t="s">
        <v>598</v>
      </c>
      <c r="ER84" s="14" t="s">
        <v>598</v>
      </c>
      <c r="ES84" s="14">
        <v>135</v>
      </c>
      <c r="EY84" s="14">
        <v>135</v>
      </c>
      <c r="FF84" s="14">
        <v>0</v>
      </c>
      <c r="FM84" s="14">
        <v>0</v>
      </c>
      <c r="FT84" s="14">
        <v>0</v>
      </c>
      <c r="FU84" s="14">
        <v>65</v>
      </c>
      <c r="GA84" s="14">
        <v>65</v>
      </c>
      <c r="GH84" s="14">
        <v>0</v>
      </c>
      <c r="GO84" s="14">
        <v>0</v>
      </c>
      <c r="GW84" s="14">
        <v>0</v>
      </c>
      <c r="GX84" s="14">
        <v>200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200</v>
      </c>
      <c r="HK84" s="14">
        <v>0</v>
      </c>
      <c r="HL84" s="14">
        <v>135</v>
      </c>
      <c r="HR84" s="14">
        <v>135</v>
      </c>
      <c r="HS84" s="14">
        <v>65</v>
      </c>
      <c r="HY84" s="14">
        <v>65</v>
      </c>
      <c r="IF84" s="14">
        <v>0</v>
      </c>
      <c r="IM84" s="14">
        <v>0</v>
      </c>
      <c r="IN84" s="14">
        <v>200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200</v>
      </c>
      <c r="IW84" s="14">
        <v>100</v>
      </c>
      <c r="IZ84" s="14">
        <v>1</v>
      </c>
      <c r="JA84" s="14">
        <v>1</v>
      </c>
      <c r="JB84" s="14">
        <v>1</v>
      </c>
      <c r="JC84" s="14" t="s">
        <v>600</v>
      </c>
      <c r="NF84" s="14" t="s">
        <v>601</v>
      </c>
      <c r="NG84" s="14">
        <v>135</v>
      </c>
      <c r="NM84" s="14">
        <v>135</v>
      </c>
      <c r="NT84" s="14">
        <v>0</v>
      </c>
      <c r="OA84" s="14">
        <v>0</v>
      </c>
      <c r="OH84" s="14">
        <v>0</v>
      </c>
      <c r="OI84" s="14">
        <v>65</v>
      </c>
      <c r="OO84" s="14">
        <v>65</v>
      </c>
      <c r="OV84" s="14">
        <v>0</v>
      </c>
      <c r="PC84" s="14">
        <v>0</v>
      </c>
      <c r="PK84" s="14">
        <v>0</v>
      </c>
      <c r="PL84" s="14">
        <v>200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200</v>
      </c>
      <c r="PS84" s="14">
        <v>135</v>
      </c>
      <c r="PY84" s="14">
        <v>135</v>
      </c>
      <c r="QF84" s="14">
        <v>0</v>
      </c>
      <c r="QG84" s="14">
        <v>65</v>
      </c>
      <c r="QM84" s="14">
        <v>65</v>
      </c>
      <c r="QT84" s="14">
        <v>0</v>
      </c>
      <c r="RA84" s="14">
        <v>0</v>
      </c>
      <c r="RB84" s="14">
        <v>200</v>
      </c>
      <c r="RC84" s="14">
        <v>0</v>
      </c>
      <c r="RD84" s="14">
        <v>0</v>
      </c>
      <c r="RE84" s="14">
        <v>0</v>
      </c>
      <c r="RF84" s="14">
        <v>0</v>
      </c>
      <c r="RG84" s="14">
        <v>0</v>
      </c>
      <c r="RH84" s="14">
        <v>200</v>
      </c>
      <c r="RI84" s="14" t="s">
        <v>602</v>
      </c>
      <c r="VL84" s="14" t="s">
        <v>603</v>
      </c>
      <c r="ZO84" s="14" t="s">
        <v>604</v>
      </c>
      <c r="ADR84" s="14" t="s">
        <v>605</v>
      </c>
    </row>
    <row r="85" spans="1:798" x14ac:dyDescent="0.25">
      <c r="A85" s="14">
        <v>148</v>
      </c>
      <c r="B85" s="14" t="s">
        <v>889</v>
      </c>
      <c r="C85" s="16">
        <f>VLOOKUP(A85,[4]RawData!Z:AA,2,FALSE)</f>
        <v>42766.470833333333</v>
      </c>
      <c r="D85" s="14" t="s">
        <v>1031</v>
      </c>
      <c r="E85" s="14" t="s">
        <v>1032</v>
      </c>
      <c r="F85" s="14" t="s">
        <v>693</v>
      </c>
      <c r="G85" s="14" t="s">
        <v>1033</v>
      </c>
      <c r="H85" s="14">
        <v>2035515448</v>
      </c>
      <c r="I85" s="14" t="s">
        <v>1034</v>
      </c>
      <c r="J85" s="14" t="s">
        <v>732</v>
      </c>
      <c r="L85" s="14">
        <v>2</v>
      </c>
      <c r="M85" s="14">
        <v>6</v>
      </c>
      <c r="N85" s="14" t="s">
        <v>1035</v>
      </c>
      <c r="U85" s="14">
        <v>0</v>
      </c>
      <c r="AB85" s="14">
        <v>0</v>
      </c>
      <c r="AI85" s="14">
        <v>0</v>
      </c>
      <c r="AP85" s="14">
        <v>0</v>
      </c>
      <c r="AW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R85" s="14">
        <v>0</v>
      </c>
      <c r="BY85" s="14">
        <v>0</v>
      </c>
      <c r="CF85" s="14">
        <v>0</v>
      </c>
      <c r="CM85" s="14">
        <v>0</v>
      </c>
      <c r="CT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 t="s">
        <v>598</v>
      </c>
      <c r="DJ85" s="14" t="s">
        <v>598</v>
      </c>
      <c r="DK85" s="14" t="s">
        <v>598</v>
      </c>
      <c r="DL85" s="14" t="s">
        <v>598</v>
      </c>
      <c r="DM85" s="14" t="s">
        <v>598</v>
      </c>
      <c r="DN85" s="14" t="s">
        <v>598</v>
      </c>
      <c r="DO85" s="14" t="s">
        <v>598</v>
      </c>
      <c r="DP85" s="14" t="s">
        <v>598</v>
      </c>
      <c r="DQ85" s="14" t="s">
        <v>598</v>
      </c>
      <c r="DR85" s="14" t="s">
        <v>598</v>
      </c>
      <c r="DS85" s="14" t="s">
        <v>598</v>
      </c>
      <c r="DT85" s="14" t="s">
        <v>598</v>
      </c>
      <c r="DU85" s="14" t="s">
        <v>598</v>
      </c>
      <c r="DV85" s="14" t="s">
        <v>598</v>
      </c>
      <c r="DW85" s="14" t="s">
        <v>598</v>
      </c>
      <c r="DX85" s="14" t="s">
        <v>598</v>
      </c>
      <c r="DY85" s="14" t="s">
        <v>598</v>
      </c>
      <c r="DZ85" s="14" t="s">
        <v>598</v>
      </c>
      <c r="EA85" s="14" t="s">
        <v>598</v>
      </c>
      <c r="EB85" s="14" t="s">
        <v>598</v>
      </c>
      <c r="EC85" s="14" t="s">
        <v>598</v>
      </c>
      <c r="ED85" s="14" t="s">
        <v>598</v>
      </c>
      <c r="EE85" s="14" t="s">
        <v>598</v>
      </c>
      <c r="EF85" s="14" t="s">
        <v>598</v>
      </c>
      <c r="EG85" s="14" t="s">
        <v>598</v>
      </c>
      <c r="EH85" s="14" t="s">
        <v>598</v>
      </c>
      <c r="EI85" s="14" t="s">
        <v>598</v>
      </c>
      <c r="EJ85" s="14" t="s">
        <v>598</v>
      </c>
      <c r="EK85" s="14" t="s">
        <v>598</v>
      </c>
      <c r="EL85" s="14" t="s">
        <v>598</v>
      </c>
      <c r="EM85" s="14" t="s">
        <v>598</v>
      </c>
      <c r="EN85" s="14" t="s">
        <v>598</v>
      </c>
      <c r="EO85" s="14" t="s">
        <v>598</v>
      </c>
      <c r="EP85" s="14" t="s">
        <v>598</v>
      </c>
      <c r="EQ85" s="14" t="s">
        <v>598</v>
      </c>
      <c r="ER85" s="14" t="s">
        <v>598</v>
      </c>
      <c r="EY85" s="14">
        <v>0</v>
      </c>
      <c r="FF85" s="14">
        <v>0</v>
      </c>
      <c r="FM85" s="14">
        <v>0</v>
      </c>
      <c r="FT85" s="14">
        <v>0</v>
      </c>
      <c r="GA85" s="14">
        <v>0</v>
      </c>
      <c r="GH85" s="14">
        <v>0</v>
      </c>
      <c r="GO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K85" s="14">
        <v>0</v>
      </c>
      <c r="HR85" s="14">
        <v>0</v>
      </c>
      <c r="HY85" s="14">
        <v>0</v>
      </c>
      <c r="IF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Z85" s="14">
        <v>3</v>
      </c>
      <c r="JA85" s="14">
        <v>1</v>
      </c>
      <c r="JB85" s="14">
        <v>2</v>
      </c>
      <c r="JC85" s="14" t="s">
        <v>600</v>
      </c>
      <c r="NF85" s="14" t="s">
        <v>601</v>
      </c>
      <c r="RI85" s="14" t="s">
        <v>602</v>
      </c>
      <c r="VL85" s="14" t="s">
        <v>603</v>
      </c>
      <c r="ZO85" s="14" t="s">
        <v>604</v>
      </c>
      <c r="ADR85" s="14" t="s">
        <v>605</v>
      </c>
    </row>
    <row r="86" spans="1:798" x14ac:dyDescent="0.25">
      <c r="A86" s="14">
        <v>204</v>
      </c>
      <c r="B86" s="14" t="s">
        <v>889</v>
      </c>
      <c r="C86" s="16">
        <f>VLOOKUP(A86,[4]RawData!Z:AA,2,FALSE)</f>
        <v>42779.347916666666</v>
      </c>
      <c r="D86" s="14" t="s">
        <v>1036</v>
      </c>
      <c r="E86" s="14" t="s">
        <v>1037</v>
      </c>
      <c r="F86" s="14" t="s">
        <v>652</v>
      </c>
      <c r="G86" s="14" t="s">
        <v>1038</v>
      </c>
      <c r="H86" s="14">
        <v>4989599890861</v>
      </c>
      <c r="I86" s="14" t="s">
        <v>894</v>
      </c>
      <c r="J86" s="14" t="s">
        <v>732</v>
      </c>
      <c r="L86" s="14">
        <v>1</v>
      </c>
      <c r="U86" s="14">
        <v>0</v>
      </c>
      <c r="V86" s="14">
        <v>158</v>
      </c>
      <c r="AB86" s="14">
        <v>158</v>
      </c>
      <c r="AI86" s="14">
        <v>0</v>
      </c>
      <c r="AP86" s="14">
        <v>0</v>
      </c>
      <c r="AW86" s="14">
        <v>0</v>
      </c>
      <c r="BD86" s="14">
        <v>0</v>
      </c>
      <c r="BE86" s="14">
        <v>158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158</v>
      </c>
      <c r="BR86" s="14">
        <v>0</v>
      </c>
      <c r="BS86" s="14">
        <v>2</v>
      </c>
      <c r="BY86" s="14">
        <v>2</v>
      </c>
      <c r="CF86" s="14">
        <v>0</v>
      </c>
      <c r="CM86" s="14">
        <v>0</v>
      </c>
      <c r="CT86" s="14">
        <v>0</v>
      </c>
      <c r="DA86" s="14">
        <v>0</v>
      </c>
      <c r="DB86" s="14">
        <v>2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2</v>
      </c>
      <c r="DI86" s="14" t="s">
        <v>598</v>
      </c>
      <c r="DJ86" s="14" t="s">
        <v>598</v>
      </c>
      <c r="DK86" s="14" t="s">
        <v>598</v>
      </c>
      <c r="DL86" s="14" t="s">
        <v>598</v>
      </c>
      <c r="DM86" s="14" t="s">
        <v>598</v>
      </c>
      <c r="DN86" s="14" t="s">
        <v>598</v>
      </c>
      <c r="DO86" s="14" t="s">
        <v>597</v>
      </c>
      <c r="DP86" s="14" t="s">
        <v>598</v>
      </c>
      <c r="DQ86" s="14" t="s">
        <v>598</v>
      </c>
      <c r="DR86" s="14" t="s">
        <v>598</v>
      </c>
      <c r="DS86" s="14" t="s">
        <v>598</v>
      </c>
      <c r="DT86" s="14" t="s">
        <v>598</v>
      </c>
      <c r="DU86" s="14" t="s">
        <v>598</v>
      </c>
      <c r="DV86" s="14" t="s">
        <v>598</v>
      </c>
      <c r="DW86" s="14" t="s">
        <v>598</v>
      </c>
      <c r="DX86" s="14" t="s">
        <v>598</v>
      </c>
      <c r="DY86" s="14" t="s">
        <v>598</v>
      </c>
      <c r="DZ86" s="14" t="s">
        <v>598</v>
      </c>
      <c r="EA86" s="14" t="s">
        <v>598</v>
      </c>
      <c r="EB86" s="14" t="s">
        <v>598</v>
      </c>
      <c r="EC86" s="14" t="s">
        <v>598</v>
      </c>
      <c r="ED86" s="14" t="s">
        <v>598</v>
      </c>
      <c r="EE86" s="14" t="s">
        <v>598</v>
      </c>
      <c r="EF86" s="14" t="s">
        <v>598</v>
      </c>
      <c r="EG86" s="14" t="s">
        <v>598</v>
      </c>
      <c r="EH86" s="14" t="s">
        <v>598</v>
      </c>
      <c r="EI86" s="14" t="s">
        <v>598</v>
      </c>
      <c r="EJ86" s="14" t="s">
        <v>598</v>
      </c>
      <c r="EK86" s="14" t="s">
        <v>598</v>
      </c>
      <c r="EL86" s="14" t="s">
        <v>598</v>
      </c>
      <c r="EM86" s="14" t="s">
        <v>598</v>
      </c>
      <c r="EN86" s="14" t="s">
        <v>598</v>
      </c>
      <c r="EO86" s="14" t="s">
        <v>598</v>
      </c>
      <c r="EP86" s="14" t="s">
        <v>598</v>
      </c>
      <c r="EQ86" s="14" t="s">
        <v>598</v>
      </c>
      <c r="ER86" s="14" t="s">
        <v>598</v>
      </c>
      <c r="ES86" s="14">
        <v>95</v>
      </c>
      <c r="EY86" s="14">
        <v>95</v>
      </c>
      <c r="EZ86" s="14">
        <v>45</v>
      </c>
      <c r="FF86" s="14">
        <v>45</v>
      </c>
      <c r="FM86" s="14">
        <v>0</v>
      </c>
      <c r="FT86" s="14">
        <v>0</v>
      </c>
      <c r="GA86" s="14">
        <v>0</v>
      </c>
      <c r="GH86" s="14">
        <v>0</v>
      </c>
      <c r="GI86" s="14">
        <v>8</v>
      </c>
      <c r="GO86" s="14">
        <v>8</v>
      </c>
      <c r="GP86" s="14" t="s">
        <v>1039</v>
      </c>
      <c r="GQ86" s="14">
        <v>10</v>
      </c>
      <c r="GW86" s="14">
        <v>10</v>
      </c>
      <c r="GX86" s="14">
        <v>158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158</v>
      </c>
      <c r="HK86" s="14">
        <v>0</v>
      </c>
      <c r="HL86" s="14">
        <v>158</v>
      </c>
      <c r="HR86" s="14">
        <v>158</v>
      </c>
      <c r="HY86" s="14">
        <v>0</v>
      </c>
      <c r="IF86" s="14">
        <v>0</v>
      </c>
      <c r="IM86" s="14">
        <v>0</v>
      </c>
      <c r="IN86" s="14">
        <v>158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158</v>
      </c>
      <c r="IU86" s="14">
        <v>41</v>
      </c>
      <c r="IW86" s="14">
        <v>59</v>
      </c>
      <c r="IZ86" s="14">
        <v>1</v>
      </c>
      <c r="JA86" s="14">
        <v>3</v>
      </c>
      <c r="JB86" s="14">
        <v>1</v>
      </c>
      <c r="JC86" s="14" t="s">
        <v>600</v>
      </c>
      <c r="NF86" s="14" t="s">
        <v>601</v>
      </c>
      <c r="NG86" s="14">
        <v>95</v>
      </c>
      <c r="NM86" s="14">
        <v>95</v>
      </c>
      <c r="NN86" s="14">
        <v>45</v>
      </c>
      <c r="NT86" s="14">
        <v>45</v>
      </c>
      <c r="OA86" s="14">
        <v>0</v>
      </c>
      <c r="OH86" s="14">
        <v>0</v>
      </c>
      <c r="OO86" s="14">
        <v>0</v>
      </c>
      <c r="OV86" s="14">
        <v>0</v>
      </c>
      <c r="OW86" s="14">
        <v>8</v>
      </c>
      <c r="PC86" s="14">
        <v>8</v>
      </c>
      <c r="PD86" s="14" t="s">
        <v>1039</v>
      </c>
      <c r="PE86" s="14">
        <v>10</v>
      </c>
      <c r="PK86" s="14">
        <v>10</v>
      </c>
      <c r="PL86" s="14">
        <v>158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158</v>
      </c>
      <c r="PS86" s="14">
        <v>158</v>
      </c>
      <c r="PY86" s="14">
        <v>158</v>
      </c>
      <c r="QF86" s="14">
        <v>0</v>
      </c>
      <c r="QM86" s="14">
        <v>0</v>
      </c>
      <c r="QT86" s="14">
        <v>0</v>
      </c>
      <c r="RA86" s="14">
        <v>0</v>
      </c>
      <c r="RB86" s="14">
        <v>158</v>
      </c>
      <c r="RC86" s="14">
        <v>0</v>
      </c>
      <c r="RD86" s="14">
        <v>0</v>
      </c>
      <c r="RE86" s="14">
        <v>0</v>
      </c>
      <c r="RF86" s="14">
        <v>0</v>
      </c>
      <c r="RG86" s="14">
        <v>0</v>
      </c>
      <c r="RH86" s="14">
        <v>158</v>
      </c>
      <c r="RI86" s="14" t="s">
        <v>602</v>
      </c>
      <c r="VL86" s="14" t="s">
        <v>603</v>
      </c>
      <c r="ZO86" s="14" t="s">
        <v>604</v>
      </c>
      <c r="ADR86" s="14" t="s">
        <v>605</v>
      </c>
    </row>
    <row r="87" spans="1:798" x14ac:dyDescent="0.25">
      <c r="A87" s="14">
        <v>93</v>
      </c>
      <c r="B87" s="14" t="s">
        <v>889</v>
      </c>
      <c r="C87" s="16">
        <f>VLOOKUP(A87,[4]RawData!Z:AA,2,FALSE)</f>
        <v>42748.531944444447</v>
      </c>
      <c r="D87" s="14" t="s">
        <v>1040</v>
      </c>
      <c r="E87" s="14" t="s">
        <v>1041</v>
      </c>
      <c r="F87" s="14" t="s">
        <v>1042</v>
      </c>
      <c r="G87" s="14" t="s">
        <v>1043</v>
      </c>
      <c r="H87" s="14">
        <v>41443320080</v>
      </c>
      <c r="I87" s="14" t="s">
        <v>1044</v>
      </c>
      <c r="J87" s="14" t="s">
        <v>732</v>
      </c>
      <c r="L87" s="14">
        <v>1</v>
      </c>
      <c r="U87" s="14">
        <v>0</v>
      </c>
      <c r="V87" s="14">
        <v>86</v>
      </c>
      <c r="Y87" s="14">
        <v>63</v>
      </c>
      <c r="AB87" s="14">
        <v>149</v>
      </c>
      <c r="AI87" s="14">
        <v>0</v>
      </c>
      <c r="AN87" s="14">
        <v>340</v>
      </c>
      <c r="AP87" s="14">
        <v>340</v>
      </c>
      <c r="AW87" s="14">
        <v>0</v>
      </c>
      <c r="BD87" s="14">
        <v>0</v>
      </c>
      <c r="BE87" s="14">
        <v>86</v>
      </c>
      <c r="BF87" s="14">
        <v>0</v>
      </c>
      <c r="BG87" s="14">
        <v>0</v>
      </c>
      <c r="BH87" s="14">
        <v>63</v>
      </c>
      <c r="BI87" s="14">
        <v>340</v>
      </c>
      <c r="BJ87" s="14">
        <v>0</v>
      </c>
      <c r="BK87" s="14">
        <v>489</v>
      </c>
      <c r="BR87" s="14">
        <v>0</v>
      </c>
      <c r="BS87" s="14">
        <v>2</v>
      </c>
      <c r="BV87" s="14">
        <v>3</v>
      </c>
      <c r="BY87" s="14">
        <v>5</v>
      </c>
      <c r="CF87" s="14">
        <v>0</v>
      </c>
      <c r="CK87" s="14">
        <v>1</v>
      </c>
      <c r="CM87" s="14">
        <v>1</v>
      </c>
      <c r="CT87" s="14">
        <v>0</v>
      </c>
      <c r="DA87" s="14">
        <v>0</v>
      </c>
      <c r="DB87" s="14">
        <v>2</v>
      </c>
      <c r="DC87" s="14">
        <v>0</v>
      </c>
      <c r="DD87" s="14">
        <v>0</v>
      </c>
      <c r="DE87" s="14">
        <v>3</v>
      </c>
      <c r="DF87" s="14">
        <v>1</v>
      </c>
      <c r="DG87" s="14">
        <v>0</v>
      </c>
      <c r="DH87" s="14">
        <v>6</v>
      </c>
      <c r="DI87" s="14" t="s">
        <v>598</v>
      </c>
      <c r="DJ87" s="14" t="s">
        <v>598</v>
      </c>
      <c r="DK87" s="14" t="s">
        <v>598</v>
      </c>
      <c r="DL87" s="14" t="s">
        <v>598</v>
      </c>
      <c r="DM87" s="14" t="s">
        <v>598</v>
      </c>
      <c r="DN87" s="14" t="s">
        <v>598</v>
      </c>
      <c r="DO87" s="14" t="s">
        <v>597</v>
      </c>
      <c r="DP87" s="14" t="s">
        <v>598</v>
      </c>
      <c r="DQ87" s="14" t="s">
        <v>598</v>
      </c>
      <c r="DR87" s="14" t="s">
        <v>597</v>
      </c>
      <c r="DS87" s="14" t="s">
        <v>598</v>
      </c>
      <c r="DT87" s="14" t="s">
        <v>598</v>
      </c>
      <c r="DU87" s="14" t="s">
        <v>598</v>
      </c>
      <c r="DV87" s="14" t="s">
        <v>598</v>
      </c>
      <c r="DW87" s="14" t="s">
        <v>598</v>
      </c>
      <c r="DX87" s="14" t="s">
        <v>598</v>
      </c>
      <c r="DY87" s="14" t="s">
        <v>598</v>
      </c>
      <c r="DZ87" s="14" t="s">
        <v>598</v>
      </c>
      <c r="EA87" s="14" t="s">
        <v>598</v>
      </c>
      <c r="EB87" s="14" t="s">
        <v>598</v>
      </c>
      <c r="EC87" s="14" t="s">
        <v>598</v>
      </c>
      <c r="ED87" s="14" t="s">
        <v>598</v>
      </c>
      <c r="EE87" s="14" t="s">
        <v>597</v>
      </c>
      <c r="EF87" s="14" t="s">
        <v>598</v>
      </c>
      <c r="EG87" s="14" t="s">
        <v>598</v>
      </c>
      <c r="EH87" s="14" t="s">
        <v>598</v>
      </c>
      <c r="EI87" s="14" t="s">
        <v>598</v>
      </c>
      <c r="EJ87" s="14" t="s">
        <v>598</v>
      </c>
      <c r="EK87" s="14" t="s">
        <v>598</v>
      </c>
      <c r="EL87" s="14" t="s">
        <v>598</v>
      </c>
      <c r="EM87" s="14" t="s">
        <v>598</v>
      </c>
      <c r="EN87" s="14" t="s">
        <v>598</v>
      </c>
      <c r="EO87" s="14" t="s">
        <v>598</v>
      </c>
      <c r="EP87" s="14" t="s">
        <v>598</v>
      </c>
      <c r="EQ87" s="14" t="s">
        <v>598</v>
      </c>
      <c r="ER87" s="14" t="s">
        <v>598</v>
      </c>
      <c r="ES87" s="14">
        <v>50</v>
      </c>
      <c r="EY87" s="14">
        <v>50</v>
      </c>
      <c r="FD87" s="14">
        <v>340</v>
      </c>
      <c r="FF87" s="14">
        <v>340</v>
      </c>
      <c r="FM87" s="14">
        <v>0</v>
      </c>
      <c r="FT87" s="14">
        <v>0</v>
      </c>
      <c r="GA87" s="14">
        <v>0</v>
      </c>
      <c r="GH87" s="14">
        <v>0</v>
      </c>
      <c r="GI87" s="14">
        <v>36</v>
      </c>
      <c r="GL87" s="14">
        <v>63</v>
      </c>
      <c r="GO87" s="14">
        <v>99</v>
      </c>
      <c r="GW87" s="14">
        <v>0</v>
      </c>
      <c r="GX87" s="14">
        <v>86</v>
      </c>
      <c r="GY87" s="14">
        <v>0</v>
      </c>
      <c r="GZ87" s="14">
        <v>0</v>
      </c>
      <c r="HA87" s="14">
        <v>63</v>
      </c>
      <c r="HB87" s="14">
        <v>340</v>
      </c>
      <c r="HC87" s="14">
        <v>0</v>
      </c>
      <c r="HD87" s="14">
        <v>489</v>
      </c>
      <c r="HK87" s="14">
        <v>0</v>
      </c>
      <c r="HL87" s="14">
        <v>50</v>
      </c>
      <c r="HP87" s="14">
        <v>340</v>
      </c>
      <c r="HR87" s="14">
        <v>390</v>
      </c>
      <c r="HY87" s="14">
        <v>0</v>
      </c>
      <c r="IF87" s="14">
        <v>0</v>
      </c>
      <c r="IM87" s="14">
        <v>0</v>
      </c>
      <c r="IN87" s="14">
        <v>50</v>
      </c>
      <c r="IO87" s="14">
        <v>0</v>
      </c>
      <c r="IP87" s="14">
        <v>0</v>
      </c>
      <c r="IQ87" s="14">
        <v>0</v>
      </c>
      <c r="IR87" s="14">
        <v>340</v>
      </c>
      <c r="IS87" s="14">
        <v>0</v>
      </c>
      <c r="IT87" s="14">
        <v>390</v>
      </c>
      <c r="IZ87" s="14">
        <v>1</v>
      </c>
      <c r="JA87" s="14">
        <v>3</v>
      </c>
      <c r="JB87" s="14">
        <v>1</v>
      </c>
      <c r="JC87" s="14" t="s">
        <v>600</v>
      </c>
      <c r="NF87" s="14" t="s">
        <v>601</v>
      </c>
      <c r="RI87" s="14" t="s">
        <v>602</v>
      </c>
      <c r="VL87" s="14" t="s">
        <v>603</v>
      </c>
      <c r="ZO87" s="14" t="s">
        <v>604</v>
      </c>
      <c r="ADR87" s="14" t="s">
        <v>605</v>
      </c>
    </row>
    <row r="88" spans="1:798" x14ac:dyDescent="0.25">
      <c r="A88" s="14">
        <v>62</v>
      </c>
      <c r="B88" s="14" t="s">
        <v>889</v>
      </c>
      <c r="C88" s="16">
        <f>VLOOKUP(A88,[4]RawData!Z:AA,2,FALSE)</f>
        <v>42760.459027777775</v>
      </c>
      <c r="D88" s="14" t="s">
        <v>1045</v>
      </c>
      <c r="E88" s="14" t="s">
        <v>1046</v>
      </c>
      <c r="F88" s="14" t="s">
        <v>636</v>
      </c>
      <c r="G88" s="14" t="s">
        <v>1047</v>
      </c>
      <c r="H88" s="14" t="s">
        <v>1048</v>
      </c>
      <c r="I88" s="14" t="s">
        <v>979</v>
      </c>
      <c r="J88" s="14" t="s">
        <v>732</v>
      </c>
      <c r="L88" s="14">
        <v>1</v>
      </c>
      <c r="U88" s="14">
        <v>0</v>
      </c>
      <c r="V88" s="14">
        <v>250</v>
      </c>
      <c r="AB88" s="14">
        <v>250</v>
      </c>
      <c r="AI88" s="14">
        <v>0</v>
      </c>
      <c r="AP88" s="14">
        <v>0</v>
      </c>
      <c r="AW88" s="14">
        <v>0</v>
      </c>
      <c r="BD88" s="14">
        <v>0</v>
      </c>
      <c r="BE88" s="14">
        <v>250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250</v>
      </c>
      <c r="BR88" s="14">
        <v>0</v>
      </c>
      <c r="BS88" s="14">
        <v>2</v>
      </c>
      <c r="BY88" s="14">
        <v>2</v>
      </c>
      <c r="CF88" s="14">
        <v>0</v>
      </c>
      <c r="CM88" s="14">
        <v>0</v>
      </c>
      <c r="CT88" s="14">
        <v>0</v>
      </c>
      <c r="DA88" s="14">
        <v>0</v>
      </c>
      <c r="DB88" s="14">
        <v>2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2</v>
      </c>
      <c r="DI88" s="14" t="s">
        <v>598</v>
      </c>
      <c r="DJ88" s="14" t="s">
        <v>598</v>
      </c>
      <c r="DK88" s="14" t="s">
        <v>598</v>
      </c>
      <c r="DL88" s="14" t="s">
        <v>598</v>
      </c>
      <c r="DM88" s="14" t="s">
        <v>598</v>
      </c>
      <c r="DN88" s="14" t="s">
        <v>598</v>
      </c>
      <c r="DO88" s="14" t="s">
        <v>597</v>
      </c>
      <c r="DP88" s="14" t="s">
        <v>598</v>
      </c>
      <c r="DQ88" s="14" t="s">
        <v>598</v>
      </c>
      <c r="DR88" s="14" t="s">
        <v>598</v>
      </c>
      <c r="DS88" s="14" t="s">
        <v>598</v>
      </c>
      <c r="DT88" s="14" t="s">
        <v>598</v>
      </c>
      <c r="DU88" s="14" t="s">
        <v>598</v>
      </c>
      <c r="DV88" s="14" t="s">
        <v>598</v>
      </c>
      <c r="DW88" s="14" t="s">
        <v>598</v>
      </c>
      <c r="DX88" s="14" t="s">
        <v>598</v>
      </c>
      <c r="DY88" s="14" t="s">
        <v>598</v>
      </c>
      <c r="DZ88" s="14" t="s">
        <v>598</v>
      </c>
      <c r="EA88" s="14" t="s">
        <v>598</v>
      </c>
      <c r="EB88" s="14" t="s">
        <v>598</v>
      </c>
      <c r="EC88" s="14" t="s">
        <v>598</v>
      </c>
      <c r="ED88" s="14" t="s">
        <v>598</v>
      </c>
      <c r="EE88" s="14" t="s">
        <v>598</v>
      </c>
      <c r="EF88" s="14" t="s">
        <v>598</v>
      </c>
      <c r="EG88" s="14" t="s">
        <v>598</v>
      </c>
      <c r="EH88" s="14" t="s">
        <v>598</v>
      </c>
      <c r="EI88" s="14" t="s">
        <v>598</v>
      </c>
      <c r="EJ88" s="14" t="s">
        <v>598</v>
      </c>
      <c r="EK88" s="14" t="s">
        <v>598</v>
      </c>
      <c r="EL88" s="14" t="s">
        <v>598</v>
      </c>
      <c r="EM88" s="14" t="s">
        <v>598</v>
      </c>
      <c r="EN88" s="14" t="s">
        <v>598</v>
      </c>
      <c r="EO88" s="14" t="s">
        <v>598</v>
      </c>
      <c r="EP88" s="14" t="s">
        <v>598</v>
      </c>
      <c r="EQ88" s="14" t="s">
        <v>598</v>
      </c>
      <c r="ER88" s="14" t="s">
        <v>598</v>
      </c>
      <c r="ES88" s="14">
        <v>40</v>
      </c>
      <c r="EY88" s="14">
        <v>40</v>
      </c>
      <c r="EZ88" s="14">
        <v>185</v>
      </c>
      <c r="FF88" s="14">
        <v>185</v>
      </c>
      <c r="FM88" s="14">
        <v>0</v>
      </c>
      <c r="FT88" s="14">
        <v>0</v>
      </c>
      <c r="GA88" s="14">
        <v>0</v>
      </c>
      <c r="GH88" s="14">
        <v>0</v>
      </c>
      <c r="GO88" s="14">
        <v>0</v>
      </c>
      <c r="GP88" s="14" t="s">
        <v>1049</v>
      </c>
      <c r="GQ88" s="14">
        <v>25</v>
      </c>
      <c r="GW88" s="14">
        <v>25</v>
      </c>
      <c r="GX88" s="14">
        <v>250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250</v>
      </c>
      <c r="HK88" s="14">
        <v>0</v>
      </c>
      <c r="HL88" s="14">
        <v>250</v>
      </c>
      <c r="HR88" s="14">
        <v>250</v>
      </c>
      <c r="HY88" s="14">
        <v>0</v>
      </c>
      <c r="IF88" s="14">
        <v>0</v>
      </c>
      <c r="IM88" s="14">
        <v>0</v>
      </c>
      <c r="IN88" s="14">
        <v>250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250</v>
      </c>
      <c r="IW88" s="14">
        <v>100</v>
      </c>
      <c r="IZ88" s="14">
        <v>3</v>
      </c>
      <c r="JA88" s="14">
        <v>3</v>
      </c>
      <c r="JB88" s="14">
        <v>1</v>
      </c>
      <c r="JC88" s="14" t="s">
        <v>600</v>
      </c>
      <c r="NF88" s="14" t="s">
        <v>601</v>
      </c>
      <c r="NG88" s="14">
        <v>40</v>
      </c>
      <c r="NM88" s="14">
        <v>40</v>
      </c>
      <c r="NN88" s="14">
        <v>185</v>
      </c>
      <c r="NT88" s="14">
        <v>185</v>
      </c>
      <c r="OA88" s="14">
        <v>0</v>
      </c>
      <c r="OH88" s="14">
        <v>0</v>
      </c>
      <c r="OO88" s="14">
        <v>0</v>
      </c>
      <c r="OV88" s="14">
        <v>0</v>
      </c>
      <c r="PC88" s="14">
        <v>0</v>
      </c>
      <c r="PD88" s="14" t="s">
        <v>1049</v>
      </c>
      <c r="PE88" s="14">
        <v>25</v>
      </c>
      <c r="PK88" s="14">
        <v>25</v>
      </c>
      <c r="PL88" s="14">
        <v>250</v>
      </c>
      <c r="PM88" s="14">
        <v>0</v>
      </c>
      <c r="PN88" s="14">
        <v>0</v>
      </c>
      <c r="PO88" s="14">
        <v>0</v>
      </c>
      <c r="PP88" s="14">
        <v>0</v>
      </c>
      <c r="PQ88" s="14">
        <v>0</v>
      </c>
      <c r="PR88" s="14">
        <v>250</v>
      </c>
      <c r="PS88" s="14">
        <v>250</v>
      </c>
      <c r="PY88" s="14">
        <v>250</v>
      </c>
      <c r="QF88" s="14">
        <v>0</v>
      </c>
      <c r="QM88" s="14">
        <v>0</v>
      </c>
      <c r="QT88" s="14">
        <v>0</v>
      </c>
      <c r="RA88" s="14">
        <v>0</v>
      </c>
      <c r="RB88" s="14">
        <v>250</v>
      </c>
      <c r="RC88" s="14">
        <v>0</v>
      </c>
      <c r="RD88" s="14">
        <v>0</v>
      </c>
      <c r="RE88" s="14">
        <v>0</v>
      </c>
      <c r="RF88" s="14">
        <v>0</v>
      </c>
      <c r="RG88" s="14">
        <v>0</v>
      </c>
      <c r="RH88" s="14">
        <v>250</v>
      </c>
      <c r="RI88" s="14" t="s">
        <v>602</v>
      </c>
      <c r="VL88" s="14" t="s">
        <v>603</v>
      </c>
      <c r="ZO88" s="14" t="s">
        <v>604</v>
      </c>
      <c r="ADR88" s="14" t="s">
        <v>605</v>
      </c>
    </row>
    <row r="89" spans="1:798" x14ac:dyDescent="0.25">
      <c r="A89" s="14">
        <v>188</v>
      </c>
      <c r="B89" s="14" t="s">
        <v>889</v>
      </c>
      <c r="C89" s="16">
        <f>VLOOKUP(A89,[4]RawData!Z:AA,2,FALSE)</f>
        <v>42774.457638888889</v>
      </c>
      <c r="D89" s="14" t="s">
        <v>1050</v>
      </c>
      <c r="E89" s="14" t="s">
        <v>1051</v>
      </c>
      <c r="F89" s="14" t="s">
        <v>1052</v>
      </c>
      <c r="G89" s="14" t="s">
        <v>1053</v>
      </c>
      <c r="H89" s="14" t="s">
        <v>1054</v>
      </c>
      <c r="I89" s="14" t="s">
        <v>950</v>
      </c>
      <c r="J89" s="14" t="s">
        <v>732</v>
      </c>
      <c r="L89" s="14">
        <v>1</v>
      </c>
      <c r="U89" s="14">
        <v>0</v>
      </c>
      <c r="V89" s="14">
        <v>90</v>
      </c>
      <c r="AB89" s="14">
        <v>90</v>
      </c>
      <c r="AI89" s="14">
        <v>0</v>
      </c>
      <c r="AP89" s="14">
        <v>0</v>
      </c>
      <c r="AW89" s="14">
        <v>0</v>
      </c>
      <c r="BD89" s="14">
        <v>0</v>
      </c>
      <c r="BE89" s="14">
        <v>90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90</v>
      </c>
      <c r="BR89" s="14">
        <v>0</v>
      </c>
      <c r="BS89" s="14">
        <v>1</v>
      </c>
      <c r="BY89" s="14">
        <v>1</v>
      </c>
      <c r="CF89" s="14">
        <v>0</v>
      </c>
      <c r="CM89" s="14">
        <v>0</v>
      </c>
      <c r="CT89" s="14">
        <v>0</v>
      </c>
      <c r="DA89" s="14">
        <v>0</v>
      </c>
      <c r="DB89" s="14">
        <v>1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1</v>
      </c>
      <c r="DI89" s="14" t="s">
        <v>598</v>
      </c>
      <c r="DJ89" s="14" t="s">
        <v>598</v>
      </c>
      <c r="DK89" s="14" t="s">
        <v>598</v>
      </c>
      <c r="DL89" s="14" t="s">
        <v>598</v>
      </c>
      <c r="DM89" s="14" t="s">
        <v>598</v>
      </c>
      <c r="DN89" s="14" t="s">
        <v>598</v>
      </c>
      <c r="DO89" s="14" t="s">
        <v>597</v>
      </c>
      <c r="DP89" s="14" t="s">
        <v>598</v>
      </c>
      <c r="DQ89" s="14" t="s">
        <v>598</v>
      </c>
      <c r="DR89" s="14" t="s">
        <v>598</v>
      </c>
      <c r="DS89" s="14" t="s">
        <v>598</v>
      </c>
      <c r="DT89" s="14" t="s">
        <v>598</v>
      </c>
      <c r="DU89" s="14" t="s">
        <v>598</v>
      </c>
      <c r="DV89" s="14" t="s">
        <v>598</v>
      </c>
      <c r="DW89" s="14" t="s">
        <v>598</v>
      </c>
      <c r="DX89" s="14" t="s">
        <v>598</v>
      </c>
      <c r="DY89" s="14" t="s">
        <v>598</v>
      </c>
      <c r="DZ89" s="14" t="s">
        <v>598</v>
      </c>
      <c r="EA89" s="14" t="s">
        <v>598</v>
      </c>
      <c r="EB89" s="14" t="s">
        <v>598</v>
      </c>
      <c r="EC89" s="14" t="s">
        <v>598</v>
      </c>
      <c r="ED89" s="14" t="s">
        <v>598</v>
      </c>
      <c r="EE89" s="14" t="s">
        <v>598</v>
      </c>
      <c r="EF89" s="14" t="s">
        <v>598</v>
      </c>
      <c r="EG89" s="14" t="s">
        <v>598</v>
      </c>
      <c r="EH89" s="14" t="s">
        <v>598</v>
      </c>
      <c r="EI89" s="14" t="s">
        <v>598</v>
      </c>
      <c r="EJ89" s="14" t="s">
        <v>598</v>
      </c>
      <c r="EK89" s="14" t="s">
        <v>598</v>
      </c>
      <c r="EL89" s="14" t="s">
        <v>598</v>
      </c>
      <c r="EM89" s="14" t="s">
        <v>598</v>
      </c>
      <c r="EN89" s="14" t="s">
        <v>598</v>
      </c>
      <c r="EO89" s="14" t="s">
        <v>598</v>
      </c>
      <c r="EP89" s="14" t="s">
        <v>598</v>
      </c>
      <c r="EQ89" s="14" t="s">
        <v>598</v>
      </c>
      <c r="ER89" s="14" t="s">
        <v>598</v>
      </c>
      <c r="ES89" s="14">
        <v>60</v>
      </c>
      <c r="EY89" s="14">
        <v>60</v>
      </c>
      <c r="FF89" s="14">
        <v>0</v>
      </c>
      <c r="FM89" s="14">
        <v>0</v>
      </c>
      <c r="FT89" s="14">
        <v>0</v>
      </c>
      <c r="FU89" s="14">
        <v>10</v>
      </c>
      <c r="GA89" s="14">
        <v>10</v>
      </c>
      <c r="GH89" s="14">
        <v>0</v>
      </c>
      <c r="GI89" s="14">
        <v>20</v>
      </c>
      <c r="GO89" s="14">
        <v>20</v>
      </c>
      <c r="GW89" s="14">
        <v>0</v>
      </c>
      <c r="GX89" s="14">
        <v>90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90</v>
      </c>
      <c r="HK89" s="14">
        <v>0</v>
      </c>
      <c r="HL89" s="14">
        <v>90</v>
      </c>
      <c r="HR89" s="14">
        <v>90</v>
      </c>
      <c r="HY89" s="14">
        <v>0</v>
      </c>
      <c r="IF89" s="14">
        <v>0</v>
      </c>
      <c r="IM89" s="14">
        <v>0</v>
      </c>
      <c r="IN89" s="14">
        <v>90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90</v>
      </c>
      <c r="IW89" s="14">
        <v>100</v>
      </c>
      <c r="IZ89" s="14">
        <v>3</v>
      </c>
      <c r="JA89" s="14">
        <v>3</v>
      </c>
      <c r="JB89" s="14">
        <v>1</v>
      </c>
      <c r="JC89" s="14" t="s">
        <v>600</v>
      </c>
      <c r="NF89" s="14" t="s">
        <v>601</v>
      </c>
      <c r="NG89" s="14">
        <v>60</v>
      </c>
      <c r="NM89" s="14">
        <v>60</v>
      </c>
      <c r="NT89" s="14">
        <v>0</v>
      </c>
      <c r="OA89" s="14">
        <v>0</v>
      </c>
      <c r="OH89" s="14">
        <v>0</v>
      </c>
      <c r="OO89" s="14">
        <v>0</v>
      </c>
      <c r="OP89" s="14">
        <v>10</v>
      </c>
      <c r="OV89" s="14">
        <v>10</v>
      </c>
      <c r="OW89" s="14">
        <v>20</v>
      </c>
      <c r="PC89" s="14">
        <v>20</v>
      </c>
      <c r="PK89" s="14">
        <v>0</v>
      </c>
      <c r="PL89" s="14">
        <v>90</v>
      </c>
      <c r="PM89" s="14">
        <v>0</v>
      </c>
      <c r="PN89" s="14">
        <v>0</v>
      </c>
      <c r="PO89" s="14">
        <v>0</v>
      </c>
      <c r="PP89" s="14">
        <v>0</v>
      </c>
      <c r="PQ89" s="14">
        <v>0</v>
      </c>
      <c r="PR89" s="14">
        <v>90</v>
      </c>
      <c r="PS89" s="14">
        <v>90</v>
      </c>
      <c r="PY89" s="14">
        <v>90</v>
      </c>
      <c r="QF89" s="14">
        <v>0</v>
      </c>
      <c r="QM89" s="14">
        <v>0</v>
      </c>
      <c r="QT89" s="14">
        <v>0</v>
      </c>
      <c r="RA89" s="14">
        <v>0</v>
      </c>
      <c r="RB89" s="14">
        <v>90</v>
      </c>
      <c r="RC89" s="14">
        <v>0</v>
      </c>
      <c r="RD89" s="14">
        <v>0</v>
      </c>
      <c r="RE89" s="14">
        <v>0</v>
      </c>
      <c r="RF89" s="14">
        <v>0</v>
      </c>
      <c r="RG89" s="14">
        <v>0</v>
      </c>
      <c r="RH89" s="14">
        <v>90</v>
      </c>
      <c r="RI89" s="14" t="s">
        <v>602</v>
      </c>
      <c r="VL89" s="14" t="s">
        <v>603</v>
      </c>
      <c r="ZO89" s="14" t="s">
        <v>604</v>
      </c>
      <c r="ADR89" s="14" t="s">
        <v>605</v>
      </c>
    </row>
    <row r="90" spans="1:798" x14ac:dyDescent="0.25">
      <c r="A90" s="14">
        <v>234</v>
      </c>
      <c r="B90" s="14" t="s">
        <v>889</v>
      </c>
      <c r="C90" s="16">
        <f t="shared" ref="C90:C91" si="8">$C$3</f>
        <v>42780</v>
      </c>
      <c r="D90" s="14" t="s">
        <v>1055</v>
      </c>
      <c r="E90" s="14" t="s">
        <v>1056</v>
      </c>
      <c r="F90" s="14" t="s">
        <v>908</v>
      </c>
      <c r="G90" s="14" t="s">
        <v>1057</v>
      </c>
      <c r="H90" s="14">
        <v>4915201528118</v>
      </c>
      <c r="I90" s="14" t="s">
        <v>894</v>
      </c>
      <c r="J90" s="14" t="s">
        <v>732</v>
      </c>
      <c r="L90" s="14">
        <v>1</v>
      </c>
      <c r="U90" s="14">
        <v>0</v>
      </c>
      <c r="V90" s="14">
        <v>135</v>
      </c>
      <c r="AB90" s="14">
        <v>135</v>
      </c>
      <c r="AI90" s="14">
        <v>0</v>
      </c>
      <c r="AP90" s="14">
        <v>0</v>
      </c>
      <c r="AW90" s="14">
        <v>0</v>
      </c>
      <c r="BD90" s="14">
        <v>0</v>
      </c>
      <c r="BE90" s="14">
        <v>135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135</v>
      </c>
      <c r="BR90" s="14">
        <v>0</v>
      </c>
      <c r="BS90" s="14">
        <v>1</v>
      </c>
      <c r="BY90" s="14">
        <v>1</v>
      </c>
      <c r="CF90" s="14">
        <v>0</v>
      </c>
      <c r="CM90" s="14">
        <v>0</v>
      </c>
      <c r="CT90" s="14">
        <v>0</v>
      </c>
      <c r="DA90" s="14">
        <v>0</v>
      </c>
      <c r="DB90" s="14">
        <v>1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1</v>
      </c>
      <c r="DI90" s="14" t="s">
        <v>598</v>
      </c>
      <c r="DJ90" s="14" t="s">
        <v>598</v>
      </c>
      <c r="DK90" s="14" t="s">
        <v>598</v>
      </c>
      <c r="DL90" s="14" t="s">
        <v>598</v>
      </c>
      <c r="DM90" s="14" t="s">
        <v>598</v>
      </c>
      <c r="DN90" s="14" t="s">
        <v>598</v>
      </c>
      <c r="DO90" s="14" t="s">
        <v>597</v>
      </c>
      <c r="DP90" s="14" t="s">
        <v>598</v>
      </c>
      <c r="DQ90" s="14" t="s">
        <v>598</v>
      </c>
      <c r="DR90" s="14" t="s">
        <v>598</v>
      </c>
      <c r="DS90" s="14" t="s">
        <v>598</v>
      </c>
      <c r="DT90" s="14" t="s">
        <v>598</v>
      </c>
      <c r="DU90" s="14" t="s">
        <v>598</v>
      </c>
      <c r="DV90" s="14" t="s">
        <v>598</v>
      </c>
      <c r="DW90" s="14" t="s">
        <v>598</v>
      </c>
      <c r="DX90" s="14" t="s">
        <v>598</v>
      </c>
      <c r="DY90" s="14" t="s">
        <v>598</v>
      </c>
      <c r="DZ90" s="14" t="s">
        <v>598</v>
      </c>
      <c r="EA90" s="14" t="s">
        <v>598</v>
      </c>
      <c r="EB90" s="14" t="s">
        <v>598</v>
      </c>
      <c r="EC90" s="14" t="s">
        <v>598</v>
      </c>
      <c r="ED90" s="14" t="s">
        <v>598</v>
      </c>
      <c r="EE90" s="14" t="s">
        <v>598</v>
      </c>
      <c r="EF90" s="14" t="s">
        <v>598</v>
      </c>
      <c r="EG90" s="14" t="s">
        <v>598</v>
      </c>
      <c r="EH90" s="14" t="s">
        <v>598</v>
      </c>
      <c r="EI90" s="14" t="s">
        <v>598</v>
      </c>
      <c r="EJ90" s="14" t="s">
        <v>598</v>
      </c>
      <c r="EK90" s="14" t="s">
        <v>598</v>
      </c>
      <c r="EL90" s="14" t="s">
        <v>598</v>
      </c>
      <c r="EM90" s="14" t="s">
        <v>598</v>
      </c>
      <c r="EN90" s="14" t="s">
        <v>598</v>
      </c>
      <c r="EO90" s="14" t="s">
        <v>598</v>
      </c>
      <c r="EP90" s="14" t="s">
        <v>598</v>
      </c>
      <c r="EQ90" s="14" t="s">
        <v>598</v>
      </c>
      <c r="ER90" s="14" t="s">
        <v>598</v>
      </c>
      <c r="ES90" s="14">
        <v>120</v>
      </c>
      <c r="EY90" s="14">
        <v>120</v>
      </c>
      <c r="FF90" s="14">
        <v>0</v>
      </c>
      <c r="FM90" s="14">
        <v>0</v>
      </c>
      <c r="FT90" s="14">
        <v>0</v>
      </c>
      <c r="FU90" s="14">
        <v>15</v>
      </c>
      <c r="GA90" s="14">
        <v>15</v>
      </c>
      <c r="GH90" s="14">
        <v>0</v>
      </c>
      <c r="GO90" s="14">
        <v>0</v>
      </c>
      <c r="GW90" s="14">
        <v>0</v>
      </c>
      <c r="GX90" s="14">
        <v>135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135</v>
      </c>
      <c r="HK90" s="14">
        <v>0</v>
      </c>
      <c r="HL90" s="14">
        <v>135</v>
      </c>
      <c r="HR90" s="14">
        <v>135</v>
      </c>
      <c r="HY90" s="14">
        <v>0</v>
      </c>
      <c r="IF90" s="14">
        <v>0</v>
      </c>
      <c r="IM90" s="14">
        <v>0</v>
      </c>
      <c r="IN90" s="14">
        <v>135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135</v>
      </c>
      <c r="IW90" s="14">
        <v>100</v>
      </c>
      <c r="IZ90" s="14">
        <v>1</v>
      </c>
      <c r="JA90" s="14">
        <v>3</v>
      </c>
      <c r="JB90" s="14">
        <v>1</v>
      </c>
      <c r="JC90" s="14" t="s">
        <v>600</v>
      </c>
      <c r="NF90" s="14" t="s">
        <v>601</v>
      </c>
      <c r="NG90" s="14">
        <v>120</v>
      </c>
      <c r="NM90" s="14">
        <v>120</v>
      </c>
      <c r="NT90" s="14">
        <v>0</v>
      </c>
      <c r="OA90" s="14">
        <v>0</v>
      </c>
      <c r="OH90" s="14">
        <v>0</v>
      </c>
      <c r="OI90" s="14">
        <v>15</v>
      </c>
      <c r="OO90" s="14">
        <v>15</v>
      </c>
      <c r="OV90" s="14">
        <v>0</v>
      </c>
      <c r="PC90" s="14">
        <v>0</v>
      </c>
      <c r="PK90" s="14">
        <v>0</v>
      </c>
      <c r="PL90" s="14">
        <v>135</v>
      </c>
      <c r="PM90" s="14">
        <v>0</v>
      </c>
      <c r="PN90" s="14">
        <v>0</v>
      </c>
      <c r="PO90" s="14">
        <v>0</v>
      </c>
      <c r="PP90" s="14">
        <v>0</v>
      </c>
      <c r="PQ90" s="14">
        <v>0</v>
      </c>
      <c r="PR90" s="14">
        <v>135</v>
      </c>
      <c r="PS90" s="14">
        <v>135</v>
      </c>
      <c r="PY90" s="14">
        <v>135</v>
      </c>
      <c r="QF90" s="14">
        <v>0</v>
      </c>
      <c r="QM90" s="14">
        <v>0</v>
      </c>
      <c r="QT90" s="14">
        <v>0</v>
      </c>
      <c r="RA90" s="14">
        <v>0</v>
      </c>
      <c r="RB90" s="14">
        <v>135</v>
      </c>
      <c r="RC90" s="14">
        <v>0</v>
      </c>
      <c r="RD90" s="14">
        <v>0</v>
      </c>
      <c r="RE90" s="14">
        <v>0</v>
      </c>
      <c r="RF90" s="14">
        <v>0</v>
      </c>
      <c r="RG90" s="14">
        <v>0</v>
      </c>
      <c r="RH90" s="14">
        <v>135</v>
      </c>
      <c r="RI90" s="14" t="s">
        <v>602</v>
      </c>
      <c r="VL90" s="14" t="s">
        <v>603</v>
      </c>
      <c r="ZO90" s="14" t="s">
        <v>604</v>
      </c>
      <c r="ADR90" s="14" t="s">
        <v>605</v>
      </c>
    </row>
    <row r="91" spans="1:798" x14ac:dyDescent="0.25">
      <c r="A91" s="14">
        <v>205</v>
      </c>
      <c r="B91" s="14" t="s">
        <v>889</v>
      </c>
      <c r="C91" s="16">
        <f t="shared" si="8"/>
        <v>42780</v>
      </c>
      <c r="D91" s="14" t="s">
        <v>1058</v>
      </c>
      <c r="E91" s="14" t="s">
        <v>1059</v>
      </c>
      <c r="F91" s="14" t="s">
        <v>1060</v>
      </c>
      <c r="G91" s="14" t="s">
        <v>1061</v>
      </c>
      <c r="H91" s="14">
        <v>2070163564</v>
      </c>
      <c r="I91" s="14" t="s">
        <v>731</v>
      </c>
      <c r="J91" s="14" t="s">
        <v>732</v>
      </c>
      <c r="L91" s="14">
        <v>1</v>
      </c>
      <c r="U91" s="14">
        <v>0</v>
      </c>
      <c r="V91" s="14">
        <v>419</v>
      </c>
      <c r="AB91" s="14">
        <v>419</v>
      </c>
      <c r="AI91" s="14">
        <v>0</v>
      </c>
      <c r="AP91" s="14">
        <v>0</v>
      </c>
      <c r="AW91" s="14">
        <v>0</v>
      </c>
      <c r="BD91" s="14">
        <v>0</v>
      </c>
      <c r="BE91" s="14">
        <v>419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419</v>
      </c>
      <c r="BR91" s="14">
        <v>0</v>
      </c>
      <c r="BS91" s="14">
        <v>3</v>
      </c>
      <c r="BY91" s="14">
        <v>3</v>
      </c>
      <c r="CF91" s="14">
        <v>0</v>
      </c>
      <c r="CM91" s="14">
        <v>0</v>
      </c>
      <c r="CT91" s="14">
        <v>0</v>
      </c>
      <c r="DA91" s="14">
        <v>0</v>
      </c>
      <c r="DB91" s="14">
        <v>3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3</v>
      </c>
      <c r="DI91" s="14" t="s">
        <v>598</v>
      </c>
      <c r="DJ91" s="14" t="s">
        <v>598</v>
      </c>
      <c r="DK91" s="14" t="s">
        <v>598</v>
      </c>
      <c r="DL91" s="14" t="s">
        <v>598</v>
      </c>
      <c r="DM91" s="14" t="s">
        <v>598</v>
      </c>
      <c r="DN91" s="14" t="s">
        <v>598</v>
      </c>
      <c r="DO91" s="14" t="s">
        <v>597</v>
      </c>
      <c r="DP91" s="14" t="s">
        <v>598</v>
      </c>
      <c r="DQ91" s="14" t="s">
        <v>598</v>
      </c>
      <c r="DR91" s="14" t="s">
        <v>598</v>
      </c>
      <c r="DS91" s="14" t="s">
        <v>598</v>
      </c>
      <c r="DT91" s="14" t="s">
        <v>598</v>
      </c>
      <c r="DU91" s="14" t="s">
        <v>598</v>
      </c>
      <c r="DV91" s="14" t="s">
        <v>598</v>
      </c>
      <c r="DW91" s="14" t="s">
        <v>598</v>
      </c>
      <c r="DX91" s="14" t="s">
        <v>598</v>
      </c>
      <c r="DY91" s="14" t="s">
        <v>598</v>
      </c>
      <c r="DZ91" s="14" t="s">
        <v>598</v>
      </c>
      <c r="EA91" s="14" t="s">
        <v>598</v>
      </c>
      <c r="EB91" s="14" t="s">
        <v>598</v>
      </c>
      <c r="EC91" s="14" t="s">
        <v>598</v>
      </c>
      <c r="ED91" s="14" t="s">
        <v>598</v>
      </c>
      <c r="EE91" s="14" t="s">
        <v>598</v>
      </c>
      <c r="EF91" s="14" t="s">
        <v>598</v>
      </c>
      <c r="EG91" s="14" t="s">
        <v>598</v>
      </c>
      <c r="EH91" s="14" t="s">
        <v>598</v>
      </c>
      <c r="EI91" s="14" t="s">
        <v>598</v>
      </c>
      <c r="EJ91" s="14" t="s">
        <v>598</v>
      </c>
      <c r="EK91" s="14" t="s">
        <v>598</v>
      </c>
      <c r="EL91" s="14" t="s">
        <v>598</v>
      </c>
      <c r="EM91" s="14" t="s">
        <v>598</v>
      </c>
      <c r="EN91" s="14" t="s">
        <v>598</v>
      </c>
      <c r="EO91" s="14" t="s">
        <v>598</v>
      </c>
      <c r="EP91" s="14" t="s">
        <v>598</v>
      </c>
      <c r="EQ91" s="14" t="s">
        <v>598</v>
      </c>
      <c r="ER91" s="14" t="s">
        <v>598</v>
      </c>
      <c r="ES91" s="14">
        <v>419</v>
      </c>
      <c r="EY91" s="14">
        <v>419</v>
      </c>
      <c r="FF91" s="14">
        <v>0</v>
      </c>
      <c r="FM91" s="14">
        <v>0</v>
      </c>
      <c r="FT91" s="14">
        <v>0</v>
      </c>
      <c r="GA91" s="14">
        <v>0</v>
      </c>
      <c r="GH91" s="14">
        <v>0</v>
      </c>
      <c r="GO91" s="14">
        <v>0</v>
      </c>
      <c r="GW91" s="14">
        <v>0</v>
      </c>
      <c r="GX91" s="14">
        <v>419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419</v>
      </c>
      <c r="HK91" s="14">
        <v>0</v>
      </c>
      <c r="HL91" s="14">
        <v>419</v>
      </c>
      <c r="HR91" s="14">
        <v>419</v>
      </c>
      <c r="HY91" s="14">
        <v>0</v>
      </c>
      <c r="IF91" s="14">
        <v>0</v>
      </c>
      <c r="IM91" s="14">
        <v>0</v>
      </c>
      <c r="IN91" s="14">
        <v>419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419</v>
      </c>
      <c r="IW91" s="14">
        <v>100</v>
      </c>
      <c r="IZ91" s="14">
        <v>1</v>
      </c>
      <c r="JA91" s="14">
        <v>3</v>
      </c>
      <c r="JB91" s="14">
        <v>1</v>
      </c>
      <c r="JC91" s="14" t="s">
        <v>600</v>
      </c>
      <c r="NF91" s="14" t="s">
        <v>601</v>
      </c>
      <c r="NG91" s="14">
        <v>419</v>
      </c>
      <c r="NM91" s="14">
        <v>419</v>
      </c>
      <c r="NT91" s="14">
        <v>0</v>
      </c>
      <c r="OA91" s="14">
        <v>0</v>
      </c>
      <c r="OH91" s="14">
        <v>0</v>
      </c>
      <c r="OO91" s="14">
        <v>0</v>
      </c>
      <c r="OV91" s="14">
        <v>0</v>
      </c>
      <c r="PC91" s="14">
        <v>0</v>
      </c>
      <c r="PK91" s="14">
        <v>0</v>
      </c>
      <c r="PL91" s="14">
        <v>419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419</v>
      </c>
      <c r="PS91" s="14">
        <v>419</v>
      </c>
      <c r="PY91" s="14">
        <v>419</v>
      </c>
      <c r="QF91" s="14">
        <v>0</v>
      </c>
      <c r="QM91" s="14">
        <v>0</v>
      </c>
      <c r="QT91" s="14">
        <v>0</v>
      </c>
      <c r="RA91" s="14">
        <v>0</v>
      </c>
      <c r="RB91" s="14">
        <v>419</v>
      </c>
      <c r="RC91" s="14">
        <v>0</v>
      </c>
      <c r="RD91" s="14">
        <v>0</v>
      </c>
      <c r="RE91" s="14">
        <v>0</v>
      </c>
      <c r="RF91" s="14">
        <v>0</v>
      </c>
      <c r="RG91" s="14">
        <v>0</v>
      </c>
      <c r="RH91" s="14">
        <v>419</v>
      </c>
      <c r="RI91" s="14" t="s">
        <v>602</v>
      </c>
      <c r="VL91" s="14" t="s">
        <v>603</v>
      </c>
      <c r="ZO91" s="14" t="s">
        <v>604</v>
      </c>
      <c r="ADR91" s="14" t="s">
        <v>605</v>
      </c>
    </row>
    <row r="92" spans="1:798" x14ac:dyDescent="0.25">
      <c r="A92" s="14">
        <v>112</v>
      </c>
      <c r="B92" s="14" t="s">
        <v>889</v>
      </c>
      <c r="C92" s="16">
        <f>VLOOKUP(A92,[4]RawData!Z:AA,2,FALSE)</f>
        <v>42779.491666666669</v>
      </c>
      <c r="D92" s="14" t="s">
        <v>1062</v>
      </c>
      <c r="E92" s="14" t="s">
        <v>1063</v>
      </c>
      <c r="F92" s="14" t="s">
        <v>708</v>
      </c>
      <c r="G92" s="14" t="s">
        <v>1064</v>
      </c>
      <c r="H92" s="14" t="s">
        <v>1065</v>
      </c>
      <c r="I92" s="14" t="s">
        <v>611</v>
      </c>
      <c r="J92" s="14" t="s">
        <v>596</v>
      </c>
      <c r="L92" s="14">
        <v>1</v>
      </c>
      <c r="O92" s="14">
        <v>220</v>
      </c>
      <c r="P92" s="14">
        <v>208</v>
      </c>
      <c r="R92" s="14">
        <v>26</v>
      </c>
      <c r="U92" s="14">
        <v>454</v>
      </c>
      <c r="V92" s="14">
        <v>348</v>
      </c>
      <c r="W92" s="14">
        <v>1006</v>
      </c>
      <c r="AA92" s="14">
        <v>195</v>
      </c>
      <c r="AB92" s="14">
        <v>1549</v>
      </c>
      <c r="AC92" s="14">
        <v>1297</v>
      </c>
      <c r="AD92" s="14">
        <v>300</v>
      </c>
      <c r="AI92" s="14">
        <v>1597</v>
      </c>
      <c r="AK92" s="14">
        <v>427</v>
      </c>
      <c r="AL92" s="14">
        <v>271</v>
      </c>
      <c r="AP92" s="14">
        <v>698</v>
      </c>
      <c r="AW92" s="14">
        <v>0</v>
      </c>
      <c r="BD92" s="14">
        <v>0</v>
      </c>
      <c r="BE92" s="14">
        <v>1865</v>
      </c>
      <c r="BF92" s="14">
        <v>1941</v>
      </c>
      <c r="BG92" s="14">
        <v>271</v>
      </c>
      <c r="BH92" s="14">
        <v>26</v>
      </c>
      <c r="BI92" s="14">
        <v>0</v>
      </c>
      <c r="BJ92" s="14">
        <v>195</v>
      </c>
      <c r="BK92" s="14">
        <v>4298</v>
      </c>
      <c r="BL92" s="14">
        <v>1</v>
      </c>
      <c r="BM92" s="14">
        <v>2</v>
      </c>
      <c r="BO92" s="14">
        <v>1</v>
      </c>
      <c r="BR92" s="14">
        <v>4</v>
      </c>
      <c r="BS92" s="14">
        <v>2</v>
      </c>
      <c r="BT92" s="14">
        <v>5</v>
      </c>
      <c r="BX92" s="14">
        <v>2</v>
      </c>
      <c r="BY92" s="14">
        <v>9</v>
      </c>
      <c r="BZ92" s="14">
        <v>3</v>
      </c>
      <c r="CA92" s="14">
        <v>1</v>
      </c>
      <c r="CF92" s="14">
        <v>4</v>
      </c>
      <c r="CH92" s="14">
        <v>1</v>
      </c>
      <c r="CI92" s="14">
        <v>1</v>
      </c>
      <c r="CM92" s="14">
        <v>2</v>
      </c>
      <c r="CT92" s="14">
        <v>0</v>
      </c>
      <c r="DA92" s="14">
        <v>0</v>
      </c>
      <c r="DB92" s="14">
        <v>6</v>
      </c>
      <c r="DC92" s="14">
        <v>9</v>
      </c>
      <c r="DD92" s="14">
        <v>1</v>
      </c>
      <c r="DE92" s="14">
        <v>1</v>
      </c>
      <c r="DF92" s="14">
        <v>0</v>
      </c>
      <c r="DG92" s="14">
        <v>2</v>
      </c>
      <c r="DH92" s="14">
        <v>19</v>
      </c>
      <c r="DI92" s="14" t="s">
        <v>597</v>
      </c>
      <c r="DJ92" s="14" t="s">
        <v>597</v>
      </c>
      <c r="DK92" s="14" t="s">
        <v>598</v>
      </c>
      <c r="DL92" s="14" t="s">
        <v>597</v>
      </c>
      <c r="DM92" s="14" t="s">
        <v>598</v>
      </c>
      <c r="DN92" s="14" t="s">
        <v>598</v>
      </c>
      <c r="DO92" s="14" t="s">
        <v>597</v>
      </c>
      <c r="DP92" s="14" t="s">
        <v>597</v>
      </c>
      <c r="DQ92" s="14" t="s">
        <v>598</v>
      </c>
      <c r="DR92" s="14" t="s">
        <v>598</v>
      </c>
      <c r="DS92" s="14" t="s">
        <v>598</v>
      </c>
      <c r="DT92" s="14" t="s">
        <v>597</v>
      </c>
      <c r="DU92" s="14" t="s">
        <v>597</v>
      </c>
      <c r="DV92" s="14" t="s">
        <v>597</v>
      </c>
      <c r="DW92" s="14" t="s">
        <v>598</v>
      </c>
      <c r="DX92" s="14" t="s">
        <v>598</v>
      </c>
      <c r="DY92" s="14" t="s">
        <v>598</v>
      </c>
      <c r="DZ92" s="14" t="s">
        <v>598</v>
      </c>
      <c r="EA92" s="14" t="s">
        <v>598</v>
      </c>
      <c r="EB92" s="14" t="s">
        <v>597</v>
      </c>
      <c r="EC92" s="14" t="s">
        <v>597</v>
      </c>
      <c r="ED92" s="14" t="s">
        <v>598</v>
      </c>
      <c r="EE92" s="14" t="s">
        <v>598</v>
      </c>
      <c r="EF92" s="14" t="s">
        <v>598</v>
      </c>
      <c r="EG92" s="14" t="s">
        <v>598</v>
      </c>
      <c r="EH92" s="14" t="s">
        <v>598</v>
      </c>
      <c r="EI92" s="14" t="s">
        <v>598</v>
      </c>
      <c r="EJ92" s="14" t="s">
        <v>598</v>
      </c>
      <c r="EK92" s="14" t="s">
        <v>598</v>
      </c>
      <c r="EL92" s="14" t="s">
        <v>598</v>
      </c>
      <c r="EM92" s="14" t="s">
        <v>598</v>
      </c>
      <c r="EN92" s="14" t="s">
        <v>598</v>
      </c>
      <c r="EO92" s="14" t="s">
        <v>598</v>
      </c>
      <c r="EP92" s="14" t="s">
        <v>598</v>
      </c>
      <c r="EQ92" s="14" t="s">
        <v>598</v>
      </c>
      <c r="ER92" s="14" t="s">
        <v>598</v>
      </c>
      <c r="ES92" s="14">
        <v>785</v>
      </c>
      <c r="ET92" s="14">
        <v>1299</v>
      </c>
      <c r="EX92" s="14">
        <v>168</v>
      </c>
      <c r="EY92" s="14">
        <v>2252</v>
      </c>
      <c r="EZ92" s="14">
        <v>87</v>
      </c>
      <c r="FB92" s="14">
        <v>271</v>
      </c>
      <c r="FF92" s="14">
        <v>358</v>
      </c>
      <c r="FG92" s="14">
        <v>40</v>
      </c>
      <c r="FH92" s="14">
        <v>458</v>
      </c>
      <c r="FM92" s="14">
        <v>498</v>
      </c>
      <c r="FT92" s="14">
        <v>0</v>
      </c>
      <c r="FU92" s="14">
        <v>134</v>
      </c>
      <c r="FV92" s="14">
        <v>177</v>
      </c>
      <c r="GA92" s="14">
        <v>311</v>
      </c>
      <c r="GB92" s="14">
        <v>120</v>
      </c>
      <c r="GH92" s="14">
        <v>120</v>
      </c>
      <c r="GI92" s="14">
        <v>648</v>
      </c>
      <c r="GJ92" s="14">
        <v>6</v>
      </c>
      <c r="GO92" s="14">
        <v>654</v>
      </c>
      <c r="GP92" s="14" t="s">
        <v>1066</v>
      </c>
      <c r="GQ92" s="14">
        <v>51</v>
      </c>
      <c r="GR92" s="14">
        <v>2</v>
      </c>
      <c r="GT92" s="14">
        <v>26</v>
      </c>
      <c r="GV92" s="14">
        <v>26</v>
      </c>
      <c r="GW92" s="14">
        <v>105</v>
      </c>
      <c r="GX92" s="14">
        <v>1865</v>
      </c>
      <c r="GY92" s="14">
        <v>1942</v>
      </c>
      <c r="GZ92" s="14">
        <v>271</v>
      </c>
      <c r="HA92" s="14">
        <v>26</v>
      </c>
      <c r="HB92" s="14">
        <v>0</v>
      </c>
      <c r="HC92" s="14">
        <v>194</v>
      </c>
      <c r="HD92" s="14">
        <v>4298</v>
      </c>
      <c r="HE92" s="14">
        <v>120</v>
      </c>
      <c r="HF92" s="14">
        <v>586</v>
      </c>
      <c r="HH92" s="14">
        <v>26</v>
      </c>
      <c r="HJ92" s="14">
        <v>96</v>
      </c>
      <c r="HK92" s="14">
        <v>828</v>
      </c>
      <c r="HL92" s="14">
        <v>389</v>
      </c>
      <c r="HM92" s="14">
        <v>1156</v>
      </c>
      <c r="HN92" s="14">
        <v>271</v>
      </c>
      <c r="HQ92" s="14">
        <v>98</v>
      </c>
      <c r="HR92" s="14">
        <v>1914</v>
      </c>
      <c r="HS92" s="14">
        <v>1356</v>
      </c>
      <c r="HT92" s="14">
        <v>200</v>
      </c>
      <c r="HY92" s="14">
        <v>1556</v>
      </c>
      <c r="IF92" s="14">
        <v>0</v>
      </c>
      <c r="IM92" s="14">
        <v>0</v>
      </c>
      <c r="IN92" s="14">
        <v>1865</v>
      </c>
      <c r="IO92" s="14">
        <v>1942</v>
      </c>
      <c r="IP92" s="14">
        <v>271</v>
      </c>
      <c r="IQ92" s="14">
        <v>26</v>
      </c>
      <c r="IR92" s="14">
        <v>0</v>
      </c>
      <c r="IS92" s="14">
        <v>194</v>
      </c>
      <c r="IT92" s="14">
        <v>4298</v>
      </c>
      <c r="IU92" s="14">
        <v>15</v>
      </c>
      <c r="IW92" s="14">
        <v>85</v>
      </c>
      <c r="IZ92" s="14">
        <v>3</v>
      </c>
      <c r="JA92" s="14">
        <v>3</v>
      </c>
      <c r="JB92" s="14">
        <v>1</v>
      </c>
      <c r="JC92" s="14" t="s">
        <v>600</v>
      </c>
      <c r="JD92" s="14">
        <v>150</v>
      </c>
      <c r="JE92" s="14">
        <v>200</v>
      </c>
      <c r="JJ92" s="14">
        <v>350</v>
      </c>
      <c r="JQ92" s="14">
        <v>0</v>
      </c>
      <c r="JR92" s="14">
        <v>40</v>
      </c>
      <c r="JX92" s="14">
        <v>40</v>
      </c>
      <c r="KE92" s="14">
        <v>0</v>
      </c>
      <c r="KL92" s="14">
        <v>0</v>
      </c>
      <c r="KS92" s="14">
        <v>0</v>
      </c>
      <c r="KU92" s="14">
        <v>6</v>
      </c>
      <c r="KZ92" s="14">
        <v>6</v>
      </c>
      <c r="LA92" s="14" t="s">
        <v>680</v>
      </c>
      <c r="LB92" s="14">
        <v>30</v>
      </c>
      <c r="LC92" s="14">
        <v>2</v>
      </c>
      <c r="LE92" s="14">
        <v>26</v>
      </c>
      <c r="LH92" s="14">
        <v>58</v>
      </c>
      <c r="LI92" s="14">
        <v>220</v>
      </c>
      <c r="LJ92" s="14">
        <v>208</v>
      </c>
      <c r="LK92" s="14">
        <v>0</v>
      </c>
      <c r="LL92" s="14">
        <v>26</v>
      </c>
      <c r="LM92" s="14">
        <v>0</v>
      </c>
      <c r="LN92" s="14">
        <v>0</v>
      </c>
      <c r="LO92" s="14">
        <v>454</v>
      </c>
      <c r="LP92" s="14">
        <v>65</v>
      </c>
      <c r="LV92" s="14">
        <v>65</v>
      </c>
      <c r="LX92" s="14">
        <v>8</v>
      </c>
      <c r="LZ92" s="14">
        <v>26</v>
      </c>
      <c r="MC92" s="14">
        <v>34</v>
      </c>
      <c r="MD92" s="14">
        <v>155</v>
      </c>
      <c r="ME92" s="14">
        <v>200</v>
      </c>
      <c r="MJ92" s="14">
        <v>355</v>
      </c>
      <c r="MQ92" s="14">
        <v>0</v>
      </c>
      <c r="MX92" s="14">
        <v>0</v>
      </c>
      <c r="MY92" s="14">
        <v>220</v>
      </c>
      <c r="MZ92" s="14">
        <v>208</v>
      </c>
      <c r="NA92" s="14">
        <v>0</v>
      </c>
      <c r="NB92" s="14">
        <v>26</v>
      </c>
      <c r="NC92" s="14">
        <v>0</v>
      </c>
      <c r="ND92" s="14">
        <v>0</v>
      </c>
      <c r="NE92" s="14">
        <v>454</v>
      </c>
      <c r="NF92" s="14" t="s">
        <v>601</v>
      </c>
      <c r="NG92" s="14">
        <v>270</v>
      </c>
      <c r="NH92" s="14">
        <v>371</v>
      </c>
      <c r="NL92" s="14">
        <v>168</v>
      </c>
      <c r="NM92" s="14">
        <v>809</v>
      </c>
      <c r="NN92" s="14">
        <v>37</v>
      </c>
      <c r="NT92" s="14">
        <v>37</v>
      </c>
      <c r="NV92" s="14">
        <v>458</v>
      </c>
      <c r="OA92" s="14">
        <v>458</v>
      </c>
      <c r="OH92" s="14">
        <v>0</v>
      </c>
      <c r="OI92" s="14">
        <v>28</v>
      </c>
      <c r="OJ92" s="14">
        <v>177</v>
      </c>
      <c r="OO92" s="14">
        <v>205</v>
      </c>
      <c r="OP92" s="14">
        <v>14</v>
      </c>
      <c r="OV92" s="14">
        <v>14</v>
      </c>
      <c r="PC92" s="14">
        <v>0</v>
      </c>
      <c r="PD92" s="14" t="s">
        <v>680</v>
      </c>
      <c r="PJ92" s="14">
        <v>26</v>
      </c>
      <c r="PK92" s="14">
        <v>26</v>
      </c>
      <c r="PL92" s="14">
        <v>349</v>
      </c>
      <c r="PM92" s="14">
        <v>1006</v>
      </c>
      <c r="PN92" s="14">
        <v>0</v>
      </c>
      <c r="PO92" s="14">
        <v>0</v>
      </c>
      <c r="PP92" s="14">
        <v>0</v>
      </c>
      <c r="PQ92" s="14">
        <v>194</v>
      </c>
      <c r="PR92" s="14">
        <v>1549</v>
      </c>
      <c r="PS92" s="14">
        <v>305</v>
      </c>
      <c r="PT92" s="14">
        <v>728</v>
      </c>
      <c r="PX92" s="14">
        <v>98</v>
      </c>
      <c r="PY92" s="14">
        <v>1131</v>
      </c>
      <c r="PZ92" s="14">
        <v>44</v>
      </c>
      <c r="QA92" s="14">
        <v>278</v>
      </c>
      <c r="QE92" s="14">
        <v>96</v>
      </c>
      <c r="QF92" s="14">
        <v>418</v>
      </c>
      <c r="QM92" s="14">
        <v>0</v>
      </c>
      <c r="QT92" s="14">
        <v>0</v>
      </c>
      <c r="RA92" s="14">
        <v>0</v>
      </c>
      <c r="RB92" s="14">
        <v>349</v>
      </c>
      <c r="RC92" s="14">
        <v>1006</v>
      </c>
      <c r="RD92" s="14">
        <v>0</v>
      </c>
      <c r="RE92" s="14">
        <v>0</v>
      </c>
      <c r="RF92" s="14">
        <v>0</v>
      </c>
      <c r="RG92" s="14">
        <v>194</v>
      </c>
      <c r="RH92" s="14">
        <v>1549</v>
      </c>
      <c r="RI92" s="14" t="s">
        <v>602</v>
      </c>
      <c r="RJ92" s="14">
        <v>366</v>
      </c>
      <c r="RK92" s="14">
        <v>300</v>
      </c>
      <c r="RP92" s="14">
        <v>666</v>
      </c>
      <c r="RQ92" s="14">
        <v>50</v>
      </c>
      <c r="RW92" s="14">
        <v>50</v>
      </c>
      <c r="SD92" s="14">
        <v>0</v>
      </c>
      <c r="SK92" s="14">
        <v>0</v>
      </c>
      <c r="SL92" s="14">
        <v>106</v>
      </c>
      <c r="SR92" s="14">
        <v>106</v>
      </c>
      <c r="SS92" s="14">
        <v>106</v>
      </c>
      <c r="SY92" s="14">
        <v>106</v>
      </c>
      <c r="SZ92" s="14">
        <v>648</v>
      </c>
      <c r="TF92" s="14">
        <v>648</v>
      </c>
      <c r="TG92" s="14" t="s">
        <v>680</v>
      </c>
      <c r="TH92" s="14">
        <v>21</v>
      </c>
      <c r="TN92" s="14">
        <v>21</v>
      </c>
      <c r="TO92" s="14">
        <v>1297</v>
      </c>
      <c r="TP92" s="14">
        <v>300</v>
      </c>
      <c r="TQ92" s="14">
        <v>0</v>
      </c>
      <c r="TR92" s="14">
        <v>0</v>
      </c>
      <c r="TS92" s="14">
        <v>0</v>
      </c>
      <c r="TT92" s="14">
        <v>0</v>
      </c>
      <c r="TU92" s="14">
        <v>1597</v>
      </c>
      <c r="TV92" s="14">
        <v>20</v>
      </c>
      <c r="UB92" s="14">
        <v>20</v>
      </c>
      <c r="UC92" s="14">
        <v>76</v>
      </c>
      <c r="UD92" s="14">
        <v>300</v>
      </c>
      <c r="UI92" s="14">
        <v>376</v>
      </c>
      <c r="UJ92" s="14">
        <v>1201</v>
      </c>
      <c r="UP92" s="14">
        <v>1201</v>
      </c>
      <c r="UW92" s="14">
        <v>0</v>
      </c>
      <c r="VD92" s="14">
        <v>0</v>
      </c>
      <c r="VE92" s="14">
        <v>1297</v>
      </c>
      <c r="VF92" s="14">
        <v>300</v>
      </c>
      <c r="VG92" s="14">
        <v>0</v>
      </c>
      <c r="VH92" s="14">
        <v>0</v>
      </c>
      <c r="VI92" s="14">
        <v>0</v>
      </c>
      <c r="VJ92" s="14">
        <v>0</v>
      </c>
      <c r="VK92" s="14">
        <v>1597</v>
      </c>
      <c r="VL92" s="14" t="s">
        <v>603</v>
      </c>
      <c r="VN92" s="14">
        <v>427</v>
      </c>
      <c r="VS92" s="14">
        <v>427</v>
      </c>
      <c r="VV92" s="14">
        <v>271</v>
      </c>
      <c r="VZ92" s="14">
        <v>271</v>
      </c>
      <c r="WG92" s="14">
        <v>0</v>
      </c>
      <c r="WN92" s="14">
        <v>0</v>
      </c>
      <c r="WU92" s="14">
        <v>0</v>
      </c>
      <c r="XB92" s="14">
        <v>0</v>
      </c>
      <c r="XI92" s="14">
        <v>0</v>
      </c>
      <c r="XQ92" s="14">
        <v>0</v>
      </c>
      <c r="XR92" s="14">
        <v>0</v>
      </c>
      <c r="XS92" s="14">
        <v>427</v>
      </c>
      <c r="XT92" s="14">
        <v>271</v>
      </c>
      <c r="XU92" s="14">
        <v>0</v>
      </c>
      <c r="XV92" s="14">
        <v>0</v>
      </c>
      <c r="XW92" s="14">
        <v>0</v>
      </c>
      <c r="XX92" s="14">
        <v>698</v>
      </c>
      <c r="XZ92" s="14">
        <v>427</v>
      </c>
      <c r="YA92" s="14">
        <v>271</v>
      </c>
      <c r="YE92" s="14">
        <v>698</v>
      </c>
      <c r="YL92" s="14">
        <v>0</v>
      </c>
      <c r="YS92" s="14">
        <v>0</v>
      </c>
      <c r="YZ92" s="14">
        <v>0</v>
      </c>
      <c r="ZG92" s="14">
        <v>0</v>
      </c>
      <c r="ZH92" s="14">
        <v>0</v>
      </c>
      <c r="ZI92" s="14">
        <v>427</v>
      </c>
      <c r="ZJ92" s="14">
        <v>271</v>
      </c>
      <c r="ZK92" s="14">
        <v>0</v>
      </c>
      <c r="ZL92" s="14">
        <v>0</v>
      </c>
      <c r="ZM92" s="14">
        <v>0</v>
      </c>
      <c r="ZN92" s="14">
        <v>698</v>
      </c>
      <c r="ZO92" s="14" t="s">
        <v>604</v>
      </c>
      <c r="ADR92" s="14" t="s">
        <v>605</v>
      </c>
    </row>
    <row r="93" spans="1:798" x14ac:dyDescent="0.25">
      <c r="A93" s="14">
        <v>149</v>
      </c>
      <c r="B93" s="14" t="s">
        <v>889</v>
      </c>
      <c r="C93" s="16">
        <f>$C$3</f>
        <v>42780</v>
      </c>
      <c r="D93" s="14" t="s">
        <v>1067</v>
      </c>
      <c r="E93" s="14" t="s">
        <v>1068</v>
      </c>
      <c r="F93" s="14" t="s">
        <v>1069</v>
      </c>
      <c r="G93" s="14" t="s">
        <v>1070</v>
      </c>
      <c r="H93" s="14" t="s">
        <v>1071</v>
      </c>
      <c r="I93" s="14" t="s">
        <v>731</v>
      </c>
      <c r="J93" s="14" t="s">
        <v>945</v>
      </c>
      <c r="L93" s="14">
        <v>1</v>
      </c>
      <c r="U93" s="14">
        <v>0</v>
      </c>
      <c r="V93" s="14">
        <v>835.62</v>
      </c>
      <c r="Y93" s="14">
        <v>203.25</v>
      </c>
      <c r="AB93" s="14">
        <v>1038.8699999999999</v>
      </c>
      <c r="AF93" s="14">
        <v>42.86</v>
      </c>
      <c r="AI93" s="14">
        <v>42.86</v>
      </c>
      <c r="AP93" s="14">
        <v>0</v>
      </c>
      <c r="AW93" s="14">
        <v>0</v>
      </c>
      <c r="BD93" s="14">
        <v>0</v>
      </c>
      <c r="BE93" s="14">
        <v>835.62</v>
      </c>
      <c r="BF93" s="14">
        <v>0</v>
      </c>
      <c r="BG93" s="14">
        <v>0</v>
      </c>
      <c r="BH93" s="14">
        <v>246.11</v>
      </c>
      <c r="BI93" s="14">
        <v>0</v>
      </c>
      <c r="BJ93" s="14">
        <v>0</v>
      </c>
      <c r="BK93" s="14">
        <v>1081.73</v>
      </c>
      <c r="BR93" s="14">
        <v>0</v>
      </c>
      <c r="BS93" s="14">
        <v>4</v>
      </c>
      <c r="BV93" s="14">
        <v>1</v>
      </c>
      <c r="BY93" s="14">
        <v>5</v>
      </c>
      <c r="CC93" s="14">
        <v>1</v>
      </c>
      <c r="CF93" s="14">
        <v>1</v>
      </c>
      <c r="CM93" s="14">
        <v>0</v>
      </c>
      <c r="CT93" s="14">
        <v>0</v>
      </c>
      <c r="DA93" s="14">
        <v>0</v>
      </c>
      <c r="DB93" s="14">
        <v>4</v>
      </c>
      <c r="DC93" s="14">
        <v>0</v>
      </c>
      <c r="DD93" s="14">
        <v>0</v>
      </c>
      <c r="DE93" s="14">
        <v>2</v>
      </c>
      <c r="DF93" s="14">
        <v>0</v>
      </c>
      <c r="DG93" s="14">
        <v>0</v>
      </c>
      <c r="DH93" s="14">
        <v>6</v>
      </c>
      <c r="DI93" s="14" t="s">
        <v>598</v>
      </c>
      <c r="DJ93" s="14" t="s">
        <v>598</v>
      </c>
      <c r="DK93" s="14" t="s">
        <v>598</v>
      </c>
      <c r="DL93" s="14" t="s">
        <v>598</v>
      </c>
      <c r="DM93" s="14" t="s">
        <v>598</v>
      </c>
      <c r="DN93" s="14" t="s">
        <v>598</v>
      </c>
      <c r="DO93" s="14" t="s">
        <v>597</v>
      </c>
      <c r="DP93" s="14" t="s">
        <v>598</v>
      </c>
      <c r="DQ93" s="14" t="s">
        <v>598</v>
      </c>
      <c r="DR93" s="14" t="s">
        <v>597</v>
      </c>
      <c r="DS93" s="14" t="s">
        <v>598</v>
      </c>
      <c r="DT93" s="14" t="s">
        <v>598</v>
      </c>
      <c r="DU93" s="14" t="s">
        <v>598</v>
      </c>
      <c r="DV93" s="14" t="s">
        <v>598</v>
      </c>
      <c r="DW93" s="14" t="s">
        <v>598</v>
      </c>
      <c r="DX93" s="14" t="s">
        <v>597</v>
      </c>
      <c r="DY93" s="14" t="s">
        <v>598</v>
      </c>
      <c r="DZ93" s="14" t="s">
        <v>598</v>
      </c>
      <c r="EA93" s="14" t="s">
        <v>598</v>
      </c>
      <c r="EB93" s="14" t="s">
        <v>598</v>
      </c>
      <c r="EC93" s="14" t="s">
        <v>598</v>
      </c>
      <c r="ED93" s="14" t="s">
        <v>598</v>
      </c>
      <c r="EE93" s="14" t="s">
        <v>598</v>
      </c>
      <c r="EF93" s="14" t="s">
        <v>598</v>
      </c>
      <c r="EG93" s="14" t="s">
        <v>598</v>
      </c>
      <c r="EH93" s="14" t="s">
        <v>598</v>
      </c>
      <c r="EI93" s="14" t="s">
        <v>598</v>
      </c>
      <c r="EJ93" s="14" t="s">
        <v>598</v>
      </c>
      <c r="EK93" s="14" t="s">
        <v>598</v>
      </c>
      <c r="EL93" s="14" t="s">
        <v>598</v>
      </c>
      <c r="EM93" s="14" t="s">
        <v>598</v>
      </c>
      <c r="EN93" s="14" t="s">
        <v>598</v>
      </c>
      <c r="EO93" s="14" t="s">
        <v>598</v>
      </c>
      <c r="EP93" s="14" t="s">
        <v>598</v>
      </c>
      <c r="EQ93" s="14" t="s">
        <v>598</v>
      </c>
      <c r="ER93" s="14" t="s">
        <v>598</v>
      </c>
      <c r="ES93" s="14">
        <v>766.18</v>
      </c>
      <c r="EV93" s="14">
        <v>42.86</v>
      </c>
      <c r="EY93" s="14">
        <v>809.04</v>
      </c>
      <c r="EZ93" s="14">
        <v>25.5</v>
      </c>
      <c r="FC93" s="14">
        <v>203.25</v>
      </c>
      <c r="FF93" s="14">
        <v>228.75</v>
      </c>
      <c r="FM93" s="14">
        <v>0</v>
      </c>
      <c r="FT93" s="14">
        <v>0</v>
      </c>
      <c r="GA93" s="14">
        <v>0</v>
      </c>
      <c r="GH93" s="14">
        <v>0</v>
      </c>
      <c r="GO93" s="14">
        <v>0</v>
      </c>
      <c r="GP93" s="14" t="s">
        <v>1072</v>
      </c>
      <c r="GQ93" s="14">
        <v>43.94</v>
      </c>
      <c r="GW93" s="14">
        <v>43.94</v>
      </c>
      <c r="GX93" s="14">
        <v>835.62</v>
      </c>
      <c r="GY93" s="14">
        <v>0</v>
      </c>
      <c r="GZ93" s="14">
        <v>0</v>
      </c>
      <c r="HA93" s="14">
        <v>246.11</v>
      </c>
      <c r="HB93" s="14">
        <v>0</v>
      </c>
      <c r="HC93" s="14">
        <v>0</v>
      </c>
      <c r="HD93" s="14">
        <v>1081.73</v>
      </c>
      <c r="HE93" s="14">
        <v>34.43</v>
      </c>
      <c r="HK93" s="14">
        <v>34.43</v>
      </c>
      <c r="HL93" s="14">
        <v>801.2</v>
      </c>
      <c r="HO93" s="14">
        <v>203.25</v>
      </c>
      <c r="HR93" s="14">
        <v>1004.45</v>
      </c>
      <c r="HV93" s="14">
        <v>42.85</v>
      </c>
      <c r="HY93" s="14">
        <v>42.85</v>
      </c>
      <c r="IF93" s="14">
        <v>0</v>
      </c>
      <c r="IM93" s="14">
        <v>0</v>
      </c>
      <c r="IN93" s="14">
        <v>835.63</v>
      </c>
      <c r="IO93" s="14">
        <v>0</v>
      </c>
      <c r="IP93" s="14">
        <v>0</v>
      </c>
      <c r="IQ93" s="14">
        <v>246.1</v>
      </c>
      <c r="IR93" s="14">
        <v>0</v>
      </c>
      <c r="IS93" s="14">
        <v>0</v>
      </c>
      <c r="IT93" s="14">
        <v>1081.73</v>
      </c>
      <c r="IZ93" s="14">
        <v>1</v>
      </c>
      <c r="JA93" s="14">
        <v>3</v>
      </c>
      <c r="JB93" s="14">
        <v>1</v>
      </c>
      <c r="JC93" s="14" t="s">
        <v>600</v>
      </c>
      <c r="NF93" s="14" t="s">
        <v>601</v>
      </c>
      <c r="NG93" s="14">
        <v>766.18</v>
      </c>
      <c r="NM93" s="14">
        <v>766.18</v>
      </c>
      <c r="NN93" s="14">
        <v>25.5</v>
      </c>
      <c r="NQ93" s="14">
        <v>203.25</v>
      </c>
      <c r="NT93" s="14">
        <v>228.75</v>
      </c>
      <c r="OA93" s="14">
        <v>0</v>
      </c>
      <c r="OH93" s="14">
        <v>0</v>
      </c>
      <c r="OO93" s="14">
        <v>0</v>
      </c>
      <c r="OV93" s="14">
        <v>0</v>
      </c>
      <c r="PC93" s="14">
        <v>0</v>
      </c>
      <c r="PD93" s="14" t="s">
        <v>1073</v>
      </c>
      <c r="PE93" s="14">
        <v>43.94</v>
      </c>
      <c r="PK93" s="14">
        <v>43.94</v>
      </c>
      <c r="PL93" s="14">
        <v>835.62</v>
      </c>
      <c r="PM93" s="14">
        <v>0</v>
      </c>
      <c r="PN93" s="14">
        <v>0</v>
      </c>
      <c r="PO93" s="14">
        <v>203.25</v>
      </c>
      <c r="PP93" s="14">
        <v>0</v>
      </c>
      <c r="PQ93" s="14">
        <v>0</v>
      </c>
      <c r="PR93" s="14">
        <v>1038.8699999999999</v>
      </c>
      <c r="PS93" s="14">
        <v>801.2</v>
      </c>
      <c r="PV93" s="14">
        <v>203.25</v>
      </c>
      <c r="PY93" s="14">
        <v>1004.45</v>
      </c>
      <c r="PZ93" s="14">
        <v>34.43</v>
      </c>
      <c r="QF93" s="14">
        <v>34.43</v>
      </c>
      <c r="QM93" s="14">
        <v>0</v>
      </c>
      <c r="QT93" s="14">
        <v>0</v>
      </c>
      <c r="RA93" s="14">
        <v>0</v>
      </c>
      <c r="RB93" s="14">
        <v>835.63</v>
      </c>
      <c r="RC93" s="14">
        <v>0</v>
      </c>
      <c r="RD93" s="14">
        <v>0</v>
      </c>
      <c r="RE93" s="14">
        <v>203.25</v>
      </c>
      <c r="RF93" s="14">
        <v>0</v>
      </c>
      <c r="RG93" s="14">
        <v>0</v>
      </c>
      <c r="RH93" s="14">
        <v>1038.8800000000001</v>
      </c>
      <c r="RI93" s="14" t="s">
        <v>602</v>
      </c>
      <c r="RM93" s="14">
        <v>42.86</v>
      </c>
      <c r="RP93" s="14">
        <v>42.86</v>
      </c>
      <c r="RW93" s="14">
        <v>0</v>
      </c>
      <c r="SD93" s="14">
        <v>0</v>
      </c>
      <c r="SK93" s="14">
        <v>0</v>
      </c>
      <c r="SR93" s="14">
        <v>0</v>
      </c>
      <c r="SY93" s="14">
        <v>0</v>
      </c>
      <c r="TF93" s="14">
        <v>0</v>
      </c>
      <c r="TN93" s="14">
        <v>0</v>
      </c>
      <c r="TO93" s="14">
        <v>0</v>
      </c>
      <c r="TP93" s="14">
        <v>0</v>
      </c>
      <c r="TQ93" s="14">
        <v>0</v>
      </c>
      <c r="TR93" s="14">
        <v>42.86</v>
      </c>
      <c r="TS93" s="14">
        <v>0</v>
      </c>
      <c r="TT93" s="14">
        <v>0</v>
      </c>
      <c r="TU93" s="14">
        <v>42.86</v>
      </c>
      <c r="UB93" s="14">
        <v>0</v>
      </c>
      <c r="UI93" s="14">
        <v>0</v>
      </c>
      <c r="UM93" s="14">
        <v>42.86</v>
      </c>
      <c r="UP93" s="14">
        <v>42.86</v>
      </c>
      <c r="UW93" s="14">
        <v>0</v>
      </c>
      <c r="VD93" s="14">
        <v>0</v>
      </c>
      <c r="VE93" s="14">
        <v>0</v>
      </c>
      <c r="VF93" s="14">
        <v>0</v>
      </c>
      <c r="VG93" s="14">
        <v>0</v>
      </c>
      <c r="VH93" s="14">
        <v>42.86</v>
      </c>
      <c r="VI93" s="14">
        <v>0</v>
      </c>
      <c r="VJ93" s="14">
        <v>0</v>
      </c>
      <c r="VK93" s="14">
        <v>42.86</v>
      </c>
      <c r="VL93" s="14" t="s">
        <v>603</v>
      </c>
      <c r="ZO93" s="14" t="s">
        <v>604</v>
      </c>
      <c r="ADR93" s="14" t="s">
        <v>605</v>
      </c>
    </row>
    <row r="94" spans="1:798" x14ac:dyDescent="0.25">
      <c r="A94" s="14">
        <v>190</v>
      </c>
      <c r="B94" s="14" t="s">
        <v>889</v>
      </c>
      <c r="C94" s="16">
        <f>VLOOKUP(A94,[4]RawData!Z:AA,2,FALSE)</f>
        <v>42774.622916666667</v>
      </c>
      <c r="D94" s="14" t="s">
        <v>1074</v>
      </c>
      <c r="E94" s="14" t="s">
        <v>1075</v>
      </c>
      <c r="F94" s="14" t="s">
        <v>1076</v>
      </c>
      <c r="G94" s="14" t="s">
        <v>1077</v>
      </c>
      <c r="H94" s="14">
        <v>33155359830</v>
      </c>
      <c r="I94" s="14" t="s">
        <v>1078</v>
      </c>
      <c r="J94" s="14" t="s">
        <v>732</v>
      </c>
      <c r="L94" s="14">
        <v>1</v>
      </c>
      <c r="U94" s="14">
        <v>0</v>
      </c>
      <c r="W94" s="14">
        <v>170</v>
      </c>
      <c r="Y94" s="14">
        <v>160</v>
      </c>
      <c r="AB94" s="14">
        <v>330</v>
      </c>
      <c r="AI94" s="14">
        <v>0</v>
      </c>
      <c r="AP94" s="14">
        <v>0</v>
      </c>
      <c r="AW94" s="14">
        <v>0</v>
      </c>
      <c r="BD94" s="14">
        <v>0</v>
      </c>
      <c r="BE94" s="14">
        <v>0</v>
      </c>
      <c r="BF94" s="14">
        <v>170</v>
      </c>
      <c r="BG94" s="14">
        <v>0</v>
      </c>
      <c r="BH94" s="14">
        <v>160</v>
      </c>
      <c r="BI94" s="14">
        <v>0</v>
      </c>
      <c r="BJ94" s="14">
        <v>0</v>
      </c>
      <c r="BK94" s="14">
        <v>330</v>
      </c>
      <c r="BR94" s="14">
        <v>0</v>
      </c>
      <c r="BT94" s="14">
        <v>1</v>
      </c>
      <c r="BV94" s="14">
        <v>5</v>
      </c>
      <c r="BY94" s="14">
        <v>6</v>
      </c>
      <c r="CF94" s="14">
        <v>0</v>
      </c>
      <c r="CM94" s="14">
        <v>0</v>
      </c>
      <c r="CT94" s="14">
        <v>0</v>
      </c>
      <c r="DA94" s="14">
        <v>0</v>
      </c>
      <c r="DB94" s="14">
        <v>0</v>
      </c>
      <c r="DC94" s="14">
        <v>1</v>
      </c>
      <c r="DD94" s="14">
        <v>0</v>
      </c>
      <c r="DE94" s="14">
        <v>5</v>
      </c>
      <c r="DF94" s="14">
        <v>0</v>
      </c>
      <c r="DG94" s="14">
        <v>0</v>
      </c>
      <c r="DH94" s="14">
        <v>6</v>
      </c>
      <c r="DI94" s="14" t="s">
        <v>598</v>
      </c>
      <c r="DJ94" s="14" t="s">
        <v>598</v>
      </c>
      <c r="DK94" s="14" t="s">
        <v>598</v>
      </c>
      <c r="DL94" s="14" t="s">
        <v>598</v>
      </c>
      <c r="DM94" s="14" t="s">
        <v>598</v>
      </c>
      <c r="DN94" s="14" t="s">
        <v>598</v>
      </c>
      <c r="DO94" s="14" t="s">
        <v>598</v>
      </c>
      <c r="DP94" s="14" t="s">
        <v>597</v>
      </c>
      <c r="DQ94" s="14" t="s">
        <v>598</v>
      </c>
      <c r="DR94" s="14" t="s">
        <v>597</v>
      </c>
      <c r="DS94" s="14" t="s">
        <v>598</v>
      </c>
      <c r="DT94" s="14" t="s">
        <v>598</v>
      </c>
      <c r="DU94" s="14" t="s">
        <v>598</v>
      </c>
      <c r="DV94" s="14" t="s">
        <v>598</v>
      </c>
      <c r="DW94" s="14" t="s">
        <v>598</v>
      </c>
      <c r="DX94" s="14" t="s">
        <v>598</v>
      </c>
      <c r="DY94" s="14" t="s">
        <v>598</v>
      </c>
      <c r="DZ94" s="14" t="s">
        <v>598</v>
      </c>
      <c r="EA94" s="14" t="s">
        <v>598</v>
      </c>
      <c r="EB94" s="14" t="s">
        <v>598</v>
      </c>
      <c r="EC94" s="14" t="s">
        <v>598</v>
      </c>
      <c r="ED94" s="14" t="s">
        <v>598</v>
      </c>
      <c r="EE94" s="14" t="s">
        <v>598</v>
      </c>
      <c r="EF94" s="14" t="s">
        <v>598</v>
      </c>
      <c r="EG94" s="14" t="s">
        <v>598</v>
      </c>
      <c r="EH94" s="14" t="s">
        <v>598</v>
      </c>
      <c r="EI94" s="14" t="s">
        <v>598</v>
      </c>
      <c r="EJ94" s="14" t="s">
        <v>598</v>
      </c>
      <c r="EK94" s="14" t="s">
        <v>598</v>
      </c>
      <c r="EL94" s="14" t="s">
        <v>598</v>
      </c>
      <c r="EM94" s="14" t="s">
        <v>598</v>
      </c>
      <c r="EN94" s="14" t="s">
        <v>598</v>
      </c>
      <c r="EO94" s="14" t="s">
        <v>598</v>
      </c>
      <c r="EP94" s="14" t="s">
        <v>598</v>
      </c>
      <c r="EQ94" s="14" t="s">
        <v>598</v>
      </c>
      <c r="ER94" s="14" t="s">
        <v>598</v>
      </c>
      <c r="EY94" s="14">
        <v>0</v>
      </c>
      <c r="FA94" s="14">
        <v>30</v>
      </c>
      <c r="FF94" s="14">
        <v>30</v>
      </c>
      <c r="FM94" s="14">
        <v>0</v>
      </c>
      <c r="FT94" s="14">
        <v>0</v>
      </c>
      <c r="GA94" s="14">
        <v>0</v>
      </c>
      <c r="GC94" s="14">
        <v>140</v>
      </c>
      <c r="GH94" s="14">
        <v>140</v>
      </c>
      <c r="GO94" s="14">
        <v>0</v>
      </c>
      <c r="GP94" s="14" t="s">
        <v>1079</v>
      </c>
      <c r="GT94" s="14">
        <v>160</v>
      </c>
      <c r="GW94" s="14">
        <v>160</v>
      </c>
      <c r="GX94" s="14">
        <v>0</v>
      </c>
      <c r="GY94" s="14">
        <v>170</v>
      </c>
      <c r="GZ94" s="14">
        <v>0</v>
      </c>
      <c r="HA94" s="14">
        <v>160</v>
      </c>
      <c r="HB94" s="14">
        <v>0</v>
      </c>
      <c r="HC94" s="14">
        <v>0</v>
      </c>
      <c r="HD94" s="14">
        <v>330</v>
      </c>
      <c r="HK94" s="14">
        <v>0</v>
      </c>
      <c r="HM94" s="14">
        <v>170</v>
      </c>
      <c r="HO94" s="14">
        <v>120</v>
      </c>
      <c r="HR94" s="14">
        <v>290</v>
      </c>
      <c r="HV94" s="14">
        <v>40</v>
      </c>
      <c r="HY94" s="14">
        <v>40</v>
      </c>
      <c r="IF94" s="14">
        <v>0</v>
      </c>
      <c r="IM94" s="14">
        <v>0</v>
      </c>
      <c r="IN94" s="14">
        <v>0</v>
      </c>
      <c r="IO94" s="14">
        <v>170</v>
      </c>
      <c r="IP94" s="14">
        <v>0</v>
      </c>
      <c r="IQ94" s="14">
        <v>160</v>
      </c>
      <c r="IR94" s="14">
        <v>0</v>
      </c>
      <c r="IS94" s="14">
        <v>0</v>
      </c>
      <c r="IT94" s="14">
        <v>330</v>
      </c>
      <c r="IV94" s="14">
        <v>65</v>
      </c>
      <c r="IW94" s="14">
        <v>35</v>
      </c>
      <c r="IZ94" s="14">
        <v>3</v>
      </c>
      <c r="JA94" s="14">
        <v>3</v>
      </c>
      <c r="JB94" s="14">
        <v>1</v>
      </c>
      <c r="JC94" s="14" t="s">
        <v>600</v>
      </c>
      <c r="NF94" s="14" t="s">
        <v>601</v>
      </c>
      <c r="NM94" s="14">
        <v>0</v>
      </c>
      <c r="NO94" s="14">
        <v>30</v>
      </c>
      <c r="NT94" s="14">
        <v>30</v>
      </c>
      <c r="OA94" s="14">
        <v>0</v>
      </c>
      <c r="OH94" s="14">
        <v>0</v>
      </c>
      <c r="OO94" s="14">
        <v>0</v>
      </c>
      <c r="OQ94" s="14">
        <v>140</v>
      </c>
      <c r="OV94" s="14">
        <v>140</v>
      </c>
      <c r="PC94" s="14">
        <v>0</v>
      </c>
      <c r="PD94" s="14" t="s">
        <v>1079</v>
      </c>
      <c r="PH94" s="14">
        <v>160</v>
      </c>
      <c r="PK94" s="14">
        <v>160</v>
      </c>
      <c r="PL94" s="14">
        <v>0</v>
      </c>
      <c r="PM94" s="14">
        <v>170</v>
      </c>
      <c r="PN94" s="14">
        <v>0</v>
      </c>
      <c r="PO94" s="14">
        <v>160</v>
      </c>
      <c r="PP94" s="14">
        <v>0</v>
      </c>
      <c r="PQ94" s="14">
        <v>0</v>
      </c>
      <c r="PR94" s="14">
        <v>330</v>
      </c>
      <c r="PT94" s="14">
        <v>170</v>
      </c>
      <c r="PV94" s="14">
        <v>120</v>
      </c>
      <c r="PY94" s="14">
        <v>290</v>
      </c>
      <c r="QF94" s="14">
        <v>0</v>
      </c>
      <c r="QJ94" s="14">
        <v>40</v>
      </c>
      <c r="QM94" s="14">
        <v>40</v>
      </c>
      <c r="QT94" s="14">
        <v>0</v>
      </c>
      <c r="RA94" s="14">
        <v>0</v>
      </c>
      <c r="RB94" s="14">
        <v>0</v>
      </c>
      <c r="RC94" s="14">
        <v>170</v>
      </c>
      <c r="RD94" s="14">
        <v>0</v>
      </c>
      <c r="RE94" s="14">
        <v>160</v>
      </c>
      <c r="RF94" s="14">
        <v>0</v>
      </c>
      <c r="RG94" s="14">
        <v>0</v>
      </c>
      <c r="RH94" s="14">
        <v>330</v>
      </c>
      <c r="RI94" s="14" t="s">
        <v>602</v>
      </c>
      <c r="VL94" s="14" t="s">
        <v>603</v>
      </c>
      <c r="ZO94" s="14" t="s">
        <v>604</v>
      </c>
      <c r="ADR94" s="14" t="s">
        <v>605</v>
      </c>
    </row>
    <row r="95" spans="1:798" x14ac:dyDescent="0.25">
      <c r="A95" s="14">
        <v>214</v>
      </c>
      <c r="B95" s="14" t="s">
        <v>889</v>
      </c>
      <c r="C95" s="16">
        <f>$C$3</f>
        <v>42780</v>
      </c>
      <c r="D95" s="14" t="s">
        <v>1080</v>
      </c>
      <c r="E95" s="14" t="s">
        <v>1081</v>
      </c>
      <c r="F95" s="14" t="s">
        <v>1082</v>
      </c>
      <c r="G95" s="14" t="s">
        <v>1083</v>
      </c>
      <c r="H95" s="14" t="s">
        <v>1084</v>
      </c>
      <c r="I95" s="14" t="s">
        <v>611</v>
      </c>
      <c r="J95" s="14" t="s">
        <v>596</v>
      </c>
      <c r="L95" s="14">
        <v>1</v>
      </c>
      <c r="U95" s="14">
        <v>0</v>
      </c>
      <c r="W95" s="14">
        <v>605</v>
      </c>
      <c r="AB95" s="14">
        <v>605</v>
      </c>
      <c r="AI95" s="14">
        <v>0</v>
      </c>
      <c r="AJ95" s="14">
        <v>800.27</v>
      </c>
      <c r="AL95" s="14">
        <v>30</v>
      </c>
      <c r="AP95" s="14">
        <v>830.27</v>
      </c>
      <c r="AW95" s="14">
        <v>0</v>
      </c>
      <c r="BD95" s="14">
        <v>0</v>
      </c>
      <c r="BE95" s="14">
        <v>800.27</v>
      </c>
      <c r="BF95" s="14">
        <v>605</v>
      </c>
      <c r="BG95" s="14">
        <v>30</v>
      </c>
      <c r="BH95" s="14">
        <v>0</v>
      </c>
      <c r="BI95" s="14">
        <v>0</v>
      </c>
      <c r="BJ95" s="14">
        <v>0</v>
      </c>
      <c r="BK95" s="14">
        <v>1435.27</v>
      </c>
      <c r="BR95" s="14">
        <v>0</v>
      </c>
      <c r="BT95" s="14">
        <v>1</v>
      </c>
      <c r="BY95" s="14">
        <v>1</v>
      </c>
      <c r="CF95" s="14">
        <v>0</v>
      </c>
      <c r="CG95" s="14">
        <v>1</v>
      </c>
      <c r="CI95" s="14">
        <v>1</v>
      </c>
      <c r="CM95" s="14">
        <v>2</v>
      </c>
      <c r="CT95" s="14">
        <v>0</v>
      </c>
      <c r="DA95" s="14">
        <v>0</v>
      </c>
      <c r="DB95" s="14">
        <v>1</v>
      </c>
      <c r="DC95" s="14">
        <v>1</v>
      </c>
      <c r="DD95" s="14">
        <v>1</v>
      </c>
      <c r="DE95" s="14">
        <v>0</v>
      </c>
      <c r="DF95" s="14">
        <v>0</v>
      </c>
      <c r="DG95" s="14">
        <v>0</v>
      </c>
      <c r="DH95" s="14">
        <v>3</v>
      </c>
      <c r="DI95" s="14" t="s">
        <v>598</v>
      </c>
      <c r="DJ95" s="14" t="s">
        <v>598</v>
      </c>
      <c r="DK95" s="14" t="s">
        <v>598</v>
      </c>
      <c r="DL95" s="14" t="s">
        <v>598</v>
      </c>
      <c r="DM95" s="14" t="s">
        <v>598</v>
      </c>
      <c r="DN95" s="14" t="s">
        <v>598</v>
      </c>
      <c r="DO95" s="14" t="s">
        <v>598</v>
      </c>
      <c r="DP95" s="14" t="s">
        <v>597</v>
      </c>
      <c r="DQ95" s="14" t="s">
        <v>598</v>
      </c>
      <c r="DR95" s="14" t="s">
        <v>598</v>
      </c>
      <c r="DS95" s="14" t="s">
        <v>598</v>
      </c>
      <c r="DT95" s="14" t="s">
        <v>598</v>
      </c>
      <c r="DU95" s="14" t="s">
        <v>598</v>
      </c>
      <c r="DV95" s="14" t="s">
        <v>598</v>
      </c>
      <c r="DW95" s="14" t="s">
        <v>598</v>
      </c>
      <c r="DX95" s="14" t="s">
        <v>598</v>
      </c>
      <c r="DY95" s="14" t="s">
        <v>598</v>
      </c>
      <c r="DZ95" s="14" t="s">
        <v>598</v>
      </c>
      <c r="EA95" s="14" t="s">
        <v>597</v>
      </c>
      <c r="EB95" s="14" t="s">
        <v>598</v>
      </c>
      <c r="EC95" s="14" t="s">
        <v>597</v>
      </c>
      <c r="ED95" s="14" t="s">
        <v>598</v>
      </c>
      <c r="EE95" s="14" t="s">
        <v>598</v>
      </c>
      <c r="EF95" s="14" t="s">
        <v>598</v>
      </c>
      <c r="EG95" s="14" t="s">
        <v>598</v>
      </c>
      <c r="EH95" s="14" t="s">
        <v>598</v>
      </c>
      <c r="EI95" s="14" t="s">
        <v>598</v>
      </c>
      <c r="EJ95" s="14" t="s">
        <v>598</v>
      </c>
      <c r="EK95" s="14" t="s">
        <v>598</v>
      </c>
      <c r="EL95" s="14" t="s">
        <v>598</v>
      </c>
      <c r="EM95" s="14" t="s">
        <v>598</v>
      </c>
      <c r="EN95" s="14" t="s">
        <v>598</v>
      </c>
      <c r="EO95" s="14" t="s">
        <v>598</v>
      </c>
      <c r="EP95" s="14" t="s">
        <v>598</v>
      </c>
      <c r="EQ95" s="14" t="s">
        <v>598</v>
      </c>
      <c r="ER95" s="14" t="s">
        <v>598</v>
      </c>
      <c r="ES95" s="14">
        <v>439.97</v>
      </c>
      <c r="EY95" s="14">
        <v>439.97</v>
      </c>
      <c r="EZ95" s="14">
        <v>12</v>
      </c>
      <c r="FF95" s="14">
        <v>12</v>
      </c>
      <c r="FG95" s="14">
        <v>280</v>
      </c>
      <c r="FH95" s="14">
        <v>605</v>
      </c>
      <c r="FM95" s="14">
        <v>885</v>
      </c>
      <c r="FT95" s="14">
        <v>0</v>
      </c>
      <c r="FU95" s="14">
        <v>23</v>
      </c>
      <c r="GA95" s="14">
        <v>23</v>
      </c>
      <c r="GH95" s="14">
        <v>0</v>
      </c>
      <c r="GI95" s="14">
        <v>45.3</v>
      </c>
      <c r="GK95" s="14">
        <v>30</v>
      </c>
      <c r="GO95" s="14">
        <v>75.3</v>
      </c>
      <c r="GW95" s="14">
        <v>0</v>
      </c>
      <c r="GX95" s="14">
        <v>800.27</v>
      </c>
      <c r="GY95" s="14">
        <v>605</v>
      </c>
      <c r="GZ95" s="14">
        <v>30</v>
      </c>
      <c r="HA95" s="14">
        <v>0</v>
      </c>
      <c r="HB95" s="14">
        <v>0</v>
      </c>
      <c r="HC95" s="14">
        <v>0</v>
      </c>
      <c r="HD95" s="14">
        <v>1435.27</v>
      </c>
      <c r="HE95" s="14">
        <v>332</v>
      </c>
      <c r="HF95" s="14">
        <v>605</v>
      </c>
      <c r="HG95" s="14">
        <v>30</v>
      </c>
      <c r="HK95" s="14">
        <v>967</v>
      </c>
      <c r="HL95" s="14">
        <v>242.97</v>
      </c>
      <c r="HR95" s="14">
        <v>242.97</v>
      </c>
      <c r="HS95" s="14">
        <v>225.3</v>
      </c>
      <c r="HY95" s="14">
        <v>225.3</v>
      </c>
      <c r="IF95" s="14">
        <v>0</v>
      </c>
      <c r="IM95" s="14">
        <v>0</v>
      </c>
      <c r="IN95" s="14">
        <v>800.27</v>
      </c>
      <c r="IO95" s="14">
        <v>605</v>
      </c>
      <c r="IP95" s="14">
        <v>30</v>
      </c>
      <c r="IQ95" s="14">
        <v>0</v>
      </c>
      <c r="IR95" s="14">
        <v>0</v>
      </c>
      <c r="IS95" s="14">
        <v>0</v>
      </c>
      <c r="IT95" s="14">
        <v>1435.27</v>
      </c>
      <c r="IU95" s="14">
        <v>8.2899999999999991</v>
      </c>
      <c r="IW95" s="14">
        <v>91.71</v>
      </c>
      <c r="IZ95" s="14">
        <v>3</v>
      </c>
      <c r="JA95" s="14">
        <v>1</v>
      </c>
      <c r="JB95" s="14">
        <v>1</v>
      </c>
      <c r="JC95" s="14" t="s">
        <v>600</v>
      </c>
      <c r="NF95" s="14" t="s">
        <v>601</v>
      </c>
      <c r="NM95" s="14">
        <v>0</v>
      </c>
      <c r="NT95" s="14">
        <v>0</v>
      </c>
      <c r="NV95" s="14">
        <v>605</v>
      </c>
      <c r="OA95" s="14">
        <v>605</v>
      </c>
      <c r="OH95" s="14">
        <v>0</v>
      </c>
      <c r="OO95" s="14">
        <v>0</v>
      </c>
      <c r="OV95" s="14">
        <v>0</v>
      </c>
      <c r="PC95" s="14">
        <v>0</v>
      </c>
      <c r="PK95" s="14">
        <v>0</v>
      </c>
      <c r="PL95" s="14">
        <v>0</v>
      </c>
      <c r="PM95" s="14">
        <v>605</v>
      </c>
      <c r="PN95" s="14">
        <v>0</v>
      </c>
      <c r="PO95" s="14">
        <v>0</v>
      </c>
      <c r="PP95" s="14">
        <v>0</v>
      </c>
      <c r="PQ95" s="14">
        <v>0</v>
      </c>
      <c r="PR95" s="14">
        <v>605</v>
      </c>
      <c r="PY95" s="14">
        <v>0</v>
      </c>
      <c r="QA95" s="14">
        <v>605</v>
      </c>
      <c r="QF95" s="14">
        <v>605</v>
      </c>
      <c r="QM95" s="14">
        <v>0</v>
      </c>
      <c r="QT95" s="14">
        <v>0</v>
      </c>
      <c r="RA95" s="14">
        <v>0</v>
      </c>
      <c r="RB95" s="14">
        <v>0</v>
      </c>
      <c r="RC95" s="14">
        <v>605</v>
      </c>
      <c r="RD95" s="14">
        <v>0</v>
      </c>
      <c r="RE95" s="14">
        <v>0</v>
      </c>
      <c r="RF95" s="14">
        <v>0</v>
      </c>
      <c r="RG95" s="14">
        <v>0</v>
      </c>
      <c r="RH95" s="14">
        <v>605</v>
      </c>
      <c r="RI95" s="14" t="s">
        <v>602</v>
      </c>
      <c r="VL95" s="14" t="s">
        <v>603</v>
      </c>
      <c r="VM95" s="14">
        <v>439.97</v>
      </c>
      <c r="VS95" s="14">
        <v>439.97</v>
      </c>
      <c r="VT95" s="14">
        <v>12</v>
      </c>
      <c r="VZ95" s="14">
        <v>12</v>
      </c>
      <c r="WA95" s="14">
        <v>280</v>
      </c>
      <c r="WG95" s="14">
        <v>280</v>
      </c>
      <c r="WN95" s="14">
        <v>0</v>
      </c>
      <c r="WO95" s="14">
        <v>23</v>
      </c>
      <c r="WU95" s="14">
        <v>23</v>
      </c>
      <c r="XB95" s="14">
        <v>0</v>
      </c>
      <c r="XC95" s="14">
        <v>45.3</v>
      </c>
      <c r="XE95" s="14">
        <v>30</v>
      </c>
      <c r="XI95" s="14">
        <v>75.3</v>
      </c>
      <c r="XQ95" s="14">
        <v>0</v>
      </c>
      <c r="XR95" s="14">
        <v>800.27</v>
      </c>
      <c r="XS95" s="14">
        <v>0</v>
      </c>
      <c r="XT95" s="14">
        <v>30</v>
      </c>
      <c r="XU95" s="14">
        <v>0</v>
      </c>
      <c r="XV95" s="14">
        <v>0</v>
      </c>
      <c r="XW95" s="14">
        <v>0</v>
      </c>
      <c r="XX95" s="14">
        <v>830.27</v>
      </c>
      <c r="XY95" s="14">
        <v>242.97</v>
      </c>
      <c r="YE95" s="14">
        <v>242.97</v>
      </c>
      <c r="YF95" s="14">
        <v>332</v>
      </c>
      <c r="YH95" s="14">
        <v>30</v>
      </c>
      <c r="YL95" s="14">
        <v>362</v>
      </c>
      <c r="YM95" s="14">
        <v>225.3</v>
      </c>
      <c r="YS95" s="14">
        <v>225.3</v>
      </c>
      <c r="YZ95" s="14">
        <v>0</v>
      </c>
      <c r="ZG95" s="14">
        <v>0</v>
      </c>
      <c r="ZH95" s="14">
        <v>800.27</v>
      </c>
      <c r="ZI95" s="14">
        <v>0</v>
      </c>
      <c r="ZJ95" s="14">
        <v>30</v>
      </c>
      <c r="ZK95" s="14">
        <v>0</v>
      </c>
      <c r="ZL95" s="14">
        <v>0</v>
      </c>
      <c r="ZM95" s="14">
        <v>0</v>
      </c>
      <c r="ZN95" s="14">
        <v>830.27</v>
      </c>
      <c r="ZO95" s="14" t="s">
        <v>604</v>
      </c>
      <c r="ADR95" s="14" t="s">
        <v>605</v>
      </c>
    </row>
    <row r="96" spans="1:798" x14ac:dyDescent="0.25">
      <c r="A96" s="14">
        <v>44</v>
      </c>
      <c r="B96" s="14" t="s">
        <v>889</v>
      </c>
      <c r="C96" s="16">
        <f>VLOOKUP(A96,[4]RawData!Z:AA,2,FALSE)</f>
        <v>42745.554166666669</v>
      </c>
      <c r="D96" s="14" t="s">
        <v>1085</v>
      </c>
      <c r="E96" s="14" t="s">
        <v>1086</v>
      </c>
      <c r="F96" s="14" t="s">
        <v>1087</v>
      </c>
      <c r="G96" s="14" t="s">
        <v>1088</v>
      </c>
      <c r="H96" s="14">
        <v>49692740331220</v>
      </c>
      <c r="I96" s="14" t="s">
        <v>894</v>
      </c>
      <c r="J96" s="14" t="s">
        <v>732</v>
      </c>
      <c r="L96" s="14">
        <v>1</v>
      </c>
      <c r="U96" s="14">
        <v>0</v>
      </c>
      <c r="Y96" s="14">
        <v>170</v>
      </c>
      <c r="AA96" s="14">
        <v>73</v>
      </c>
      <c r="AB96" s="14">
        <v>243</v>
      </c>
      <c r="AI96" s="14">
        <v>0</v>
      </c>
      <c r="AP96" s="14">
        <v>0</v>
      </c>
      <c r="AW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170</v>
      </c>
      <c r="BI96" s="14">
        <v>0</v>
      </c>
      <c r="BJ96" s="14">
        <v>73</v>
      </c>
      <c r="BK96" s="14">
        <v>243</v>
      </c>
      <c r="BR96" s="14">
        <v>0</v>
      </c>
      <c r="BV96" s="14">
        <v>3</v>
      </c>
      <c r="BX96" s="14">
        <v>2</v>
      </c>
      <c r="BY96" s="14">
        <v>5</v>
      </c>
      <c r="CF96" s="14">
        <v>0</v>
      </c>
      <c r="CM96" s="14">
        <v>0</v>
      </c>
      <c r="CT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3</v>
      </c>
      <c r="DF96" s="14">
        <v>0</v>
      </c>
      <c r="DG96" s="14">
        <v>2</v>
      </c>
      <c r="DH96" s="14">
        <v>5</v>
      </c>
      <c r="DI96" s="14" t="s">
        <v>598</v>
      </c>
      <c r="DJ96" s="14" t="s">
        <v>598</v>
      </c>
      <c r="DK96" s="14" t="s">
        <v>598</v>
      </c>
      <c r="DL96" s="14" t="s">
        <v>598</v>
      </c>
      <c r="DM96" s="14" t="s">
        <v>598</v>
      </c>
      <c r="DN96" s="14" t="s">
        <v>598</v>
      </c>
      <c r="DO96" s="14" t="s">
        <v>598</v>
      </c>
      <c r="DP96" s="14" t="s">
        <v>598</v>
      </c>
      <c r="DQ96" s="14" t="s">
        <v>598</v>
      </c>
      <c r="DR96" s="14" t="s">
        <v>597</v>
      </c>
      <c r="DS96" s="14" t="s">
        <v>598</v>
      </c>
      <c r="DT96" s="14" t="s">
        <v>597</v>
      </c>
      <c r="DU96" s="14" t="s">
        <v>598</v>
      </c>
      <c r="DV96" s="14" t="s">
        <v>598</v>
      </c>
      <c r="DW96" s="14" t="s">
        <v>598</v>
      </c>
      <c r="DX96" s="14" t="s">
        <v>598</v>
      </c>
      <c r="DY96" s="14" t="s">
        <v>598</v>
      </c>
      <c r="DZ96" s="14" t="s">
        <v>598</v>
      </c>
      <c r="EA96" s="14" t="s">
        <v>598</v>
      </c>
      <c r="EB96" s="14" t="s">
        <v>598</v>
      </c>
      <c r="EC96" s="14" t="s">
        <v>598</v>
      </c>
      <c r="ED96" s="14" t="s">
        <v>598</v>
      </c>
      <c r="EE96" s="14" t="s">
        <v>598</v>
      </c>
      <c r="EF96" s="14" t="s">
        <v>598</v>
      </c>
      <c r="EG96" s="14" t="s">
        <v>598</v>
      </c>
      <c r="EH96" s="14" t="s">
        <v>598</v>
      </c>
      <c r="EI96" s="14" t="s">
        <v>598</v>
      </c>
      <c r="EJ96" s="14" t="s">
        <v>598</v>
      </c>
      <c r="EK96" s="14" t="s">
        <v>598</v>
      </c>
      <c r="EL96" s="14" t="s">
        <v>598</v>
      </c>
      <c r="EM96" s="14" t="s">
        <v>598</v>
      </c>
      <c r="EN96" s="14" t="s">
        <v>598</v>
      </c>
      <c r="EO96" s="14" t="s">
        <v>598</v>
      </c>
      <c r="EP96" s="14" t="s">
        <v>598</v>
      </c>
      <c r="EQ96" s="14" t="s">
        <v>598</v>
      </c>
      <c r="ER96" s="14" t="s">
        <v>598</v>
      </c>
      <c r="EV96" s="14">
        <v>133</v>
      </c>
      <c r="EX96" s="14">
        <v>73</v>
      </c>
      <c r="EY96" s="14">
        <v>206</v>
      </c>
      <c r="FC96" s="14">
        <v>37</v>
      </c>
      <c r="FF96" s="14">
        <v>37</v>
      </c>
      <c r="FM96" s="14">
        <v>0</v>
      </c>
      <c r="FT96" s="14">
        <v>0</v>
      </c>
      <c r="GA96" s="14">
        <v>0</v>
      </c>
      <c r="GH96" s="14">
        <v>0</v>
      </c>
      <c r="GO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170</v>
      </c>
      <c r="HB96" s="14">
        <v>0</v>
      </c>
      <c r="HC96" s="14">
        <v>73</v>
      </c>
      <c r="HD96" s="14">
        <v>243</v>
      </c>
      <c r="HK96" s="14">
        <v>0</v>
      </c>
      <c r="HO96" s="14">
        <v>170</v>
      </c>
      <c r="HQ96" s="14">
        <v>73</v>
      </c>
      <c r="HR96" s="14">
        <v>243</v>
      </c>
      <c r="HY96" s="14">
        <v>0</v>
      </c>
      <c r="IF96" s="14">
        <v>0</v>
      </c>
      <c r="IM96" s="14">
        <v>0</v>
      </c>
      <c r="IN96" s="14">
        <v>0</v>
      </c>
      <c r="IO96" s="14">
        <v>0</v>
      </c>
      <c r="IP96" s="14">
        <v>0</v>
      </c>
      <c r="IQ96" s="14">
        <v>170</v>
      </c>
      <c r="IR96" s="14">
        <v>0</v>
      </c>
      <c r="IS96" s="14">
        <v>73</v>
      </c>
      <c r="IT96" s="14">
        <v>243</v>
      </c>
      <c r="IU96" s="14">
        <v>50</v>
      </c>
      <c r="IW96" s="14">
        <v>50</v>
      </c>
      <c r="IZ96" s="14">
        <v>1</v>
      </c>
      <c r="JA96" s="14">
        <v>1</v>
      </c>
      <c r="JB96" s="14">
        <v>1</v>
      </c>
      <c r="JC96" s="14" t="s">
        <v>600</v>
      </c>
      <c r="NF96" s="14" t="s">
        <v>601</v>
      </c>
      <c r="NJ96" s="14">
        <v>136</v>
      </c>
      <c r="NL96" s="14">
        <v>73</v>
      </c>
      <c r="NM96" s="14">
        <v>209</v>
      </c>
      <c r="NQ96" s="14">
        <v>34</v>
      </c>
      <c r="NT96" s="14">
        <v>34</v>
      </c>
      <c r="OA96" s="14">
        <v>0</v>
      </c>
      <c r="OH96" s="14">
        <v>0</v>
      </c>
      <c r="OO96" s="14">
        <v>0</v>
      </c>
      <c r="OV96" s="14">
        <v>0</v>
      </c>
      <c r="PC96" s="14">
        <v>0</v>
      </c>
      <c r="PK96" s="14">
        <v>0</v>
      </c>
      <c r="PL96" s="14">
        <v>0</v>
      </c>
      <c r="PM96" s="14">
        <v>0</v>
      </c>
      <c r="PN96" s="14">
        <v>0</v>
      </c>
      <c r="PO96" s="14">
        <v>170</v>
      </c>
      <c r="PP96" s="14">
        <v>0</v>
      </c>
      <c r="PQ96" s="14">
        <v>73</v>
      </c>
      <c r="PR96" s="14">
        <v>243</v>
      </c>
      <c r="PV96" s="14">
        <v>170</v>
      </c>
      <c r="PX96" s="14">
        <v>73</v>
      </c>
      <c r="PY96" s="14">
        <v>243</v>
      </c>
      <c r="QF96" s="14">
        <v>0</v>
      </c>
      <c r="QM96" s="14">
        <v>0</v>
      </c>
      <c r="QT96" s="14">
        <v>0</v>
      </c>
      <c r="RA96" s="14">
        <v>0</v>
      </c>
      <c r="RB96" s="14">
        <v>0</v>
      </c>
      <c r="RC96" s="14">
        <v>0</v>
      </c>
      <c r="RD96" s="14">
        <v>0</v>
      </c>
      <c r="RE96" s="14">
        <v>170</v>
      </c>
      <c r="RF96" s="14">
        <v>0</v>
      </c>
      <c r="RG96" s="14">
        <v>73</v>
      </c>
      <c r="RH96" s="14">
        <v>243</v>
      </c>
      <c r="RI96" s="14" t="s">
        <v>602</v>
      </c>
      <c r="VL96" s="14" t="s">
        <v>603</v>
      </c>
      <c r="ZO96" s="14" t="s">
        <v>604</v>
      </c>
      <c r="ADR96" s="14" t="s">
        <v>605</v>
      </c>
    </row>
    <row r="97" spans="1:798" x14ac:dyDescent="0.25">
      <c r="A97" s="14">
        <v>43</v>
      </c>
      <c r="B97" s="14" t="s">
        <v>889</v>
      </c>
      <c r="C97" s="16">
        <f>$C$3</f>
        <v>42780</v>
      </c>
      <c r="D97" s="14" t="s">
        <v>1089</v>
      </c>
      <c r="E97" s="14" t="s">
        <v>1090</v>
      </c>
      <c r="F97" s="14" t="s">
        <v>807</v>
      </c>
      <c r="G97" s="14" t="s">
        <v>1091</v>
      </c>
      <c r="H97" s="14">
        <v>2036800041</v>
      </c>
      <c r="I97" s="14" t="s">
        <v>731</v>
      </c>
      <c r="J97" s="14" t="s">
        <v>732</v>
      </c>
      <c r="L97" s="14">
        <v>1</v>
      </c>
      <c r="S97" s="14">
        <v>172</v>
      </c>
      <c r="U97" s="14">
        <v>172</v>
      </c>
      <c r="AB97" s="14">
        <v>0</v>
      </c>
      <c r="AI97" s="14">
        <v>0</v>
      </c>
      <c r="AL97" s="14">
        <v>88</v>
      </c>
      <c r="AN97" s="14">
        <v>38</v>
      </c>
      <c r="AP97" s="14">
        <v>126</v>
      </c>
      <c r="AW97" s="14">
        <v>0</v>
      </c>
      <c r="BD97" s="14">
        <v>0</v>
      </c>
      <c r="BE97" s="14">
        <v>0</v>
      </c>
      <c r="BF97" s="14">
        <v>0</v>
      </c>
      <c r="BG97" s="14">
        <v>88</v>
      </c>
      <c r="BH97" s="14">
        <v>0</v>
      </c>
      <c r="BI97" s="14">
        <v>210</v>
      </c>
      <c r="BJ97" s="14">
        <v>0</v>
      </c>
      <c r="BK97" s="14">
        <v>298</v>
      </c>
      <c r="BP97" s="14">
        <v>2</v>
      </c>
      <c r="BR97" s="14">
        <v>2</v>
      </c>
      <c r="BY97" s="14">
        <v>0</v>
      </c>
      <c r="CF97" s="14">
        <v>0</v>
      </c>
      <c r="CI97" s="14">
        <v>1</v>
      </c>
      <c r="CK97" s="14">
        <v>2</v>
      </c>
      <c r="CM97" s="14">
        <v>3</v>
      </c>
      <c r="CT97" s="14">
        <v>0</v>
      </c>
      <c r="DA97" s="14">
        <v>0</v>
      </c>
      <c r="DB97" s="14">
        <v>0</v>
      </c>
      <c r="DC97" s="14">
        <v>0</v>
      </c>
      <c r="DD97" s="14">
        <v>1</v>
      </c>
      <c r="DE97" s="14">
        <v>0</v>
      </c>
      <c r="DF97" s="14">
        <v>4</v>
      </c>
      <c r="DG97" s="14">
        <v>0</v>
      </c>
      <c r="DH97" s="14">
        <v>5</v>
      </c>
      <c r="DI97" s="14" t="s">
        <v>598</v>
      </c>
      <c r="DJ97" s="14" t="s">
        <v>598</v>
      </c>
      <c r="DK97" s="14" t="s">
        <v>598</v>
      </c>
      <c r="DL97" s="14" t="s">
        <v>598</v>
      </c>
      <c r="DM97" s="14" t="s">
        <v>597</v>
      </c>
      <c r="DN97" s="14" t="s">
        <v>598</v>
      </c>
      <c r="DO97" s="14" t="s">
        <v>598</v>
      </c>
      <c r="DP97" s="14" t="s">
        <v>598</v>
      </c>
      <c r="DQ97" s="14" t="s">
        <v>598</v>
      </c>
      <c r="DR97" s="14" t="s">
        <v>598</v>
      </c>
      <c r="DS97" s="14" t="s">
        <v>598</v>
      </c>
      <c r="DT97" s="14" t="s">
        <v>598</v>
      </c>
      <c r="DU97" s="14" t="s">
        <v>598</v>
      </c>
      <c r="DV97" s="14" t="s">
        <v>598</v>
      </c>
      <c r="DW97" s="14" t="s">
        <v>598</v>
      </c>
      <c r="DX97" s="14" t="s">
        <v>598</v>
      </c>
      <c r="DY97" s="14" t="s">
        <v>598</v>
      </c>
      <c r="DZ97" s="14" t="s">
        <v>598</v>
      </c>
      <c r="EA97" s="14" t="s">
        <v>598</v>
      </c>
      <c r="EB97" s="14" t="s">
        <v>598</v>
      </c>
      <c r="EC97" s="14" t="s">
        <v>597</v>
      </c>
      <c r="ED97" s="14" t="s">
        <v>598</v>
      </c>
      <c r="EE97" s="14" t="s">
        <v>597</v>
      </c>
      <c r="EF97" s="14" t="s">
        <v>598</v>
      </c>
      <c r="EG97" s="14" t="s">
        <v>598</v>
      </c>
      <c r="EH97" s="14" t="s">
        <v>598</v>
      </c>
      <c r="EI97" s="14" t="s">
        <v>598</v>
      </c>
      <c r="EJ97" s="14" t="s">
        <v>598</v>
      </c>
      <c r="EK97" s="14" t="s">
        <v>598</v>
      </c>
      <c r="EL97" s="14" t="s">
        <v>598</v>
      </c>
      <c r="EM97" s="14" t="s">
        <v>598</v>
      </c>
      <c r="EN97" s="14" t="s">
        <v>598</v>
      </c>
      <c r="EO97" s="14" t="s">
        <v>598</v>
      </c>
      <c r="EP97" s="14" t="s">
        <v>598</v>
      </c>
      <c r="EQ97" s="14" t="s">
        <v>598</v>
      </c>
      <c r="ER97" s="14" t="s">
        <v>598</v>
      </c>
      <c r="EW97" s="14">
        <v>210</v>
      </c>
      <c r="EY97" s="14">
        <v>210</v>
      </c>
      <c r="FF97" s="14">
        <v>0</v>
      </c>
      <c r="FM97" s="14">
        <v>0</v>
      </c>
      <c r="FP97" s="14">
        <v>88</v>
      </c>
      <c r="FT97" s="14">
        <v>88</v>
      </c>
      <c r="GA97" s="14">
        <v>0</v>
      </c>
      <c r="GH97" s="14">
        <v>0</v>
      </c>
      <c r="GO97" s="14">
        <v>0</v>
      </c>
      <c r="GW97" s="14">
        <v>0</v>
      </c>
      <c r="GX97" s="14">
        <v>0</v>
      </c>
      <c r="GY97" s="14">
        <v>0</v>
      </c>
      <c r="GZ97" s="14">
        <v>88</v>
      </c>
      <c r="HA97" s="14">
        <v>0</v>
      </c>
      <c r="HB97" s="14">
        <v>210</v>
      </c>
      <c r="HC97" s="14">
        <v>0</v>
      </c>
      <c r="HD97" s="14">
        <v>298</v>
      </c>
      <c r="HI97" s="14">
        <v>67</v>
      </c>
      <c r="HK97" s="14">
        <v>67</v>
      </c>
      <c r="HN97" s="14">
        <v>88</v>
      </c>
      <c r="HP97" s="14">
        <v>143</v>
      </c>
      <c r="HR97" s="14">
        <v>231</v>
      </c>
      <c r="HY97" s="14">
        <v>0</v>
      </c>
      <c r="IF97" s="14">
        <v>0</v>
      </c>
      <c r="IM97" s="14">
        <v>0</v>
      </c>
      <c r="IN97" s="14">
        <v>0</v>
      </c>
      <c r="IO97" s="14">
        <v>0</v>
      </c>
      <c r="IP97" s="14">
        <v>88</v>
      </c>
      <c r="IQ97" s="14">
        <v>0</v>
      </c>
      <c r="IR97" s="14">
        <v>210</v>
      </c>
      <c r="IS97" s="14">
        <v>0</v>
      </c>
      <c r="IT97" s="14">
        <v>298</v>
      </c>
      <c r="IW97" s="14">
        <v>70</v>
      </c>
      <c r="IX97" s="14" t="s">
        <v>1092</v>
      </c>
      <c r="IY97" s="14">
        <v>30</v>
      </c>
      <c r="IZ97" s="14">
        <v>1</v>
      </c>
      <c r="JA97" s="14">
        <v>3</v>
      </c>
      <c r="JB97" s="14">
        <v>1</v>
      </c>
      <c r="JC97" s="14" t="s">
        <v>600</v>
      </c>
      <c r="JH97" s="14">
        <v>172</v>
      </c>
      <c r="JJ97" s="14">
        <v>172</v>
      </c>
      <c r="JQ97" s="14">
        <v>0</v>
      </c>
      <c r="JX97" s="14">
        <v>0</v>
      </c>
      <c r="KE97" s="14">
        <v>0</v>
      </c>
      <c r="KL97" s="14">
        <v>0</v>
      </c>
      <c r="KS97" s="14">
        <v>0</v>
      </c>
      <c r="KZ97" s="14">
        <v>0</v>
      </c>
      <c r="LH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172</v>
      </c>
      <c r="LN97" s="14">
        <v>0</v>
      </c>
      <c r="LO97" s="14">
        <v>172</v>
      </c>
      <c r="LT97" s="14">
        <v>143</v>
      </c>
      <c r="LV97" s="14">
        <v>143</v>
      </c>
      <c r="MA97" s="14">
        <v>29</v>
      </c>
      <c r="MC97" s="14">
        <v>29</v>
      </c>
      <c r="MJ97" s="14">
        <v>0</v>
      </c>
      <c r="MQ97" s="14">
        <v>0</v>
      </c>
      <c r="MX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172</v>
      </c>
      <c r="ND97" s="14">
        <v>0</v>
      </c>
      <c r="NE97" s="14">
        <v>172</v>
      </c>
      <c r="NF97" s="14" t="s">
        <v>601</v>
      </c>
      <c r="RI97" s="14" t="s">
        <v>602</v>
      </c>
      <c r="VL97" s="14" t="s">
        <v>603</v>
      </c>
      <c r="VQ97" s="14">
        <v>38</v>
      </c>
      <c r="VS97" s="14">
        <v>38</v>
      </c>
      <c r="VZ97" s="14">
        <v>0</v>
      </c>
      <c r="WG97" s="14">
        <v>0</v>
      </c>
      <c r="WJ97" s="14">
        <v>88</v>
      </c>
      <c r="WN97" s="14">
        <v>88</v>
      </c>
      <c r="WU97" s="14">
        <v>0</v>
      </c>
      <c r="XB97" s="14">
        <v>0</v>
      </c>
      <c r="XI97" s="14">
        <v>0</v>
      </c>
      <c r="XQ97" s="14">
        <v>0</v>
      </c>
      <c r="XR97" s="14">
        <v>0</v>
      </c>
      <c r="XS97" s="14">
        <v>0</v>
      </c>
      <c r="XT97" s="14">
        <v>88</v>
      </c>
      <c r="XU97" s="14">
        <v>0</v>
      </c>
      <c r="XV97" s="14">
        <v>38</v>
      </c>
      <c r="XW97" s="14">
        <v>0</v>
      </c>
      <c r="XX97" s="14">
        <v>126</v>
      </c>
      <c r="YA97" s="14">
        <v>88</v>
      </c>
      <c r="YE97" s="14">
        <v>88</v>
      </c>
      <c r="YJ97" s="14">
        <v>38</v>
      </c>
      <c r="YL97" s="14">
        <v>38</v>
      </c>
      <c r="YS97" s="14">
        <v>0</v>
      </c>
      <c r="YZ97" s="14">
        <v>0</v>
      </c>
      <c r="ZG97" s="14">
        <v>0</v>
      </c>
      <c r="ZH97" s="14">
        <v>0</v>
      </c>
      <c r="ZI97" s="14">
        <v>0</v>
      </c>
      <c r="ZJ97" s="14">
        <v>88</v>
      </c>
      <c r="ZK97" s="14">
        <v>0</v>
      </c>
      <c r="ZL97" s="14">
        <v>38</v>
      </c>
      <c r="ZM97" s="14">
        <v>0</v>
      </c>
      <c r="ZN97" s="14">
        <v>126</v>
      </c>
      <c r="ZO97" s="14" t="s">
        <v>604</v>
      </c>
      <c r="ADR97" s="14" t="s">
        <v>605</v>
      </c>
    </row>
    <row r="98" spans="1:798" x14ac:dyDescent="0.25">
      <c r="A98" s="14">
        <v>90</v>
      </c>
      <c r="B98" s="14" t="s">
        <v>889</v>
      </c>
      <c r="C98" s="16">
        <f>VLOOKUP(A98,[4]RawData!Z:AA,2,FALSE)</f>
        <v>42748.421527777777</v>
      </c>
      <c r="D98" s="14" t="s">
        <v>1093</v>
      </c>
      <c r="E98" s="14" t="s">
        <v>1094</v>
      </c>
      <c r="F98" s="14" t="s">
        <v>948</v>
      </c>
      <c r="G98" s="14" t="s">
        <v>1095</v>
      </c>
      <c r="H98" s="14">
        <v>4520606020</v>
      </c>
      <c r="I98" s="14" t="s">
        <v>900</v>
      </c>
      <c r="J98" s="14" t="s">
        <v>732</v>
      </c>
      <c r="L98" s="14">
        <v>1</v>
      </c>
      <c r="U98" s="14">
        <v>0</v>
      </c>
      <c r="V98" s="14">
        <v>15</v>
      </c>
      <c r="AB98" s="14">
        <v>15</v>
      </c>
      <c r="AI98" s="14">
        <v>0</v>
      </c>
      <c r="AP98" s="14">
        <v>0</v>
      </c>
      <c r="AW98" s="14">
        <v>0</v>
      </c>
      <c r="BD98" s="14">
        <v>0</v>
      </c>
      <c r="BE98" s="14">
        <v>15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15</v>
      </c>
      <c r="BR98" s="14">
        <v>0</v>
      </c>
      <c r="BS98" s="14">
        <v>1</v>
      </c>
      <c r="BY98" s="14">
        <v>1</v>
      </c>
      <c r="CF98" s="14">
        <v>0</v>
      </c>
      <c r="CM98" s="14">
        <v>0</v>
      </c>
      <c r="CT98" s="14">
        <v>0</v>
      </c>
      <c r="DA98" s="14">
        <v>0</v>
      </c>
      <c r="DB98" s="14">
        <v>1</v>
      </c>
      <c r="DC98" s="14">
        <v>0</v>
      </c>
      <c r="DD98" s="14">
        <v>0</v>
      </c>
      <c r="DE98" s="14">
        <v>0</v>
      </c>
      <c r="DF98" s="14">
        <v>0</v>
      </c>
      <c r="DG98" s="14">
        <v>0</v>
      </c>
      <c r="DH98" s="14">
        <v>1</v>
      </c>
      <c r="DI98" s="14" t="s">
        <v>598</v>
      </c>
      <c r="DJ98" s="14" t="s">
        <v>598</v>
      </c>
      <c r="DK98" s="14" t="s">
        <v>598</v>
      </c>
      <c r="DL98" s="14" t="s">
        <v>598</v>
      </c>
      <c r="DM98" s="14" t="s">
        <v>598</v>
      </c>
      <c r="DN98" s="14" t="s">
        <v>598</v>
      </c>
      <c r="DO98" s="14" t="s">
        <v>597</v>
      </c>
      <c r="DP98" s="14" t="s">
        <v>598</v>
      </c>
      <c r="DQ98" s="14" t="s">
        <v>598</v>
      </c>
      <c r="DR98" s="14" t="s">
        <v>598</v>
      </c>
      <c r="DS98" s="14" t="s">
        <v>598</v>
      </c>
      <c r="DT98" s="14" t="s">
        <v>598</v>
      </c>
      <c r="DU98" s="14" t="s">
        <v>598</v>
      </c>
      <c r="DV98" s="14" t="s">
        <v>598</v>
      </c>
      <c r="DW98" s="14" t="s">
        <v>598</v>
      </c>
      <c r="DX98" s="14" t="s">
        <v>598</v>
      </c>
      <c r="DY98" s="14" t="s">
        <v>598</v>
      </c>
      <c r="DZ98" s="14" t="s">
        <v>598</v>
      </c>
      <c r="EA98" s="14" t="s">
        <v>598</v>
      </c>
      <c r="EB98" s="14" t="s">
        <v>598</v>
      </c>
      <c r="EC98" s="14" t="s">
        <v>598</v>
      </c>
      <c r="ED98" s="14" t="s">
        <v>598</v>
      </c>
      <c r="EE98" s="14" t="s">
        <v>598</v>
      </c>
      <c r="EF98" s="14" t="s">
        <v>598</v>
      </c>
      <c r="EG98" s="14" t="s">
        <v>598</v>
      </c>
      <c r="EH98" s="14" t="s">
        <v>598</v>
      </c>
      <c r="EI98" s="14" t="s">
        <v>598</v>
      </c>
      <c r="EJ98" s="14" t="s">
        <v>598</v>
      </c>
      <c r="EK98" s="14" t="s">
        <v>598</v>
      </c>
      <c r="EL98" s="14" t="s">
        <v>598</v>
      </c>
      <c r="EM98" s="14" t="s">
        <v>598</v>
      </c>
      <c r="EN98" s="14" t="s">
        <v>598</v>
      </c>
      <c r="EO98" s="14" t="s">
        <v>598</v>
      </c>
      <c r="EP98" s="14" t="s">
        <v>598</v>
      </c>
      <c r="EQ98" s="14" t="s">
        <v>598</v>
      </c>
      <c r="ER98" s="14" t="s">
        <v>598</v>
      </c>
      <c r="ES98" s="14">
        <v>15</v>
      </c>
      <c r="EY98" s="14">
        <v>15</v>
      </c>
      <c r="FF98" s="14">
        <v>0</v>
      </c>
      <c r="FM98" s="14">
        <v>0</v>
      </c>
      <c r="FT98" s="14">
        <v>0</v>
      </c>
      <c r="GA98" s="14">
        <v>0</v>
      </c>
      <c r="GH98" s="14">
        <v>0</v>
      </c>
      <c r="GO98" s="14">
        <v>0</v>
      </c>
      <c r="GW98" s="14">
        <v>0</v>
      </c>
      <c r="GX98" s="14">
        <v>15</v>
      </c>
      <c r="GY98" s="14">
        <v>0</v>
      </c>
      <c r="GZ98" s="14">
        <v>0</v>
      </c>
      <c r="HA98" s="14">
        <v>0</v>
      </c>
      <c r="HB98" s="14">
        <v>0</v>
      </c>
      <c r="HC98" s="14">
        <v>0</v>
      </c>
      <c r="HD98" s="14">
        <v>15</v>
      </c>
      <c r="HK98" s="14">
        <v>0</v>
      </c>
      <c r="HL98" s="14">
        <v>15</v>
      </c>
      <c r="HR98" s="14">
        <v>15</v>
      </c>
      <c r="HY98" s="14">
        <v>0</v>
      </c>
      <c r="IF98" s="14">
        <v>0</v>
      </c>
      <c r="IM98" s="14">
        <v>0</v>
      </c>
      <c r="IN98" s="14">
        <v>15</v>
      </c>
      <c r="IO98" s="14">
        <v>0</v>
      </c>
      <c r="IP98" s="14">
        <v>0</v>
      </c>
      <c r="IQ98" s="14">
        <v>0</v>
      </c>
      <c r="IR98" s="14">
        <v>0</v>
      </c>
      <c r="IS98" s="14">
        <v>0</v>
      </c>
      <c r="IT98" s="14">
        <v>15</v>
      </c>
      <c r="IW98" s="14">
        <v>100</v>
      </c>
      <c r="IZ98" s="14">
        <v>1</v>
      </c>
      <c r="JA98" s="14">
        <v>2</v>
      </c>
      <c r="JB98" s="14">
        <v>1</v>
      </c>
      <c r="JC98" s="14" t="s">
        <v>600</v>
      </c>
      <c r="NF98" s="14" t="s">
        <v>601</v>
      </c>
      <c r="NG98" s="14">
        <v>15</v>
      </c>
      <c r="NM98" s="14">
        <v>15</v>
      </c>
      <c r="NT98" s="14">
        <v>0</v>
      </c>
      <c r="OA98" s="14">
        <v>0</v>
      </c>
      <c r="OH98" s="14">
        <v>0</v>
      </c>
      <c r="OO98" s="14">
        <v>0</v>
      </c>
      <c r="OV98" s="14">
        <v>0</v>
      </c>
      <c r="PC98" s="14">
        <v>0</v>
      </c>
      <c r="PK98" s="14">
        <v>0</v>
      </c>
      <c r="PL98" s="14">
        <v>15</v>
      </c>
      <c r="PM98" s="14">
        <v>0</v>
      </c>
      <c r="PN98" s="14">
        <v>0</v>
      </c>
      <c r="PO98" s="14">
        <v>0</v>
      </c>
      <c r="PP98" s="14">
        <v>0</v>
      </c>
      <c r="PQ98" s="14">
        <v>0</v>
      </c>
      <c r="PR98" s="14">
        <v>15</v>
      </c>
      <c r="PS98" s="14">
        <v>15</v>
      </c>
      <c r="PY98" s="14">
        <v>15</v>
      </c>
      <c r="QF98" s="14">
        <v>0</v>
      </c>
      <c r="QM98" s="14">
        <v>0</v>
      </c>
      <c r="QT98" s="14">
        <v>0</v>
      </c>
      <c r="RA98" s="14">
        <v>0</v>
      </c>
      <c r="RB98" s="14">
        <v>15</v>
      </c>
      <c r="RC98" s="14">
        <v>0</v>
      </c>
      <c r="RD98" s="14">
        <v>0</v>
      </c>
      <c r="RE98" s="14">
        <v>0</v>
      </c>
      <c r="RF98" s="14">
        <v>0</v>
      </c>
      <c r="RG98" s="14">
        <v>0</v>
      </c>
      <c r="RH98" s="14">
        <v>15</v>
      </c>
      <c r="RI98" s="14" t="s">
        <v>602</v>
      </c>
      <c r="VL98" s="14" t="s">
        <v>603</v>
      </c>
      <c r="ZO98" s="14" t="s">
        <v>604</v>
      </c>
      <c r="ADR98" s="14" t="s">
        <v>605</v>
      </c>
    </row>
    <row r="99" spans="1:798" x14ac:dyDescent="0.25">
      <c r="A99" s="14">
        <v>146</v>
      </c>
      <c r="B99" s="14" t="s">
        <v>889</v>
      </c>
      <c r="C99" s="16">
        <f>VLOOKUP(A99,[4]RawData!Z:AA,2,FALSE)</f>
        <v>42766.466666666667</v>
      </c>
      <c r="D99" s="14" t="s">
        <v>1096</v>
      </c>
      <c r="E99" s="14" t="s">
        <v>1097</v>
      </c>
      <c r="F99" s="14" t="s">
        <v>1011</v>
      </c>
      <c r="G99" s="14" t="s">
        <v>1098</v>
      </c>
      <c r="H99" s="14">
        <v>31202351703</v>
      </c>
      <c r="I99" s="14" t="s">
        <v>611</v>
      </c>
      <c r="J99" s="14" t="s">
        <v>596</v>
      </c>
      <c r="L99" s="14">
        <v>1</v>
      </c>
      <c r="U99" s="14">
        <v>0</v>
      </c>
      <c r="AB99" s="14">
        <v>0</v>
      </c>
      <c r="AC99" s="14">
        <v>1100</v>
      </c>
      <c r="AD99" s="14">
        <v>400</v>
      </c>
      <c r="AE99" s="14">
        <v>0</v>
      </c>
      <c r="AF99" s="14">
        <v>0</v>
      </c>
      <c r="AG99" s="14">
        <v>0</v>
      </c>
      <c r="AH99" s="14">
        <v>800</v>
      </c>
      <c r="AI99" s="14">
        <v>2300</v>
      </c>
      <c r="AP99" s="14">
        <v>0</v>
      </c>
      <c r="AW99" s="14">
        <v>0</v>
      </c>
      <c r="BD99" s="14">
        <v>0</v>
      </c>
      <c r="BE99" s="14">
        <v>1100</v>
      </c>
      <c r="BF99" s="14">
        <v>400</v>
      </c>
      <c r="BG99" s="14">
        <v>0</v>
      </c>
      <c r="BH99" s="14">
        <v>0</v>
      </c>
      <c r="BI99" s="14">
        <v>0</v>
      </c>
      <c r="BJ99" s="14">
        <v>800</v>
      </c>
      <c r="BK99" s="14">
        <v>2300</v>
      </c>
      <c r="BR99" s="14">
        <v>0</v>
      </c>
      <c r="BY99" s="14">
        <v>0</v>
      </c>
      <c r="BZ99" s="14">
        <v>2</v>
      </c>
      <c r="CA99" s="14">
        <v>2</v>
      </c>
      <c r="CE99" s="14">
        <v>2</v>
      </c>
      <c r="CF99" s="14">
        <v>6</v>
      </c>
      <c r="CM99" s="14">
        <v>0</v>
      </c>
      <c r="CT99" s="14">
        <v>0</v>
      </c>
      <c r="DA99" s="14">
        <v>0</v>
      </c>
      <c r="DB99" s="14">
        <v>2</v>
      </c>
      <c r="DC99" s="14">
        <v>2</v>
      </c>
      <c r="DD99" s="14">
        <v>0</v>
      </c>
      <c r="DE99" s="14">
        <v>0</v>
      </c>
      <c r="DF99" s="14">
        <v>0</v>
      </c>
      <c r="DG99" s="14">
        <v>2</v>
      </c>
      <c r="DH99" s="14">
        <v>6</v>
      </c>
      <c r="DI99" s="14" t="s">
        <v>598</v>
      </c>
      <c r="DJ99" s="14" t="s">
        <v>598</v>
      </c>
      <c r="DK99" s="14" t="s">
        <v>598</v>
      </c>
      <c r="DL99" s="14" t="s">
        <v>598</v>
      </c>
      <c r="DM99" s="14" t="s">
        <v>598</v>
      </c>
      <c r="DN99" s="14" t="s">
        <v>598</v>
      </c>
      <c r="DO99" s="14" t="s">
        <v>598</v>
      </c>
      <c r="DP99" s="14" t="s">
        <v>598</v>
      </c>
      <c r="DQ99" s="14" t="s">
        <v>598</v>
      </c>
      <c r="DR99" s="14" t="s">
        <v>598</v>
      </c>
      <c r="DS99" s="14" t="s">
        <v>598</v>
      </c>
      <c r="DT99" s="14" t="s">
        <v>598</v>
      </c>
      <c r="DU99" s="14" t="s">
        <v>597</v>
      </c>
      <c r="DV99" s="14" t="s">
        <v>597</v>
      </c>
      <c r="DW99" s="14" t="s">
        <v>598</v>
      </c>
      <c r="DX99" s="14" t="s">
        <v>598</v>
      </c>
      <c r="DY99" s="14" t="s">
        <v>598</v>
      </c>
      <c r="DZ99" s="14" t="s">
        <v>597</v>
      </c>
      <c r="EA99" s="14" t="s">
        <v>598</v>
      </c>
      <c r="EB99" s="14" t="s">
        <v>598</v>
      </c>
      <c r="EC99" s="14" t="s">
        <v>598</v>
      </c>
      <c r="ED99" s="14" t="s">
        <v>598</v>
      </c>
      <c r="EE99" s="14" t="s">
        <v>598</v>
      </c>
      <c r="EF99" s="14" t="s">
        <v>598</v>
      </c>
      <c r="EG99" s="14" t="s">
        <v>598</v>
      </c>
      <c r="EH99" s="14" t="s">
        <v>598</v>
      </c>
      <c r="EI99" s="14" t="s">
        <v>598</v>
      </c>
      <c r="EJ99" s="14" t="s">
        <v>598</v>
      </c>
      <c r="EK99" s="14" t="s">
        <v>598</v>
      </c>
      <c r="EL99" s="14" t="s">
        <v>598</v>
      </c>
      <c r="EM99" s="14" t="s">
        <v>598</v>
      </c>
      <c r="EN99" s="14" t="s">
        <v>598</v>
      </c>
      <c r="EO99" s="14" t="s">
        <v>598</v>
      </c>
      <c r="EP99" s="14" t="s">
        <v>598</v>
      </c>
      <c r="EQ99" s="14" t="s">
        <v>598</v>
      </c>
      <c r="ER99" s="14" t="s">
        <v>598</v>
      </c>
      <c r="EY99" s="14">
        <v>0</v>
      </c>
      <c r="FF99" s="14">
        <v>0</v>
      </c>
      <c r="FM99" s="14">
        <v>0</v>
      </c>
      <c r="FT99" s="14">
        <v>0</v>
      </c>
      <c r="GA99" s="14">
        <v>0</v>
      </c>
      <c r="GH99" s="14">
        <v>0</v>
      </c>
      <c r="GO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14">
        <v>0</v>
      </c>
      <c r="HE99" s="14">
        <v>300</v>
      </c>
      <c r="HK99" s="14">
        <v>300</v>
      </c>
      <c r="HL99" s="14">
        <v>50</v>
      </c>
      <c r="HM99" s="14">
        <v>300</v>
      </c>
      <c r="HR99" s="14">
        <v>350</v>
      </c>
      <c r="HS99" s="14">
        <v>850</v>
      </c>
      <c r="HX99" s="14">
        <v>800</v>
      </c>
      <c r="HY99" s="14">
        <v>1650</v>
      </c>
      <c r="IF99" s="14">
        <v>0</v>
      </c>
      <c r="IM99" s="14">
        <v>0</v>
      </c>
      <c r="IN99" s="14">
        <v>1200</v>
      </c>
      <c r="IO99" s="14">
        <v>300</v>
      </c>
      <c r="IP99" s="14">
        <v>0</v>
      </c>
      <c r="IQ99" s="14">
        <v>0</v>
      </c>
      <c r="IR99" s="14">
        <v>0</v>
      </c>
      <c r="IS99" s="14">
        <v>800</v>
      </c>
      <c r="IT99" s="14">
        <v>2300</v>
      </c>
      <c r="IU99" s="14">
        <v>2</v>
      </c>
      <c r="IW99" s="14">
        <v>98</v>
      </c>
      <c r="IZ99" s="14">
        <v>3</v>
      </c>
      <c r="JA99" s="14">
        <v>2</v>
      </c>
      <c r="JB99" s="14">
        <v>2</v>
      </c>
      <c r="JC99" s="14" t="s">
        <v>600</v>
      </c>
      <c r="NF99" s="14" t="s">
        <v>601</v>
      </c>
      <c r="RI99" s="14" t="s">
        <v>602</v>
      </c>
      <c r="VL99" s="14" t="s">
        <v>603</v>
      </c>
      <c r="ZO99" s="14" t="s">
        <v>604</v>
      </c>
      <c r="ADR99" s="14" t="s">
        <v>605</v>
      </c>
    </row>
    <row r="100" spans="1:798" x14ac:dyDescent="0.25">
      <c r="A100" s="14">
        <v>54</v>
      </c>
      <c r="B100" s="14" t="s">
        <v>889</v>
      </c>
      <c r="C100" s="16">
        <f t="shared" ref="C100:C103" si="9">$C$3</f>
        <v>42780</v>
      </c>
      <c r="D100" s="14" t="s">
        <v>1099</v>
      </c>
      <c r="E100" s="14" t="s">
        <v>1099</v>
      </c>
      <c r="F100" s="14" t="s">
        <v>1100</v>
      </c>
      <c r="G100" s="14" t="s">
        <v>1101</v>
      </c>
      <c r="H100" s="14" t="s">
        <v>1102</v>
      </c>
      <c r="I100" s="14" t="s">
        <v>894</v>
      </c>
      <c r="J100" s="14" t="s">
        <v>732</v>
      </c>
      <c r="L100" s="14">
        <v>1</v>
      </c>
      <c r="U100" s="14">
        <v>0</v>
      </c>
      <c r="AB100" s="14">
        <v>0</v>
      </c>
      <c r="AI100" s="14">
        <v>0</v>
      </c>
      <c r="AJ100" s="14">
        <v>4033</v>
      </c>
      <c r="AK100" s="14">
        <v>714</v>
      </c>
      <c r="AP100" s="14">
        <v>4747</v>
      </c>
      <c r="AW100" s="14">
        <v>0</v>
      </c>
      <c r="BD100" s="14">
        <v>0</v>
      </c>
      <c r="BE100" s="14">
        <v>4033</v>
      </c>
      <c r="BF100" s="14">
        <v>714</v>
      </c>
      <c r="BG100" s="14">
        <v>0</v>
      </c>
      <c r="BH100" s="14">
        <v>0</v>
      </c>
      <c r="BI100" s="14">
        <v>0</v>
      </c>
      <c r="BJ100" s="14">
        <v>0</v>
      </c>
      <c r="BK100" s="14">
        <v>4747</v>
      </c>
      <c r="BR100" s="14">
        <v>0</v>
      </c>
      <c r="BY100" s="14">
        <v>0</v>
      </c>
      <c r="CF100" s="14">
        <v>0</v>
      </c>
      <c r="CG100" s="14">
        <v>12</v>
      </c>
      <c r="CH100" s="14">
        <v>4</v>
      </c>
      <c r="CM100" s="14">
        <v>16</v>
      </c>
      <c r="CT100" s="14">
        <v>0</v>
      </c>
      <c r="DA100" s="14">
        <v>0</v>
      </c>
      <c r="DB100" s="14">
        <v>12</v>
      </c>
      <c r="DC100" s="14">
        <v>4</v>
      </c>
      <c r="DD100" s="14">
        <v>0</v>
      </c>
      <c r="DE100" s="14">
        <v>0</v>
      </c>
      <c r="DF100" s="14">
        <v>0</v>
      </c>
      <c r="DG100" s="14">
        <v>0</v>
      </c>
      <c r="DH100" s="14">
        <v>16</v>
      </c>
      <c r="DI100" s="14" t="s">
        <v>598</v>
      </c>
      <c r="DJ100" s="14" t="s">
        <v>598</v>
      </c>
      <c r="DK100" s="14" t="s">
        <v>598</v>
      </c>
      <c r="DL100" s="14" t="s">
        <v>598</v>
      </c>
      <c r="DM100" s="14" t="s">
        <v>598</v>
      </c>
      <c r="DN100" s="14" t="s">
        <v>598</v>
      </c>
      <c r="DO100" s="14" t="s">
        <v>598</v>
      </c>
      <c r="DP100" s="14" t="s">
        <v>598</v>
      </c>
      <c r="DQ100" s="14" t="s">
        <v>598</v>
      </c>
      <c r="DR100" s="14" t="s">
        <v>598</v>
      </c>
      <c r="DS100" s="14" t="s">
        <v>598</v>
      </c>
      <c r="DT100" s="14" t="s">
        <v>598</v>
      </c>
      <c r="DU100" s="14" t="s">
        <v>598</v>
      </c>
      <c r="DV100" s="14" t="s">
        <v>598</v>
      </c>
      <c r="DW100" s="14" t="s">
        <v>598</v>
      </c>
      <c r="DX100" s="14" t="s">
        <v>598</v>
      </c>
      <c r="DY100" s="14" t="s">
        <v>598</v>
      </c>
      <c r="DZ100" s="14" t="s">
        <v>598</v>
      </c>
      <c r="EA100" s="14" t="s">
        <v>597</v>
      </c>
      <c r="EB100" s="14" t="s">
        <v>597</v>
      </c>
      <c r="EC100" s="14" t="s">
        <v>598</v>
      </c>
      <c r="ED100" s="14" t="s">
        <v>598</v>
      </c>
      <c r="EE100" s="14" t="s">
        <v>598</v>
      </c>
      <c r="EF100" s="14" t="s">
        <v>598</v>
      </c>
      <c r="EG100" s="14" t="s">
        <v>598</v>
      </c>
      <c r="EH100" s="14" t="s">
        <v>598</v>
      </c>
      <c r="EI100" s="14" t="s">
        <v>598</v>
      </c>
      <c r="EJ100" s="14" t="s">
        <v>598</v>
      </c>
      <c r="EK100" s="14" t="s">
        <v>598</v>
      </c>
      <c r="EL100" s="14" t="s">
        <v>598</v>
      </c>
      <c r="EM100" s="14" t="s">
        <v>598</v>
      </c>
      <c r="EN100" s="14" t="s">
        <v>598</v>
      </c>
      <c r="EO100" s="14" t="s">
        <v>598</v>
      </c>
      <c r="EP100" s="14" t="s">
        <v>598</v>
      </c>
      <c r="EQ100" s="14" t="s">
        <v>598</v>
      </c>
      <c r="ER100" s="14" t="s">
        <v>598</v>
      </c>
      <c r="ES100" s="14">
        <v>1488</v>
      </c>
      <c r="ET100" s="14">
        <v>215</v>
      </c>
      <c r="EY100" s="14">
        <v>1703</v>
      </c>
      <c r="EZ100" s="14">
        <v>110</v>
      </c>
      <c r="FF100" s="14">
        <v>110</v>
      </c>
      <c r="FM100" s="14">
        <v>0</v>
      </c>
      <c r="FN100" s="14">
        <v>451</v>
      </c>
      <c r="FO100" s="14">
        <v>194</v>
      </c>
      <c r="FT100" s="14">
        <v>645</v>
      </c>
      <c r="FU100" s="14">
        <v>158</v>
      </c>
      <c r="GA100" s="14">
        <v>158</v>
      </c>
      <c r="GH100" s="14">
        <v>0</v>
      </c>
      <c r="GO100" s="14">
        <v>0</v>
      </c>
      <c r="GP100" s="14" t="s">
        <v>1103</v>
      </c>
      <c r="GQ100" s="14">
        <v>1826</v>
      </c>
      <c r="GR100" s="14">
        <v>305</v>
      </c>
      <c r="GW100" s="14">
        <v>2131</v>
      </c>
      <c r="GX100" s="14">
        <v>4033</v>
      </c>
      <c r="GY100" s="14">
        <v>714</v>
      </c>
      <c r="GZ100" s="14">
        <v>0</v>
      </c>
      <c r="HA100" s="14">
        <v>0</v>
      </c>
      <c r="HB100" s="14">
        <v>0</v>
      </c>
      <c r="HC100" s="14">
        <v>0</v>
      </c>
      <c r="HD100" s="14">
        <v>4747</v>
      </c>
      <c r="HK100" s="14">
        <v>0</v>
      </c>
      <c r="HL100" s="14">
        <v>3223</v>
      </c>
      <c r="HM100" s="14">
        <v>305</v>
      </c>
      <c r="HR100" s="14">
        <v>3528</v>
      </c>
      <c r="HS100" s="14">
        <v>810</v>
      </c>
      <c r="HT100" s="14">
        <v>409</v>
      </c>
      <c r="HY100" s="14">
        <v>1219</v>
      </c>
      <c r="IF100" s="14">
        <v>0</v>
      </c>
      <c r="IM100" s="14">
        <v>0</v>
      </c>
      <c r="IN100" s="14">
        <v>4033</v>
      </c>
      <c r="IO100" s="14">
        <v>714</v>
      </c>
      <c r="IP100" s="14">
        <v>0</v>
      </c>
      <c r="IQ100" s="14">
        <v>0</v>
      </c>
      <c r="IR100" s="14">
        <v>0</v>
      </c>
      <c r="IS100" s="14">
        <v>0</v>
      </c>
      <c r="IT100" s="14">
        <v>4747</v>
      </c>
      <c r="IX100" s="14" t="s">
        <v>1104</v>
      </c>
      <c r="IY100" s="14">
        <v>100</v>
      </c>
      <c r="IZ100" s="14">
        <v>1</v>
      </c>
      <c r="JA100" s="14">
        <v>3</v>
      </c>
      <c r="JB100" s="14">
        <v>1</v>
      </c>
      <c r="JC100" s="14" t="s">
        <v>600</v>
      </c>
      <c r="NF100" s="14" t="s">
        <v>601</v>
      </c>
      <c r="RI100" s="14" t="s">
        <v>602</v>
      </c>
      <c r="VL100" s="14" t="s">
        <v>603</v>
      </c>
      <c r="VM100" s="14">
        <v>1488</v>
      </c>
      <c r="VN100" s="14">
        <v>215</v>
      </c>
      <c r="VS100" s="14">
        <v>1703</v>
      </c>
      <c r="VT100" s="14">
        <v>110</v>
      </c>
      <c r="VZ100" s="14">
        <v>110</v>
      </c>
      <c r="WG100" s="14">
        <v>0</v>
      </c>
      <c r="WH100" s="14">
        <v>451</v>
      </c>
      <c r="WI100" s="14">
        <v>194</v>
      </c>
      <c r="WN100" s="14">
        <v>645</v>
      </c>
      <c r="WO100" s="14">
        <v>158</v>
      </c>
      <c r="WU100" s="14">
        <v>158</v>
      </c>
      <c r="XB100" s="14">
        <v>0</v>
      </c>
      <c r="XI100" s="14">
        <v>0</v>
      </c>
      <c r="XJ100" s="14" t="s">
        <v>1103</v>
      </c>
      <c r="XK100" s="14">
        <v>1826</v>
      </c>
      <c r="XL100" s="14">
        <v>305</v>
      </c>
      <c r="XQ100" s="14">
        <v>2131</v>
      </c>
      <c r="XR100" s="14">
        <v>4033</v>
      </c>
      <c r="XS100" s="14">
        <v>714</v>
      </c>
      <c r="XT100" s="14">
        <v>0</v>
      </c>
      <c r="XU100" s="14">
        <v>0</v>
      </c>
      <c r="XV100" s="14">
        <v>0</v>
      </c>
      <c r="XW100" s="14">
        <v>0</v>
      </c>
      <c r="XX100" s="14">
        <v>4747</v>
      </c>
      <c r="XY100" s="14">
        <v>3223</v>
      </c>
      <c r="XZ100" s="14">
        <v>305</v>
      </c>
      <c r="YE100" s="14">
        <v>3528</v>
      </c>
      <c r="YL100" s="14">
        <v>0</v>
      </c>
      <c r="YM100" s="14">
        <v>810</v>
      </c>
      <c r="YN100" s="14">
        <v>409</v>
      </c>
      <c r="YS100" s="14">
        <v>1219</v>
      </c>
      <c r="YZ100" s="14">
        <v>0</v>
      </c>
      <c r="ZG100" s="14">
        <v>0</v>
      </c>
      <c r="ZH100" s="14">
        <v>4033</v>
      </c>
      <c r="ZI100" s="14">
        <v>714</v>
      </c>
      <c r="ZJ100" s="14">
        <v>0</v>
      </c>
      <c r="ZK100" s="14">
        <v>0</v>
      </c>
      <c r="ZL100" s="14">
        <v>0</v>
      </c>
      <c r="ZM100" s="14">
        <v>0</v>
      </c>
      <c r="ZN100" s="14">
        <v>4747</v>
      </c>
      <c r="ZO100" s="14" t="s">
        <v>604</v>
      </c>
      <c r="ADR100" s="14" t="s">
        <v>605</v>
      </c>
    </row>
    <row r="101" spans="1:798" x14ac:dyDescent="0.25">
      <c r="A101" s="14">
        <v>227</v>
      </c>
      <c r="B101" s="14" t="s">
        <v>889</v>
      </c>
      <c r="C101" s="16">
        <f t="shared" si="9"/>
        <v>42780</v>
      </c>
      <c r="D101" s="14" t="s">
        <v>1105</v>
      </c>
      <c r="E101" s="14" t="s">
        <v>1106</v>
      </c>
      <c r="F101" s="14" t="s">
        <v>1107</v>
      </c>
      <c r="G101" s="14" t="s">
        <v>1108</v>
      </c>
      <c r="H101" s="14">
        <v>2034227766</v>
      </c>
      <c r="I101" s="14" t="s">
        <v>611</v>
      </c>
      <c r="J101" s="14" t="s">
        <v>596</v>
      </c>
      <c r="L101" s="14">
        <v>1</v>
      </c>
      <c r="U101" s="14">
        <v>0</v>
      </c>
      <c r="AB101" s="14">
        <v>0</v>
      </c>
      <c r="AF101" s="14">
        <v>2323.1</v>
      </c>
      <c r="AI101" s="14">
        <v>2323.1</v>
      </c>
      <c r="AP101" s="14">
        <v>0</v>
      </c>
      <c r="AW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2323.1</v>
      </c>
      <c r="BI101" s="14">
        <v>0</v>
      </c>
      <c r="BJ101" s="14">
        <v>0</v>
      </c>
      <c r="BK101" s="14">
        <v>2323.1</v>
      </c>
      <c r="BR101" s="14">
        <v>0</v>
      </c>
      <c r="BY101" s="14">
        <v>0</v>
      </c>
      <c r="CC101" s="14">
        <v>2</v>
      </c>
      <c r="CF101" s="14">
        <v>2</v>
      </c>
      <c r="CM101" s="14">
        <v>0</v>
      </c>
      <c r="CT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2</v>
      </c>
      <c r="DF101" s="14">
        <v>0</v>
      </c>
      <c r="DG101" s="14">
        <v>0</v>
      </c>
      <c r="DH101" s="14">
        <v>2</v>
      </c>
      <c r="DI101" s="14" t="s">
        <v>598</v>
      </c>
      <c r="DJ101" s="14" t="s">
        <v>598</v>
      </c>
      <c r="DK101" s="14" t="s">
        <v>598</v>
      </c>
      <c r="DL101" s="14" t="s">
        <v>598</v>
      </c>
      <c r="DM101" s="14" t="s">
        <v>598</v>
      </c>
      <c r="DN101" s="14" t="s">
        <v>598</v>
      </c>
      <c r="DO101" s="14" t="s">
        <v>598</v>
      </c>
      <c r="DP101" s="14" t="s">
        <v>598</v>
      </c>
      <c r="DQ101" s="14" t="s">
        <v>598</v>
      </c>
      <c r="DR101" s="14" t="s">
        <v>598</v>
      </c>
      <c r="DS101" s="14" t="s">
        <v>598</v>
      </c>
      <c r="DT101" s="14" t="s">
        <v>598</v>
      </c>
      <c r="DU101" s="14" t="s">
        <v>598</v>
      </c>
      <c r="DV101" s="14" t="s">
        <v>598</v>
      </c>
      <c r="DW101" s="14" t="s">
        <v>598</v>
      </c>
      <c r="DX101" s="14" t="s">
        <v>597</v>
      </c>
      <c r="DY101" s="14" t="s">
        <v>598</v>
      </c>
      <c r="DZ101" s="14" t="s">
        <v>598</v>
      </c>
      <c r="EA101" s="14" t="s">
        <v>598</v>
      </c>
      <c r="EB101" s="14" t="s">
        <v>598</v>
      </c>
      <c r="EC101" s="14" t="s">
        <v>598</v>
      </c>
      <c r="ED101" s="14" t="s">
        <v>598</v>
      </c>
      <c r="EE101" s="14" t="s">
        <v>598</v>
      </c>
      <c r="EF101" s="14" t="s">
        <v>598</v>
      </c>
      <c r="EG101" s="14" t="s">
        <v>598</v>
      </c>
      <c r="EH101" s="14" t="s">
        <v>598</v>
      </c>
      <c r="EI101" s="14" t="s">
        <v>598</v>
      </c>
      <c r="EJ101" s="14" t="s">
        <v>598</v>
      </c>
      <c r="EK101" s="14" t="s">
        <v>598</v>
      </c>
      <c r="EL101" s="14" t="s">
        <v>598</v>
      </c>
      <c r="EM101" s="14" t="s">
        <v>598</v>
      </c>
      <c r="EN101" s="14" t="s">
        <v>598</v>
      </c>
      <c r="EO101" s="14" t="s">
        <v>598</v>
      </c>
      <c r="EP101" s="14" t="s">
        <v>598</v>
      </c>
      <c r="EQ101" s="14" t="s">
        <v>598</v>
      </c>
      <c r="ER101" s="14" t="s">
        <v>598</v>
      </c>
      <c r="EV101" s="14">
        <v>300</v>
      </c>
      <c r="EY101" s="14">
        <v>300</v>
      </c>
      <c r="FC101" s="14">
        <v>940</v>
      </c>
      <c r="FF101" s="14">
        <v>940</v>
      </c>
      <c r="FJ101" s="14">
        <v>919</v>
      </c>
      <c r="FM101" s="14">
        <v>919</v>
      </c>
      <c r="FT101" s="14">
        <v>0</v>
      </c>
      <c r="FX101" s="14">
        <v>14.5</v>
      </c>
      <c r="GA101" s="14">
        <v>14.5</v>
      </c>
      <c r="GE101" s="14">
        <v>5</v>
      </c>
      <c r="GH101" s="14">
        <v>5</v>
      </c>
      <c r="GL101" s="14">
        <v>121.5</v>
      </c>
      <c r="GO101" s="14">
        <v>121.5</v>
      </c>
      <c r="GP101" s="14" t="s">
        <v>1109</v>
      </c>
      <c r="GT101" s="14">
        <v>23.1</v>
      </c>
      <c r="GW101" s="14">
        <v>23.1</v>
      </c>
      <c r="GX101" s="14">
        <v>0</v>
      </c>
      <c r="GY101" s="14">
        <v>0</v>
      </c>
      <c r="GZ101" s="14">
        <v>0</v>
      </c>
      <c r="HA101" s="14">
        <v>2323.1</v>
      </c>
      <c r="HB101" s="14">
        <v>0</v>
      </c>
      <c r="HC101" s="14">
        <v>0</v>
      </c>
      <c r="HD101" s="14">
        <v>2323.1</v>
      </c>
      <c r="HH101" s="14">
        <v>2164</v>
      </c>
      <c r="HK101" s="14">
        <v>2164</v>
      </c>
      <c r="HR101" s="14">
        <v>0</v>
      </c>
      <c r="HV101" s="14">
        <v>150.6</v>
      </c>
      <c r="HY101" s="14">
        <v>150.6</v>
      </c>
      <c r="IC101" s="14">
        <v>8.5</v>
      </c>
      <c r="IF101" s="14">
        <v>8.5</v>
      </c>
      <c r="IM101" s="14">
        <v>0</v>
      </c>
      <c r="IN101" s="14">
        <v>0</v>
      </c>
      <c r="IO101" s="14">
        <v>0</v>
      </c>
      <c r="IP101" s="14">
        <v>0</v>
      </c>
      <c r="IQ101" s="14">
        <v>2323.1</v>
      </c>
      <c r="IR101" s="14">
        <v>0</v>
      </c>
      <c r="IS101" s="14">
        <v>0</v>
      </c>
      <c r="IT101" s="14">
        <v>2323.1</v>
      </c>
      <c r="IW101" s="14">
        <v>100</v>
      </c>
      <c r="IZ101" s="14">
        <v>2</v>
      </c>
      <c r="JA101" s="14">
        <v>2</v>
      </c>
      <c r="JB101" s="14">
        <v>1</v>
      </c>
      <c r="JC101" s="14" t="s">
        <v>600</v>
      </c>
      <c r="NF101" s="14" t="s">
        <v>601</v>
      </c>
      <c r="RI101" s="14" t="s">
        <v>602</v>
      </c>
      <c r="RM101" s="14">
        <v>300</v>
      </c>
      <c r="RP101" s="14">
        <v>300</v>
      </c>
      <c r="RT101" s="14">
        <v>940</v>
      </c>
      <c r="RW101" s="14">
        <v>940</v>
      </c>
      <c r="SA101" s="14">
        <v>919</v>
      </c>
      <c r="SD101" s="14">
        <v>919</v>
      </c>
      <c r="SK101" s="14">
        <v>0</v>
      </c>
      <c r="SO101" s="14">
        <v>14.5</v>
      </c>
      <c r="SR101" s="14">
        <v>14.5</v>
      </c>
      <c r="SV101" s="14">
        <v>5</v>
      </c>
      <c r="SY101" s="14">
        <v>5</v>
      </c>
      <c r="TC101" s="14">
        <v>121.5</v>
      </c>
      <c r="TF101" s="14">
        <v>121.5</v>
      </c>
      <c r="TK101" s="14">
        <v>23.1</v>
      </c>
      <c r="TN101" s="14">
        <v>23.1</v>
      </c>
      <c r="TO101" s="14">
        <v>0</v>
      </c>
      <c r="TP101" s="14">
        <v>0</v>
      </c>
      <c r="TQ101" s="14">
        <v>0</v>
      </c>
      <c r="TR101" s="14">
        <v>2323.1</v>
      </c>
      <c r="TS101" s="14">
        <v>0</v>
      </c>
      <c r="TT101" s="14">
        <v>0</v>
      </c>
      <c r="TU101" s="14">
        <v>2323.1</v>
      </c>
      <c r="UB101" s="14">
        <v>0</v>
      </c>
      <c r="UF101" s="14">
        <v>2164</v>
      </c>
      <c r="UI101" s="14">
        <v>2164</v>
      </c>
      <c r="UM101" s="14">
        <v>150.6</v>
      </c>
      <c r="UP101" s="14">
        <v>150.6</v>
      </c>
      <c r="UT101" s="14">
        <v>8.5</v>
      </c>
      <c r="UW101" s="14">
        <v>8.5</v>
      </c>
      <c r="VD101" s="14">
        <v>0</v>
      </c>
      <c r="VE101" s="14">
        <v>0</v>
      </c>
      <c r="VF101" s="14">
        <v>0</v>
      </c>
      <c r="VG101" s="14">
        <v>0</v>
      </c>
      <c r="VH101" s="14">
        <v>2323.1</v>
      </c>
      <c r="VI101" s="14">
        <v>0</v>
      </c>
      <c r="VJ101" s="14">
        <v>0</v>
      </c>
      <c r="VK101" s="14">
        <v>2323.1</v>
      </c>
      <c r="VL101" s="14" t="s">
        <v>603</v>
      </c>
      <c r="ZO101" s="14" t="s">
        <v>604</v>
      </c>
      <c r="ADR101" s="14" t="s">
        <v>605</v>
      </c>
    </row>
    <row r="102" spans="1:798" x14ac:dyDescent="0.25">
      <c r="A102" s="14">
        <v>48</v>
      </c>
      <c r="B102" s="14" t="s">
        <v>889</v>
      </c>
      <c r="C102" s="16">
        <f t="shared" si="9"/>
        <v>42780</v>
      </c>
      <c r="D102" s="14" t="s">
        <v>1110</v>
      </c>
      <c r="E102" s="14" t="s">
        <v>1111</v>
      </c>
      <c r="F102" s="14" t="s">
        <v>1112</v>
      </c>
      <c r="G102" s="14" t="s">
        <v>1113</v>
      </c>
      <c r="H102" s="14" t="s">
        <v>1114</v>
      </c>
      <c r="I102" s="14" t="s">
        <v>611</v>
      </c>
      <c r="J102" s="14" t="s">
        <v>596</v>
      </c>
      <c r="L102" s="14">
        <v>1</v>
      </c>
      <c r="U102" s="14">
        <v>0</v>
      </c>
      <c r="AB102" s="14">
        <v>0</v>
      </c>
      <c r="AI102" s="14">
        <v>0</v>
      </c>
      <c r="AJ102" s="14">
        <v>20</v>
      </c>
      <c r="AL102" s="14">
        <v>50</v>
      </c>
      <c r="AP102" s="14">
        <v>70</v>
      </c>
      <c r="AW102" s="14">
        <v>0</v>
      </c>
      <c r="BD102" s="14">
        <v>0</v>
      </c>
      <c r="BE102" s="14">
        <v>20</v>
      </c>
      <c r="BF102" s="14">
        <v>0</v>
      </c>
      <c r="BG102" s="14">
        <v>50</v>
      </c>
      <c r="BH102" s="14">
        <v>0</v>
      </c>
      <c r="BI102" s="14">
        <v>0</v>
      </c>
      <c r="BJ102" s="14">
        <v>0</v>
      </c>
      <c r="BK102" s="14">
        <v>70</v>
      </c>
      <c r="BR102" s="14">
        <v>0</v>
      </c>
      <c r="BY102" s="14">
        <v>0</v>
      </c>
      <c r="CF102" s="14">
        <v>0</v>
      </c>
      <c r="CG102" s="14">
        <v>1</v>
      </c>
      <c r="CI102" s="14">
        <v>1</v>
      </c>
      <c r="CM102" s="14">
        <v>2</v>
      </c>
      <c r="CT102" s="14">
        <v>0</v>
      </c>
      <c r="DA102" s="14">
        <v>0</v>
      </c>
      <c r="DB102" s="14">
        <v>1</v>
      </c>
      <c r="DC102" s="14">
        <v>0</v>
      </c>
      <c r="DD102" s="14">
        <v>1</v>
      </c>
      <c r="DE102" s="14">
        <v>0</v>
      </c>
      <c r="DF102" s="14">
        <v>0</v>
      </c>
      <c r="DG102" s="14">
        <v>0</v>
      </c>
      <c r="DH102" s="14">
        <v>2</v>
      </c>
      <c r="DI102" s="14" t="s">
        <v>598</v>
      </c>
      <c r="DJ102" s="14" t="s">
        <v>598</v>
      </c>
      <c r="DK102" s="14" t="s">
        <v>598</v>
      </c>
      <c r="DL102" s="14" t="s">
        <v>598</v>
      </c>
      <c r="DM102" s="14" t="s">
        <v>598</v>
      </c>
      <c r="DN102" s="14" t="s">
        <v>598</v>
      </c>
      <c r="DO102" s="14" t="s">
        <v>598</v>
      </c>
      <c r="DP102" s="14" t="s">
        <v>598</v>
      </c>
      <c r="DQ102" s="14" t="s">
        <v>598</v>
      </c>
      <c r="DR102" s="14" t="s">
        <v>598</v>
      </c>
      <c r="DS102" s="14" t="s">
        <v>598</v>
      </c>
      <c r="DT102" s="14" t="s">
        <v>598</v>
      </c>
      <c r="DU102" s="14" t="s">
        <v>598</v>
      </c>
      <c r="DV102" s="14" t="s">
        <v>598</v>
      </c>
      <c r="DW102" s="14" t="s">
        <v>598</v>
      </c>
      <c r="DX102" s="14" t="s">
        <v>598</v>
      </c>
      <c r="DY102" s="14" t="s">
        <v>598</v>
      </c>
      <c r="DZ102" s="14" t="s">
        <v>598</v>
      </c>
      <c r="EA102" s="14" t="s">
        <v>597</v>
      </c>
      <c r="EB102" s="14" t="s">
        <v>598</v>
      </c>
      <c r="EC102" s="14" t="s">
        <v>597</v>
      </c>
      <c r="ED102" s="14" t="s">
        <v>598</v>
      </c>
      <c r="EE102" s="14" t="s">
        <v>598</v>
      </c>
      <c r="EF102" s="14" t="s">
        <v>598</v>
      </c>
      <c r="EG102" s="14" t="s">
        <v>598</v>
      </c>
      <c r="EH102" s="14" t="s">
        <v>598</v>
      </c>
      <c r="EI102" s="14" t="s">
        <v>598</v>
      </c>
      <c r="EJ102" s="14" t="s">
        <v>598</v>
      </c>
      <c r="EK102" s="14" t="s">
        <v>598</v>
      </c>
      <c r="EL102" s="14" t="s">
        <v>598</v>
      </c>
      <c r="EM102" s="14" t="s">
        <v>598</v>
      </c>
      <c r="EN102" s="14" t="s">
        <v>598</v>
      </c>
      <c r="EO102" s="14" t="s">
        <v>598</v>
      </c>
      <c r="EP102" s="14" t="s">
        <v>598</v>
      </c>
      <c r="EQ102" s="14" t="s">
        <v>598</v>
      </c>
      <c r="ER102" s="14" t="s">
        <v>598</v>
      </c>
      <c r="ES102" s="14">
        <v>20</v>
      </c>
      <c r="EY102" s="14">
        <v>20</v>
      </c>
      <c r="FB102" s="14">
        <v>50</v>
      </c>
      <c r="FF102" s="14">
        <v>50</v>
      </c>
      <c r="FM102" s="14">
        <v>0</v>
      </c>
      <c r="FT102" s="14">
        <v>0</v>
      </c>
      <c r="GA102" s="14">
        <v>0</v>
      </c>
      <c r="GH102" s="14">
        <v>0</v>
      </c>
      <c r="GO102" s="14">
        <v>0</v>
      </c>
      <c r="GW102" s="14">
        <v>0</v>
      </c>
      <c r="GX102" s="14">
        <v>20</v>
      </c>
      <c r="GY102" s="14">
        <v>0</v>
      </c>
      <c r="GZ102" s="14">
        <v>50</v>
      </c>
      <c r="HA102" s="14">
        <v>0</v>
      </c>
      <c r="HB102" s="14">
        <v>0</v>
      </c>
      <c r="HC102" s="14">
        <v>0</v>
      </c>
      <c r="HD102" s="14">
        <v>70</v>
      </c>
      <c r="HK102" s="14">
        <v>0</v>
      </c>
      <c r="HR102" s="14">
        <v>0</v>
      </c>
      <c r="HS102" s="14">
        <v>20</v>
      </c>
      <c r="HU102" s="14">
        <v>50</v>
      </c>
      <c r="HY102" s="14">
        <v>70</v>
      </c>
      <c r="IF102" s="14">
        <v>0</v>
      </c>
      <c r="IM102" s="14">
        <v>0</v>
      </c>
      <c r="IN102" s="14">
        <v>20</v>
      </c>
      <c r="IO102" s="14">
        <v>0</v>
      </c>
      <c r="IP102" s="14">
        <v>50</v>
      </c>
      <c r="IQ102" s="14">
        <v>0</v>
      </c>
      <c r="IR102" s="14">
        <v>0</v>
      </c>
      <c r="IS102" s="14">
        <v>0</v>
      </c>
      <c r="IT102" s="14">
        <v>70</v>
      </c>
      <c r="IW102" s="14">
        <v>100</v>
      </c>
      <c r="IZ102" s="14">
        <v>1</v>
      </c>
      <c r="JA102" s="14">
        <v>3</v>
      </c>
      <c r="JB102" s="14">
        <v>1</v>
      </c>
      <c r="JC102" s="14" t="s">
        <v>600</v>
      </c>
      <c r="NF102" s="14" t="s">
        <v>601</v>
      </c>
      <c r="RI102" s="14" t="s">
        <v>602</v>
      </c>
      <c r="VL102" s="14" t="s">
        <v>603</v>
      </c>
      <c r="VM102" s="14">
        <v>20</v>
      </c>
      <c r="VS102" s="14">
        <v>20</v>
      </c>
      <c r="VV102" s="14">
        <v>50</v>
      </c>
      <c r="VZ102" s="14">
        <v>50</v>
      </c>
      <c r="WG102" s="14">
        <v>0</v>
      </c>
      <c r="WN102" s="14">
        <v>0</v>
      </c>
      <c r="WU102" s="14">
        <v>0</v>
      </c>
      <c r="XB102" s="14">
        <v>0</v>
      </c>
      <c r="XI102" s="14">
        <v>0</v>
      </c>
      <c r="XQ102" s="14">
        <v>0</v>
      </c>
      <c r="XR102" s="14">
        <v>20</v>
      </c>
      <c r="XS102" s="14">
        <v>0</v>
      </c>
      <c r="XT102" s="14">
        <v>50</v>
      </c>
      <c r="XU102" s="14">
        <v>0</v>
      </c>
      <c r="XV102" s="14">
        <v>0</v>
      </c>
      <c r="XW102" s="14">
        <v>0</v>
      </c>
      <c r="XX102" s="14">
        <v>70</v>
      </c>
      <c r="YA102" s="14">
        <v>50</v>
      </c>
      <c r="YE102" s="14">
        <v>50</v>
      </c>
      <c r="YL102" s="14">
        <v>0</v>
      </c>
      <c r="YM102" s="14">
        <v>20</v>
      </c>
      <c r="YS102" s="14">
        <v>20</v>
      </c>
      <c r="YZ102" s="14">
        <v>0</v>
      </c>
      <c r="ZG102" s="14">
        <v>0</v>
      </c>
      <c r="ZH102" s="14">
        <v>20</v>
      </c>
      <c r="ZI102" s="14">
        <v>0</v>
      </c>
      <c r="ZJ102" s="14">
        <v>50</v>
      </c>
      <c r="ZK102" s="14">
        <v>0</v>
      </c>
      <c r="ZL102" s="14">
        <v>0</v>
      </c>
      <c r="ZM102" s="14">
        <v>0</v>
      </c>
      <c r="ZN102" s="14">
        <v>70</v>
      </c>
      <c r="ZO102" s="14" t="s">
        <v>604</v>
      </c>
      <c r="ADR102" s="14" t="s">
        <v>605</v>
      </c>
    </row>
    <row r="103" spans="1:798" x14ac:dyDescent="0.25">
      <c r="A103" s="14">
        <v>230</v>
      </c>
      <c r="B103" s="14" t="s">
        <v>889</v>
      </c>
      <c r="C103" s="16">
        <f t="shared" si="9"/>
        <v>42780</v>
      </c>
      <c r="D103" s="14" t="s">
        <v>1115</v>
      </c>
      <c r="E103" s="14" t="s">
        <v>1116</v>
      </c>
      <c r="F103" s="14" t="s">
        <v>1117</v>
      </c>
      <c r="G103" s="14" t="s">
        <v>1118</v>
      </c>
      <c r="H103" s="14">
        <v>442034638867</v>
      </c>
      <c r="I103" s="14" t="s">
        <v>731</v>
      </c>
      <c r="J103" s="14" t="s">
        <v>732</v>
      </c>
      <c r="L103" s="14">
        <v>2</v>
      </c>
      <c r="M103" s="14">
        <v>6</v>
      </c>
      <c r="N103" s="14" t="s">
        <v>1119</v>
      </c>
      <c r="U103" s="14">
        <v>0</v>
      </c>
      <c r="AB103" s="14">
        <v>0</v>
      </c>
      <c r="AI103" s="14">
        <v>0</v>
      </c>
      <c r="AP103" s="14">
        <v>0</v>
      </c>
      <c r="AW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R103" s="14">
        <v>0</v>
      </c>
      <c r="BY103" s="14">
        <v>0</v>
      </c>
      <c r="CF103" s="14">
        <v>0</v>
      </c>
      <c r="CM103" s="14">
        <v>0</v>
      </c>
      <c r="CT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 t="s">
        <v>598</v>
      </c>
      <c r="DJ103" s="14" t="s">
        <v>598</v>
      </c>
      <c r="DK103" s="14" t="s">
        <v>598</v>
      </c>
      <c r="DL103" s="14" t="s">
        <v>598</v>
      </c>
      <c r="DM103" s="14" t="s">
        <v>598</v>
      </c>
      <c r="DN103" s="14" t="s">
        <v>598</v>
      </c>
      <c r="DO103" s="14" t="s">
        <v>598</v>
      </c>
      <c r="DP103" s="14" t="s">
        <v>598</v>
      </c>
      <c r="DQ103" s="14" t="s">
        <v>598</v>
      </c>
      <c r="DR103" s="14" t="s">
        <v>598</v>
      </c>
      <c r="DS103" s="14" t="s">
        <v>598</v>
      </c>
      <c r="DT103" s="14" t="s">
        <v>598</v>
      </c>
      <c r="DU103" s="14" t="s">
        <v>598</v>
      </c>
      <c r="DV103" s="14" t="s">
        <v>598</v>
      </c>
      <c r="DW103" s="14" t="s">
        <v>598</v>
      </c>
      <c r="DX103" s="14" t="s">
        <v>598</v>
      </c>
      <c r="DY103" s="14" t="s">
        <v>598</v>
      </c>
      <c r="DZ103" s="14" t="s">
        <v>598</v>
      </c>
      <c r="EA103" s="14" t="s">
        <v>598</v>
      </c>
      <c r="EB103" s="14" t="s">
        <v>598</v>
      </c>
      <c r="EC103" s="14" t="s">
        <v>598</v>
      </c>
      <c r="ED103" s="14" t="s">
        <v>598</v>
      </c>
      <c r="EE103" s="14" t="s">
        <v>598</v>
      </c>
      <c r="EF103" s="14" t="s">
        <v>598</v>
      </c>
      <c r="EG103" s="14" t="s">
        <v>598</v>
      </c>
      <c r="EH103" s="14" t="s">
        <v>598</v>
      </c>
      <c r="EI103" s="14" t="s">
        <v>598</v>
      </c>
      <c r="EJ103" s="14" t="s">
        <v>598</v>
      </c>
      <c r="EK103" s="14" t="s">
        <v>598</v>
      </c>
      <c r="EL103" s="14" t="s">
        <v>598</v>
      </c>
      <c r="EM103" s="14" t="s">
        <v>598</v>
      </c>
      <c r="EN103" s="14" t="s">
        <v>598</v>
      </c>
      <c r="EO103" s="14" t="s">
        <v>598</v>
      </c>
      <c r="EP103" s="14" t="s">
        <v>598</v>
      </c>
      <c r="EQ103" s="14" t="s">
        <v>598</v>
      </c>
      <c r="ER103" s="14" t="s">
        <v>598</v>
      </c>
      <c r="EY103" s="14">
        <v>0</v>
      </c>
      <c r="FF103" s="14">
        <v>0</v>
      </c>
      <c r="FM103" s="14">
        <v>0</v>
      </c>
      <c r="FT103" s="14">
        <v>0</v>
      </c>
      <c r="GA103" s="14">
        <v>0</v>
      </c>
      <c r="GH103" s="14">
        <v>0</v>
      </c>
      <c r="GO103" s="14">
        <v>0</v>
      </c>
      <c r="GW103" s="14">
        <v>0</v>
      </c>
      <c r="GX103" s="14">
        <v>0</v>
      </c>
      <c r="GY103" s="14">
        <v>0</v>
      </c>
      <c r="GZ103" s="14">
        <v>0</v>
      </c>
      <c r="HA103" s="14">
        <v>0</v>
      </c>
      <c r="HB103" s="14">
        <v>0</v>
      </c>
      <c r="HC103" s="14">
        <v>0</v>
      </c>
      <c r="HD103" s="14">
        <v>0</v>
      </c>
      <c r="HK103" s="14">
        <v>0</v>
      </c>
      <c r="HR103" s="14">
        <v>0</v>
      </c>
      <c r="HY103" s="14">
        <v>0</v>
      </c>
      <c r="IF103" s="14">
        <v>0</v>
      </c>
      <c r="IM103" s="14">
        <v>0</v>
      </c>
      <c r="IN103" s="14">
        <v>0</v>
      </c>
      <c r="IO103" s="14">
        <v>0</v>
      </c>
      <c r="IP103" s="14">
        <v>0</v>
      </c>
      <c r="IQ103" s="14">
        <v>0</v>
      </c>
      <c r="IR103" s="14">
        <v>0</v>
      </c>
      <c r="IS103" s="14">
        <v>0</v>
      </c>
      <c r="IT103" s="14">
        <v>0</v>
      </c>
      <c r="IZ103" s="14">
        <v>1</v>
      </c>
      <c r="JA103" s="14">
        <v>3</v>
      </c>
      <c r="JB103" s="14">
        <v>1</v>
      </c>
      <c r="JC103" s="14" t="s">
        <v>600</v>
      </c>
      <c r="NF103" s="14" t="s">
        <v>601</v>
      </c>
      <c r="RI103" s="14" t="s">
        <v>602</v>
      </c>
      <c r="VL103" s="14" t="s">
        <v>603</v>
      </c>
      <c r="ZO103" s="14" t="s">
        <v>604</v>
      </c>
      <c r="ADR103" s="14" t="s">
        <v>605</v>
      </c>
    </row>
    <row r="104" spans="1:798" x14ac:dyDescent="0.25">
      <c r="A104" s="14">
        <v>38</v>
      </c>
      <c r="B104" s="14" t="s">
        <v>889</v>
      </c>
      <c r="C104" s="16">
        <f>VLOOKUP(A104,[4]RawData!Z:AA,2,FALSE)</f>
        <v>42760.523611111108</v>
      </c>
      <c r="D104" s="14" t="s">
        <v>1120</v>
      </c>
      <c r="E104" s="14" t="s">
        <v>1121</v>
      </c>
      <c r="F104" s="14" t="s">
        <v>708</v>
      </c>
      <c r="G104" s="14" t="s">
        <v>1122</v>
      </c>
      <c r="H104" s="14">
        <v>7908986870</v>
      </c>
      <c r="I104" s="14" t="s">
        <v>731</v>
      </c>
      <c r="J104" s="14" t="s">
        <v>732</v>
      </c>
      <c r="L104" s="14">
        <v>1</v>
      </c>
      <c r="U104" s="14">
        <v>0</v>
      </c>
      <c r="V104" s="14">
        <v>362.5</v>
      </c>
      <c r="AA104" s="14">
        <v>25.8</v>
      </c>
      <c r="AB104" s="14">
        <v>388.3</v>
      </c>
      <c r="AI104" s="14">
        <v>0</v>
      </c>
      <c r="AP104" s="14">
        <v>0</v>
      </c>
      <c r="AW104" s="14">
        <v>0</v>
      </c>
      <c r="BD104" s="14">
        <v>0</v>
      </c>
      <c r="BE104" s="14">
        <v>362.5</v>
      </c>
      <c r="BF104" s="14">
        <v>0</v>
      </c>
      <c r="BG104" s="14">
        <v>0</v>
      </c>
      <c r="BH104" s="14">
        <v>0</v>
      </c>
      <c r="BI104" s="14">
        <v>0</v>
      </c>
      <c r="BJ104" s="14">
        <v>25.8</v>
      </c>
      <c r="BK104" s="14">
        <v>388.3</v>
      </c>
      <c r="BR104" s="14">
        <v>0</v>
      </c>
      <c r="BS104" s="14">
        <v>1</v>
      </c>
      <c r="BX104" s="14">
        <v>1</v>
      </c>
      <c r="BY104" s="14">
        <v>2</v>
      </c>
      <c r="CF104" s="14">
        <v>0</v>
      </c>
      <c r="CM104" s="14">
        <v>0</v>
      </c>
      <c r="CT104" s="14">
        <v>0</v>
      </c>
      <c r="DA104" s="14">
        <v>0</v>
      </c>
      <c r="DB104" s="14">
        <v>1</v>
      </c>
      <c r="DC104" s="14">
        <v>0</v>
      </c>
      <c r="DD104" s="14">
        <v>0</v>
      </c>
      <c r="DE104" s="14">
        <v>0</v>
      </c>
      <c r="DF104" s="14">
        <v>0</v>
      </c>
      <c r="DG104" s="14">
        <v>1</v>
      </c>
      <c r="DH104" s="14">
        <v>2</v>
      </c>
      <c r="DI104" s="14" t="s">
        <v>598</v>
      </c>
      <c r="DJ104" s="14" t="s">
        <v>598</v>
      </c>
      <c r="DK104" s="14" t="s">
        <v>598</v>
      </c>
      <c r="DL104" s="14" t="s">
        <v>598</v>
      </c>
      <c r="DM104" s="14" t="s">
        <v>598</v>
      </c>
      <c r="DN104" s="14" t="s">
        <v>598</v>
      </c>
      <c r="DO104" s="14" t="s">
        <v>597</v>
      </c>
      <c r="DP104" s="14" t="s">
        <v>598</v>
      </c>
      <c r="DQ104" s="14" t="s">
        <v>598</v>
      </c>
      <c r="DR104" s="14" t="s">
        <v>598</v>
      </c>
      <c r="DS104" s="14" t="s">
        <v>598</v>
      </c>
      <c r="DT104" s="14" t="s">
        <v>597</v>
      </c>
      <c r="DU104" s="14" t="s">
        <v>598</v>
      </c>
      <c r="DV104" s="14" t="s">
        <v>598</v>
      </c>
      <c r="DW104" s="14" t="s">
        <v>598</v>
      </c>
      <c r="DX104" s="14" t="s">
        <v>598</v>
      </c>
      <c r="DY104" s="14" t="s">
        <v>598</v>
      </c>
      <c r="DZ104" s="14" t="s">
        <v>598</v>
      </c>
      <c r="EA104" s="14" t="s">
        <v>598</v>
      </c>
      <c r="EB104" s="14" t="s">
        <v>598</v>
      </c>
      <c r="EC104" s="14" t="s">
        <v>598</v>
      </c>
      <c r="ED104" s="14" t="s">
        <v>598</v>
      </c>
      <c r="EE104" s="14" t="s">
        <v>598</v>
      </c>
      <c r="EF104" s="14" t="s">
        <v>598</v>
      </c>
      <c r="EG104" s="14" t="s">
        <v>598</v>
      </c>
      <c r="EH104" s="14" t="s">
        <v>598</v>
      </c>
      <c r="EI104" s="14" t="s">
        <v>598</v>
      </c>
      <c r="EJ104" s="14" t="s">
        <v>598</v>
      </c>
      <c r="EK104" s="14" t="s">
        <v>598</v>
      </c>
      <c r="EL104" s="14" t="s">
        <v>598</v>
      </c>
      <c r="EM104" s="14" t="s">
        <v>598</v>
      </c>
      <c r="EN104" s="14" t="s">
        <v>598</v>
      </c>
      <c r="EO104" s="14" t="s">
        <v>598</v>
      </c>
      <c r="EP104" s="14" t="s">
        <v>598</v>
      </c>
      <c r="EQ104" s="14" t="s">
        <v>598</v>
      </c>
      <c r="ER104" s="14" t="s">
        <v>598</v>
      </c>
      <c r="ES104" s="14">
        <v>307.7</v>
      </c>
      <c r="EX104" s="14">
        <v>25.8</v>
      </c>
      <c r="EY104" s="14">
        <v>333.5</v>
      </c>
      <c r="FF104" s="14">
        <v>0</v>
      </c>
      <c r="FM104" s="14">
        <v>0</v>
      </c>
      <c r="FT104" s="14">
        <v>0</v>
      </c>
      <c r="GA104" s="14">
        <v>0</v>
      </c>
      <c r="GH104" s="14">
        <v>0</v>
      </c>
      <c r="GO104" s="14">
        <v>0</v>
      </c>
      <c r="GP104" s="14" t="s">
        <v>1123</v>
      </c>
      <c r="GQ104" s="14">
        <v>54.8</v>
      </c>
      <c r="GW104" s="14">
        <v>54.8</v>
      </c>
      <c r="GX104" s="14">
        <v>362.5</v>
      </c>
      <c r="GY104" s="14">
        <v>0</v>
      </c>
      <c r="GZ104" s="14">
        <v>0</v>
      </c>
      <c r="HA104" s="14">
        <v>0</v>
      </c>
      <c r="HB104" s="14">
        <v>0</v>
      </c>
      <c r="HC104" s="14">
        <v>25.8</v>
      </c>
      <c r="HD104" s="14">
        <v>388.3</v>
      </c>
      <c r="HE104" s="14">
        <v>50</v>
      </c>
      <c r="HK104" s="14">
        <v>50</v>
      </c>
      <c r="HL104" s="14">
        <v>169.8</v>
      </c>
      <c r="HR104" s="14">
        <v>169.8</v>
      </c>
      <c r="HS104" s="14">
        <v>142.69999999999999</v>
      </c>
      <c r="HX104" s="14">
        <v>25.8</v>
      </c>
      <c r="HY104" s="14">
        <v>168.5</v>
      </c>
      <c r="IF104" s="14">
        <v>0</v>
      </c>
      <c r="IM104" s="14">
        <v>0</v>
      </c>
      <c r="IN104" s="14">
        <v>362.5</v>
      </c>
      <c r="IO104" s="14">
        <v>0</v>
      </c>
      <c r="IP104" s="14">
        <v>0</v>
      </c>
      <c r="IQ104" s="14">
        <v>0</v>
      </c>
      <c r="IR104" s="14">
        <v>0</v>
      </c>
      <c r="IS104" s="14">
        <v>25.8</v>
      </c>
      <c r="IT104" s="14">
        <v>388.3</v>
      </c>
      <c r="IU104" s="14">
        <v>5</v>
      </c>
      <c r="IW104" s="14">
        <v>95</v>
      </c>
      <c r="IZ104" s="14">
        <v>1</v>
      </c>
      <c r="JA104" s="14">
        <v>1</v>
      </c>
      <c r="JB104" s="14">
        <v>2</v>
      </c>
      <c r="JC104" s="14" t="s">
        <v>600</v>
      </c>
      <c r="NF104" s="14" t="s">
        <v>601</v>
      </c>
      <c r="NG104" s="14">
        <v>307.7</v>
      </c>
      <c r="NL104" s="14">
        <v>25.8</v>
      </c>
      <c r="NM104" s="14">
        <v>333.5</v>
      </c>
      <c r="NT104" s="14">
        <v>0</v>
      </c>
      <c r="OA104" s="14">
        <v>0</v>
      </c>
      <c r="OH104" s="14">
        <v>0</v>
      </c>
      <c r="OO104" s="14">
        <v>0</v>
      </c>
      <c r="OV104" s="14">
        <v>0</v>
      </c>
      <c r="PC104" s="14">
        <v>0</v>
      </c>
      <c r="PD104" s="14" t="s">
        <v>1124</v>
      </c>
      <c r="PE104" s="14">
        <v>54.8</v>
      </c>
      <c r="PK104" s="14">
        <v>54.8</v>
      </c>
      <c r="PL104" s="14">
        <v>362.5</v>
      </c>
      <c r="PM104" s="14">
        <v>0</v>
      </c>
      <c r="PN104" s="14">
        <v>0</v>
      </c>
      <c r="PO104" s="14">
        <v>0</v>
      </c>
      <c r="PP104" s="14">
        <v>0</v>
      </c>
      <c r="PQ104" s="14">
        <v>25.8</v>
      </c>
      <c r="PR104" s="14">
        <v>388.3</v>
      </c>
      <c r="PS104" s="14">
        <v>169.8</v>
      </c>
      <c r="PY104" s="14">
        <v>169.8</v>
      </c>
      <c r="PZ104" s="14">
        <v>50</v>
      </c>
      <c r="QF104" s="14">
        <v>50</v>
      </c>
      <c r="QG104" s="14">
        <v>142.69999999999999</v>
      </c>
      <c r="QL104" s="14">
        <v>25.8</v>
      </c>
      <c r="QM104" s="14">
        <v>168.5</v>
      </c>
      <c r="QT104" s="14">
        <v>0</v>
      </c>
      <c r="RA104" s="14">
        <v>0</v>
      </c>
      <c r="RB104" s="14">
        <v>362.5</v>
      </c>
      <c r="RC104" s="14">
        <v>0</v>
      </c>
      <c r="RD104" s="14">
        <v>0</v>
      </c>
      <c r="RE104" s="14">
        <v>0</v>
      </c>
      <c r="RF104" s="14">
        <v>0</v>
      </c>
      <c r="RG104" s="14">
        <v>25.8</v>
      </c>
      <c r="RH104" s="14">
        <v>388.3</v>
      </c>
      <c r="RI104" s="14" t="s">
        <v>602</v>
      </c>
      <c r="VL104" s="14" t="s">
        <v>603</v>
      </c>
      <c r="ZO104" s="14" t="s">
        <v>604</v>
      </c>
      <c r="ADR104" s="14" t="s">
        <v>605</v>
      </c>
    </row>
    <row r="105" spans="1:798" x14ac:dyDescent="0.25">
      <c r="A105" s="14">
        <v>142</v>
      </c>
      <c r="B105" s="14" t="s">
        <v>889</v>
      </c>
      <c r="C105" s="16">
        <f t="shared" ref="C105:C107" si="10">$C$3</f>
        <v>42780</v>
      </c>
      <c r="D105" s="14" t="s">
        <v>1125</v>
      </c>
      <c r="E105" s="14" t="s">
        <v>1126</v>
      </c>
      <c r="F105" s="14" t="s">
        <v>608</v>
      </c>
      <c r="G105" s="14" t="s">
        <v>1127</v>
      </c>
      <c r="H105" s="14">
        <v>2124685668</v>
      </c>
      <c r="I105" s="14" t="s">
        <v>611</v>
      </c>
      <c r="J105" s="14" t="s">
        <v>596</v>
      </c>
      <c r="L105" s="14">
        <v>2</v>
      </c>
      <c r="M105" s="14">
        <v>6</v>
      </c>
      <c r="N105" s="14" t="s">
        <v>1128</v>
      </c>
      <c r="U105" s="14">
        <v>0</v>
      </c>
      <c r="AB105" s="14">
        <v>0</v>
      </c>
      <c r="AI105" s="14">
        <v>0</v>
      </c>
      <c r="AP105" s="14">
        <v>0</v>
      </c>
      <c r="AW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R105" s="14">
        <v>0</v>
      </c>
      <c r="BY105" s="14">
        <v>0</v>
      </c>
      <c r="CF105" s="14">
        <v>0</v>
      </c>
      <c r="CM105" s="14">
        <v>0</v>
      </c>
      <c r="CT105" s="14">
        <v>0</v>
      </c>
      <c r="DA105" s="14">
        <v>0</v>
      </c>
      <c r="DB105" s="14">
        <v>0</v>
      </c>
      <c r="DC105" s="14">
        <v>0</v>
      </c>
      <c r="DD105" s="14">
        <v>0</v>
      </c>
      <c r="DE105" s="14">
        <v>0</v>
      </c>
      <c r="DF105" s="14">
        <v>0</v>
      </c>
      <c r="DG105" s="14">
        <v>0</v>
      </c>
      <c r="DH105" s="14">
        <v>0</v>
      </c>
      <c r="DI105" s="14" t="s">
        <v>598</v>
      </c>
      <c r="DJ105" s="14" t="s">
        <v>598</v>
      </c>
      <c r="DK105" s="14" t="s">
        <v>598</v>
      </c>
      <c r="DL105" s="14" t="s">
        <v>598</v>
      </c>
      <c r="DM105" s="14" t="s">
        <v>598</v>
      </c>
      <c r="DN105" s="14" t="s">
        <v>598</v>
      </c>
      <c r="DO105" s="14" t="s">
        <v>598</v>
      </c>
      <c r="DP105" s="14" t="s">
        <v>598</v>
      </c>
      <c r="DQ105" s="14" t="s">
        <v>598</v>
      </c>
      <c r="DR105" s="14" t="s">
        <v>598</v>
      </c>
      <c r="DS105" s="14" t="s">
        <v>598</v>
      </c>
      <c r="DT105" s="14" t="s">
        <v>598</v>
      </c>
      <c r="DU105" s="14" t="s">
        <v>598</v>
      </c>
      <c r="DV105" s="14" t="s">
        <v>598</v>
      </c>
      <c r="DW105" s="14" t="s">
        <v>598</v>
      </c>
      <c r="DX105" s="14" t="s">
        <v>598</v>
      </c>
      <c r="DY105" s="14" t="s">
        <v>598</v>
      </c>
      <c r="DZ105" s="14" t="s">
        <v>598</v>
      </c>
      <c r="EA105" s="14" t="s">
        <v>598</v>
      </c>
      <c r="EB105" s="14" t="s">
        <v>598</v>
      </c>
      <c r="EC105" s="14" t="s">
        <v>598</v>
      </c>
      <c r="ED105" s="14" t="s">
        <v>598</v>
      </c>
      <c r="EE105" s="14" t="s">
        <v>598</v>
      </c>
      <c r="EF105" s="14" t="s">
        <v>598</v>
      </c>
      <c r="EG105" s="14" t="s">
        <v>598</v>
      </c>
      <c r="EH105" s="14" t="s">
        <v>598</v>
      </c>
      <c r="EI105" s="14" t="s">
        <v>598</v>
      </c>
      <c r="EJ105" s="14" t="s">
        <v>598</v>
      </c>
      <c r="EK105" s="14" t="s">
        <v>598</v>
      </c>
      <c r="EL105" s="14" t="s">
        <v>598</v>
      </c>
      <c r="EM105" s="14" t="s">
        <v>598</v>
      </c>
      <c r="EN105" s="14" t="s">
        <v>598</v>
      </c>
      <c r="EO105" s="14" t="s">
        <v>598</v>
      </c>
      <c r="EP105" s="14" t="s">
        <v>598</v>
      </c>
      <c r="EQ105" s="14" t="s">
        <v>598</v>
      </c>
      <c r="ER105" s="14" t="s">
        <v>598</v>
      </c>
      <c r="EY105" s="14">
        <v>0</v>
      </c>
      <c r="FF105" s="14">
        <v>0</v>
      </c>
      <c r="FM105" s="14">
        <v>0</v>
      </c>
      <c r="FT105" s="14">
        <v>0</v>
      </c>
      <c r="GA105" s="14">
        <v>0</v>
      </c>
      <c r="GH105" s="14">
        <v>0</v>
      </c>
      <c r="GO105" s="14">
        <v>0</v>
      </c>
      <c r="GW105" s="14">
        <v>0</v>
      </c>
      <c r="GX105" s="14">
        <v>0</v>
      </c>
      <c r="GY105" s="14">
        <v>0</v>
      </c>
      <c r="GZ105" s="14">
        <v>0</v>
      </c>
      <c r="HA105" s="14">
        <v>0</v>
      </c>
      <c r="HB105" s="14">
        <v>0</v>
      </c>
      <c r="HC105" s="14">
        <v>0</v>
      </c>
      <c r="HD105" s="14">
        <v>0</v>
      </c>
      <c r="HK105" s="14">
        <v>0</v>
      </c>
      <c r="HR105" s="14">
        <v>0</v>
      </c>
      <c r="HY105" s="14">
        <v>0</v>
      </c>
      <c r="IF105" s="14">
        <v>0</v>
      </c>
      <c r="IM105" s="14">
        <v>0</v>
      </c>
      <c r="IN105" s="14">
        <v>0</v>
      </c>
      <c r="IO105" s="14">
        <v>0</v>
      </c>
      <c r="IP105" s="14">
        <v>0</v>
      </c>
      <c r="IQ105" s="14">
        <v>0</v>
      </c>
      <c r="IR105" s="14">
        <v>0</v>
      </c>
      <c r="IS105" s="14">
        <v>0</v>
      </c>
      <c r="IT105" s="14">
        <v>0</v>
      </c>
      <c r="IZ105" s="14">
        <v>1</v>
      </c>
      <c r="JA105" s="14">
        <v>3</v>
      </c>
      <c r="JB105" s="14">
        <v>2</v>
      </c>
      <c r="JC105" s="14" t="s">
        <v>600</v>
      </c>
      <c r="NF105" s="14" t="s">
        <v>601</v>
      </c>
      <c r="RI105" s="14" t="s">
        <v>602</v>
      </c>
      <c r="VL105" s="14" t="s">
        <v>603</v>
      </c>
      <c r="ZO105" s="14" t="s">
        <v>604</v>
      </c>
      <c r="ADR105" s="14" t="s">
        <v>605</v>
      </c>
    </row>
    <row r="106" spans="1:798" x14ac:dyDescent="0.25">
      <c r="A106" s="14">
        <v>211</v>
      </c>
      <c r="B106" s="14" t="s">
        <v>889</v>
      </c>
      <c r="C106" s="16">
        <f t="shared" si="10"/>
        <v>42780</v>
      </c>
      <c r="D106" s="14" t="s">
        <v>1129</v>
      </c>
      <c r="E106" s="14" t="s">
        <v>1130</v>
      </c>
      <c r="F106" s="14" t="s">
        <v>1131</v>
      </c>
      <c r="G106" s="14" t="s">
        <v>1132</v>
      </c>
      <c r="H106" s="14" t="s">
        <v>1133</v>
      </c>
      <c r="I106" s="14" t="s">
        <v>1044</v>
      </c>
      <c r="J106" s="14" t="s">
        <v>732</v>
      </c>
      <c r="L106" s="14">
        <v>2</v>
      </c>
      <c r="M106" s="14">
        <v>6</v>
      </c>
      <c r="N106" s="14" t="s">
        <v>1134</v>
      </c>
      <c r="U106" s="14">
        <v>0</v>
      </c>
      <c r="AB106" s="14">
        <v>0</v>
      </c>
      <c r="AI106" s="14">
        <v>0</v>
      </c>
      <c r="AP106" s="14">
        <v>0</v>
      </c>
      <c r="AW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R106" s="14">
        <v>0</v>
      </c>
      <c r="BY106" s="14">
        <v>0</v>
      </c>
      <c r="CF106" s="14">
        <v>0</v>
      </c>
      <c r="CM106" s="14">
        <v>0</v>
      </c>
      <c r="CT106" s="14">
        <v>0</v>
      </c>
      <c r="DA106" s="14">
        <v>0</v>
      </c>
      <c r="DB106" s="14">
        <v>0</v>
      </c>
      <c r="DC106" s="14">
        <v>0</v>
      </c>
      <c r="DD106" s="14">
        <v>0</v>
      </c>
      <c r="DE106" s="14">
        <v>0</v>
      </c>
      <c r="DF106" s="14">
        <v>0</v>
      </c>
      <c r="DG106" s="14">
        <v>0</v>
      </c>
      <c r="DH106" s="14">
        <v>0</v>
      </c>
      <c r="DI106" s="14" t="s">
        <v>598</v>
      </c>
      <c r="DJ106" s="14" t="s">
        <v>598</v>
      </c>
      <c r="DK106" s="14" t="s">
        <v>598</v>
      </c>
      <c r="DL106" s="14" t="s">
        <v>598</v>
      </c>
      <c r="DM106" s="14" t="s">
        <v>598</v>
      </c>
      <c r="DN106" s="14" t="s">
        <v>598</v>
      </c>
      <c r="DO106" s="14" t="s">
        <v>598</v>
      </c>
      <c r="DP106" s="14" t="s">
        <v>598</v>
      </c>
      <c r="DQ106" s="14" t="s">
        <v>598</v>
      </c>
      <c r="DR106" s="14" t="s">
        <v>598</v>
      </c>
      <c r="DS106" s="14" t="s">
        <v>598</v>
      </c>
      <c r="DT106" s="14" t="s">
        <v>598</v>
      </c>
      <c r="DU106" s="14" t="s">
        <v>598</v>
      </c>
      <c r="DV106" s="14" t="s">
        <v>598</v>
      </c>
      <c r="DW106" s="14" t="s">
        <v>598</v>
      </c>
      <c r="DX106" s="14" t="s">
        <v>598</v>
      </c>
      <c r="DY106" s="14" t="s">
        <v>598</v>
      </c>
      <c r="DZ106" s="14" t="s">
        <v>598</v>
      </c>
      <c r="EA106" s="14" t="s">
        <v>598</v>
      </c>
      <c r="EB106" s="14" t="s">
        <v>598</v>
      </c>
      <c r="EC106" s="14" t="s">
        <v>598</v>
      </c>
      <c r="ED106" s="14" t="s">
        <v>598</v>
      </c>
      <c r="EE106" s="14" t="s">
        <v>598</v>
      </c>
      <c r="EF106" s="14" t="s">
        <v>598</v>
      </c>
      <c r="EG106" s="14" t="s">
        <v>598</v>
      </c>
      <c r="EH106" s="14" t="s">
        <v>598</v>
      </c>
      <c r="EI106" s="14" t="s">
        <v>598</v>
      </c>
      <c r="EJ106" s="14" t="s">
        <v>598</v>
      </c>
      <c r="EK106" s="14" t="s">
        <v>598</v>
      </c>
      <c r="EL106" s="14" t="s">
        <v>598</v>
      </c>
      <c r="EM106" s="14" t="s">
        <v>598</v>
      </c>
      <c r="EN106" s="14" t="s">
        <v>598</v>
      </c>
      <c r="EO106" s="14" t="s">
        <v>598</v>
      </c>
      <c r="EP106" s="14" t="s">
        <v>598</v>
      </c>
      <c r="EQ106" s="14" t="s">
        <v>598</v>
      </c>
      <c r="ER106" s="14" t="s">
        <v>598</v>
      </c>
      <c r="EY106" s="14">
        <v>0</v>
      </c>
      <c r="FF106" s="14">
        <v>0</v>
      </c>
      <c r="FM106" s="14">
        <v>0</v>
      </c>
      <c r="FT106" s="14">
        <v>0</v>
      </c>
      <c r="GA106" s="14">
        <v>0</v>
      </c>
      <c r="GH106" s="14">
        <v>0</v>
      </c>
      <c r="GO106" s="14">
        <v>0</v>
      </c>
      <c r="GW106" s="14">
        <v>0</v>
      </c>
      <c r="GX106" s="14">
        <v>0</v>
      </c>
      <c r="GY106" s="14">
        <v>0</v>
      </c>
      <c r="GZ106" s="14">
        <v>0</v>
      </c>
      <c r="HA106" s="14">
        <v>0</v>
      </c>
      <c r="HB106" s="14">
        <v>0</v>
      </c>
      <c r="HC106" s="14">
        <v>0</v>
      </c>
      <c r="HD106" s="14">
        <v>0</v>
      </c>
      <c r="HK106" s="14">
        <v>0</v>
      </c>
      <c r="HR106" s="14">
        <v>0</v>
      </c>
      <c r="HY106" s="14">
        <v>0</v>
      </c>
      <c r="IF106" s="14">
        <v>0</v>
      </c>
      <c r="IM106" s="14">
        <v>0</v>
      </c>
      <c r="IN106" s="14">
        <v>0</v>
      </c>
      <c r="IO106" s="14">
        <v>0</v>
      </c>
      <c r="IP106" s="14">
        <v>0</v>
      </c>
      <c r="IQ106" s="14">
        <v>0</v>
      </c>
      <c r="IR106" s="14">
        <v>0</v>
      </c>
      <c r="IS106" s="14">
        <v>0</v>
      </c>
      <c r="IT106" s="14">
        <v>0</v>
      </c>
      <c r="IZ106" s="14">
        <v>1</v>
      </c>
      <c r="JA106" s="14">
        <v>3</v>
      </c>
      <c r="JB106" s="14">
        <v>1</v>
      </c>
      <c r="JC106" s="14" t="s">
        <v>600</v>
      </c>
      <c r="NF106" s="14" t="s">
        <v>601</v>
      </c>
      <c r="RI106" s="14" t="s">
        <v>602</v>
      </c>
      <c r="VL106" s="14" t="s">
        <v>603</v>
      </c>
      <c r="ZO106" s="14" t="s">
        <v>604</v>
      </c>
      <c r="ADR106" s="14" t="s">
        <v>605</v>
      </c>
    </row>
    <row r="107" spans="1:798" x14ac:dyDescent="0.25">
      <c r="A107" s="14">
        <v>66</v>
      </c>
      <c r="B107" s="14" t="s">
        <v>889</v>
      </c>
      <c r="C107" s="16">
        <f t="shared" si="10"/>
        <v>42780</v>
      </c>
      <c r="D107" s="14" t="s">
        <v>1135</v>
      </c>
      <c r="E107" s="14" t="s">
        <v>1136</v>
      </c>
      <c r="F107" s="14" t="s">
        <v>1137</v>
      </c>
      <c r="G107" s="14" t="s">
        <v>1138</v>
      </c>
      <c r="H107" s="14">
        <v>12129165510</v>
      </c>
      <c r="I107" s="14" t="s">
        <v>731</v>
      </c>
      <c r="J107" s="14" t="s">
        <v>596</v>
      </c>
      <c r="L107" s="14">
        <v>1</v>
      </c>
      <c r="R107" s="14">
        <v>44.17</v>
      </c>
      <c r="U107" s="14">
        <v>44.17</v>
      </c>
      <c r="V107" s="14">
        <v>893.93</v>
      </c>
      <c r="W107" s="14">
        <v>1519.31</v>
      </c>
      <c r="Y107" s="14">
        <v>343.76</v>
      </c>
      <c r="AA107" s="14">
        <v>135.27000000000001</v>
      </c>
      <c r="AB107" s="14">
        <v>2892.27</v>
      </c>
      <c r="AC107" s="14">
        <v>1199.5</v>
      </c>
      <c r="AF107" s="14">
        <v>201.65</v>
      </c>
      <c r="AI107" s="14">
        <v>1401.15</v>
      </c>
      <c r="AP107" s="14">
        <v>0</v>
      </c>
      <c r="AW107" s="14">
        <v>0</v>
      </c>
      <c r="BD107" s="14">
        <v>0</v>
      </c>
      <c r="BE107" s="14">
        <v>2093.4299999999998</v>
      </c>
      <c r="BF107" s="14">
        <v>1519.31</v>
      </c>
      <c r="BG107" s="14">
        <v>0</v>
      </c>
      <c r="BH107" s="14">
        <v>589.58000000000004</v>
      </c>
      <c r="BI107" s="14">
        <v>0</v>
      </c>
      <c r="BJ107" s="14">
        <v>135.27000000000001</v>
      </c>
      <c r="BK107" s="14">
        <v>4337.59</v>
      </c>
      <c r="BO107" s="14">
        <v>1</v>
      </c>
      <c r="BR107" s="14">
        <v>1</v>
      </c>
      <c r="BS107" s="14">
        <v>6</v>
      </c>
      <c r="BT107" s="14">
        <v>4</v>
      </c>
      <c r="BV107" s="14">
        <v>2</v>
      </c>
      <c r="BX107" s="14">
        <v>1</v>
      </c>
      <c r="BY107" s="14">
        <v>13</v>
      </c>
      <c r="BZ107" s="14">
        <v>4</v>
      </c>
      <c r="CC107" s="14">
        <v>7</v>
      </c>
      <c r="CF107" s="14">
        <v>11</v>
      </c>
      <c r="CM107" s="14">
        <v>0</v>
      </c>
      <c r="CT107" s="14">
        <v>0</v>
      </c>
      <c r="DA107" s="14">
        <v>0</v>
      </c>
      <c r="DB107" s="14">
        <v>10</v>
      </c>
      <c r="DC107" s="14">
        <v>4</v>
      </c>
      <c r="DD107" s="14">
        <v>0</v>
      </c>
      <c r="DE107" s="14">
        <v>10</v>
      </c>
      <c r="DF107" s="14">
        <v>0</v>
      </c>
      <c r="DG107" s="14">
        <v>1</v>
      </c>
      <c r="DH107" s="14">
        <v>25</v>
      </c>
      <c r="DI107" s="14" t="s">
        <v>598</v>
      </c>
      <c r="DJ107" s="14" t="s">
        <v>598</v>
      </c>
      <c r="DK107" s="14" t="s">
        <v>598</v>
      </c>
      <c r="DL107" s="14" t="s">
        <v>597</v>
      </c>
      <c r="DM107" s="14" t="s">
        <v>598</v>
      </c>
      <c r="DN107" s="14" t="s">
        <v>598</v>
      </c>
      <c r="DO107" s="14" t="s">
        <v>597</v>
      </c>
      <c r="DP107" s="14" t="s">
        <v>597</v>
      </c>
      <c r="DQ107" s="14" t="s">
        <v>598</v>
      </c>
      <c r="DR107" s="14" t="s">
        <v>597</v>
      </c>
      <c r="DS107" s="14" t="s">
        <v>598</v>
      </c>
      <c r="DT107" s="14" t="s">
        <v>597</v>
      </c>
      <c r="DU107" s="14" t="s">
        <v>597</v>
      </c>
      <c r="DV107" s="14" t="s">
        <v>598</v>
      </c>
      <c r="DW107" s="14" t="s">
        <v>598</v>
      </c>
      <c r="DX107" s="14" t="s">
        <v>597</v>
      </c>
      <c r="DY107" s="14" t="s">
        <v>598</v>
      </c>
      <c r="DZ107" s="14" t="s">
        <v>598</v>
      </c>
      <c r="EA107" s="14" t="s">
        <v>598</v>
      </c>
      <c r="EB107" s="14" t="s">
        <v>598</v>
      </c>
      <c r="EC107" s="14" t="s">
        <v>598</v>
      </c>
      <c r="ED107" s="14" t="s">
        <v>598</v>
      </c>
      <c r="EE107" s="14" t="s">
        <v>598</v>
      </c>
      <c r="EF107" s="14" t="s">
        <v>598</v>
      </c>
      <c r="EG107" s="14" t="s">
        <v>598</v>
      </c>
      <c r="EH107" s="14" t="s">
        <v>598</v>
      </c>
      <c r="EI107" s="14" t="s">
        <v>598</v>
      </c>
      <c r="EJ107" s="14" t="s">
        <v>598</v>
      </c>
      <c r="EK107" s="14" t="s">
        <v>598</v>
      </c>
      <c r="EL107" s="14" t="s">
        <v>598</v>
      </c>
      <c r="EM107" s="14" t="s">
        <v>598</v>
      </c>
      <c r="EN107" s="14" t="s">
        <v>598</v>
      </c>
      <c r="EO107" s="14" t="s">
        <v>598</v>
      </c>
      <c r="EP107" s="14" t="s">
        <v>598</v>
      </c>
      <c r="EQ107" s="14" t="s">
        <v>598</v>
      </c>
      <c r="ER107" s="14" t="s">
        <v>598</v>
      </c>
      <c r="ES107" s="14">
        <v>1624.31</v>
      </c>
      <c r="ET107" s="14">
        <v>1519.31</v>
      </c>
      <c r="EV107" s="14">
        <v>65.2</v>
      </c>
      <c r="EX107" s="14">
        <v>28.54</v>
      </c>
      <c r="EY107" s="14">
        <v>3237.36</v>
      </c>
      <c r="EZ107" s="14">
        <v>164.62</v>
      </c>
      <c r="FC107" s="14">
        <v>18.62</v>
      </c>
      <c r="FE107" s="14">
        <v>73.61</v>
      </c>
      <c r="FF107" s="14">
        <v>256.85000000000002</v>
      </c>
      <c r="FJ107" s="14">
        <v>12.16</v>
      </c>
      <c r="FM107" s="14">
        <v>12.16</v>
      </c>
      <c r="FN107" s="14">
        <v>300</v>
      </c>
      <c r="FQ107" s="14">
        <v>125.9</v>
      </c>
      <c r="FT107" s="14">
        <v>425.9</v>
      </c>
      <c r="GA107" s="14">
        <v>0</v>
      </c>
      <c r="GG107" s="14">
        <v>33.119999999999997</v>
      </c>
      <c r="GH107" s="14">
        <v>33.119999999999997</v>
      </c>
      <c r="GI107" s="14">
        <v>4.5</v>
      </c>
      <c r="GO107" s="14">
        <v>4.5</v>
      </c>
      <c r="GP107" s="14" t="s">
        <v>1139</v>
      </c>
      <c r="GT107" s="14">
        <v>367.7</v>
      </c>
      <c r="GW107" s="14">
        <v>367.7</v>
      </c>
      <c r="GX107" s="14">
        <v>2093.4299999999998</v>
      </c>
      <c r="GY107" s="14">
        <v>1519.31</v>
      </c>
      <c r="GZ107" s="14">
        <v>0</v>
      </c>
      <c r="HA107" s="14">
        <v>589.58000000000004</v>
      </c>
      <c r="HB107" s="14">
        <v>0</v>
      </c>
      <c r="HC107" s="14">
        <v>135.27000000000001</v>
      </c>
      <c r="HD107" s="14">
        <v>4337.59</v>
      </c>
      <c r="HE107" s="14">
        <v>300</v>
      </c>
      <c r="HF107" s="14">
        <v>638.92999999999995</v>
      </c>
      <c r="HH107" s="14">
        <v>113.7</v>
      </c>
      <c r="HJ107" s="14">
        <v>73.61</v>
      </c>
      <c r="HK107" s="14">
        <v>1126.24</v>
      </c>
      <c r="HL107" s="14">
        <v>1243.93</v>
      </c>
      <c r="HM107" s="14">
        <v>880.38</v>
      </c>
      <c r="HO107" s="14">
        <v>417.47</v>
      </c>
      <c r="HQ107" s="14">
        <v>61.66</v>
      </c>
      <c r="HR107" s="14">
        <v>2603.44</v>
      </c>
      <c r="HS107" s="14">
        <v>549.5</v>
      </c>
      <c r="HV107" s="14">
        <v>58.41</v>
      </c>
      <c r="HY107" s="14">
        <v>607.91</v>
      </c>
      <c r="IF107" s="14">
        <v>0</v>
      </c>
      <c r="IM107" s="14">
        <v>0</v>
      </c>
      <c r="IN107" s="14">
        <v>2093.4299999999998</v>
      </c>
      <c r="IO107" s="14">
        <v>1519.31</v>
      </c>
      <c r="IP107" s="14">
        <v>0</v>
      </c>
      <c r="IQ107" s="14">
        <v>589.58000000000004</v>
      </c>
      <c r="IR107" s="14">
        <v>0</v>
      </c>
      <c r="IS107" s="14">
        <v>135.27000000000001</v>
      </c>
      <c r="IT107" s="14">
        <v>4337.59</v>
      </c>
      <c r="IW107" s="14">
        <v>100</v>
      </c>
      <c r="IZ107" s="14">
        <v>1</v>
      </c>
      <c r="JA107" s="14">
        <v>2</v>
      </c>
      <c r="JB107" s="14">
        <v>1</v>
      </c>
      <c r="JC107" s="14" t="s">
        <v>600</v>
      </c>
      <c r="NF107" s="14" t="s">
        <v>601</v>
      </c>
      <c r="RI107" s="14" t="s">
        <v>602</v>
      </c>
      <c r="VL107" s="14" t="s">
        <v>603</v>
      </c>
      <c r="ZO107" s="14" t="s">
        <v>604</v>
      </c>
      <c r="ADR107" s="14" t="s">
        <v>605</v>
      </c>
    </row>
    <row r="108" spans="1:798" x14ac:dyDescent="0.25">
      <c r="A108" s="14">
        <v>207</v>
      </c>
      <c r="B108" s="14" t="s">
        <v>889</v>
      </c>
      <c r="C108" s="16">
        <f>VLOOKUP(A108,[4]RawData!Z:AA,2,FALSE)</f>
        <v>42779.604166666664</v>
      </c>
      <c r="D108" s="14" t="s">
        <v>1140</v>
      </c>
      <c r="E108" s="14" t="s">
        <v>1141</v>
      </c>
      <c r="F108" s="14" t="s">
        <v>955</v>
      </c>
      <c r="G108" s="14" t="s">
        <v>1142</v>
      </c>
      <c r="H108" s="14" t="s">
        <v>1143</v>
      </c>
      <c r="I108" s="14" t="s">
        <v>894</v>
      </c>
      <c r="J108" s="14" t="s">
        <v>732</v>
      </c>
      <c r="L108" s="14">
        <v>1</v>
      </c>
      <c r="U108" s="14">
        <v>0</v>
      </c>
      <c r="V108" s="14">
        <v>270</v>
      </c>
      <c r="X108" s="14">
        <v>50</v>
      </c>
      <c r="AB108" s="14">
        <v>320</v>
      </c>
      <c r="AI108" s="14">
        <v>0</v>
      </c>
      <c r="AP108" s="14">
        <v>0</v>
      </c>
      <c r="AW108" s="14">
        <v>0</v>
      </c>
      <c r="BD108" s="14">
        <v>0</v>
      </c>
      <c r="BE108" s="14">
        <v>270</v>
      </c>
      <c r="BF108" s="14">
        <v>0</v>
      </c>
      <c r="BG108" s="14">
        <v>50</v>
      </c>
      <c r="BH108" s="14">
        <v>0</v>
      </c>
      <c r="BI108" s="14">
        <v>0</v>
      </c>
      <c r="BJ108" s="14">
        <v>0</v>
      </c>
      <c r="BK108" s="14">
        <v>320</v>
      </c>
      <c r="BR108" s="14">
        <v>0</v>
      </c>
      <c r="BS108" s="14">
        <v>2</v>
      </c>
      <c r="BU108" s="14">
        <v>1</v>
      </c>
      <c r="BY108" s="14">
        <v>3</v>
      </c>
      <c r="CF108" s="14">
        <v>0</v>
      </c>
      <c r="CM108" s="14">
        <v>0</v>
      </c>
      <c r="CT108" s="14">
        <v>0</v>
      </c>
      <c r="DA108" s="14">
        <v>0</v>
      </c>
      <c r="DB108" s="14">
        <v>2</v>
      </c>
      <c r="DC108" s="14">
        <v>0</v>
      </c>
      <c r="DD108" s="14">
        <v>1</v>
      </c>
      <c r="DE108" s="14">
        <v>0</v>
      </c>
      <c r="DF108" s="14">
        <v>0</v>
      </c>
      <c r="DG108" s="14">
        <v>0</v>
      </c>
      <c r="DH108" s="14">
        <v>3</v>
      </c>
      <c r="DI108" s="14" t="s">
        <v>598</v>
      </c>
      <c r="DJ108" s="14" t="s">
        <v>598</v>
      </c>
      <c r="DK108" s="14" t="s">
        <v>598</v>
      </c>
      <c r="DL108" s="14" t="s">
        <v>598</v>
      </c>
      <c r="DM108" s="14" t="s">
        <v>598</v>
      </c>
      <c r="DN108" s="14" t="s">
        <v>598</v>
      </c>
      <c r="DO108" s="14" t="s">
        <v>597</v>
      </c>
      <c r="DP108" s="14" t="s">
        <v>598</v>
      </c>
      <c r="DQ108" s="14" t="s">
        <v>597</v>
      </c>
      <c r="DR108" s="14" t="s">
        <v>598</v>
      </c>
      <c r="DS108" s="14" t="s">
        <v>598</v>
      </c>
      <c r="DT108" s="14" t="s">
        <v>598</v>
      </c>
      <c r="DU108" s="14" t="s">
        <v>598</v>
      </c>
      <c r="DV108" s="14" t="s">
        <v>598</v>
      </c>
      <c r="DW108" s="14" t="s">
        <v>598</v>
      </c>
      <c r="DX108" s="14" t="s">
        <v>598</v>
      </c>
      <c r="DY108" s="14" t="s">
        <v>598</v>
      </c>
      <c r="DZ108" s="14" t="s">
        <v>598</v>
      </c>
      <c r="EA108" s="14" t="s">
        <v>598</v>
      </c>
      <c r="EB108" s="14" t="s">
        <v>598</v>
      </c>
      <c r="EC108" s="14" t="s">
        <v>598</v>
      </c>
      <c r="ED108" s="14" t="s">
        <v>598</v>
      </c>
      <c r="EE108" s="14" t="s">
        <v>598</v>
      </c>
      <c r="EF108" s="14" t="s">
        <v>598</v>
      </c>
      <c r="EG108" s="14" t="s">
        <v>598</v>
      </c>
      <c r="EH108" s="14" t="s">
        <v>598</v>
      </c>
      <c r="EI108" s="14" t="s">
        <v>598</v>
      </c>
      <c r="EJ108" s="14" t="s">
        <v>598</v>
      </c>
      <c r="EK108" s="14" t="s">
        <v>598</v>
      </c>
      <c r="EL108" s="14" t="s">
        <v>598</v>
      </c>
      <c r="EM108" s="14" t="s">
        <v>598</v>
      </c>
      <c r="EN108" s="14" t="s">
        <v>598</v>
      </c>
      <c r="EO108" s="14" t="s">
        <v>598</v>
      </c>
      <c r="EP108" s="14" t="s">
        <v>598</v>
      </c>
      <c r="EQ108" s="14" t="s">
        <v>598</v>
      </c>
      <c r="ER108" s="14" t="s">
        <v>598</v>
      </c>
      <c r="ES108" s="14">
        <v>270</v>
      </c>
      <c r="EU108" s="14">
        <v>50</v>
      </c>
      <c r="EY108" s="14">
        <v>320</v>
      </c>
      <c r="FF108" s="14">
        <v>0</v>
      </c>
      <c r="FM108" s="14">
        <v>0</v>
      </c>
      <c r="FT108" s="14">
        <v>0</v>
      </c>
      <c r="GA108" s="14">
        <v>0</v>
      </c>
      <c r="GH108" s="14">
        <v>0</v>
      </c>
      <c r="GO108" s="14">
        <v>0</v>
      </c>
      <c r="GW108" s="14">
        <v>0</v>
      </c>
      <c r="GX108" s="14">
        <v>270</v>
      </c>
      <c r="GY108" s="14">
        <v>0</v>
      </c>
      <c r="GZ108" s="14">
        <v>50</v>
      </c>
      <c r="HA108" s="14">
        <v>0</v>
      </c>
      <c r="HB108" s="14">
        <v>0</v>
      </c>
      <c r="HC108" s="14">
        <v>0</v>
      </c>
      <c r="HD108" s="14">
        <v>320</v>
      </c>
      <c r="HK108" s="14">
        <v>0</v>
      </c>
      <c r="HL108" s="14">
        <v>270</v>
      </c>
      <c r="HN108" s="14">
        <v>50</v>
      </c>
      <c r="HR108" s="14">
        <v>320</v>
      </c>
      <c r="HY108" s="14">
        <v>0</v>
      </c>
      <c r="IF108" s="14">
        <v>0</v>
      </c>
      <c r="IM108" s="14">
        <v>0</v>
      </c>
      <c r="IN108" s="14">
        <v>270</v>
      </c>
      <c r="IO108" s="14">
        <v>0</v>
      </c>
      <c r="IP108" s="14">
        <v>50</v>
      </c>
      <c r="IQ108" s="14">
        <v>0</v>
      </c>
      <c r="IR108" s="14">
        <v>0</v>
      </c>
      <c r="IS108" s="14">
        <v>0</v>
      </c>
      <c r="IT108" s="14">
        <v>320</v>
      </c>
      <c r="IW108" s="14">
        <v>100</v>
      </c>
      <c r="IZ108" s="14">
        <v>3</v>
      </c>
      <c r="JA108" s="14">
        <v>3</v>
      </c>
      <c r="JB108" s="14">
        <v>1</v>
      </c>
      <c r="JC108" s="14" t="s">
        <v>600</v>
      </c>
      <c r="NF108" s="14" t="s">
        <v>601</v>
      </c>
      <c r="NG108" s="14">
        <v>270</v>
      </c>
      <c r="NI108" s="14">
        <v>50</v>
      </c>
      <c r="NM108" s="14">
        <v>320</v>
      </c>
      <c r="NT108" s="14">
        <v>0</v>
      </c>
      <c r="OA108" s="14">
        <v>0</v>
      </c>
      <c r="OH108" s="14">
        <v>0</v>
      </c>
      <c r="OO108" s="14">
        <v>0</v>
      </c>
      <c r="OV108" s="14">
        <v>0</v>
      </c>
      <c r="PC108" s="14">
        <v>0</v>
      </c>
      <c r="PK108" s="14">
        <v>0</v>
      </c>
      <c r="PL108" s="14">
        <v>270</v>
      </c>
      <c r="PM108" s="14">
        <v>0</v>
      </c>
      <c r="PN108" s="14">
        <v>50</v>
      </c>
      <c r="PO108" s="14">
        <v>0</v>
      </c>
      <c r="PP108" s="14">
        <v>0</v>
      </c>
      <c r="PQ108" s="14">
        <v>0</v>
      </c>
      <c r="PR108" s="14">
        <v>320</v>
      </c>
      <c r="PS108" s="14">
        <v>270</v>
      </c>
      <c r="PU108" s="14">
        <v>50</v>
      </c>
      <c r="PY108" s="14">
        <v>320</v>
      </c>
      <c r="QF108" s="14">
        <v>0</v>
      </c>
      <c r="QM108" s="14">
        <v>0</v>
      </c>
      <c r="QT108" s="14">
        <v>0</v>
      </c>
      <c r="RA108" s="14">
        <v>0</v>
      </c>
      <c r="RB108" s="14">
        <v>270</v>
      </c>
      <c r="RC108" s="14">
        <v>0</v>
      </c>
      <c r="RD108" s="14">
        <v>50</v>
      </c>
      <c r="RE108" s="14">
        <v>0</v>
      </c>
      <c r="RF108" s="14">
        <v>0</v>
      </c>
      <c r="RG108" s="14">
        <v>0</v>
      </c>
      <c r="RH108" s="14">
        <v>320</v>
      </c>
      <c r="RI108" s="14" t="s">
        <v>602</v>
      </c>
      <c r="VL108" s="14" t="s">
        <v>603</v>
      </c>
      <c r="ZO108" s="14" t="s">
        <v>604</v>
      </c>
      <c r="ADR108" s="14" t="s">
        <v>605</v>
      </c>
    </row>
    <row r="109" spans="1:798" x14ac:dyDescent="0.25">
      <c r="A109" s="14">
        <v>196</v>
      </c>
      <c r="B109" s="14" t="s">
        <v>889</v>
      </c>
      <c r="C109" s="16">
        <f>VLOOKUP(A109,[4]RawData!Z:AA,2,FALSE)</f>
        <v>42775.447916666664</v>
      </c>
      <c r="D109" s="14" t="s">
        <v>1144</v>
      </c>
      <c r="E109" s="14" t="s">
        <v>1145</v>
      </c>
      <c r="F109" s="14" t="s">
        <v>673</v>
      </c>
      <c r="G109" s="14" t="s">
        <v>1146</v>
      </c>
      <c r="H109" s="14">
        <v>2074947636</v>
      </c>
      <c r="I109" s="14" t="s">
        <v>731</v>
      </c>
      <c r="J109" s="14" t="s">
        <v>945</v>
      </c>
      <c r="L109" s="14">
        <v>2</v>
      </c>
      <c r="M109" s="14">
        <v>6</v>
      </c>
      <c r="N109" s="14" t="s">
        <v>1147</v>
      </c>
      <c r="U109" s="14">
        <v>0</v>
      </c>
      <c r="AB109" s="14">
        <v>0</v>
      </c>
      <c r="AI109" s="14">
        <v>0</v>
      </c>
      <c r="AP109" s="14">
        <v>0</v>
      </c>
      <c r="AW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R109" s="14">
        <v>0</v>
      </c>
      <c r="BY109" s="14">
        <v>0</v>
      </c>
      <c r="CF109" s="14">
        <v>0</v>
      </c>
      <c r="CM109" s="14">
        <v>0</v>
      </c>
      <c r="CT109" s="14">
        <v>0</v>
      </c>
      <c r="DA109" s="14">
        <v>0</v>
      </c>
      <c r="DB109" s="14">
        <v>0</v>
      </c>
      <c r="DC109" s="14">
        <v>0</v>
      </c>
      <c r="DD109" s="14">
        <v>0</v>
      </c>
      <c r="DE109" s="14">
        <v>0</v>
      </c>
      <c r="DF109" s="14">
        <v>0</v>
      </c>
      <c r="DG109" s="14">
        <v>0</v>
      </c>
      <c r="DH109" s="14">
        <v>0</v>
      </c>
      <c r="DI109" s="14" t="s">
        <v>598</v>
      </c>
      <c r="DJ109" s="14" t="s">
        <v>598</v>
      </c>
      <c r="DK109" s="14" t="s">
        <v>598</v>
      </c>
      <c r="DL109" s="14" t="s">
        <v>598</v>
      </c>
      <c r="DM109" s="14" t="s">
        <v>598</v>
      </c>
      <c r="DN109" s="14" t="s">
        <v>598</v>
      </c>
      <c r="DO109" s="14" t="s">
        <v>598</v>
      </c>
      <c r="DP109" s="14" t="s">
        <v>598</v>
      </c>
      <c r="DQ109" s="14" t="s">
        <v>598</v>
      </c>
      <c r="DR109" s="14" t="s">
        <v>598</v>
      </c>
      <c r="DS109" s="14" t="s">
        <v>598</v>
      </c>
      <c r="DT109" s="14" t="s">
        <v>598</v>
      </c>
      <c r="DU109" s="14" t="s">
        <v>598</v>
      </c>
      <c r="DV109" s="14" t="s">
        <v>598</v>
      </c>
      <c r="DW109" s="14" t="s">
        <v>598</v>
      </c>
      <c r="DX109" s="14" t="s">
        <v>598</v>
      </c>
      <c r="DY109" s="14" t="s">
        <v>598</v>
      </c>
      <c r="DZ109" s="14" t="s">
        <v>598</v>
      </c>
      <c r="EA109" s="14" t="s">
        <v>598</v>
      </c>
      <c r="EB109" s="14" t="s">
        <v>598</v>
      </c>
      <c r="EC109" s="14" t="s">
        <v>598</v>
      </c>
      <c r="ED109" s="14" t="s">
        <v>598</v>
      </c>
      <c r="EE109" s="14" t="s">
        <v>598</v>
      </c>
      <c r="EF109" s="14" t="s">
        <v>598</v>
      </c>
      <c r="EG109" s="14" t="s">
        <v>598</v>
      </c>
      <c r="EH109" s="14" t="s">
        <v>598</v>
      </c>
      <c r="EI109" s="14" t="s">
        <v>598</v>
      </c>
      <c r="EJ109" s="14" t="s">
        <v>598</v>
      </c>
      <c r="EK109" s="14" t="s">
        <v>598</v>
      </c>
      <c r="EL109" s="14" t="s">
        <v>598</v>
      </c>
      <c r="EM109" s="14" t="s">
        <v>598</v>
      </c>
      <c r="EN109" s="14" t="s">
        <v>598</v>
      </c>
      <c r="EO109" s="14" t="s">
        <v>598</v>
      </c>
      <c r="EP109" s="14" t="s">
        <v>598</v>
      </c>
      <c r="EQ109" s="14" t="s">
        <v>598</v>
      </c>
      <c r="ER109" s="14" t="s">
        <v>598</v>
      </c>
      <c r="EY109" s="14">
        <v>0</v>
      </c>
      <c r="FF109" s="14">
        <v>0</v>
      </c>
      <c r="FM109" s="14">
        <v>0</v>
      </c>
      <c r="FT109" s="14">
        <v>0</v>
      </c>
      <c r="GA109" s="14">
        <v>0</v>
      </c>
      <c r="GH109" s="14">
        <v>0</v>
      </c>
      <c r="GO109" s="14">
        <v>0</v>
      </c>
      <c r="GW109" s="14">
        <v>0</v>
      </c>
      <c r="GX109" s="14">
        <v>0</v>
      </c>
      <c r="GY109" s="14">
        <v>0</v>
      </c>
      <c r="GZ109" s="14">
        <v>0</v>
      </c>
      <c r="HA109" s="14">
        <v>0</v>
      </c>
      <c r="HB109" s="14">
        <v>0</v>
      </c>
      <c r="HC109" s="14">
        <v>0</v>
      </c>
      <c r="HD109" s="14">
        <v>0</v>
      </c>
      <c r="HK109" s="14">
        <v>0</v>
      </c>
      <c r="HR109" s="14">
        <v>0</v>
      </c>
      <c r="HY109" s="14">
        <v>0</v>
      </c>
      <c r="IF109" s="14">
        <v>0</v>
      </c>
      <c r="IM109" s="14">
        <v>0</v>
      </c>
      <c r="IN109" s="14">
        <v>0</v>
      </c>
      <c r="IO109" s="14">
        <v>0</v>
      </c>
      <c r="IP109" s="14">
        <v>0</v>
      </c>
      <c r="IQ109" s="14">
        <v>0</v>
      </c>
      <c r="IR109" s="14">
        <v>0</v>
      </c>
      <c r="IS109" s="14">
        <v>0</v>
      </c>
      <c r="IT109" s="14">
        <v>0</v>
      </c>
      <c r="IZ109" s="14">
        <v>1</v>
      </c>
      <c r="JA109" s="14">
        <v>2</v>
      </c>
      <c r="JB109" s="14">
        <v>1</v>
      </c>
      <c r="JC109" s="14" t="s">
        <v>600</v>
      </c>
      <c r="NF109" s="14" t="s">
        <v>601</v>
      </c>
      <c r="RI109" s="14" t="s">
        <v>602</v>
      </c>
      <c r="VL109" s="14" t="s">
        <v>603</v>
      </c>
      <c r="ZO109" s="14" t="s">
        <v>604</v>
      </c>
      <c r="ADR109" s="14" t="s">
        <v>605</v>
      </c>
    </row>
    <row r="110" spans="1:798" x14ac:dyDescent="0.25">
      <c r="A110" s="14">
        <v>151</v>
      </c>
      <c r="B110" s="14" t="s">
        <v>889</v>
      </c>
      <c r="C110" s="16">
        <f>VLOOKUP(A110,[4]RawData!Z:AA,2,FALSE)</f>
        <v>42766.643055555556</v>
      </c>
      <c r="D110" s="14" t="s">
        <v>1148</v>
      </c>
      <c r="E110" s="14" t="s">
        <v>1149</v>
      </c>
      <c r="F110" s="14" t="s">
        <v>1150</v>
      </c>
      <c r="G110" s="14" t="s">
        <v>1151</v>
      </c>
      <c r="H110" s="14">
        <v>23213505</v>
      </c>
      <c r="I110" s="14" t="s">
        <v>1152</v>
      </c>
      <c r="J110" s="14" t="s">
        <v>1153</v>
      </c>
      <c r="L110" s="14">
        <v>2</v>
      </c>
      <c r="M110" s="14">
        <v>6</v>
      </c>
      <c r="N110" s="14" t="s">
        <v>1154</v>
      </c>
      <c r="U110" s="14">
        <v>0</v>
      </c>
      <c r="AB110" s="14">
        <v>0</v>
      </c>
      <c r="AI110" s="14">
        <v>0</v>
      </c>
      <c r="AP110" s="14">
        <v>0</v>
      </c>
      <c r="AW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R110" s="14">
        <v>0</v>
      </c>
      <c r="BY110" s="14">
        <v>0</v>
      </c>
      <c r="CF110" s="14">
        <v>0</v>
      </c>
      <c r="CM110" s="14">
        <v>0</v>
      </c>
      <c r="CT110" s="14">
        <v>0</v>
      </c>
      <c r="DA110" s="14">
        <v>0</v>
      </c>
      <c r="DB110" s="14">
        <v>0</v>
      </c>
      <c r="DC110" s="14">
        <v>0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 t="s">
        <v>598</v>
      </c>
      <c r="DJ110" s="14" t="s">
        <v>598</v>
      </c>
      <c r="DK110" s="14" t="s">
        <v>598</v>
      </c>
      <c r="DL110" s="14" t="s">
        <v>598</v>
      </c>
      <c r="DM110" s="14" t="s">
        <v>598</v>
      </c>
      <c r="DN110" s="14" t="s">
        <v>598</v>
      </c>
      <c r="DO110" s="14" t="s">
        <v>598</v>
      </c>
      <c r="DP110" s="14" t="s">
        <v>598</v>
      </c>
      <c r="DQ110" s="14" t="s">
        <v>598</v>
      </c>
      <c r="DR110" s="14" t="s">
        <v>598</v>
      </c>
      <c r="DS110" s="14" t="s">
        <v>598</v>
      </c>
      <c r="DT110" s="14" t="s">
        <v>598</v>
      </c>
      <c r="DU110" s="14" t="s">
        <v>598</v>
      </c>
      <c r="DV110" s="14" t="s">
        <v>598</v>
      </c>
      <c r="DW110" s="14" t="s">
        <v>598</v>
      </c>
      <c r="DX110" s="14" t="s">
        <v>598</v>
      </c>
      <c r="DY110" s="14" t="s">
        <v>598</v>
      </c>
      <c r="DZ110" s="14" t="s">
        <v>598</v>
      </c>
      <c r="EA110" s="14" t="s">
        <v>598</v>
      </c>
      <c r="EB110" s="14" t="s">
        <v>598</v>
      </c>
      <c r="EC110" s="14" t="s">
        <v>598</v>
      </c>
      <c r="ED110" s="14" t="s">
        <v>598</v>
      </c>
      <c r="EE110" s="14" t="s">
        <v>598</v>
      </c>
      <c r="EF110" s="14" t="s">
        <v>598</v>
      </c>
      <c r="EG110" s="14" t="s">
        <v>598</v>
      </c>
      <c r="EH110" s="14" t="s">
        <v>598</v>
      </c>
      <c r="EI110" s="14" t="s">
        <v>598</v>
      </c>
      <c r="EJ110" s="14" t="s">
        <v>598</v>
      </c>
      <c r="EK110" s="14" t="s">
        <v>598</v>
      </c>
      <c r="EL110" s="14" t="s">
        <v>598</v>
      </c>
      <c r="EM110" s="14" t="s">
        <v>598</v>
      </c>
      <c r="EN110" s="14" t="s">
        <v>598</v>
      </c>
      <c r="EO110" s="14" t="s">
        <v>598</v>
      </c>
      <c r="EP110" s="14" t="s">
        <v>598</v>
      </c>
      <c r="EQ110" s="14" t="s">
        <v>598</v>
      </c>
      <c r="ER110" s="14" t="s">
        <v>598</v>
      </c>
      <c r="EY110" s="14">
        <v>0</v>
      </c>
      <c r="FF110" s="14">
        <v>0</v>
      </c>
      <c r="FM110" s="14">
        <v>0</v>
      </c>
      <c r="FT110" s="14">
        <v>0</v>
      </c>
      <c r="GA110" s="14">
        <v>0</v>
      </c>
      <c r="GH110" s="14">
        <v>0</v>
      </c>
      <c r="GO110" s="14">
        <v>0</v>
      </c>
      <c r="GW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K110" s="14">
        <v>0</v>
      </c>
      <c r="HR110" s="14">
        <v>0</v>
      </c>
      <c r="HY110" s="14">
        <v>0</v>
      </c>
      <c r="IF110" s="14">
        <v>0</v>
      </c>
      <c r="IM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0</v>
      </c>
      <c r="IS110" s="14">
        <v>0</v>
      </c>
      <c r="IT110" s="14">
        <v>0</v>
      </c>
      <c r="IZ110" s="14">
        <v>3</v>
      </c>
      <c r="JA110" s="14">
        <v>3</v>
      </c>
      <c r="JB110" s="14">
        <v>2</v>
      </c>
      <c r="JC110" s="14" t="s">
        <v>600</v>
      </c>
      <c r="NF110" s="14" t="s">
        <v>601</v>
      </c>
      <c r="RI110" s="14" t="s">
        <v>602</v>
      </c>
      <c r="VL110" s="14" t="s">
        <v>603</v>
      </c>
      <c r="ZO110" s="14" t="s">
        <v>604</v>
      </c>
      <c r="ADR110" s="14" t="s">
        <v>605</v>
      </c>
    </row>
    <row r="111" spans="1:798" x14ac:dyDescent="0.25">
      <c r="A111" s="14">
        <v>125</v>
      </c>
      <c r="B111" s="14" t="s">
        <v>889</v>
      </c>
      <c r="C111" s="16">
        <f>$C$3</f>
        <v>42780</v>
      </c>
      <c r="D111" s="14" t="s">
        <v>1155</v>
      </c>
      <c r="E111" s="14" t="s">
        <v>1156</v>
      </c>
      <c r="F111" s="14" t="s">
        <v>1157</v>
      </c>
      <c r="G111" s="14" t="s">
        <v>1158</v>
      </c>
      <c r="H111" s="14">
        <v>4940349194982</v>
      </c>
      <c r="I111" s="14" t="s">
        <v>894</v>
      </c>
      <c r="J111" s="14" t="s">
        <v>732</v>
      </c>
      <c r="L111" s="14">
        <v>1</v>
      </c>
      <c r="U111" s="14">
        <v>0</v>
      </c>
      <c r="V111" s="14">
        <v>887.4</v>
      </c>
      <c r="W111" s="14">
        <v>63.5</v>
      </c>
      <c r="AB111" s="14">
        <v>950.9</v>
      </c>
      <c r="AI111" s="14">
        <v>0</v>
      </c>
      <c r="AP111" s="14">
        <v>0</v>
      </c>
      <c r="AW111" s="14">
        <v>0</v>
      </c>
      <c r="BD111" s="14">
        <v>0</v>
      </c>
      <c r="BE111" s="14">
        <v>887.4</v>
      </c>
      <c r="BF111" s="14">
        <v>63.5</v>
      </c>
      <c r="BG111" s="14">
        <v>0</v>
      </c>
      <c r="BH111" s="14">
        <v>0</v>
      </c>
      <c r="BI111" s="14">
        <v>0</v>
      </c>
      <c r="BJ111" s="14">
        <v>0</v>
      </c>
      <c r="BK111" s="14">
        <v>950.9</v>
      </c>
      <c r="BR111" s="14">
        <v>0</v>
      </c>
      <c r="BS111" s="14">
        <v>4</v>
      </c>
      <c r="BT111" s="14">
        <v>2</v>
      </c>
      <c r="BY111" s="14">
        <v>6</v>
      </c>
      <c r="CF111" s="14">
        <v>0</v>
      </c>
      <c r="CM111" s="14">
        <v>0</v>
      </c>
      <c r="CT111" s="14">
        <v>0</v>
      </c>
      <c r="DA111" s="14">
        <v>0</v>
      </c>
      <c r="DB111" s="14">
        <v>4</v>
      </c>
      <c r="DC111" s="14">
        <v>2</v>
      </c>
      <c r="DD111" s="14">
        <v>0</v>
      </c>
      <c r="DE111" s="14">
        <v>0</v>
      </c>
      <c r="DF111" s="14">
        <v>0</v>
      </c>
      <c r="DG111" s="14">
        <v>0</v>
      </c>
      <c r="DH111" s="14">
        <v>6</v>
      </c>
      <c r="DI111" s="14" t="s">
        <v>598</v>
      </c>
      <c r="DJ111" s="14" t="s">
        <v>598</v>
      </c>
      <c r="DK111" s="14" t="s">
        <v>598</v>
      </c>
      <c r="DL111" s="14" t="s">
        <v>598</v>
      </c>
      <c r="DM111" s="14" t="s">
        <v>598</v>
      </c>
      <c r="DN111" s="14" t="s">
        <v>598</v>
      </c>
      <c r="DO111" s="14" t="s">
        <v>597</v>
      </c>
      <c r="DP111" s="14" t="s">
        <v>597</v>
      </c>
      <c r="DQ111" s="14" t="s">
        <v>598</v>
      </c>
      <c r="DR111" s="14" t="s">
        <v>598</v>
      </c>
      <c r="DS111" s="14" t="s">
        <v>598</v>
      </c>
      <c r="DT111" s="14" t="s">
        <v>598</v>
      </c>
      <c r="DU111" s="14" t="s">
        <v>598</v>
      </c>
      <c r="DV111" s="14" t="s">
        <v>598</v>
      </c>
      <c r="DW111" s="14" t="s">
        <v>598</v>
      </c>
      <c r="DX111" s="14" t="s">
        <v>598</v>
      </c>
      <c r="DY111" s="14" t="s">
        <v>598</v>
      </c>
      <c r="DZ111" s="14" t="s">
        <v>598</v>
      </c>
      <c r="EA111" s="14" t="s">
        <v>598</v>
      </c>
      <c r="EB111" s="14" t="s">
        <v>598</v>
      </c>
      <c r="EC111" s="14" t="s">
        <v>598</v>
      </c>
      <c r="ED111" s="14" t="s">
        <v>598</v>
      </c>
      <c r="EE111" s="14" t="s">
        <v>598</v>
      </c>
      <c r="EF111" s="14" t="s">
        <v>598</v>
      </c>
      <c r="EG111" s="14" t="s">
        <v>598</v>
      </c>
      <c r="EH111" s="14" t="s">
        <v>598</v>
      </c>
      <c r="EI111" s="14" t="s">
        <v>598</v>
      </c>
      <c r="EJ111" s="14" t="s">
        <v>598</v>
      </c>
      <c r="EK111" s="14" t="s">
        <v>598</v>
      </c>
      <c r="EL111" s="14" t="s">
        <v>598</v>
      </c>
      <c r="EM111" s="14" t="s">
        <v>598</v>
      </c>
      <c r="EN111" s="14" t="s">
        <v>598</v>
      </c>
      <c r="EO111" s="14" t="s">
        <v>598</v>
      </c>
      <c r="EP111" s="14" t="s">
        <v>598</v>
      </c>
      <c r="EQ111" s="14" t="s">
        <v>598</v>
      </c>
      <c r="ER111" s="14" t="s">
        <v>598</v>
      </c>
      <c r="ES111" s="14">
        <v>67.3</v>
      </c>
      <c r="ET111" s="14">
        <v>1.2</v>
      </c>
      <c r="EY111" s="14">
        <v>68.5</v>
      </c>
      <c r="EZ111" s="14">
        <v>33.200000000000003</v>
      </c>
      <c r="FF111" s="14">
        <v>33.200000000000003</v>
      </c>
      <c r="FM111" s="14">
        <v>0</v>
      </c>
      <c r="FT111" s="14">
        <v>0</v>
      </c>
      <c r="FU111" s="14">
        <v>124</v>
      </c>
      <c r="FV111" s="14">
        <v>3</v>
      </c>
      <c r="GA111" s="14">
        <v>127</v>
      </c>
      <c r="GH111" s="14">
        <v>0</v>
      </c>
      <c r="GO111" s="14">
        <v>0</v>
      </c>
      <c r="GP111" s="14" t="s">
        <v>1159</v>
      </c>
      <c r="GQ111" s="14">
        <v>662.9</v>
      </c>
      <c r="GR111" s="14">
        <v>59.3</v>
      </c>
      <c r="GW111" s="14">
        <v>722.2</v>
      </c>
      <c r="GX111" s="14">
        <v>887.4</v>
      </c>
      <c r="GY111" s="14">
        <v>63.5</v>
      </c>
      <c r="GZ111" s="14">
        <v>0</v>
      </c>
      <c r="HA111" s="14">
        <v>0</v>
      </c>
      <c r="HB111" s="14">
        <v>0</v>
      </c>
      <c r="HC111" s="14">
        <v>0</v>
      </c>
      <c r="HD111" s="14">
        <v>950.9</v>
      </c>
      <c r="HK111" s="14">
        <v>0</v>
      </c>
      <c r="HL111" s="14">
        <v>887.4</v>
      </c>
      <c r="HM111" s="14">
        <v>63.5</v>
      </c>
      <c r="HR111" s="14">
        <v>950.9</v>
      </c>
      <c r="HY111" s="14">
        <v>0</v>
      </c>
      <c r="IF111" s="14">
        <v>0</v>
      </c>
      <c r="IM111" s="14">
        <v>0</v>
      </c>
      <c r="IN111" s="14">
        <v>887.4</v>
      </c>
      <c r="IO111" s="14">
        <v>63.5</v>
      </c>
      <c r="IP111" s="14">
        <v>0</v>
      </c>
      <c r="IQ111" s="14">
        <v>0</v>
      </c>
      <c r="IR111" s="14">
        <v>0</v>
      </c>
      <c r="IS111" s="14">
        <v>0</v>
      </c>
      <c r="IT111" s="14">
        <v>950.9</v>
      </c>
      <c r="IW111" s="14">
        <v>100</v>
      </c>
      <c r="IZ111" s="14">
        <v>1</v>
      </c>
      <c r="JB111" s="14">
        <v>1</v>
      </c>
      <c r="JC111" s="14" t="s">
        <v>600</v>
      </c>
      <c r="NF111" s="14" t="s">
        <v>601</v>
      </c>
      <c r="NG111" s="14">
        <v>67.3</v>
      </c>
      <c r="NH111" s="14">
        <v>1.2</v>
      </c>
      <c r="NM111" s="14">
        <v>68.5</v>
      </c>
      <c r="NN111" s="14">
        <v>33.200000000000003</v>
      </c>
      <c r="NT111" s="14">
        <v>33.200000000000003</v>
      </c>
      <c r="OA111" s="14">
        <v>0</v>
      </c>
      <c r="OH111" s="14">
        <v>0</v>
      </c>
      <c r="OI111" s="14">
        <v>124</v>
      </c>
      <c r="OJ111" s="14">
        <v>3</v>
      </c>
      <c r="OO111" s="14">
        <v>127</v>
      </c>
      <c r="OV111" s="14">
        <v>0</v>
      </c>
      <c r="PC111" s="14">
        <v>0</v>
      </c>
      <c r="PD111" s="14" t="s">
        <v>1159</v>
      </c>
      <c r="PE111" s="14">
        <v>662.9</v>
      </c>
      <c r="PF111" s="14">
        <v>59.3</v>
      </c>
      <c r="PK111" s="14">
        <v>722.2</v>
      </c>
      <c r="PL111" s="14">
        <v>887.4</v>
      </c>
      <c r="PM111" s="14">
        <v>63.5</v>
      </c>
      <c r="PN111" s="14">
        <v>0</v>
      </c>
      <c r="PO111" s="14">
        <v>0</v>
      </c>
      <c r="PP111" s="14">
        <v>0</v>
      </c>
      <c r="PQ111" s="14">
        <v>0</v>
      </c>
      <c r="PR111" s="14">
        <v>950.9</v>
      </c>
      <c r="PS111" s="14">
        <v>887.4</v>
      </c>
      <c r="PT111" s="14">
        <v>63.5</v>
      </c>
      <c r="PY111" s="14">
        <v>950.9</v>
      </c>
      <c r="QF111" s="14">
        <v>0</v>
      </c>
      <c r="QM111" s="14">
        <v>0</v>
      </c>
      <c r="QT111" s="14">
        <v>0</v>
      </c>
      <c r="RA111" s="14">
        <v>0</v>
      </c>
      <c r="RB111" s="14">
        <v>887.4</v>
      </c>
      <c r="RC111" s="14">
        <v>63.5</v>
      </c>
      <c r="RD111" s="14">
        <v>0</v>
      </c>
      <c r="RE111" s="14">
        <v>0</v>
      </c>
      <c r="RF111" s="14">
        <v>0</v>
      </c>
      <c r="RG111" s="14">
        <v>0</v>
      </c>
      <c r="RH111" s="14">
        <v>950.9</v>
      </c>
      <c r="RI111" s="14" t="s">
        <v>602</v>
      </c>
      <c r="VL111" s="14" t="s">
        <v>603</v>
      </c>
      <c r="ZO111" s="14" t="s">
        <v>604</v>
      </c>
      <c r="ADR111" s="14" t="s">
        <v>605</v>
      </c>
    </row>
    <row r="112" spans="1:798" x14ac:dyDescent="0.25">
      <c r="A112" s="14">
        <v>113</v>
      </c>
      <c r="B112" s="14" t="s">
        <v>889</v>
      </c>
      <c r="C112" s="16">
        <f>VLOOKUP(A112,[4]RawData!Z:AA,2,FALSE)</f>
        <v>42761.595138888886</v>
      </c>
      <c r="D112" s="14" t="s">
        <v>1160</v>
      </c>
      <c r="E112" s="14" t="s">
        <v>1161</v>
      </c>
      <c r="F112" s="14" t="s">
        <v>673</v>
      </c>
      <c r="G112" s="14" t="s">
        <v>1162</v>
      </c>
      <c r="H112" s="14">
        <v>31548226100</v>
      </c>
      <c r="I112" s="14" t="s">
        <v>979</v>
      </c>
      <c r="J112" s="14" t="s">
        <v>732</v>
      </c>
      <c r="L112" s="14">
        <v>2</v>
      </c>
      <c r="M112" s="14">
        <v>6</v>
      </c>
      <c r="N112" s="14" t="s">
        <v>1163</v>
      </c>
      <c r="U112" s="14">
        <v>0</v>
      </c>
      <c r="AB112" s="14">
        <v>0</v>
      </c>
      <c r="AI112" s="14">
        <v>0</v>
      </c>
      <c r="AP112" s="14">
        <v>0</v>
      </c>
      <c r="AW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R112" s="14">
        <v>0</v>
      </c>
      <c r="BY112" s="14">
        <v>0</v>
      </c>
      <c r="CF112" s="14">
        <v>0</v>
      </c>
      <c r="CM112" s="14">
        <v>0</v>
      </c>
      <c r="CT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 t="s">
        <v>598</v>
      </c>
      <c r="DJ112" s="14" t="s">
        <v>598</v>
      </c>
      <c r="DK112" s="14" t="s">
        <v>598</v>
      </c>
      <c r="DL112" s="14" t="s">
        <v>598</v>
      </c>
      <c r="DM112" s="14" t="s">
        <v>598</v>
      </c>
      <c r="DN112" s="14" t="s">
        <v>598</v>
      </c>
      <c r="DO112" s="14" t="s">
        <v>598</v>
      </c>
      <c r="DP112" s="14" t="s">
        <v>598</v>
      </c>
      <c r="DQ112" s="14" t="s">
        <v>598</v>
      </c>
      <c r="DR112" s="14" t="s">
        <v>598</v>
      </c>
      <c r="DS112" s="14" t="s">
        <v>598</v>
      </c>
      <c r="DT112" s="14" t="s">
        <v>598</v>
      </c>
      <c r="DU112" s="14" t="s">
        <v>598</v>
      </c>
      <c r="DV112" s="14" t="s">
        <v>598</v>
      </c>
      <c r="DW112" s="14" t="s">
        <v>598</v>
      </c>
      <c r="DX112" s="14" t="s">
        <v>598</v>
      </c>
      <c r="DY112" s="14" t="s">
        <v>598</v>
      </c>
      <c r="DZ112" s="14" t="s">
        <v>598</v>
      </c>
      <c r="EA112" s="14" t="s">
        <v>598</v>
      </c>
      <c r="EB112" s="14" t="s">
        <v>598</v>
      </c>
      <c r="EC112" s="14" t="s">
        <v>598</v>
      </c>
      <c r="ED112" s="14" t="s">
        <v>598</v>
      </c>
      <c r="EE112" s="14" t="s">
        <v>598</v>
      </c>
      <c r="EF112" s="14" t="s">
        <v>598</v>
      </c>
      <c r="EG112" s="14" t="s">
        <v>598</v>
      </c>
      <c r="EH112" s="14" t="s">
        <v>598</v>
      </c>
      <c r="EI112" s="14" t="s">
        <v>598</v>
      </c>
      <c r="EJ112" s="14" t="s">
        <v>598</v>
      </c>
      <c r="EK112" s="14" t="s">
        <v>598</v>
      </c>
      <c r="EL112" s="14" t="s">
        <v>598</v>
      </c>
      <c r="EM112" s="14" t="s">
        <v>598</v>
      </c>
      <c r="EN112" s="14" t="s">
        <v>598</v>
      </c>
      <c r="EO112" s="14" t="s">
        <v>598</v>
      </c>
      <c r="EP112" s="14" t="s">
        <v>598</v>
      </c>
      <c r="EQ112" s="14" t="s">
        <v>598</v>
      </c>
      <c r="ER112" s="14" t="s">
        <v>598</v>
      </c>
      <c r="EY112" s="14">
        <v>0</v>
      </c>
      <c r="FF112" s="14">
        <v>0</v>
      </c>
      <c r="FM112" s="14">
        <v>0</v>
      </c>
      <c r="FT112" s="14">
        <v>0</v>
      </c>
      <c r="GA112" s="14">
        <v>0</v>
      </c>
      <c r="GH112" s="14">
        <v>0</v>
      </c>
      <c r="GO112" s="14">
        <v>0</v>
      </c>
      <c r="GW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K112" s="14">
        <v>0</v>
      </c>
      <c r="HR112" s="14">
        <v>0</v>
      </c>
      <c r="HY112" s="14">
        <v>0</v>
      </c>
      <c r="IF112" s="14">
        <v>0</v>
      </c>
      <c r="IM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0</v>
      </c>
      <c r="IS112" s="14">
        <v>0</v>
      </c>
      <c r="IT112" s="14">
        <v>0</v>
      </c>
      <c r="IZ112" s="14">
        <v>3</v>
      </c>
      <c r="JA112" s="14">
        <v>2</v>
      </c>
      <c r="JB112" s="14">
        <v>2</v>
      </c>
      <c r="JC112" s="14" t="s">
        <v>600</v>
      </c>
      <c r="NF112" s="14" t="s">
        <v>601</v>
      </c>
      <c r="RI112" s="14" t="s">
        <v>602</v>
      </c>
      <c r="VL112" s="14" t="s">
        <v>603</v>
      </c>
      <c r="ZO112" s="14" t="s">
        <v>604</v>
      </c>
      <c r="ADR112" s="14" t="s">
        <v>605</v>
      </c>
    </row>
    <row r="113" spans="1:798" x14ac:dyDescent="0.25">
      <c r="A113" s="14">
        <v>195</v>
      </c>
      <c r="B113" s="14" t="s">
        <v>889</v>
      </c>
      <c r="C113" s="16">
        <f>VLOOKUP(A113,[4]RawData!Z:AA,2,FALSE)</f>
        <v>42775.420138888891</v>
      </c>
      <c r="D113" s="14" t="s">
        <v>1164</v>
      </c>
      <c r="E113" s="14" t="s">
        <v>1165</v>
      </c>
      <c r="F113" s="14" t="s">
        <v>1166</v>
      </c>
      <c r="G113" s="14" t="s">
        <v>1167</v>
      </c>
      <c r="H113" s="14">
        <v>41793577720</v>
      </c>
      <c r="I113" s="14" t="s">
        <v>894</v>
      </c>
      <c r="J113" s="14" t="s">
        <v>732</v>
      </c>
      <c r="L113" s="14">
        <v>1</v>
      </c>
      <c r="Q113" s="14">
        <v>40</v>
      </c>
      <c r="S113" s="14">
        <v>20</v>
      </c>
      <c r="U113" s="14">
        <v>60</v>
      </c>
      <c r="X113" s="14">
        <v>40</v>
      </c>
      <c r="Z113" s="14">
        <v>20</v>
      </c>
      <c r="AB113" s="14">
        <v>60</v>
      </c>
      <c r="AE113" s="14">
        <v>20</v>
      </c>
      <c r="AG113" s="14">
        <v>10</v>
      </c>
      <c r="AI113" s="14">
        <v>30</v>
      </c>
      <c r="AP113" s="14">
        <v>0</v>
      </c>
      <c r="AW113" s="14">
        <v>0</v>
      </c>
      <c r="BD113" s="14">
        <v>0</v>
      </c>
      <c r="BE113" s="14">
        <v>0</v>
      </c>
      <c r="BF113" s="14">
        <v>0</v>
      </c>
      <c r="BG113" s="14">
        <v>100</v>
      </c>
      <c r="BH113" s="14">
        <v>0</v>
      </c>
      <c r="BI113" s="14">
        <v>50</v>
      </c>
      <c r="BJ113" s="14">
        <v>0</v>
      </c>
      <c r="BK113" s="14">
        <v>150</v>
      </c>
      <c r="BN113" s="14">
        <v>1</v>
      </c>
      <c r="BP113" s="14">
        <v>2</v>
      </c>
      <c r="BR113" s="14">
        <v>3</v>
      </c>
      <c r="BU113" s="14">
        <v>1</v>
      </c>
      <c r="BW113" s="14">
        <v>2</v>
      </c>
      <c r="BY113" s="14">
        <v>3</v>
      </c>
      <c r="CB113" s="14">
        <v>1</v>
      </c>
      <c r="CD113" s="14">
        <v>2</v>
      </c>
      <c r="CF113" s="14">
        <v>3</v>
      </c>
      <c r="CM113" s="14">
        <v>0</v>
      </c>
      <c r="CT113" s="14">
        <v>0</v>
      </c>
      <c r="DA113" s="14">
        <v>0</v>
      </c>
      <c r="DB113" s="14">
        <v>0</v>
      </c>
      <c r="DC113" s="14">
        <v>0</v>
      </c>
      <c r="DD113" s="14">
        <v>3</v>
      </c>
      <c r="DE113" s="14">
        <v>0</v>
      </c>
      <c r="DF113" s="14">
        <v>6</v>
      </c>
      <c r="DG113" s="14">
        <v>0</v>
      </c>
      <c r="DH113" s="14">
        <v>9</v>
      </c>
      <c r="DI113" s="14" t="s">
        <v>598</v>
      </c>
      <c r="DJ113" s="14" t="s">
        <v>598</v>
      </c>
      <c r="DK113" s="14" t="s">
        <v>597</v>
      </c>
      <c r="DL113" s="14" t="s">
        <v>598</v>
      </c>
      <c r="DM113" s="14" t="s">
        <v>597</v>
      </c>
      <c r="DN113" s="14" t="s">
        <v>598</v>
      </c>
      <c r="DO113" s="14" t="s">
        <v>598</v>
      </c>
      <c r="DP113" s="14" t="s">
        <v>598</v>
      </c>
      <c r="DQ113" s="14" t="s">
        <v>597</v>
      </c>
      <c r="DR113" s="14" t="s">
        <v>598</v>
      </c>
      <c r="DS113" s="14" t="s">
        <v>597</v>
      </c>
      <c r="DT113" s="14" t="s">
        <v>598</v>
      </c>
      <c r="DU113" s="14" t="s">
        <v>598</v>
      </c>
      <c r="DV113" s="14" t="s">
        <v>598</v>
      </c>
      <c r="DW113" s="14" t="s">
        <v>597</v>
      </c>
      <c r="DX113" s="14" t="s">
        <v>598</v>
      </c>
      <c r="DY113" s="14" t="s">
        <v>597</v>
      </c>
      <c r="DZ113" s="14" t="s">
        <v>598</v>
      </c>
      <c r="EA113" s="14" t="s">
        <v>598</v>
      </c>
      <c r="EB113" s="14" t="s">
        <v>598</v>
      </c>
      <c r="EC113" s="14" t="s">
        <v>598</v>
      </c>
      <c r="ED113" s="14" t="s">
        <v>598</v>
      </c>
      <c r="EE113" s="14" t="s">
        <v>598</v>
      </c>
      <c r="EF113" s="14" t="s">
        <v>598</v>
      </c>
      <c r="EG113" s="14" t="s">
        <v>598</v>
      </c>
      <c r="EH113" s="14" t="s">
        <v>598</v>
      </c>
      <c r="EI113" s="14" t="s">
        <v>598</v>
      </c>
      <c r="EJ113" s="14" t="s">
        <v>598</v>
      </c>
      <c r="EK113" s="14" t="s">
        <v>598</v>
      </c>
      <c r="EL113" s="14" t="s">
        <v>598</v>
      </c>
      <c r="EM113" s="14" t="s">
        <v>598</v>
      </c>
      <c r="EN113" s="14" t="s">
        <v>598</v>
      </c>
      <c r="EO113" s="14" t="s">
        <v>598</v>
      </c>
      <c r="EP113" s="14" t="s">
        <v>598</v>
      </c>
      <c r="EQ113" s="14" t="s">
        <v>598</v>
      </c>
      <c r="ER113" s="14" t="s">
        <v>598</v>
      </c>
      <c r="EY113" s="14">
        <v>0</v>
      </c>
      <c r="FB113" s="14">
        <v>100</v>
      </c>
      <c r="FF113" s="14">
        <v>100</v>
      </c>
      <c r="FM113" s="14">
        <v>0</v>
      </c>
      <c r="FT113" s="14">
        <v>0</v>
      </c>
      <c r="GA113" s="14">
        <v>0</v>
      </c>
      <c r="GH113" s="14">
        <v>0</v>
      </c>
      <c r="GO113" s="14">
        <v>0</v>
      </c>
      <c r="GP113" s="14" t="s">
        <v>1168</v>
      </c>
      <c r="GU113" s="14">
        <v>50</v>
      </c>
      <c r="GW113" s="14">
        <v>50</v>
      </c>
      <c r="GX113" s="14">
        <v>0</v>
      </c>
      <c r="GY113" s="14">
        <v>0</v>
      </c>
      <c r="GZ113" s="14">
        <v>100</v>
      </c>
      <c r="HA113" s="14">
        <v>0</v>
      </c>
      <c r="HB113" s="14">
        <v>50</v>
      </c>
      <c r="HC113" s="14">
        <v>0</v>
      </c>
      <c r="HD113" s="14">
        <v>150</v>
      </c>
      <c r="HK113" s="14">
        <v>0</v>
      </c>
      <c r="HN113" s="14">
        <v>100</v>
      </c>
      <c r="HP113" s="14">
        <v>50</v>
      </c>
      <c r="HR113" s="14">
        <v>150</v>
      </c>
      <c r="HY113" s="14">
        <v>0</v>
      </c>
      <c r="IF113" s="14">
        <v>0</v>
      </c>
      <c r="IM113" s="14">
        <v>0</v>
      </c>
      <c r="IN113" s="14">
        <v>0</v>
      </c>
      <c r="IO113" s="14">
        <v>0</v>
      </c>
      <c r="IP113" s="14">
        <v>100</v>
      </c>
      <c r="IQ113" s="14">
        <v>0</v>
      </c>
      <c r="IR113" s="14">
        <v>50</v>
      </c>
      <c r="IS113" s="14">
        <v>0</v>
      </c>
      <c r="IT113" s="14">
        <v>150</v>
      </c>
      <c r="IU113" s="14">
        <v>25</v>
      </c>
      <c r="IW113" s="14">
        <v>75</v>
      </c>
      <c r="IZ113" s="14">
        <v>1</v>
      </c>
      <c r="JA113" s="14">
        <v>3</v>
      </c>
      <c r="JB113" s="14">
        <v>2</v>
      </c>
      <c r="JC113" s="14" t="s">
        <v>600</v>
      </c>
      <c r="NF113" s="14" t="s">
        <v>601</v>
      </c>
      <c r="RI113" s="14" t="s">
        <v>602</v>
      </c>
      <c r="VL113" s="14" t="s">
        <v>603</v>
      </c>
      <c r="ZO113" s="14" t="s">
        <v>604</v>
      </c>
      <c r="ADR113" s="14" t="s">
        <v>605</v>
      </c>
    </row>
    <row r="114" spans="1:798" x14ac:dyDescent="0.25">
      <c r="A114" s="14">
        <v>175</v>
      </c>
      <c r="B114" s="14" t="s">
        <v>889</v>
      </c>
      <c r="C114" s="16">
        <f>VLOOKUP(A114,[4]RawData!Z:AA,2,FALSE)</f>
        <v>42776.027083333334</v>
      </c>
      <c r="D114" s="14" t="s">
        <v>1169</v>
      </c>
      <c r="E114" s="14" t="s">
        <v>1170</v>
      </c>
      <c r="F114" s="14" t="s">
        <v>1171</v>
      </c>
      <c r="G114" s="14" t="s">
        <v>1172</v>
      </c>
      <c r="H114" s="14" t="s">
        <v>1173</v>
      </c>
      <c r="I114" s="14" t="s">
        <v>611</v>
      </c>
      <c r="J114" s="14" t="s">
        <v>596</v>
      </c>
      <c r="L114" s="14">
        <v>1</v>
      </c>
      <c r="R114" s="14">
        <v>45</v>
      </c>
      <c r="U114" s="14">
        <v>45</v>
      </c>
      <c r="V114" s="14">
        <v>120</v>
      </c>
      <c r="W114" s="14">
        <v>424</v>
      </c>
      <c r="Y114" s="14">
        <v>858</v>
      </c>
      <c r="AB114" s="14">
        <v>1402</v>
      </c>
      <c r="AD114" s="14">
        <v>300</v>
      </c>
      <c r="AF114" s="14">
        <v>925</v>
      </c>
      <c r="AI114" s="14">
        <v>1225</v>
      </c>
      <c r="AP114" s="14">
        <v>0</v>
      </c>
      <c r="AR114" s="14">
        <v>6</v>
      </c>
      <c r="AW114" s="14">
        <v>6</v>
      </c>
      <c r="BD114" s="14">
        <v>0</v>
      </c>
      <c r="BE114" s="14">
        <v>120</v>
      </c>
      <c r="BF114" s="14">
        <v>730</v>
      </c>
      <c r="BG114" s="14">
        <v>0</v>
      </c>
      <c r="BH114" s="14">
        <v>1828</v>
      </c>
      <c r="BI114" s="14">
        <v>0</v>
      </c>
      <c r="BJ114" s="14">
        <v>0</v>
      </c>
      <c r="BK114" s="14">
        <v>2678</v>
      </c>
      <c r="BO114" s="14">
        <v>1</v>
      </c>
      <c r="BR114" s="14">
        <v>1</v>
      </c>
      <c r="BS114" s="14">
        <v>1</v>
      </c>
      <c r="BT114" s="14">
        <v>1</v>
      </c>
      <c r="BV114" s="14">
        <v>6</v>
      </c>
      <c r="BY114" s="14">
        <v>8</v>
      </c>
      <c r="CA114" s="14">
        <v>2</v>
      </c>
      <c r="CC114" s="14">
        <v>17</v>
      </c>
      <c r="CF114" s="14">
        <v>19</v>
      </c>
      <c r="CM114" s="14">
        <v>0</v>
      </c>
      <c r="CO114" s="14">
        <v>1</v>
      </c>
      <c r="CT114" s="14">
        <v>1</v>
      </c>
      <c r="DA114" s="14">
        <v>0</v>
      </c>
      <c r="DB114" s="14">
        <v>1</v>
      </c>
      <c r="DC114" s="14">
        <v>4</v>
      </c>
      <c r="DD114" s="14">
        <v>0</v>
      </c>
      <c r="DE114" s="14">
        <v>24</v>
      </c>
      <c r="DF114" s="14">
        <v>0</v>
      </c>
      <c r="DG114" s="14">
        <v>0</v>
      </c>
      <c r="DH114" s="14">
        <v>29</v>
      </c>
      <c r="DI114" s="14" t="s">
        <v>598</v>
      </c>
      <c r="DJ114" s="14" t="s">
        <v>598</v>
      </c>
      <c r="DK114" s="14" t="s">
        <v>598</v>
      </c>
      <c r="DL114" s="14" t="s">
        <v>597</v>
      </c>
      <c r="DM114" s="14" t="s">
        <v>598</v>
      </c>
      <c r="DN114" s="14" t="s">
        <v>598</v>
      </c>
      <c r="DO114" s="14" t="s">
        <v>597</v>
      </c>
      <c r="DP114" s="14" t="s">
        <v>597</v>
      </c>
      <c r="DQ114" s="14" t="s">
        <v>598</v>
      </c>
      <c r="DR114" s="14" t="s">
        <v>597</v>
      </c>
      <c r="DS114" s="14" t="s">
        <v>598</v>
      </c>
      <c r="DT114" s="14" t="s">
        <v>598</v>
      </c>
      <c r="DU114" s="14" t="s">
        <v>598</v>
      </c>
      <c r="DV114" s="14" t="s">
        <v>597</v>
      </c>
      <c r="DW114" s="14" t="s">
        <v>598</v>
      </c>
      <c r="DX114" s="14" t="s">
        <v>597</v>
      </c>
      <c r="DY114" s="14" t="s">
        <v>598</v>
      </c>
      <c r="DZ114" s="14" t="s">
        <v>598</v>
      </c>
      <c r="EA114" s="14" t="s">
        <v>598</v>
      </c>
      <c r="EB114" s="14" t="s">
        <v>598</v>
      </c>
      <c r="EC114" s="14" t="s">
        <v>598</v>
      </c>
      <c r="ED114" s="14" t="s">
        <v>598</v>
      </c>
      <c r="EE114" s="14" t="s">
        <v>598</v>
      </c>
      <c r="EF114" s="14" t="s">
        <v>598</v>
      </c>
      <c r="EG114" s="14" t="s">
        <v>598</v>
      </c>
      <c r="EH114" s="14" t="s">
        <v>597</v>
      </c>
      <c r="EI114" s="14" t="s">
        <v>598</v>
      </c>
      <c r="EJ114" s="14" t="s">
        <v>598</v>
      </c>
      <c r="EK114" s="14" t="s">
        <v>598</v>
      </c>
      <c r="EL114" s="14" t="s">
        <v>598</v>
      </c>
      <c r="EM114" s="14" t="s">
        <v>598</v>
      </c>
      <c r="EN114" s="14" t="s">
        <v>598</v>
      </c>
      <c r="EO114" s="14" t="s">
        <v>598</v>
      </c>
      <c r="EP114" s="14" t="s">
        <v>598</v>
      </c>
      <c r="EQ114" s="14" t="s">
        <v>598</v>
      </c>
      <c r="ER114" s="14" t="s">
        <v>598</v>
      </c>
      <c r="ES114" s="14">
        <v>24</v>
      </c>
      <c r="ET114" s="14">
        <v>306</v>
      </c>
      <c r="EV114" s="14">
        <v>909</v>
      </c>
      <c r="EY114" s="14">
        <v>1239</v>
      </c>
      <c r="FA114" s="14">
        <v>424</v>
      </c>
      <c r="FC114" s="14">
        <v>63</v>
      </c>
      <c r="FF114" s="14">
        <v>487</v>
      </c>
      <c r="FG114" s="14">
        <v>38</v>
      </c>
      <c r="FJ114" s="14">
        <v>263</v>
      </c>
      <c r="FM114" s="14">
        <v>301</v>
      </c>
      <c r="FT114" s="14">
        <v>0</v>
      </c>
      <c r="GA114" s="14">
        <v>0</v>
      </c>
      <c r="GB114" s="14">
        <v>45</v>
      </c>
      <c r="GE114" s="14">
        <v>156</v>
      </c>
      <c r="GH114" s="14">
        <v>201</v>
      </c>
      <c r="GL114" s="14">
        <v>63</v>
      </c>
      <c r="GO114" s="14">
        <v>63</v>
      </c>
      <c r="GQ114" s="14">
        <v>13</v>
      </c>
      <c r="GT114" s="14">
        <v>374</v>
      </c>
      <c r="GW114" s="14">
        <v>387</v>
      </c>
      <c r="GX114" s="14">
        <v>120</v>
      </c>
      <c r="GY114" s="14">
        <v>730</v>
      </c>
      <c r="GZ114" s="14">
        <v>0</v>
      </c>
      <c r="HA114" s="14">
        <v>1828</v>
      </c>
      <c r="HB114" s="14">
        <v>0</v>
      </c>
      <c r="HC114" s="14">
        <v>0</v>
      </c>
      <c r="HD114" s="14">
        <v>2678</v>
      </c>
      <c r="HH114" s="14">
        <v>183</v>
      </c>
      <c r="HK114" s="14">
        <v>183</v>
      </c>
      <c r="HL114" s="14">
        <v>120</v>
      </c>
      <c r="HM114" s="14">
        <v>424</v>
      </c>
      <c r="HO114" s="14">
        <v>826</v>
      </c>
      <c r="HR114" s="14">
        <v>1370</v>
      </c>
      <c r="HT114" s="14">
        <v>306</v>
      </c>
      <c r="HV114" s="14">
        <v>696</v>
      </c>
      <c r="HY114" s="14">
        <v>1002</v>
      </c>
      <c r="IC114" s="14">
        <v>11</v>
      </c>
      <c r="IF114" s="14">
        <v>11</v>
      </c>
      <c r="IJ114" s="14">
        <v>112</v>
      </c>
      <c r="IM114" s="14">
        <v>112</v>
      </c>
      <c r="IN114" s="14">
        <v>120</v>
      </c>
      <c r="IO114" s="14">
        <v>730</v>
      </c>
      <c r="IP114" s="14">
        <v>0</v>
      </c>
      <c r="IQ114" s="14">
        <v>1828</v>
      </c>
      <c r="IR114" s="14">
        <v>0</v>
      </c>
      <c r="IS114" s="14">
        <v>0</v>
      </c>
      <c r="IT114" s="14">
        <v>2678</v>
      </c>
      <c r="IW114" s="14">
        <v>100</v>
      </c>
      <c r="IZ114" s="14">
        <v>1</v>
      </c>
      <c r="JA114" s="14">
        <v>2</v>
      </c>
      <c r="JB114" s="14">
        <v>1</v>
      </c>
      <c r="JC114" s="14" t="s">
        <v>600</v>
      </c>
      <c r="JJ114" s="14">
        <v>0</v>
      </c>
      <c r="JQ114" s="14">
        <v>0</v>
      </c>
      <c r="JX114" s="14">
        <v>0</v>
      </c>
      <c r="KE114" s="14">
        <v>0</v>
      </c>
      <c r="KL114" s="14">
        <v>0</v>
      </c>
      <c r="KS114" s="14">
        <v>0</v>
      </c>
      <c r="KZ114" s="14">
        <v>0</v>
      </c>
      <c r="LA114" s="14" t="s">
        <v>1174</v>
      </c>
      <c r="LE114" s="14">
        <v>45</v>
      </c>
      <c r="LH114" s="14">
        <v>45</v>
      </c>
      <c r="LI114" s="14">
        <v>0</v>
      </c>
      <c r="LJ114" s="14">
        <v>0</v>
      </c>
      <c r="LK114" s="14">
        <v>0</v>
      </c>
      <c r="LL114" s="14">
        <v>45</v>
      </c>
      <c r="LM114" s="14">
        <v>0</v>
      </c>
      <c r="LN114" s="14">
        <v>0</v>
      </c>
      <c r="LO114" s="14">
        <v>45</v>
      </c>
      <c r="LV114" s="14">
        <v>0</v>
      </c>
      <c r="MC114" s="14">
        <v>0</v>
      </c>
      <c r="MG114" s="14">
        <v>45</v>
      </c>
      <c r="MJ114" s="14">
        <v>45</v>
      </c>
      <c r="MQ114" s="14">
        <v>0</v>
      </c>
      <c r="MX114" s="14">
        <v>0</v>
      </c>
      <c r="MY114" s="14">
        <v>0</v>
      </c>
      <c r="MZ114" s="14">
        <v>0</v>
      </c>
      <c r="NA114" s="14">
        <v>0</v>
      </c>
      <c r="NB114" s="14">
        <v>45</v>
      </c>
      <c r="NC114" s="14">
        <v>0</v>
      </c>
      <c r="ND114" s="14">
        <v>0</v>
      </c>
      <c r="NE114" s="14">
        <v>45</v>
      </c>
      <c r="NF114" s="14" t="s">
        <v>601</v>
      </c>
      <c r="NG114" s="14">
        <v>24</v>
      </c>
      <c r="NJ114" s="14">
        <v>826</v>
      </c>
      <c r="NM114" s="14">
        <v>850</v>
      </c>
      <c r="NO114" s="14">
        <v>424</v>
      </c>
      <c r="NT114" s="14">
        <v>424</v>
      </c>
      <c r="NU114" s="14">
        <v>38</v>
      </c>
      <c r="OA114" s="14">
        <v>38</v>
      </c>
      <c r="OH114" s="14">
        <v>0</v>
      </c>
      <c r="OO114" s="14">
        <v>0</v>
      </c>
      <c r="OP114" s="14">
        <v>45</v>
      </c>
      <c r="OV114" s="14">
        <v>45</v>
      </c>
      <c r="OZ114" s="14">
        <v>32</v>
      </c>
      <c r="PC114" s="14">
        <v>32</v>
      </c>
      <c r="PD114" s="14" t="s">
        <v>928</v>
      </c>
      <c r="PE114" s="14">
        <v>13</v>
      </c>
      <c r="PK114" s="14">
        <v>13</v>
      </c>
      <c r="PL114" s="14">
        <v>120</v>
      </c>
      <c r="PM114" s="14">
        <v>424</v>
      </c>
      <c r="PN114" s="14">
        <v>0</v>
      </c>
      <c r="PO114" s="14">
        <v>858</v>
      </c>
      <c r="PP114" s="14">
        <v>0</v>
      </c>
      <c r="PQ114" s="14">
        <v>0</v>
      </c>
      <c r="PR114" s="14">
        <v>1402</v>
      </c>
      <c r="PS114" s="14">
        <v>120</v>
      </c>
      <c r="PT114" s="14">
        <v>424</v>
      </c>
      <c r="PV114" s="14">
        <v>826</v>
      </c>
      <c r="PY114" s="14">
        <v>1370</v>
      </c>
      <c r="QC114" s="14">
        <v>32</v>
      </c>
      <c r="QF114" s="14">
        <v>32</v>
      </c>
      <c r="QM114" s="14">
        <v>0</v>
      </c>
      <c r="QT114" s="14">
        <v>0</v>
      </c>
      <c r="RA114" s="14">
        <v>0</v>
      </c>
      <c r="RB114" s="14">
        <v>120</v>
      </c>
      <c r="RC114" s="14">
        <v>424</v>
      </c>
      <c r="RD114" s="14">
        <v>0</v>
      </c>
      <c r="RE114" s="14">
        <v>858</v>
      </c>
      <c r="RF114" s="14">
        <v>0</v>
      </c>
      <c r="RG114" s="14">
        <v>0</v>
      </c>
      <c r="RH114" s="14">
        <v>1402</v>
      </c>
      <c r="RI114" s="14" t="s">
        <v>602</v>
      </c>
      <c r="RK114" s="14">
        <v>300</v>
      </c>
      <c r="RM114" s="14">
        <v>84</v>
      </c>
      <c r="RP114" s="14">
        <v>384</v>
      </c>
      <c r="RT114" s="14">
        <v>63</v>
      </c>
      <c r="RW114" s="14">
        <v>63</v>
      </c>
      <c r="SA114" s="14">
        <v>263</v>
      </c>
      <c r="SD114" s="14">
        <v>263</v>
      </c>
      <c r="SK114" s="14">
        <v>0</v>
      </c>
      <c r="SR114" s="14">
        <v>0</v>
      </c>
      <c r="SV114" s="14">
        <v>156</v>
      </c>
      <c r="SY114" s="14">
        <v>156</v>
      </c>
      <c r="TC114" s="14">
        <v>30</v>
      </c>
      <c r="TF114" s="14">
        <v>30</v>
      </c>
      <c r="TG114" s="14" t="s">
        <v>1175</v>
      </c>
      <c r="TK114" s="14">
        <v>329</v>
      </c>
      <c r="TN114" s="14">
        <v>329</v>
      </c>
      <c r="TO114" s="14">
        <v>0</v>
      </c>
      <c r="TP114" s="14">
        <v>300</v>
      </c>
      <c r="TQ114" s="14">
        <v>0</v>
      </c>
      <c r="TR114" s="14">
        <v>925</v>
      </c>
      <c r="TS114" s="14">
        <v>0</v>
      </c>
      <c r="TT114" s="14">
        <v>0</v>
      </c>
      <c r="TU114" s="14">
        <v>1225</v>
      </c>
      <c r="UB114" s="14">
        <v>0</v>
      </c>
      <c r="UF114" s="14">
        <v>151</v>
      </c>
      <c r="UI114" s="14">
        <v>151</v>
      </c>
      <c r="UK114" s="14">
        <v>300</v>
      </c>
      <c r="UM114" s="14">
        <v>651</v>
      </c>
      <c r="UP114" s="14">
        <v>951</v>
      </c>
      <c r="UT114" s="14">
        <v>11</v>
      </c>
      <c r="UW114" s="14">
        <v>11</v>
      </c>
      <c r="VA114" s="14">
        <v>112</v>
      </c>
      <c r="VD114" s="14">
        <v>112</v>
      </c>
      <c r="VE114" s="14">
        <v>0</v>
      </c>
      <c r="VF114" s="14">
        <v>300</v>
      </c>
      <c r="VG114" s="14">
        <v>0</v>
      </c>
      <c r="VH114" s="14">
        <v>925</v>
      </c>
      <c r="VI114" s="14">
        <v>0</v>
      </c>
      <c r="VJ114" s="14">
        <v>0</v>
      </c>
      <c r="VK114" s="14">
        <v>1225</v>
      </c>
      <c r="VL114" s="14" t="s">
        <v>603</v>
      </c>
      <c r="ZO114" s="14" t="s">
        <v>604</v>
      </c>
      <c r="ZQ114" s="14">
        <v>6</v>
      </c>
      <c r="ZV114" s="14">
        <v>6</v>
      </c>
      <c r="AAC114" s="14">
        <v>0</v>
      </c>
      <c r="AAJ114" s="14">
        <v>0</v>
      </c>
      <c r="AAQ114" s="14">
        <v>0</v>
      </c>
      <c r="AAX114" s="14">
        <v>0</v>
      </c>
      <c r="ABE114" s="14">
        <v>0</v>
      </c>
      <c r="ABL114" s="14">
        <v>0</v>
      </c>
      <c r="ABT114" s="14">
        <v>0</v>
      </c>
      <c r="ABU114" s="14">
        <v>0</v>
      </c>
      <c r="ABV114" s="14">
        <v>6</v>
      </c>
      <c r="ABW114" s="14">
        <v>0</v>
      </c>
      <c r="ABX114" s="14">
        <v>0</v>
      </c>
      <c r="ABY114" s="14">
        <v>0</v>
      </c>
      <c r="ABZ114" s="14">
        <v>0</v>
      </c>
      <c r="ACA114" s="14">
        <v>6</v>
      </c>
      <c r="ACH114" s="14">
        <v>0</v>
      </c>
      <c r="ACO114" s="14">
        <v>0</v>
      </c>
      <c r="ACQ114" s="14">
        <v>6</v>
      </c>
      <c r="ACV114" s="14">
        <v>6</v>
      </c>
      <c r="ADC114" s="14">
        <v>0</v>
      </c>
      <c r="ADJ114" s="14">
        <v>0</v>
      </c>
      <c r="ADK114" s="14">
        <v>0</v>
      </c>
      <c r="ADL114" s="14">
        <v>6</v>
      </c>
      <c r="ADM114" s="14">
        <v>0</v>
      </c>
      <c r="ADN114" s="14">
        <v>0</v>
      </c>
      <c r="ADO114" s="14">
        <v>0</v>
      </c>
      <c r="ADP114" s="14">
        <v>0</v>
      </c>
      <c r="ADQ114" s="14">
        <v>6</v>
      </c>
      <c r="ADR114" s="14" t="s">
        <v>605</v>
      </c>
    </row>
    <row r="115" spans="1:798" x14ac:dyDescent="0.25">
      <c r="A115" s="14">
        <v>198</v>
      </c>
      <c r="B115" s="14" t="s">
        <v>889</v>
      </c>
      <c r="C115" s="16">
        <f>VLOOKUP(A115,[4]RawData!Z:AA,2,FALSE)</f>
        <v>42776.505555555559</v>
      </c>
      <c r="D115" s="14" t="s">
        <v>1176</v>
      </c>
      <c r="E115" s="14" t="s">
        <v>1177</v>
      </c>
      <c r="F115" s="14" t="s">
        <v>1178</v>
      </c>
      <c r="G115" s="14" t="s">
        <v>1179</v>
      </c>
      <c r="H115" s="14">
        <v>37061272020</v>
      </c>
      <c r="I115" s="14" t="s">
        <v>900</v>
      </c>
      <c r="J115" s="14" t="s">
        <v>732</v>
      </c>
      <c r="L115" s="14">
        <v>1</v>
      </c>
      <c r="U115" s="14">
        <v>0</v>
      </c>
      <c r="V115" s="14">
        <v>163</v>
      </c>
      <c r="AB115" s="14">
        <v>163</v>
      </c>
      <c r="AI115" s="14">
        <v>0</v>
      </c>
      <c r="AP115" s="14">
        <v>0</v>
      </c>
      <c r="AW115" s="14">
        <v>0</v>
      </c>
      <c r="BD115" s="14">
        <v>0</v>
      </c>
      <c r="BE115" s="14">
        <v>163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163</v>
      </c>
      <c r="BR115" s="14">
        <v>0</v>
      </c>
      <c r="BS115" s="14">
        <v>1</v>
      </c>
      <c r="BY115" s="14">
        <v>1</v>
      </c>
      <c r="CF115" s="14">
        <v>0</v>
      </c>
      <c r="CM115" s="14">
        <v>0</v>
      </c>
      <c r="CT115" s="14">
        <v>0</v>
      </c>
      <c r="DA115" s="14">
        <v>0</v>
      </c>
      <c r="DB115" s="14">
        <v>1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1</v>
      </c>
      <c r="DI115" s="14" t="s">
        <v>598</v>
      </c>
      <c r="DJ115" s="14" t="s">
        <v>598</v>
      </c>
      <c r="DK115" s="14" t="s">
        <v>598</v>
      </c>
      <c r="DL115" s="14" t="s">
        <v>598</v>
      </c>
      <c r="DM115" s="14" t="s">
        <v>598</v>
      </c>
      <c r="DN115" s="14" t="s">
        <v>598</v>
      </c>
      <c r="DO115" s="14" t="s">
        <v>597</v>
      </c>
      <c r="DP115" s="14" t="s">
        <v>598</v>
      </c>
      <c r="DQ115" s="14" t="s">
        <v>598</v>
      </c>
      <c r="DR115" s="14" t="s">
        <v>598</v>
      </c>
      <c r="DS115" s="14" t="s">
        <v>598</v>
      </c>
      <c r="DT115" s="14" t="s">
        <v>598</v>
      </c>
      <c r="DU115" s="14" t="s">
        <v>598</v>
      </c>
      <c r="DV115" s="14" t="s">
        <v>598</v>
      </c>
      <c r="DW115" s="14" t="s">
        <v>598</v>
      </c>
      <c r="DX115" s="14" t="s">
        <v>598</v>
      </c>
      <c r="DY115" s="14" t="s">
        <v>598</v>
      </c>
      <c r="DZ115" s="14" t="s">
        <v>598</v>
      </c>
      <c r="EA115" s="14" t="s">
        <v>598</v>
      </c>
      <c r="EB115" s="14" t="s">
        <v>598</v>
      </c>
      <c r="EC115" s="14" t="s">
        <v>598</v>
      </c>
      <c r="ED115" s="14" t="s">
        <v>598</v>
      </c>
      <c r="EE115" s="14" t="s">
        <v>598</v>
      </c>
      <c r="EF115" s="14" t="s">
        <v>598</v>
      </c>
      <c r="EG115" s="14" t="s">
        <v>598</v>
      </c>
      <c r="EH115" s="14" t="s">
        <v>598</v>
      </c>
      <c r="EI115" s="14" t="s">
        <v>598</v>
      </c>
      <c r="EJ115" s="14" t="s">
        <v>598</v>
      </c>
      <c r="EK115" s="14" t="s">
        <v>598</v>
      </c>
      <c r="EL115" s="14" t="s">
        <v>598</v>
      </c>
      <c r="EM115" s="14" t="s">
        <v>598</v>
      </c>
      <c r="EN115" s="14" t="s">
        <v>598</v>
      </c>
      <c r="EO115" s="14" t="s">
        <v>598</v>
      </c>
      <c r="EP115" s="14" t="s">
        <v>598</v>
      </c>
      <c r="EQ115" s="14" t="s">
        <v>598</v>
      </c>
      <c r="ER115" s="14" t="s">
        <v>598</v>
      </c>
      <c r="ES115" s="14">
        <v>131</v>
      </c>
      <c r="EY115" s="14">
        <v>131</v>
      </c>
      <c r="FF115" s="14">
        <v>0</v>
      </c>
      <c r="FM115" s="14">
        <v>0</v>
      </c>
      <c r="FT115" s="14">
        <v>0</v>
      </c>
      <c r="FU115" s="14">
        <v>12</v>
      </c>
      <c r="GA115" s="14">
        <v>12</v>
      </c>
      <c r="GB115" s="14">
        <v>19</v>
      </c>
      <c r="GH115" s="14">
        <v>19</v>
      </c>
      <c r="GO115" s="14">
        <v>0</v>
      </c>
      <c r="GQ115" s="14">
        <v>1</v>
      </c>
      <c r="GW115" s="14">
        <v>1</v>
      </c>
      <c r="GX115" s="14">
        <v>163</v>
      </c>
      <c r="GY115" s="14">
        <v>0</v>
      </c>
      <c r="GZ115" s="14">
        <v>0</v>
      </c>
      <c r="HA115" s="14">
        <v>0</v>
      </c>
      <c r="HB115" s="14">
        <v>0</v>
      </c>
      <c r="HC115" s="14">
        <v>0</v>
      </c>
      <c r="HD115" s="14">
        <v>163</v>
      </c>
      <c r="HK115" s="14">
        <v>0</v>
      </c>
      <c r="HL115" s="14">
        <v>163</v>
      </c>
      <c r="HR115" s="14">
        <v>163</v>
      </c>
      <c r="HY115" s="14">
        <v>0</v>
      </c>
      <c r="IF115" s="14">
        <v>0</v>
      </c>
      <c r="IM115" s="14">
        <v>0</v>
      </c>
      <c r="IN115" s="14">
        <v>163</v>
      </c>
      <c r="IO115" s="14">
        <v>0</v>
      </c>
      <c r="IP115" s="14">
        <v>0</v>
      </c>
      <c r="IQ115" s="14">
        <v>0</v>
      </c>
      <c r="IR115" s="14">
        <v>0</v>
      </c>
      <c r="IS115" s="14">
        <v>0</v>
      </c>
      <c r="IT115" s="14">
        <v>163</v>
      </c>
      <c r="IU115" s="14">
        <v>100</v>
      </c>
      <c r="IZ115" s="14">
        <v>2</v>
      </c>
      <c r="JA115" s="14">
        <v>3</v>
      </c>
      <c r="JB115" s="14">
        <v>1</v>
      </c>
      <c r="JC115" s="14" t="s">
        <v>600</v>
      </c>
      <c r="NF115" s="14" t="s">
        <v>601</v>
      </c>
      <c r="NG115" s="14">
        <v>131</v>
      </c>
      <c r="NM115" s="14">
        <v>131</v>
      </c>
      <c r="NT115" s="14">
        <v>0</v>
      </c>
      <c r="OA115" s="14">
        <v>0</v>
      </c>
      <c r="OH115" s="14">
        <v>0</v>
      </c>
      <c r="OI115" s="14">
        <v>12</v>
      </c>
      <c r="OO115" s="14">
        <v>12</v>
      </c>
      <c r="OP115" s="14">
        <v>19</v>
      </c>
      <c r="OV115" s="14">
        <v>19</v>
      </c>
      <c r="PC115" s="14">
        <v>0</v>
      </c>
      <c r="PE115" s="14">
        <v>1</v>
      </c>
      <c r="PK115" s="14">
        <v>1</v>
      </c>
      <c r="PL115" s="14">
        <v>163</v>
      </c>
      <c r="PM115" s="14">
        <v>0</v>
      </c>
      <c r="PN115" s="14">
        <v>0</v>
      </c>
      <c r="PO115" s="14">
        <v>0</v>
      </c>
      <c r="PP115" s="14">
        <v>0</v>
      </c>
      <c r="PQ115" s="14">
        <v>0</v>
      </c>
      <c r="PR115" s="14">
        <v>163</v>
      </c>
      <c r="PS115" s="14">
        <v>163</v>
      </c>
      <c r="PY115" s="14">
        <v>163</v>
      </c>
      <c r="QF115" s="14">
        <v>0</v>
      </c>
      <c r="QM115" s="14">
        <v>0</v>
      </c>
      <c r="QT115" s="14">
        <v>0</v>
      </c>
      <c r="RA115" s="14">
        <v>0</v>
      </c>
      <c r="RB115" s="14">
        <v>163</v>
      </c>
      <c r="RC115" s="14">
        <v>0</v>
      </c>
      <c r="RD115" s="14">
        <v>0</v>
      </c>
      <c r="RE115" s="14">
        <v>0</v>
      </c>
      <c r="RF115" s="14">
        <v>0</v>
      </c>
      <c r="RG115" s="14">
        <v>0</v>
      </c>
      <c r="RH115" s="14">
        <v>163</v>
      </c>
      <c r="RI115" s="14" t="s">
        <v>602</v>
      </c>
      <c r="VL115" s="14" t="s">
        <v>603</v>
      </c>
      <c r="ZO115" s="14" t="s">
        <v>604</v>
      </c>
      <c r="ADR115" s="14" t="s">
        <v>605</v>
      </c>
    </row>
    <row r="116" spans="1:798" x14ac:dyDescent="0.25">
      <c r="A116" s="14">
        <v>119</v>
      </c>
      <c r="B116" s="14" t="s">
        <v>889</v>
      </c>
      <c r="C116" s="16">
        <f>VLOOKUP(A116,[4]RawData!Z:AA,2,FALSE)</f>
        <v>42766.592361111114</v>
      </c>
      <c r="D116" s="14" t="s">
        <v>1180</v>
      </c>
      <c r="E116" s="14" t="s">
        <v>1181</v>
      </c>
      <c r="F116" s="14" t="s">
        <v>1182</v>
      </c>
      <c r="G116" s="14" t="s">
        <v>1183</v>
      </c>
      <c r="H116" s="14">
        <v>3522615002501</v>
      </c>
      <c r="I116" s="14" t="s">
        <v>938</v>
      </c>
      <c r="J116" s="14" t="s">
        <v>732</v>
      </c>
      <c r="L116" s="14">
        <v>1</v>
      </c>
      <c r="O116" s="14">
        <v>300</v>
      </c>
      <c r="U116" s="14">
        <v>300</v>
      </c>
      <c r="V116" s="14">
        <v>60</v>
      </c>
      <c r="AB116" s="14">
        <v>60</v>
      </c>
      <c r="AC116" s="14">
        <v>150</v>
      </c>
      <c r="AI116" s="14">
        <v>150</v>
      </c>
      <c r="AP116" s="14">
        <v>0</v>
      </c>
      <c r="AW116" s="14">
        <v>0</v>
      </c>
      <c r="BD116" s="14">
        <v>0</v>
      </c>
      <c r="BE116" s="14">
        <v>510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510</v>
      </c>
      <c r="BL116" s="14">
        <v>1</v>
      </c>
      <c r="BR116" s="14">
        <v>1</v>
      </c>
      <c r="BS116" s="14">
        <v>1</v>
      </c>
      <c r="BY116" s="14">
        <v>1</v>
      </c>
      <c r="BZ116" s="14">
        <v>1</v>
      </c>
      <c r="CF116" s="14">
        <v>1</v>
      </c>
      <c r="CM116" s="14">
        <v>0</v>
      </c>
      <c r="CT116" s="14">
        <v>0</v>
      </c>
      <c r="DA116" s="14">
        <v>0</v>
      </c>
      <c r="DB116" s="14">
        <v>3</v>
      </c>
      <c r="DC116" s="14">
        <v>0</v>
      </c>
      <c r="DD116" s="14">
        <v>0</v>
      </c>
      <c r="DE116" s="14">
        <v>0</v>
      </c>
      <c r="DF116" s="14">
        <v>0</v>
      </c>
      <c r="DG116" s="14">
        <v>0</v>
      </c>
      <c r="DH116" s="14">
        <v>3</v>
      </c>
      <c r="DI116" s="14" t="s">
        <v>597</v>
      </c>
      <c r="DJ116" s="14" t="s">
        <v>598</v>
      </c>
      <c r="DK116" s="14" t="s">
        <v>598</v>
      </c>
      <c r="DL116" s="14" t="s">
        <v>598</v>
      </c>
      <c r="DM116" s="14" t="s">
        <v>598</v>
      </c>
      <c r="DN116" s="14" t="s">
        <v>598</v>
      </c>
      <c r="DO116" s="14" t="s">
        <v>597</v>
      </c>
      <c r="DP116" s="14" t="s">
        <v>598</v>
      </c>
      <c r="DQ116" s="14" t="s">
        <v>598</v>
      </c>
      <c r="DR116" s="14" t="s">
        <v>598</v>
      </c>
      <c r="DS116" s="14" t="s">
        <v>598</v>
      </c>
      <c r="DT116" s="14" t="s">
        <v>598</v>
      </c>
      <c r="DU116" s="14" t="s">
        <v>597</v>
      </c>
      <c r="DV116" s="14" t="s">
        <v>598</v>
      </c>
      <c r="DW116" s="14" t="s">
        <v>598</v>
      </c>
      <c r="DX116" s="14" t="s">
        <v>598</v>
      </c>
      <c r="DY116" s="14" t="s">
        <v>598</v>
      </c>
      <c r="DZ116" s="14" t="s">
        <v>598</v>
      </c>
      <c r="EA116" s="14" t="s">
        <v>598</v>
      </c>
      <c r="EB116" s="14" t="s">
        <v>598</v>
      </c>
      <c r="EC116" s="14" t="s">
        <v>598</v>
      </c>
      <c r="ED116" s="14" t="s">
        <v>598</v>
      </c>
      <c r="EE116" s="14" t="s">
        <v>598</v>
      </c>
      <c r="EF116" s="14" t="s">
        <v>598</v>
      </c>
      <c r="EG116" s="14" t="s">
        <v>598</v>
      </c>
      <c r="EH116" s="14" t="s">
        <v>598</v>
      </c>
      <c r="EI116" s="14" t="s">
        <v>598</v>
      </c>
      <c r="EJ116" s="14" t="s">
        <v>598</v>
      </c>
      <c r="EK116" s="14" t="s">
        <v>598</v>
      </c>
      <c r="EL116" s="14" t="s">
        <v>598</v>
      </c>
      <c r="EM116" s="14" t="s">
        <v>598</v>
      </c>
      <c r="EN116" s="14" t="s">
        <v>598</v>
      </c>
      <c r="EO116" s="14" t="s">
        <v>598</v>
      </c>
      <c r="EP116" s="14" t="s">
        <v>598</v>
      </c>
      <c r="EQ116" s="14" t="s">
        <v>598</v>
      </c>
      <c r="ER116" s="14" t="s">
        <v>598</v>
      </c>
      <c r="ES116" s="14">
        <v>300</v>
      </c>
      <c r="EY116" s="14">
        <v>300</v>
      </c>
      <c r="EZ116" s="14">
        <v>190</v>
      </c>
      <c r="FF116" s="14">
        <v>190</v>
      </c>
      <c r="FM116" s="14">
        <v>0</v>
      </c>
      <c r="FT116" s="14">
        <v>0</v>
      </c>
      <c r="GA116" s="14">
        <v>0</v>
      </c>
      <c r="GH116" s="14">
        <v>0</v>
      </c>
      <c r="GI116" s="14">
        <v>20</v>
      </c>
      <c r="GO116" s="14">
        <v>20</v>
      </c>
      <c r="GW116" s="14">
        <v>0</v>
      </c>
      <c r="GX116" s="14">
        <v>510</v>
      </c>
      <c r="GY116" s="14">
        <v>0</v>
      </c>
      <c r="GZ116" s="14">
        <v>0</v>
      </c>
      <c r="HA116" s="14">
        <v>0</v>
      </c>
      <c r="HB116" s="14">
        <v>0</v>
      </c>
      <c r="HC116" s="14">
        <v>0</v>
      </c>
      <c r="HD116" s="14">
        <v>510</v>
      </c>
      <c r="HK116" s="14">
        <v>0</v>
      </c>
      <c r="HL116" s="14">
        <v>510</v>
      </c>
      <c r="HR116" s="14">
        <v>510</v>
      </c>
      <c r="HY116" s="14">
        <v>0</v>
      </c>
      <c r="IF116" s="14">
        <v>0</v>
      </c>
      <c r="IM116" s="14">
        <v>0</v>
      </c>
      <c r="IN116" s="14">
        <v>510</v>
      </c>
      <c r="IO116" s="14">
        <v>0</v>
      </c>
      <c r="IP116" s="14">
        <v>0</v>
      </c>
      <c r="IQ116" s="14">
        <v>0</v>
      </c>
      <c r="IR116" s="14">
        <v>0</v>
      </c>
      <c r="IS116" s="14">
        <v>0</v>
      </c>
      <c r="IT116" s="14">
        <v>510</v>
      </c>
      <c r="IV116" s="14">
        <v>100</v>
      </c>
      <c r="IZ116" s="14">
        <v>1</v>
      </c>
      <c r="JA116" s="14">
        <v>1</v>
      </c>
      <c r="JB116" s="14">
        <v>1</v>
      </c>
      <c r="JC116" s="14" t="s">
        <v>600</v>
      </c>
      <c r="JD116" s="14">
        <v>200</v>
      </c>
      <c r="JJ116" s="14">
        <v>200</v>
      </c>
      <c r="JQ116" s="14">
        <v>0</v>
      </c>
      <c r="JR116" s="14">
        <v>100</v>
      </c>
      <c r="JX116" s="14">
        <v>100</v>
      </c>
      <c r="KE116" s="14">
        <v>0</v>
      </c>
      <c r="KL116" s="14">
        <v>0</v>
      </c>
      <c r="KS116" s="14">
        <v>0</v>
      </c>
      <c r="KZ116" s="14">
        <v>0</v>
      </c>
      <c r="LH116" s="14">
        <v>0</v>
      </c>
      <c r="LI116" s="14">
        <v>300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300</v>
      </c>
      <c r="LP116" s="14">
        <v>200</v>
      </c>
      <c r="LV116" s="14">
        <v>200</v>
      </c>
      <c r="LW116" s="14">
        <v>100</v>
      </c>
      <c r="MC116" s="14">
        <v>100</v>
      </c>
      <c r="MJ116" s="14">
        <v>0</v>
      </c>
      <c r="MQ116" s="14">
        <v>0</v>
      </c>
      <c r="MX116" s="14">
        <v>0</v>
      </c>
      <c r="MY116" s="14">
        <v>300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300</v>
      </c>
      <c r="NF116" s="14" t="s">
        <v>601</v>
      </c>
      <c r="NM116" s="14">
        <v>0</v>
      </c>
      <c r="NT116" s="14">
        <v>0</v>
      </c>
      <c r="OA116" s="14">
        <v>0</v>
      </c>
      <c r="OH116" s="14">
        <v>0</v>
      </c>
      <c r="OO116" s="14">
        <v>0</v>
      </c>
      <c r="OV116" s="14">
        <v>0</v>
      </c>
      <c r="OW116" s="14">
        <v>60</v>
      </c>
      <c r="PC116" s="14">
        <v>60</v>
      </c>
      <c r="PK116" s="14">
        <v>0</v>
      </c>
      <c r="PL116" s="14">
        <v>60</v>
      </c>
      <c r="PM116" s="14">
        <v>0</v>
      </c>
      <c r="PN116" s="14">
        <v>0</v>
      </c>
      <c r="PO116" s="14">
        <v>0</v>
      </c>
      <c r="PP116" s="14">
        <v>0</v>
      </c>
      <c r="PQ116" s="14">
        <v>0</v>
      </c>
      <c r="PR116" s="14">
        <v>60</v>
      </c>
      <c r="PS116" s="14">
        <v>60</v>
      </c>
      <c r="PY116" s="14">
        <v>60</v>
      </c>
      <c r="QF116" s="14">
        <v>0</v>
      </c>
      <c r="QM116" s="14">
        <v>0</v>
      </c>
      <c r="QT116" s="14">
        <v>0</v>
      </c>
      <c r="RA116" s="14">
        <v>0</v>
      </c>
      <c r="RB116" s="14">
        <v>60</v>
      </c>
      <c r="RC116" s="14">
        <v>0</v>
      </c>
      <c r="RD116" s="14">
        <v>0</v>
      </c>
      <c r="RE116" s="14">
        <v>0</v>
      </c>
      <c r="RF116" s="14">
        <v>0</v>
      </c>
      <c r="RG116" s="14">
        <v>0</v>
      </c>
      <c r="RH116" s="14">
        <v>60</v>
      </c>
      <c r="RI116" s="14" t="s">
        <v>602</v>
      </c>
      <c r="RJ116" s="14">
        <v>150</v>
      </c>
      <c r="RP116" s="14">
        <v>150</v>
      </c>
      <c r="RW116" s="14">
        <v>0</v>
      </c>
      <c r="SD116" s="14">
        <v>0</v>
      </c>
      <c r="SK116" s="14">
        <v>0</v>
      </c>
      <c r="SR116" s="14">
        <v>0</v>
      </c>
      <c r="SY116" s="14">
        <v>0</v>
      </c>
      <c r="TF116" s="14">
        <v>0</v>
      </c>
      <c r="TN116" s="14">
        <v>0</v>
      </c>
      <c r="TO116" s="14">
        <v>150</v>
      </c>
      <c r="TP116" s="14">
        <v>0</v>
      </c>
      <c r="TQ116" s="14">
        <v>0</v>
      </c>
      <c r="TR116" s="14">
        <v>0</v>
      </c>
      <c r="TS116" s="14">
        <v>0</v>
      </c>
      <c r="TT116" s="14">
        <v>0</v>
      </c>
      <c r="TU116" s="14">
        <v>150</v>
      </c>
      <c r="TV116" s="14">
        <v>150</v>
      </c>
      <c r="UB116" s="14">
        <v>150</v>
      </c>
      <c r="UI116" s="14">
        <v>0</v>
      </c>
      <c r="UP116" s="14">
        <v>0</v>
      </c>
      <c r="UW116" s="14">
        <v>0</v>
      </c>
      <c r="VD116" s="14">
        <v>0</v>
      </c>
      <c r="VE116" s="14">
        <v>150</v>
      </c>
      <c r="VF116" s="14">
        <v>0</v>
      </c>
      <c r="VG116" s="14">
        <v>0</v>
      </c>
      <c r="VH116" s="14">
        <v>0</v>
      </c>
      <c r="VI116" s="14">
        <v>0</v>
      </c>
      <c r="VJ116" s="14">
        <v>0</v>
      </c>
      <c r="VK116" s="14">
        <v>150</v>
      </c>
      <c r="VL116" s="14" t="s">
        <v>603</v>
      </c>
      <c r="ZO116" s="14" t="s">
        <v>604</v>
      </c>
      <c r="ADR116" s="14" t="s">
        <v>605</v>
      </c>
    </row>
    <row r="117" spans="1:798" x14ac:dyDescent="0.25">
      <c r="A117" s="14">
        <v>222</v>
      </c>
      <c r="B117" s="14" t="s">
        <v>889</v>
      </c>
      <c r="C117" s="16">
        <f t="shared" ref="C117:C118" si="11">$C$3</f>
        <v>42780</v>
      </c>
      <c r="D117" s="14" t="s">
        <v>1184</v>
      </c>
      <c r="E117" s="14" t="s">
        <v>1185</v>
      </c>
      <c r="F117" s="14" t="s">
        <v>1186</v>
      </c>
      <c r="G117" s="14" t="s">
        <v>1187</v>
      </c>
      <c r="H117" s="14">
        <v>694516627</v>
      </c>
      <c r="I117" s="14" t="s">
        <v>1188</v>
      </c>
      <c r="J117" s="14" t="s">
        <v>732</v>
      </c>
      <c r="L117" s="14">
        <v>2</v>
      </c>
      <c r="M117" s="14">
        <v>6</v>
      </c>
      <c r="N117" s="14" t="s">
        <v>1189</v>
      </c>
      <c r="U117" s="14">
        <v>0</v>
      </c>
      <c r="AB117" s="14">
        <v>0</v>
      </c>
      <c r="AI117" s="14">
        <v>0</v>
      </c>
      <c r="AP117" s="14">
        <v>0</v>
      </c>
      <c r="AW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R117" s="14">
        <v>0</v>
      </c>
      <c r="BY117" s="14">
        <v>0</v>
      </c>
      <c r="CF117" s="14">
        <v>0</v>
      </c>
      <c r="CM117" s="14">
        <v>0</v>
      </c>
      <c r="CT117" s="14">
        <v>0</v>
      </c>
      <c r="DA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 t="s">
        <v>598</v>
      </c>
      <c r="DJ117" s="14" t="s">
        <v>598</v>
      </c>
      <c r="DK117" s="14" t="s">
        <v>598</v>
      </c>
      <c r="DL117" s="14" t="s">
        <v>598</v>
      </c>
      <c r="DM117" s="14" t="s">
        <v>598</v>
      </c>
      <c r="DN117" s="14" t="s">
        <v>598</v>
      </c>
      <c r="DO117" s="14" t="s">
        <v>598</v>
      </c>
      <c r="DP117" s="14" t="s">
        <v>598</v>
      </c>
      <c r="DQ117" s="14" t="s">
        <v>598</v>
      </c>
      <c r="DR117" s="14" t="s">
        <v>598</v>
      </c>
      <c r="DS117" s="14" t="s">
        <v>598</v>
      </c>
      <c r="DT117" s="14" t="s">
        <v>598</v>
      </c>
      <c r="DU117" s="14" t="s">
        <v>598</v>
      </c>
      <c r="DV117" s="14" t="s">
        <v>598</v>
      </c>
      <c r="DW117" s="14" t="s">
        <v>598</v>
      </c>
      <c r="DX117" s="14" t="s">
        <v>598</v>
      </c>
      <c r="DY117" s="14" t="s">
        <v>598</v>
      </c>
      <c r="DZ117" s="14" t="s">
        <v>598</v>
      </c>
      <c r="EA117" s="14" t="s">
        <v>598</v>
      </c>
      <c r="EB117" s="14" t="s">
        <v>598</v>
      </c>
      <c r="EC117" s="14" t="s">
        <v>598</v>
      </c>
      <c r="ED117" s="14" t="s">
        <v>598</v>
      </c>
      <c r="EE117" s="14" t="s">
        <v>598</v>
      </c>
      <c r="EF117" s="14" t="s">
        <v>598</v>
      </c>
      <c r="EG117" s="14" t="s">
        <v>598</v>
      </c>
      <c r="EH117" s="14" t="s">
        <v>598</v>
      </c>
      <c r="EI117" s="14" t="s">
        <v>598</v>
      </c>
      <c r="EJ117" s="14" t="s">
        <v>598</v>
      </c>
      <c r="EK117" s="14" t="s">
        <v>598</v>
      </c>
      <c r="EL117" s="14" t="s">
        <v>598</v>
      </c>
      <c r="EM117" s="14" t="s">
        <v>598</v>
      </c>
      <c r="EN117" s="14" t="s">
        <v>598</v>
      </c>
      <c r="EO117" s="14" t="s">
        <v>598</v>
      </c>
      <c r="EP117" s="14" t="s">
        <v>598</v>
      </c>
      <c r="EQ117" s="14" t="s">
        <v>598</v>
      </c>
      <c r="ER117" s="14" t="s">
        <v>598</v>
      </c>
      <c r="EY117" s="14">
        <v>0</v>
      </c>
      <c r="FF117" s="14">
        <v>0</v>
      </c>
      <c r="FM117" s="14">
        <v>0</v>
      </c>
      <c r="FT117" s="14">
        <v>0</v>
      </c>
      <c r="GA117" s="14">
        <v>0</v>
      </c>
      <c r="GH117" s="14">
        <v>0</v>
      </c>
      <c r="GO117" s="14">
        <v>0</v>
      </c>
      <c r="GW117" s="14">
        <v>0</v>
      </c>
      <c r="GX117" s="14">
        <v>0</v>
      </c>
      <c r="GY117" s="14">
        <v>0</v>
      </c>
      <c r="GZ117" s="14">
        <v>0</v>
      </c>
      <c r="HA117" s="14">
        <v>0</v>
      </c>
      <c r="HB117" s="14">
        <v>0</v>
      </c>
      <c r="HC117" s="14">
        <v>0</v>
      </c>
      <c r="HD117" s="14">
        <v>0</v>
      </c>
      <c r="HK117" s="14">
        <v>0</v>
      </c>
      <c r="HR117" s="14">
        <v>0</v>
      </c>
      <c r="HY117" s="14">
        <v>0</v>
      </c>
      <c r="IF117" s="14">
        <v>0</v>
      </c>
      <c r="IM117" s="14">
        <v>0</v>
      </c>
      <c r="IN117" s="14">
        <v>0</v>
      </c>
      <c r="IO117" s="14">
        <v>0</v>
      </c>
      <c r="IP117" s="14">
        <v>0</v>
      </c>
      <c r="IQ117" s="14">
        <v>0</v>
      </c>
      <c r="IR117" s="14">
        <v>0</v>
      </c>
      <c r="IS117" s="14">
        <v>0</v>
      </c>
      <c r="IT117" s="14">
        <v>0</v>
      </c>
      <c r="IZ117" s="14">
        <v>2</v>
      </c>
      <c r="JA117" s="14">
        <v>3</v>
      </c>
      <c r="JB117" s="14">
        <v>1</v>
      </c>
      <c r="JC117" s="14" t="s">
        <v>600</v>
      </c>
      <c r="NF117" s="14" t="s">
        <v>601</v>
      </c>
      <c r="RI117" s="14" t="s">
        <v>602</v>
      </c>
      <c r="VL117" s="14" t="s">
        <v>603</v>
      </c>
      <c r="ZO117" s="14" t="s">
        <v>604</v>
      </c>
      <c r="ADR117" s="14" t="s">
        <v>605</v>
      </c>
    </row>
    <row r="118" spans="1:798" x14ac:dyDescent="0.25">
      <c r="A118" s="14">
        <v>223</v>
      </c>
      <c r="B118" s="14" t="s">
        <v>889</v>
      </c>
      <c r="C118" s="16">
        <f t="shared" si="11"/>
        <v>42780</v>
      </c>
      <c r="D118" s="14" t="s">
        <v>1190</v>
      </c>
      <c r="E118" s="14" t="s">
        <v>1191</v>
      </c>
      <c r="F118" s="14" t="s">
        <v>1192</v>
      </c>
      <c r="G118" s="14" t="s">
        <v>1193</v>
      </c>
      <c r="H118" s="14">
        <v>442070420600</v>
      </c>
      <c r="I118" s="14" t="s">
        <v>731</v>
      </c>
      <c r="J118" s="14" t="s">
        <v>945</v>
      </c>
      <c r="L118" s="14">
        <v>1</v>
      </c>
      <c r="U118" s="14">
        <v>0</v>
      </c>
      <c r="AA118" s="14">
        <v>480</v>
      </c>
      <c r="AB118" s="14">
        <v>480</v>
      </c>
      <c r="AI118" s="14">
        <v>0</v>
      </c>
      <c r="AP118" s="14">
        <v>0</v>
      </c>
      <c r="AW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480</v>
      </c>
      <c r="BK118" s="14">
        <v>480</v>
      </c>
      <c r="BR118" s="14">
        <v>0</v>
      </c>
      <c r="BX118" s="14">
        <v>2</v>
      </c>
      <c r="BY118" s="14">
        <v>2</v>
      </c>
      <c r="CF118" s="14">
        <v>0</v>
      </c>
      <c r="CM118" s="14">
        <v>0</v>
      </c>
      <c r="CT118" s="14">
        <v>0</v>
      </c>
      <c r="DA118" s="14">
        <v>0</v>
      </c>
      <c r="DB118" s="14">
        <v>0</v>
      </c>
      <c r="DC118" s="14">
        <v>0</v>
      </c>
      <c r="DD118" s="14">
        <v>0</v>
      </c>
      <c r="DE118" s="14">
        <v>0</v>
      </c>
      <c r="DF118" s="14">
        <v>0</v>
      </c>
      <c r="DG118" s="14">
        <v>2</v>
      </c>
      <c r="DH118" s="14">
        <v>2</v>
      </c>
      <c r="DI118" s="14" t="s">
        <v>598</v>
      </c>
      <c r="DJ118" s="14" t="s">
        <v>598</v>
      </c>
      <c r="DK118" s="14" t="s">
        <v>598</v>
      </c>
      <c r="DL118" s="14" t="s">
        <v>598</v>
      </c>
      <c r="DM118" s="14" t="s">
        <v>598</v>
      </c>
      <c r="DN118" s="14" t="s">
        <v>598</v>
      </c>
      <c r="DO118" s="14" t="s">
        <v>598</v>
      </c>
      <c r="DP118" s="14" t="s">
        <v>598</v>
      </c>
      <c r="DQ118" s="14" t="s">
        <v>598</v>
      </c>
      <c r="DR118" s="14" t="s">
        <v>598</v>
      </c>
      <c r="DS118" s="14" t="s">
        <v>598</v>
      </c>
      <c r="DT118" s="14" t="s">
        <v>597</v>
      </c>
      <c r="DU118" s="14" t="s">
        <v>598</v>
      </c>
      <c r="DV118" s="14" t="s">
        <v>598</v>
      </c>
      <c r="DW118" s="14" t="s">
        <v>598</v>
      </c>
      <c r="DX118" s="14" t="s">
        <v>598</v>
      </c>
      <c r="DY118" s="14" t="s">
        <v>598</v>
      </c>
      <c r="DZ118" s="14" t="s">
        <v>598</v>
      </c>
      <c r="EA118" s="14" t="s">
        <v>598</v>
      </c>
      <c r="EB118" s="14" t="s">
        <v>598</v>
      </c>
      <c r="EC118" s="14" t="s">
        <v>598</v>
      </c>
      <c r="ED118" s="14" t="s">
        <v>598</v>
      </c>
      <c r="EE118" s="14" t="s">
        <v>598</v>
      </c>
      <c r="EF118" s="14" t="s">
        <v>598</v>
      </c>
      <c r="EG118" s="14" t="s">
        <v>598</v>
      </c>
      <c r="EH118" s="14" t="s">
        <v>598</v>
      </c>
      <c r="EI118" s="14" t="s">
        <v>598</v>
      </c>
      <c r="EJ118" s="14" t="s">
        <v>598</v>
      </c>
      <c r="EK118" s="14" t="s">
        <v>598</v>
      </c>
      <c r="EL118" s="14" t="s">
        <v>598</v>
      </c>
      <c r="EM118" s="14" t="s">
        <v>598</v>
      </c>
      <c r="EN118" s="14" t="s">
        <v>598</v>
      </c>
      <c r="EO118" s="14" t="s">
        <v>598</v>
      </c>
      <c r="EP118" s="14" t="s">
        <v>598</v>
      </c>
      <c r="EQ118" s="14" t="s">
        <v>598</v>
      </c>
      <c r="ER118" s="14" t="s">
        <v>598</v>
      </c>
      <c r="EX118" s="14">
        <v>218.7</v>
      </c>
      <c r="EY118" s="14">
        <v>218.7</v>
      </c>
      <c r="FE118" s="14">
        <v>236.3</v>
      </c>
      <c r="FF118" s="14">
        <v>236.3</v>
      </c>
      <c r="FM118" s="14">
        <v>0</v>
      </c>
      <c r="FT118" s="14">
        <v>0</v>
      </c>
      <c r="GA118" s="14">
        <v>0</v>
      </c>
      <c r="GG118" s="14">
        <v>25</v>
      </c>
      <c r="GH118" s="14">
        <v>25</v>
      </c>
      <c r="GO118" s="14">
        <v>0</v>
      </c>
      <c r="GW118" s="14">
        <v>0</v>
      </c>
      <c r="GX118" s="14">
        <v>0</v>
      </c>
      <c r="GY118" s="14">
        <v>0</v>
      </c>
      <c r="GZ118" s="14">
        <v>0</v>
      </c>
      <c r="HA118" s="14">
        <v>0</v>
      </c>
      <c r="HB118" s="14">
        <v>0</v>
      </c>
      <c r="HC118" s="14">
        <v>480</v>
      </c>
      <c r="HD118" s="14">
        <v>480</v>
      </c>
      <c r="HK118" s="14">
        <v>0</v>
      </c>
      <c r="HQ118" s="14">
        <v>375.6</v>
      </c>
      <c r="HR118" s="14">
        <v>375.6</v>
      </c>
      <c r="HX118" s="14">
        <v>104.4</v>
      </c>
      <c r="HY118" s="14">
        <v>104.4</v>
      </c>
      <c r="IF118" s="14">
        <v>0</v>
      </c>
      <c r="IM118" s="14">
        <v>0</v>
      </c>
      <c r="IN118" s="14">
        <v>0</v>
      </c>
      <c r="IO118" s="14">
        <v>0</v>
      </c>
      <c r="IP118" s="14">
        <v>0</v>
      </c>
      <c r="IQ118" s="14">
        <v>0</v>
      </c>
      <c r="IR118" s="14">
        <v>0</v>
      </c>
      <c r="IS118" s="14">
        <v>480</v>
      </c>
      <c r="IT118" s="14">
        <v>480</v>
      </c>
      <c r="IU118" s="14">
        <v>12.4</v>
      </c>
      <c r="IW118" s="14">
        <v>87.6</v>
      </c>
      <c r="IZ118" s="14">
        <v>1</v>
      </c>
      <c r="JA118" s="14">
        <v>1</v>
      </c>
      <c r="JB118" s="14">
        <v>1</v>
      </c>
      <c r="JC118" s="14" t="s">
        <v>600</v>
      </c>
      <c r="NF118" s="14" t="s">
        <v>601</v>
      </c>
      <c r="NL118" s="14">
        <v>218.7</v>
      </c>
      <c r="NM118" s="14">
        <v>218.7</v>
      </c>
      <c r="NS118" s="14">
        <v>236.3</v>
      </c>
      <c r="NT118" s="14">
        <v>236.3</v>
      </c>
      <c r="OA118" s="14">
        <v>0</v>
      </c>
      <c r="OH118" s="14">
        <v>0</v>
      </c>
      <c r="OO118" s="14">
        <v>0</v>
      </c>
      <c r="OU118" s="14">
        <v>25</v>
      </c>
      <c r="OV118" s="14">
        <v>25</v>
      </c>
      <c r="PC118" s="14">
        <v>0</v>
      </c>
      <c r="PK118" s="14">
        <v>0</v>
      </c>
      <c r="PL118" s="14">
        <v>0</v>
      </c>
      <c r="PM118" s="14">
        <v>0</v>
      </c>
      <c r="PN118" s="14">
        <v>0</v>
      </c>
      <c r="PO118" s="14">
        <v>0</v>
      </c>
      <c r="PP118" s="14">
        <v>0</v>
      </c>
      <c r="PQ118" s="14">
        <v>480</v>
      </c>
      <c r="PR118" s="14">
        <v>480</v>
      </c>
      <c r="PX118" s="14">
        <v>375.6</v>
      </c>
      <c r="PY118" s="14">
        <v>375.6</v>
      </c>
      <c r="QF118" s="14">
        <v>0</v>
      </c>
      <c r="QL118" s="14">
        <v>104.4</v>
      </c>
      <c r="QM118" s="14">
        <v>104.4</v>
      </c>
      <c r="QT118" s="14">
        <v>0</v>
      </c>
      <c r="RA118" s="14">
        <v>0</v>
      </c>
      <c r="RB118" s="14">
        <v>0</v>
      </c>
      <c r="RC118" s="14">
        <v>0</v>
      </c>
      <c r="RD118" s="14">
        <v>0</v>
      </c>
      <c r="RE118" s="14">
        <v>0</v>
      </c>
      <c r="RF118" s="14">
        <v>0</v>
      </c>
      <c r="RG118" s="14">
        <v>480</v>
      </c>
      <c r="RH118" s="14">
        <v>480</v>
      </c>
      <c r="RI118" s="14" t="s">
        <v>602</v>
      </c>
      <c r="VL118" s="14" t="s">
        <v>603</v>
      </c>
      <c r="ZO118" s="14" t="s">
        <v>604</v>
      </c>
      <c r="ADR118" s="14" t="s">
        <v>605</v>
      </c>
    </row>
    <row r="119" spans="1:798" x14ac:dyDescent="0.25">
      <c r="A119" s="14">
        <v>124</v>
      </c>
      <c r="B119" s="14" t="s">
        <v>889</v>
      </c>
      <c r="C119" s="16">
        <f>VLOOKUP(A119,[4]RawData!Z:AA,2,FALSE)</f>
        <v>42766.603472222225</v>
      </c>
      <c r="D119" s="14" t="s">
        <v>1194</v>
      </c>
      <c r="E119" s="14" t="s">
        <v>1195</v>
      </c>
      <c r="F119" s="14" t="s">
        <v>693</v>
      </c>
      <c r="G119" s="14" t="s">
        <v>1196</v>
      </c>
      <c r="H119" s="14">
        <v>35316141405</v>
      </c>
      <c r="I119" s="14" t="s">
        <v>1197</v>
      </c>
      <c r="J119" s="14" t="s">
        <v>732</v>
      </c>
      <c r="L119" s="14">
        <v>1</v>
      </c>
      <c r="U119" s="14">
        <v>0</v>
      </c>
      <c r="V119" s="14">
        <v>184</v>
      </c>
      <c r="AB119" s="14">
        <v>184</v>
      </c>
      <c r="AI119" s="14">
        <v>0</v>
      </c>
      <c r="AP119" s="14">
        <v>0</v>
      </c>
      <c r="AW119" s="14">
        <v>0</v>
      </c>
      <c r="BD119" s="14">
        <v>0</v>
      </c>
      <c r="BE119" s="14">
        <v>184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184</v>
      </c>
      <c r="BR119" s="14">
        <v>0</v>
      </c>
      <c r="BS119" s="14">
        <v>1</v>
      </c>
      <c r="BY119" s="14">
        <v>1</v>
      </c>
      <c r="CF119" s="14">
        <v>0</v>
      </c>
      <c r="CM119" s="14">
        <v>0</v>
      </c>
      <c r="CT119" s="14">
        <v>0</v>
      </c>
      <c r="DA119" s="14">
        <v>0</v>
      </c>
      <c r="DB119" s="14">
        <v>1</v>
      </c>
      <c r="DC119" s="14">
        <v>0</v>
      </c>
      <c r="DD119" s="14">
        <v>0</v>
      </c>
      <c r="DE119" s="14">
        <v>0</v>
      </c>
      <c r="DF119" s="14">
        <v>0</v>
      </c>
      <c r="DG119" s="14">
        <v>0</v>
      </c>
      <c r="DH119" s="14">
        <v>1</v>
      </c>
      <c r="DI119" s="14" t="s">
        <v>598</v>
      </c>
      <c r="DJ119" s="14" t="s">
        <v>598</v>
      </c>
      <c r="DK119" s="14" t="s">
        <v>598</v>
      </c>
      <c r="DL119" s="14" t="s">
        <v>598</v>
      </c>
      <c r="DM119" s="14" t="s">
        <v>598</v>
      </c>
      <c r="DN119" s="14" t="s">
        <v>598</v>
      </c>
      <c r="DO119" s="14" t="s">
        <v>597</v>
      </c>
      <c r="DP119" s="14" t="s">
        <v>598</v>
      </c>
      <c r="DQ119" s="14" t="s">
        <v>598</v>
      </c>
      <c r="DR119" s="14" t="s">
        <v>598</v>
      </c>
      <c r="DS119" s="14" t="s">
        <v>598</v>
      </c>
      <c r="DT119" s="14" t="s">
        <v>598</v>
      </c>
      <c r="DU119" s="14" t="s">
        <v>598</v>
      </c>
      <c r="DV119" s="14" t="s">
        <v>598</v>
      </c>
      <c r="DW119" s="14" t="s">
        <v>598</v>
      </c>
      <c r="DX119" s="14" t="s">
        <v>598</v>
      </c>
      <c r="DY119" s="14" t="s">
        <v>598</v>
      </c>
      <c r="DZ119" s="14" t="s">
        <v>598</v>
      </c>
      <c r="EA119" s="14" t="s">
        <v>598</v>
      </c>
      <c r="EB119" s="14" t="s">
        <v>598</v>
      </c>
      <c r="EC119" s="14" t="s">
        <v>598</v>
      </c>
      <c r="ED119" s="14" t="s">
        <v>598</v>
      </c>
      <c r="EE119" s="14" t="s">
        <v>598</v>
      </c>
      <c r="EF119" s="14" t="s">
        <v>598</v>
      </c>
      <c r="EG119" s="14" t="s">
        <v>598</v>
      </c>
      <c r="EH119" s="14" t="s">
        <v>598</v>
      </c>
      <c r="EI119" s="14" t="s">
        <v>598</v>
      </c>
      <c r="EJ119" s="14" t="s">
        <v>598</v>
      </c>
      <c r="EK119" s="14" t="s">
        <v>598</v>
      </c>
      <c r="EL119" s="14" t="s">
        <v>598</v>
      </c>
      <c r="EM119" s="14" t="s">
        <v>598</v>
      </c>
      <c r="EN119" s="14" t="s">
        <v>598</v>
      </c>
      <c r="EO119" s="14" t="s">
        <v>598</v>
      </c>
      <c r="EP119" s="14" t="s">
        <v>598</v>
      </c>
      <c r="EQ119" s="14" t="s">
        <v>598</v>
      </c>
      <c r="ER119" s="14" t="s">
        <v>598</v>
      </c>
      <c r="ES119" s="14">
        <v>123</v>
      </c>
      <c r="EY119" s="14">
        <v>123</v>
      </c>
      <c r="EZ119" s="14">
        <v>0</v>
      </c>
      <c r="FF119" s="14">
        <v>0</v>
      </c>
      <c r="FG119" s="14">
        <v>25</v>
      </c>
      <c r="FM119" s="14">
        <v>25</v>
      </c>
      <c r="FT119" s="14">
        <v>0</v>
      </c>
      <c r="GA119" s="14">
        <v>0</v>
      </c>
      <c r="GB119" s="14">
        <v>35</v>
      </c>
      <c r="GH119" s="14">
        <v>35</v>
      </c>
      <c r="GI119" s="14">
        <v>1</v>
      </c>
      <c r="GO119" s="14">
        <v>1</v>
      </c>
      <c r="GW119" s="14">
        <v>0</v>
      </c>
      <c r="GX119" s="14">
        <v>184</v>
      </c>
      <c r="GY119" s="14">
        <v>0</v>
      </c>
      <c r="GZ119" s="14">
        <v>0</v>
      </c>
      <c r="HA119" s="14">
        <v>0</v>
      </c>
      <c r="HB119" s="14">
        <v>0</v>
      </c>
      <c r="HC119" s="14">
        <v>0</v>
      </c>
      <c r="HD119" s="14">
        <v>184</v>
      </c>
      <c r="HK119" s="14">
        <v>0</v>
      </c>
      <c r="HL119" s="14">
        <v>184</v>
      </c>
      <c r="HR119" s="14">
        <v>184</v>
      </c>
      <c r="HY119" s="14">
        <v>0</v>
      </c>
      <c r="IF119" s="14">
        <v>0</v>
      </c>
      <c r="IM119" s="14">
        <v>0</v>
      </c>
      <c r="IN119" s="14">
        <v>184</v>
      </c>
      <c r="IO119" s="14">
        <v>0</v>
      </c>
      <c r="IP119" s="14">
        <v>0</v>
      </c>
      <c r="IQ119" s="14">
        <v>0</v>
      </c>
      <c r="IR119" s="14">
        <v>0</v>
      </c>
      <c r="IS119" s="14">
        <v>0</v>
      </c>
      <c r="IT119" s="14">
        <v>184</v>
      </c>
      <c r="IU119" s="14">
        <v>13</v>
      </c>
      <c r="IW119" s="14">
        <v>87</v>
      </c>
      <c r="IZ119" s="14">
        <v>1</v>
      </c>
      <c r="JA119" s="14">
        <v>3</v>
      </c>
      <c r="JB119" s="14">
        <v>1</v>
      </c>
      <c r="JC119" s="14" t="s">
        <v>600</v>
      </c>
      <c r="NF119" s="14" t="s">
        <v>601</v>
      </c>
      <c r="NG119" s="14">
        <v>123</v>
      </c>
      <c r="NM119" s="14">
        <v>123</v>
      </c>
      <c r="NT119" s="14">
        <v>0</v>
      </c>
      <c r="NU119" s="14">
        <v>25</v>
      </c>
      <c r="OA119" s="14">
        <v>25</v>
      </c>
      <c r="OH119" s="14">
        <v>0</v>
      </c>
      <c r="OO119" s="14">
        <v>0</v>
      </c>
      <c r="OP119" s="14">
        <v>35</v>
      </c>
      <c r="OV119" s="14">
        <v>35</v>
      </c>
      <c r="PC119" s="14">
        <v>0</v>
      </c>
      <c r="PD119" s="14" t="s">
        <v>1198</v>
      </c>
      <c r="PE119" s="14">
        <v>1</v>
      </c>
      <c r="PK119" s="14">
        <v>1</v>
      </c>
      <c r="PL119" s="14">
        <v>184</v>
      </c>
      <c r="PM119" s="14">
        <v>0</v>
      </c>
      <c r="PN119" s="14">
        <v>0</v>
      </c>
      <c r="PO119" s="14">
        <v>0</v>
      </c>
      <c r="PP119" s="14">
        <v>0</v>
      </c>
      <c r="PQ119" s="14">
        <v>0</v>
      </c>
      <c r="PR119" s="14">
        <v>184</v>
      </c>
      <c r="PS119" s="14">
        <v>184</v>
      </c>
      <c r="PY119" s="14">
        <v>184</v>
      </c>
      <c r="QF119" s="14">
        <v>0</v>
      </c>
      <c r="QM119" s="14">
        <v>0</v>
      </c>
      <c r="QT119" s="14">
        <v>0</v>
      </c>
      <c r="RA119" s="14">
        <v>0</v>
      </c>
      <c r="RB119" s="14">
        <v>184</v>
      </c>
      <c r="RC119" s="14">
        <v>0</v>
      </c>
      <c r="RD119" s="14">
        <v>0</v>
      </c>
      <c r="RE119" s="14">
        <v>0</v>
      </c>
      <c r="RF119" s="14">
        <v>0</v>
      </c>
      <c r="RG119" s="14">
        <v>0</v>
      </c>
      <c r="RH119" s="14">
        <v>184</v>
      </c>
      <c r="RI119" s="14" t="s">
        <v>602</v>
      </c>
      <c r="VL119" s="14" t="s">
        <v>603</v>
      </c>
      <c r="ZO119" s="14" t="s">
        <v>604</v>
      </c>
      <c r="ADR119" s="14" t="s">
        <v>605</v>
      </c>
    </row>
    <row r="120" spans="1:798" x14ac:dyDescent="0.25">
      <c r="A120" s="14">
        <v>99</v>
      </c>
      <c r="B120" s="14" t="s">
        <v>889</v>
      </c>
      <c r="C120" s="16">
        <f t="shared" ref="C120:C127" si="12">$C$3</f>
        <v>42780</v>
      </c>
      <c r="D120" s="14" t="s">
        <v>1199</v>
      </c>
      <c r="E120" s="14" t="s">
        <v>1200</v>
      </c>
      <c r="F120" s="14" t="s">
        <v>1201</v>
      </c>
      <c r="G120" s="14" t="s">
        <v>1202</v>
      </c>
      <c r="H120" s="14">
        <v>2073400270</v>
      </c>
      <c r="I120" s="14" t="s">
        <v>731</v>
      </c>
      <c r="J120" s="14" t="s">
        <v>945</v>
      </c>
      <c r="L120" s="14">
        <v>1</v>
      </c>
      <c r="U120" s="14">
        <v>0</v>
      </c>
      <c r="V120" s="14">
        <v>8.5</v>
      </c>
      <c r="W120" s="14">
        <v>45</v>
      </c>
      <c r="AB120" s="14">
        <v>53.5</v>
      </c>
      <c r="AI120" s="14">
        <v>0</v>
      </c>
      <c r="AP120" s="14">
        <v>0</v>
      </c>
      <c r="AW120" s="14">
        <v>0</v>
      </c>
      <c r="BD120" s="14">
        <v>0</v>
      </c>
      <c r="BE120" s="14">
        <v>8.5</v>
      </c>
      <c r="BF120" s="14">
        <v>45</v>
      </c>
      <c r="BG120" s="14">
        <v>0</v>
      </c>
      <c r="BH120" s="14">
        <v>0</v>
      </c>
      <c r="BI120" s="14">
        <v>0</v>
      </c>
      <c r="BJ120" s="14">
        <v>0</v>
      </c>
      <c r="BK120" s="14">
        <v>53.5</v>
      </c>
      <c r="BR120" s="14">
        <v>0</v>
      </c>
      <c r="BS120" s="14">
        <v>2</v>
      </c>
      <c r="BT120" s="14">
        <v>1</v>
      </c>
      <c r="BY120" s="14">
        <v>3</v>
      </c>
      <c r="CF120" s="14">
        <v>0</v>
      </c>
      <c r="CM120" s="14">
        <v>0</v>
      </c>
      <c r="CT120" s="14">
        <v>0</v>
      </c>
      <c r="DA120" s="14">
        <v>0</v>
      </c>
      <c r="DB120" s="14">
        <v>2</v>
      </c>
      <c r="DC120" s="14">
        <v>1</v>
      </c>
      <c r="DD120" s="14">
        <v>0</v>
      </c>
      <c r="DE120" s="14">
        <v>0</v>
      </c>
      <c r="DF120" s="14">
        <v>0</v>
      </c>
      <c r="DG120" s="14">
        <v>0</v>
      </c>
      <c r="DH120" s="14">
        <v>3</v>
      </c>
      <c r="DI120" s="14" t="s">
        <v>598</v>
      </c>
      <c r="DJ120" s="14" t="s">
        <v>598</v>
      </c>
      <c r="DK120" s="14" t="s">
        <v>598</v>
      </c>
      <c r="DL120" s="14" t="s">
        <v>598</v>
      </c>
      <c r="DM120" s="14" t="s">
        <v>598</v>
      </c>
      <c r="DN120" s="14" t="s">
        <v>598</v>
      </c>
      <c r="DO120" s="14" t="s">
        <v>597</v>
      </c>
      <c r="DP120" s="14" t="s">
        <v>597</v>
      </c>
      <c r="DQ120" s="14" t="s">
        <v>598</v>
      </c>
      <c r="DR120" s="14" t="s">
        <v>598</v>
      </c>
      <c r="DS120" s="14" t="s">
        <v>598</v>
      </c>
      <c r="DT120" s="14" t="s">
        <v>598</v>
      </c>
      <c r="DU120" s="14" t="s">
        <v>598</v>
      </c>
      <c r="DV120" s="14" t="s">
        <v>598</v>
      </c>
      <c r="DW120" s="14" t="s">
        <v>598</v>
      </c>
      <c r="DX120" s="14" t="s">
        <v>598</v>
      </c>
      <c r="DY120" s="14" t="s">
        <v>598</v>
      </c>
      <c r="DZ120" s="14" t="s">
        <v>598</v>
      </c>
      <c r="EA120" s="14" t="s">
        <v>598</v>
      </c>
      <c r="EB120" s="14" t="s">
        <v>598</v>
      </c>
      <c r="EC120" s="14" t="s">
        <v>598</v>
      </c>
      <c r="ED120" s="14" t="s">
        <v>598</v>
      </c>
      <c r="EE120" s="14" t="s">
        <v>598</v>
      </c>
      <c r="EF120" s="14" t="s">
        <v>598</v>
      </c>
      <c r="EG120" s="14" t="s">
        <v>598</v>
      </c>
      <c r="EH120" s="14" t="s">
        <v>598</v>
      </c>
      <c r="EI120" s="14" t="s">
        <v>598</v>
      </c>
      <c r="EJ120" s="14" t="s">
        <v>598</v>
      </c>
      <c r="EK120" s="14" t="s">
        <v>598</v>
      </c>
      <c r="EL120" s="14" t="s">
        <v>598</v>
      </c>
      <c r="EM120" s="14" t="s">
        <v>598</v>
      </c>
      <c r="EN120" s="14" t="s">
        <v>598</v>
      </c>
      <c r="EO120" s="14" t="s">
        <v>598</v>
      </c>
      <c r="EP120" s="14" t="s">
        <v>598</v>
      </c>
      <c r="EQ120" s="14" t="s">
        <v>598</v>
      </c>
      <c r="ER120" s="14" t="s">
        <v>598</v>
      </c>
      <c r="ET120" s="14">
        <v>45</v>
      </c>
      <c r="EY120" s="14">
        <v>45</v>
      </c>
      <c r="FF120" s="14">
        <v>0</v>
      </c>
      <c r="FM120" s="14">
        <v>0</v>
      </c>
      <c r="FT120" s="14">
        <v>0</v>
      </c>
      <c r="GA120" s="14">
        <v>0</v>
      </c>
      <c r="GH120" s="14">
        <v>0</v>
      </c>
      <c r="GI120" s="14">
        <v>8</v>
      </c>
      <c r="GO120" s="14">
        <v>8</v>
      </c>
      <c r="GP120" s="14" t="s">
        <v>1203</v>
      </c>
      <c r="GQ120" s="14">
        <v>0.5</v>
      </c>
      <c r="GW120" s="14">
        <v>0.5</v>
      </c>
      <c r="GX120" s="14">
        <v>8.5</v>
      </c>
      <c r="GY120" s="14">
        <v>45</v>
      </c>
      <c r="GZ120" s="14">
        <v>0</v>
      </c>
      <c r="HA120" s="14">
        <v>0</v>
      </c>
      <c r="HB120" s="14">
        <v>0</v>
      </c>
      <c r="HC120" s="14">
        <v>0</v>
      </c>
      <c r="HD120" s="14">
        <v>53.5</v>
      </c>
      <c r="HK120" s="14">
        <v>0</v>
      </c>
      <c r="HL120" s="14">
        <v>8.5</v>
      </c>
      <c r="HM120" s="14">
        <v>45</v>
      </c>
      <c r="HR120" s="14">
        <v>53.5</v>
      </c>
      <c r="HY120" s="14">
        <v>0</v>
      </c>
      <c r="IF120" s="14">
        <v>0</v>
      </c>
      <c r="IM120" s="14">
        <v>0</v>
      </c>
      <c r="IN120" s="14">
        <v>8.5</v>
      </c>
      <c r="IO120" s="14">
        <v>45</v>
      </c>
      <c r="IP120" s="14">
        <v>0</v>
      </c>
      <c r="IQ120" s="14">
        <v>0</v>
      </c>
      <c r="IR120" s="14">
        <v>0</v>
      </c>
      <c r="IS120" s="14">
        <v>0</v>
      </c>
      <c r="IT120" s="14">
        <v>53.5</v>
      </c>
      <c r="IW120" s="14">
        <v>100</v>
      </c>
      <c r="IZ120" s="14">
        <v>1</v>
      </c>
      <c r="JA120" s="14">
        <v>3</v>
      </c>
      <c r="JB120" s="14">
        <v>1</v>
      </c>
      <c r="JC120" s="14" t="s">
        <v>600</v>
      </c>
      <c r="NF120" s="14" t="s">
        <v>601</v>
      </c>
      <c r="NH120" s="14">
        <v>45</v>
      </c>
      <c r="NM120" s="14">
        <v>45</v>
      </c>
      <c r="NT120" s="14">
        <v>0</v>
      </c>
      <c r="OA120" s="14">
        <v>0</v>
      </c>
      <c r="OH120" s="14">
        <v>0</v>
      </c>
      <c r="OO120" s="14">
        <v>0</v>
      </c>
      <c r="OV120" s="14">
        <v>0</v>
      </c>
      <c r="OW120" s="14">
        <v>8</v>
      </c>
      <c r="PC120" s="14">
        <v>8</v>
      </c>
      <c r="PD120" s="14" t="s">
        <v>1204</v>
      </c>
      <c r="PE120" s="14">
        <v>0.5</v>
      </c>
      <c r="PK120" s="14">
        <v>0.5</v>
      </c>
      <c r="PL120" s="14">
        <v>8.5</v>
      </c>
      <c r="PM120" s="14">
        <v>45</v>
      </c>
      <c r="PN120" s="14">
        <v>0</v>
      </c>
      <c r="PO120" s="14">
        <v>0</v>
      </c>
      <c r="PP120" s="14">
        <v>0</v>
      </c>
      <c r="PQ120" s="14">
        <v>0</v>
      </c>
      <c r="PR120" s="14">
        <v>53.5</v>
      </c>
      <c r="PS120" s="14">
        <v>8.5</v>
      </c>
      <c r="PT120" s="14">
        <v>45</v>
      </c>
      <c r="PY120" s="14">
        <v>53.5</v>
      </c>
      <c r="QF120" s="14">
        <v>0</v>
      </c>
      <c r="QM120" s="14">
        <v>0</v>
      </c>
      <c r="QT120" s="14">
        <v>0</v>
      </c>
      <c r="RA120" s="14">
        <v>0</v>
      </c>
      <c r="RB120" s="14">
        <v>8.5</v>
      </c>
      <c r="RC120" s="14">
        <v>45</v>
      </c>
      <c r="RD120" s="14">
        <v>0</v>
      </c>
      <c r="RE120" s="14">
        <v>0</v>
      </c>
      <c r="RF120" s="14">
        <v>0</v>
      </c>
      <c r="RG120" s="14">
        <v>0</v>
      </c>
      <c r="RH120" s="14">
        <v>53.5</v>
      </c>
      <c r="RI120" s="14" t="s">
        <v>602</v>
      </c>
      <c r="VL120" s="14" t="s">
        <v>603</v>
      </c>
      <c r="ZO120" s="14" t="s">
        <v>604</v>
      </c>
      <c r="ADR120" s="14" t="s">
        <v>605</v>
      </c>
    </row>
    <row r="121" spans="1:798" x14ac:dyDescent="0.25">
      <c r="A121" s="14">
        <v>172</v>
      </c>
      <c r="B121" s="14" t="s">
        <v>889</v>
      </c>
      <c r="C121" s="16">
        <f t="shared" si="12"/>
        <v>42780</v>
      </c>
      <c r="D121" s="14" t="s">
        <v>1205</v>
      </c>
      <c r="E121" s="14" t="s">
        <v>1206</v>
      </c>
      <c r="F121" s="14" t="s">
        <v>1207</v>
      </c>
      <c r="G121" s="14" t="s">
        <v>1208</v>
      </c>
      <c r="H121" s="14">
        <v>49894890820</v>
      </c>
      <c r="I121" s="14" t="s">
        <v>894</v>
      </c>
      <c r="J121" s="14" t="s">
        <v>732</v>
      </c>
      <c r="L121" s="14">
        <v>1</v>
      </c>
      <c r="U121" s="14">
        <v>0</v>
      </c>
      <c r="V121" s="14">
        <v>592</v>
      </c>
      <c r="W121" s="14">
        <v>533</v>
      </c>
      <c r="AB121" s="14">
        <v>1125</v>
      </c>
      <c r="AI121" s="14">
        <v>0</v>
      </c>
      <c r="AP121" s="14">
        <v>0</v>
      </c>
      <c r="AW121" s="14">
        <v>0</v>
      </c>
      <c r="BD121" s="14">
        <v>0</v>
      </c>
      <c r="BE121" s="14">
        <v>592</v>
      </c>
      <c r="BF121" s="14">
        <v>533</v>
      </c>
      <c r="BG121" s="14">
        <v>0</v>
      </c>
      <c r="BH121" s="14">
        <v>0</v>
      </c>
      <c r="BI121" s="14">
        <v>0</v>
      </c>
      <c r="BJ121" s="14">
        <v>0</v>
      </c>
      <c r="BK121" s="14">
        <v>1125</v>
      </c>
      <c r="BR121" s="14">
        <v>0</v>
      </c>
      <c r="BS121" s="14">
        <v>3</v>
      </c>
      <c r="BT121" s="14">
        <v>2</v>
      </c>
      <c r="BY121" s="14">
        <v>5</v>
      </c>
      <c r="CF121" s="14">
        <v>0</v>
      </c>
      <c r="CM121" s="14">
        <v>0</v>
      </c>
      <c r="CT121" s="14">
        <v>0</v>
      </c>
      <c r="DA121" s="14">
        <v>0</v>
      </c>
      <c r="DB121" s="14">
        <v>3</v>
      </c>
      <c r="DC121" s="14">
        <v>2</v>
      </c>
      <c r="DD121" s="14">
        <v>0</v>
      </c>
      <c r="DE121" s="14">
        <v>0</v>
      </c>
      <c r="DF121" s="14">
        <v>0</v>
      </c>
      <c r="DG121" s="14">
        <v>0</v>
      </c>
      <c r="DH121" s="14">
        <v>5</v>
      </c>
      <c r="DI121" s="14" t="s">
        <v>598</v>
      </c>
      <c r="DJ121" s="14" t="s">
        <v>598</v>
      </c>
      <c r="DK121" s="14" t="s">
        <v>598</v>
      </c>
      <c r="DL121" s="14" t="s">
        <v>598</v>
      </c>
      <c r="DM121" s="14" t="s">
        <v>598</v>
      </c>
      <c r="DN121" s="14" t="s">
        <v>598</v>
      </c>
      <c r="DO121" s="14" t="s">
        <v>597</v>
      </c>
      <c r="DP121" s="14" t="s">
        <v>597</v>
      </c>
      <c r="DQ121" s="14" t="s">
        <v>598</v>
      </c>
      <c r="DR121" s="14" t="s">
        <v>598</v>
      </c>
      <c r="DS121" s="14" t="s">
        <v>598</v>
      </c>
      <c r="DT121" s="14" t="s">
        <v>598</v>
      </c>
      <c r="DU121" s="14" t="s">
        <v>598</v>
      </c>
      <c r="DV121" s="14" t="s">
        <v>598</v>
      </c>
      <c r="DW121" s="14" t="s">
        <v>598</v>
      </c>
      <c r="DX121" s="14" t="s">
        <v>598</v>
      </c>
      <c r="DY121" s="14" t="s">
        <v>598</v>
      </c>
      <c r="DZ121" s="14" t="s">
        <v>598</v>
      </c>
      <c r="EA121" s="14" t="s">
        <v>598</v>
      </c>
      <c r="EB121" s="14" t="s">
        <v>598</v>
      </c>
      <c r="EC121" s="14" t="s">
        <v>598</v>
      </c>
      <c r="ED121" s="14" t="s">
        <v>598</v>
      </c>
      <c r="EE121" s="14" t="s">
        <v>598</v>
      </c>
      <c r="EF121" s="14" t="s">
        <v>598</v>
      </c>
      <c r="EG121" s="14" t="s">
        <v>598</v>
      </c>
      <c r="EH121" s="14" t="s">
        <v>598</v>
      </c>
      <c r="EI121" s="14" t="s">
        <v>598</v>
      </c>
      <c r="EJ121" s="14" t="s">
        <v>598</v>
      </c>
      <c r="EK121" s="14" t="s">
        <v>598</v>
      </c>
      <c r="EL121" s="14" t="s">
        <v>598</v>
      </c>
      <c r="EM121" s="14" t="s">
        <v>598</v>
      </c>
      <c r="EN121" s="14" t="s">
        <v>598</v>
      </c>
      <c r="EO121" s="14" t="s">
        <v>598</v>
      </c>
      <c r="EP121" s="14" t="s">
        <v>598</v>
      </c>
      <c r="EQ121" s="14" t="s">
        <v>598</v>
      </c>
      <c r="ER121" s="14" t="s">
        <v>598</v>
      </c>
      <c r="ES121" s="14">
        <v>56</v>
      </c>
      <c r="ET121" s="14">
        <v>33</v>
      </c>
      <c r="EY121" s="14">
        <v>89</v>
      </c>
      <c r="FA121" s="14">
        <v>500</v>
      </c>
      <c r="FF121" s="14">
        <v>500</v>
      </c>
      <c r="FM121" s="14">
        <v>0</v>
      </c>
      <c r="FT121" s="14">
        <v>0</v>
      </c>
      <c r="FU121" s="14">
        <v>29</v>
      </c>
      <c r="GA121" s="14">
        <v>29</v>
      </c>
      <c r="GH121" s="14">
        <v>0</v>
      </c>
      <c r="GO121" s="14">
        <v>0</v>
      </c>
      <c r="GP121" s="14" t="s">
        <v>1066</v>
      </c>
      <c r="GQ121" s="14">
        <v>507</v>
      </c>
      <c r="GW121" s="14">
        <v>507</v>
      </c>
      <c r="GX121" s="14">
        <v>592</v>
      </c>
      <c r="GY121" s="14">
        <v>533</v>
      </c>
      <c r="GZ121" s="14">
        <v>0</v>
      </c>
      <c r="HA121" s="14">
        <v>0</v>
      </c>
      <c r="HB121" s="14">
        <v>0</v>
      </c>
      <c r="HC121" s="14">
        <v>0</v>
      </c>
      <c r="HD121" s="14">
        <v>1125</v>
      </c>
      <c r="HK121" s="14">
        <v>0</v>
      </c>
      <c r="HR121" s="14">
        <v>0</v>
      </c>
      <c r="HY121" s="14">
        <v>0</v>
      </c>
      <c r="IF121" s="14">
        <v>0</v>
      </c>
      <c r="IM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0</v>
      </c>
      <c r="IS121" s="14">
        <v>0</v>
      </c>
      <c r="IT121" s="14">
        <v>0</v>
      </c>
      <c r="IW121" s="14">
        <v>100</v>
      </c>
      <c r="IZ121" s="14">
        <v>1</v>
      </c>
      <c r="JA121" s="14">
        <v>3</v>
      </c>
      <c r="JB121" s="14">
        <v>1</v>
      </c>
      <c r="JC121" s="14" t="s">
        <v>600</v>
      </c>
      <c r="NF121" s="14" t="s">
        <v>601</v>
      </c>
      <c r="NG121" s="14">
        <v>89</v>
      </c>
      <c r="NM121" s="14">
        <v>89</v>
      </c>
      <c r="NO121" s="14">
        <v>500</v>
      </c>
      <c r="NT121" s="14">
        <v>500</v>
      </c>
      <c r="OA121" s="14">
        <v>0</v>
      </c>
      <c r="OH121" s="14">
        <v>0</v>
      </c>
      <c r="OI121" s="14">
        <v>29</v>
      </c>
      <c r="OO121" s="14">
        <v>29</v>
      </c>
      <c r="OV121" s="14">
        <v>0</v>
      </c>
      <c r="PC121" s="14">
        <v>0</v>
      </c>
      <c r="PD121" s="14" t="s">
        <v>1066</v>
      </c>
      <c r="PE121" s="14">
        <v>507</v>
      </c>
      <c r="PK121" s="14">
        <v>507</v>
      </c>
      <c r="PL121" s="14">
        <v>625</v>
      </c>
      <c r="PM121" s="14">
        <v>500</v>
      </c>
      <c r="PN121" s="14">
        <v>0</v>
      </c>
      <c r="PO121" s="14">
        <v>0</v>
      </c>
      <c r="PP121" s="14">
        <v>0</v>
      </c>
      <c r="PQ121" s="14">
        <v>0</v>
      </c>
      <c r="PR121" s="14">
        <v>1125</v>
      </c>
      <c r="PS121" s="14">
        <v>592</v>
      </c>
      <c r="PT121" s="14">
        <v>533</v>
      </c>
      <c r="PY121" s="14">
        <v>1125</v>
      </c>
      <c r="QF121" s="14">
        <v>0</v>
      </c>
      <c r="QM121" s="14">
        <v>0</v>
      </c>
      <c r="QT121" s="14">
        <v>0</v>
      </c>
      <c r="RA121" s="14">
        <v>0</v>
      </c>
      <c r="RB121" s="14">
        <v>592</v>
      </c>
      <c r="RC121" s="14">
        <v>533</v>
      </c>
      <c r="RD121" s="14">
        <v>0</v>
      </c>
      <c r="RE121" s="14">
        <v>0</v>
      </c>
      <c r="RF121" s="14">
        <v>0</v>
      </c>
      <c r="RG121" s="14">
        <v>0</v>
      </c>
      <c r="RH121" s="14">
        <v>1125</v>
      </c>
      <c r="RI121" s="14" t="s">
        <v>602</v>
      </c>
      <c r="VL121" s="14" t="s">
        <v>603</v>
      </c>
      <c r="ZO121" s="14" t="s">
        <v>604</v>
      </c>
      <c r="ADR121" s="14" t="s">
        <v>605</v>
      </c>
    </row>
    <row r="122" spans="1:798" x14ac:dyDescent="0.25">
      <c r="A122" s="14">
        <v>102</v>
      </c>
      <c r="B122" s="14" t="s">
        <v>889</v>
      </c>
      <c r="C122" s="16">
        <f t="shared" si="12"/>
        <v>42780</v>
      </c>
      <c r="D122" s="14" t="s">
        <v>1209</v>
      </c>
      <c r="E122" s="14" t="s">
        <v>1210</v>
      </c>
      <c r="F122" s="14" t="s">
        <v>1211</v>
      </c>
      <c r="G122" s="14" t="s">
        <v>1212</v>
      </c>
      <c r="H122" s="14">
        <v>33176321505</v>
      </c>
      <c r="I122" s="14" t="s">
        <v>1078</v>
      </c>
      <c r="J122" s="14" t="s">
        <v>732</v>
      </c>
      <c r="L122" s="14">
        <v>1</v>
      </c>
      <c r="U122" s="14">
        <v>0</v>
      </c>
      <c r="V122" s="14">
        <v>120</v>
      </c>
      <c r="W122" s="14">
        <v>42.81</v>
      </c>
      <c r="X122" s="14">
        <v>17.34</v>
      </c>
      <c r="Y122" s="14">
        <v>925.41</v>
      </c>
      <c r="AB122" s="14">
        <v>1105.56</v>
      </c>
      <c r="AI122" s="14">
        <v>0</v>
      </c>
      <c r="AP122" s="14">
        <v>0</v>
      </c>
      <c r="AW122" s="14">
        <v>0</v>
      </c>
      <c r="BD122" s="14">
        <v>0</v>
      </c>
      <c r="BE122" s="14">
        <v>120</v>
      </c>
      <c r="BF122" s="14">
        <v>42.81</v>
      </c>
      <c r="BG122" s="14">
        <v>17.34</v>
      </c>
      <c r="BH122" s="14">
        <v>925.41</v>
      </c>
      <c r="BI122" s="14">
        <v>0</v>
      </c>
      <c r="BJ122" s="14">
        <v>0</v>
      </c>
      <c r="BK122" s="14">
        <v>1105.56</v>
      </c>
      <c r="BR122" s="14">
        <v>0</v>
      </c>
      <c r="BS122" s="14">
        <v>1</v>
      </c>
      <c r="BT122" s="14">
        <v>2</v>
      </c>
      <c r="BU122" s="14">
        <v>2</v>
      </c>
      <c r="BV122" s="14">
        <v>6</v>
      </c>
      <c r="BY122" s="14">
        <v>11</v>
      </c>
      <c r="CF122" s="14">
        <v>0</v>
      </c>
      <c r="CM122" s="14">
        <v>0</v>
      </c>
      <c r="CT122" s="14">
        <v>0</v>
      </c>
      <c r="DA122" s="14">
        <v>0</v>
      </c>
      <c r="DB122" s="14">
        <v>1</v>
      </c>
      <c r="DC122" s="14">
        <v>2</v>
      </c>
      <c r="DD122" s="14">
        <v>2</v>
      </c>
      <c r="DE122" s="14">
        <v>6</v>
      </c>
      <c r="DF122" s="14">
        <v>0</v>
      </c>
      <c r="DG122" s="14">
        <v>0</v>
      </c>
      <c r="DH122" s="14">
        <v>11</v>
      </c>
      <c r="DI122" s="14" t="s">
        <v>598</v>
      </c>
      <c r="DJ122" s="14" t="s">
        <v>598</v>
      </c>
      <c r="DK122" s="14" t="s">
        <v>598</v>
      </c>
      <c r="DL122" s="14" t="s">
        <v>598</v>
      </c>
      <c r="DM122" s="14" t="s">
        <v>598</v>
      </c>
      <c r="DN122" s="14" t="s">
        <v>598</v>
      </c>
      <c r="DO122" s="14" t="s">
        <v>597</v>
      </c>
      <c r="DP122" s="14" t="s">
        <v>597</v>
      </c>
      <c r="DQ122" s="14" t="s">
        <v>597</v>
      </c>
      <c r="DR122" s="14" t="s">
        <v>597</v>
      </c>
      <c r="DS122" s="14" t="s">
        <v>598</v>
      </c>
      <c r="DT122" s="14" t="s">
        <v>598</v>
      </c>
      <c r="DU122" s="14" t="s">
        <v>598</v>
      </c>
      <c r="DV122" s="14" t="s">
        <v>598</v>
      </c>
      <c r="DW122" s="14" t="s">
        <v>598</v>
      </c>
      <c r="DX122" s="14" t="s">
        <v>598</v>
      </c>
      <c r="DY122" s="14" t="s">
        <v>598</v>
      </c>
      <c r="DZ122" s="14" t="s">
        <v>598</v>
      </c>
      <c r="EA122" s="14" t="s">
        <v>598</v>
      </c>
      <c r="EB122" s="14" t="s">
        <v>598</v>
      </c>
      <c r="EC122" s="14" t="s">
        <v>598</v>
      </c>
      <c r="ED122" s="14" t="s">
        <v>598</v>
      </c>
      <c r="EE122" s="14" t="s">
        <v>598</v>
      </c>
      <c r="EF122" s="14" t="s">
        <v>598</v>
      </c>
      <c r="EG122" s="14" t="s">
        <v>598</v>
      </c>
      <c r="EH122" s="14" t="s">
        <v>598</v>
      </c>
      <c r="EI122" s="14" t="s">
        <v>598</v>
      </c>
      <c r="EJ122" s="14" t="s">
        <v>598</v>
      </c>
      <c r="EK122" s="14" t="s">
        <v>598</v>
      </c>
      <c r="EL122" s="14" t="s">
        <v>598</v>
      </c>
      <c r="EM122" s="14" t="s">
        <v>598</v>
      </c>
      <c r="EN122" s="14" t="s">
        <v>598</v>
      </c>
      <c r="EO122" s="14" t="s">
        <v>598</v>
      </c>
      <c r="EP122" s="14" t="s">
        <v>598</v>
      </c>
      <c r="EQ122" s="14" t="s">
        <v>598</v>
      </c>
      <c r="ER122" s="14" t="s">
        <v>598</v>
      </c>
      <c r="ET122" s="14">
        <v>33.299999999999997</v>
      </c>
      <c r="EV122" s="14">
        <v>312.55</v>
      </c>
      <c r="EY122" s="14">
        <v>345.85</v>
      </c>
      <c r="EZ122" s="14">
        <v>120</v>
      </c>
      <c r="FB122" s="14">
        <v>17.34</v>
      </c>
      <c r="FC122" s="14">
        <v>161.52000000000001</v>
      </c>
      <c r="FF122" s="14">
        <v>298.86</v>
      </c>
      <c r="FM122" s="14">
        <v>0</v>
      </c>
      <c r="FT122" s="14">
        <v>0</v>
      </c>
      <c r="GA122" s="14">
        <v>0</v>
      </c>
      <c r="GH122" s="14">
        <v>0</v>
      </c>
      <c r="GL122" s="14">
        <v>1.1200000000000001</v>
      </c>
      <c r="GO122" s="14">
        <v>1.1200000000000001</v>
      </c>
      <c r="GP122" s="14" t="s">
        <v>1213</v>
      </c>
      <c r="GR122" s="14">
        <v>9.51</v>
      </c>
      <c r="GT122" s="14">
        <v>450.22</v>
      </c>
      <c r="GW122" s="14">
        <v>459.73</v>
      </c>
      <c r="GX122" s="14">
        <v>120</v>
      </c>
      <c r="GY122" s="14">
        <v>42.81</v>
      </c>
      <c r="GZ122" s="14">
        <v>17.34</v>
      </c>
      <c r="HA122" s="14">
        <v>925.41</v>
      </c>
      <c r="HB122" s="14">
        <v>0</v>
      </c>
      <c r="HC122" s="14">
        <v>0</v>
      </c>
      <c r="HD122" s="14">
        <v>1105.56</v>
      </c>
      <c r="HH122" s="14">
        <v>246.4</v>
      </c>
      <c r="HK122" s="14">
        <v>246.4</v>
      </c>
      <c r="HL122" s="14">
        <v>120</v>
      </c>
      <c r="HM122" s="14">
        <v>42.81</v>
      </c>
      <c r="HN122" s="14">
        <v>17.34</v>
      </c>
      <c r="HO122" s="14">
        <v>679.01</v>
      </c>
      <c r="HR122" s="14">
        <v>859.16</v>
      </c>
      <c r="HY122" s="14">
        <v>0</v>
      </c>
      <c r="IF122" s="14">
        <v>0</v>
      </c>
      <c r="IM122" s="14">
        <v>0</v>
      </c>
      <c r="IN122" s="14">
        <v>120</v>
      </c>
      <c r="IO122" s="14">
        <v>42.81</v>
      </c>
      <c r="IP122" s="14">
        <v>17.34</v>
      </c>
      <c r="IQ122" s="14">
        <v>925.41</v>
      </c>
      <c r="IR122" s="14">
        <v>0</v>
      </c>
      <c r="IS122" s="14">
        <v>0</v>
      </c>
      <c r="IT122" s="14">
        <v>1105.56</v>
      </c>
      <c r="IV122" s="14">
        <v>59</v>
      </c>
      <c r="IW122" s="14">
        <v>41</v>
      </c>
      <c r="IZ122" s="14">
        <v>1</v>
      </c>
      <c r="JA122" s="14">
        <v>3</v>
      </c>
      <c r="JB122" s="14">
        <v>1</v>
      </c>
      <c r="JC122" s="14" t="s">
        <v>600</v>
      </c>
      <c r="NF122" s="14" t="s">
        <v>601</v>
      </c>
      <c r="RI122" s="14" t="s">
        <v>602</v>
      </c>
      <c r="VL122" s="14" t="s">
        <v>603</v>
      </c>
      <c r="ZO122" s="14" t="s">
        <v>604</v>
      </c>
      <c r="ADR122" s="14" t="s">
        <v>605</v>
      </c>
    </row>
    <row r="123" spans="1:798" x14ac:dyDescent="0.25">
      <c r="A123" s="14">
        <v>111</v>
      </c>
      <c r="B123" s="14" t="s">
        <v>889</v>
      </c>
      <c r="C123" s="16">
        <f t="shared" si="12"/>
        <v>42780</v>
      </c>
      <c r="D123" s="14" t="s">
        <v>1214</v>
      </c>
      <c r="E123" s="14" t="s">
        <v>1215</v>
      </c>
      <c r="F123" s="14" t="s">
        <v>1216</v>
      </c>
      <c r="G123" s="14" t="s">
        <v>1217</v>
      </c>
      <c r="H123" s="14" t="s">
        <v>1218</v>
      </c>
      <c r="I123" s="14" t="s">
        <v>731</v>
      </c>
      <c r="J123" s="14" t="s">
        <v>945</v>
      </c>
      <c r="L123" s="14">
        <v>1</v>
      </c>
      <c r="O123" s="14">
        <v>53</v>
      </c>
      <c r="U123" s="14">
        <v>53</v>
      </c>
      <c r="V123" s="14">
        <v>699.9</v>
      </c>
      <c r="AB123" s="14">
        <v>699.9</v>
      </c>
      <c r="AI123" s="14">
        <v>0</v>
      </c>
      <c r="AP123" s="14">
        <v>0</v>
      </c>
      <c r="AW123" s="14">
        <v>0</v>
      </c>
      <c r="BD123" s="14">
        <v>0</v>
      </c>
      <c r="BE123" s="14">
        <v>752.9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752.9</v>
      </c>
      <c r="BL123" s="14">
        <v>1</v>
      </c>
      <c r="BR123" s="14">
        <v>1</v>
      </c>
      <c r="BS123" s="14">
        <v>2</v>
      </c>
      <c r="BY123" s="14">
        <v>2</v>
      </c>
      <c r="CF123" s="14">
        <v>0</v>
      </c>
      <c r="CM123" s="14">
        <v>0</v>
      </c>
      <c r="CT123" s="14">
        <v>0</v>
      </c>
      <c r="DA123" s="14">
        <v>0</v>
      </c>
      <c r="DB123" s="14">
        <v>3</v>
      </c>
      <c r="DC123" s="14">
        <v>0</v>
      </c>
      <c r="DD123" s="14">
        <v>0</v>
      </c>
      <c r="DE123" s="14">
        <v>0</v>
      </c>
      <c r="DF123" s="14">
        <v>0</v>
      </c>
      <c r="DG123" s="14">
        <v>0</v>
      </c>
      <c r="DH123" s="14">
        <v>3</v>
      </c>
      <c r="DI123" s="14" t="s">
        <v>597</v>
      </c>
      <c r="DJ123" s="14" t="s">
        <v>598</v>
      </c>
      <c r="DK123" s="14" t="s">
        <v>598</v>
      </c>
      <c r="DL123" s="14" t="s">
        <v>598</v>
      </c>
      <c r="DM123" s="14" t="s">
        <v>598</v>
      </c>
      <c r="DN123" s="14" t="s">
        <v>598</v>
      </c>
      <c r="DO123" s="14" t="s">
        <v>597</v>
      </c>
      <c r="DP123" s="14" t="s">
        <v>598</v>
      </c>
      <c r="DQ123" s="14" t="s">
        <v>598</v>
      </c>
      <c r="DR123" s="14" t="s">
        <v>598</v>
      </c>
      <c r="DS123" s="14" t="s">
        <v>598</v>
      </c>
      <c r="DT123" s="14" t="s">
        <v>598</v>
      </c>
      <c r="DU123" s="14" t="s">
        <v>598</v>
      </c>
      <c r="DV123" s="14" t="s">
        <v>598</v>
      </c>
      <c r="DW123" s="14" t="s">
        <v>598</v>
      </c>
      <c r="DX123" s="14" t="s">
        <v>598</v>
      </c>
      <c r="DY123" s="14" t="s">
        <v>598</v>
      </c>
      <c r="DZ123" s="14" t="s">
        <v>598</v>
      </c>
      <c r="EA123" s="14" t="s">
        <v>598</v>
      </c>
      <c r="EB123" s="14" t="s">
        <v>598</v>
      </c>
      <c r="EC123" s="14" t="s">
        <v>598</v>
      </c>
      <c r="ED123" s="14" t="s">
        <v>598</v>
      </c>
      <c r="EE123" s="14" t="s">
        <v>598</v>
      </c>
      <c r="EF123" s="14" t="s">
        <v>598</v>
      </c>
      <c r="EG123" s="14" t="s">
        <v>598</v>
      </c>
      <c r="EH123" s="14" t="s">
        <v>598</v>
      </c>
      <c r="EI123" s="14" t="s">
        <v>598</v>
      </c>
      <c r="EJ123" s="14" t="s">
        <v>598</v>
      </c>
      <c r="EK123" s="14" t="s">
        <v>598</v>
      </c>
      <c r="EL123" s="14" t="s">
        <v>598</v>
      </c>
      <c r="EM123" s="14" t="s">
        <v>598</v>
      </c>
      <c r="EN123" s="14" t="s">
        <v>598</v>
      </c>
      <c r="EO123" s="14" t="s">
        <v>598</v>
      </c>
      <c r="EP123" s="14" t="s">
        <v>598</v>
      </c>
      <c r="EQ123" s="14" t="s">
        <v>598</v>
      </c>
      <c r="ER123" s="14" t="s">
        <v>598</v>
      </c>
      <c r="ES123" s="14">
        <v>473.4</v>
      </c>
      <c r="EY123" s="14">
        <v>473.4</v>
      </c>
      <c r="EZ123" s="14">
        <v>190.4</v>
      </c>
      <c r="FF123" s="14">
        <v>190.4</v>
      </c>
      <c r="FM123" s="14">
        <v>0</v>
      </c>
      <c r="FT123" s="14">
        <v>0</v>
      </c>
      <c r="GA123" s="14">
        <v>0</v>
      </c>
      <c r="GB123" s="14">
        <v>41</v>
      </c>
      <c r="GH123" s="14">
        <v>41</v>
      </c>
      <c r="GO123" s="14">
        <v>0</v>
      </c>
      <c r="GP123" s="14" t="s">
        <v>1219</v>
      </c>
      <c r="GQ123" s="14">
        <v>48.1</v>
      </c>
      <c r="GW123" s="14">
        <v>48.1</v>
      </c>
      <c r="GX123" s="14">
        <v>752.9</v>
      </c>
      <c r="GY123" s="14">
        <v>0</v>
      </c>
      <c r="GZ123" s="14">
        <v>0</v>
      </c>
      <c r="HA123" s="14">
        <v>0</v>
      </c>
      <c r="HB123" s="14">
        <v>0</v>
      </c>
      <c r="HC123" s="14">
        <v>0</v>
      </c>
      <c r="HD123" s="14">
        <v>752.9</v>
      </c>
      <c r="HE123" s="14">
        <v>2</v>
      </c>
      <c r="HK123" s="14">
        <v>2</v>
      </c>
      <c r="HL123" s="14">
        <v>726.6</v>
      </c>
      <c r="HR123" s="14">
        <v>726.6</v>
      </c>
      <c r="HS123" s="14">
        <v>24.3</v>
      </c>
      <c r="HY123" s="14">
        <v>24.3</v>
      </c>
      <c r="IF123" s="14">
        <v>0</v>
      </c>
      <c r="IM123" s="14">
        <v>0</v>
      </c>
      <c r="IN123" s="14">
        <v>752.9</v>
      </c>
      <c r="IO123" s="14">
        <v>0</v>
      </c>
      <c r="IP123" s="14">
        <v>0</v>
      </c>
      <c r="IQ123" s="14">
        <v>0</v>
      </c>
      <c r="IR123" s="14">
        <v>0</v>
      </c>
      <c r="IS123" s="14">
        <v>0</v>
      </c>
      <c r="IT123" s="14">
        <v>752.9</v>
      </c>
      <c r="IW123" s="14">
        <v>100</v>
      </c>
      <c r="IZ123" s="14">
        <v>3</v>
      </c>
      <c r="JA123" s="14">
        <v>3</v>
      </c>
      <c r="JB123" s="14">
        <v>1</v>
      </c>
      <c r="JC123" s="14" t="s">
        <v>600</v>
      </c>
      <c r="JJ123" s="14">
        <v>0</v>
      </c>
      <c r="JQ123" s="14">
        <v>0</v>
      </c>
      <c r="JX123" s="14">
        <v>0</v>
      </c>
      <c r="KE123" s="14">
        <v>0</v>
      </c>
      <c r="KL123" s="14">
        <v>0</v>
      </c>
      <c r="KM123" s="14">
        <v>28.8</v>
      </c>
      <c r="KS123" s="14">
        <v>28.8</v>
      </c>
      <c r="KZ123" s="14">
        <v>0</v>
      </c>
      <c r="LA123" s="14" t="s">
        <v>748</v>
      </c>
      <c r="LB123" s="14">
        <v>24.2</v>
      </c>
      <c r="LH123" s="14">
        <v>24.2</v>
      </c>
      <c r="LI123" s="14">
        <v>53</v>
      </c>
      <c r="LJ123" s="14">
        <v>0</v>
      </c>
      <c r="LK123" s="14">
        <v>0</v>
      </c>
      <c r="LL123" s="14">
        <v>0</v>
      </c>
      <c r="LM123" s="14">
        <v>0</v>
      </c>
      <c r="LN123" s="14">
        <v>0</v>
      </c>
      <c r="LO123" s="14">
        <v>53</v>
      </c>
      <c r="LP123" s="14">
        <v>28.8</v>
      </c>
      <c r="LV123" s="14">
        <v>28.8</v>
      </c>
      <c r="MC123" s="14">
        <v>0</v>
      </c>
      <c r="MD123" s="14">
        <v>24.2</v>
      </c>
      <c r="MJ123" s="14">
        <v>24.2</v>
      </c>
      <c r="MQ123" s="14">
        <v>0</v>
      </c>
      <c r="MX123" s="14">
        <v>0</v>
      </c>
      <c r="MY123" s="14">
        <v>53</v>
      </c>
      <c r="MZ123" s="14">
        <v>0</v>
      </c>
      <c r="NA123" s="14">
        <v>0</v>
      </c>
      <c r="NB123" s="14">
        <v>0</v>
      </c>
      <c r="NC123" s="14">
        <v>0</v>
      </c>
      <c r="ND123" s="14">
        <v>0</v>
      </c>
      <c r="NE123" s="14">
        <v>53</v>
      </c>
      <c r="NF123" s="14" t="s">
        <v>601</v>
      </c>
      <c r="NG123" s="14">
        <v>473.5</v>
      </c>
      <c r="NM123" s="14">
        <v>473.5</v>
      </c>
      <c r="NN123" s="14">
        <v>190.4</v>
      </c>
      <c r="NT123" s="14">
        <v>190.4</v>
      </c>
      <c r="OA123" s="14">
        <v>0</v>
      </c>
      <c r="OH123" s="14">
        <v>0</v>
      </c>
      <c r="OO123" s="14">
        <v>0</v>
      </c>
      <c r="OP123" s="14">
        <v>12.2</v>
      </c>
      <c r="OV123" s="14">
        <v>12.2</v>
      </c>
      <c r="PC123" s="14">
        <v>0</v>
      </c>
      <c r="PD123" s="14" t="s">
        <v>1220</v>
      </c>
      <c r="PE123" s="14">
        <v>23.8</v>
      </c>
      <c r="PK123" s="14">
        <v>23.8</v>
      </c>
      <c r="PL123" s="14">
        <v>699.9</v>
      </c>
      <c r="PM123" s="14">
        <v>0</v>
      </c>
      <c r="PN123" s="14">
        <v>0</v>
      </c>
      <c r="PO123" s="14">
        <v>0</v>
      </c>
      <c r="PP123" s="14">
        <v>0</v>
      </c>
      <c r="PQ123" s="14">
        <v>0</v>
      </c>
      <c r="PR123" s="14">
        <v>699.9</v>
      </c>
      <c r="PS123" s="14">
        <v>697.9</v>
      </c>
      <c r="PY123" s="14">
        <v>697.9</v>
      </c>
      <c r="PZ123" s="14">
        <v>2</v>
      </c>
      <c r="QF123" s="14">
        <v>2</v>
      </c>
      <c r="QM123" s="14">
        <v>0</v>
      </c>
      <c r="QT123" s="14">
        <v>0</v>
      </c>
      <c r="RA123" s="14">
        <v>0</v>
      </c>
      <c r="RB123" s="14">
        <v>699.9</v>
      </c>
      <c r="RC123" s="14">
        <v>0</v>
      </c>
      <c r="RD123" s="14">
        <v>0</v>
      </c>
      <c r="RE123" s="14">
        <v>0</v>
      </c>
      <c r="RF123" s="14">
        <v>0</v>
      </c>
      <c r="RG123" s="14">
        <v>0</v>
      </c>
      <c r="RH123" s="14">
        <v>699.9</v>
      </c>
      <c r="RI123" s="14" t="s">
        <v>602</v>
      </c>
      <c r="VL123" s="14" t="s">
        <v>603</v>
      </c>
      <c r="ZO123" s="14" t="s">
        <v>604</v>
      </c>
      <c r="ADR123" s="14" t="s">
        <v>605</v>
      </c>
    </row>
    <row r="124" spans="1:798" x14ac:dyDescent="0.25">
      <c r="A124" s="14">
        <v>45</v>
      </c>
      <c r="B124" s="14" t="s">
        <v>889</v>
      </c>
      <c r="C124" s="16">
        <f t="shared" si="12"/>
        <v>42780</v>
      </c>
      <c r="D124" s="14" t="s">
        <v>1221</v>
      </c>
      <c r="E124" s="14" t="s">
        <v>1222</v>
      </c>
      <c r="F124" s="14" t="s">
        <v>1223</v>
      </c>
      <c r="G124" s="14" t="s">
        <v>1224</v>
      </c>
      <c r="H124" s="14" t="s">
        <v>1225</v>
      </c>
      <c r="I124" s="14" t="s">
        <v>731</v>
      </c>
      <c r="J124" s="14" t="s">
        <v>732</v>
      </c>
      <c r="L124" s="14">
        <v>1</v>
      </c>
      <c r="U124" s="14">
        <v>0</v>
      </c>
      <c r="V124" s="14">
        <v>200</v>
      </c>
      <c r="Y124" s="14">
        <v>300</v>
      </c>
      <c r="AB124" s="14">
        <v>500</v>
      </c>
      <c r="AI124" s="14">
        <v>0</v>
      </c>
      <c r="AP124" s="14">
        <v>0</v>
      </c>
      <c r="AW124" s="14">
        <v>0</v>
      </c>
      <c r="BD124" s="14">
        <v>0</v>
      </c>
      <c r="BE124" s="14">
        <v>200</v>
      </c>
      <c r="BF124" s="14">
        <v>0</v>
      </c>
      <c r="BG124" s="14">
        <v>0</v>
      </c>
      <c r="BH124" s="14">
        <v>300</v>
      </c>
      <c r="BI124" s="14">
        <v>0</v>
      </c>
      <c r="BJ124" s="14">
        <v>0</v>
      </c>
      <c r="BK124" s="14">
        <v>500</v>
      </c>
      <c r="BR124" s="14">
        <v>0</v>
      </c>
      <c r="BS124" s="14">
        <v>1</v>
      </c>
      <c r="BV124" s="14">
        <v>13</v>
      </c>
      <c r="BY124" s="14">
        <v>14</v>
      </c>
      <c r="CF124" s="14">
        <v>0</v>
      </c>
      <c r="CM124" s="14">
        <v>0</v>
      </c>
      <c r="CT124" s="14">
        <v>0</v>
      </c>
      <c r="DA124" s="14">
        <v>0</v>
      </c>
      <c r="DB124" s="14">
        <v>1</v>
      </c>
      <c r="DC124" s="14">
        <v>0</v>
      </c>
      <c r="DD124" s="14">
        <v>0</v>
      </c>
      <c r="DE124" s="14">
        <v>13</v>
      </c>
      <c r="DF124" s="14">
        <v>0</v>
      </c>
      <c r="DG124" s="14">
        <v>0</v>
      </c>
      <c r="DH124" s="14">
        <v>14</v>
      </c>
      <c r="DI124" s="14" t="s">
        <v>598</v>
      </c>
      <c r="DJ124" s="14" t="s">
        <v>598</v>
      </c>
      <c r="DK124" s="14" t="s">
        <v>598</v>
      </c>
      <c r="DL124" s="14" t="s">
        <v>598</v>
      </c>
      <c r="DM124" s="14" t="s">
        <v>598</v>
      </c>
      <c r="DN124" s="14" t="s">
        <v>598</v>
      </c>
      <c r="DO124" s="14" t="s">
        <v>597</v>
      </c>
      <c r="DP124" s="14" t="s">
        <v>598</v>
      </c>
      <c r="DQ124" s="14" t="s">
        <v>598</v>
      </c>
      <c r="DR124" s="14" t="s">
        <v>597</v>
      </c>
      <c r="DS124" s="14" t="s">
        <v>598</v>
      </c>
      <c r="DT124" s="14" t="s">
        <v>598</v>
      </c>
      <c r="DU124" s="14" t="s">
        <v>598</v>
      </c>
      <c r="DV124" s="14" t="s">
        <v>598</v>
      </c>
      <c r="DW124" s="14" t="s">
        <v>598</v>
      </c>
      <c r="DX124" s="14" t="s">
        <v>598</v>
      </c>
      <c r="DY124" s="14" t="s">
        <v>598</v>
      </c>
      <c r="DZ124" s="14" t="s">
        <v>598</v>
      </c>
      <c r="EA124" s="14" t="s">
        <v>598</v>
      </c>
      <c r="EB124" s="14" t="s">
        <v>598</v>
      </c>
      <c r="EC124" s="14" t="s">
        <v>598</v>
      </c>
      <c r="ED124" s="14" t="s">
        <v>598</v>
      </c>
      <c r="EE124" s="14" t="s">
        <v>598</v>
      </c>
      <c r="EF124" s="14" t="s">
        <v>598</v>
      </c>
      <c r="EG124" s="14" t="s">
        <v>598</v>
      </c>
      <c r="EH124" s="14" t="s">
        <v>598</v>
      </c>
      <c r="EI124" s="14" t="s">
        <v>598</v>
      </c>
      <c r="EJ124" s="14" t="s">
        <v>598</v>
      </c>
      <c r="EK124" s="14" t="s">
        <v>598</v>
      </c>
      <c r="EL124" s="14" t="s">
        <v>598</v>
      </c>
      <c r="EM124" s="14" t="s">
        <v>598</v>
      </c>
      <c r="EN124" s="14" t="s">
        <v>598</v>
      </c>
      <c r="EO124" s="14" t="s">
        <v>598</v>
      </c>
      <c r="EP124" s="14" t="s">
        <v>598</v>
      </c>
      <c r="EQ124" s="14" t="s">
        <v>598</v>
      </c>
      <c r="ER124" s="14" t="s">
        <v>598</v>
      </c>
      <c r="ES124" s="14">
        <v>95</v>
      </c>
      <c r="EV124" s="14">
        <v>35</v>
      </c>
      <c r="EY124" s="14">
        <v>130</v>
      </c>
      <c r="FF124" s="14">
        <v>0</v>
      </c>
      <c r="FJ124" s="14">
        <v>100</v>
      </c>
      <c r="FM124" s="14">
        <v>100</v>
      </c>
      <c r="FT124" s="14">
        <v>0</v>
      </c>
      <c r="FU124" s="14">
        <v>5</v>
      </c>
      <c r="GA124" s="14">
        <v>5</v>
      </c>
      <c r="GB124" s="14">
        <v>35</v>
      </c>
      <c r="GE124" s="14">
        <v>60</v>
      </c>
      <c r="GH124" s="14">
        <v>95</v>
      </c>
      <c r="GI124" s="14">
        <v>85</v>
      </c>
      <c r="GL124" s="14">
        <v>85</v>
      </c>
      <c r="GO124" s="14">
        <v>170</v>
      </c>
      <c r="GW124" s="14">
        <v>0</v>
      </c>
      <c r="GX124" s="14">
        <v>220</v>
      </c>
      <c r="GY124" s="14">
        <v>0</v>
      </c>
      <c r="GZ124" s="14">
        <v>0</v>
      </c>
      <c r="HA124" s="14">
        <v>280</v>
      </c>
      <c r="HB124" s="14">
        <v>0</v>
      </c>
      <c r="HC124" s="14">
        <v>0</v>
      </c>
      <c r="HD124" s="14">
        <v>500</v>
      </c>
      <c r="HE124" s="14">
        <v>15</v>
      </c>
      <c r="HH124" s="14">
        <v>150</v>
      </c>
      <c r="HK124" s="14">
        <v>165</v>
      </c>
      <c r="HL124" s="14">
        <v>80</v>
      </c>
      <c r="HO124" s="14">
        <v>35</v>
      </c>
      <c r="HR124" s="14">
        <v>115</v>
      </c>
      <c r="HS124" s="14">
        <v>100</v>
      </c>
      <c r="HV124" s="14">
        <v>60</v>
      </c>
      <c r="HY124" s="14">
        <v>160</v>
      </c>
      <c r="HZ124" s="14">
        <v>5</v>
      </c>
      <c r="IC124" s="14">
        <v>55</v>
      </c>
      <c r="IF124" s="14">
        <v>60</v>
      </c>
      <c r="IM124" s="14">
        <v>0</v>
      </c>
      <c r="IN124" s="14">
        <v>200</v>
      </c>
      <c r="IO124" s="14">
        <v>0</v>
      </c>
      <c r="IP124" s="14">
        <v>0</v>
      </c>
      <c r="IQ124" s="14">
        <v>300</v>
      </c>
      <c r="IR124" s="14">
        <v>0</v>
      </c>
      <c r="IS124" s="14">
        <v>0</v>
      </c>
      <c r="IT124" s="14">
        <v>500</v>
      </c>
      <c r="IU124" s="14">
        <v>30</v>
      </c>
      <c r="IW124" s="14">
        <v>70</v>
      </c>
      <c r="IZ124" s="14">
        <v>1</v>
      </c>
      <c r="JA124" s="14">
        <v>3</v>
      </c>
      <c r="JB124" s="14">
        <v>1</v>
      </c>
      <c r="JC124" s="14" t="s">
        <v>600</v>
      </c>
      <c r="NF124" s="14" t="s">
        <v>601</v>
      </c>
      <c r="RI124" s="14" t="s">
        <v>602</v>
      </c>
      <c r="VL124" s="14" t="s">
        <v>603</v>
      </c>
      <c r="ZO124" s="14" t="s">
        <v>604</v>
      </c>
      <c r="ADR124" s="14" t="s">
        <v>605</v>
      </c>
    </row>
    <row r="125" spans="1:798" x14ac:dyDescent="0.25">
      <c r="A125" s="14">
        <v>53</v>
      </c>
      <c r="B125" s="14" t="s">
        <v>889</v>
      </c>
      <c r="C125" s="16">
        <f t="shared" si="12"/>
        <v>42780</v>
      </c>
      <c r="D125" s="14" t="s">
        <v>1226</v>
      </c>
      <c r="E125" s="14" t="s">
        <v>1227</v>
      </c>
      <c r="F125" s="14" t="s">
        <v>1228</v>
      </c>
      <c r="G125" s="14" t="s">
        <v>1229</v>
      </c>
      <c r="H125" s="14">
        <v>33144458521</v>
      </c>
      <c r="I125" s="14" t="s">
        <v>1078</v>
      </c>
      <c r="J125" s="14" t="s">
        <v>732</v>
      </c>
      <c r="L125" s="14">
        <v>1</v>
      </c>
      <c r="T125" s="14">
        <v>8.6999999999999993</v>
      </c>
      <c r="U125" s="14">
        <v>8.6999999999999993</v>
      </c>
      <c r="V125" s="14">
        <v>1080.4000000000001</v>
      </c>
      <c r="W125" s="14">
        <v>458.5</v>
      </c>
      <c r="Y125" s="14">
        <v>590</v>
      </c>
      <c r="AA125" s="14">
        <v>2085.5</v>
      </c>
      <c r="AB125" s="14">
        <v>4214.3999999999996</v>
      </c>
      <c r="AD125" s="14">
        <v>59.4</v>
      </c>
      <c r="AI125" s="14">
        <v>59.4</v>
      </c>
      <c r="AK125" s="14">
        <v>722</v>
      </c>
      <c r="AP125" s="14">
        <v>722</v>
      </c>
      <c r="AW125" s="14">
        <v>0</v>
      </c>
      <c r="BD125" s="14">
        <v>0</v>
      </c>
      <c r="BE125" s="14">
        <v>1080.4000000000001</v>
      </c>
      <c r="BF125" s="14">
        <v>1239.9000000000001</v>
      </c>
      <c r="BG125" s="14">
        <v>0</v>
      </c>
      <c r="BH125" s="14">
        <v>590</v>
      </c>
      <c r="BI125" s="14">
        <v>0</v>
      </c>
      <c r="BJ125" s="14">
        <v>2094.1999999999998</v>
      </c>
      <c r="BK125" s="14">
        <v>5004.5</v>
      </c>
      <c r="BQ125" s="14">
        <v>1</v>
      </c>
      <c r="BR125" s="14">
        <v>1</v>
      </c>
      <c r="BS125" s="14">
        <v>9</v>
      </c>
      <c r="BT125" s="14">
        <v>5</v>
      </c>
      <c r="BV125" s="14">
        <v>6</v>
      </c>
      <c r="BX125" s="14">
        <v>3</v>
      </c>
      <c r="BY125" s="14">
        <v>23</v>
      </c>
      <c r="CA125" s="14">
        <v>1</v>
      </c>
      <c r="CF125" s="14">
        <v>1</v>
      </c>
      <c r="CH125" s="14">
        <v>3</v>
      </c>
      <c r="CM125" s="14">
        <v>3</v>
      </c>
      <c r="CT125" s="14">
        <v>0</v>
      </c>
      <c r="DA125" s="14">
        <v>0</v>
      </c>
      <c r="DB125" s="14">
        <v>9</v>
      </c>
      <c r="DC125" s="14">
        <v>9</v>
      </c>
      <c r="DD125" s="14">
        <v>0</v>
      </c>
      <c r="DE125" s="14">
        <v>6</v>
      </c>
      <c r="DF125" s="14">
        <v>0</v>
      </c>
      <c r="DG125" s="14">
        <v>4</v>
      </c>
      <c r="DH125" s="14">
        <v>28</v>
      </c>
      <c r="DI125" s="14" t="s">
        <v>598</v>
      </c>
      <c r="DJ125" s="14" t="s">
        <v>598</v>
      </c>
      <c r="DK125" s="14" t="s">
        <v>598</v>
      </c>
      <c r="DL125" s="14" t="s">
        <v>598</v>
      </c>
      <c r="DM125" s="14" t="s">
        <v>598</v>
      </c>
      <c r="DN125" s="14" t="s">
        <v>597</v>
      </c>
      <c r="DO125" s="14" t="s">
        <v>597</v>
      </c>
      <c r="DP125" s="14" t="s">
        <v>597</v>
      </c>
      <c r="DQ125" s="14" t="s">
        <v>598</v>
      </c>
      <c r="DR125" s="14" t="s">
        <v>597</v>
      </c>
      <c r="DS125" s="14" t="s">
        <v>598</v>
      </c>
      <c r="DT125" s="14" t="s">
        <v>597</v>
      </c>
      <c r="DU125" s="14" t="s">
        <v>598</v>
      </c>
      <c r="DV125" s="14" t="s">
        <v>597</v>
      </c>
      <c r="DW125" s="14" t="s">
        <v>598</v>
      </c>
      <c r="DX125" s="14" t="s">
        <v>598</v>
      </c>
      <c r="DY125" s="14" t="s">
        <v>598</v>
      </c>
      <c r="DZ125" s="14" t="s">
        <v>598</v>
      </c>
      <c r="EA125" s="14" t="s">
        <v>598</v>
      </c>
      <c r="EB125" s="14" t="s">
        <v>597</v>
      </c>
      <c r="EC125" s="14" t="s">
        <v>598</v>
      </c>
      <c r="ED125" s="14" t="s">
        <v>598</v>
      </c>
      <c r="EE125" s="14" t="s">
        <v>598</v>
      </c>
      <c r="EF125" s="14" t="s">
        <v>598</v>
      </c>
      <c r="EG125" s="14" t="s">
        <v>598</v>
      </c>
      <c r="EH125" s="14" t="s">
        <v>598</v>
      </c>
      <c r="EI125" s="14" t="s">
        <v>598</v>
      </c>
      <c r="EJ125" s="14" t="s">
        <v>598</v>
      </c>
      <c r="EK125" s="14" t="s">
        <v>598</v>
      </c>
      <c r="EL125" s="14" t="s">
        <v>598</v>
      </c>
      <c r="EM125" s="14" t="s">
        <v>598</v>
      </c>
      <c r="EN125" s="14" t="s">
        <v>598</v>
      </c>
      <c r="EO125" s="14" t="s">
        <v>598</v>
      </c>
      <c r="EP125" s="14" t="s">
        <v>598</v>
      </c>
      <c r="EQ125" s="14" t="s">
        <v>598</v>
      </c>
      <c r="ER125" s="14" t="s">
        <v>598</v>
      </c>
      <c r="ES125" s="14">
        <v>250.3</v>
      </c>
      <c r="ET125" s="14">
        <v>245</v>
      </c>
      <c r="EV125" s="14">
        <v>362.7</v>
      </c>
      <c r="EX125" s="14">
        <v>333</v>
      </c>
      <c r="EY125" s="14">
        <v>1191</v>
      </c>
      <c r="EZ125" s="14">
        <v>723.4</v>
      </c>
      <c r="FA125" s="14">
        <v>928.9</v>
      </c>
      <c r="FC125" s="14">
        <v>195.1</v>
      </c>
      <c r="FE125" s="14">
        <v>1646.2</v>
      </c>
      <c r="FF125" s="14">
        <v>3493.6</v>
      </c>
      <c r="FH125" s="14">
        <v>66</v>
      </c>
      <c r="FJ125" s="14">
        <v>32.200000000000003</v>
      </c>
      <c r="FM125" s="14">
        <v>98.2</v>
      </c>
      <c r="FT125" s="14">
        <v>0</v>
      </c>
      <c r="GA125" s="14">
        <v>0</v>
      </c>
      <c r="GB125" s="14">
        <v>17.2</v>
      </c>
      <c r="GH125" s="14">
        <v>17.2</v>
      </c>
      <c r="GI125" s="14">
        <v>10</v>
      </c>
      <c r="GO125" s="14">
        <v>10</v>
      </c>
      <c r="GP125" s="14" t="s">
        <v>1230</v>
      </c>
      <c r="GQ125" s="14">
        <v>79.5</v>
      </c>
      <c r="GV125" s="14">
        <v>115</v>
      </c>
      <c r="GW125" s="14">
        <v>194.5</v>
      </c>
      <c r="GX125" s="14">
        <v>1080.4000000000001</v>
      </c>
      <c r="GY125" s="14">
        <v>1239.9000000000001</v>
      </c>
      <c r="GZ125" s="14">
        <v>0</v>
      </c>
      <c r="HA125" s="14">
        <v>590</v>
      </c>
      <c r="HB125" s="14">
        <v>0</v>
      </c>
      <c r="HC125" s="14">
        <v>2094.1999999999998</v>
      </c>
      <c r="HD125" s="14">
        <v>5004.5</v>
      </c>
      <c r="HE125" s="14">
        <v>60</v>
      </c>
      <c r="HF125" s="14">
        <v>66</v>
      </c>
      <c r="HH125" s="14">
        <v>92.2</v>
      </c>
      <c r="HJ125" s="14">
        <v>8.6999999999999993</v>
      </c>
      <c r="HK125" s="14">
        <v>226.9</v>
      </c>
      <c r="HL125" s="14">
        <v>966.6</v>
      </c>
      <c r="HM125" s="14">
        <v>869.5</v>
      </c>
      <c r="HO125" s="14">
        <v>433.3</v>
      </c>
      <c r="HQ125" s="14">
        <v>2085.5</v>
      </c>
      <c r="HR125" s="14">
        <v>4354.8999999999996</v>
      </c>
      <c r="HS125" s="14">
        <v>53.8</v>
      </c>
      <c r="HT125" s="14">
        <v>304.39999999999998</v>
      </c>
      <c r="HV125" s="14">
        <v>64.400000000000006</v>
      </c>
      <c r="HY125" s="14">
        <v>422.6</v>
      </c>
      <c r="IF125" s="14">
        <v>0</v>
      </c>
      <c r="IM125" s="14">
        <v>0</v>
      </c>
      <c r="IN125" s="14">
        <v>1080.4000000000001</v>
      </c>
      <c r="IO125" s="14">
        <v>1239.9000000000001</v>
      </c>
      <c r="IP125" s="14">
        <v>0</v>
      </c>
      <c r="IQ125" s="14">
        <v>589.9</v>
      </c>
      <c r="IR125" s="14">
        <v>0</v>
      </c>
      <c r="IS125" s="14">
        <v>2094.1999999999998</v>
      </c>
      <c r="IT125" s="14">
        <v>5004.3999999999996</v>
      </c>
      <c r="IW125" s="14">
        <v>100</v>
      </c>
      <c r="IZ125" s="14">
        <v>3</v>
      </c>
      <c r="JA125" s="14">
        <v>3</v>
      </c>
      <c r="JB125" s="14">
        <v>1</v>
      </c>
      <c r="JC125" s="14" t="s">
        <v>600</v>
      </c>
      <c r="JJ125" s="14">
        <v>0</v>
      </c>
      <c r="JP125" s="14">
        <v>8.6999999999999993</v>
      </c>
      <c r="JQ125" s="14">
        <v>8.6999999999999993</v>
      </c>
      <c r="JX125" s="14">
        <v>0</v>
      </c>
      <c r="KE125" s="14">
        <v>0</v>
      </c>
      <c r="KL125" s="14">
        <v>0</v>
      </c>
      <c r="KS125" s="14">
        <v>0</v>
      </c>
      <c r="KZ125" s="14">
        <v>0</v>
      </c>
      <c r="LH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8.6999999999999993</v>
      </c>
      <c r="LO125" s="14">
        <v>8.6999999999999993</v>
      </c>
      <c r="LV125" s="14">
        <v>0</v>
      </c>
      <c r="MB125" s="14">
        <v>8.6999999999999993</v>
      </c>
      <c r="MC125" s="14">
        <v>8.6999999999999993</v>
      </c>
      <c r="MJ125" s="14">
        <v>0</v>
      </c>
      <c r="MQ125" s="14">
        <v>0</v>
      </c>
      <c r="MX125" s="14">
        <v>0</v>
      </c>
      <c r="MY125" s="14">
        <v>0</v>
      </c>
      <c r="MZ125" s="14">
        <v>0</v>
      </c>
      <c r="NA125" s="14">
        <v>0</v>
      </c>
      <c r="NB125" s="14">
        <v>0</v>
      </c>
      <c r="NC125" s="14">
        <v>0</v>
      </c>
      <c r="ND125" s="14">
        <v>8.6999999999999993</v>
      </c>
      <c r="NE125" s="14">
        <v>8.6999999999999993</v>
      </c>
      <c r="NF125" s="14" t="s">
        <v>601</v>
      </c>
      <c r="NG125" s="14">
        <v>250.3</v>
      </c>
      <c r="NH125" s="14">
        <v>245</v>
      </c>
      <c r="NJ125" s="14">
        <v>362.7</v>
      </c>
      <c r="NL125" s="14">
        <v>333</v>
      </c>
      <c r="NM125" s="14">
        <v>1191</v>
      </c>
      <c r="NN125" s="14">
        <v>723.4</v>
      </c>
      <c r="NO125" s="14">
        <v>147.5</v>
      </c>
      <c r="NQ125" s="14">
        <v>195.1</v>
      </c>
      <c r="NS125" s="14">
        <v>1637.5</v>
      </c>
      <c r="NT125" s="14">
        <v>2703.5</v>
      </c>
      <c r="NV125" s="14">
        <v>66</v>
      </c>
      <c r="NX125" s="14">
        <v>32.200000000000003</v>
      </c>
      <c r="OA125" s="14">
        <v>98.2</v>
      </c>
      <c r="OH125" s="14">
        <v>0</v>
      </c>
      <c r="OO125" s="14">
        <v>0</v>
      </c>
      <c r="OP125" s="14">
        <v>17.2</v>
      </c>
      <c r="OV125" s="14">
        <v>17.2</v>
      </c>
      <c r="OW125" s="14">
        <v>10</v>
      </c>
      <c r="PC125" s="14">
        <v>10</v>
      </c>
      <c r="PD125" s="14" t="s">
        <v>1231</v>
      </c>
      <c r="PE125" s="14">
        <v>79.5</v>
      </c>
      <c r="PJ125" s="14">
        <v>115</v>
      </c>
      <c r="PK125" s="14">
        <v>194.5</v>
      </c>
      <c r="PL125" s="14">
        <v>1080.4000000000001</v>
      </c>
      <c r="PM125" s="14">
        <v>458.5</v>
      </c>
      <c r="PN125" s="14">
        <v>0</v>
      </c>
      <c r="PO125" s="14">
        <v>590</v>
      </c>
      <c r="PP125" s="14">
        <v>0</v>
      </c>
      <c r="PQ125" s="14">
        <v>2085.5</v>
      </c>
      <c r="PR125" s="14">
        <v>4214.3999999999996</v>
      </c>
      <c r="PS125" s="14">
        <v>966.6</v>
      </c>
      <c r="PT125" s="14">
        <v>147.5</v>
      </c>
      <c r="PV125" s="14">
        <v>433.3</v>
      </c>
      <c r="PX125" s="14">
        <v>2085.5</v>
      </c>
      <c r="PY125" s="14">
        <v>3632.9</v>
      </c>
      <c r="PZ125" s="14">
        <v>60</v>
      </c>
      <c r="QA125" s="14">
        <v>66</v>
      </c>
      <c r="QC125" s="14">
        <v>92.2</v>
      </c>
      <c r="QF125" s="14">
        <v>218.2</v>
      </c>
      <c r="QG125" s="14">
        <v>53.8</v>
      </c>
      <c r="QH125" s="14">
        <v>245</v>
      </c>
      <c r="QJ125" s="14">
        <v>64.400000000000006</v>
      </c>
      <c r="QM125" s="14">
        <v>363.2</v>
      </c>
      <c r="QT125" s="14">
        <v>0</v>
      </c>
      <c r="RA125" s="14">
        <v>0</v>
      </c>
      <c r="RB125" s="14">
        <v>1080.4000000000001</v>
      </c>
      <c r="RC125" s="14">
        <v>458.5</v>
      </c>
      <c r="RD125" s="14">
        <v>0</v>
      </c>
      <c r="RE125" s="14">
        <v>589.9</v>
      </c>
      <c r="RF125" s="14">
        <v>0</v>
      </c>
      <c r="RG125" s="14">
        <v>2085.5</v>
      </c>
      <c r="RH125" s="14">
        <v>4214.3</v>
      </c>
      <c r="RI125" s="14" t="s">
        <v>602</v>
      </c>
      <c r="RP125" s="14">
        <v>0</v>
      </c>
      <c r="RR125" s="14">
        <v>59.4</v>
      </c>
      <c r="RW125" s="14">
        <v>59.4</v>
      </c>
      <c r="SD125" s="14">
        <v>0</v>
      </c>
      <c r="SK125" s="14">
        <v>0</v>
      </c>
      <c r="SR125" s="14">
        <v>0</v>
      </c>
      <c r="SY125" s="14">
        <v>0</v>
      </c>
      <c r="TF125" s="14">
        <v>0</v>
      </c>
      <c r="TN125" s="14">
        <v>0</v>
      </c>
      <c r="TO125" s="14">
        <v>0</v>
      </c>
      <c r="TP125" s="14">
        <v>59.4</v>
      </c>
      <c r="TQ125" s="14">
        <v>0</v>
      </c>
      <c r="TR125" s="14">
        <v>0</v>
      </c>
      <c r="TS125" s="14">
        <v>0</v>
      </c>
      <c r="TT125" s="14">
        <v>0</v>
      </c>
      <c r="TU125" s="14">
        <v>59.4</v>
      </c>
      <c r="UB125" s="14">
        <v>0</v>
      </c>
      <c r="UI125" s="14">
        <v>0</v>
      </c>
      <c r="UK125" s="14">
        <v>59.4</v>
      </c>
      <c r="UP125" s="14">
        <v>59.4</v>
      </c>
      <c r="UW125" s="14">
        <v>0</v>
      </c>
      <c r="VD125" s="14">
        <v>0</v>
      </c>
      <c r="VE125" s="14">
        <v>0</v>
      </c>
      <c r="VF125" s="14">
        <v>59.4</v>
      </c>
      <c r="VG125" s="14">
        <v>0</v>
      </c>
      <c r="VH125" s="14">
        <v>0</v>
      </c>
      <c r="VI125" s="14">
        <v>0</v>
      </c>
      <c r="VJ125" s="14">
        <v>0</v>
      </c>
      <c r="VK125" s="14">
        <v>59.4</v>
      </c>
      <c r="VL125" s="14" t="s">
        <v>603</v>
      </c>
      <c r="VS125" s="14">
        <v>0</v>
      </c>
      <c r="VU125" s="14">
        <v>722</v>
      </c>
      <c r="VZ125" s="14">
        <v>722</v>
      </c>
      <c r="WG125" s="14">
        <v>0</v>
      </c>
      <c r="WN125" s="14">
        <v>0</v>
      </c>
      <c r="WU125" s="14">
        <v>0</v>
      </c>
      <c r="XB125" s="14">
        <v>0</v>
      </c>
      <c r="XI125" s="14">
        <v>0</v>
      </c>
      <c r="XQ125" s="14">
        <v>0</v>
      </c>
      <c r="XR125" s="14">
        <v>0</v>
      </c>
      <c r="XS125" s="14">
        <v>722</v>
      </c>
      <c r="XT125" s="14">
        <v>0</v>
      </c>
      <c r="XU125" s="14">
        <v>0</v>
      </c>
      <c r="XV125" s="14">
        <v>0</v>
      </c>
      <c r="XW125" s="14">
        <v>0</v>
      </c>
      <c r="XX125" s="14">
        <v>722</v>
      </c>
      <c r="XZ125" s="14">
        <v>722</v>
      </c>
      <c r="YE125" s="14">
        <v>722</v>
      </c>
      <c r="YL125" s="14">
        <v>0</v>
      </c>
      <c r="YS125" s="14">
        <v>0</v>
      </c>
      <c r="YZ125" s="14">
        <v>0</v>
      </c>
      <c r="ZG125" s="14">
        <v>0</v>
      </c>
      <c r="ZH125" s="14">
        <v>0</v>
      </c>
      <c r="ZI125" s="14">
        <v>722</v>
      </c>
      <c r="ZJ125" s="14">
        <v>0</v>
      </c>
      <c r="ZK125" s="14">
        <v>0</v>
      </c>
      <c r="ZL125" s="14">
        <v>0</v>
      </c>
      <c r="ZM125" s="14">
        <v>0</v>
      </c>
      <c r="ZN125" s="14">
        <v>722</v>
      </c>
      <c r="ZO125" s="14" t="s">
        <v>604</v>
      </c>
      <c r="ADR125" s="14" t="s">
        <v>605</v>
      </c>
    </row>
    <row r="126" spans="1:798" x14ac:dyDescent="0.25">
      <c r="A126" s="14">
        <v>167</v>
      </c>
      <c r="B126" s="14" t="s">
        <v>889</v>
      </c>
      <c r="C126" s="16">
        <f t="shared" si="12"/>
        <v>42780</v>
      </c>
      <c r="D126" s="14" t="s">
        <v>1232</v>
      </c>
      <c r="E126" s="14" t="s">
        <v>1233</v>
      </c>
      <c r="F126" s="14" t="s">
        <v>693</v>
      </c>
      <c r="G126" s="14" t="s">
        <v>1234</v>
      </c>
      <c r="H126" s="14" t="s">
        <v>1235</v>
      </c>
      <c r="I126" s="14" t="s">
        <v>731</v>
      </c>
      <c r="J126" s="14" t="s">
        <v>732</v>
      </c>
      <c r="L126" s="14">
        <v>1</v>
      </c>
      <c r="U126" s="14">
        <v>0</v>
      </c>
      <c r="V126" s="14">
        <v>438</v>
      </c>
      <c r="W126" s="14">
        <v>34</v>
      </c>
      <c r="Y126" s="14">
        <v>69</v>
      </c>
      <c r="AB126" s="14">
        <v>541</v>
      </c>
      <c r="AI126" s="14">
        <v>0</v>
      </c>
      <c r="AP126" s="14">
        <v>0</v>
      </c>
      <c r="AW126" s="14">
        <v>0</v>
      </c>
      <c r="BD126" s="14">
        <v>0</v>
      </c>
      <c r="BE126" s="14">
        <v>438</v>
      </c>
      <c r="BF126" s="14">
        <v>34</v>
      </c>
      <c r="BG126" s="14">
        <v>0</v>
      </c>
      <c r="BH126" s="14">
        <v>69</v>
      </c>
      <c r="BI126" s="14">
        <v>0</v>
      </c>
      <c r="BJ126" s="14">
        <v>0</v>
      </c>
      <c r="BK126" s="14">
        <v>541</v>
      </c>
      <c r="BR126" s="14">
        <v>0</v>
      </c>
      <c r="BS126" s="14">
        <v>7</v>
      </c>
      <c r="BT126" s="14">
        <v>1</v>
      </c>
      <c r="BV126" s="14">
        <v>2</v>
      </c>
      <c r="BY126" s="14">
        <v>10</v>
      </c>
      <c r="CF126" s="14">
        <v>0</v>
      </c>
      <c r="CM126" s="14">
        <v>0</v>
      </c>
      <c r="CT126" s="14">
        <v>0</v>
      </c>
      <c r="DA126" s="14">
        <v>0</v>
      </c>
      <c r="DB126" s="14">
        <v>7</v>
      </c>
      <c r="DC126" s="14">
        <v>1</v>
      </c>
      <c r="DD126" s="14">
        <v>0</v>
      </c>
      <c r="DE126" s="14">
        <v>2</v>
      </c>
      <c r="DF126" s="14">
        <v>0</v>
      </c>
      <c r="DG126" s="14">
        <v>0</v>
      </c>
      <c r="DH126" s="14">
        <v>10</v>
      </c>
      <c r="DI126" s="14" t="s">
        <v>598</v>
      </c>
      <c r="DJ126" s="14" t="s">
        <v>598</v>
      </c>
      <c r="DK126" s="14" t="s">
        <v>598</v>
      </c>
      <c r="DL126" s="14" t="s">
        <v>598</v>
      </c>
      <c r="DM126" s="14" t="s">
        <v>598</v>
      </c>
      <c r="DN126" s="14" t="s">
        <v>598</v>
      </c>
      <c r="DO126" s="14" t="s">
        <v>597</v>
      </c>
      <c r="DP126" s="14" t="s">
        <v>597</v>
      </c>
      <c r="DQ126" s="14" t="s">
        <v>598</v>
      </c>
      <c r="DR126" s="14" t="s">
        <v>597</v>
      </c>
      <c r="DS126" s="14" t="s">
        <v>598</v>
      </c>
      <c r="DT126" s="14" t="s">
        <v>598</v>
      </c>
      <c r="DU126" s="14" t="s">
        <v>598</v>
      </c>
      <c r="DV126" s="14" t="s">
        <v>598</v>
      </c>
      <c r="DW126" s="14" t="s">
        <v>598</v>
      </c>
      <c r="DX126" s="14" t="s">
        <v>598</v>
      </c>
      <c r="DY126" s="14" t="s">
        <v>598</v>
      </c>
      <c r="DZ126" s="14" t="s">
        <v>598</v>
      </c>
      <c r="EA126" s="14" t="s">
        <v>598</v>
      </c>
      <c r="EB126" s="14" t="s">
        <v>598</v>
      </c>
      <c r="EC126" s="14" t="s">
        <v>598</v>
      </c>
      <c r="ED126" s="14" t="s">
        <v>598</v>
      </c>
      <c r="EE126" s="14" t="s">
        <v>598</v>
      </c>
      <c r="EF126" s="14" t="s">
        <v>598</v>
      </c>
      <c r="EG126" s="14" t="s">
        <v>598</v>
      </c>
      <c r="EH126" s="14" t="s">
        <v>598</v>
      </c>
      <c r="EI126" s="14" t="s">
        <v>598</v>
      </c>
      <c r="EJ126" s="14" t="s">
        <v>598</v>
      </c>
      <c r="EK126" s="14" t="s">
        <v>598</v>
      </c>
      <c r="EL126" s="14" t="s">
        <v>598</v>
      </c>
      <c r="EM126" s="14" t="s">
        <v>598</v>
      </c>
      <c r="EN126" s="14" t="s">
        <v>598</v>
      </c>
      <c r="EO126" s="14" t="s">
        <v>598</v>
      </c>
      <c r="EP126" s="14" t="s">
        <v>598</v>
      </c>
      <c r="EQ126" s="14" t="s">
        <v>598</v>
      </c>
      <c r="ER126" s="14" t="s">
        <v>598</v>
      </c>
      <c r="EY126" s="14">
        <v>0</v>
      </c>
      <c r="FF126" s="14">
        <v>0</v>
      </c>
      <c r="FG126" s="14">
        <v>46</v>
      </c>
      <c r="FM126" s="14">
        <v>46</v>
      </c>
      <c r="FT126" s="14">
        <v>0</v>
      </c>
      <c r="GA126" s="14">
        <v>0</v>
      </c>
      <c r="GH126" s="14">
        <v>0</v>
      </c>
      <c r="GI126" s="14">
        <v>362</v>
      </c>
      <c r="GO126" s="14">
        <v>362</v>
      </c>
      <c r="GP126" s="14" t="s">
        <v>1236</v>
      </c>
      <c r="GQ126" s="14">
        <v>30</v>
      </c>
      <c r="GR126" s="14">
        <v>34</v>
      </c>
      <c r="GT126" s="14">
        <v>69</v>
      </c>
      <c r="GW126" s="14">
        <v>133</v>
      </c>
      <c r="GX126" s="14">
        <v>438</v>
      </c>
      <c r="GY126" s="14">
        <v>34</v>
      </c>
      <c r="GZ126" s="14">
        <v>0</v>
      </c>
      <c r="HA126" s="14">
        <v>69</v>
      </c>
      <c r="HB126" s="14">
        <v>0</v>
      </c>
      <c r="HC126" s="14">
        <v>0</v>
      </c>
      <c r="HD126" s="14">
        <v>541</v>
      </c>
      <c r="HE126" s="14">
        <v>279</v>
      </c>
      <c r="HK126" s="14">
        <v>279</v>
      </c>
      <c r="HL126" s="14">
        <v>129</v>
      </c>
      <c r="HM126" s="14">
        <v>34</v>
      </c>
      <c r="HR126" s="14">
        <v>163</v>
      </c>
      <c r="HS126" s="14">
        <v>30</v>
      </c>
      <c r="HV126" s="14">
        <v>69</v>
      </c>
      <c r="HY126" s="14">
        <v>99</v>
      </c>
      <c r="IF126" s="14">
        <v>0</v>
      </c>
      <c r="IM126" s="14">
        <v>0</v>
      </c>
      <c r="IN126" s="14">
        <v>438</v>
      </c>
      <c r="IO126" s="14">
        <v>34</v>
      </c>
      <c r="IP126" s="14">
        <v>0</v>
      </c>
      <c r="IQ126" s="14">
        <v>69</v>
      </c>
      <c r="IR126" s="14">
        <v>0</v>
      </c>
      <c r="IS126" s="14">
        <v>0</v>
      </c>
      <c r="IT126" s="14">
        <v>541</v>
      </c>
      <c r="IV126" s="14">
        <v>10</v>
      </c>
      <c r="IW126" s="14">
        <v>20</v>
      </c>
      <c r="IX126" s="14" t="s">
        <v>1237</v>
      </c>
      <c r="IY126" s="14">
        <v>70</v>
      </c>
      <c r="IZ126" s="14">
        <v>1</v>
      </c>
      <c r="JA126" s="14">
        <v>3</v>
      </c>
      <c r="JB126" s="14">
        <v>1</v>
      </c>
      <c r="JC126" s="14" t="s">
        <v>600</v>
      </c>
      <c r="NF126" s="14" t="s">
        <v>601</v>
      </c>
      <c r="NM126" s="14">
        <v>0</v>
      </c>
      <c r="NT126" s="14">
        <v>0</v>
      </c>
      <c r="NU126" s="14">
        <v>46</v>
      </c>
      <c r="OA126" s="14">
        <v>46</v>
      </c>
      <c r="OH126" s="14">
        <v>0</v>
      </c>
      <c r="OO126" s="14">
        <v>0</v>
      </c>
      <c r="OV126" s="14">
        <v>0</v>
      </c>
      <c r="OW126" s="14">
        <v>362</v>
      </c>
      <c r="PC126" s="14">
        <v>362</v>
      </c>
      <c r="PD126" s="14" t="s">
        <v>1236</v>
      </c>
      <c r="PE126" s="14">
        <v>30</v>
      </c>
      <c r="PF126" s="14">
        <v>34</v>
      </c>
      <c r="PH126" s="14">
        <v>69</v>
      </c>
      <c r="PK126" s="14">
        <v>133</v>
      </c>
      <c r="PL126" s="14">
        <v>438</v>
      </c>
      <c r="PM126" s="14">
        <v>34</v>
      </c>
      <c r="PN126" s="14">
        <v>0</v>
      </c>
      <c r="PO126" s="14">
        <v>69</v>
      </c>
      <c r="PP126" s="14">
        <v>0</v>
      </c>
      <c r="PQ126" s="14">
        <v>0</v>
      </c>
      <c r="PR126" s="14">
        <v>541</v>
      </c>
      <c r="PS126" s="14">
        <v>129</v>
      </c>
      <c r="PT126" s="14">
        <v>34</v>
      </c>
      <c r="PY126" s="14">
        <v>163</v>
      </c>
      <c r="PZ126" s="14">
        <v>279</v>
      </c>
      <c r="QF126" s="14">
        <v>279</v>
      </c>
      <c r="QG126" s="14">
        <v>30</v>
      </c>
      <c r="QJ126" s="14">
        <v>69</v>
      </c>
      <c r="QM126" s="14">
        <v>99</v>
      </c>
      <c r="QT126" s="14">
        <v>0</v>
      </c>
      <c r="RA126" s="14">
        <v>0</v>
      </c>
      <c r="RB126" s="14">
        <v>438</v>
      </c>
      <c r="RC126" s="14">
        <v>34</v>
      </c>
      <c r="RD126" s="14">
        <v>0</v>
      </c>
      <c r="RE126" s="14">
        <v>69</v>
      </c>
      <c r="RF126" s="14">
        <v>0</v>
      </c>
      <c r="RG126" s="14">
        <v>0</v>
      </c>
      <c r="RH126" s="14">
        <v>541</v>
      </c>
      <c r="RI126" s="14" t="s">
        <v>602</v>
      </c>
      <c r="VL126" s="14" t="s">
        <v>603</v>
      </c>
      <c r="ZO126" s="14" t="s">
        <v>604</v>
      </c>
      <c r="ADR126" s="14" t="s">
        <v>605</v>
      </c>
    </row>
    <row r="127" spans="1:798" x14ac:dyDescent="0.25">
      <c r="A127" s="14">
        <v>210</v>
      </c>
      <c r="B127" s="14" t="s">
        <v>889</v>
      </c>
      <c r="C127" s="16">
        <f t="shared" si="12"/>
        <v>42780</v>
      </c>
      <c r="D127" s="14" t="s">
        <v>1238</v>
      </c>
      <c r="E127" s="14" t="s">
        <v>1239</v>
      </c>
      <c r="F127" s="14" t="s">
        <v>1240</v>
      </c>
      <c r="G127" s="14" t="s">
        <v>1241</v>
      </c>
      <c r="H127" s="14" t="s">
        <v>1242</v>
      </c>
      <c r="I127" s="14" t="s">
        <v>611</v>
      </c>
      <c r="J127" s="14" t="s">
        <v>596</v>
      </c>
      <c r="L127" s="14">
        <v>1</v>
      </c>
      <c r="U127" s="14">
        <v>0</v>
      </c>
      <c r="AB127" s="14">
        <v>0</v>
      </c>
      <c r="AC127" s="14">
        <v>1659</v>
      </c>
      <c r="AI127" s="14">
        <v>1659</v>
      </c>
      <c r="AP127" s="14">
        <v>0</v>
      </c>
      <c r="AW127" s="14">
        <v>0</v>
      </c>
      <c r="BD127" s="14">
        <v>0</v>
      </c>
      <c r="BE127" s="14">
        <v>1659</v>
      </c>
      <c r="BF127" s="14">
        <v>0</v>
      </c>
      <c r="BG127" s="14">
        <v>0</v>
      </c>
      <c r="BH127" s="14">
        <v>0</v>
      </c>
      <c r="BI127" s="14">
        <v>0</v>
      </c>
      <c r="BJ127" s="14">
        <v>0</v>
      </c>
      <c r="BK127" s="14">
        <v>1659</v>
      </c>
      <c r="BR127" s="14">
        <v>0</v>
      </c>
      <c r="BY127" s="14">
        <v>0</v>
      </c>
      <c r="BZ127" s="14">
        <v>5</v>
      </c>
      <c r="CF127" s="14">
        <v>5</v>
      </c>
      <c r="CM127" s="14">
        <v>0</v>
      </c>
      <c r="CT127" s="14">
        <v>0</v>
      </c>
      <c r="DA127" s="14">
        <v>0</v>
      </c>
      <c r="DB127" s="14">
        <v>5</v>
      </c>
      <c r="DC127" s="14">
        <v>0</v>
      </c>
      <c r="DD127" s="14">
        <v>0</v>
      </c>
      <c r="DE127" s="14">
        <v>0</v>
      </c>
      <c r="DF127" s="14">
        <v>0</v>
      </c>
      <c r="DG127" s="14">
        <v>0</v>
      </c>
      <c r="DH127" s="14">
        <v>5</v>
      </c>
      <c r="DI127" s="14" t="s">
        <v>598</v>
      </c>
      <c r="DJ127" s="14" t="s">
        <v>598</v>
      </c>
      <c r="DK127" s="14" t="s">
        <v>598</v>
      </c>
      <c r="DL127" s="14" t="s">
        <v>598</v>
      </c>
      <c r="DM127" s="14" t="s">
        <v>598</v>
      </c>
      <c r="DN127" s="14" t="s">
        <v>598</v>
      </c>
      <c r="DO127" s="14" t="s">
        <v>598</v>
      </c>
      <c r="DP127" s="14" t="s">
        <v>598</v>
      </c>
      <c r="DQ127" s="14" t="s">
        <v>598</v>
      </c>
      <c r="DR127" s="14" t="s">
        <v>598</v>
      </c>
      <c r="DS127" s="14" t="s">
        <v>598</v>
      </c>
      <c r="DT127" s="14" t="s">
        <v>598</v>
      </c>
      <c r="DU127" s="14" t="s">
        <v>597</v>
      </c>
      <c r="DV127" s="14" t="s">
        <v>598</v>
      </c>
      <c r="DW127" s="14" t="s">
        <v>598</v>
      </c>
      <c r="DX127" s="14" t="s">
        <v>598</v>
      </c>
      <c r="DY127" s="14" t="s">
        <v>598</v>
      </c>
      <c r="DZ127" s="14" t="s">
        <v>598</v>
      </c>
      <c r="EA127" s="14" t="s">
        <v>598</v>
      </c>
      <c r="EB127" s="14" t="s">
        <v>598</v>
      </c>
      <c r="EC127" s="14" t="s">
        <v>598</v>
      </c>
      <c r="ED127" s="14" t="s">
        <v>598</v>
      </c>
      <c r="EE127" s="14" t="s">
        <v>598</v>
      </c>
      <c r="EF127" s="14" t="s">
        <v>598</v>
      </c>
      <c r="EG127" s="14" t="s">
        <v>598</v>
      </c>
      <c r="EH127" s="14" t="s">
        <v>598</v>
      </c>
      <c r="EI127" s="14" t="s">
        <v>598</v>
      </c>
      <c r="EJ127" s="14" t="s">
        <v>598</v>
      </c>
      <c r="EK127" s="14" t="s">
        <v>598</v>
      </c>
      <c r="EL127" s="14" t="s">
        <v>598</v>
      </c>
      <c r="EM127" s="14" t="s">
        <v>598</v>
      </c>
      <c r="EN127" s="14" t="s">
        <v>598</v>
      </c>
      <c r="EO127" s="14" t="s">
        <v>598</v>
      </c>
      <c r="EP127" s="14" t="s">
        <v>598</v>
      </c>
      <c r="EQ127" s="14" t="s">
        <v>598</v>
      </c>
      <c r="ER127" s="14" t="s">
        <v>598</v>
      </c>
      <c r="ES127" s="14">
        <v>647</v>
      </c>
      <c r="EY127" s="14">
        <v>647</v>
      </c>
      <c r="EZ127" s="14">
        <v>81</v>
      </c>
      <c r="FF127" s="14">
        <v>81</v>
      </c>
      <c r="FM127" s="14">
        <v>0</v>
      </c>
      <c r="FT127" s="14">
        <v>0</v>
      </c>
      <c r="FU127" s="14">
        <v>153</v>
      </c>
      <c r="GA127" s="14">
        <v>153</v>
      </c>
      <c r="GB127" s="14">
        <v>720</v>
      </c>
      <c r="GH127" s="14">
        <v>720</v>
      </c>
      <c r="GI127" s="14">
        <v>58</v>
      </c>
      <c r="GO127" s="14">
        <v>58</v>
      </c>
      <c r="GW127" s="14">
        <v>0</v>
      </c>
      <c r="GX127" s="14">
        <v>1659</v>
      </c>
      <c r="GY127" s="14">
        <v>0</v>
      </c>
      <c r="GZ127" s="14">
        <v>0</v>
      </c>
      <c r="HA127" s="14">
        <v>0</v>
      </c>
      <c r="HB127" s="14">
        <v>0</v>
      </c>
      <c r="HC127" s="14">
        <v>0</v>
      </c>
      <c r="HD127" s="14">
        <v>1659</v>
      </c>
      <c r="HE127" s="14">
        <v>19</v>
      </c>
      <c r="HK127" s="14">
        <v>19</v>
      </c>
      <c r="HL127" s="14">
        <v>376</v>
      </c>
      <c r="HR127" s="14">
        <v>376</v>
      </c>
      <c r="HS127" s="14">
        <v>1264</v>
      </c>
      <c r="HY127" s="14">
        <v>1264</v>
      </c>
      <c r="IF127" s="14">
        <v>0</v>
      </c>
      <c r="IM127" s="14">
        <v>0</v>
      </c>
      <c r="IN127" s="14">
        <v>1659</v>
      </c>
      <c r="IO127" s="14">
        <v>0</v>
      </c>
      <c r="IP127" s="14">
        <v>0</v>
      </c>
      <c r="IQ127" s="14">
        <v>0</v>
      </c>
      <c r="IR127" s="14">
        <v>0</v>
      </c>
      <c r="IS127" s="14">
        <v>0</v>
      </c>
      <c r="IT127" s="14">
        <v>1659</v>
      </c>
      <c r="IV127" s="14">
        <v>43</v>
      </c>
      <c r="IW127" s="14">
        <v>57</v>
      </c>
      <c r="IZ127" s="14">
        <v>3</v>
      </c>
      <c r="JA127" s="14">
        <v>1</v>
      </c>
      <c r="JB127" s="14">
        <v>1</v>
      </c>
      <c r="JC127" s="14" t="s">
        <v>600</v>
      </c>
      <c r="NF127" s="14" t="s">
        <v>601</v>
      </c>
      <c r="RI127" s="14" t="s">
        <v>602</v>
      </c>
      <c r="RJ127" s="14">
        <v>647</v>
      </c>
      <c r="RP127" s="14">
        <v>647</v>
      </c>
      <c r="RQ127" s="14">
        <v>81</v>
      </c>
      <c r="RW127" s="14">
        <v>81</v>
      </c>
      <c r="SD127" s="14">
        <v>0</v>
      </c>
      <c r="SK127" s="14">
        <v>0</v>
      </c>
      <c r="SL127" s="14">
        <v>153</v>
      </c>
      <c r="SR127" s="14">
        <v>153</v>
      </c>
      <c r="SS127" s="14">
        <v>720</v>
      </c>
      <c r="SY127" s="14">
        <v>720</v>
      </c>
      <c r="SZ127" s="14">
        <v>58</v>
      </c>
      <c r="TF127" s="14">
        <v>58</v>
      </c>
      <c r="TN127" s="14">
        <v>0</v>
      </c>
      <c r="TO127" s="14">
        <v>1659</v>
      </c>
      <c r="TP127" s="14">
        <v>0</v>
      </c>
      <c r="TQ127" s="14">
        <v>0</v>
      </c>
      <c r="TR127" s="14">
        <v>0</v>
      </c>
      <c r="TS127" s="14">
        <v>0</v>
      </c>
      <c r="TT127" s="14">
        <v>0</v>
      </c>
      <c r="TU127" s="14">
        <v>1659</v>
      </c>
      <c r="TV127" s="14">
        <v>376</v>
      </c>
      <c r="UB127" s="14">
        <v>376</v>
      </c>
      <c r="UC127" s="14">
        <v>19</v>
      </c>
      <c r="UI127" s="14">
        <v>19</v>
      </c>
      <c r="UJ127" s="14">
        <v>1264</v>
      </c>
      <c r="UP127" s="14">
        <v>1264</v>
      </c>
      <c r="UW127" s="14">
        <v>0</v>
      </c>
      <c r="VD127" s="14">
        <v>0</v>
      </c>
      <c r="VE127" s="14">
        <v>1659</v>
      </c>
      <c r="VF127" s="14">
        <v>0</v>
      </c>
      <c r="VG127" s="14">
        <v>0</v>
      </c>
      <c r="VH127" s="14">
        <v>0</v>
      </c>
      <c r="VI127" s="14">
        <v>0</v>
      </c>
      <c r="VJ127" s="14">
        <v>0</v>
      </c>
      <c r="VK127" s="14">
        <v>1659</v>
      </c>
      <c r="VL127" s="14" t="s">
        <v>603</v>
      </c>
      <c r="ZO127" s="14" t="s">
        <v>604</v>
      </c>
      <c r="ADR127" s="14" t="s">
        <v>605</v>
      </c>
    </row>
    <row r="128" spans="1:798" x14ac:dyDescent="0.25">
      <c r="A128" s="14">
        <v>33</v>
      </c>
      <c r="B128" s="14" t="s">
        <v>889</v>
      </c>
      <c r="C128" s="16">
        <f>VLOOKUP(A128,[4]RawData!Z:AA,2,FALSE)</f>
        <v>42767.844444444447</v>
      </c>
      <c r="D128" s="14" t="s">
        <v>1243</v>
      </c>
      <c r="E128" s="14" t="s">
        <v>1244</v>
      </c>
      <c r="F128" s="14" t="s">
        <v>693</v>
      </c>
      <c r="G128" s="14" t="s">
        <v>1245</v>
      </c>
      <c r="H128" s="14">
        <v>-2908</v>
      </c>
      <c r="I128" s="14" t="s">
        <v>611</v>
      </c>
      <c r="J128" s="14" t="s">
        <v>596</v>
      </c>
      <c r="L128" s="14">
        <v>1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1204.7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1204.7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1204.7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1204.7</v>
      </c>
      <c r="BR128" s="14">
        <v>0</v>
      </c>
      <c r="BY128" s="14">
        <v>0</v>
      </c>
      <c r="BZ128" s="14">
        <v>2</v>
      </c>
      <c r="CF128" s="14">
        <v>2</v>
      </c>
      <c r="CM128" s="14">
        <v>0</v>
      </c>
      <c r="CT128" s="14">
        <v>0</v>
      </c>
      <c r="DA128" s="14">
        <v>0</v>
      </c>
      <c r="DB128" s="14">
        <v>2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2</v>
      </c>
      <c r="DI128" s="14" t="s">
        <v>598</v>
      </c>
      <c r="DJ128" s="14" t="s">
        <v>598</v>
      </c>
      <c r="DK128" s="14" t="s">
        <v>598</v>
      </c>
      <c r="DL128" s="14" t="s">
        <v>598</v>
      </c>
      <c r="DM128" s="14" t="s">
        <v>598</v>
      </c>
      <c r="DN128" s="14" t="s">
        <v>598</v>
      </c>
      <c r="DO128" s="14" t="s">
        <v>598</v>
      </c>
      <c r="DP128" s="14" t="s">
        <v>598</v>
      </c>
      <c r="DQ128" s="14" t="s">
        <v>598</v>
      </c>
      <c r="DR128" s="14" t="s">
        <v>598</v>
      </c>
      <c r="DS128" s="14" t="s">
        <v>598</v>
      </c>
      <c r="DT128" s="14" t="s">
        <v>598</v>
      </c>
      <c r="DU128" s="14" t="s">
        <v>597</v>
      </c>
      <c r="DV128" s="14" t="s">
        <v>598</v>
      </c>
      <c r="DW128" s="14" t="s">
        <v>598</v>
      </c>
      <c r="DX128" s="14" t="s">
        <v>598</v>
      </c>
      <c r="DY128" s="14" t="s">
        <v>598</v>
      </c>
      <c r="DZ128" s="14" t="s">
        <v>598</v>
      </c>
      <c r="EA128" s="14" t="s">
        <v>598</v>
      </c>
      <c r="EB128" s="14" t="s">
        <v>598</v>
      </c>
      <c r="EC128" s="14" t="s">
        <v>598</v>
      </c>
      <c r="ED128" s="14" t="s">
        <v>598</v>
      </c>
      <c r="EE128" s="14" t="s">
        <v>598</v>
      </c>
      <c r="EF128" s="14" t="s">
        <v>598</v>
      </c>
      <c r="EG128" s="14" t="s">
        <v>598</v>
      </c>
      <c r="EH128" s="14" t="s">
        <v>598</v>
      </c>
      <c r="EI128" s="14" t="s">
        <v>598</v>
      </c>
      <c r="EJ128" s="14" t="s">
        <v>598</v>
      </c>
      <c r="EK128" s="14" t="s">
        <v>598</v>
      </c>
      <c r="EL128" s="14" t="s">
        <v>598</v>
      </c>
      <c r="EM128" s="14" t="s">
        <v>598</v>
      </c>
      <c r="EN128" s="14" t="s">
        <v>598</v>
      </c>
      <c r="EO128" s="14" t="s">
        <v>598</v>
      </c>
      <c r="EP128" s="14" t="s">
        <v>598</v>
      </c>
      <c r="EQ128" s="14" t="s">
        <v>598</v>
      </c>
      <c r="ER128" s="14" t="s">
        <v>598</v>
      </c>
      <c r="ES128" s="14">
        <v>425</v>
      </c>
      <c r="EY128" s="14">
        <v>425</v>
      </c>
      <c r="EZ128" s="14">
        <v>25</v>
      </c>
      <c r="FF128" s="14">
        <v>25</v>
      </c>
      <c r="FG128" s="14">
        <v>700</v>
      </c>
      <c r="FM128" s="14">
        <v>700</v>
      </c>
      <c r="FN128" s="14">
        <v>0</v>
      </c>
      <c r="FT128" s="14">
        <v>0</v>
      </c>
      <c r="FU128" s="14">
        <v>12.5</v>
      </c>
      <c r="GA128" s="14">
        <v>12.5</v>
      </c>
      <c r="GB128" s="14">
        <v>0</v>
      </c>
      <c r="GH128" s="14">
        <v>0</v>
      </c>
      <c r="GI128" s="14">
        <v>30</v>
      </c>
      <c r="GO128" s="14">
        <v>30</v>
      </c>
      <c r="GP128" s="14" t="s">
        <v>1246</v>
      </c>
      <c r="GQ128" s="14">
        <v>12.2</v>
      </c>
      <c r="GW128" s="14">
        <v>12.2</v>
      </c>
      <c r="GX128" s="14">
        <v>1204.7</v>
      </c>
      <c r="GY128" s="14">
        <v>0</v>
      </c>
      <c r="GZ128" s="14">
        <v>0</v>
      </c>
      <c r="HA128" s="14">
        <v>0</v>
      </c>
      <c r="HB128" s="14">
        <v>0</v>
      </c>
      <c r="HC128" s="14">
        <v>0</v>
      </c>
      <c r="HD128" s="14">
        <v>1204.7</v>
      </c>
      <c r="HE128" s="14">
        <v>500</v>
      </c>
      <c r="HK128" s="14">
        <v>500</v>
      </c>
      <c r="HL128" s="14">
        <v>15</v>
      </c>
      <c r="HR128" s="14">
        <v>15</v>
      </c>
      <c r="HS128" s="14">
        <v>689.7</v>
      </c>
      <c r="HY128" s="14">
        <v>689.7</v>
      </c>
      <c r="HZ128" s="14">
        <v>0</v>
      </c>
      <c r="IF128" s="14">
        <v>0</v>
      </c>
      <c r="IG128" s="14">
        <v>0</v>
      </c>
      <c r="IM128" s="14">
        <v>0</v>
      </c>
      <c r="IN128" s="14">
        <v>1204.7</v>
      </c>
      <c r="IO128" s="14">
        <v>0</v>
      </c>
      <c r="IP128" s="14">
        <v>0</v>
      </c>
      <c r="IQ128" s="14">
        <v>0</v>
      </c>
      <c r="IR128" s="14">
        <v>0</v>
      </c>
      <c r="IS128" s="14">
        <v>0</v>
      </c>
      <c r="IT128" s="14">
        <v>1204.7</v>
      </c>
      <c r="IW128" s="14">
        <v>100</v>
      </c>
      <c r="IZ128" s="14">
        <v>1</v>
      </c>
      <c r="JA128" s="14">
        <v>2</v>
      </c>
      <c r="JB128" s="14">
        <v>2</v>
      </c>
      <c r="JC128" s="14" t="s">
        <v>600</v>
      </c>
      <c r="NF128" s="14" t="s">
        <v>601</v>
      </c>
      <c r="RI128" s="14" t="s">
        <v>602</v>
      </c>
      <c r="RJ128" s="14">
        <v>425</v>
      </c>
      <c r="RP128" s="14">
        <v>425</v>
      </c>
      <c r="RQ128" s="14">
        <v>25</v>
      </c>
      <c r="RW128" s="14">
        <v>25</v>
      </c>
      <c r="RX128" s="14">
        <v>700</v>
      </c>
      <c r="SD128" s="14">
        <v>700</v>
      </c>
      <c r="SE128" s="14">
        <v>0</v>
      </c>
      <c r="SK128" s="14">
        <v>0</v>
      </c>
      <c r="SL128" s="14">
        <v>12.5</v>
      </c>
      <c r="SR128" s="14">
        <v>12.5</v>
      </c>
      <c r="SS128" s="14">
        <v>0</v>
      </c>
      <c r="SY128" s="14">
        <v>0</v>
      </c>
      <c r="SZ128" s="14">
        <v>30</v>
      </c>
      <c r="TF128" s="14">
        <v>30</v>
      </c>
      <c r="TG128" s="14" t="s">
        <v>1246</v>
      </c>
      <c r="TH128" s="14">
        <v>12.2</v>
      </c>
      <c r="TN128" s="14">
        <v>12.2</v>
      </c>
      <c r="TO128" s="14">
        <v>1204.7</v>
      </c>
      <c r="TP128" s="14">
        <v>0</v>
      </c>
      <c r="TQ128" s="14">
        <v>0</v>
      </c>
      <c r="TR128" s="14">
        <v>0</v>
      </c>
      <c r="TS128" s="14">
        <v>0</v>
      </c>
      <c r="TT128" s="14">
        <v>0</v>
      </c>
      <c r="TU128" s="14">
        <v>1204.7</v>
      </c>
      <c r="TV128" s="14">
        <v>15</v>
      </c>
      <c r="UB128" s="14">
        <v>15</v>
      </c>
      <c r="UC128" s="14">
        <v>500</v>
      </c>
      <c r="UI128" s="14">
        <v>500</v>
      </c>
      <c r="UJ128" s="14">
        <v>689.7</v>
      </c>
      <c r="UP128" s="14">
        <v>689.7</v>
      </c>
      <c r="UQ128" s="14">
        <v>0</v>
      </c>
      <c r="UW128" s="14">
        <v>0</v>
      </c>
      <c r="UX128" s="14">
        <v>0</v>
      </c>
      <c r="VD128" s="14">
        <v>0</v>
      </c>
      <c r="VE128" s="14">
        <v>1204.7</v>
      </c>
      <c r="VF128" s="14">
        <v>0</v>
      </c>
      <c r="VG128" s="14">
        <v>0</v>
      </c>
      <c r="VH128" s="14">
        <v>0</v>
      </c>
      <c r="VI128" s="14">
        <v>0</v>
      </c>
      <c r="VJ128" s="14">
        <v>0</v>
      </c>
      <c r="VK128" s="14">
        <v>1204.7</v>
      </c>
      <c r="VL128" s="14" t="s">
        <v>603</v>
      </c>
      <c r="ZO128" s="14" t="s">
        <v>604</v>
      </c>
      <c r="ADR128" s="14" t="s">
        <v>605</v>
      </c>
    </row>
    <row r="129" spans="1:798" x14ac:dyDescent="0.25">
      <c r="A129" s="14">
        <v>56</v>
      </c>
      <c r="B129" s="14" t="s">
        <v>889</v>
      </c>
      <c r="C129" s="16">
        <f>VLOOKUP(A129,[4]RawData!Z:AA,2,FALSE)</f>
        <v>42745.734027777777</v>
      </c>
      <c r="D129" s="14" t="s">
        <v>1247</v>
      </c>
      <c r="E129" s="14" t="s">
        <v>1248</v>
      </c>
      <c r="F129" s="14" t="s">
        <v>1249</v>
      </c>
      <c r="G129" s="14" t="s">
        <v>1250</v>
      </c>
      <c r="H129" s="14">
        <v>351220104549</v>
      </c>
      <c r="I129" s="14" t="s">
        <v>1251</v>
      </c>
      <c r="J129" s="14" t="s">
        <v>732</v>
      </c>
      <c r="L129" s="14">
        <v>1</v>
      </c>
      <c r="U129" s="14">
        <v>0</v>
      </c>
      <c r="V129" s="14">
        <v>202</v>
      </c>
      <c r="AB129" s="14">
        <v>202</v>
      </c>
      <c r="AI129" s="14">
        <v>0</v>
      </c>
      <c r="AP129" s="14">
        <v>0</v>
      </c>
      <c r="AW129" s="14">
        <v>0</v>
      </c>
      <c r="BD129" s="14">
        <v>0</v>
      </c>
      <c r="BE129" s="14">
        <v>202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202</v>
      </c>
      <c r="BR129" s="14">
        <v>0</v>
      </c>
      <c r="BS129" s="14">
        <v>1</v>
      </c>
      <c r="BY129" s="14">
        <v>1</v>
      </c>
      <c r="CF129" s="14">
        <v>0</v>
      </c>
      <c r="CM129" s="14">
        <v>0</v>
      </c>
      <c r="CT129" s="14">
        <v>0</v>
      </c>
      <c r="DA129" s="14">
        <v>0</v>
      </c>
      <c r="DB129" s="14">
        <v>1</v>
      </c>
      <c r="DC129" s="14">
        <v>0</v>
      </c>
      <c r="DD129" s="14">
        <v>0</v>
      </c>
      <c r="DE129" s="14">
        <v>0</v>
      </c>
      <c r="DF129" s="14">
        <v>0</v>
      </c>
      <c r="DG129" s="14">
        <v>0</v>
      </c>
      <c r="DH129" s="14">
        <v>1</v>
      </c>
      <c r="DI129" s="14" t="s">
        <v>598</v>
      </c>
      <c r="DJ129" s="14" t="s">
        <v>598</v>
      </c>
      <c r="DK129" s="14" t="s">
        <v>598</v>
      </c>
      <c r="DL129" s="14" t="s">
        <v>598</v>
      </c>
      <c r="DM129" s="14" t="s">
        <v>598</v>
      </c>
      <c r="DN129" s="14" t="s">
        <v>598</v>
      </c>
      <c r="DO129" s="14" t="s">
        <v>597</v>
      </c>
      <c r="DP129" s="14" t="s">
        <v>598</v>
      </c>
      <c r="DQ129" s="14" t="s">
        <v>598</v>
      </c>
      <c r="DR129" s="14" t="s">
        <v>598</v>
      </c>
      <c r="DS129" s="14" t="s">
        <v>598</v>
      </c>
      <c r="DT129" s="14" t="s">
        <v>598</v>
      </c>
      <c r="DU129" s="14" t="s">
        <v>598</v>
      </c>
      <c r="DV129" s="14" t="s">
        <v>598</v>
      </c>
      <c r="DW129" s="14" t="s">
        <v>598</v>
      </c>
      <c r="DX129" s="14" t="s">
        <v>598</v>
      </c>
      <c r="DY129" s="14" t="s">
        <v>598</v>
      </c>
      <c r="DZ129" s="14" t="s">
        <v>598</v>
      </c>
      <c r="EA129" s="14" t="s">
        <v>598</v>
      </c>
      <c r="EB129" s="14" t="s">
        <v>598</v>
      </c>
      <c r="EC129" s="14" t="s">
        <v>598</v>
      </c>
      <c r="ED129" s="14" t="s">
        <v>598</v>
      </c>
      <c r="EE129" s="14" t="s">
        <v>598</v>
      </c>
      <c r="EF129" s="14" t="s">
        <v>598</v>
      </c>
      <c r="EG129" s="14" t="s">
        <v>598</v>
      </c>
      <c r="EH129" s="14" t="s">
        <v>598</v>
      </c>
      <c r="EI129" s="14" t="s">
        <v>598</v>
      </c>
      <c r="EJ129" s="14" t="s">
        <v>598</v>
      </c>
      <c r="EK129" s="14" t="s">
        <v>598</v>
      </c>
      <c r="EL129" s="14" t="s">
        <v>598</v>
      </c>
      <c r="EM129" s="14" t="s">
        <v>598</v>
      </c>
      <c r="EN129" s="14" t="s">
        <v>598</v>
      </c>
      <c r="EO129" s="14" t="s">
        <v>598</v>
      </c>
      <c r="EP129" s="14" t="s">
        <v>598</v>
      </c>
      <c r="EQ129" s="14" t="s">
        <v>598</v>
      </c>
      <c r="ER129" s="14" t="s">
        <v>598</v>
      </c>
      <c r="ES129" s="14">
        <v>68</v>
      </c>
      <c r="EY129" s="14">
        <v>68</v>
      </c>
      <c r="FF129" s="14">
        <v>0</v>
      </c>
      <c r="FM129" s="14">
        <v>0</v>
      </c>
      <c r="FT129" s="14">
        <v>0</v>
      </c>
      <c r="GA129" s="14">
        <v>0</v>
      </c>
      <c r="GB129" s="14">
        <v>114</v>
      </c>
      <c r="GH129" s="14">
        <v>114</v>
      </c>
      <c r="GO129" s="14">
        <v>0</v>
      </c>
      <c r="GP129" s="14" t="s">
        <v>1252</v>
      </c>
      <c r="GQ129" s="14">
        <v>20</v>
      </c>
      <c r="GW129" s="14">
        <v>20</v>
      </c>
      <c r="GX129" s="14">
        <v>202</v>
      </c>
      <c r="GY129" s="14">
        <v>0</v>
      </c>
      <c r="GZ129" s="14">
        <v>0</v>
      </c>
      <c r="HA129" s="14">
        <v>0</v>
      </c>
      <c r="HB129" s="14">
        <v>0</v>
      </c>
      <c r="HC129" s="14">
        <v>0</v>
      </c>
      <c r="HD129" s="14">
        <v>202</v>
      </c>
      <c r="HK129" s="14">
        <v>0</v>
      </c>
      <c r="HL129" s="14">
        <v>202</v>
      </c>
      <c r="HR129" s="14">
        <v>202</v>
      </c>
      <c r="HY129" s="14">
        <v>0</v>
      </c>
      <c r="IF129" s="14">
        <v>0</v>
      </c>
      <c r="IM129" s="14">
        <v>0</v>
      </c>
      <c r="IN129" s="14">
        <v>202</v>
      </c>
      <c r="IO129" s="14">
        <v>0</v>
      </c>
      <c r="IP129" s="14">
        <v>0</v>
      </c>
      <c r="IQ129" s="14">
        <v>0</v>
      </c>
      <c r="IR129" s="14">
        <v>0</v>
      </c>
      <c r="IS129" s="14">
        <v>0</v>
      </c>
      <c r="IT129" s="14">
        <v>202</v>
      </c>
      <c r="IU129" s="14">
        <v>100</v>
      </c>
      <c r="IZ129" s="14">
        <v>1</v>
      </c>
      <c r="JA129" s="14">
        <v>3</v>
      </c>
      <c r="JB129" s="14">
        <v>1</v>
      </c>
      <c r="JC129" s="14" t="s">
        <v>600</v>
      </c>
      <c r="NF129" s="14" t="s">
        <v>601</v>
      </c>
      <c r="NG129" s="14">
        <v>68</v>
      </c>
      <c r="NM129" s="14">
        <v>68</v>
      </c>
      <c r="NT129" s="14">
        <v>0</v>
      </c>
      <c r="OA129" s="14">
        <v>0</v>
      </c>
      <c r="OH129" s="14">
        <v>0</v>
      </c>
      <c r="OO129" s="14">
        <v>0</v>
      </c>
      <c r="OP129" s="14">
        <v>114</v>
      </c>
      <c r="OV129" s="14">
        <v>114</v>
      </c>
      <c r="PC129" s="14">
        <v>0</v>
      </c>
      <c r="PD129" s="14" t="s">
        <v>1252</v>
      </c>
      <c r="PE129" s="14">
        <v>20</v>
      </c>
      <c r="PK129" s="14">
        <v>20</v>
      </c>
      <c r="PL129" s="14">
        <v>202</v>
      </c>
      <c r="PM129" s="14">
        <v>0</v>
      </c>
      <c r="PN129" s="14">
        <v>0</v>
      </c>
      <c r="PO129" s="14">
        <v>0</v>
      </c>
      <c r="PP129" s="14">
        <v>0</v>
      </c>
      <c r="PQ129" s="14">
        <v>0</v>
      </c>
      <c r="PR129" s="14">
        <v>202</v>
      </c>
      <c r="PS129" s="14">
        <v>202</v>
      </c>
      <c r="PY129" s="14">
        <v>202</v>
      </c>
      <c r="QF129" s="14">
        <v>0</v>
      </c>
      <c r="QM129" s="14">
        <v>0</v>
      </c>
      <c r="QT129" s="14">
        <v>0</v>
      </c>
      <c r="RA129" s="14">
        <v>0</v>
      </c>
      <c r="RB129" s="14">
        <v>202</v>
      </c>
      <c r="RC129" s="14">
        <v>0</v>
      </c>
      <c r="RD129" s="14">
        <v>0</v>
      </c>
      <c r="RE129" s="14">
        <v>0</v>
      </c>
      <c r="RF129" s="14">
        <v>0</v>
      </c>
      <c r="RG129" s="14">
        <v>0</v>
      </c>
      <c r="RH129" s="14">
        <v>202</v>
      </c>
      <c r="RI129" s="14" t="s">
        <v>602</v>
      </c>
      <c r="VL129" s="14" t="s">
        <v>603</v>
      </c>
      <c r="ZO129" s="14" t="s">
        <v>604</v>
      </c>
      <c r="ADR129" s="14" t="s">
        <v>605</v>
      </c>
    </row>
    <row r="130" spans="1:798" x14ac:dyDescent="0.25">
      <c r="A130" s="14">
        <v>47</v>
      </c>
      <c r="B130" s="14" t="s">
        <v>889</v>
      </c>
      <c r="C130" s="16">
        <f>$C$3</f>
        <v>42780</v>
      </c>
      <c r="D130" s="14" t="s">
        <v>1253</v>
      </c>
      <c r="E130" s="14" t="s">
        <v>1090</v>
      </c>
      <c r="F130" s="14" t="s">
        <v>1254</v>
      </c>
      <c r="G130" s="14" t="s">
        <v>1255</v>
      </c>
      <c r="H130" s="14" t="s">
        <v>1256</v>
      </c>
      <c r="I130" s="14" t="s">
        <v>731</v>
      </c>
      <c r="J130" s="14" t="s">
        <v>945</v>
      </c>
      <c r="L130" s="14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1128.8</v>
      </c>
      <c r="W130" s="14">
        <v>1484.4</v>
      </c>
      <c r="X130" s="14">
        <v>0</v>
      </c>
      <c r="Y130" s="14">
        <v>0</v>
      </c>
      <c r="Z130" s="14">
        <v>0</v>
      </c>
      <c r="AA130" s="14">
        <v>0</v>
      </c>
      <c r="AB130" s="14">
        <v>2613.1999999999998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1128.8</v>
      </c>
      <c r="BF130" s="14">
        <v>1484.4</v>
      </c>
      <c r="BG130" s="14">
        <v>0</v>
      </c>
      <c r="BH130" s="14">
        <v>0</v>
      </c>
      <c r="BI130" s="14">
        <v>0</v>
      </c>
      <c r="BJ130" s="14">
        <v>0</v>
      </c>
      <c r="BK130" s="14">
        <v>2613.1999999999998</v>
      </c>
      <c r="BR130" s="14">
        <v>0</v>
      </c>
      <c r="BS130" s="14">
        <v>13</v>
      </c>
      <c r="BT130" s="14">
        <v>7</v>
      </c>
      <c r="BY130" s="14">
        <v>20</v>
      </c>
      <c r="CF130" s="14">
        <v>0</v>
      </c>
      <c r="CM130" s="14">
        <v>0</v>
      </c>
      <c r="CT130" s="14">
        <v>0</v>
      </c>
      <c r="DA130" s="14">
        <v>0</v>
      </c>
      <c r="DB130" s="14">
        <v>13</v>
      </c>
      <c r="DC130" s="14">
        <v>7</v>
      </c>
      <c r="DD130" s="14">
        <v>0</v>
      </c>
      <c r="DE130" s="14">
        <v>0</v>
      </c>
      <c r="DF130" s="14">
        <v>0</v>
      </c>
      <c r="DG130" s="14">
        <v>0</v>
      </c>
      <c r="DH130" s="14">
        <v>20</v>
      </c>
      <c r="DI130" s="14" t="s">
        <v>598</v>
      </c>
      <c r="DJ130" s="14" t="s">
        <v>598</v>
      </c>
      <c r="DK130" s="14" t="s">
        <v>598</v>
      </c>
      <c r="DL130" s="14" t="s">
        <v>598</v>
      </c>
      <c r="DM130" s="14" t="s">
        <v>598</v>
      </c>
      <c r="DN130" s="14" t="s">
        <v>598</v>
      </c>
      <c r="DO130" s="14" t="s">
        <v>597</v>
      </c>
      <c r="DP130" s="14" t="s">
        <v>597</v>
      </c>
      <c r="DQ130" s="14" t="s">
        <v>598</v>
      </c>
      <c r="DR130" s="14" t="s">
        <v>598</v>
      </c>
      <c r="DS130" s="14" t="s">
        <v>598</v>
      </c>
      <c r="DT130" s="14" t="s">
        <v>598</v>
      </c>
      <c r="DU130" s="14" t="s">
        <v>598</v>
      </c>
      <c r="DV130" s="14" t="s">
        <v>598</v>
      </c>
      <c r="DW130" s="14" t="s">
        <v>598</v>
      </c>
      <c r="DX130" s="14" t="s">
        <v>598</v>
      </c>
      <c r="DY130" s="14" t="s">
        <v>598</v>
      </c>
      <c r="DZ130" s="14" t="s">
        <v>598</v>
      </c>
      <c r="EA130" s="14" t="s">
        <v>598</v>
      </c>
      <c r="EB130" s="14" t="s">
        <v>598</v>
      </c>
      <c r="EC130" s="14" t="s">
        <v>598</v>
      </c>
      <c r="ED130" s="14" t="s">
        <v>598</v>
      </c>
      <c r="EE130" s="14" t="s">
        <v>598</v>
      </c>
      <c r="EF130" s="14" t="s">
        <v>598</v>
      </c>
      <c r="EG130" s="14" t="s">
        <v>598</v>
      </c>
      <c r="EH130" s="14" t="s">
        <v>598</v>
      </c>
      <c r="EI130" s="14" t="s">
        <v>598</v>
      </c>
      <c r="EJ130" s="14" t="s">
        <v>598</v>
      </c>
      <c r="EK130" s="14" t="s">
        <v>598</v>
      </c>
      <c r="EL130" s="14" t="s">
        <v>598</v>
      </c>
      <c r="EM130" s="14" t="s">
        <v>598</v>
      </c>
      <c r="EN130" s="14" t="s">
        <v>598</v>
      </c>
      <c r="EO130" s="14" t="s">
        <v>598</v>
      </c>
      <c r="EP130" s="14" t="s">
        <v>598</v>
      </c>
      <c r="EQ130" s="14" t="s">
        <v>598</v>
      </c>
      <c r="ER130" s="14" t="s">
        <v>598</v>
      </c>
      <c r="ES130" s="14">
        <v>430.6</v>
      </c>
      <c r="ET130" s="14">
        <v>1459.8</v>
      </c>
      <c r="EY130" s="14">
        <v>1890.4</v>
      </c>
      <c r="EZ130" s="14">
        <v>238.6</v>
      </c>
      <c r="FA130" s="14">
        <v>0</v>
      </c>
      <c r="FF130" s="14">
        <v>238.6</v>
      </c>
      <c r="FG130" s="14">
        <v>0</v>
      </c>
      <c r="FH130" s="14">
        <v>0</v>
      </c>
      <c r="FM130" s="14">
        <v>0</v>
      </c>
      <c r="FN130" s="14">
        <v>0</v>
      </c>
      <c r="FO130" s="14">
        <v>0</v>
      </c>
      <c r="FT130" s="14">
        <v>0</v>
      </c>
      <c r="FU130" s="14">
        <v>4.5</v>
      </c>
      <c r="FV130" s="14">
        <v>0</v>
      </c>
      <c r="GA130" s="14">
        <v>4.5</v>
      </c>
      <c r="GB130" s="14">
        <v>0</v>
      </c>
      <c r="GC130" s="14">
        <v>0</v>
      </c>
      <c r="GH130" s="14">
        <v>0</v>
      </c>
      <c r="GI130" s="14">
        <v>177.2</v>
      </c>
      <c r="GJ130" s="14">
        <v>0</v>
      </c>
      <c r="GO130" s="14">
        <v>177.2</v>
      </c>
      <c r="GP130" s="14" t="s">
        <v>1257</v>
      </c>
      <c r="GQ130" s="14">
        <v>277.89999999999998</v>
      </c>
      <c r="GR130" s="14">
        <v>24.6</v>
      </c>
      <c r="GW130" s="14">
        <v>302.5</v>
      </c>
      <c r="GX130" s="14">
        <v>1128.8</v>
      </c>
      <c r="GY130" s="14">
        <v>1484.4</v>
      </c>
      <c r="GZ130" s="14">
        <v>0</v>
      </c>
      <c r="HA130" s="14">
        <v>0</v>
      </c>
      <c r="HB130" s="14">
        <v>0</v>
      </c>
      <c r="HC130" s="14">
        <v>0</v>
      </c>
      <c r="HD130" s="14">
        <v>2613.1999999999998</v>
      </c>
      <c r="HE130" s="14">
        <v>0</v>
      </c>
      <c r="HF130" s="14">
        <v>0</v>
      </c>
      <c r="HK130" s="14">
        <v>0</v>
      </c>
      <c r="HL130" s="14">
        <v>1128.8</v>
      </c>
      <c r="HM130" s="14">
        <v>1484.4</v>
      </c>
      <c r="HR130" s="14">
        <v>2613.1999999999998</v>
      </c>
      <c r="HS130" s="14">
        <v>0</v>
      </c>
      <c r="HT130" s="14">
        <v>0</v>
      </c>
      <c r="HY130" s="14">
        <v>0</v>
      </c>
      <c r="HZ130" s="14">
        <v>0</v>
      </c>
      <c r="IA130" s="14">
        <v>0</v>
      </c>
      <c r="IF130" s="14">
        <v>0</v>
      </c>
      <c r="IG130" s="14">
        <v>0</v>
      </c>
      <c r="IH130" s="14">
        <v>0</v>
      </c>
      <c r="IM130" s="14">
        <v>0</v>
      </c>
      <c r="IN130" s="14">
        <v>1128.8</v>
      </c>
      <c r="IO130" s="14">
        <v>1484.4</v>
      </c>
      <c r="IP130" s="14">
        <v>0</v>
      </c>
      <c r="IQ130" s="14">
        <v>0</v>
      </c>
      <c r="IR130" s="14">
        <v>0</v>
      </c>
      <c r="IS130" s="14">
        <v>0</v>
      </c>
      <c r="IT130" s="14">
        <v>2613.1999999999998</v>
      </c>
      <c r="IX130" s="14" t="s">
        <v>1258</v>
      </c>
      <c r="IY130" s="14">
        <v>100</v>
      </c>
      <c r="IZ130" s="14">
        <v>1</v>
      </c>
      <c r="JA130" s="14">
        <v>2</v>
      </c>
      <c r="JB130" s="14">
        <v>1</v>
      </c>
      <c r="JC130" s="14" t="s">
        <v>600</v>
      </c>
      <c r="NF130" s="14" t="s">
        <v>601</v>
      </c>
      <c r="NG130" s="14">
        <v>430.6</v>
      </c>
      <c r="NH130" s="14">
        <v>1459.8</v>
      </c>
      <c r="NM130" s="14">
        <v>1890.4</v>
      </c>
      <c r="NN130" s="14">
        <v>238.6</v>
      </c>
      <c r="NO130" s="14">
        <v>0</v>
      </c>
      <c r="NT130" s="14">
        <v>238.6</v>
      </c>
      <c r="NU130" s="14">
        <v>0</v>
      </c>
      <c r="NV130" s="14">
        <v>0</v>
      </c>
      <c r="OA130" s="14">
        <v>0</v>
      </c>
      <c r="OB130" s="14">
        <v>0</v>
      </c>
      <c r="OC130" s="14">
        <v>0</v>
      </c>
      <c r="OH130" s="14">
        <v>0</v>
      </c>
      <c r="OI130" s="14">
        <v>4.5</v>
      </c>
      <c r="OJ130" s="14">
        <v>0</v>
      </c>
      <c r="OO130" s="14">
        <v>4.5</v>
      </c>
      <c r="OP130" s="14">
        <v>0</v>
      </c>
      <c r="OQ130" s="14">
        <v>0</v>
      </c>
      <c r="OV130" s="14">
        <v>0</v>
      </c>
      <c r="OW130" s="14">
        <v>177.2</v>
      </c>
      <c r="OX130" s="14">
        <v>0</v>
      </c>
      <c r="PC130" s="14">
        <v>177.2</v>
      </c>
      <c r="PD130" s="14" t="s">
        <v>1259</v>
      </c>
      <c r="PE130" s="14">
        <v>277.89999999999998</v>
      </c>
      <c r="PF130" s="14">
        <v>24.6</v>
      </c>
      <c r="PK130" s="14">
        <v>302.5</v>
      </c>
      <c r="PL130" s="14">
        <v>1128.8</v>
      </c>
      <c r="PM130" s="14">
        <v>1484.4</v>
      </c>
      <c r="PN130" s="14">
        <v>0</v>
      </c>
      <c r="PO130" s="14">
        <v>0</v>
      </c>
      <c r="PP130" s="14">
        <v>0</v>
      </c>
      <c r="PQ130" s="14">
        <v>0</v>
      </c>
      <c r="PR130" s="14">
        <v>2613.1999999999998</v>
      </c>
      <c r="PS130" s="14">
        <v>1128.8</v>
      </c>
      <c r="PT130" s="14">
        <v>1484.4</v>
      </c>
      <c r="PY130" s="14">
        <v>2613.1999999999998</v>
      </c>
      <c r="PZ130" s="14">
        <v>0</v>
      </c>
      <c r="QA130" s="14">
        <v>0</v>
      </c>
      <c r="QF130" s="14">
        <v>0</v>
      </c>
      <c r="QG130" s="14">
        <v>0</v>
      </c>
      <c r="QH130" s="14">
        <v>0</v>
      </c>
      <c r="QM130" s="14">
        <v>0</v>
      </c>
      <c r="QN130" s="14">
        <v>0</v>
      </c>
      <c r="QO130" s="14">
        <v>0</v>
      </c>
      <c r="QT130" s="14">
        <v>0</v>
      </c>
      <c r="QU130" s="14">
        <v>0</v>
      </c>
      <c r="QV130" s="14">
        <v>0</v>
      </c>
      <c r="RA130" s="14">
        <v>0</v>
      </c>
      <c r="RB130" s="14">
        <v>1128.8</v>
      </c>
      <c r="RC130" s="14">
        <v>1484.4</v>
      </c>
      <c r="RD130" s="14">
        <v>0</v>
      </c>
      <c r="RE130" s="14">
        <v>0</v>
      </c>
      <c r="RF130" s="14">
        <v>0</v>
      </c>
      <c r="RG130" s="14">
        <v>0</v>
      </c>
      <c r="RH130" s="14">
        <v>2613.1999999999998</v>
      </c>
      <c r="RI130" s="14" t="s">
        <v>602</v>
      </c>
      <c r="VL130" s="14" t="s">
        <v>603</v>
      </c>
      <c r="ZO130" s="14" t="s">
        <v>604</v>
      </c>
      <c r="ADR130" s="14" t="s">
        <v>605</v>
      </c>
    </row>
    <row r="131" spans="1:798" x14ac:dyDescent="0.25">
      <c r="A131" s="14">
        <v>176</v>
      </c>
      <c r="B131" s="14" t="s">
        <v>889</v>
      </c>
      <c r="C131" s="16">
        <f>VLOOKUP(A131,[4]RawData!Z:AA,2,FALSE)</f>
        <v>42779.67291666667</v>
      </c>
      <c r="D131" s="14" t="s">
        <v>1260</v>
      </c>
      <c r="E131" s="14" t="s">
        <v>1261</v>
      </c>
      <c r="F131" s="14" t="s">
        <v>1262</v>
      </c>
      <c r="G131" s="14" t="s">
        <v>1263</v>
      </c>
      <c r="H131" s="14">
        <v>143598580</v>
      </c>
      <c r="I131" s="14" t="s">
        <v>1078</v>
      </c>
      <c r="J131" s="14" t="s">
        <v>732</v>
      </c>
      <c r="L131" s="14">
        <v>1</v>
      </c>
      <c r="U131" s="14">
        <v>0</v>
      </c>
      <c r="V131" s="14">
        <v>30</v>
      </c>
      <c r="AB131" s="14">
        <v>30</v>
      </c>
      <c r="AI131" s="14">
        <v>0</v>
      </c>
      <c r="AP131" s="14">
        <v>0</v>
      </c>
      <c r="AW131" s="14">
        <v>0</v>
      </c>
      <c r="BD131" s="14">
        <v>0</v>
      </c>
      <c r="BE131" s="14">
        <v>30</v>
      </c>
      <c r="BF131" s="14">
        <v>0</v>
      </c>
      <c r="BG131" s="14">
        <v>0</v>
      </c>
      <c r="BH131" s="14">
        <v>0</v>
      </c>
      <c r="BI131" s="14">
        <v>0</v>
      </c>
      <c r="BJ131" s="14">
        <v>0</v>
      </c>
      <c r="BK131" s="14">
        <v>30</v>
      </c>
      <c r="BR131" s="14">
        <v>0</v>
      </c>
      <c r="BS131" s="14">
        <v>1</v>
      </c>
      <c r="BY131" s="14">
        <v>1</v>
      </c>
      <c r="CF131" s="14">
        <v>0</v>
      </c>
      <c r="CM131" s="14">
        <v>0</v>
      </c>
      <c r="CT131" s="14">
        <v>0</v>
      </c>
      <c r="DA131" s="14">
        <v>0</v>
      </c>
      <c r="DB131" s="14">
        <v>1</v>
      </c>
      <c r="DC131" s="14">
        <v>0</v>
      </c>
      <c r="DD131" s="14">
        <v>0</v>
      </c>
      <c r="DE131" s="14">
        <v>0</v>
      </c>
      <c r="DF131" s="14">
        <v>0</v>
      </c>
      <c r="DG131" s="14">
        <v>0</v>
      </c>
      <c r="DH131" s="14">
        <v>1</v>
      </c>
      <c r="DI131" s="14" t="s">
        <v>598</v>
      </c>
      <c r="DJ131" s="14" t="s">
        <v>598</v>
      </c>
      <c r="DK131" s="14" t="s">
        <v>598</v>
      </c>
      <c r="DL131" s="14" t="s">
        <v>598</v>
      </c>
      <c r="DM131" s="14" t="s">
        <v>598</v>
      </c>
      <c r="DN131" s="14" t="s">
        <v>598</v>
      </c>
      <c r="DO131" s="14" t="s">
        <v>597</v>
      </c>
      <c r="DP131" s="14" t="s">
        <v>598</v>
      </c>
      <c r="DQ131" s="14" t="s">
        <v>598</v>
      </c>
      <c r="DR131" s="14" t="s">
        <v>598</v>
      </c>
      <c r="DS131" s="14" t="s">
        <v>598</v>
      </c>
      <c r="DT131" s="14" t="s">
        <v>598</v>
      </c>
      <c r="DU131" s="14" t="s">
        <v>598</v>
      </c>
      <c r="DV131" s="14" t="s">
        <v>598</v>
      </c>
      <c r="DW131" s="14" t="s">
        <v>598</v>
      </c>
      <c r="DX131" s="14" t="s">
        <v>598</v>
      </c>
      <c r="DY131" s="14" t="s">
        <v>598</v>
      </c>
      <c r="DZ131" s="14" t="s">
        <v>598</v>
      </c>
      <c r="EA131" s="14" t="s">
        <v>598</v>
      </c>
      <c r="EB131" s="14" t="s">
        <v>598</v>
      </c>
      <c r="EC131" s="14" t="s">
        <v>598</v>
      </c>
      <c r="ED131" s="14" t="s">
        <v>598</v>
      </c>
      <c r="EE131" s="14" t="s">
        <v>598</v>
      </c>
      <c r="EF131" s="14" t="s">
        <v>598</v>
      </c>
      <c r="EG131" s="14" t="s">
        <v>598</v>
      </c>
      <c r="EH131" s="14" t="s">
        <v>598</v>
      </c>
      <c r="EI131" s="14" t="s">
        <v>598</v>
      </c>
      <c r="EJ131" s="14" t="s">
        <v>598</v>
      </c>
      <c r="EK131" s="14" t="s">
        <v>598</v>
      </c>
      <c r="EL131" s="14" t="s">
        <v>598</v>
      </c>
      <c r="EM131" s="14" t="s">
        <v>598</v>
      </c>
      <c r="EN131" s="14" t="s">
        <v>598</v>
      </c>
      <c r="EO131" s="14" t="s">
        <v>598</v>
      </c>
      <c r="EP131" s="14" t="s">
        <v>598</v>
      </c>
      <c r="EQ131" s="14" t="s">
        <v>598</v>
      </c>
      <c r="ER131" s="14" t="s">
        <v>598</v>
      </c>
      <c r="EY131" s="14">
        <v>0</v>
      </c>
      <c r="EZ131" s="14">
        <v>30</v>
      </c>
      <c r="FF131" s="14">
        <v>30</v>
      </c>
      <c r="FM131" s="14">
        <v>0</v>
      </c>
      <c r="FT131" s="14">
        <v>0</v>
      </c>
      <c r="GA131" s="14">
        <v>0</v>
      </c>
      <c r="GH131" s="14">
        <v>0</v>
      </c>
      <c r="GO131" s="14">
        <v>0</v>
      </c>
      <c r="GW131" s="14">
        <v>0</v>
      </c>
      <c r="GX131" s="14">
        <v>30</v>
      </c>
      <c r="GY131" s="14">
        <v>0</v>
      </c>
      <c r="GZ131" s="14">
        <v>0</v>
      </c>
      <c r="HA131" s="14">
        <v>0</v>
      </c>
      <c r="HB131" s="14">
        <v>0</v>
      </c>
      <c r="HC131" s="14">
        <v>0</v>
      </c>
      <c r="HD131" s="14">
        <v>30</v>
      </c>
      <c r="HK131" s="14">
        <v>0</v>
      </c>
      <c r="HL131" s="14">
        <v>30</v>
      </c>
      <c r="HR131" s="14">
        <v>30</v>
      </c>
      <c r="HY131" s="14">
        <v>0</v>
      </c>
      <c r="IF131" s="14">
        <v>0</v>
      </c>
      <c r="IM131" s="14">
        <v>0</v>
      </c>
      <c r="IN131" s="14">
        <v>30</v>
      </c>
      <c r="IO131" s="14">
        <v>0</v>
      </c>
      <c r="IP131" s="14">
        <v>0</v>
      </c>
      <c r="IQ131" s="14">
        <v>0</v>
      </c>
      <c r="IR131" s="14">
        <v>0</v>
      </c>
      <c r="IS131" s="14">
        <v>0</v>
      </c>
      <c r="IT131" s="14">
        <v>30</v>
      </c>
      <c r="IV131" s="14">
        <v>100</v>
      </c>
      <c r="IZ131" s="14">
        <v>1</v>
      </c>
      <c r="JA131" s="14">
        <v>2</v>
      </c>
      <c r="JB131" s="14">
        <v>1</v>
      </c>
      <c r="JC131" s="14" t="s">
        <v>600</v>
      </c>
      <c r="NF131" s="14" t="s">
        <v>601</v>
      </c>
      <c r="NM131" s="14">
        <v>0</v>
      </c>
      <c r="NN131" s="14">
        <v>30</v>
      </c>
      <c r="NT131" s="14">
        <v>30</v>
      </c>
      <c r="OA131" s="14">
        <v>0</v>
      </c>
      <c r="OH131" s="14">
        <v>0</v>
      </c>
      <c r="OO131" s="14">
        <v>0</v>
      </c>
      <c r="OV131" s="14">
        <v>0</v>
      </c>
      <c r="PC131" s="14">
        <v>0</v>
      </c>
      <c r="PK131" s="14">
        <v>0</v>
      </c>
      <c r="PL131" s="14">
        <v>30</v>
      </c>
      <c r="PM131" s="14">
        <v>0</v>
      </c>
      <c r="PN131" s="14">
        <v>0</v>
      </c>
      <c r="PO131" s="14">
        <v>0</v>
      </c>
      <c r="PP131" s="14">
        <v>0</v>
      </c>
      <c r="PQ131" s="14">
        <v>0</v>
      </c>
      <c r="PR131" s="14">
        <v>30</v>
      </c>
      <c r="PS131" s="14">
        <v>30</v>
      </c>
      <c r="PY131" s="14">
        <v>30</v>
      </c>
      <c r="QF131" s="14">
        <v>0</v>
      </c>
      <c r="QM131" s="14">
        <v>0</v>
      </c>
      <c r="QT131" s="14">
        <v>0</v>
      </c>
      <c r="RA131" s="14">
        <v>0</v>
      </c>
      <c r="RB131" s="14">
        <v>30</v>
      </c>
      <c r="RC131" s="14">
        <v>0</v>
      </c>
      <c r="RD131" s="14">
        <v>0</v>
      </c>
      <c r="RE131" s="14">
        <v>0</v>
      </c>
      <c r="RF131" s="14">
        <v>0</v>
      </c>
      <c r="RG131" s="14">
        <v>0</v>
      </c>
      <c r="RH131" s="14">
        <v>30</v>
      </c>
      <c r="RI131" s="14" t="s">
        <v>602</v>
      </c>
      <c r="VL131" s="14" t="s">
        <v>603</v>
      </c>
      <c r="ZO131" s="14" t="s">
        <v>604</v>
      </c>
      <c r="ADR131" s="14" t="s">
        <v>605</v>
      </c>
    </row>
    <row r="132" spans="1:798" x14ac:dyDescent="0.25">
      <c r="A132" s="14">
        <v>134</v>
      </c>
      <c r="B132" s="14" t="s">
        <v>889</v>
      </c>
      <c r="C132" s="16">
        <f>VLOOKUP(A132,[4]RawData!Z:AA,2,FALSE)</f>
        <v>42766.318749999999</v>
      </c>
      <c r="D132" s="14" t="s">
        <v>1264</v>
      </c>
      <c r="E132" s="14" t="s">
        <v>1265</v>
      </c>
      <c r="F132" s="14" t="s">
        <v>652</v>
      </c>
      <c r="G132" s="14" t="s">
        <v>1266</v>
      </c>
      <c r="H132" s="14">
        <v>31642705111</v>
      </c>
      <c r="I132" s="14" t="s">
        <v>979</v>
      </c>
      <c r="J132" s="14" t="s">
        <v>732</v>
      </c>
      <c r="L132" s="14">
        <v>2</v>
      </c>
      <c r="M132" s="14">
        <v>6</v>
      </c>
      <c r="N132" s="14" t="s">
        <v>1267</v>
      </c>
      <c r="U132" s="14">
        <v>0</v>
      </c>
      <c r="AB132" s="14">
        <v>0</v>
      </c>
      <c r="AI132" s="14">
        <v>0</v>
      </c>
      <c r="AP132" s="14">
        <v>0</v>
      </c>
      <c r="AW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R132" s="14">
        <v>0</v>
      </c>
      <c r="BY132" s="14">
        <v>0</v>
      </c>
      <c r="CF132" s="14">
        <v>0</v>
      </c>
      <c r="CM132" s="14">
        <v>0</v>
      </c>
      <c r="CT132" s="14">
        <v>0</v>
      </c>
      <c r="DA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4">
        <v>0</v>
      </c>
      <c r="DG132" s="14">
        <v>0</v>
      </c>
      <c r="DH132" s="14">
        <v>0</v>
      </c>
      <c r="DI132" s="14" t="s">
        <v>598</v>
      </c>
      <c r="DJ132" s="14" t="s">
        <v>598</v>
      </c>
      <c r="DK132" s="14" t="s">
        <v>598</v>
      </c>
      <c r="DL132" s="14" t="s">
        <v>598</v>
      </c>
      <c r="DM132" s="14" t="s">
        <v>598</v>
      </c>
      <c r="DN132" s="14" t="s">
        <v>598</v>
      </c>
      <c r="DO132" s="14" t="s">
        <v>598</v>
      </c>
      <c r="DP132" s="14" t="s">
        <v>598</v>
      </c>
      <c r="DQ132" s="14" t="s">
        <v>598</v>
      </c>
      <c r="DR132" s="14" t="s">
        <v>598</v>
      </c>
      <c r="DS132" s="14" t="s">
        <v>598</v>
      </c>
      <c r="DT132" s="14" t="s">
        <v>598</v>
      </c>
      <c r="DU132" s="14" t="s">
        <v>598</v>
      </c>
      <c r="DV132" s="14" t="s">
        <v>598</v>
      </c>
      <c r="DW132" s="14" t="s">
        <v>598</v>
      </c>
      <c r="DX132" s="14" t="s">
        <v>598</v>
      </c>
      <c r="DY132" s="14" t="s">
        <v>598</v>
      </c>
      <c r="DZ132" s="14" t="s">
        <v>598</v>
      </c>
      <c r="EA132" s="14" t="s">
        <v>598</v>
      </c>
      <c r="EB132" s="14" t="s">
        <v>598</v>
      </c>
      <c r="EC132" s="14" t="s">
        <v>598</v>
      </c>
      <c r="ED132" s="14" t="s">
        <v>598</v>
      </c>
      <c r="EE132" s="14" t="s">
        <v>598</v>
      </c>
      <c r="EF132" s="14" t="s">
        <v>598</v>
      </c>
      <c r="EG132" s="14" t="s">
        <v>598</v>
      </c>
      <c r="EH132" s="14" t="s">
        <v>598</v>
      </c>
      <c r="EI132" s="14" t="s">
        <v>598</v>
      </c>
      <c r="EJ132" s="14" t="s">
        <v>598</v>
      </c>
      <c r="EK132" s="14" t="s">
        <v>598</v>
      </c>
      <c r="EL132" s="14" t="s">
        <v>598</v>
      </c>
      <c r="EM132" s="14" t="s">
        <v>598</v>
      </c>
      <c r="EN132" s="14" t="s">
        <v>598</v>
      </c>
      <c r="EO132" s="14" t="s">
        <v>598</v>
      </c>
      <c r="EP132" s="14" t="s">
        <v>598</v>
      </c>
      <c r="EQ132" s="14" t="s">
        <v>598</v>
      </c>
      <c r="ER132" s="14" t="s">
        <v>598</v>
      </c>
      <c r="EY132" s="14">
        <v>0</v>
      </c>
      <c r="FF132" s="14">
        <v>0</v>
      </c>
      <c r="FM132" s="14">
        <v>0</v>
      </c>
      <c r="FT132" s="14">
        <v>0</v>
      </c>
      <c r="GA132" s="14">
        <v>0</v>
      </c>
      <c r="GH132" s="14">
        <v>0</v>
      </c>
      <c r="GO132" s="14">
        <v>0</v>
      </c>
      <c r="GW132" s="14">
        <v>0</v>
      </c>
      <c r="GX132" s="14">
        <v>0</v>
      </c>
      <c r="GY132" s="14">
        <v>0</v>
      </c>
      <c r="GZ132" s="14">
        <v>0</v>
      </c>
      <c r="HA132" s="14">
        <v>0</v>
      </c>
      <c r="HB132" s="14">
        <v>0</v>
      </c>
      <c r="HC132" s="14">
        <v>0</v>
      </c>
      <c r="HD132" s="14">
        <v>0</v>
      </c>
      <c r="HK132" s="14">
        <v>0</v>
      </c>
      <c r="HR132" s="14">
        <v>0</v>
      </c>
      <c r="HY132" s="14">
        <v>0</v>
      </c>
      <c r="IF132" s="14">
        <v>0</v>
      </c>
      <c r="IM132" s="14">
        <v>0</v>
      </c>
      <c r="IN132" s="14">
        <v>0</v>
      </c>
      <c r="IO132" s="14">
        <v>0</v>
      </c>
      <c r="IP132" s="14">
        <v>0</v>
      </c>
      <c r="IQ132" s="14">
        <v>0</v>
      </c>
      <c r="IR132" s="14">
        <v>0</v>
      </c>
      <c r="IS132" s="14">
        <v>0</v>
      </c>
      <c r="IT132" s="14">
        <v>0</v>
      </c>
      <c r="IZ132" s="14">
        <v>1</v>
      </c>
      <c r="JA132" s="14">
        <v>3</v>
      </c>
      <c r="JB132" s="14">
        <v>2</v>
      </c>
      <c r="JC132" s="14" t="s">
        <v>600</v>
      </c>
      <c r="NF132" s="14" t="s">
        <v>601</v>
      </c>
      <c r="RI132" s="14" t="s">
        <v>602</v>
      </c>
      <c r="VL132" s="14" t="s">
        <v>603</v>
      </c>
      <c r="ZO132" s="14" t="s">
        <v>604</v>
      </c>
      <c r="ADR132" s="14" t="s">
        <v>605</v>
      </c>
    </row>
    <row r="133" spans="1:798" x14ac:dyDescent="0.25">
      <c r="A133" s="14">
        <v>178</v>
      </c>
      <c r="B133" s="14" t="s">
        <v>889</v>
      </c>
      <c r="C133" s="16">
        <f>VLOOKUP(A133,[4]RawData!Z:AA,2,FALSE)</f>
        <v>42773.338194444441</v>
      </c>
      <c r="D133" s="14" t="s">
        <v>1268</v>
      </c>
      <c r="E133" s="14" t="s">
        <v>1269</v>
      </c>
      <c r="F133" s="14" t="s">
        <v>1270</v>
      </c>
      <c r="G133" s="14" t="s">
        <v>1271</v>
      </c>
      <c r="H133" s="14" t="s">
        <v>1272</v>
      </c>
      <c r="I133" s="14" t="s">
        <v>938</v>
      </c>
      <c r="J133" s="14" t="s">
        <v>732</v>
      </c>
      <c r="L133" s="14">
        <v>1</v>
      </c>
      <c r="U133" s="14">
        <v>0</v>
      </c>
      <c r="W133" s="14">
        <v>250</v>
      </c>
      <c r="Y133" s="14">
        <v>176</v>
      </c>
      <c r="AB133" s="14">
        <v>426</v>
      </c>
      <c r="AI133" s="14">
        <v>0</v>
      </c>
      <c r="AP133" s="14">
        <v>0</v>
      </c>
      <c r="AW133" s="14">
        <v>0</v>
      </c>
      <c r="BD133" s="14">
        <v>0</v>
      </c>
      <c r="BE133" s="14">
        <v>0</v>
      </c>
      <c r="BF133" s="14">
        <v>250</v>
      </c>
      <c r="BG133" s="14">
        <v>0</v>
      </c>
      <c r="BH133" s="14">
        <v>176</v>
      </c>
      <c r="BI133" s="14">
        <v>0</v>
      </c>
      <c r="BJ133" s="14">
        <v>0</v>
      </c>
      <c r="BK133" s="14">
        <v>426</v>
      </c>
      <c r="BR133" s="14">
        <v>0</v>
      </c>
      <c r="BT133" s="14">
        <v>1</v>
      </c>
      <c r="BV133" s="14">
        <v>8</v>
      </c>
      <c r="BY133" s="14">
        <v>9</v>
      </c>
      <c r="CF133" s="14">
        <v>0</v>
      </c>
      <c r="CM133" s="14">
        <v>0</v>
      </c>
      <c r="CT133" s="14">
        <v>0</v>
      </c>
      <c r="DA133" s="14">
        <v>0</v>
      </c>
      <c r="DB133" s="14">
        <v>0</v>
      </c>
      <c r="DC133" s="14">
        <v>1</v>
      </c>
      <c r="DD133" s="14">
        <v>0</v>
      </c>
      <c r="DE133" s="14">
        <v>8</v>
      </c>
      <c r="DF133" s="14">
        <v>0</v>
      </c>
      <c r="DG133" s="14">
        <v>0</v>
      </c>
      <c r="DH133" s="14">
        <v>9</v>
      </c>
      <c r="DI133" s="14" t="s">
        <v>598</v>
      </c>
      <c r="DJ133" s="14" t="s">
        <v>598</v>
      </c>
      <c r="DK133" s="14" t="s">
        <v>598</v>
      </c>
      <c r="DL133" s="14" t="s">
        <v>598</v>
      </c>
      <c r="DM133" s="14" t="s">
        <v>598</v>
      </c>
      <c r="DN133" s="14" t="s">
        <v>598</v>
      </c>
      <c r="DO133" s="14" t="s">
        <v>598</v>
      </c>
      <c r="DP133" s="14" t="s">
        <v>597</v>
      </c>
      <c r="DQ133" s="14" t="s">
        <v>598</v>
      </c>
      <c r="DR133" s="14" t="s">
        <v>597</v>
      </c>
      <c r="DS133" s="14" t="s">
        <v>598</v>
      </c>
      <c r="DT133" s="14" t="s">
        <v>598</v>
      </c>
      <c r="DU133" s="14" t="s">
        <v>598</v>
      </c>
      <c r="DV133" s="14" t="s">
        <v>598</v>
      </c>
      <c r="DW133" s="14" t="s">
        <v>598</v>
      </c>
      <c r="DX133" s="14" t="s">
        <v>598</v>
      </c>
      <c r="DY133" s="14" t="s">
        <v>598</v>
      </c>
      <c r="DZ133" s="14" t="s">
        <v>598</v>
      </c>
      <c r="EA133" s="14" t="s">
        <v>598</v>
      </c>
      <c r="EB133" s="14" t="s">
        <v>598</v>
      </c>
      <c r="EC133" s="14" t="s">
        <v>598</v>
      </c>
      <c r="ED133" s="14" t="s">
        <v>598</v>
      </c>
      <c r="EE133" s="14" t="s">
        <v>598</v>
      </c>
      <c r="EF133" s="14" t="s">
        <v>598</v>
      </c>
      <c r="EG133" s="14" t="s">
        <v>598</v>
      </c>
      <c r="EH133" s="14" t="s">
        <v>598</v>
      </c>
      <c r="EI133" s="14" t="s">
        <v>598</v>
      </c>
      <c r="EJ133" s="14" t="s">
        <v>598</v>
      </c>
      <c r="EK133" s="14" t="s">
        <v>598</v>
      </c>
      <c r="EL133" s="14" t="s">
        <v>598</v>
      </c>
      <c r="EM133" s="14" t="s">
        <v>598</v>
      </c>
      <c r="EN133" s="14" t="s">
        <v>598</v>
      </c>
      <c r="EO133" s="14" t="s">
        <v>598</v>
      </c>
      <c r="EP133" s="14" t="s">
        <v>598</v>
      </c>
      <c r="EQ133" s="14" t="s">
        <v>598</v>
      </c>
      <c r="ER133" s="14" t="s">
        <v>598</v>
      </c>
      <c r="ET133" s="14">
        <v>250</v>
      </c>
      <c r="EY133" s="14">
        <v>250</v>
      </c>
      <c r="FF133" s="14">
        <v>0</v>
      </c>
      <c r="FM133" s="14">
        <v>0</v>
      </c>
      <c r="FT133" s="14">
        <v>0</v>
      </c>
      <c r="GA133" s="14">
        <v>0</v>
      </c>
      <c r="GH133" s="14">
        <v>0</v>
      </c>
      <c r="GL133" s="14">
        <v>176</v>
      </c>
      <c r="GO133" s="14">
        <v>176</v>
      </c>
      <c r="GW133" s="14">
        <v>0</v>
      </c>
      <c r="GX133" s="14">
        <v>0</v>
      </c>
      <c r="GY133" s="14">
        <v>250</v>
      </c>
      <c r="GZ133" s="14">
        <v>0</v>
      </c>
      <c r="HA133" s="14">
        <v>176</v>
      </c>
      <c r="HB133" s="14">
        <v>0</v>
      </c>
      <c r="HC133" s="14">
        <v>0</v>
      </c>
      <c r="HD133" s="14">
        <v>426</v>
      </c>
      <c r="HK133" s="14">
        <v>0</v>
      </c>
      <c r="HM133" s="14">
        <v>250</v>
      </c>
      <c r="HR133" s="14">
        <v>250</v>
      </c>
      <c r="HY133" s="14">
        <v>0</v>
      </c>
      <c r="IF133" s="14">
        <v>0</v>
      </c>
      <c r="IM133" s="14">
        <v>0</v>
      </c>
      <c r="IN133" s="14">
        <v>0</v>
      </c>
      <c r="IO133" s="14">
        <v>250</v>
      </c>
      <c r="IP133" s="14">
        <v>0</v>
      </c>
      <c r="IQ133" s="14">
        <v>0</v>
      </c>
      <c r="IR133" s="14">
        <v>0</v>
      </c>
      <c r="IS133" s="14">
        <v>0</v>
      </c>
      <c r="IT133" s="14">
        <v>250</v>
      </c>
      <c r="IU133" s="14">
        <v>20</v>
      </c>
      <c r="IW133" s="14">
        <v>80</v>
      </c>
      <c r="IZ133" s="14">
        <v>3</v>
      </c>
      <c r="JA133" s="14">
        <v>3</v>
      </c>
      <c r="JB133" s="14">
        <v>2</v>
      </c>
      <c r="JC133" s="14" t="s">
        <v>600</v>
      </c>
      <c r="NF133" s="14" t="s">
        <v>601</v>
      </c>
      <c r="NH133" s="14">
        <v>250</v>
      </c>
      <c r="NM133" s="14">
        <v>250</v>
      </c>
      <c r="NT133" s="14">
        <v>0</v>
      </c>
      <c r="OA133" s="14">
        <v>0</v>
      </c>
      <c r="OH133" s="14">
        <v>0</v>
      </c>
      <c r="OO133" s="14">
        <v>0</v>
      </c>
      <c r="OV133" s="14">
        <v>0</v>
      </c>
      <c r="OZ133" s="14">
        <v>176</v>
      </c>
      <c r="PC133" s="14">
        <v>176</v>
      </c>
      <c r="PK133" s="14">
        <v>0</v>
      </c>
      <c r="PL133" s="14">
        <v>0</v>
      </c>
      <c r="PM133" s="14">
        <v>250</v>
      </c>
      <c r="PN133" s="14">
        <v>0</v>
      </c>
      <c r="PO133" s="14">
        <v>176</v>
      </c>
      <c r="PP133" s="14">
        <v>0</v>
      </c>
      <c r="PQ133" s="14">
        <v>0</v>
      </c>
      <c r="PR133" s="14">
        <v>426</v>
      </c>
      <c r="PT133" s="14">
        <v>250</v>
      </c>
      <c r="PV133" s="14">
        <v>155</v>
      </c>
      <c r="PY133" s="14">
        <v>405</v>
      </c>
      <c r="QC133" s="14">
        <v>20</v>
      </c>
      <c r="QF133" s="14">
        <v>20</v>
      </c>
      <c r="QM133" s="14">
        <v>0</v>
      </c>
      <c r="QQ133" s="14">
        <v>1</v>
      </c>
      <c r="QT133" s="14">
        <v>1</v>
      </c>
      <c r="RA133" s="14">
        <v>0</v>
      </c>
      <c r="RB133" s="14">
        <v>0</v>
      </c>
      <c r="RC133" s="14">
        <v>250</v>
      </c>
      <c r="RD133" s="14">
        <v>0</v>
      </c>
      <c r="RE133" s="14">
        <v>176</v>
      </c>
      <c r="RF133" s="14">
        <v>0</v>
      </c>
      <c r="RG133" s="14">
        <v>0</v>
      </c>
      <c r="RH133" s="14">
        <v>426</v>
      </c>
      <c r="RI133" s="14" t="s">
        <v>602</v>
      </c>
      <c r="VL133" s="14" t="s">
        <v>603</v>
      </c>
      <c r="ZO133" s="14" t="s">
        <v>604</v>
      </c>
      <c r="ADR133" s="14" t="s">
        <v>605</v>
      </c>
    </row>
    <row r="134" spans="1:798" x14ac:dyDescent="0.25">
      <c r="A134" s="14">
        <v>35</v>
      </c>
      <c r="B134" s="14" t="s">
        <v>889</v>
      </c>
      <c r="C134" s="16">
        <f>VLOOKUP(A134,[4]RawData!Z:AA,2,FALSE)</f>
        <v>42766.709722222222</v>
      </c>
      <c r="D134" s="14" t="s">
        <v>1273</v>
      </c>
      <c r="E134" s="14" t="s">
        <v>1274</v>
      </c>
      <c r="F134" s="14" t="s">
        <v>1275</v>
      </c>
      <c r="G134" s="14" t="s">
        <v>1276</v>
      </c>
      <c r="H134" s="14" t="s">
        <v>1277</v>
      </c>
      <c r="I134" s="14" t="s">
        <v>731</v>
      </c>
      <c r="J134" s="14" t="s">
        <v>732</v>
      </c>
      <c r="L134" s="14">
        <v>1</v>
      </c>
      <c r="U134" s="14">
        <v>0</v>
      </c>
      <c r="V134" s="14">
        <v>91.33</v>
      </c>
      <c r="W134" s="14">
        <v>63.9</v>
      </c>
      <c r="Y134" s="14">
        <v>272</v>
      </c>
      <c r="AA134" s="14">
        <v>4.04</v>
      </c>
      <c r="AB134" s="14">
        <v>431.27</v>
      </c>
      <c r="AI134" s="14">
        <v>0</v>
      </c>
      <c r="AP134" s="14">
        <v>0</v>
      </c>
      <c r="AW134" s="14">
        <v>0</v>
      </c>
      <c r="BD134" s="14">
        <v>0</v>
      </c>
      <c r="BE134" s="14">
        <v>91.33</v>
      </c>
      <c r="BF134" s="14">
        <v>63.9</v>
      </c>
      <c r="BG134" s="14">
        <v>0</v>
      </c>
      <c r="BH134" s="14">
        <v>272</v>
      </c>
      <c r="BI134" s="14">
        <v>0</v>
      </c>
      <c r="BJ134" s="14">
        <v>4.04</v>
      </c>
      <c r="BK134" s="14">
        <v>431.27</v>
      </c>
      <c r="BR134" s="14">
        <v>0</v>
      </c>
      <c r="BS134" s="14">
        <v>4</v>
      </c>
      <c r="BT134" s="14">
        <v>2</v>
      </c>
      <c r="BV134" s="14">
        <v>3</v>
      </c>
      <c r="BX134" s="14">
        <v>1</v>
      </c>
      <c r="BY134" s="14">
        <v>10</v>
      </c>
      <c r="CF134" s="14">
        <v>0</v>
      </c>
      <c r="CM134" s="14">
        <v>0</v>
      </c>
      <c r="CT134" s="14">
        <v>0</v>
      </c>
      <c r="DA134" s="14">
        <v>0</v>
      </c>
      <c r="DB134" s="14">
        <v>4</v>
      </c>
      <c r="DC134" s="14">
        <v>2</v>
      </c>
      <c r="DD134" s="14">
        <v>0</v>
      </c>
      <c r="DE134" s="14">
        <v>3</v>
      </c>
      <c r="DF134" s="14">
        <v>0</v>
      </c>
      <c r="DG134" s="14">
        <v>1</v>
      </c>
      <c r="DH134" s="14">
        <v>10</v>
      </c>
      <c r="DI134" s="14" t="s">
        <v>598</v>
      </c>
      <c r="DJ134" s="14" t="s">
        <v>598</v>
      </c>
      <c r="DK134" s="14" t="s">
        <v>598</v>
      </c>
      <c r="DL134" s="14" t="s">
        <v>598</v>
      </c>
      <c r="DM134" s="14" t="s">
        <v>598</v>
      </c>
      <c r="DN134" s="14" t="s">
        <v>598</v>
      </c>
      <c r="DO134" s="14" t="s">
        <v>597</v>
      </c>
      <c r="DP134" s="14" t="s">
        <v>597</v>
      </c>
      <c r="DQ134" s="14" t="s">
        <v>598</v>
      </c>
      <c r="DR134" s="14" t="s">
        <v>597</v>
      </c>
      <c r="DS134" s="14" t="s">
        <v>598</v>
      </c>
      <c r="DT134" s="14" t="s">
        <v>597</v>
      </c>
      <c r="DU134" s="14" t="s">
        <v>598</v>
      </c>
      <c r="DV134" s="14" t="s">
        <v>598</v>
      </c>
      <c r="DW134" s="14" t="s">
        <v>598</v>
      </c>
      <c r="DX134" s="14" t="s">
        <v>598</v>
      </c>
      <c r="DY134" s="14" t="s">
        <v>598</v>
      </c>
      <c r="DZ134" s="14" t="s">
        <v>598</v>
      </c>
      <c r="EA134" s="14" t="s">
        <v>598</v>
      </c>
      <c r="EB134" s="14" t="s">
        <v>598</v>
      </c>
      <c r="EC134" s="14" t="s">
        <v>598</v>
      </c>
      <c r="ED134" s="14" t="s">
        <v>598</v>
      </c>
      <c r="EE134" s="14" t="s">
        <v>598</v>
      </c>
      <c r="EF134" s="14" t="s">
        <v>598</v>
      </c>
      <c r="EG134" s="14" t="s">
        <v>598</v>
      </c>
      <c r="EH134" s="14" t="s">
        <v>598</v>
      </c>
      <c r="EI134" s="14" t="s">
        <v>598</v>
      </c>
      <c r="EJ134" s="14" t="s">
        <v>598</v>
      </c>
      <c r="EK134" s="14" t="s">
        <v>598</v>
      </c>
      <c r="EL134" s="14" t="s">
        <v>598</v>
      </c>
      <c r="EM134" s="14" t="s">
        <v>598</v>
      </c>
      <c r="EN134" s="14" t="s">
        <v>598</v>
      </c>
      <c r="EO134" s="14" t="s">
        <v>598</v>
      </c>
      <c r="EP134" s="14" t="s">
        <v>598</v>
      </c>
      <c r="EQ134" s="14" t="s">
        <v>598</v>
      </c>
      <c r="ER134" s="14" t="s">
        <v>598</v>
      </c>
      <c r="ES134" s="14">
        <v>85.77</v>
      </c>
      <c r="ET134" s="14">
        <v>63.9</v>
      </c>
      <c r="EV134" s="14">
        <v>234.95</v>
      </c>
      <c r="EX134" s="14">
        <v>4.04</v>
      </c>
      <c r="EY134" s="14">
        <v>388.66</v>
      </c>
      <c r="FC134" s="14">
        <v>13.3</v>
      </c>
      <c r="FF134" s="14">
        <v>13.3</v>
      </c>
      <c r="FG134" s="14">
        <v>2.1</v>
      </c>
      <c r="FJ134" s="14">
        <v>0.09</v>
      </c>
      <c r="FM134" s="14">
        <v>2.19</v>
      </c>
      <c r="FT134" s="14">
        <v>0</v>
      </c>
      <c r="FX134" s="14">
        <v>23.62</v>
      </c>
      <c r="GA134" s="14">
        <v>23.62</v>
      </c>
      <c r="GB134" s="14">
        <v>3.46</v>
      </c>
      <c r="GE134" s="14">
        <v>0.04</v>
      </c>
      <c r="GH134" s="14">
        <v>3.5</v>
      </c>
      <c r="GO134" s="14">
        <v>0</v>
      </c>
      <c r="GW134" s="14">
        <v>0</v>
      </c>
      <c r="GX134" s="14">
        <v>91.33</v>
      </c>
      <c r="GY134" s="14">
        <v>63.9</v>
      </c>
      <c r="GZ134" s="14">
        <v>0</v>
      </c>
      <c r="HA134" s="14">
        <v>272</v>
      </c>
      <c r="HB134" s="14">
        <v>0</v>
      </c>
      <c r="HC134" s="14">
        <v>4.04</v>
      </c>
      <c r="HD134" s="14">
        <v>431.27</v>
      </c>
      <c r="HH134" s="14">
        <v>26.52</v>
      </c>
      <c r="HK134" s="14">
        <v>26.52</v>
      </c>
      <c r="HL134" s="14">
        <v>90.34</v>
      </c>
      <c r="HM134" s="14">
        <v>63.9</v>
      </c>
      <c r="HO134" s="14">
        <v>78.180000000000007</v>
      </c>
      <c r="HQ134" s="14">
        <v>4.04</v>
      </c>
      <c r="HR134" s="14">
        <v>236.46</v>
      </c>
      <c r="HS134" s="14">
        <v>0.99</v>
      </c>
      <c r="HV134" s="14">
        <v>167.3</v>
      </c>
      <c r="HY134" s="14">
        <v>168.29</v>
      </c>
      <c r="IF134" s="14">
        <v>0</v>
      </c>
      <c r="IM134" s="14">
        <v>0</v>
      </c>
      <c r="IN134" s="14">
        <v>91.33</v>
      </c>
      <c r="IO134" s="14">
        <v>63.9</v>
      </c>
      <c r="IP134" s="14">
        <v>0</v>
      </c>
      <c r="IQ134" s="14">
        <v>272</v>
      </c>
      <c r="IR134" s="14">
        <v>0</v>
      </c>
      <c r="IS134" s="14">
        <v>4.04</v>
      </c>
      <c r="IT134" s="14">
        <v>431.27</v>
      </c>
      <c r="IW134" s="14">
        <v>100</v>
      </c>
      <c r="IZ134" s="14">
        <v>1</v>
      </c>
      <c r="JA134" s="14">
        <v>2</v>
      </c>
      <c r="JB134" s="14">
        <v>2</v>
      </c>
      <c r="JC134" s="14" t="s">
        <v>600</v>
      </c>
      <c r="NF134" s="14" t="s">
        <v>601</v>
      </c>
      <c r="NG134" s="14">
        <v>85.77</v>
      </c>
      <c r="NH134" s="14">
        <v>63.9</v>
      </c>
      <c r="NJ134" s="14">
        <v>234.95</v>
      </c>
      <c r="NL134" s="14">
        <v>4.04</v>
      </c>
      <c r="NM134" s="14">
        <v>388.66</v>
      </c>
      <c r="NQ134" s="14">
        <v>13.3</v>
      </c>
      <c r="NT134" s="14">
        <v>13.3</v>
      </c>
      <c r="NU134" s="14">
        <v>2.1</v>
      </c>
      <c r="NX134" s="14">
        <v>0.09</v>
      </c>
      <c r="OA134" s="14">
        <v>2.19</v>
      </c>
      <c r="OH134" s="14">
        <v>0</v>
      </c>
      <c r="OL134" s="14">
        <v>23.62</v>
      </c>
      <c r="OO134" s="14">
        <v>23.62</v>
      </c>
      <c r="OP134" s="14">
        <v>3.46</v>
      </c>
      <c r="OS134" s="14">
        <v>0.04</v>
      </c>
      <c r="OV134" s="14">
        <v>3.5</v>
      </c>
      <c r="PC134" s="14">
        <v>0</v>
      </c>
      <c r="PK134" s="14">
        <v>0</v>
      </c>
      <c r="PL134" s="14">
        <v>91.33</v>
      </c>
      <c r="PM134" s="14">
        <v>63.9</v>
      </c>
      <c r="PN134" s="14">
        <v>0</v>
      </c>
      <c r="PO134" s="14">
        <v>272</v>
      </c>
      <c r="PP134" s="14">
        <v>0</v>
      </c>
      <c r="PQ134" s="14">
        <v>4.04</v>
      </c>
      <c r="PR134" s="14">
        <v>431.27</v>
      </c>
      <c r="PS134" s="14">
        <v>90.34</v>
      </c>
      <c r="PT134" s="14">
        <v>63.9</v>
      </c>
      <c r="PV134" s="14">
        <v>78.180000000000007</v>
      </c>
      <c r="PX134" s="14">
        <v>4.04</v>
      </c>
      <c r="PY134" s="14">
        <v>236.46</v>
      </c>
      <c r="QC134" s="14">
        <v>26.52</v>
      </c>
      <c r="QF134" s="14">
        <v>26.52</v>
      </c>
      <c r="QG134" s="14">
        <v>0.99</v>
      </c>
      <c r="QJ134" s="14">
        <v>167.3</v>
      </c>
      <c r="QM134" s="14">
        <v>168.29</v>
      </c>
      <c r="QT134" s="14">
        <v>0</v>
      </c>
      <c r="RA134" s="14">
        <v>0</v>
      </c>
      <c r="RB134" s="14">
        <v>91.33</v>
      </c>
      <c r="RC134" s="14">
        <v>63.9</v>
      </c>
      <c r="RD134" s="14">
        <v>0</v>
      </c>
      <c r="RE134" s="14">
        <v>272</v>
      </c>
      <c r="RF134" s="14">
        <v>0</v>
      </c>
      <c r="RG134" s="14">
        <v>4.04</v>
      </c>
      <c r="RH134" s="14">
        <v>431.27</v>
      </c>
      <c r="RI134" s="14" t="s">
        <v>602</v>
      </c>
      <c r="VL134" s="14" t="s">
        <v>603</v>
      </c>
      <c r="ZO134" s="14" t="s">
        <v>604</v>
      </c>
      <c r="ADR134" s="14" t="s">
        <v>605</v>
      </c>
    </row>
    <row r="135" spans="1:798" x14ac:dyDescent="0.25">
      <c r="A135" s="14">
        <v>52</v>
      </c>
      <c r="B135" s="14" t="s">
        <v>889</v>
      </c>
      <c r="C135" s="16">
        <f>VLOOKUP(A135,[4]RawData!Z:AA,2,FALSE)</f>
        <v>42745.660416666666</v>
      </c>
      <c r="D135" s="14" t="s">
        <v>1278</v>
      </c>
      <c r="E135" s="14" t="s">
        <v>1279</v>
      </c>
      <c r="F135" s="14" t="s">
        <v>1280</v>
      </c>
      <c r="G135" s="14" t="s">
        <v>1281</v>
      </c>
      <c r="H135" s="14">
        <v>35316613499</v>
      </c>
      <c r="I135" s="14" t="s">
        <v>1197</v>
      </c>
      <c r="J135" s="14" t="s">
        <v>732</v>
      </c>
      <c r="L135" s="14">
        <v>1</v>
      </c>
      <c r="U135" s="14">
        <v>0</v>
      </c>
      <c r="V135" s="14">
        <v>111</v>
      </c>
      <c r="AB135" s="14">
        <v>111</v>
      </c>
      <c r="AI135" s="14">
        <v>0</v>
      </c>
      <c r="AP135" s="14">
        <v>0</v>
      </c>
      <c r="AW135" s="14">
        <v>0</v>
      </c>
      <c r="BD135" s="14">
        <v>0</v>
      </c>
      <c r="BE135" s="14">
        <v>111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111</v>
      </c>
      <c r="BR135" s="14">
        <v>0</v>
      </c>
      <c r="BS135" s="14">
        <v>1</v>
      </c>
      <c r="BY135" s="14">
        <v>1</v>
      </c>
      <c r="CF135" s="14">
        <v>0</v>
      </c>
      <c r="CM135" s="14">
        <v>0</v>
      </c>
      <c r="CT135" s="14">
        <v>0</v>
      </c>
      <c r="DA135" s="14">
        <v>0</v>
      </c>
      <c r="DB135" s="14">
        <v>1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1</v>
      </c>
      <c r="DI135" s="14" t="s">
        <v>598</v>
      </c>
      <c r="DJ135" s="14" t="s">
        <v>598</v>
      </c>
      <c r="DK135" s="14" t="s">
        <v>598</v>
      </c>
      <c r="DL135" s="14" t="s">
        <v>598</v>
      </c>
      <c r="DM135" s="14" t="s">
        <v>598</v>
      </c>
      <c r="DN135" s="14" t="s">
        <v>598</v>
      </c>
      <c r="DO135" s="14" t="s">
        <v>597</v>
      </c>
      <c r="DP135" s="14" t="s">
        <v>598</v>
      </c>
      <c r="DQ135" s="14" t="s">
        <v>598</v>
      </c>
      <c r="DR135" s="14" t="s">
        <v>598</v>
      </c>
      <c r="DS135" s="14" t="s">
        <v>598</v>
      </c>
      <c r="DT135" s="14" t="s">
        <v>598</v>
      </c>
      <c r="DU135" s="14" t="s">
        <v>598</v>
      </c>
      <c r="DV135" s="14" t="s">
        <v>598</v>
      </c>
      <c r="DW135" s="14" t="s">
        <v>598</v>
      </c>
      <c r="DX135" s="14" t="s">
        <v>598</v>
      </c>
      <c r="DY135" s="14" t="s">
        <v>598</v>
      </c>
      <c r="DZ135" s="14" t="s">
        <v>598</v>
      </c>
      <c r="EA135" s="14" t="s">
        <v>598</v>
      </c>
      <c r="EB135" s="14" t="s">
        <v>598</v>
      </c>
      <c r="EC135" s="14" t="s">
        <v>598</v>
      </c>
      <c r="ED135" s="14" t="s">
        <v>598</v>
      </c>
      <c r="EE135" s="14" t="s">
        <v>598</v>
      </c>
      <c r="EF135" s="14" t="s">
        <v>598</v>
      </c>
      <c r="EG135" s="14" t="s">
        <v>598</v>
      </c>
      <c r="EH135" s="14" t="s">
        <v>598</v>
      </c>
      <c r="EI135" s="14" t="s">
        <v>598</v>
      </c>
      <c r="EJ135" s="14" t="s">
        <v>598</v>
      </c>
      <c r="EK135" s="14" t="s">
        <v>598</v>
      </c>
      <c r="EL135" s="14" t="s">
        <v>598</v>
      </c>
      <c r="EM135" s="14" t="s">
        <v>598</v>
      </c>
      <c r="EN135" s="14" t="s">
        <v>598</v>
      </c>
      <c r="EO135" s="14" t="s">
        <v>598</v>
      </c>
      <c r="EP135" s="14" t="s">
        <v>598</v>
      </c>
      <c r="EQ135" s="14" t="s">
        <v>598</v>
      </c>
      <c r="ER135" s="14" t="s">
        <v>598</v>
      </c>
      <c r="ES135" s="14">
        <v>89</v>
      </c>
      <c r="EY135" s="14">
        <v>89</v>
      </c>
      <c r="EZ135" s="14">
        <v>22</v>
      </c>
      <c r="FF135" s="14">
        <v>22</v>
      </c>
      <c r="FM135" s="14">
        <v>0</v>
      </c>
      <c r="FT135" s="14">
        <v>0</v>
      </c>
      <c r="GA135" s="14">
        <v>0</v>
      </c>
      <c r="GH135" s="14">
        <v>0</v>
      </c>
      <c r="GO135" s="14">
        <v>0</v>
      </c>
      <c r="GW135" s="14">
        <v>0</v>
      </c>
      <c r="GX135" s="14">
        <v>111</v>
      </c>
      <c r="GY135" s="14">
        <v>0</v>
      </c>
      <c r="GZ135" s="14">
        <v>0</v>
      </c>
      <c r="HA135" s="14">
        <v>0</v>
      </c>
      <c r="HB135" s="14">
        <v>0</v>
      </c>
      <c r="HC135" s="14">
        <v>0</v>
      </c>
      <c r="HD135" s="14">
        <v>111</v>
      </c>
      <c r="HK135" s="14">
        <v>0</v>
      </c>
      <c r="HL135" s="14">
        <v>111</v>
      </c>
      <c r="HR135" s="14">
        <v>111</v>
      </c>
      <c r="HY135" s="14">
        <v>0</v>
      </c>
      <c r="IF135" s="14">
        <v>0</v>
      </c>
      <c r="IM135" s="14">
        <v>0</v>
      </c>
      <c r="IN135" s="14">
        <v>111</v>
      </c>
      <c r="IO135" s="14">
        <v>0</v>
      </c>
      <c r="IP135" s="14">
        <v>0</v>
      </c>
      <c r="IQ135" s="14">
        <v>0</v>
      </c>
      <c r="IR135" s="14">
        <v>0</v>
      </c>
      <c r="IS135" s="14">
        <v>0</v>
      </c>
      <c r="IT135" s="14">
        <v>111</v>
      </c>
      <c r="IV135" s="14">
        <v>100</v>
      </c>
      <c r="IZ135" s="14">
        <v>3</v>
      </c>
      <c r="JA135" s="14">
        <v>3</v>
      </c>
      <c r="JB135" s="14">
        <v>2</v>
      </c>
      <c r="JC135" s="14" t="s">
        <v>600</v>
      </c>
      <c r="NF135" s="14" t="s">
        <v>601</v>
      </c>
      <c r="NG135" s="14">
        <v>89</v>
      </c>
      <c r="NM135" s="14">
        <v>89</v>
      </c>
      <c r="NN135" s="14">
        <v>22</v>
      </c>
      <c r="NT135" s="14">
        <v>22</v>
      </c>
      <c r="OA135" s="14">
        <v>0</v>
      </c>
      <c r="OH135" s="14">
        <v>0</v>
      </c>
      <c r="OO135" s="14">
        <v>0</v>
      </c>
      <c r="OV135" s="14">
        <v>0</v>
      </c>
      <c r="PC135" s="14">
        <v>0</v>
      </c>
      <c r="PK135" s="14">
        <v>0</v>
      </c>
      <c r="PL135" s="14">
        <v>111</v>
      </c>
      <c r="PM135" s="14">
        <v>0</v>
      </c>
      <c r="PN135" s="14">
        <v>0</v>
      </c>
      <c r="PO135" s="14">
        <v>0</v>
      </c>
      <c r="PP135" s="14">
        <v>0</v>
      </c>
      <c r="PQ135" s="14">
        <v>0</v>
      </c>
      <c r="PR135" s="14">
        <v>111</v>
      </c>
      <c r="PS135" s="14">
        <v>111</v>
      </c>
      <c r="PY135" s="14">
        <v>111</v>
      </c>
      <c r="QF135" s="14">
        <v>0</v>
      </c>
      <c r="QM135" s="14">
        <v>0</v>
      </c>
      <c r="QT135" s="14">
        <v>0</v>
      </c>
      <c r="RA135" s="14">
        <v>0</v>
      </c>
      <c r="RB135" s="14">
        <v>111</v>
      </c>
      <c r="RC135" s="14">
        <v>0</v>
      </c>
      <c r="RD135" s="14">
        <v>0</v>
      </c>
      <c r="RE135" s="14">
        <v>0</v>
      </c>
      <c r="RF135" s="14">
        <v>0</v>
      </c>
      <c r="RG135" s="14">
        <v>0</v>
      </c>
      <c r="RH135" s="14">
        <v>111</v>
      </c>
      <c r="RI135" s="14" t="s">
        <v>602</v>
      </c>
      <c r="VL135" s="14" t="s">
        <v>603</v>
      </c>
      <c r="ZO135" s="14" t="s">
        <v>604</v>
      </c>
      <c r="ADR135" s="14" t="s">
        <v>605</v>
      </c>
    </row>
    <row r="136" spans="1:798" x14ac:dyDescent="0.25">
      <c r="A136" s="14">
        <v>163</v>
      </c>
      <c r="B136" s="14" t="s">
        <v>889</v>
      </c>
      <c r="C136" s="16">
        <f>$C$3</f>
        <v>42780</v>
      </c>
      <c r="D136" s="14" t="s">
        <v>1282</v>
      </c>
      <c r="E136" s="14" t="s">
        <v>1283</v>
      </c>
      <c r="F136" s="14" t="s">
        <v>1060</v>
      </c>
      <c r="G136" s="14" t="s">
        <v>1284</v>
      </c>
      <c r="H136" s="14">
        <v>642078099102</v>
      </c>
      <c r="I136" s="14" t="s">
        <v>611</v>
      </c>
      <c r="J136" s="14" t="s">
        <v>596</v>
      </c>
      <c r="L136" s="14">
        <v>1</v>
      </c>
      <c r="O136" s="14">
        <v>0</v>
      </c>
      <c r="P136" s="14">
        <v>0</v>
      </c>
      <c r="Q136" s="14">
        <v>212</v>
      </c>
      <c r="R136" s="14">
        <v>0</v>
      </c>
      <c r="S136" s="14">
        <v>268</v>
      </c>
      <c r="T136" s="14">
        <v>0</v>
      </c>
      <c r="U136" s="14">
        <v>480</v>
      </c>
      <c r="V136" s="14">
        <v>2412</v>
      </c>
      <c r="W136" s="14">
        <v>1318</v>
      </c>
      <c r="X136" s="14">
        <v>869</v>
      </c>
      <c r="Y136" s="14">
        <v>131</v>
      </c>
      <c r="Z136" s="14">
        <v>161</v>
      </c>
      <c r="AA136" s="14">
        <v>0</v>
      </c>
      <c r="AB136" s="14">
        <v>4891</v>
      </c>
      <c r="AC136" s="14">
        <v>1118</v>
      </c>
      <c r="AD136" s="14">
        <v>275</v>
      </c>
      <c r="AE136" s="14">
        <v>0</v>
      </c>
      <c r="AF136" s="14">
        <v>0</v>
      </c>
      <c r="AG136" s="14">
        <v>0</v>
      </c>
      <c r="AH136" s="14">
        <v>60</v>
      </c>
      <c r="AI136" s="14">
        <v>1453</v>
      </c>
      <c r="AJ136" s="14">
        <v>0</v>
      </c>
      <c r="AK136" s="14">
        <v>57</v>
      </c>
      <c r="AL136" s="14">
        <v>895</v>
      </c>
      <c r="AN136" s="14">
        <v>570</v>
      </c>
      <c r="AP136" s="14">
        <v>1522</v>
      </c>
      <c r="AW136" s="14">
        <v>0</v>
      </c>
      <c r="BD136" s="14">
        <v>0</v>
      </c>
      <c r="BE136" s="14">
        <v>3530</v>
      </c>
      <c r="BF136" s="14">
        <v>1650</v>
      </c>
      <c r="BG136" s="14">
        <v>1976</v>
      </c>
      <c r="BH136" s="14">
        <v>131</v>
      </c>
      <c r="BI136" s="14">
        <v>999</v>
      </c>
      <c r="BJ136" s="14">
        <v>60</v>
      </c>
      <c r="BK136" s="14">
        <v>8346</v>
      </c>
      <c r="BN136" s="14">
        <v>2</v>
      </c>
      <c r="BP136" s="14">
        <v>1</v>
      </c>
      <c r="BR136" s="14">
        <v>3</v>
      </c>
      <c r="BS136" s="14">
        <v>6</v>
      </c>
      <c r="BT136" s="14">
        <v>11</v>
      </c>
      <c r="BU136" s="14">
        <v>3</v>
      </c>
      <c r="BV136" s="14">
        <v>1</v>
      </c>
      <c r="BW136" s="14">
        <v>2</v>
      </c>
      <c r="BY136" s="14">
        <v>23</v>
      </c>
      <c r="BZ136" s="14">
        <v>2</v>
      </c>
      <c r="CA136" s="14">
        <v>3</v>
      </c>
      <c r="CE136" s="14">
        <v>1</v>
      </c>
      <c r="CF136" s="14">
        <v>6</v>
      </c>
      <c r="CH136" s="14">
        <v>1</v>
      </c>
      <c r="CI136" s="14">
        <v>7</v>
      </c>
      <c r="CK136" s="14">
        <v>1</v>
      </c>
      <c r="CM136" s="14">
        <v>9</v>
      </c>
      <c r="CT136" s="14">
        <v>0</v>
      </c>
      <c r="DA136" s="14">
        <v>0</v>
      </c>
      <c r="DB136" s="14">
        <v>8</v>
      </c>
      <c r="DC136" s="14">
        <v>15</v>
      </c>
      <c r="DD136" s="14">
        <v>12</v>
      </c>
      <c r="DE136" s="14">
        <v>1</v>
      </c>
      <c r="DF136" s="14">
        <v>4</v>
      </c>
      <c r="DG136" s="14">
        <v>1</v>
      </c>
      <c r="DH136" s="14">
        <v>41</v>
      </c>
      <c r="DI136" s="14" t="s">
        <v>598</v>
      </c>
      <c r="DJ136" s="14" t="s">
        <v>598</v>
      </c>
      <c r="DK136" s="14" t="s">
        <v>597</v>
      </c>
      <c r="DL136" s="14" t="s">
        <v>598</v>
      </c>
      <c r="DM136" s="14" t="s">
        <v>597</v>
      </c>
      <c r="DN136" s="14" t="s">
        <v>598</v>
      </c>
      <c r="DO136" s="14" t="s">
        <v>597</v>
      </c>
      <c r="DP136" s="14" t="s">
        <v>597</v>
      </c>
      <c r="DQ136" s="14" t="s">
        <v>597</v>
      </c>
      <c r="DR136" s="14" t="s">
        <v>597</v>
      </c>
      <c r="DS136" s="14" t="s">
        <v>597</v>
      </c>
      <c r="DT136" s="14" t="s">
        <v>598</v>
      </c>
      <c r="DU136" s="14" t="s">
        <v>597</v>
      </c>
      <c r="DV136" s="14" t="s">
        <v>597</v>
      </c>
      <c r="DW136" s="14" t="s">
        <v>598</v>
      </c>
      <c r="DX136" s="14" t="s">
        <v>598</v>
      </c>
      <c r="DY136" s="14" t="s">
        <v>598</v>
      </c>
      <c r="DZ136" s="14" t="s">
        <v>597</v>
      </c>
      <c r="EA136" s="14" t="s">
        <v>598</v>
      </c>
      <c r="EB136" s="14" t="s">
        <v>597</v>
      </c>
      <c r="EC136" s="14" t="s">
        <v>597</v>
      </c>
      <c r="ED136" s="14" t="s">
        <v>598</v>
      </c>
      <c r="EE136" s="14" t="s">
        <v>597</v>
      </c>
      <c r="EF136" s="14" t="s">
        <v>598</v>
      </c>
      <c r="EG136" s="14" t="s">
        <v>598</v>
      </c>
      <c r="EH136" s="14" t="s">
        <v>598</v>
      </c>
      <c r="EI136" s="14" t="s">
        <v>598</v>
      </c>
      <c r="EJ136" s="14" t="s">
        <v>598</v>
      </c>
      <c r="EK136" s="14" t="s">
        <v>598</v>
      </c>
      <c r="EL136" s="14" t="s">
        <v>598</v>
      </c>
      <c r="EM136" s="14" t="s">
        <v>598</v>
      </c>
      <c r="EN136" s="14" t="s">
        <v>598</v>
      </c>
      <c r="EO136" s="14" t="s">
        <v>598</v>
      </c>
      <c r="EP136" s="14" t="s">
        <v>598</v>
      </c>
      <c r="EQ136" s="14" t="s">
        <v>598</v>
      </c>
      <c r="ER136" s="14" t="s">
        <v>598</v>
      </c>
      <c r="ES136" s="14">
        <v>2731</v>
      </c>
      <c r="ET136" s="14">
        <v>594</v>
      </c>
      <c r="EU136" s="14">
        <v>653</v>
      </c>
      <c r="EW136" s="14">
        <v>531</v>
      </c>
      <c r="EY136" s="14">
        <v>4509</v>
      </c>
      <c r="EZ136" s="14">
        <v>281</v>
      </c>
      <c r="FA136" s="14">
        <v>734</v>
      </c>
      <c r="FB136" s="14">
        <v>1053</v>
      </c>
      <c r="FD136" s="14">
        <v>290</v>
      </c>
      <c r="FE136" s="14">
        <v>60</v>
      </c>
      <c r="FF136" s="14">
        <v>2418</v>
      </c>
      <c r="FG136" s="14">
        <v>91</v>
      </c>
      <c r="FH136" s="14">
        <v>270</v>
      </c>
      <c r="FJ136" s="14">
        <v>131</v>
      </c>
      <c r="FM136" s="14">
        <v>492</v>
      </c>
      <c r="FN136" s="14">
        <v>9</v>
      </c>
      <c r="FO136" s="14">
        <v>0</v>
      </c>
      <c r="FP136" s="14">
        <v>271</v>
      </c>
      <c r="FR136" s="14">
        <v>45</v>
      </c>
      <c r="FT136" s="14">
        <v>325</v>
      </c>
      <c r="FY136" s="14">
        <v>43</v>
      </c>
      <c r="GA136" s="14">
        <v>43</v>
      </c>
      <c r="GB136" s="14">
        <v>161</v>
      </c>
      <c r="GH136" s="14">
        <v>161</v>
      </c>
      <c r="GO136" s="14">
        <v>0</v>
      </c>
      <c r="GP136" s="14" t="s">
        <v>1285</v>
      </c>
      <c r="GQ136" s="14">
        <v>257</v>
      </c>
      <c r="GR136" s="14">
        <v>52</v>
      </c>
      <c r="GU136" s="14">
        <v>91</v>
      </c>
      <c r="GW136" s="14">
        <v>400</v>
      </c>
      <c r="GX136" s="14">
        <v>3530</v>
      </c>
      <c r="GY136" s="14">
        <v>1650</v>
      </c>
      <c r="GZ136" s="14">
        <v>1977</v>
      </c>
      <c r="HA136" s="14">
        <v>131</v>
      </c>
      <c r="HB136" s="14">
        <v>1000</v>
      </c>
      <c r="HC136" s="14">
        <v>60</v>
      </c>
      <c r="HD136" s="14">
        <v>8348</v>
      </c>
      <c r="HE136" s="14">
        <v>185</v>
      </c>
      <c r="HF136" s="14">
        <v>509</v>
      </c>
      <c r="HG136" s="14">
        <v>100</v>
      </c>
      <c r="HH136" s="14">
        <v>131</v>
      </c>
      <c r="HI136" s="14">
        <v>292</v>
      </c>
      <c r="HJ136" s="14">
        <v>60</v>
      </c>
      <c r="HK136" s="14">
        <v>1277</v>
      </c>
      <c r="HL136" s="14">
        <v>2185</v>
      </c>
      <c r="HM136" s="14">
        <v>1040</v>
      </c>
      <c r="HN136" s="14">
        <v>1834</v>
      </c>
      <c r="HP136" s="14">
        <v>547</v>
      </c>
      <c r="HR136" s="14">
        <v>5606</v>
      </c>
      <c r="HS136" s="14">
        <v>1160</v>
      </c>
      <c r="HT136" s="14">
        <v>100</v>
      </c>
      <c r="HU136" s="14">
        <v>43</v>
      </c>
      <c r="HW136" s="14">
        <v>159</v>
      </c>
      <c r="HY136" s="14">
        <v>1462</v>
      </c>
      <c r="IF136" s="14">
        <v>0</v>
      </c>
      <c r="IM136" s="14">
        <v>0</v>
      </c>
      <c r="IN136" s="14">
        <v>3530</v>
      </c>
      <c r="IO136" s="14">
        <v>1649</v>
      </c>
      <c r="IP136" s="14">
        <v>1977</v>
      </c>
      <c r="IQ136" s="14">
        <v>131</v>
      </c>
      <c r="IR136" s="14">
        <v>998</v>
      </c>
      <c r="IS136" s="14">
        <v>60</v>
      </c>
      <c r="IT136" s="14">
        <v>8345</v>
      </c>
      <c r="IW136" s="14">
        <v>100</v>
      </c>
      <c r="IZ136" s="14">
        <v>3</v>
      </c>
      <c r="JA136" s="14">
        <v>3</v>
      </c>
      <c r="JB136" s="14">
        <v>1</v>
      </c>
      <c r="JC136" s="14" t="s">
        <v>600</v>
      </c>
      <c r="JF136" s="14">
        <v>112</v>
      </c>
      <c r="JH136" s="14">
        <v>107</v>
      </c>
      <c r="JJ136" s="14">
        <v>219</v>
      </c>
      <c r="JM136" s="14">
        <v>100</v>
      </c>
      <c r="JO136" s="14">
        <v>106</v>
      </c>
      <c r="JQ136" s="14">
        <v>206</v>
      </c>
      <c r="JX136" s="14">
        <v>0</v>
      </c>
      <c r="KC136" s="14">
        <v>45</v>
      </c>
      <c r="KE136" s="14">
        <v>45</v>
      </c>
      <c r="KL136" s="14">
        <v>0</v>
      </c>
      <c r="KS136" s="14">
        <v>0</v>
      </c>
      <c r="KZ136" s="14">
        <v>0</v>
      </c>
      <c r="LA136" s="14" t="s">
        <v>1286</v>
      </c>
      <c r="LF136" s="14">
        <v>10</v>
      </c>
      <c r="LH136" s="14">
        <v>10</v>
      </c>
      <c r="LI136" s="14">
        <v>0</v>
      </c>
      <c r="LJ136" s="14">
        <v>0</v>
      </c>
      <c r="LK136" s="14">
        <v>212</v>
      </c>
      <c r="LL136" s="14">
        <v>0</v>
      </c>
      <c r="LM136" s="14">
        <v>268</v>
      </c>
      <c r="LN136" s="14">
        <v>0</v>
      </c>
      <c r="LO136" s="14">
        <v>480</v>
      </c>
      <c r="LR136" s="14">
        <v>112</v>
      </c>
      <c r="LT136" s="14">
        <v>112</v>
      </c>
      <c r="LV136" s="14">
        <v>224</v>
      </c>
      <c r="LY136" s="14">
        <v>100</v>
      </c>
      <c r="MA136" s="14">
        <v>106</v>
      </c>
      <c r="MC136" s="14">
        <v>206</v>
      </c>
      <c r="MH136" s="14">
        <v>50</v>
      </c>
      <c r="MJ136" s="14">
        <v>50</v>
      </c>
      <c r="MQ136" s="14">
        <v>0</v>
      </c>
      <c r="MX136" s="14">
        <v>0</v>
      </c>
      <c r="MY136" s="14">
        <v>0</v>
      </c>
      <c r="MZ136" s="14">
        <v>0</v>
      </c>
      <c r="NA136" s="14">
        <v>212</v>
      </c>
      <c r="NB136" s="14">
        <v>0</v>
      </c>
      <c r="NC136" s="14">
        <v>268</v>
      </c>
      <c r="ND136" s="14">
        <v>0</v>
      </c>
      <c r="NE136" s="14">
        <v>480</v>
      </c>
      <c r="NF136" s="14" t="s">
        <v>601</v>
      </c>
      <c r="NG136" s="14">
        <v>1736</v>
      </c>
      <c r="NH136" s="14">
        <v>437</v>
      </c>
      <c r="NI136" s="14">
        <v>62</v>
      </c>
      <c r="NK136" s="14">
        <v>6</v>
      </c>
      <c r="NM136" s="14">
        <v>2241</v>
      </c>
      <c r="NN136" s="14">
        <v>251</v>
      </c>
      <c r="NO136" s="14">
        <v>734</v>
      </c>
      <c r="NP136" s="14">
        <v>807</v>
      </c>
      <c r="NR136" s="14">
        <v>154</v>
      </c>
      <c r="NT136" s="14">
        <v>1946</v>
      </c>
      <c r="NU136" s="14">
        <v>16</v>
      </c>
      <c r="NV136" s="14">
        <v>147</v>
      </c>
      <c r="NX136" s="14">
        <v>131</v>
      </c>
      <c r="OA136" s="14">
        <v>294</v>
      </c>
      <c r="OB136" s="14">
        <v>9</v>
      </c>
      <c r="OH136" s="14">
        <v>9</v>
      </c>
      <c r="OO136" s="14">
        <v>0</v>
      </c>
      <c r="OP136" s="14">
        <v>161</v>
      </c>
      <c r="OV136" s="14">
        <v>161</v>
      </c>
      <c r="PC136" s="14">
        <v>0</v>
      </c>
      <c r="PD136" s="14" t="s">
        <v>1286</v>
      </c>
      <c r="PE136" s="14">
        <v>239</v>
      </c>
      <c r="PK136" s="14">
        <v>239</v>
      </c>
      <c r="PL136" s="14">
        <v>2412</v>
      </c>
      <c r="PM136" s="14">
        <v>1318</v>
      </c>
      <c r="PN136" s="14">
        <v>869</v>
      </c>
      <c r="PO136" s="14">
        <v>131</v>
      </c>
      <c r="PP136" s="14">
        <v>160</v>
      </c>
      <c r="PQ136" s="14">
        <v>0</v>
      </c>
      <c r="PR136" s="14">
        <v>4890</v>
      </c>
      <c r="PS136" s="14">
        <v>2035</v>
      </c>
      <c r="PT136" s="14">
        <v>931</v>
      </c>
      <c r="PU136" s="14">
        <v>869</v>
      </c>
      <c r="PW136" s="14">
        <v>161</v>
      </c>
      <c r="PY136" s="14">
        <v>3996</v>
      </c>
      <c r="PZ136" s="14">
        <v>80</v>
      </c>
      <c r="QA136" s="14">
        <v>386</v>
      </c>
      <c r="QC136" s="14">
        <v>131</v>
      </c>
      <c r="QF136" s="14">
        <v>597</v>
      </c>
      <c r="QG136" s="14">
        <v>297</v>
      </c>
      <c r="QM136" s="14">
        <v>297</v>
      </c>
      <c r="QT136" s="14">
        <v>0</v>
      </c>
      <c r="RA136" s="14">
        <v>0</v>
      </c>
      <c r="RB136" s="14">
        <v>2412</v>
      </c>
      <c r="RC136" s="14">
        <v>1317</v>
      </c>
      <c r="RD136" s="14">
        <v>869</v>
      </c>
      <c r="RE136" s="14">
        <v>131</v>
      </c>
      <c r="RF136" s="14">
        <v>161</v>
      </c>
      <c r="RG136" s="14">
        <v>0</v>
      </c>
      <c r="RH136" s="14">
        <v>4890</v>
      </c>
      <c r="RI136" s="14" t="s">
        <v>602</v>
      </c>
      <c r="RJ136" s="14">
        <v>995</v>
      </c>
      <c r="RK136" s="14">
        <v>100</v>
      </c>
      <c r="RP136" s="14">
        <v>1095</v>
      </c>
      <c r="RQ136" s="14">
        <v>30</v>
      </c>
      <c r="RV136" s="14">
        <v>60</v>
      </c>
      <c r="RW136" s="14">
        <v>90</v>
      </c>
      <c r="RX136" s="14">
        <v>75</v>
      </c>
      <c r="RY136" s="14">
        <v>123</v>
      </c>
      <c r="SD136" s="14">
        <v>198</v>
      </c>
      <c r="SK136" s="14">
        <v>0</v>
      </c>
      <c r="SR136" s="14">
        <v>0</v>
      </c>
      <c r="SY136" s="14">
        <v>0</v>
      </c>
      <c r="TF136" s="14">
        <v>0</v>
      </c>
      <c r="TG136" s="14" t="s">
        <v>1286</v>
      </c>
      <c r="TH136" s="14">
        <v>18</v>
      </c>
      <c r="TI136" s="14">
        <v>52</v>
      </c>
      <c r="TN136" s="14">
        <v>70</v>
      </c>
      <c r="TO136" s="14">
        <v>1118</v>
      </c>
      <c r="TP136" s="14">
        <v>275</v>
      </c>
      <c r="TQ136" s="14">
        <v>0</v>
      </c>
      <c r="TR136" s="14">
        <v>0</v>
      </c>
      <c r="TS136" s="14">
        <v>0</v>
      </c>
      <c r="TT136" s="14">
        <v>60</v>
      </c>
      <c r="TU136" s="14">
        <v>1453</v>
      </c>
      <c r="TV136" s="14">
        <v>150</v>
      </c>
      <c r="TW136" s="14">
        <v>52</v>
      </c>
      <c r="UB136" s="14">
        <v>202</v>
      </c>
      <c r="UC136" s="14">
        <v>105</v>
      </c>
      <c r="UD136" s="14">
        <v>123</v>
      </c>
      <c r="UH136" s="14">
        <v>60</v>
      </c>
      <c r="UI136" s="14">
        <v>288</v>
      </c>
      <c r="UJ136" s="14">
        <v>863</v>
      </c>
      <c r="UK136" s="14">
        <v>100</v>
      </c>
      <c r="UP136" s="14">
        <v>963</v>
      </c>
      <c r="UW136" s="14">
        <v>0</v>
      </c>
      <c r="VD136" s="14">
        <v>0</v>
      </c>
      <c r="VE136" s="14">
        <v>1118</v>
      </c>
      <c r="VF136" s="14">
        <v>275</v>
      </c>
      <c r="VG136" s="14">
        <v>0</v>
      </c>
      <c r="VH136" s="14">
        <v>0</v>
      </c>
      <c r="VI136" s="14">
        <v>0</v>
      </c>
      <c r="VJ136" s="14">
        <v>60</v>
      </c>
      <c r="VK136" s="14">
        <v>1453</v>
      </c>
      <c r="VL136" s="14" t="s">
        <v>603</v>
      </c>
      <c r="VN136" s="14">
        <v>57</v>
      </c>
      <c r="VO136" s="14">
        <v>479</v>
      </c>
      <c r="VQ136" s="14">
        <v>417</v>
      </c>
      <c r="VS136" s="14">
        <v>953</v>
      </c>
      <c r="VV136" s="14">
        <v>146</v>
      </c>
      <c r="VX136" s="14">
        <v>30</v>
      </c>
      <c r="VZ136" s="14">
        <v>176</v>
      </c>
      <c r="WG136" s="14">
        <v>0</v>
      </c>
      <c r="WJ136" s="14">
        <v>271</v>
      </c>
      <c r="WN136" s="14">
        <v>271</v>
      </c>
      <c r="WS136" s="14">
        <v>43</v>
      </c>
      <c r="WU136" s="14">
        <v>43</v>
      </c>
      <c r="XB136" s="14">
        <v>0</v>
      </c>
      <c r="XI136" s="14">
        <v>0</v>
      </c>
      <c r="XO136" s="14">
        <v>81</v>
      </c>
      <c r="XQ136" s="14">
        <v>81</v>
      </c>
      <c r="XR136" s="14">
        <v>0</v>
      </c>
      <c r="XS136" s="14">
        <v>57</v>
      </c>
      <c r="XT136" s="14">
        <v>896</v>
      </c>
      <c r="XU136" s="14">
        <v>0</v>
      </c>
      <c r="XV136" s="14">
        <v>571</v>
      </c>
      <c r="XW136" s="14">
        <v>0</v>
      </c>
      <c r="XX136" s="14">
        <v>1524</v>
      </c>
      <c r="XZ136" s="14">
        <v>57</v>
      </c>
      <c r="YA136" s="14">
        <v>853</v>
      </c>
      <c r="YC136" s="14">
        <v>274</v>
      </c>
      <c r="YE136" s="14">
        <v>1184</v>
      </c>
      <c r="YJ136" s="14">
        <v>187</v>
      </c>
      <c r="YL136" s="14">
        <v>187</v>
      </c>
      <c r="YO136" s="14">
        <v>43</v>
      </c>
      <c r="YQ136" s="14">
        <v>109</v>
      </c>
      <c r="YS136" s="14">
        <v>152</v>
      </c>
      <c r="YZ136" s="14">
        <v>0</v>
      </c>
      <c r="ZG136" s="14">
        <v>0</v>
      </c>
      <c r="ZH136" s="14">
        <v>0</v>
      </c>
      <c r="ZI136" s="14">
        <v>57</v>
      </c>
      <c r="ZJ136" s="14">
        <v>896</v>
      </c>
      <c r="ZK136" s="14">
        <v>0</v>
      </c>
      <c r="ZL136" s="14">
        <v>570</v>
      </c>
      <c r="ZM136" s="14">
        <v>0</v>
      </c>
      <c r="ZN136" s="14">
        <v>1523</v>
      </c>
      <c r="ZO136" s="14" t="s">
        <v>604</v>
      </c>
      <c r="ADR136" s="14" t="s">
        <v>605</v>
      </c>
    </row>
    <row r="137" spans="1:798" x14ac:dyDescent="0.25">
      <c r="A137" s="14">
        <v>186</v>
      </c>
      <c r="B137" s="14" t="s">
        <v>889</v>
      </c>
      <c r="C137" s="16">
        <f>VLOOKUP(A137,[4]RawData!Z:AA,2,FALSE)</f>
        <v>42774.374305555553</v>
      </c>
      <c r="D137" s="14" t="s">
        <v>1287</v>
      </c>
      <c r="E137" s="14" t="s">
        <v>1288</v>
      </c>
      <c r="F137" s="14" t="s">
        <v>652</v>
      </c>
      <c r="G137" s="14" t="s">
        <v>1289</v>
      </c>
      <c r="H137" s="14">
        <v>4940411667860</v>
      </c>
      <c r="I137" s="14" t="s">
        <v>894</v>
      </c>
      <c r="J137" s="14" t="s">
        <v>732</v>
      </c>
      <c r="L137" s="14">
        <v>1</v>
      </c>
      <c r="U137" s="14">
        <v>0</v>
      </c>
      <c r="V137" s="14">
        <v>300</v>
      </c>
      <c r="Y137" s="14">
        <v>200</v>
      </c>
      <c r="AB137" s="14">
        <v>500</v>
      </c>
      <c r="AI137" s="14">
        <v>0</v>
      </c>
      <c r="AP137" s="14">
        <v>0</v>
      </c>
      <c r="AW137" s="14">
        <v>0</v>
      </c>
      <c r="BD137" s="14">
        <v>0</v>
      </c>
      <c r="BE137" s="14">
        <v>300</v>
      </c>
      <c r="BF137" s="14">
        <v>0</v>
      </c>
      <c r="BG137" s="14">
        <v>0</v>
      </c>
      <c r="BH137" s="14">
        <v>200</v>
      </c>
      <c r="BI137" s="14">
        <v>0</v>
      </c>
      <c r="BJ137" s="14">
        <v>0</v>
      </c>
      <c r="BK137" s="14">
        <v>500</v>
      </c>
      <c r="BR137" s="14">
        <v>0</v>
      </c>
      <c r="BS137" s="14">
        <v>1</v>
      </c>
      <c r="BV137" s="14">
        <v>2</v>
      </c>
      <c r="BY137" s="14">
        <v>3</v>
      </c>
      <c r="CF137" s="14">
        <v>0</v>
      </c>
      <c r="CM137" s="14">
        <v>0</v>
      </c>
      <c r="CT137" s="14">
        <v>0</v>
      </c>
      <c r="DA137" s="14">
        <v>0</v>
      </c>
      <c r="DB137" s="14">
        <v>1</v>
      </c>
      <c r="DC137" s="14">
        <v>0</v>
      </c>
      <c r="DD137" s="14">
        <v>0</v>
      </c>
      <c r="DE137" s="14">
        <v>2</v>
      </c>
      <c r="DF137" s="14">
        <v>0</v>
      </c>
      <c r="DG137" s="14">
        <v>0</v>
      </c>
      <c r="DH137" s="14">
        <v>3</v>
      </c>
      <c r="DI137" s="14" t="s">
        <v>598</v>
      </c>
      <c r="DJ137" s="14" t="s">
        <v>598</v>
      </c>
      <c r="DK137" s="14" t="s">
        <v>598</v>
      </c>
      <c r="DL137" s="14" t="s">
        <v>598</v>
      </c>
      <c r="DM137" s="14" t="s">
        <v>598</v>
      </c>
      <c r="DN137" s="14" t="s">
        <v>598</v>
      </c>
      <c r="DO137" s="14" t="s">
        <v>597</v>
      </c>
      <c r="DP137" s="14" t="s">
        <v>598</v>
      </c>
      <c r="DQ137" s="14" t="s">
        <v>598</v>
      </c>
      <c r="DR137" s="14" t="s">
        <v>597</v>
      </c>
      <c r="DS137" s="14" t="s">
        <v>598</v>
      </c>
      <c r="DT137" s="14" t="s">
        <v>598</v>
      </c>
      <c r="DU137" s="14" t="s">
        <v>598</v>
      </c>
      <c r="DV137" s="14" t="s">
        <v>598</v>
      </c>
      <c r="DW137" s="14" t="s">
        <v>598</v>
      </c>
      <c r="DX137" s="14" t="s">
        <v>598</v>
      </c>
      <c r="DY137" s="14" t="s">
        <v>598</v>
      </c>
      <c r="DZ137" s="14" t="s">
        <v>598</v>
      </c>
      <c r="EA137" s="14" t="s">
        <v>598</v>
      </c>
      <c r="EB137" s="14" t="s">
        <v>598</v>
      </c>
      <c r="EC137" s="14" t="s">
        <v>598</v>
      </c>
      <c r="ED137" s="14" t="s">
        <v>598</v>
      </c>
      <c r="EE137" s="14" t="s">
        <v>598</v>
      </c>
      <c r="EF137" s="14" t="s">
        <v>598</v>
      </c>
      <c r="EG137" s="14" t="s">
        <v>598</v>
      </c>
      <c r="EH137" s="14" t="s">
        <v>598</v>
      </c>
      <c r="EI137" s="14" t="s">
        <v>598</v>
      </c>
      <c r="EJ137" s="14" t="s">
        <v>598</v>
      </c>
      <c r="EK137" s="14" t="s">
        <v>598</v>
      </c>
      <c r="EL137" s="14" t="s">
        <v>598</v>
      </c>
      <c r="EM137" s="14" t="s">
        <v>598</v>
      </c>
      <c r="EN137" s="14" t="s">
        <v>598</v>
      </c>
      <c r="EO137" s="14" t="s">
        <v>598</v>
      </c>
      <c r="EP137" s="14" t="s">
        <v>598</v>
      </c>
      <c r="EQ137" s="14" t="s">
        <v>598</v>
      </c>
      <c r="ER137" s="14" t="s">
        <v>598</v>
      </c>
      <c r="ES137" s="14">
        <v>300</v>
      </c>
      <c r="EV137" s="14">
        <v>100</v>
      </c>
      <c r="EY137" s="14">
        <v>400</v>
      </c>
      <c r="FF137" s="14">
        <v>0</v>
      </c>
      <c r="FM137" s="14">
        <v>0</v>
      </c>
      <c r="FT137" s="14">
        <v>0</v>
      </c>
      <c r="GA137" s="14">
        <v>0</v>
      </c>
      <c r="GH137" s="14">
        <v>0</v>
      </c>
      <c r="GL137" s="14">
        <v>100</v>
      </c>
      <c r="GO137" s="14">
        <v>100</v>
      </c>
      <c r="GW137" s="14">
        <v>0</v>
      </c>
      <c r="GX137" s="14">
        <v>300</v>
      </c>
      <c r="GY137" s="14">
        <v>0</v>
      </c>
      <c r="GZ137" s="14">
        <v>0</v>
      </c>
      <c r="HA137" s="14">
        <v>200</v>
      </c>
      <c r="HB137" s="14">
        <v>0</v>
      </c>
      <c r="HC137" s="14">
        <v>0</v>
      </c>
      <c r="HD137" s="14">
        <v>500</v>
      </c>
      <c r="HK137" s="14">
        <v>0</v>
      </c>
      <c r="HL137" s="14">
        <v>300</v>
      </c>
      <c r="HO137" s="14">
        <v>200</v>
      </c>
      <c r="HR137" s="14">
        <v>500</v>
      </c>
      <c r="HY137" s="14">
        <v>0</v>
      </c>
      <c r="IF137" s="14">
        <v>0</v>
      </c>
      <c r="IM137" s="14">
        <v>0</v>
      </c>
      <c r="IN137" s="14">
        <v>300</v>
      </c>
      <c r="IO137" s="14">
        <v>0</v>
      </c>
      <c r="IP137" s="14">
        <v>0</v>
      </c>
      <c r="IQ137" s="14">
        <v>200</v>
      </c>
      <c r="IR137" s="14">
        <v>0</v>
      </c>
      <c r="IS137" s="14">
        <v>0</v>
      </c>
      <c r="IT137" s="14">
        <v>500</v>
      </c>
      <c r="IW137" s="14">
        <v>100</v>
      </c>
      <c r="IZ137" s="14">
        <v>1</v>
      </c>
      <c r="JA137" s="14">
        <v>3</v>
      </c>
      <c r="JB137" s="14">
        <v>2</v>
      </c>
      <c r="JC137" s="14" t="s">
        <v>600</v>
      </c>
      <c r="NF137" s="14" t="s">
        <v>601</v>
      </c>
      <c r="NG137" s="14">
        <v>300</v>
      </c>
      <c r="NJ137" s="14">
        <v>100</v>
      </c>
      <c r="NM137" s="14">
        <v>400</v>
      </c>
      <c r="NT137" s="14">
        <v>0</v>
      </c>
      <c r="OA137" s="14">
        <v>0</v>
      </c>
      <c r="OH137" s="14">
        <v>0</v>
      </c>
      <c r="OO137" s="14">
        <v>0</v>
      </c>
      <c r="OV137" s="14">
        <v>0</v>
      </c>
      <c r="OZ137" s="14">
        <v>100</v>
      </c>
      <c r="PC137" s="14">
        <v>100</v>
      </c>
      <c r="PK137" s="14">
        <v>0</v>
      </c>
      <c r="PL137" s="14">
        <v>300</v>
      </c>
      <c r="PM137" s="14">
        <v>0</v>
      </c>
      <c r="PN137" s="14">
        <v>0</v>
      </c>
      <c r="PO137" s="14">
        <v>200</v>
      </c>
      <c r="PP137" s="14">
        <v>0</v>
      </c>
      <c r="PQ137" s="14">
        <v>0</v>
      </c>
      <c r="PR137" s="14">
        <v>500</v>
      </c>
      <c r="PS137" s="14">
        <v>300</v>
      </c>
      <c r="PV137" s="14">
        <v>200</v>
      </c>
      <c r="PY137" s="14">
        <v>500</v>
      </c>
      <c r="QF137" s="14">
        <v>0</v>
      </c>
      <c r="QM137" s="14">
        <v>0</v>
      </c>
      <c r="QT137" s="14">
        <v>0</v>
      </c>
      <c r="RA137" s="14">
        <v>0</v>
      </c>
      <c r="RB137" s="14">
        <v>300</v>
      </c>
      <c r="RC137" s="14">
        <v>0</v>
      </c>
      <c r="RD137" s="14">
        <v>0</v>
      </c>
      <c r="RE137" s="14">
        <v>200</v>
      </c>
      <c r="RF137" s="14">
        <v>0</v>
      </c>
      <c r="RG137" s="14">
        <v>0</v>
      </c>
      <c r="RH137" s="14">
        <v>500</v>
      </c>
      <c r="RI137" s="14" t="s">
        <v>602</v>
      </c>
      <c r="VL137" s="14" t="s">
        <v>603</v>
      </c>
      <c r="ZO137" s="14" t="s">
        <v>604</v>
      </c>
      <c r="ADR137" s="14" t="s">
        <v>605</v>
      </c>
    </row>
    <row r="138" spans="1:798" x14ac:dyDescent="0.25">
      <c r="A138" s="14">
        <v>82</v>
      </c>
      <c r="B138" s="14" t="s">
        <v>889</v>
      </c>
      <c r="C138" s="16">
        <f>VLOOKUP(A138,[4]RawData!Z:AA,2,FALSE)</f>
        <v>42747.725694444445</v>
      </c>
      <c r="D138" s="14" t="s">
        <v>1290</v>
      </c>
      <c r="E138" s="14" t="s">
        <v>1291</v>
      </c>
      <c r="F138" s="14" t="s">
        <v>1292</v>
      </c>
      <c r="G138" s="14" t="s">
        <v>1293</v>
      </c>
      <c r="H138" s="14">
        <v>7741249666</v>
      </c>
      <c r="I138" s="14" t="s">
        <v>979</v>
      </c>
      <c r="J138" s="14" t="s">
        <v>732</v>
      </c>
      <c r="L138" s="14">
        <v>2</v>
      </c>
      <c r="M138" s="14">
        <v>6</v>
      </c>
      <c r="N138" s="14" t="s">
        <v>1294</v>
      </c>
      <c r="U138" s="14">
        <v>0</v>
      </c>
      <c r="AB138" s="14">
        <v>0</v>
      </c>
      <c r="AI138" s="14">
        <v>0</v>
      </c>
      <c r="AP138" s="14">
        <v>0</v>
      </c>
      <c r="AW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R138" s="14">
        <v>0</v>
      </c>
      <c r="BY138" s="14">
        <v>0</v>
      </c>
      <c r="CF138" s="14">
        <v>0</v>
      </c>
      <c r="CM138" s="14">
        <v>0</v>
      </c>
      <c r="CT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 t="s">
        <v>598</v>
      </c>
      <c r="DJ138" s="14" t="s">
        <v>598</v>
      </c>
      <c r="DK138" s="14" t="s">
        <v>598</v>
      </c>
      <c r="DL138" s="14" t="s">
        <v>598</v>
      </c>
      <c r="DM138" s="14" t="s">
        <v>598</v>
      </c>
      <c r="DN138" s="14" t="s">
        <v>598</v>
      </c>
      <c r="DO138" s="14" t="s">
        <v>598</v>
      </c>
      <c r="DP138" s="14" t="s">
        <v>598</v>
      </c>
      <c r="DQ138" s="14" t="s">
        <v>598</v>
      </c>
      <c r="DR138" s="14" t="s">
        <v>598</v>
      </c>
      <c r="DS138" s="14" t="s">
        <v>598</v>
      </c>
      <c r="DT138" s="14" t="s">
        <v>598</v>
      </c>
      <c r="DU138" s="14" t="s">
        <v>598</v>
      </c>
      <c r="DV138" s="14" t="s">
        <v>598</v>
      </c>
      <c r="DW138" s="14" t="s">
        <v>598</v>
      </c>
      <c r="DX138" s="14" t="s">
        <v>598</v>
      </c>
      <c r="DY138" s="14" t="s">
        <v>598</v>
      </c>
      <c r="DZ138" s="14" t="s">
        <v>598</v>
      </c>
      <c r="EA138" s="14" t="s">
        <v>598</v>
      </c>
      <c r="EB138" s="14" t="s">
        <v>598</v>
      </c>
      <c r="EC138" s="14" t="s">
        <v>598</v>
      </c>
      <c r="ED138" s="14" t="s">
        <v>598</v>
      </c>
      <c r="EE138" s="14" t="s">
        <v>598</v>
      </c>
      <c r="EF138" s="14" t="s">
        <v>598</v>
      </c>
      <c r="EG138" s="14" t="s">
        <v>598</v>
      </c>
      <c r="EH138" s="14" t="s">
        <v>598</v>
      </c>
      <c r="EI138" s="14" t="s">
        <v>598</v>
      </c>
      <c r="EJ138" s="14" t="s">
        <v>598</v>
      </c>
      <c r="EK138" s="14" t="s">
        <v>598</v>
      </c>
      <c r="EL138" s="14" t="s">
        <v>598</v>
      </c>
      <c r="EM138" s="14" t="s">
        <v>598</v>
      </c>
      <c r="EN138" s="14" t="s">
        <v>598</v>
      </c>
      <c r="EO138" s="14" t="s">
        <v>598</v>
      </c>
      <c r="EP138" s="14" t="s">
        <v>598</v>
      </c>
      <c r="EQ138" s="14" t="s">
        <v>598</v>
      </c>
      <c r="ER138" s="14" t="s">
        <v>598</v>
      </c>
      <c r="EY138" s="14">
        <v>0</v>
      </c>
      <c r="FF138" s="14">
        <v>0</v>
      </c>
      <c r="FM138" s="14">
        <v>0</v>
      </c>
      <c r="FT138" s="14">
        <v>0</v>
      </c>
      <c r="GA138" s="14">
        <v>0</v>
      </c>
      <c r="GH138" s="14">
        <v>0</v>
      </c>
      <c r="GO138" s="14">
        <v>0</v>
      </c>
      <c r="GW138" s="14">
        <v>0</v>
      </c>
      <c r="GX138" s="14">
        <v>0</v>
      </c>
      <c r="GY138" s="14">
        <v>0</v>
      </c>
      <c r="GZ138" s="14">
        <v>0</v>
      </c>
      <c r="HA138" s="14">
        <v>0</v>
      </c>
      <c r="HB138" s="14">
        <v>0</v>
      </c>
      <c r="HC138" s="14">
        <v>0</v>
      </c>
      <c r="HD138" s="14">
        <v>0</v>
      </c>
      <c r="HK138" s="14">
        <v>0</v>
      </c>
      <c r="HR138" s="14">
        <v>0</v>
      </c>
      <c r="HY138" s="14">
        <v>0</v>
      </c>
      <c r="IF138" s="14">
        <v>0</v>
      </c>
      <c r="IM138" s="14">
        <v>0</v>
      </c>
      <c r="IN138" s="14">
        <v>0</v>
      </c>
      <c r="IO138" s="14">
        <v>0</v>
      </c>
      <c r="IP138" s="14">
        <v>0</v>
      </c>
      <c r="IQ138" s="14">
        <v>0</v>
      </c>
      <c r="IR138" s="14">
        <v>0</v>
      </c>
      <c r="IS138" s="14">
        <v>0</v>
      </c>
      <c r="IT138" s="14">
        <v>0</v>
      </c>
      <c r="IZ138" s="14">
        <v>1</v>
      </c>
      <c r="JA138" s="14">
        <v>3</v>
      </c>
      <c r="JB138" s="14">
        <v>1</v>
      </c>
      <c r="JC138" s="14" t="s">
        <v>600</v>
      </c>
      <c r="NF138" s="14" t="s">
        <v>601</v>
      </c>
      <c r="RI138" s="14" t="s">
        <v>602</v>
      </c>
      <c r="VL138" s="14" t="s">
        <v>603</v>
      </c>
      <c r="ZO138" s="14" t="s">
        <v>604</v>
      </c>
      <c r="ADR138" s="14" t="s">
        <v>605</v>
      </c>
    </row>
    <row r="139" spans="1:798" x14ac:dyDescent="0.25">
      <c r="A139" s="14">
        <v>201</v>
      </c>
      <c r="B139" s="14" t="s">
        <v>889</v>
      </c>
      <c r="C139" s="16">
        <f>VLOOKUP(A139,[4]RawData!Z:AA,2,FALSE)</f>
        <v>42779.477083333331</v>
      </c>
      <c r="D139" s="14" t="s">
        <v>1295</v>
      </c>
      <c r="E139" s="14" t="s">
        <v>997</v>
      </c>
      <c r="F139" s="14" t="s">
        <v>1296</v>
      </c>
      <c r="G139" s="14" t="s">
        <v>1297</v>
      </c>
      <c r="H139" s="14" t="s">
        <v>1298</v>
      </c>
      <c r="I139" s="14" t="s">
        <v>979</v>
      </c>
      <c r="J139" s="14" t="s">
        <v>732</v>
      </c>
      <c r="L139" s="14">
        <v>2</v>
      </c>
      <c r="M139" s="14">
        <v>6</v>
      </c>
      <c r="N139" s="14" t="s">
        <v>1299</v>
      </c>
      <c r="U139" s="14">
        <v>0</v>
      </c>
      <c r="AB139" s="14">
        <v>0</v>
      </c>
      <c r="AI139" s="14">
        <v>0</v>
      </c>
      <c r="AP139" s="14">
        <v>0</v>
      </c>
      <c r="AW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R139" s="14">
        <v>0</v>
      </c>
      <c r="BY139" s="14">
        <v>0</v>
      </c>
      <c r="CF139" s="14">
        <v>0</v>
      </c>
      <c r="CM139" s="14">
        <v>0</v>
      </c>
      <c r="CT139" s="14">
        <v>0</v>
      </c>
      <c r="DA139" s="14">
        <v>0</v>
      </c>
      <c r="DB139" s="14">
        <v>0</v>
      </c>
      <c r="DC139" s="14">
        <v>0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 t="s">
        <v>598</v>
      </c>
      <c r="DJ139" s="14" t="s">
        <v>598</v>
      </c>
      <c r="DK139" s="14" t="s">
        <v>598</v>
      </c>
      <c r="DL139" s="14" t="s">
        <v>598</v>
      </c>
      <c r="DM139" s="14" t="s">
        <v>598</v>
      </c>
      <c r="DN139" s="14" t="s">
        <v>598</v>
      </c>
      <c r="DO139" s="14" t="s">
        <v>598</v>
      </c>
      <c r="DP139" s="14" t="s">
        <v>598</v>
      </c>
      <c r="DQ139" s="14" t="s">
        <v>598</v>
      </c>
      <c r="DR139" s="14" t="s">
        <v>598</v>
      </c>
      <c r="DS139" s="14" t="s">
        <v>598</v>
      </c>
      <c r="DT139" s="14" t="s">
        <v>598</v>
      </c>
      <c r="DU139" s="14" t="s">
        <v>598</v>
      </c>
      <c r="DV139" s="14" t="s">
        <v>598</v>
      </c>
      <c r="DW139" s="14" t="s">
        <v>598</v>
      </c>
      <c r="DX139" s="14" t="s">
        <v>598</v>
      </c>
      <c r="DY139" s="14" t="s">
        <v>598</v>
      </c>
      <c r="DZ139" s="14" t="s">
        <v>598</v>
      </c>
      <c r="EA139" s="14" t="s">
        <v>598</v>
      </c>
      <c r="EB139" s="14" t="s">
        <v>598</v>
      </c>
      <c r="EC139" s="14" t="s">
        <v>598</v>
      </c>
      <c r="ED139" s="14" t="s">
        <v>598</v>
      </c>
      <c r="EE139" s="14" t="s">
        <v>598</v>
      </c>
      <c r="EF139" s="14" t="s">
        <v>598</v>
      </c>
      <c r="EG139" s="14" t="s">
        <v>598</v>
      </c>
      <c r="EH139" s="14" t="s">
        <v>598</v>
      </c>
      <c r="EI139" s="14" t="s">
        <v>598</v>
      </c>
      <c r="EJ139" s="14" t="s">
        <v>598</v>
      </c>
      <c r="EK139" s="14" t="s">
        <v>598</v>
      </c>
      <c r="EL139" s="14" t="s">
        <v>598</v>
      </c>
      <c r="EM139" s="14" t="s">
        <v>598</v>
      </c>
      <c r="EN139" s="14" t="s">
        <v>598</v>
      </c>
      <c r="EO139" s="14" t="s">
        <v>598</v>
      </c>
      <c r="EP139" s="14" t="s">
        <v>598</v>
      </c>
      <c r="EQ139" s="14" t="s">
        <v>598</v>
      </c>
      <c r="ER139" s="14" t="s">
        <v>598</v>
      </c>
      <c r="EY139" s="14">
        <v>0</v>
      </c>
      <c r="FF139" s="14">
        <v>0</v>
      </c>
      <c r="FM139" s="14">
        <v>0</v>
      </c>
      <c r="FT139" s="14">
        <v>0</v>
      </c>
      <c r="GA139" s="14">
        <v>0</v>
      </c>
      <c r="GH139" s="14">
        <v>0</v>
      </c>
      <c r="GO139" s="14">
        <v>0</v>
      </c>
      <c r="GW139" s="14">
        <v>0</v>
      </c>
      <c r="GX139" s="14">
        <v>0</v>
      </c>
      <c r="GY139" s="14">
        <v>0</v>
      </c>
      <c r="GZ139" s="14">
        <v>0</v>
      </c>
      <c r="HA139" s="14">
        <v>0</v>
      </c>
      <c r="HB139" s="14">
        <v>0</v>
      </c>
      <c r="HC139" s="14">
        <v>0</v>
      </c>
      <c r="HD139" s="14">
        <v>0</v>
      </c>
      <c r="HK139" s="14">
        <v>0</v>
      </c>
      <c r="HR139" s="14">
        <v>0</v>
      </c>
      <c r="HY139" s="14">
        <v>0</v>
      </c>
      <c r="IF139" s="14">
        <v>0</v>
      </c>
      <c r="IM139" s="14">
        <v>0</v>
      </c>
      <c r="IN139" s="14">
        <v>0</v>
      </c>
      <c r="IO139" s="14">
        <v>0</v>
      </c>
      <c r="IP139" s="14">
        <v>0</v>
      </c>
      <c r="IQ139" s="14">
        <v>0</v>
      </c>
      <c r="IR139" s="14">
        <v>0</v>
      </c>
      <c r="IS139" s="14">
        <v>0</v>
      </c>
      <c r="IT139" s="14">
        <v>0</v>
      </c>
      <c r="IZ139" s="14">
        <v>1</v>
      </c>
      <c r="JA139" s="14">
        <v>2</v>
      </c>
      <c r="JB139" s="14">
        <v>1</v>
      </c>
      <c r="JC139" s="14" t="s">
        <v>600</v>
      </c>
      <c r="NF139" s="14" t="s">
        <v>601</v>
      </c>
      <c r="RI139" s="14" t="s">
        <v>602</v>
      </c>
      <c r="VL139" s="14" t="s">
        <v>603</v>
      </c>
      <c r="ZO139" s="14" t="s">
        <v>604</v>
      </c>
      <c r="ADR139" s="14" t="s">
        <v>605</v>
      </c>
    </row>
    <row r="140" spans="1:798" x14ac:dyDescent="0.25">
      <c r="A140" s="14">
        <v>152</v>
      </c>
      <c r="B140" s="14" t="s">
        <v>889</v>
      </c>
      <c r="C140" s="16">
        <f>VLOOKUP(A140,[4]RawData!Z:AA,2,FALSE)</f>
        <v>42774.670138888891</v>
      </c>
      <c r="D140" s="14" t="s">
        <v>1300</v>
      </c>
      <c r="E140" s="14" t="s">
        <v>1301</v>
      </c>
      <c r="F140" s="14" t="s">
        <v>1302</v>
      </c>
      <c r="G140" s="14" t="s">
        <v>1303</v>
      </c>
      <c r="H140" s="14" t="s">
        <v>1304</v>
      </c>
      <c r="I140" s="14" t="s">
        <v>894</v>
      </c>
      <c r="J140" s="14" t="s">
        <v>732</v>
      </c>
      <c r="L140" s="14">
        <v>1</v>
      </c>
      <c r="U140" s="14">
        <v>0</v>
      </c>
      <c r="V140" s="14">
        <v>888.8</v>
      </c>
      <c r="W140" s="14">
        <v>921.5</v>
      </c>
      <c r="X140" s="14">
        <v>361.2</v>
      </c>
      <c r="AB140" s="14">
        <v>2171.5</v>
      </c>
      <c r="AI140" s="14">
        <v>0</v>
      </c>
      <c r="AP140" s="14">
        <v>0</v>
      </c>
      <c r="AW140" s="14">
        <v>0</v>
      </c>
      <c r="BD140" s="14">
        <v>0</v>
      </c>
      <c r="BE140" s="14">
        <v>888.8</v>
      </c>
      <c r="BF140" s="14">
        <v>921.5</v>
      </c>
      <c r="BG140" s="14">
        <v>361.2</v>
      </c>
      <c r="BH140" s="14">
        <v>0</v>
      </c>
      <c r="BI140" s="14">
        <v>0</v>
      </c>
      <c r="BJ140" s="14">
        <v>0</v>
      </c>
      <c r="BK140" s="14">
        <v>2171.5</v>
      </c>
      <c r="BR140" s="14">
        <v>0</v>
      </c>
      <c r="BS140" s="14">
        <v>9</v>
      </c>
      <c r="BT140" s="14">
        <v>5</v>
      </c>
      <c r="BU140" s="14">
        <v>2</v>
      </c>
      <c r="BY140" s="14">
        <v>16</v>
      </c>
      <c r="CF140" s="14">
        <v>0</v>
      </c>
      <c r="CM140" s="14">
        <v>0</v>
      </c>
      <c r="CT140" s="14">
        <v>0</v>
      </c>
      <c r="DA140" s="14">
        <v>0</v>
      </c>
      <c r="DB140" s="14">
        <v>9</v>
      </c>
      <c r="DC140" s="14">
        <v>5</v>
      </c>
      <c r="DD140" s="14">
        <v>2</v>
      </c>
      <c r="DE140" s="14">
        <v>0</v>
      </c>
      <c r="DF140" s="14">
        <v>0</v>
      </c>
      <c r="DG140" s="14">
        <v>0</v>
      </c>
      <c r="DH140" s="14">
        <v>16</v>
      </c>
      <c r="DI140" s="14" t="s">
        <v>598</v>
      </c>
      <c r="DJ140" s="14" t="s">
        <v>598</v>
      </c>
      <c r="DK140" s="14" t="s">
        <v>598</v>
      </c>
      <c r="DL140" s="14" t="s">
        <v>598</v>
      </c>
      <c r="DM140" s="14" t="s">
        <v>598</v>
      </c>
      <c r="DN140" s="14" t="s">
        <v>598</v>
      </c>
      <c r="DO140" s="14" t="s">
        <v>597</v>
      </c>
      <c r="DP140" s="14" t="s">
        <v>597</v>
      </c>
      <c r="DQ140" s="14" t="s">
        <v>597</v>
      </c>
      <c r="DR140" s="14" t="s">
        <v>598</v>
      </c>
      <c r="DS140" s="14" t="s">
        <v>598</v>
      </c>
      <c r="DT140" s="14" t="s">
        <v>598</v>
      </c>
      <c r="DU140" s="14" t="s">
        <v>598</v>
      </c>
      <c r="DV140" s="14" t="s">
        <v>598</v>
      </c>
      <c r="DW140" s="14" t="s">
        <v>598</v>
      </c>
      <c r="DX140" s="14" t="s">
        <v>598</v>
      </c>
      <c r="DY140" s="14" t="s">
        <v>598</v>
      </c>
      <c r="DZ140" s="14" t="s">
        <v>598</v>
      </c>
      <c r="EA140" s="14" t="s">
        <v>598</v>
      </c>
      <c r="EB140" s="14" t="s">
        <v>598</v>
      </c>
      <c r="EC140" s="14" t="s">
        <v>598</v>
      </c>
      <c r="ED140" s="14" t="s">
        <v>598</v>
      </c>
      <c r="EE140" s="14" t="s">
        <v>598</v>
      </c>
      <c r="EF140" s="14" t="s">
        <v>598</v>
      </c>
      <c r="EG140" s="14" t="s">
        <v>598</v>
      </c>
      <c r="EH140" s="14" t="s">
        <v>598</v>
      </c>
      <c r="EI140" s="14" t="s">
        <v>598</v>
      </c>
      <c r="EJ140" s="14" t="s">
        <v>598</v>
      </c>
      <c r="EK140" s="14" t="s">
        <v>598</v>
      </c>
      <c r="EL140" s="14" t="s">
        <v>598</v>
      </c>
      <c r="EM140" s="14" t="s">
        <v>598</v>
      </c>
      <c r="EN140" s="14" t="s">
        <v>598</v>
      </c>
      <c r="EO140" s="14" t="s">
        <v>598</v>
      </c>
      <c r="EP140" s="14" t="s">
        <v>598</v>
      </c>
      <c r="EQ140" s="14" t="s">
        <v>598</v>
      </c>
      <c r="ER140" s="14" t="s">
        <v>598</v>
      </c>
      <c r="ES140" s="14">
        <v>72.5</v>
      </c>
      <c r="ET140" s="14">
        <v>661.5</v>
      </c>
      <c r="EU140" s="14">
        <v>72.2</v>
      </c>
      <c r="EY140" s="14">
        <v>806.2</v>
      </c>
      <c r="EZ140" s="14">
        <v>49</v>
      </c>
      <c r="FA140" s="14">
        <v>260</v>
      </c>
      <c r="FB140" s="14">
        <v>289</v>
      </c>
      <c r="FF140" s="14">
        <v>598</v>
      </c>
      <c r="FM140" s="14">
        <v>0</v>
      </c>
      <c r="FT140" s="14">
        <v>0</v>
      </c>
      <c r="FU140" s="14">
        <v>1.5</v>
      </c>
      <c r="GA140" s="14">
        <v>1.5</v>
      </c>
      <c r="GH140" s="14">
        <v>0</v>
      </c>
      <c r="GO140" s="14">
        <v>0</v>
      </c>
      <c r="GP140" s="14" t="s">
        <v>1305</v>
      </c>
      <c r="GQ140" s="14">
        <v>765.8</v>
      </c>
      <c r="GW140" s="14">
        <v>765.8</v>
      </c>
      <c r="GX140" s="14">
        <v>888.8</v>
      </c>
      <c r="GY140" s="14">
        <v>921.5</v>
      </c>
      <c r="GZ140" s="14">
        <v>361.2</v>
      </c>
      <c r="HA140" s="14">
        <v>0</v>
      </c>
      <c r="HB140" s="14">
        <v>0</v>
      </c>
      <c r="HC140" s="14">
        <v>0</v>
      </c>
      <c r="HD140" s="14">
        <v>2171.5</v>
      </c>
      <c r="HG140" s="14">
        <v>361.2</v>
      </c>
      <c r="HK140" s="14">
        <v>361.2</v>
      </c>
      <c r="HL140" s="14">
        <v>888.8</v>
      </c>
      <c r="HM140" s="14">
        <v>921.5</v>
      </c>
      <c r="HR140" s="14">
        <v>1810.3</v>
      </c>
      <c r="HY140" s="14">
        <v>0</v>
      </c>
      <c r="IF140" s="14">
        <v>0</v>
      </c>
      <c r="IM140" s="14">
        <v>0</v>
      </c>
      <c r="IN140" s="14">
        <v>888.8</v>
      </c>
      <c r="IO140" s="14">
        <v>921.5</v>
      </c>
      <c r="IP140" s="14">
        <v>361.2</v>
      </c>
      <c r="IQ140" s="14">
        <v>0</v>
      </c>
      <c r="IR140" s="14">
        <v>0</v>
      </c>
      <c r="IS140" s="14">
        <v>0</v>
      </c>
      <c r="IT140" s="14">
        <v>2171.5</v>
      </c>
      <c r="IW140" s="14">
        <v>100</v>
      </c>
      <c r="IZ140" s="14">
        <v>2</v>
      </c>
      <c r="JA140" s="14">
        <v>2</v>
      </c>
      <c r="JB140" s="14">
        <v>1</v>
      </c>
      <c r="JC140" s="14" t="s">
        <v>600</v>
      </c>
      <c r="NF140" s="14" t="s">
        <v>601</v>
      </c>
      <c r="NG140" s="14">
        <v>72.5</v>
      </c>
      <c r="NH140" s="14">
        <v>661.5</v>
      </c>
      <c r="NI140" s="14">
        <v>72.2</v>
      </c>
      <c r="NM140" s="14">
        <v>806.2</v>
      </c>
      <c r="NN140" s="14">
        <v>49</v>
      </c>
      <c r="NO140" s="14">
        <v>260</v>
      </c>
      <c r="NP140" s="14">
        <v>289</v>
      </c>
      <c r="NT140" s="14">
        <v>598</v>
      </c>
      <c r="OA140" s="14">
        <v>0</v>
      </c>
      <c r="OH140" s="14">
        <v>0</v>
      </c>
      <c r="OI140" s="14">
        <v>1.5</v>
      </c>
      <c r="OO140" s="14">
        <v>1.5</v>
      </c>
      <c r="OV140" s="14">
        <v>0</v>
      </c>
      <c r="PC140" s="14">
        <v>0</v>
      </c>
      <c r="PD140" s="14" t="s">
        <v>1305</v>
      </c>
      <c r="PE140" s="14">
        <v>765.8</v>
      </c>
      <c r="PK140" s="14">
        <v>765.8</v>
      </c>
      <c r="PL140" s="14">
        <v>888.8</v>
      </c>
      <c r="PM140" s="14">
        <v>921.5</v>
      </c>
      <c r="PN140" s="14">
        <v>361.2</v>
      </c>
      <c r="PO140" s="14">
        <v>0</v>
      </c>
      <c r="PP140" s="14">
        <v>0</v>
      </c>
      <c r="PQ140" s="14">
        <v>0</v>
      </c>
      <c r="PR140" s="14">
        <v>2171.5</v>
      </c>
      <c r="PS140" s="14">
        <v>888.8</v>
      </c>
      <c r="PT140" s="14">
        <v>921.5</v>
      </c>
      <c r="PY140" s="14">
        <v>1810.3</v>
      </c>
      <c r="QB140" s="14">
        <v>361.2</v>
      </c>
      <c r="QF140" s="14">
        <v>361.2</v>
      </c>
      <c r="QM140" s="14">
        <v>0</v>
      </c>
      <c r="QT140" s="14">
        <v>0</v>
      </c>
      <c r="RA140" s="14">
        <v>0</v>
      </c>
      <c r="RB140" s="14">
        <v>888.8</v>
      </c>
      <c r="RC140" s="14">
        <v>921.5</v>
      </c>
      <c r="RD140" s="14">
        <v>361.2</v>
      </c>
      <c r="RE140" s="14">
        <v>0</v>
      </c>
      <c r="RF140" s="14">
        <v>0</v>
      </c>
      <c r="RG140" s="14">
        <v>0</v>
      </c>
      <c r="RH140" s="14">
        <v>2171.5</v>
      </c>
      <c r="RI140" s="14" t="s">
        <v>602</v>
      </c>
      <c r="VL140" s="14" t="s">
        <v>603</v>
      </c>
      <c r="ZO140" s="14" t="s">
        <v>604</v>
      </c>
      <c r="ADR140" s="14" t="s">
        <v>605</v>
      </c>
    </row>
    <row r="141" spans="1:798" x14ac:dyDescent="0.25">
      <c r="A141" s="14">
        <v>158</v>
      </c>
      <c r="B141" s="14" t="s">
        <v>889</v>
      </c>
      <c r="C141" s="16">
        <f>VLOOKUP(A141,[4]RawData!Z:AA,2,FALSE)</f>
        <v>42769.34097222222</v>
      </c>
      <c r="D141" s="14" t="s">
        <v>1306</v>
      </c>
      <c r="E141" s="14" t="s">
        <v>1307</v>
      </c>
      <c r="F141" s="14" t="s">
        <v>775</v>
      </c>
      <c r="G141" s="14" t="s">
        <v>1308</v>
      </c>
      <c r="H141" s="14">
        <v>46766342066</v>
      </c>
      <c r="I141" s="14" t="s">
        <v>950</v>
      </c>
      <c r="J141" s="14" t="s">
        <v>732</v>
      </c>
      <c r="L141" s="14">
        <v>1</v>
      </c>
      <c r="U141" s="14">
        <v>0</v>
      </c>
      <c r="V141" s="14">
        <v>169</v>
      </c>
      <c r="AB141" s="14">
        <v>169</v>
      </c>
      <c r="AI141" s="14">
        <v>0</v>
      </c>
      <c r="AP141" s="14">
        <v>0</v>
      </c>
      <c r="AW141" s="14">
        <v>0</v>
      </c>
      <c r="BD141" s="14">
        <v>0</v>
      </c>
      <c r="BE141" s="14">
        <v>169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169</v>
      </c>
      <c r="BR141" s="14">
        <v>0</v>
      </c>
      <c r="BS141" s="14">
        <v>2</v>
      </c>
      <c r="BY141" s="14">
        <v>2</v>
      </c>
      <c r="CF141" s="14">
        <v>0</v>
      </c>
      <c r="CM141" s="14">
        <v>0</v>
      </c>
      <c r="CT141" s="14">
        <v>0</v>
      </c>
      <c r="DA141" s="14">
        <v>0</v>
      </c>
      <c r="DB141" s="14">
        <v>2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2</v>
      </c>
      <c r="DI141" s="14" t="s">
        <v>598</v>
      </c>
      <c r="DJ141" s="14" t="s">
        <v>598</v>
      </c>
      <c r="DK141" s="14" t="s">
        <v>598</v>
      </c>
      <c r="DL141" s="14" t="s">
        <v>598</v>
      </c>
      <c r="DM141" s="14" t="s">
        <v>598</v>
      </c>
      <c r="DN141" s="14" t="s">
        <v>598</v>
      </c>
      <c r="DO141" s="14" t="s">
        <v>597</v>
      </c>
      <c r="DP141" s="14" t="s">
        <v>598</v>
      </c>
      <c r="DQ141" s="14" t="s">
        <v>598</v>
      </c>
      <c r="DR141" s="14" t="s">
        <v>598</v>
      </c>
      <c r="DS141" s="14" t="s">
        <v>598</v>
      </c>
      <c r="DT141" s="14" t="s">
        <v>598</v>
      </c>
      <c r="DU141" s="14" t="s">
        <v>598</v>
      </c>
      <c r="DV141" s="14" t="s">
        <v>598</v>
      </c>
      <c r="DW141" s="14" t="s">
        <v>598</v>
      </c>
      <c r="DX141" s="14" t="s">
        <v>598</v>
      </c>
      <c r="DY141" s="14" t="s">
        <v>598</v>
      </c>
      <c r="DZ141" s="14" t="s">
        <v>598</v>
      </c>
      <c r="EA141" s="14" t="s">
        <v>598</v>
      </c>
      <c r="EB141" s="14" t="s">
        <v>598</v>
      </c>
      <c r="EC141" s="14" t="s">
        <v>598</v>
      </c>
      <c r="ED141" s="14" t="s">
        <v>598</v>
      </c>
      <c r="EE141" s="14" t="s">
        <v>598</v>
      </c>
      <c r="EF141" s="14" t="s">
        <v>598</v>
      </c>
      <c r="EG141" s="14" t="s">
        <v>598</v>
      </c>
      <c r="EH141" s="14" t="s">
        <v>598</v>
      </c>
      <c r="EI141" s="14" t="s">
        <v>598</v>
      </c>
      <c r="EJ141" s="14" t="s">
        <v>598</v>
      </c>
      <c r="EK141" s="14" t="s">
        <v>598</v>
      </c>
      <c r="EL141" s="14" t="s">
        <v>598</v>
      </c>
      <c r="EM141" s="14" t="s">
        <v>598</v>
      </c>
      <c r="EN141" s="14" t="s">
        <v>598</v>
      </c>
      <c r="EO141" s="14" t="s">
        <v>598</v>
      </c>
      <c r="EP141" s="14" t="s">
        <v>598</v>
      </c>
      <c r="EQ141" s="14" t="s">
        <v>598</v>
      </c>
      <c r="ER141" s="14" t="s">
        <v>598</v>
      </c>
      <c r="ES141" s="14">
        <v>131</v>
      </c>
      <c r="EY141" s="14">
        <v>131</v>
      </c>
      <c r="EZ141" s="14">
        <v>25</v>
      </c>
      <c r="FF141" s="14">
        <v>25</v>
      </c>
      <c r="FM141" s="14">
        <v>0</v>
      </c>
      <c r="FT141" s="14">
        <v>0</v>
      </c>
      <c r="GA141" s="14">
        <v>0</v>
      </c>
      <c r="GH141" s="14">
        <v>0</v>
      </c>
      <c r="GI141" s="14">
        <v>13</v>
      </c>
      <c r="GO141" s="14">
        <v>13</v>
      </c>
      <c r="GW141" s="14">
        <v>0</v>
      </c>
      <c r="GX141" s="14">
        <v>169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14">
        <v>169</v>
      </c>
      <c r="HK141" s="14">
        <v>0</v>
      </c>
      <c r="HL141" s="14">
        <v>134</v>
      </c>
      <c r="HR141" s="14">
        <v>134</v>
      </c>
      <c r="HS141" s="14">
        <v>35</v>
      </c>
      <c r="HY141" s="14">
        <v>35</v>
      </c>
      <c r="IF141" s="14">
        <v>0</v>
      </c>
      <c r="IM141" s="14">
        <v>0</v>
      </c>
      <c r="IN141" s="14">
        <v>169</v>
      </c>
      <c r="IO141" s="14">
        <v>0</v>
      </c>
      <c r="IP141" s="14">
        <v>0</v>
      </c>
      <c r="IQ141" s="14">
        <v>0</v>
      </c>
      <c r="IR141" s="14">
        <v>0</v>
      </c>
      <c r="IS141" s="14">
        <v>0</v>
      </c>
      <c r="IT141" s="14">
        <v>169</v>
      </c>
      <c r="IU141" s="14">
        <v>0</v>
      </c>
      <c r="IW141" s="14">
        <v>100</v>
      </c>
      <c r="IZ141" s="14">
        <v>3</v>
      </c>
      <c r="JA141" s="14">
        <v>1</v>
      </c>
      <c r="JB141" s="14">
        <v>2</v>
      </c>
      <c r="JC141" s="14" t="s">
        <v>600</v>
      </c>
      <c r="NF141" s="14" t="s">
        <v>601</v>
      </c>
      <c r="NG141" s="14">
        <v>131</v>
      </c>
      <c r="NM141" s="14">
        <v>131</v>
      </c>
      <c r="NN141" s="14">
        <v>25</v>
      </c>
      <c r="NT141" s="14">
        <v>25</v>
      </c>
      <c r="OA141" s="14">
        <v>0</v>
      </c>
      <c r="OH141" s="14">
        <v>0</v>
      </c>
      <c r="OO141" s="14">
        <v>0</v>
      </c>
      <c r="OV141" s="14">
        <v>0</v>
      </c>
      <c r="OW141" s="14">
        <v>13</v>
      </c>
      <c r="PC141" s="14">
        <v>13</v>
      </c>
      <c r="PK141" s="14">
        <v>0</v>
      </c>
      <c r="PL141" s="14">
        <v>169</v>
      </c>
      <c r="PM141" s="14">
        <v>0</v>
      </c>
      <c r="PN141" s="14">
        <v>0</v>
      </c>
      <c r="PO141" s="14">
        <v>0</v>
      </c>
      <c r="PP141" s="14">
        <v>0</v>
      </c>
      <c r="PQ141" s="14">
        <v>0</v>
      </c>
      <c r="PR141" s="14">
        <v>169</v>
      </c>
      <c r="PS141" s="14">
        <v>134</v>
      </c>
      <c r="PY141" s="14">
        <v>134</v>
      </c>
      <c r="QF141" s="14">
        <v>0</v>
      </c>
      <c r="QG141" s="14">
        <v>35</v>
      </c>
      <c r="QM141" s="14">
        <v>35</v>
      </c>
      <c r="QT141" s="14">
        <v>0</v>
      </c>
      <c r="RA141" s="14">
        <v>0</v>
      </c>
      <c r="RB141" s="14">
        <v>169</v>
      </c>
      <c r="RC141" s="14">
        <v>0</v>
      </c>
      <c r="RD141" s="14">
        <v>0</v>
      </c>
      <c r="RE141" s="14">
        <v>0</v>
      </c>
      <c r="RF141" s="14">
        <v>0</v>
      </c>
      <c r="RG141" s="14">
        <v>0</v>
      </c>
      <c r="RH141" s="14">
        <v>169</v>
      </c>
      <c r="RI141" s="14" t="s">
        <v>602</v>
      </c>
      <c r="VL141" s="14" t="s">
        <v>603</v>
      </c>
      <c r="ZO141" s="14" t="s">
        <v>604</v>
      </c>
      <c r="ADR141" s="14" t="s">
        <v>605</v>
      </c>
    </row>
    <row r="142" spans="1:798" x14ac:dyDescent="0.25">
      <c r="A142" s="14">
        <v>123</v>
      </c>
      <c r="B142" s="14" t="s">
        <v>889</v>
      </c>
      <c r="C142" s="16">
        <f>VLOOKUP(A142,[4]RawData!Z:AA,2,FALSE)</f>
        <v>42761.411111111112</v>
      </c>
      <c r="D142" s="14" t="s">
        <v>1309</v>
      </c>
      <c r="E142" s="14" t="s">
        <v>1310</v>
      </c>
      <c r="F142" s="14" t="s">
        <v>775</v>
      </c>
      <c r="G142" s="14" t="s">
        <v>1311</v>
      </c>
      <c r="H142" s="14">
        <v>31884562369</v>
      </c>
      <c r="I142" s="14" t="s">
        <v>979</v>
      </c>
      <c r="J142" s="14" t="s">
        <v>732</v>
      </c>
      <c r="L142" s="14">
        <v>2</v>
      </c>
      <c r="M142" s="14">
        <v>6</v>
      </c>
      <c r="N142" s="14" t="s">
        <v>1312</v>
      </c>
      <c r="U142" s="14">
        <v>0</v>
      </c>
      <c r="AB142" s="14">
        <v>0</v>
      </c>
      <c r="AI142" s="14">
        <v>0</v>
      </c>
      <c r="AP142" s="14">
        <v>0</v>
      </c>
      <c r="AW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R142" s="14">
        <v>0</v>
      </c>
      <c r="BY142" s="14">
        <v>0</v>
      </c>
      <c r="CF142" s="14">
        <v>0</v>
      </c>
      <c r="CM142" s="14">
        <v>0</v>
      </c>
      <c r="CT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0</v>
      </c>
      <c r="DI142" s="14" t="s">
        <v>598</v>
      </c>
      <c r="DJ142" s="14" t="s">
        <v>598</v>
      </c>
      <c r="DK142" s="14" t="s">
        <v>598</v>
      </c>
      <c r="DL142" s="14" t="s">
        <v>598</v>
      </c>
      <c r="DM142" s="14" t="s">
        <v>598</v>
      </c>
      <c r="DN142" s="14" t="s">
        <v>598</v>
      </c>
      <c r="DO142" s="14" t="s">
        <v>598</v>
      </c>
      <c r="DP142" s="14" t="s">
        <v>598</v>
      </c>
      <c r="DQ142" s="14" t="s">
        <v>598</v>
      </c>
      <c r="DR142" s="14" t="s">
        <v>598</v>
      </c>
      <c r="DS142" s="14" t="s">
        <v>598</v>
      </c>
      <c r="DT142" s="14" t="s">
        <v>598</v>
      </c>
      <c r="DU142" s="14" t="s">
        <v>598</v>
      </c>
      <c r="DV142" s="14" t="s">
        <v>598</v>
      </c>
      <c r="DW142" s="14" t="s">
        <v>598</v>
      </c>
      <c r="DX142" s="14" t="s">
        <v>598</v>
      </c>
      <c r="DY142" s="14" t="s">
        <v>598</v>
      </c>
      <c r="DZ142" s="14" t="s">
        <v>598</v>
      </c>
      <c r="EA142" s="14" t="s">
        <v>598</v>
      </c>
      <c r="EB142" s="14" t="s">
        <v>598</v>
      </c>
      <c r="EC142" s="14" t="s">
        <v>598</v>
      </c>
      <c r="ED142" s="14" t="s">
        <v>598</v>
      </c>
      <c r="EE142" s="14" t="s">
        <v>598</v>
      </c>
      <c r="EF142" s="14" t="s">
        <v>598</v>
      </c>
      <c r="EG142" s="14" t="s">
        <v>598</v>
      </c>
      <c r="EH142" s="14" t="s">
        <v>598</v>
      </c>
      <c r="EI142" s="14" t="s">
        <v>598</v>
      </c>
      <c r="EJ142" s="14" t="s">
        <v>598</v>
      </c>
      <c r="EK142" s="14" t="s">
        <v>598</v>
      </c>
      <c r="EL142" s="14" t="s">
        <v>598</v>
      </c>
      <c r="EM142" s="14" t="s">
        <v>598</v>
      </c>
      <c r="EN142" s="14" t="s">
        <v>598</v>
      </c>
      <c r="EO142" s="14" t="s">
        <v>598</v>
      </c>
      <c r="EP142" s="14" t="s">
        <v>598</v>
      </c>
      <c r="EQ142" s="14" t="s">
        <v>598</v>
      </c>
      <c r="ER142" s="14" t="s">
        <v>598</v>
      </c>
      <c r="EY142" s="14">
        <v>0</v>
      </c>
      <c r="FF142" s="14">
        <v>0</v>
      </c>
      <c r="FM142" s="14">
        <v>0</v>
      </c>
      <c r="FT142" s="14">
        <v>0</v>
      </c>
      <c r="GA142" s="14">
        <v>0</v>
      </c>
      <c r="GH142" s="14">
        <v>0</v>
      </c>
      <c r="GO142" s="14">
        <v>0</v>
      </c>
      <c r="GW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K142" s="14">
        <v>0</v>
      </c>
      <c r="HR142" s="14">
        <v>0</v>
      </c>
      <c r="HY142" s="14">
        <v>0</v>
      </c>
      <c r="IF142" s="14">
        <v>0</v>
      </c>
      <c r="IM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Z142" s="14">
        <v>1</v>
      </c>
      <c r="JA142" s="14">
        <v>3</v>
      </c>
      <c r="JB142" s="14">
        <v>1</v>
      </c>
      <c r="JC142" s="14" t="s">
        <v>600</v>
      </c>
      <c r="NF142" s="14" t="s">
        <v>601</v>
      </c>
      <c r="RI142" s="14" t="s">
        <v>602</v>
      </c>
      <c r="VL142" s="14" t="s">
        <v>603</v>
      </c>
      <c r="ZO142" s="14" t="s">
        <v>604</v>
      </c>
      <c r="ADR142" s="14" t="s">
        <v>605</v>
      </c>
    </row>
    <row r="143" spans="1:798" x14ac:dyDescent="0.25">
      <c r="A143" s="14">
        <v>193</v>
      </c>
      <c r="B143" s="14" t="s">
        <v>889</v>
      </c>
      <c r="C143" s="16">
        <f>VLOOKUP(A143,[4]RawData!Z:AA,2,FALSE)</f>
        <v>42774.740277777775</v>
      </c>
      <c r="D143" s="14" t="s">
        <v>1313</v>
      </c>
      <c r="E143" s="14" t="s">
        <v>1314</v>
      </c>
      <c r="F143" s="14" t="s">
        <v>1315</v>
      </c>
      <c r="G143" s="14" t="s">
        <v>1316</v>
      </c>
      <c r="H143" s="14">
        <v>35317042344</v>
      </c>
      <c r="I143" s="14" t="s">
        <v>1197</v>
      </c>
      <c r="J143" s="14" t="s">
        <v>732</v>
      </c>
      <c r="L143" s="14">
        <v>1</v>
      </c>
      <c r="U143" s="14">
        <v>0</v>
      </c>
      <c r="V143" s="14">
        <v>100</v>
      </c>
      <c r="W143" s="14">
        <v>50</v>
      </c>
      <c r="AB143" s="14">
        <v>150</v>
      </c>
      <c r="AI143" s="14">
        <v>0</v>
      </c>
      <c r="AP143" s="14">
        <v>0</v>
      </c>
      <c r="AW143" s="14">
        <v>0</v>
      </c>
      <c r="BD143" s="14">
        <v>0</v>
      </c>
      <c r="BE143" s="14">
        <v>100</v>
      </c>
      <c r="BF143" s="14">
        <v>50</v>
      </c>
      <c r="BG143" s="14">
        <v>0</v>
      </c>
      <c r="BH143" s="14">
        <v>0</v>
      </c>
      <c r="BI143" s="14">
        <v>0</v>
      </c>
      <c r="BJ143" s="14">
        <v>0</v>
      </c>
      <c r="BK143" s="14">
        <v>150</v>
      </c>
      <c r="BR143" s="14">
        <v>0</v>
      </c>
      <c r="BS143" s="14">
        <v>1</v>
      </c>
      <c r="BT143" s="14">
        <v>1</v>
      </c>
      <c r="BY143" s="14">
        <v>2</v>
      </c>
      <c r="CF143" s="14">
        <v>0</v>
      </c>
      <c r="CM143" s="14">
        <v>0</v>
      </c>
      <c r="CT143" s="14">
        <v>0</v>
      </c>
      <c r="DA143" s="14">
        <v>0</v>
      </c>
      <c r="DB143" s="14">
        <v>1</v>
      </c>
      <c r="DC143" s="14">
        <v>1</v>
      </c>
      <c r="DD143" s="14">
        <v>0</v>
      </c>
      <c r="DE143" s="14">
        <v>0</v>
      </c>
      <c r="DF143" s="14">
        <v>0</v>
      </c>
      <c r="DG143" s="14">
        <v>0</v>
      </c>
      <c r="DH143" s="14">
        <v>2</v>
      </c>
      <c r="DI143" s="14" t="s">
        <v>598</v>
      </c>
      <c r="DJ143" s="14" t="s">
        <v>598</v>
      </c>
      <c r="DK143" s="14" t="s">
        <v>598</v>
      </c>
      <c r="DL143" s="14" t="s">
        <v>598</v>
      </c>
      <c r="DM143" s="14" t="s">
        <v>598</v>
      </c>
      <c r="DN143" s="14" t="s">
        <v>598</v>
      </c>
      <c r="DO143" s="14" t="s">
        <v>597</v>
      </c>
      <c r="DP143" s="14" t="s">
        <v>597</v>
      </c>
      <c r="DQ143" s="14" t="s">
        <v>598</v>
      </c>
      <c r="DR143" s="14" t="s">
        <v>598</v>
      </c>
      <c r="DS143" s="14" t="s">
        <v>598</v>
      </c>
      <c r="DT143" s="14" t="s">
        <v>598</v>
      </c>
      <c r="DU143" s="14" t="s">
        <v>598</v>
      </c>
      <c r="DV143" s="14" t="s">
        <v>598</v>
      </c>
      <c r="DW143" s="14" t="s">
        <v>598</v>
      </c>
      <c r="DX143" s="14" t="s">
        <v>598</v>
      </c>
      <c r="DY143" s="14" t="s">
        <v>598</v>
      </c>
      <c r="DZ143" s="14" t="s">
        <v>598</v>
      </c>
      <c r="EA143" s="14" t="s">
        <v>598</v>
      </c>
      <c r="EB143" s="14" t="s">
        <v>598</v>
      </c>
      <c r="EC143" s="14" t="s">
        <v>598</v>
      </c>
      <c r="ED143" s="14" t="s">
        <v>598</v>
      </c>
      <c r="EE143" s="14" t="s">
        <v>598</v>
      </c>
      <c r="EF143" s="14" t="s">
        <v>598</v>
      </c>
      <c r="EG143" s="14" t="s">
        <v>598</v>
      </c>
      <c r="EH143" s="14" t="s">
        <v>598</v>
      </c>
      <c r="EI143" s="14" t="s">
        <v>598</v>
      </c>
      <c r="EJ143" s="14" t="s">
        <v>598</v>
      </c>
      <c r="EK143" s="14" t="s">
        <v>598</v>
      </c>
      <c r="EL143" s="14" t="s">
        <v>598</v>
      </c>
      <c r="EM143" s="14" t="s">
        <v>598</v>
      </c>
      <c r="EN143" s="14" t="s">
        <v>598</v>
      </c>
      <c r="EO143" s="14" t="s">
        <v>598</v>
      </c>
      <c r="EP143" s="14" t="s">
        <v>598</v>
      </c>
      <c r="EQ143" s="14" t="s">
        <v>598</v>
      </c>
      <c r="ER143" s="14" t="s">
        <v>598</v>
      </c>
      <c r="ES143" s="14">
        <v>100</v>
      </c>
      <c r="ET143" s="14">
        <v>50</v>
      </c>
      <c r="EY143" s="14">
        <v>150</v>
      </c>
      <c r="FF143" s="14">
        <v>0</v>
      </c>
      <c r="FM143" s="14">
        <v>0</v>
      </c>
      <c r="FT143" s="14">
        <v>0</v>
      </c>
      <c r="GA143" s="14">
        <v>0</v>
      </c>
      <c r="GH143" s="14">
        <v>0</v>
      </c>
      <c r="GO143" s="14">
        <v>0</v>
      </c>
      <c r="GW143" s="14">
        <v>0</v>
      </c>
      <c r="GX143" s="14">
        <v>100</v>
      </c>
      <c r="GY143" s="14">
        <v>50</v>
      </c>
      <c r="GZ143" s="14">
        <v>0</v>
      </c>
      <c r="HA143" s="14">
        <v>0</v>
      </c>
      <c r="HB143" s="14">
        <v>0</v>
      </c>
      <c r="HC143" s="14">
        <v>0</v>
      </c>
      <c r="HD143" s="14">
        <v>150</v>
      </c>
      <c r="HK143" s="14">
        <v>0</v>
      </c>
      <c r="HL143" s="14">
        <v>100</v>
      </c>
      <c r="HM143" s="14">
        <v>50</v>
      </c>
      <c r="HR143" s="14">
        <v>150</v>
      </c>
      <c r="HY143" s="14">
        <v>0</v>
      </c>
      <c r="IF143" s="14">
        <v>0</v>
      </c>
      <c r="IM143" s="14">
        <v>0</v>
      </c>
      <c r="IN143" s="14">
        <v>100</v>
      </c>
      <c r="IO143" s="14">
        <v>50</v>
      </c>
      <c r="IP143" s="14">
        <v>0</v>
      </c>
      <c r="IQ143" s="14">
        <v>0</v>
      </c>
      <c r="IR143" s="14">
        <v>0</v>
      </c>
      <c r="IS143" s="14">
        <v>0</v>
      </c>
      <c r="IT143" s="14">
        <v>150</v>
      </c>
      <c r="IW143" s="14">
        <v>100</v>
      </c>
      <c r="IZ143" s="14">
        <v>1</v>
      </c>
      <c r="JA143" s="14">
        <v>1</v>
      </c>
      <c r="JB143" s="14">
        <v>1</v>
      </c>
      <c r="JC143" s="14" t="s">
        <v>600</v>
      </c>
      <c r="NF143" s="14" t="s">
        <v>601</v>
      </c>
      <c r="NG143" s="14">
        <v>100</v>
      </c>
      <c r="NH143" s="14">
        <v>50</v>
      </c>
      <c r="NM143" s="14">
        <v>150</v>
      </c>
      <c r="NT143" s="14">
        <v>0</v>
      </c>
      <c r="OA143" s="14">
        <v>0</v>
      </c>
      <c r="OH143" s="14">
        <v>0</v>
      </c>
      <c r="OO143" s="14">
        <v>0</v>
      </c>
      <c r="OV143" s="14">
        <v>0</v>
      </c>
      <c r="PC143" s="14">
        <v>0</v>
      </c>
      <c r="PK143" s="14">
        <v>0</v>
      </c>
      <c r="PL143" s="14">
        <v>100</v>
      </c>
      <c r="PM143" s="14">
        <v>50</v>
      </c>
      <c r="PN143" s="14">
        <v>0</v>
      </c>
      <c r="PO143" s="14">
        <v>0</v>
      </c>
      <c r="PP143" s="14">
        <v>0</v>
      </c>
      <c r="PQ143" s="14">
        <v>0</v>
      </c>
      <c r="PR143" s="14">
        <v>150</v>
      </c>
      <c r="PS143" s="14">
        <v>100</v>
      </c>
      <c r="PT143" s="14">
        <v>50</v>
      </c>
      <c r="PY143" s="14">
        <v>150</v>
      </c>
      <c r="QF143" s="14">
        <v>0</v>
      </c>
      <c r="QM143" s="14">
        <v>0</v>
      </c>
      <c r="QT143" s="14">
        <v>0</v>
      </c>
      <c r="RA143" s="14">
        <v>0</v>
      </c>
      <c r="RB143" s="14">
        <v>100</v>
      </c>
      <c r="RC143" s="14">
        <v>50</v>
      </c>
      <c r="RD143" s="14">
        <v>0</v>
      </c>
      <c r="RE143" s="14">
        <v>0</v>
      </c>
      <c r="RF143" s="14">
        <v>0</v>
      </c>
      <c r="RG143" s="14">
        <v>0</v>
      </c>
      <c r="RH143" s="14">
        <v>150</v>
      </c>
      <c r="RI143" s="14" t="s">
        <v>602</v>
      </c>
      <c r="VL143" s="14" t="s">
        <v>603</v>
      </c>
      <c r="ZO143" s="14" t="s">
        <v>604</v>
      </c>
      <c r="ADR143" s="14" t="s">
        <v>605</v>
      </c>
    </row>
    <row r="144" spans="1:798" x14ac:dyDescent="0.25">
      <c r="A144" s="14">
        <v>39</v>
      </c>
      <c r="B144" s="14" t="s">
        <v>889</v>
      </c>
      <c r="C144" s="16">
        <f>VLOOKUP(A144,[4]RawData!Z:AA,2,FALSE)</f>
        <v>42765.543749999997</v>
      </c>
      <c r="D144" s="14" t="s">
        <v>1317</v>
      </c>
      <c r="E144" s="14" t="s">
        <v>1318</v>
      </c>
      <c r="F144" s="14" t="s">
        <v>1319</v>
      </c>
      <c r="G144" s="14" t="s">
        <v>1320</v>
      </c>
      <c r="H144" s="14" t="s">
        <v>1321</v>
      </c>
      <c r="I144" s="14" t="s">
        <v>894</v>
      </c>
      <c r="J144" s="14" t="s">
        <v>732</v>
      </c>
      <c r="L144" s="14">
        <v>1</v>
      </c>
      <c r="U144" s="14">
        <v>0</v>
      </c>
      <c r="V144" s="14">
        <v>172.3</v>
      </c>
      <c r="X144" s="14">
        <v>482.1</v>
      </c>
      <c r="Y144" s="14">
        <v>172.9</v>
      </c>
      <c r="AB144" s="14">
        <v>827.3</v>
      </c>
      <c r="AI144" s="14">
        <v>0</v>
      </c>
      <c r="AP144" s="14">
        <v>0</v>
      </c>
      <c r="AW144" s="14">
        <v>0</v>
      </c>
      <c r="BD144" s="14">
        <v>0</v>
      </c>
      <c r="BE144" s="14">
        <v>172.3</v>
      </c>
      <c r="BF144" s="14">
        <v>0</v>
      </c>
      <c r="BG144" s="14">
        <v>482.1</v>
      </c>
      <c r="BH144" s="14">
        <v>172.9</v>
      </c>
      <c r="BI144" s="14">
        <v>0</v>
      </c>
      <c r="BJ144" s="14">
        <v>0</v>
      </c>
      <c r="BK144" s="14">
        <v>827.3</v>
      </c>
      <c r="BR144" s="14">
        <v>0</v>
      </c>
      <c r="BS144" s="14">
        <v>2</v>
      </c>
      <c r="BU144" s="14">
        <v>9</v>
      </c>
      <c r="BV144" s="14">
        <v>1</v>
      </c>
      <c r="BY144" s="14">
        <v>12</v>
      </c>
      <c r="CF144" s="14">
        <v>0</v>
      </c>
      <c r="CM144" s="14">
        <v>0</v>
      </c>
      <c r="CT144" s="14">
        <v>0</v>
      </c>
      <c r="DA144" s="14">
        <v>0</v>
      </c>
      <c r="DB144" s="14">
        <v>2</v>
      </c>
      <c r="DC144" s="14">
        <v>0</v>
      </c>
      <c r="DD144" s="14">
        <v>9</v>
      </c>
      <c r="DE144" s="14">
        <v>1</v>
      </c>
      <c r="DF144" s="14">
        <v>0</v>
      </c>
      <c r="DG144" s="14">
        <v>0</v>
      </c>
      <c r="DH144" s="14">
        <v>12</v>
      </c>
      <c r="DI144" s="14" t="s">
        <v>598</v>
      </c>
      <c r="DJ144" s="14" t="s">
        <v>598</v>
      </c>
      <c r="DK144" s="14" t="s">
        <v>598</v>
      </c>
      <c r="DL144" s="14" t="s">
        <v>598</v>
      </c>
      <c r="DM144" s="14" t="s">
        <v>598</v>
      </c>
      <c r="DN144" s="14" t="s">
        <v>598</v>
      </c>
      <c r="DO144" s="14" t="s">
        <v>597</v>
      </c>
      <c r="DP144" s="14" t="s">
        <v>598</v>
      </c>
      <c r="DQ144" s="14" t="s">
        <v>597</v>
      </c>
      <c r="DR144" s="14" t="s">
        <v>597</v>
      </c>
      <c r="DS144" s="14" t="s">
        <v>598</v>
      </c>
      <c r="DT144" s="14" t="s">
        <v>598</v>
      </c>
      <c r="DU144" s="14" t="s">
        <v>598</v>
      </c>
      <c r="DV144" s="14" t="s">
        <v>598</v>
      </c>
      <c r="DW144" s="14" t="s">
        <v>598</v>
      </c>
      <c r="DX144" s="14" t="s">
        <v>598</v>
      </c>
      <c r="DY144" s="14" t="s">
        <v>598</v>
      </c>
      <c r="DZ144" s="14" t="s">
        <v>598</v>
      </c>
      <c r="EA144" s="14" t="s">
        <v>598</v>
      </c>
      <c r="EB144" s="14" t="s">
        <v>598</v>
      </c>
      <c r="EC144" s="14" t="s">
        <v>598</v>
      </c>
      <c r="ED144" s="14" t="s">
        <v>598</v>
      </c>
      <c r="EE144" s="14" t="s">
        <v>598</v>
      </c>
      <c r="EF144" s="14" t="s">
        <v>598</v>
      </c>
      <c r="EG144" s="14" t="s">
        <v>598</v>
      </c>
      <c r="EH144" s="14" t="s">
        <v>598</v>
      </c>
      <c r="EI144" s="14" t="s">
        <v>598</v>
      </c>
      <c r="EJ144" s="14" t="s">
        <v>598</v>
      </c>
      <c r="EK144" s="14" t="s">
        <v>598</v>
      </c>
      <c r="EL144" s="14" t="s">
        <v>598</v>
      </c>
      <c r="EM144" s="14" t="s">
        <v>598</v>
      </c>
      <c r="EN144" s="14" t="s">
        <v>598</v>
      </c>
      <c r="EO144" s="14" t="s">
        <v>598</v>
      </c>
      <c r="EP144" s="14" t="s">
        <v>598</v>
      </c>
      <c r="EQ144" s="14" t="s">
        <v>598</v>
      </c>
      <c r="ER144" s="14" t="s">
        <v>598</v>
      </c>
      <c r="EU144" s="14">
        <v>193.2</v>
      </c>
      <c r="EV144" s="14">
        <v>22.6</v>
      </c>
      <c r="EY144" s="14">
        <v>215.8</v>
      </c>
      <c r="FB144" s="14">
        <v>130.5</v>
      </c>
      <c r="FC144" s="14">
        <v>26.4</v>
      </c>
      <c r="FF144" s="14">
        <v>156.9</v>
      </c>
      <c r="FM144" s="14">
        <v>0</v>
      </c>
      <c r="FT144" s="14">
        <v>0</v>
      </c>
      <c r="FW144" s="14">
        <v>57.6</v>
      </c>
      <c r="FX144" s="14">
        <v>72.900000000000006</v>
      </c>
      <c r="GA144" s="14">
        <v>130.5</v>
      </c>
      <c r="GH144" s="14">
        <v>0</v>
      </c>
      <c r="GO144" s="14">
        <v>0</v>
      </c>
      <c r="GP144" s="14" t="s">
        <v>1322</v>
      </c>
      <c r="GQ144" s="14">
        <v>172.3</v>
      </c>
      <c r="GS144" s="14">
        <v>100.9</v>
      </c>
      <c r="GT144" s="14">
        <v>50.9</v>
      </c>
      <c r="GW144" s="14">
        <v>324.10000000000002</v>
      </c>
      <c r="GX144" s="14">
        <v>172.3</v>
      </c>
      <c r="GY144" s="14">
        <v>0</v>
      </c>
      <c r="GZ144" s="14">
        <v>482.2</v>
      </c>
      <c r="HA144" s="14">
        <v>172.8</v>
      </c>
      <c r="HB144" s="14">
        <v>0</v>
      </c>
      <c r="HC144" s="14">
        <v>0</v>
      </c>
      <c r="HD144" s="14">
        <v>827.3</v>
      </c>
      <c r="HK144" s="14">
        <v>0</v>
      </c>
      <c r="HL144" s="14">
        <v>172.3</v>
      </c>
      <c r="HN144" s="14">
        <v>482.1</v>
      </c>
      <c r="HO144" s="14">
        <v>172.9</v>
      </c>
      <c r="HR144" s="14">
        <v>827.3</v>
      </c>
      <c r="HY144" s="14">
        <v>0</v>
      </c>
      <c r="IF144" s="14">
        <v>0</v>
      </c>
      <c r="IM144" s="14">
        <v>0</v>
      </c>
      <c r="IN144" s="14">
        <v>172.3</v>
      </c>
      <c r="IO144" s="14">
        <v>0</v>
      </c>
      <c r="IP144" s="14">
        <v>482.1</v>
      </c>
      <c r="IQ144" s="14">
        <v>172.9</v>
      </c>
      <c r="IR144" s="14">
        <v>0</v>
      </c>
      <c r="IS144" s="14">
        <v>0</v>
      </c>
      <c r="IT144" s="14">
        <v>827.3</v>
      </c>
      <c r="IU144" s="14">
        <v>15.9</v>
      </c>
      <c r="IW144" s="14">
        <v>84.1</v>
      </c>
      <c r="IZ144" s="14">
        <v>3</v>
      </c>
      <c r="JA144" s="14">
        <v>3</v>
      </c>
      <c r="JB144" s="14">
        <v>1</v>
      </c>
      <c r="JC144" s="14" t="s">
        <v>600</v>
      </c>
      <c r="NF144" s="14" t="s">
        <v>601</v>
      </c>
      <c r="NI144" s="14">
        <v>193.2</v>
      </c>
      <c r="NJ144" s="14">
        <v>22.6</v>
      </c>
      <c r="NM144" s="14">
        <v>215.8</v>
      </c>
      <c r="NP144" s="14">
        <v>130.5</v>
      </c>
      <c r="NQ144" s="14">
        <v>26.4</v>
      </c>
      <c r="NT144" s="14">
        <v>156.9</v>
      </c>
      <c r="OA144" s="14">
        <v>0</v>
      </c>
      <c r="OH144" s="14">
        <v>0</v>
      </c>
      <c r="OK144" s="14">
        <v>57.6</v>
      </c>
      <c r="OL144" s="14">
        <v>72.900000000000006</v>
      </c>
      <c r="OO144" s="14">
        <v>130.5</v>
      </c>
      <c r="OV144" s="14">
        <v>0</v>
      </c>
      <c r="PC144" s="14">
        <v>0</v>
      </c>
      <c r="PD144" s="14" t="s">
        <v>1323</v>
      </c>
      <c r="PE144" s="14">
        <v>172.3</v>
      </c>
      <c r="PG144" s="14">
        <v>100.9</v>
      </c>
      <c r="PH144" s="14">
        <v>50.9</v>
      </c>
      <c r="PK144" s="14">
        <v>324.10000000000002</v>
      </c>
      <c r="PL144" s="14">
        <v>172.3</v>
      </c>
      <c r="PM144" s="14">
        <v>0</v>
      </c>
      <c r="PN144" s="14">
        <v>482.2</v>
      </c>
      <c r="PO144" s="14">
        <v>172.8</v>
      </c>
      <c r="PP144" s="14">
        <v>0</v>
      </c>
      <c r="PQ144" s="14">
        <v>0</v>
      </c>
      <c r="PR144" s="14">
        <v>827.3</v>
      </c>
      <c r="PS144" s="14">
        <v>172.3</v>
      </c>
      <c r="PU144" s="14">
        <v>482.1</v>
      </c>
      <c r="PV144" s="14">
        <v>172.9</v>
      </c>
      <c r="PY144" s="14">
        <v>827.3</v>
      </c>
      <c r="QF144" s="14">
        <v>0</v>
      </c>
      <c r="QM144" s="14">
        <v>0</v>
      </c>
      <c r="QT144" s="14">
        <v>0</v>
      </c>
      <c r="RA144" s="14">
        <v>0</v>
      </c>
      <c r="RB144" s="14">
        <v>172.3</v>
      </c>
      <c r="RC144" s="14">
        <v>0</v>
      </c>
      <c r="RD144" s="14">
        <v>482.1</v>
      </c>
      <c r="RE144" s="14">
        <v>172.9</v>
      </c>
      <c r="RF144" s="14">
        <v>0</v>
      </c>
      <c r="RG144" s="14">
        <v>0</v>
      </c>
      <c r="RH144" s="14">
        <v>827.3</v>
      </c>
      <c r="RI144" s="14" t="s">
        <v>602</v>
      </c>
      <c r="VL144" s="14" t="s">
        <v>603</v>
      </c>
      <c r="ZO144" s="14" t="s">
        <v>604</v>
      </c>
      <c r="ADR144" s="14" t="s">
        <v>605</v>
      </c>
    </row>
    <row r="145" spans="1:798" x14ac:dyDescent="0.25">
      <c r="A145" s="14">
        <v>55</v>
      </c>
      <c r="B145" s="14" t="s">
        <v>889</v>
      </c>
      <c r="C145" s="16">
        <f>$C$3</f>
        <v>42780</v>
      </c>
      <c r="D145" s="14" t="s">
        <v>1324</v>
      </c>
      <c r="E145" s="14" t="s">
        <v>1325</v>
      </c>
      <c r="F145" s="14" t="s">
        <v>1326</v>
      </c>
      <c r="G145" s="14" t="s">
        <v>1327</v>
      </c>
      <c r="H145" s="14" t="s">
        <v>1328</v>
      </c>
      <c r="I145" s="14" t="s">
        <v>894</v>
      </c>
      <c r="J145" s="14" t="s">
        <v>732</v>
      </c>
      <c r="L145" s="14">
        <v>1</v>
      </c>
      <c r="U145" s="14">
        <v>0</v>
      </c>
      <c r="V145" s="14">
        <v>130</v>
      </c>
      <c r="AB145" s="14">
        <v>130</v>
      </c>
      <c r="AI145" s="14">
        <v>0</v>
      </c>
      <c r="AP145" s="14">
        <v>0</v>
      </c>
      <c r="AW145" s="14">
        <v>0</v>
      </c>
      <c r="BD145" s="14">
        <v>0</v>
      </c>
      <c r="BE145" s="14">
        <v>130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130</v>
      </c>
      <c r="BR145" s="14">
        <v>0</v>
      </c>
      <c r="BS145" s="14">
        <v>1</v>
      </c>
      <c r="BY145" s="14">
        <v>1</v>
      </c>
      <c r="CF145" s="14">
        <v>0</v>
      </c>
      <c r="CM145" s="14">
        <v>0</v>
      </c>
      <c r="CT145" s="14">
        <v>0</v>
      </c>
      <c r="DA145" s="14">
        <v>0</v>
      </c>
      <c r="DB145" s="14">
        <v>1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1</v>
      </c>
      <c r="DI145" s="14" t="s">
        <v>598</v>
      </c>
      <c r="DJ145" s="14" t="s">
        <v>598</v>
      </c>
      <c r="DK145" s="14" t="s">
        <v>598</v>
      </c>
      <c r="DL145" s="14" t="s">
        <v>598</v>
      </c>
      <c r="DM145" s="14" t="s">
        <v>598</v>
      </c>
      <c r="DN145" s="14" t="s">
        <v>598</v>
      </c>
      <c r="DO145" s="14" t="s">
        <v>597</v>
      </c>
      <c r="DP145" s="14" t="s">
        <v>598</v>
      </c>
      <c r="DQ145" s="14" t="s">
        <v>598</v>
      </c>
      <c r="DR145" s="14" t="s">
        <v>598</v>
      </c>
      <c r="DS145" s="14" t="s">
        <v>598</v>
      </c>
      <c r="DT145" s="14" t="s">
        <v>598</v>
      </c>
      <c r="DU145" s="14" t="s">
        <v>598</v>
      </c>
      <c r="DV145" s="14" t="s">
        <v>598</v>
      </c>
      <c r="DW145" s="14" t="s">
        <v>598</v>
      </c>
      <c r="DX145" s="14" t="s">
        <v>598</v>
      </c>
      <c r="DY145" s="14" t="s">
        <v>598</v>
      </c>
      <c r="DZ145" s="14" t="s">
        <v>598</v>
      </c>
      <c r="EA145" s="14" t="s">
        <v>598</v>
      </c>
      <c r="EB145" s="14" t="s">
        <v>598</v>
      </c>
      <c r="EC145" s="14" t="s">
        <v>598</v>
      </c>
      <c r="ED145" s="14" t="s">
        <v>598</v>
      </c>
      <c r="EE145" s="14" t="s">
        <v>598</v>
      </c>
      <c r="EF145" s="14" t="s">
        <v>598</v>
      </c>
      <c r="EG145" s="14" t="s">
        <v>598</v>
      </c>
      <c r="EH145" s="14" t="s">
        <v>598</v>
      </c>
      <c r="EI145" s="14" t="s">
        <v>598</v>
      </c>
      <c r="EJ145" s="14" t="s">
        <v>598</v>
      </c>
      <c r="EK145" s="14" t="s">
        <v>598</v>
      </c>
      <c r="EL145" s="14" t="s">
        <v>598</v>
      </c>
      <c r="EM145" s="14" t="s">
        <v>598</v>
      </c>
      <c r="EN145" s="14" t="s">
        <v>598</v>
      </c>
      <c r="EO145" s="14" t="s">
        <v>598</v>
      </c>
      <c r="EP145" s="14" t="s">
        <v>598</v>
      </c>
      <c r="EQ145" s="14" t="s">
        <v>598</v>
      </c>
      <c r="ER145" s="14" t="s">
        <v>598</v>
      </c>
      <c r="ES145" s="14">
        <v>30</v>
      </c>
      <c r="EY145" s="14">
        <v>30</v>
      </c>
      <c r="FF145" s="14">
        <v>0</v>
      </c>
      <c r="FM145" s="14">
        <v>0</v>
      </c>
      <c r="FT145" s="14">
        <v>0</v>
      </c>
      <c r="GA145" s="14">
        <v>0</v>
      </c>
      <c r="GB145" s="14">
        <v>100</v>
      </c>
      <c r="GH145" s="14">
        <v>100</v>
      </c>
      <c r="GO145" s="14">
        <v>0</v>
      </c>
      <c r="GW145" s="14">
        <v>0</v>
      </c>
      <c r="GX145" s="14">
        <v>130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130</v>
      </c>
      <c r="HK145" s="14">
        <v>0</v>
      </c>
      <c r="HL145" s="14">
        <v>130</v>
      </c>
      <c r="HR145" s="14">
        <v>130</v>
      </c>
      <c r="HY145" s="14">
        <v>0</v>
      </c>
      <c r="IF145" s="14">
        <v>0</v>
      </c>
      <c r="IM145" s="14">
        <v>0</v>
      </c>
      <c r="IN145" s="14">
        <v>130</v>
      </c>
      <c r="IO145" s="14">
        <v>0</v>
      </c>
      <c r="IP145" s="14">
        <v>0</v>
      </c>
      <c r="IQ145" s="14">
        <v>0</v>
      </c>
      <c r="IR145" s="14">
        <v>0</v>
      </c>
      <c r="IS145" s="14">
        <v>0</v>
      </c>
      <c r="IT145" s="14">
        <v>130</v>
      </c>
      <c r="IU145" s="14">
        <v>100</v>
      </c>
      <c r="IZ145" s="14">
        <v>1</v>
      </c>
      <c r="JA145" s="14">
        <v>3</v>
      </c>
      <c r="JB145" s="14">
        <v>1</v>
      </c>
      <c r="JC145" s="14" t="s">
        <v>600</v>
      </c>
      <c r="NF145" s="14" t="s">
        <v>601</v>
      </c>
      <c r="NG145" s="14">
        <v>30</v>
      </c>
      <c r="NM145" s="14">
        <v>30</v>
      </c>
      <c r="NT145" s="14">
        <v>0</v>
      </c>
      <c r="OA145" s="14">
        <v>0</v>
      </c>
      <c r="OH145" s="14">
        <v>0</v>
      </c>
      <c r="OO145" s="14">
        <v>0</v>
      </c>
      <c r="OP145" s="14">
        <v>100</v>
      </c>
      <c r="OV145" s="14">
        <v>100</v>
      </c>
      <c r="PC145" s="14">
        <v>0</v>
      </c>
      <c r="PK145" s="14">
        <v>0</v>
      </c>
      <c r="PL145" s="14">
        <v>130</v>
      </c>
      <c r="PM145" s="14">
        <v>0</v>
      </c>
      <c r="PN145" s="14">
        <v>0</v>
      </c>
      <c r="PO145" s="14">
        <v>0</v>
      </c>
      <c r="PP145" s="14">
        <v>0</v>
      </c>
      <c r="PQ145" s="14">
        <v>0</v>
      </c>
      <c r="PR145" s="14">
        <v>130</v>
      </c>
      <c r="PS145" s="14">
        <v>130</v>
      </c>
      <c r="PY145" s="14">
        <v>130</v>
      </c>
      <c r="QF145" s="14">
        <v>0</v>
      </c>
      <c r="QM145" s="14">
        <v>0</v>
      </c>
      <c r="QT145" s="14">
        <v>0</v>
      </c>
      <c r="RA145" s="14">
        <v>0</v>
      </c>
      <c r="RB145" s="14">
        <v>130</v>
      </c>
      <c r="RC145" s="14">
        <v>0</v>
      </c>
      <c r="RD145" s="14">
        <v>0</v>
      </c>
      <c r="RE145" s="14">
        <v>0</v>
      </c>
      <c r="RF145" s="14">
        <v>0</v>
      </c>
      <c r="RG145" s="14">
        <v>0</v>
      </c>
      <c r="RH145" s="14">
        <v>130</v>
      </c>
      <c r="RI145" s="14" t="s">
        <v>602</v>
      </c>
      <c r="VL145" s="14" t="s">
        <v>603</v>
      </c>
      <c r="ZO145" s="14" t="s">
        <v>604</v>
      </c>
      <c r="ADR145" s="14" t="s">
        <v>605</v>
      </c>
    </row>
    <row r="146" spans="1:798" x14ac:dyDescent="0.25">
      <c r="A146" s="14">
        <v>144</v>
      </c>
      <c r="B146" s="14" t="s">
        <v>889</v>
      </c>
      <c r="C146" s="16">
        <f>VLOOKUP(A146,[4]RawData!Z:AA,2,FALSE)</f>
        <v>42766.42083333333</v>
      </c>
      <c r="D146" s="14" t="s">
        <v>1329</v>
      </c>
      <c r="E146" s="14" t="s">
        <v>1330</v>
      </c>
      <c r="F146" s="14" t="s">
        <v>1331</v>
      </c>
      <c r="G146" s="14" t="s">
        <v>1332</v>
      </c>
      <c r="H146" s="14" t="s">
        <v>1333</v>
      </c>
      <c r="I146" s="14" t="s">
        <v>894</v>
      </c>
      <c r="J146" s="14" t="s">
        <v>732</v>
      </c>
      <c r="L146" s="14">
        <v>1</v>
      </c>
      <c r="S146" s="14">
        <v>75</v>
      </c>
      <c r="U146" s="14">
        <v>75</v>
      </c>
      <c r="Z146" s="14">
        <v>950</v>
      </c>
      <c r="AB146" s="14">
        <v>950</v>
      </c>
      <c r="AI146" s="14">
        <v>0</v>
      </c>
      <c r="AP146" s="14">
        <v>0</v>
      </c>
      <c r="AW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1025</v>
      </c>
      <c r="BJ146" s="14">
        <v>0</v>
      </c>
      <c r="BK146" s="14">
        <v>1025</v>
      </c>
      <c r="BP146" s="14">
        <v>1</v>
      </c>
      <c r="BR146" s="14">
        <v>1</v>
      </c>
      <c r="BW146" s="14">
        <v>7</v>
      </c>
      <c r="BY146" s="14">
        <v>7</v>
      </c>
      <c r="CF146" s="14">
        <v>0</v>
      </c>
      <c r="CM146" s="14">
        <v>0</v>
      </c>
      <c r="CT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8</v>
      </c>
      <c r="DG146" s="14">
        <v>0</v>
      </c>
      <c r="DH146" s="14">
        <v>8</v>
      </c>
      <c r="DI146" s="14" t="s">
        <v>598</v>
      </c>
      <c r="DJ146" s="14" t="s">
        <v>598</v>
      </c>
      <c r="DK146" s="14" t="s">
        <v>598</v>
      </c>
      <c r="DL146" s="14" t="s">
        <v>598</v>
      </c>
      <c r="DM146" s="14" t="s">
        <v>597</v>
      </c>
      <c r="DN146" s="14" t="s">
        <v>598</v>
      </c>
      <c r="DO146" s="14" t="s">
        <v>598</v>
      </c>
      <c r="DP146" s="14" t="s">
        <v>598</v>
      </c>
      <c r="DQ146" s="14" t="s">
        <v>598</v>
      </c>
      <c r="DR146" s="14" t="s">
        <v>598</v>
      </c>
      <c r="DS146" s="14" t="s">
        <v>597</v>
      </c>
      <c r="DT146" s="14" t="s">
        <v>598</v>
      </c>
      <c r="DU146" s="14" t="s">
        <v>598</v>
      </c>
      <c r="DV146" s="14" t="s">
        <v>598</v>
      </c>
      <c r="DW146" s="14" t="s">
        <v>598</v>
      </c>
      <c r="DX146" s="14" t="s">
        <v>598</v>
      </c>
      <c r="DY146" s="14" t="s">
        <v>598</v>
      </c>
      <c r="DZ146" s="14" t="s">
        <v>598</v>
      </c>
      <c r="EA146" s="14" t="s">
        <v>598</v>
      </c>
      <c r="EB146" s="14" t="s">
        <v>598</v>
      </c>
      <c r="EC146" s="14" t="s">
        <v>598</v>
      </c>
      <c r="ED146" s="14" t="s">
        <v>598</v>
      </c>
      <c r="EE146" s="14" t="s">
        <v>598</v>
      </c>
      <c r="EF146" s="14" t="s">
        <v>598</v>
      </c>
      <c r="EG146" s="14" t="s">
        <v>598</v>
      </c>
      <c r="EH146" s="14" t="s">
        <v>598</v>
      </c>
      <c r="EI146" s="14" t="s">
        <v>598</v>
      </c>
      <c r="EJ146" s="14" t="s">
        <v>598</v>
      </c>
      <c r="EK146" s="14" t="s">
        <v>598</v>
      </c>
      <c r="EL146" s="14" t="s">
        <v>598</v>
      </c>
      <c r="EM146" s="14" t="s">
        <v>598</v>
      </c>
      <c r="EN146" s="14" t="s">
        <v>598</v>
      </c>
      <c r="EO146" s="14" t="s">
        <v>598</v>
      </c>
      <c r="EP146" s="14" t="s">
        <v>598</v>
      </c>
      <c r="EQ146" s="14" t="s">
        <v>598</v>
      </c>
      <c r="ER146" s="14" t="s">
        <v>598</v>
      </c>
      <c r="EW146" s="14">
        <v>525</v>
      </c>
      <c r="EY146" s="14">
        <v>525</v>
      </c>
      <c r="FF146" s="14">
        <v>0</v>
      </c>
      <c r="FM146" s="14">
        <v>0</v>
      </c>
      <c r="FT146" s="14">
        <v>0</v>
      </c>
      <c r="GA146" s="14">
        <v>0</v>
      </c>
      <c r="GH146" s="14">
        <v>0</v>
      </c>
      <c r="GO146" s="14">
        <v>0</v>
      </c>
      <c r="GP146" s="14" t="s">
        <v>1066</v>
      </c>
      <c r="GU146" s="14">
        <v>500</v>
      </c>
      <c r="GW146" s="14">
        <v>500</v>
      </c>
      <c r="GX146" s="14">
        <v>0</v>
      </c>
      <c r="GY146" s="14">
        <v>0</v>
      </c>
      <c r="GZ146" s="14">
        <v>0</v>
      </c>
      <c r="HA146" s="14">
        <v>0</v>
      </c>
      <c r="HB146" s="14">
        <v>1025</v>
      </c>
      <c r="HC146" s="14">
        <v>0</v>
      </c>
      <c r="HD146" s="14">
        <v>1025</v>
      </c>
      <c r="HK146" s="14">
        <v>0</v>
      </c>
      <c r="HP146" s="14">
        <v>1025</v>
      </c>
      <c r="HR146" s="14">
        <v>1025</v>
      </c>
      <c r="HY146" s="14">
        <v>0</v>
      </c>
      <c r="IF146" s="14">
        <v>0</v>
      </c>
      <c r="IM146" s="14">
        <v>0</v>
      </c>
      <c r="IN146" s="14">
        <v>0</v>
      </c>
      <c r="IO146" s="14">
        <v>0</v>
      </c>
      <c r="IP146" s="14">
        <v>0</v>
      </c>
      <c r="IQ146" s="14">
        <v>0</v>
      </c>
      <c r="IR146" s="14">
        <v>1025</v>
      </c>
      <c r="IS146" s="14">
        <v>0</v>
      </c>
      <c r="IT146" s="14">
        <v>1025</v>
      </c>
      <c r="IW146" s="14">
        <v>100</v>
      </c>
      <c r="IZ146" s="14">
        <v>1</v>
      </c>
      <c r="JA146" s="14">
        <v>3</v>
      </c>
      <c r="JB146" s="14">
        <v>1</v>
      </c>
      <c r="JC146" s="14" t="s">
        <v>600</v>
      </c>
      <c r="JH146" s="14">
        <v>75</v>
      </c>
      <c r="JJ146" s="14">
        <v>75</v>
      </c>
      <c r="JQ146" s="14">
        <v>0</v>
      </c>
      <c r="JX146" s="14">
        <v>0</v>
      </c>
      <c r="KE146" s="14">
        <v>0</v>
      </c>
      <c r="KL146" s="14">
        <v>0</v>
      </c>
      <c r="KS146" s="14">
        <v>0</v>
      </c>
      <c r="KZ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75</v>
      </c>
      <c r="LN146" s="14">
        <v>0</v>
      </c>
      <c r="LO146" s="14">
        <v>75</v>
      </c>
      <c r="LT146" s="14">
        <v>75</v>
      </c>
      <c r="LV146" s="14">
        <v>75</v>
      </c>
      <c r="MC146" s="14">
        <v>0</v>
      </c>
      <c r="MJ146" s="14">
        <v>0</v>
      </c>
      <c r="MQ146" s="14">
        <v>0</v>
      </c>
      <c r="MX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75</v>
      </c>
      <c r="ND146" s="14">
        <v>0</v>
      </c>
      <c r="NE146" s="14">
        <v>75</v>
      </c>
      <c r="NF146" s="14" t="s">
        <v>601</v>
      </c>
      <c r="NK146" s="14">
        <v>450</v>
      </c>
      <c r="NM146" s="14">
        <v>450</v>
      </c>
      <c r="NT146" s="14">
        <v>0</v>
      </c>
      <c r="OA146" s="14">
        <v>0</v>
      </c>
      <c r="OH146" s="14">
        <v>0</v>
      </c>
      <c r="OO146" s="14">
        <v>0</v>
      </c>
      <c r="OV146" s="14">
        <v>0</v>
      </c>
      <c r="PC146" s="14">
        <v>0</v>
      </c>
      <c r="PD146" s="14" t="s">
        <v>1066</v>
      </c>
      <c r="PI146" s="14">
        <v>500</v>
      </c>
      <c r="PK146" s="14">
        <v>500</v>
      </c>
      <c r="PL146" s="14">
        <v>0</v>
      </c>
      <c r="PM146" s="14">
        <v>0</v>
      </c>
      <c r="PN146" s="14">
        <v>0</v>
      </c>
      <c r="PO146" s="14">
        <v>0</v>
      </c>
      <c r="PP146" s="14">
        <v>950</v>
      </c>
      <c r="PQ146" s="14">
        <v>0</v>
      </c>
      <c r="PR146" s="14">
        <v>950</v>
      </c>
      <c r="PW146" s="14">
        <v>950</v>
      </c>
      <c r="PY146" s="14">
        <v>950</v>
      </c>
      <c r="QF146" s="14">
        <v>0</v>
      </c>
      <c r="QM146" s="14">
        <v>0</v>
      </c>
      <c r="QT146" s="14">
        <v>0</v>
      </c>
      <c r="RA146" s="14">
        <v>0</v>
      </c>
      <c r="RB146" s="14">
        <v>0</v>
      </c>
      <c r="RC146" s="14">
        <v>0</v>
      </c>
      <c r="RD146" s="14">
        <v>0</v>
      </c>
      <c r="RE146" s="14">
        <v>0</v>
      </c>
      <c r="RF146" s="14">
        <v>950</v>
      </c>
      <c r="RG146" s="14">
        <v>0</v>
      </c>
      <c r="RH146" s="14">
        <v>950</v>
      </c>
      <c r="RI146" s="14" t="s">
        <v>602</v>
      </c>
      <c r="VL146" s="14" t="s">
        <v>603</v>
      </c>
      <c r="ZO146" s="14" t="s">
        <v>604</v>
      </c>
      <c r="ADR146" s="14" t="s">
        <v>605</v>
      </c>
    </row>
    <row r="147" spans="1:798" x14ac:dyDescent="0.25">
      <c r="A147" s="14">
        <v>215</v>
      </c>
      <c r="B147" s="14" t="s">
        <v>889</v>
      </c>
      <c r="C147" s="16">
        <f t="shared" ref="C147:C148" si="13">$C$3</f>
        <v>42780</v>
      </c>
      <c r="D147" s="14" t="s">
        <v>1334</v>
      </c>
      <c r="E147" s="14" t="s">
        <v>1335</v>
      </c>
      <c r="F147" s="14" t="s">
        <v>1336</v>
      </c>
      <c r="G147" s="14" t="s">
        <v>1337</v>
      </c>
      <c r="H147" s="14">
        <v>390232115357</v>
      </c>
      <c r="I147" s="14" t="s">
        <v>1078</v>
      </c>
      <c r="J147" s="14" t="s">
        <v>732</v>
      </c>
      <c r="L147" s="14">
        <v>1</v>
      </c>
      <c r="U147" s="14">
        <v>0</v>
      </c>
      <c r="V147" s="14">
        <v>220</v>
      </c>
      <c r="AB147" s="14">
        <v>220</v>
      </c>
      <c r="AI147" s="14">
        <v>0</v>
      </c>
      <c r="AP147" s="14">
        <v>0</v>
      </c>
      <c r="AW147" s="14">
        <v>0</v>
      </c>
      <c r="BD147" s="14">
        <v>0</v>
      </c>
      <c r="BE147" s="14">
        <v>220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220</v>
      </c>
      <c r="BR147" s="14">
        <v>0</v>
      </c>
      <c r="BS147" s="14">
        <v>2</v>
      </c>
      <c r="BY147" s="14">
        <v>2</v>
      </c>
      <c r="CF147" s="14">
        <v>0</v>
      </c>
      <c r="CM147" s="14">
        <v>0</v>
      </c>
      <c r="CT147" s="14">
        <v>0</v>
      </c>
      <c r="DA147" s="14">
        <v>0</v>
      </c>
      <c r="DB147" s="14">
        <v>2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2</v>
      </c>
      <c r="DI147" s="14" t="s">
        <v>598</v>
      </c>
      <c r="DJ147" s="14" t="s">
        <v>598</v>
      </c>
      <c r="DK147" s="14" t="s">
        <v>598</v>
      </c>
      <c r="DL147" s="14" t="s">
        <v>598</v>
      </c>
      <c r="DM147" s="14" t="s">
        <v>598</v>
      </c>
      <c r="DN147" s="14" t="s">
        <v>598</v>
      </c>
      <c r="DO147" s="14" t="s">
        <v>597</v>
      </c>
      <c r="DP147" s="14" t="s">
        <v>598</v>
      </c>
      <c r="DQ147" s="14" t="s">
        <v>598</v>
      </c>
      <c r="DR147" s="14" t="s">
        <v>598</v>
      </c>
      <c r="DS147" s="14" t="s">
        <v>598</v>
      </c>
      <c r="DT147" s="14" t="s">
        <v>598</v>
      </c>
      <c r="DU147" s="14" t="s">
        <v>598</v>
      </c>
      <c r="DV147" s="14" t="s">
        <v>598</v>
      </c>
      <c r="DW147" s="14" t="s">
        <v>598</v>
      </c>
      <c r="DX147" s="14" t="s">
        <v>598</v>
      </c>
      <c r="DY147" s="14" t="s">
        <v>598</v>
      </c>
      <c r="DZ147" s="14" t="s">
        <v>598</v>
      </c>
      <c r="EA147" s="14" t="s">
        <v>598</v>
      </c>
      <c r="EB147" s="14" t="s">
        <v>598</v>
      </c>
      <c r="EC147" s="14" t="s">
        <v>598</v>
      </c>
      <c r="ED147" s="14" t="s">
        <v>598</v>
      </c>
      <c r="EE147" s="14" t="s">
        <v>598</v>
      </c>
      <c r="EF147" s="14" t="s">
        <v>598</v>
      </c>
      <c r="EG147" s="14" t="s">
        <v>598</v>
      </c>
      <c r="EH147" s="14" t="s">
        <v>598</v>
      </c>
      <c r="EI147" s="14" t="s">
        <v>598</v>
      </c>
      <c r="EJ147" s="14" t="s">
        <v>598</v>
      </c>
      <c r="EK147" s="14" t="s">
        <v>598</v>
      </c>
      <c r="EL147" s="14" t="s">
        <v>598</v>
      </c>
      <c r="EM147" s="14" t="s">
        <v>598</v>
      </c>
      <c r="EN147" s="14" t="s">
        <v>598</v>
      </c>
      <c r="EO147" s="14" t="s">
        <v>598</v>
      </c>
      <c r="EP147" s="14" t="s">
        <v>598</v>
      </c>
      <c r="EQ147" s="14" t="s">
        <v>598</v>
      </c>
      <c r="ER147" s="14" t="s">
        <v>598</v>
      </c>
      <c r="EY147" s="14">
        <v>0</v>
      </c>
      <c r="EZ147" s="14">
        <v>150</v>
      </c>
      <c r="FF147" s="14">
        <v>150</v>
      </c>
      <c r="FM147" s="14">
        <v>0</v>
      </c>
      <c r="FT147" s="14">
        <v>0</v>
      </c>
      <c r="GA147" s="14">
        <v>0</v>
      </c>
      <c r="GH147" s="14">
        <v>0</v>
      </c>
      <c r="GO147" s="14">
        <v>0</v>
      </c>
      <c r="GP147" s="14" t="s">
        <v>1338</v>
      </c>
      <c r="GQ147" s="14">
        <v>70</v>
      </c>
      <c r="GW147" s="14">
        <v>70</v>
      </c>
      <c r="GX147" s="14">
        <v>220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220</v>
      </c>
      <c r="HK147" s="14">
        <v>0</v>
      </c>
      <c r="HL147" s="14">
        <v>150</v>
      </c>
      <c r="HR147" s="14">
        <v>150</v>
      </c>
      <c r="HS147" s="14">
        <v>70</v>
      </c>
      <c r="HY147" s="14">
        <v>70</v>
      </c>
      <c r="IF147" s="14">
        <v>0</v>
      </c>
      <c r="IM147" s="14">
        <v>0</v>
      </c>
      <c r="IN147" s="14">
        <v>220</v>
      </c>
      <c r="IO147" s="14">
        <v>0</v>
      </c>
      <c r="IP147" s="14">
        <v>0</v>
      </c>
      <c r="IQ147" s="14">
        <v>0</v>
      </c>
      <c r="IR147" s="14">
        <v>0</v>
      </c>
      <c r="IS147" s="14">
        <v>0</v>
      </c>
      <c r="IT147" s="14">
        <v>220</v>
      </c>
      <c r="IW147" s="14">
        <v>100</v>
      </c>
      <c r="IZ147" s="14">
        <v>1</v>
      </c>
      <c r="JA147" s="14">
        <v>3</v>
      </c>
      <c r="JB147" s="14">
        <v>1</v>
      </c>
      <c r="JC147" s="14" t="s">
        <v>600</v>
      </c>
      <c r="NF147" s="14" t="s">
        <v>601</v>
      </c>
      <c r="NM147" s="14">
        <v>0</v>
      </c>
      <c r="NN147" s="14">
        <v>150</v>
      </c>
      <c r="NT147" s="14">
        <v>150</v>
      </c>
      <c r="OA147" s="14">
        <v>0</v>
      </c>
      <c r="OH147" s="14">
        <v>0</v>
      </c>
      <c r="OO147" s="14">
        <v>0</v>
      </c>
      <c r="OV147" s="14">
        <v>0</v>
      </c>
      <c r="PC147" s="14">
        <v>0</v>
      </c>
      <c r="PD147" s="14" t="s">
        <v>1338</v>
      </c>
      <c r="PE147" s="14">
        <v>70</v>
      </c>
      <c r="PK147" s="14">
        <v>70</v>
      </c>
      <c r="PL147" s="14">
        <v>220</v>
      </c>
      <c r="PM147" s="14">
        <v>0</v>
      </c>
      <c r="PN147" s="14">
        <v>0</v>
      </c>
      <c r="PO147" s="14">
        <v>0</v>
      </c>
      <c r="PP147" s="14">
        <v>0</v>
      </c>
      <c r="PQ147" s="14">
        <v>0</v>
      </c>
      <c r="PR147" s="14">
        <v>220</v>
      </c>
      <c r="PS147" s="14">
        <v>150</v>
      </c>
      <c r="PY147" s="14">
        <v>150</v>
      </c>
      <c r="QF147" s="14">
        <v>0</v>
      </c>
      <c r="QG147" s="14">
        <v>70</v>
      </c>
      <c r="QM147" s="14">
        <v>70</v>
      </c>
      <c r="QT147" s="14">
        <v>0</v>
      </c>
      <c r="RA147" s="14">
        <v>0</v>
      </c>
      <c r="RB147" s="14">
        <v>220</v>
      </c>
      <c r="RC147" s="14">
        <v>0</v>
      </c>
      <c r="RD147" s="14">
        <v>0</v>
      </c>
      <c r="RE147" s="14">
        <v>0</v>
      </c>
      <c r="RF147" s="14">
        <v>0</v>
      </c>
      <c r="RG147" s="14">
        <v>0</v>
      </c>
      <c r="RH147" s="14">
        <v>220</v>
      </c>
      <c r="RI147" s="14" t="s">
        <v>602</v>
      </c>
      <c r="VL147" s="14" t="s">
        <v>603</v>
      </c>
      <c r="ZO147" s="14" t="s">
        <v>604</v>
      </c>
      <c r="ADR147" s="14" t="s">
        <v>605</v>
      </c>
    </row>
    <row r="148" spans="1:798" x14ac:dyDescent="0.25">
      <c r="A148" s="14">
        <v>224</v>
      </c>
      <c r="B148" s="14" t="s">
        <v>889</v>
      </c>
      <c r="C148" s="16">
        <f t="shared" si="13"/>
        <v>42780</v>
      </c>
      <c r="D148" s="14" t="s">
        <v>1339</v>
      </c>
      <c r="E148" s="14" t="s">
        <v>1340</v>
      </c>
      <c r="F148" s="14" t="s">
        <v>1341</v>
      </c>
      <c r="G148" s="14" t="s">
        <v>1342</v>
      </c>
      <c r="H148" s="14" t="s">
        <v>1343</v>
      </c>
      <c r="I148" s="14" t="s">
        <v>979</v>
      </c>
      <c r="J148" s="14" t="s">
        <v>732</v>
      </c>
      <c r="L148" s="14">
        <v>1</v>
      </c>
      <c r="U148" s="14">
        <v>0</v>
      </c>
      <c r="V148" s="14">
        <v>157</v>
      </c>
      <c r="W148" s="14">
        <v>186</v>
      </c>
      <c r="AB148" s="14">
        <v>343</v>
      </c>
      <c r="AI148" s="14">
        <v>0</v>
      </c>
      <c r="AP148" s="14">
        <v>0</v>
      </c>
      <c r="AW148" s="14">
        <v>0</v>
      </c>
      <c r="BD148" s="14">
        <v>0</v>
      </c>
      <c r="BE148" s="14">
        <v>157</v>
      </c>
      <c r="BF148" s="14">
        <v>186</v>
      </c>
      <c r="BG148" s="14">
        <v>0</v>
      </c>
      <c r="BH148" s="14">
        <v>0</v>
      </c>
      <c r="BI148" s="14">
        <v>0</v>
      </c>
      <c r="BJ148" s="14">
        <v>0</v>
      </c>
      <c r="BK148" s="14">
        <v>343</v>
      </c>
      <c r="BR148" s="14">
        <v>0</v>
      </c>
      <c r="BS148" s="14">
        <v>2</v>
      </c>
      <c r="BT148" s="14">
        <v>2</v>
      </c>
      <c r="BY148" s="14">
        <v>4</v>
      </c>
      <c r="CF148" s="14">
        <v>0</v>
      </c>
      <c r="CM148" s="14">
        <v>0</v>
      </c>
      <c r="CT148" s="14">
        <v>0</v>
      </c>
      <c r="DA148" s="14">
        <v>0</v>
      </c>
      <c r="DB148" s="14">
        <v>2</v>
      </c>
      <c r="DC148" s="14">
        <v>2</v>
      </c>
      <c r="DD148" s="14">
        <v>0</v>
      </c>
      <c r="DE148" s="14">
        <v>0</v>
      </c>
      <c r="DF148" s="14">
        <v>0</v>
      </c>
      <c r="DG148" s="14">
        <v>0</v>
      </c>
      <c r="DH148" s="14">
        <v>4</v>
      </c>
      <c r="DI148" s="14" t="s">
        <v>598</v>
      </c>
      <c r="DJ148" s="14" t="s">
        <v>598</v>
      </c>
      <c r="DK148" s="14" t="s">
        <v>598</v>
      </c>
      <c r="DL148" s="14" t="s">
        <v>598</v>
      </c>
      <c r="DM148" s="14" t="s">
        <v>598</v>
      </c>
      <c r="DN148" s="14" t="s">
        <v>598</v>
      </c>
      <c r="DO148" s="14" t="s">
        <v>597</v>
      </c>
      <c r="DP148" s="14" t="s">
        <v>597</v>
      </c>
      <c r="DQ148" s="14" t="s">
        <v>598</v>
      </c>
      <c r="DR148" s="14" t="s">
        <v>598</v>
      </c>
      <c r="DS148" s="14" t="s">
        <v>598</v>
      </c>
      <c r="DT148" s="14" t="s">
        <v>598</v>
      </c>
      <c r="DU148" s="14" t="s">
        <v>598</v>
      </c>
      <c r="DV148" s="14" t="s">
        <v>598</v>
      </c>
      <c r="DW148" s="14" t="s">
        <v>598</v>
      </c>
      <c r="DX148" s="14" t="s">
        <v>598</v>
      </c>
      <c r="DY148" s="14" t="s">
        <v>598</v>
      </c>
      <c r="DZ148" s="14" t="s">
        <v>598</v>
      </c>
      <c r="EA148" s="14" t="s">
        <v>598</v>
      </c>
      <c r="EB148" s="14" t="s">
        <v>598</v>
      </c>
      <c r="EC148" s="14" t="s">
        <v>598</v>
      </c>
      <c r="ED148" s="14" t="s">
        <v>598</v>
      </c>
      <c r="EE148" s="14" t="s">
        <v>598</v>
      </c>
      <c r="EF148" s="14" t="s">
        <v>598</v>
      </c>
      <c r="EG148" s="14" t="s">
        <v>598</v>
      </c>
      <c r="EH148" s="14" t="s">
        <v>598</v>
      </c>
      <c r="EI148" s="14" t="s">
        <v>598</v>
      </c>
      <c r="EJ148" s="14" t="s">
        <v>598</v>
      </c>
      <c r="EK148" s="14" t="s">
        <v>598</v>
      </c>
      <c r="EL148" s="14" t="s">
        <v>598</v>
      </c>
      <c r="EM148" s="14" t="s">
        <v>598</v>
      </c>
      <c r="EN148" s="14" t="s">
        <v>598</v>
      </c>
      <c r="EO148" s="14" t="s">
        <v>598</v>
      </c>
      <c r="EP148" s="14" t="s">
        <v>598</v>
      </c>
      <c r="EQ148" s="14" t="s">
        <v>598</v>
      </c>
      <c r="ER148" s="14" t="s">
        <v>598</v>
      </c>
      <c r="ES148" s="14">
        <v>19</v>
      </c>
      <c r="ET148" s="14">
        <v>61</v>
      </c>
      <c r="EY148" s="14">
        <v>80</v>
      </c>
      <c r="EZ148" s="14">
        <v>133</v>
      </c>
      <c r="FA148" s="14">
        <v>125</v>
      </c>
      <c r="FF148" s="14">
        <v>258</v>
      </c>
      <c r="FM148" s="14">
        <v>0</v>
      </c>
      <c r="FT148" s="14">
        <v>0</v>
      </c>
      <c r="GA148" s="14">
        <v>0</v>
      </c>
      <c r="GH148" s="14">
        <v>0</v>
      </c>
      <c r="GO148" s="14">
        <v>0</v>
      </c>
      <c r="GP148" s="14" t="s">
        <v>1066</v>
      </c>
      <c r="GQ148" s="14">
        <v>5</v>
      </c>
      <c r="GW148" s="14">
        <v>5</v>
      </c>
      <c r="GX148" s="14">
        <v>157</v>
      </c>
      <c r="GY148" s="14">
        <v>186</v>
      </c>
      <c r="GZ148" s="14">
        <v>0</v>
      </c>
      <c r="HA148" s="14">
        <v>0</v>
      </c>
      <c r="HB148" s="14">
        <v>0</v>
      </c>
      <c r="HC148" s="14">
        <v>0</v>
      </c>
      <c r="HD148" s="14">
        <v>343</v>
      </c>
      <c r="HK148" s="14">
        <v>0</v>
      </c>
      <c r="HL148" s="14">
        <v>157</v>
      </c>
      <c r="HM148" s="14">
        <v>186</v>
      </c>
      <c r="HR148" s="14">
        <v>343</v>
      </c>
      <c r="HY148" s="14">
        <v>0</v>
      </c>
      <c r="IF148" s="14">
        <v>0</v>
      </c>
      <c r="IM148" s="14">
        <v>0</v>
      </c>
      <c r="IN148" s="14">
        <v>157</v>
      </c>
      <c r="IO148" s="14">
        <v>186</v>
      </c>
      <c r="IP148" s="14">
        <v>0</v>
      </c>
      <c r="IQ148" s="14">
        <v>0</v>
      </c>
      <c r="IR148" s="14">
        <v>0</v>
      </c>
      <c r="IS148" s="14">
        <v>0</v>
      </c>
      <c r="IT148" s="14">
        <v>343</v>
      </c>
      <c r="IU148" s="14">
        <v>1</v>
      </c>
      <c r="IW148" s="14">
        <v>99</v>
      </c>
      <c r="IZ148" s="14">
        <v>1</v>
      </c>
      <c r="JA148" s="14">
        <v>2</v>
      </c>
      <c r="JB148" s="14">
        <v>1</v>
      </c>
      <c r="JC148" s="14" t="s">
        <v>600</v>
      </c>
      <c r="NF148" s="14" t="s">
        <v>601</v>
      </c>
      <c r="NG148" s="14">
        <v>19</v>
      </c>
      <c r="NH148" s="14">
        <v>61</v>
      </c>
      <c r="NM148" s="14">
        <v>80</v>
      </c>
      <c r="NN148" s="14">
        <v>133</v>
      </c>
      <c r="NO148" s="14">
        <v>125</v>
      </c>
      <c r="NT148" s="14">
        <v>258</v>
      </c>
      <c r="OA148" s="14">
        <v>0</v>
      </c>
      <c r="OH148" s="14">
        <v>0</v>
      </c>
      <c r="OO148" s="14">
        <v>0</v>
      </c>
      <c r="OV148" s="14">
        <v>0</v>
      </c>
      <c r="PC148" s="14">
        <v>0</v>
      </c>
      <c r="PD148" s="14" t="s">
        <v>1066</v>
      </c>
      <c r="PE148" s="14">
        <v>5</v>
      </c>
      <c r="PK148" s="14">
        <v>5</v>
      </c>
      <c r="PL148" s="14">
        <v>157</v>
      </c>
      <c r="PM148" s="14">
        <v>186</v>
      </c>
      <c r="PN148" s="14">
        <v>0</v>
      </c>
      <c r="PO148" s="14">
        <v>0</v>
      </c>
      <c r="PP148" s="14">
        <v>0</v>
      </c>
      <c r="PQ148" s="14">
        <v>0</v>
      </c>
      <c r="PR148" s="14">
        <v>343</v>
      </c>
      <c r="PS148" s="14">
        <v>157</v>
      </c>
      <c r="PT148" s="14">
        <v>186</v>
      </c>
      <c r="PY148" s="14">
        <v>343</v>
      </c>
      <c r="QF148" s="14">
        <v>0</v>
      </c>
      <c r="QM148" s="14">
        <v>0</v>
      </c>
      <c r="QT148" s="14">
        <v>0</v>
      </c>
      <c r="RA148" s="14">
        <v>0</v>
      </c>
      <c r="RB148" s="14">
        <v>157</v>
      </c>
      <c r="RC148" s="14">
        <v>186</v>
      </c>
      <c r="RD148" s="14">
        <v>0</v>
      </c>
      <c r="RE148" s="14">
        <v>0</v>
      </c>
      <c r="RF148" s="14">
        <v>0</v>
      </c>
      <c r="RG148" s="14">
        <v>0</v>
      </c>
      <c r="RH148" s="14">
        <v>343</v>
      </c>
      <c r="RI148" s="14" t="s">
        <v>602</v>
      </c>
      <c r="VL148" s="14" t="s">
        <v>603</v>
      </c>
      <c r="ZO148" s="14" t="s">
        <v>604</v>
      </c>
      <c r="ADR148" s="14" t="s">
        <v>605</v>
      </c>
    </row>
    <row r="149" spans="1:798" x14ac:dyDescent="0.25">
      <c r="A149" s="14">
        <v>61</v>
      </c>
      <c r="B149" s="14" t="s">
        <v>889</v>
      </c>
      <c r="C149" s="16">
        <f>VLOOKUP(A149,[4]RawData!Z:AA,2,FALSE)</f>
        <v>42746.566666666666</v>
      </c>
      <c r="D149" s="14" t="s">
        <v>1344</v>
      </c>
      <c r="E149" s="14" t="s">
        <v>1345</v>
      </c>
      <c r="F149" s="14" t="s">
        <v>1346</v>
      </c>
      <c r="G149" s="14" t="s">
        <v>1347</v>
      </c>
      <c r="H149" s="14">
        <v>2074346320</v>
      </c>
      <c r="I149" s="14" t="s">
        <v>611</v>
      </c>
      <c r="J149" s="14" t="s">
        <v>596</v>
      </c>
      <c r="L149" s="14">
        <v>1</v>
      </c>
      <c r="U149" s="14">
        <v>0</v>
      </c>
      <c r="V149" s="14">
        <v>945</v>
      </c>
      <c r="AB149" s="14">
        <v>945</v>
      </c>
      <c r="AC149" s="14">
        <v>867</v>
      </c>
      <c r="AI149" s="14">
        <v>867</v>
      </c>
      <c r="AP149" s="14">
        <v>0</v>
      </c>
      <c r="AW149" s="14">
        <v>0</v>
      </c>
      <c r="BD149" s="14">
        <v>0</v>
      </c>
      <c r="BE149" s="14">
        <v>1812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1812</v>
      </c>
      <c r="BR149" s="14">
        <v>0</v>
      </c>
      <c r="BS149" s="14">
        <v>1</v>
      </c>
      <c r="BY149" s="14">
        <v>1</v>
      </c>
      <c r="BZ149" s="14">
        <v>1</v>
      </c>
      <c r="CF149" s="14">
        <v>1</v>
      </c>
      <c r="CM149" s="14">
        <v>0</v>
      </c>
      <c r="CT149" s="14">
        <v>0</v>
      </c>
      <c r="DA149" s="14">
        <v>0</v>
      </c>
      <c r="DB149" s="14">
        <v>2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2</v>
      </c>
      <c r="DI149" s="14" t="s">
        <v>598</v>
      </c>
      <c r="DJ149" s="14" t="s">
        <v>598</v>
      </c>
      <c r="DK149" s="14" t="s">
        <v>598</v>
      </c>
      <c r="DL149" s="14" t="s">
        <v>598</v>
      </c>
      <c r="DM149" s="14" t="s">
        <v>598</v>
      </c>
      <c r="DN149" s="14" t="s">
        <v>598</v>
      </c>
      <c r="DO149" s="14" t="s">
        <v>597</v>
      </c>
      <c r="DP149" s="14" t="s">
        <v>598</v>
      </c>
      <c r="DQ149" s="14" t="s">
        <v>598</v>
      </c>
      <c r="DR149" s="14" t="s">
        <v>598</v>
      </c>
      <c r="DS149" s="14" t="s">
        <v>598</v>
      </c>
      <c r="DT149" s="14" t="s">
        <v>598</v>
      </c>
      <c r="DU149" s="14" t="s">
        <v>597</v>
      </c>
      <c r="DV149" s="14" t="s">
        <v>598</v>
      </c>
      <c r="DW149" s="14" t="s">
        <v>598</v>
      </c>
      <c r="DX149" s="14" t="s">
        <v>598</v>
      </c>
      <c r="DY149" s="14" t="s">
        <v>598</v>
      </c>
      <c r="DZ149" s="14" t="s">
        <v>598</v>
      </c>
      <c r="EA149" s="14" t="s">
        <v>598</v>
      </c>
      <c r="EB149" s="14" t="s">
        <v>598</v>
      </c>
      <c r="EC149" s="14" t="s">
        <v>598</v>
      </c>
      <c r="ED149" s="14" t="s">
        <v>598</v>
      </c>
      <c r="EE149" s="14" t="s">
        <v>598</v>
      </c>
      <c r="EF149" s="14" t="s">
        <v>598</v>
      </c>
      <c r="EG149" s="14" t="s">
        <v>598</v>
      </c>
      <c r="EH149" s="14" t="s">
        <v>598</v>
      </c>
      <c r="EI149" s="14" t="s">
        <v>598</v>
      </c>
      <c r="EJ149" s="14" t="s">
        <v>598</v>
      </c>
      <c r="EK149" s="14" t="s">
        <v>598</v>
      </c>
      <c r="EL149" s="14" t="s">
        <v>598</v>
      </c>
      <c r="EM149" s="14" t="s">
        <v>598</v>
      </c>
      <c r="EN149" s="14" t="s">
        <v>598</v>
      </c>
      <c r="EO149" s="14" t="s">
        <v>598</v>
      </c>
      <c r="EP149" s="14" t="s">
        <v>598</v>
      </c>
      <c r="EQ149" s="14" t="s">
        <v>598</v>
      </c>
      <c r="ER149" s="14" t="s">
        <v>598</v>
      </c>
      <c r="ES149" s="14">
        <v>874</v>
      </c>
      <c r="EY149" s="14">
        <v>874</v>
      </c>
      <c r="EZ149" s="14">
        <v>43</v>
      </c>
      <c r="FF149" s="14">
        <v>43</v>
      </c>
      <c r="FG149" s="14">
        <v>415</v>
      </c>
      <c r="FM149" s="14">
        <v>415</v>
      </c>
      <c r="FT149" s="14">
        <v>0</v>
      </c>
      <c r="GA149" s="14">
        <v>0</v>
      </c>
      <c r="GH149" s="14">
        <v>0</v>
      </c>
      <c r="GI149" s="14">
        <v>480</v>
      </c>
      <c r="GO149" s="14">
        <v>480</v>
      </c>
      <c r="GW149" s="14">
        <v>0</v>
      </c>
      <c r="GX149" s="14">
        <v>1812</v>
      </c>
      <c r="GY149" s="14">
        <v>0</v>
      </c>
      <c r="GZ149" s="14">
        <v>0</v>
      </c>
      <c r="HA149" s="14">
        <v>0</v>
      </c>
      <c r="HB149" s="14">
        <v>0</v>
      </c>
      <c r="HC149" s="14">
        <v>0</v>
      </c>
      <c r="HD149" s="14">
        <v>1812</v>
      </c>
      <c r="HE149" s="14">
        <v>65</v>
      </c>
      <c r="HK149" s="14">
        <v>65</v>
      </c>
      <c r="HL149" s="14">
        <v>923</v>
      </c>
      <c r="HR149" s="14">
        <v>923</v>
      </c>
      <c r="HS149" s="14">
        <v>662</v>
      </c>
      <c r="HY149" s="14">
        <v>662</v>
      </c>
      <c r="HZ149" s="14">
        <v>162</v>
      </c>
      <c r="IF149" s="14">
        <v>162</v>
      </c>
      <c r="IM149" s="14">
        <v>0</v>
      </c>
      <c r="IN149" s="14">
        <v>1812</v>
      </c>
      <c r="IO149" s="14">
        <v>0</v>
      </c>
      <c r="IP149" s="14">
        <v>0</v>
      </c>
      <c r="IQ149" s="14">
        <v>0</v>
      </c>
      <c r="IR149" s="14">
        <v>0</v>
      </c>
      <c r="IS149" s="14">
        <v>0</v>
      </c>
      <c r="IT149" s="14">
        <v>1812</v>
      </c>
      <c r="IU149" s="14">
        <v>25</v>
      </c>
      <c r="IW149" s="14">
        <v>75</v>
      </c>
      <c r="IZ149" s="14">
        <v>1</v>
      </c>
      <c r="JA149" s="14">
        <v>2</v>
      </c>
      <c r="JB149" s="14">
        <v>2</v>
      </c>
      <c r="JC149" s="14" t="s">
        <v>600</v>
      </c>
      <c r="NF149" s="14" t="s">
        <v>601</v>
      </c>
      <c r="NG149" s="14">
        <v>873</v>
      </c>
      <c r="NM149" s="14">
        <v>873</v>
      </c>
      <c r="NN149" s="14">
        <v>43</v>
      </c>
      <c r="NT149" s="14">
        <v>43</v>
      </c>
      <c r="OA149" s="14">
        <v>0</v>
      </c>
      <c r="OH149" s="14">
        <v>0</v>
      </c>
      <c r="OO149" s="14">
        <v>0</v>
      </c>
      <c r="OV149" s="14">
        <v>0</v>
      </c>
      <c r="OW149" s="14">
        <v>29</v>
      </c>
      <c r="PC149" s="14">
        <v>29</v>
      </c>
      <c r="PK149" s="14">
        <v>0</v>
      </c>
      <c r="PL149" s="14">
        <v>945</v>
      </c>
      <c r="PM149" s="14">
        <v>0</v>
      </c>
      <c r="PN149" s="14">
        <v>0</v>
      </c>
      <c r="PO149" s="14">
        <v>0</v>
      </c>
      <c r="PP149" s="14">
        <v>0</v>
      </c>
      <c r="PQ149" s="14">
        <v>0</v>
      </c>
      <c r="PR149" s="14">
        <v>945</v>
      </c>
      <c r="PS149" s="14">
        <v>348</v>
      </c>
      <c r="PY149" s="14">
        <v>348</v>
      </c>
      <c r="QF149" s="14">
        <v>0</v>
      </c>
      <c r="QG149" s="14">
        <v>597</v>
      </c>
      <c r="QM149" s="14">
        <v>597</v>
      </c>
      <c r="QT149" s="14">
        <v>0</v>
      </c>
      <c r="RA149" s="14">
        <v>0</v>
      </c>
      <c r="RB149" s="14">
        <v>945</v>
      </c>
      <c r="RC149" s="14">
        <v>0</v>
      </c>
      <c r="RD149" s="14">
        <v>0</v>
      </c>
      <c r="RE149" s="14">
        <v>0</v>
      </c>
      <c r="RF149" s="14">
        <v>0</v>
      </c>
      <c r="RG149" s="14">
        <v>0</v>
      </c>
      <c r="RH149" s="14">
        <v>945</v>
      </c>
      <c r="RI149" s="14" t="s">
        <v>602</v>
      </c>
      <c r="RP149" s="14">
        <v>0</v>
      </c>
      <c r="RW149" s="14">
        <v>0</v>
      </c>
      <c r="RX149" s="14">
        <v>415</v>
      </c>
      <c r="SD149" s="14">
        <v>415</v>
      </c>
      <c r="SK149" s="14">
        <v>0</v>
      </c>
      <c r="SR149" s="14">
        <v>0</v>
      </c>
      <c r="SY149" s="14">
        <v>0</v>
      </c>
      <c r="SZ149" s="14">
        <v>452</v>
      </c>
      <c r="TF149" s="14">
        <v>452</v>
      </c>
      <c r="TN149" s="14">
        <v>0</v>
      </c>
      <c r="TO149" s="14">
        <v>867</v>
      </c>
      <c r="TP149" s="14">
        <v>0</v>
      </c>
      <c r="TQ149" s="14">
        <v>0</v>
      </c>
      <c r="TR149" s="14">
        <v>0</v>
      </c>
      <c r="TS149" s="14">
        <v>0</v>
      </c>
      <c r="TT149" s="14">
        <v>0</v>
      </c>
      <c r="TU149" s="14">
        <v>867</v>
      </c>
      <c r="TV149" s="14">
        <v>575</v>
      </c>
      <c r="UB149" s="14">
        <v>575</v>
      </c>
      <c r="UC149" s="14">
        <v>65</v>
      </c>
      <c r="UI149" s="14">
        <v>65</v>
      </c>
      <c r="UJ149" s="14">
        <v>65</v>
      </c>
      <c r="UP149" s="14">
        <v>65</v>
      </c>
      <c r="UQ149" s="14">
        <v>162</v>
      </c>
      <c r="UW149" s="14">
        <v>162</v>
      </c>
      <c r="VD149" s="14">
        <v>0</v>
      </c>
      <c r="VE149" s="14">
        <v>867</v>
      </c>
      <c r="VF149" s="14">
        <v>0</v>
      </c>
      <c r="VG149" s="14">
        <v>0</v>
      </c>
      <c r="VH149" s="14">
        <v>0</v>
      </c>
      <c r="VI149" s="14">
        <v>0</v>
      </c>
      <c r="VJ149" s="14">
        <v>0</v>
      </c>
      <c r="VK149" s="14">
        <v>867</v>
      </c>
      <c r="VL149" s="14" t="s">
        <v>603</v>
      </c>
      <c r="ZO149" s="14" t="s">
        <v>604</v>
      </c>
      <c r="ADR149" s="14" t="s">
        <v>605</v>
      </c>
    </row>
    <row r="150" spans="1:798" x14ac:dyDescent="0.25">
      <c r="A150" s="14">
        <v>36</v>
      </c>
      <c r="B150" s="14" t="s">
        <v>889</v>
      </c>
      <c r="C150" s="16">
        <f>VLOOKUP(A150,[4]RawData!Z:AA,2,FALSE)</f>
        <v>42745.513888888891</v>
      </c>
      <c r="D150" s="14" t="s">
        <v>1348</v>
      </c>
      <c r="E150" s="14" t="s">
        <v>1349</v>
      </c>
      <c r="F150" s="14" t="s">
        <v>1350</v>
      </c>
      <c r="G150" s="14" t="s">
        <v>1351</v>
      </c>
      <c r="H150" s="14">
        <v>31655733680</v>
      </c>
      <c r="I150" s="14" t="s">
        <v>979</v>
      </c>
      <c r="J150" s="14" t="s">
        <v>732</v>
      </c>
      <c r="L150" s="14">
        <v>2</v>
      </c>
      <c r="M150" s="14">
        <v>6</v>
      </c>
      <c r="N150" s="14" t="s">
        <v>1352</v>
      </c>
      <c r="U150" s="14">
        <v>0</v>
      </c>
      <c r="AB150" s="14">
        <v>0</v>
      </c>
      <c r="AI150" s="14">
        <v>0</v>
      </c>
      <c r="AP150" s="14">
        <v>0</v>
      </c>
      <c r="AW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R150" s="14">
        <v>0</v>
      </c>
      <c r="BY150" s="14">
        <v>0</v>
      </c>
      <c r="CF150" s="14">
        <v>0</v>
      </c>
      <c r="CM150" s="14">
        <v>0</v>
      </c>
      <c r="CT150" s="14">
        <v>0</v>
      </c>
      <c r="DA150" s="14">
        <v>0</v>
      </c>
      <c r="DB150" s="14">
        <v>0</v>
      </c>
      <c r="DC150" s="14">
        <v>0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 t="s">
        <v>598</v>
      </c>
      <c r="DJ150" s="14" t="s">
        <v>598</v>
      </c>
      <c r="DK150" s="14" t="s">
        <v>598</v>
      </c>
      <c r="DL150" s="14" t="s">
        <v>598</v>
      </c>
      <c r="DM150" s="14" t="s">
        <v>598</v>
      </c>
      <c r="DN150" s="14" t="s">
        <v>598</v>
      </c>
      <c r="DO150" s="14" t="s">
        <v>598</v>
      </c>
      <c r="DP150" s="14" t="s">
        <v>598</v>
      </c>
      <c r="DQ150" s="14" t="s">
        <v>598</v>
      </c>
      <c r="DR150" s="14" t="s">
        <v>598</v>
      </c>
      <c r="DS150" s="14" t="s">
        <v>598</v>
      </c>
      <c r="DT150" s="14" t="s">
        <v>598</v>
      </c>
      <c r="DU150" s="14" t="s">
        <v>598</v>
      </c>
      <c r="DV150" s="14" t="s">
        <v>598</v>
      </c>
      <c r="DW150" s="14" t="s">
        <v>598</v>
      </c>
      <c r="DX150" s="14" t="s">
        <v>598</v>
      </c>
      <c r="DY150" s="14" t="s">
        <v>598</v>
      </c>
      <c r="DZ150" s="14" t="s">
        <v>598</v>
      </c>
      <c r="EA150" s="14" t="s">
        <v>598</v>
      </c>
      <c r="EB150" s="14" t="s">
        <v>598</v>
      </c>
      <c r="EC150" s="14" t="s">
        <v>598</v>
      </c>
      <c r="ED150" s="14" t="s">
        <v>598</v>
      </c>
      <c r="EE150" s="14" t="s">
        <v>598</v>
      </c>
      <c r="EF150" s="14" t="s">
        <v>598</v>
      </c>
      <c r="EG150" s="14" t="s">
        <v>598</v>
      </c>
      <c r="EH150" s="14" t="s">
        <v>598</v>
      </c>
      <c r="EI150" s="14" t="s">
        <v>598</v>
      </c>
      <c r="EJ150" s="14" t="s">
        <v>598</v>
      </c>
      <c r="EK150" s="14" t="s">
        <v>598</v>
      </c>
      <c r="EL150" s="14" t="s">
        <v>598</v>
      </c>
      <c r="EM150" s="14" t="s">
        <v>598</v>
      </c>
      <c r="EN150" s="14" t="s">
        <v>598</v>
      </c>
      <c r="EO150" s="14" t="s">
        <v>598</v>
      </c>
      <c r="EP150" s="14" t="s">
        <v>598</v>
      </c>
      <c r="EQ150" s="14" t="s">
        <v>598</v>
      </c>
      <c r="ER150" s="14" t="s">
        <v>598</v>
      </c>
      <c r="EY150" s="14">
        <v>0</v>
      </c>
      <c r="FF150" s="14">
        <v>0</v>
      </c>
      <c r="FM150" s="14">
        <v>0</v>
      </c>
      <c r="FT150" s="14">
        <v>0</v>
      </c>
      <c r="GA150" s="14">
        <v>0</v>
      </c>
      <c r="GH150" s="14">
        <v>0</v>
      </c>
      <c r="GO150" s="14">
        <v>0</v>
      </c>
      <c r="GW150" s="14">
        <v>0</v>
      </c>
      <c r="GX150" s="14">
        <v>0</v>
      </c>
      <c r="GY150" s="14">
        <v>0</v>
      </c>
      <c r="GZ150" s="14">
        <v>0</v>
      </c>
      <c r="HA150" s="14">
        <v>0</v>
      </c>
      <c r="HB150" s="14">
        <v>0</v>
      </c>
      <c r="HC150" s="14">
        <v>0</v>
      </c>
      <c r="HD150" s="14">
        <v>0</v>
      </c>
      <c r="HK150" s="14">
        <v>0</v>
      </c>
      <c r="HR150" s="14">
        <v>0</v>
      </c>
      <c r="HY150" s="14">
        <v>0</v>
      </c>
      <c r="IF150" s="14">
        <v>0</v>
      </c>
      <c r="IM150" s="14">
        <v>0</v>
      </c>
      <c r="IN150" s="14">
        <v>0</v>
      </c>
      <c r="IO150" s="14">
        <v>0</v>
      </c>
      <c r="IP150" s="14">
        <v>0</v>
      </c>
      <c r="IQ150" s="14">
        <v>0</v>
      </c>
      <c r="IR150" s="14">
        <v>0</v>
      </c>
      <c r="IS150" s="14">
        <v>0</v>
      </c>
      <c r="IT150" s="14">
        <v>0</v>
      </c>
      <c r="IZ150" s="14">
        <v>1</v>
      </c>
      <c r="JA150" s="14">
        <v>3</v>
      </c>
      <c r="JB150" s="14">
        <v>1</v>
      </c>
      <c r="JC150" s="14" t="s">
        <v>600</v>
      </c>
      <c r="NF150" s="14" t="s">
        <v>601</v>
      </c>
      <c r="RI150" s="14" t="s">
        <v>602</v>
      </c>
      <c r="VL150" s="14" t="s">
        <v>603</v>
      </c>
      <c r="ZO150" s="14" t="s">
        <v>604</v>
      </c>
      <c r="ADR150" s="14" t="s">
        <v>605</v>
      </c>
    </row>
    <row r="151" spans="1:798" x14ac:dyDescent="0.25">
      <c r="A151" s="14">
        <v>133</v>
      </c>
      <c r="B151" s="14" t="s">
        <v>889</v>
      </c>
      <c r="C151" s="16">
        <f>VLOOKUP(A151,[4]RawData!Z:AA,2,FALSE)</f>
        <v>42779.3</v>
      </c>
      <c r="D151" s="14" t="s">
        <v>1353</v>
      </c>
      <c r="E151" s="14" t="s">
        <v>1354</v>
      </c>
      <c r="F151" s="14" t="s">
        <v>652</v>
      </c>
      <c r="G151" s="14" t="s">
        <v>1355</v>
      </c>
      <c r="H151" s="14">
        <v>35226631145</v>
      </c>
      <c r="I151" s="14" t="s">
        <v>938</v>
      </c>
      <c r="J151" s="14" t="s">
        <v>732</v>
      </c>
      <c r="L151" s="14">
        <v>1</v>
      </c>
      <c r="U151" s="14">
        <v>0</v>
      </c>
      <c r="W151" s="14">
        <v>100</v>
      </c>
      <c r="AB151" s="14">
        <v>100</v>
      </c>
      <c r="AI151" s="14">
        <v>0</v>
      </c>
      <c r="AP151" s="14">
        <v>0</v>
      </c>
      <c r="AW151" s="14">
        <v>0</v>
      </c>
      <c r="BD151" s="14">
        <v>0</v>
      </c>
      <c r="BE151" s="14">
        <v>0</v>
      </c>
      <c r="BF151" s="14">
        <v>100</v>
      </c>
      <c r="BG151" s="14">
        <v>0</v>
      </c>
      <c r="BH151" s="14">
        <v>0</v>
      </c>
      <c r="BI151" s="14">
        <v>0</v>
      </c>
      <c r="BJ151" s="14">
        <v>0</v>
      </c>
      <c r="BK151" s="14">
        <v>100</v>
      </c>
      <c r="BR151" s="14">
        <v>0</v>
      </c>
      <c r="BT151" s="14">
        <v>4</v>
      </c>
      <c r="BY151" s="14">
        <v>4</v>
      </c>
      <c r="CF151" s="14">
        <v>0</v>
      </c>
      <c r="CM151" s="14">
        <v>0</v>
      </c>
      <c r="CT151" s="14">
        <v>0</v>
      </c>
      <c r="DA151" s="14">
        <v>0</v>
      </c>
      <c r="DB151" s="14">
        <v>0</v>
      </c>
      <c r="DC151" s="14">
        <v>4</v>
      </c>
      <c r="DD151" s="14">
        <v>0</v>
      </c>
      <c r="DE151" s="14">
        <v>0</v>
      </c>
      <c r="DF151" s="14">
        <v>0</v>
      </c>
      <c r="DG151" s="14">
        <v>0</v>
      </c>
      <c r="DH151" s="14">
        <v>4</v>
      </c>
      <c r="DI151" s="14" t="s">
        <v>598</v>
      </c>
      <c r="DJ151" s="14" t="s">
        <v>598</v>
      </c>
      <c r="DK151" s="14" t="s">
        <v>598</v>
      </c>
      <c r="DL151" s="14" t="s">
        <v>598</v>
      </c>
      <c r="DM151" s="14" t="s">
        <v>598</v>
      </c>
      <c r="DN151" s="14" t="s">
        <v>598</v>
      </c>
      <c r="DO151" s="14" t="s">
        <v>598</v>
      </c>
      <c r="DP151" s="14" t="s">
        <v>597</v>
      </c>
      <c r="DQ151" s="14" t="s">
        <v>598</v>
      </c>
      <c r="DR151" s="14" t="s">
        <v>598</v>
      </c>
      <c r="DS151" s="14" t="s">
        <v>598</v>
      </c>
      <c r="DT151" s="14" t="s">
        <v>598</v>
      </c>
      <c r="DU151" s="14" t="s">
        <v>598</v>
      </c>
      <c r="DV151" s="14" t="s">
        <v>598</v>
      </c>
      <c r="DW151" s="14" t="s">
        <v>598</v>
      </c>
      <c r="DX151" s="14" t="s">
        <v>598</v>
      </c>
      <c r="DY151" s="14" t="s">
        <v>598</v>
      </c>
      <c r="DZ151" s="14" t="s">
        <v>598</v>
      </c>
      <c r="EA151" s="14" t="s">
        <v>598</v>
      </c>
      <c r="EB151" s="14" t="s">
        <v>598</v>
      </c>
      <c r="EC151" s="14" t="s">
        <v>598</v>
      </c>
      <c r="ED151" s="14" t="s">
        <v>598</v>
      </c>
      <c r="EE151" s="14" t="s">
        <v>598</v>
      </c>
      <c r="EF151" s="14" t="s">
        <v>598</v>
      </c>
      <c r="EG151" s="14" t="s">
        <v>598</v>
      </c>
      <c r="EH151" s="14" t="s">
        <v>598</v>
      </c>
      <c r="EI151" s="14" t="s">
        <v>598</v>
      </c>
      <c r="EJ151" s="14" t="s">
        <v>598</v>
      </c>
      <c r="EK151" s="14" t="s">
        <v>598</v>
      </c>
      <c r="EL151" s="14" t="s">
        <v>598</v>
      </c>
      <c r="EM151" s="14" t="s">
        <v>598</v>
      </c>
      <c r="EN151" s="14" t="s">
        <v>598</v>
      </c>
      <c r="EO151" s="14" t="s">
        <v>598</v>
      </c>
      <c r="EP151" s="14" t="s">
        <v>598</v>
      </c>
      <c r="EQ151" s="14" t="s">
        <v>598</v>
      </c>
      <c r="ER151" s="14" t="s">
        <v>598</v>
      </c>
      <c r="EY151" s="14">
        <v>0</v>
      </c>
      <c r="FF151" s="14">
        <v>0</v>
      </c>
      <c r="FM151" s="14">
        <v>0</v>
      </c>
      <c r="FT151" s="14">
        <v>0</v>
      </c>
      <c r="GA151" s="14">
        <v>0</v>
      </c>
      <c r="GH151" s="14">
        <v>0</v>
      </c>
      <c r="GO151" s="14">
        <v>0</v>
      </c>
      <c r="GP151" s="14" t="s">
        <v>1356</v>
      </c>
      <c r="GR151" s="14">
        <v>100</v>
      </c>
      <c r="GW151" s="14">
        <v>100</v>
      </c>
      <c r="GX151" s="14">
        <v>0</v>
      </c>
      <c r="GY151" s="14">
        <v>100</v>
      </c>
      <c r="GZ151" s="14">
        <v>0</v>
      </c>
      <c r="HA151" s="14">
        <v>0</v>
      </c>
      <c r="HB151" s="14">
        <v>0</v>
      </c>
      <c r="HC151" s="14">
        <v>0</v>
      </c>
      <c r="HD151" s="14">
        <v>100</v>
      </c>
      <c r="HK151" s="14">
        <v>0</v>
      </c>
      <c r="HM151" s="14">
        <v>40</v>
      </c>
      <c r="HR151" s="14">
        <v>40</v>
      </c>
      <c r="HT151" s="14">
        <v>60</v>
      </c>
      <c r="HY151" s="14">
        <v>60</v>
      </c>
      <c r="IF151" s="14">
        <v>0</v>
      </c>
      <c r="IM151" s="14">
        <v>0</v>
      </c>
      <c r="IN151" s="14">
        <v>0</v>
      </c>
      <c r="IO151" s="14">
        <v>100</v>
      </c>
      <c r="IP151" s="14">
        <v>0</v>
      </c>
      <c r="IQ151" s="14">
        <v>0</v>
      </c>
      <c r="IR151" s="14">
        <v>0</v>
      </c>
      <c r="IS151" s="14">
        <v>0</v>
      </c>
      <c r="IT151" s="14">
        <v>100</v>
      </c>
      <c r="IW151" s="14">
        <v>100</v>
      </c>
      <c r="IZ151" s="14">
        <v>1</v>
      </c>
      <c r="JA151" s="14">
        <v>3</v>
      </c>
      <c r="JB151" s="14">
        <v>1</v>
      </c>
      <c r="JC151" s="14" t="s">
        <v>600</v>
      </c>
      <c r="NF151" s="14" t="s">
        <v>601</v>
      </c>
      <c r="NM151" s="14">
        <v>0</v>
      </c>
      <c r="NT151" s="14">
        <v>0</v>
      </c>
      <c r="OA151" s="14">
        <v>0</v>
      </c>
      <c r="OH151" s="14">
        <v>0</v>
      </c>
      <c r="OO151" s="14">
        <v>0</v>
      </c>
      <c r="OV151" s="14">
        <v>0</v>
      </c>
      <c r="PC151" s="14">
        <v>0</v>
      </c>
      <c r="PD151" s="14" t="s">
        <v>1236</v>
      </c>
      <c r="PF151" s="14">
        <v>100</v>
      </c>
      <c r="PK151" s="14">
        <v>100</v>
      </c>
      <c r="PL151" s="14">
        <v>0</v>
      </c>
      <c r="PM151" s="14">
        <v>100</v>
      </c>
      <c r="PN151" s="14">
        <v>0</v>
      </c>
      <c r="PO151" s="14">
        <v>0</v>
      </c>
      <c r="PP151" s="14">
        <v>0</v>
      </c>
      <c r="PQ151" s="14">
        <v>0</v>
      </c>
      <c r="PR151" s="14">
        <v>100</v>
      </c>
      <c r="PY151" s="14">
        <v>0</v>
      </c>
      <c r="QF151" s="14">
        <v>0</v>
      </c>
      <c r="QH151" s="14">
        <v>60</v>
      </c>
      <c r="QM151" s="14">
        <v>60</v>
      </c>
      <c r="QO151" s="14">
        <v>40</v>
      </c>
      <c r="QT151" s="14">
        <v>40</v>
      </c>
      <c r="RA151" s="14">
        <v>0</v>
      </c>
      <c r="RB151" s="14">
        <v>0</v>
      </c>
      <c r="RC151" s="14">
        <v>100</v>
      </c>
      <c r="RD151" s="14">
        <v>0</v>
      </c>
      <c r="RE151" s="14">
        <v>0</v>
      </c>
      <c r="RF151" s="14">
        <v>0</v>
      </c>
      <c r="RG151" s="14">
        <v>0</v>
      </c>
      <c r="RH151" s="14">
        <v>100</v>
      </c>
      <c r="RI151" s="14" t="s">
        <v>602</v>
      </c>
      <c r="VL151" s="14" t="s">
        <v>603</v>
      </c>
      <c r="ZO151" s="14" t="s">
        <v>604</v>
      </c>
      <c r="ADR151" s="14" t="s">
        <v>605</v>
      </c>
    </row>
    <row r="152" spans="1:798" x14ac:dyDescent="0.25">
      <c r="A152" s="14">
        <v>46</v>
      </c>
      <c r="B152" s="14" t="s">
        <v>889</v>
      </c>
      <c r="C152" s="16">
        <f>VLOOKUP(A152,[4]RawData!Z:AA,2,FALSE)</f>
        <v>42745.581250000003</v>
      </c>
      <c r="D152" s="14" t="s">
        <v>1357</v>
      </c>
      <c r="E152" s="14" t="s">
        <v>1358</v>
      </c>
      <c r="F152" s="14" t="s">
        <v>1359</v>
      </c>
      <c r="G152" s="14" t="s">
        <v>1360</v>
      </c>
      <c r="H152" s="14" t="s">
        <v>1361</v>
      </c>
      <c r="I152" s="14" t="s">
        <v>1078</v>
      </c>
      <c r="J152" s="14" t="s">
        <v>732</v>
      </c>
      <c r="L152" s="14">
        <v>1</v>
      </c>
      <c r="U152" s="14">
        <v>0</v>
      </c>
      <c r="V152" s="14">
        <v>200</v>
      </c>
      <c r="AB152" s="14">
        <v>200</v>
      </c>
      <c r="AI152" s="14">
        <v>0</v>
      </c>
      <c r="AP152" s="14">
        <v>0</v>
      </c>
      <c r="AW152" s="14">
        <v>0</v>
      </c>
      <c r="BD152" s="14">
        <v>0</v>
      </c>
      <c r="BE152" s="14">
        <v>200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200</v>
      </c>
      <c r="BR152" s="14">
        <v>0</v>
      </c>
      <c r="BS152" s="14">
        <v>1</v>
      </c>
      <c r="BY152" s="14">
        <v>1</v>
      </c>
      <c r="CF152" s="14">
        <v>0</v>
      </c>
      <c r="CM152" s="14">
        <v>0</v>
      </c>
      <c r="CT152" s="14">
        <v>0</v>
      </c>
      <c r="DA152" s="14">
        <v>0</v>
      </c>
      <c r="DB152" s="14">
        <v>1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1</v>
      </c>
      <c r="DI152" s="14" t="s">
        <v>598</v>
      </c>
      <c r="DJ152" s="14" t="s">
        <v>598</v>
      </c>
      <c r="DK152" s="14" t="s">
        <v>598</v>
      </c>
      <c r="DL152" s="14" t="s">
        <v>598</v>
      </c>
      <c r="DM152" s="14" t="s">
        <v>598</v>
      </c>
      <c r="DN152" s="14" t="s">
        <v>598</v>
      </c>
      <c r="DO152" s="14" t="s">
        <v>597</v>
      </c>
      <c r="DP152" s="14" t="s">
        <v>598</v>
      </c>
      <c r="DQ152" s="14" t="s">
        <v>598</v>
      </c>
      <c r="DR152" s="14" t="s">
        <v>598</v>
      </c>
      <c r="DS152" s="14" t="s">
        <v>598</v>
      </c>
      <c r="DT152" s="14" t="s">
        <v>598</v>
      </c>
      <c r="DU152" s="14" t="s">
        <v>598</v>
      </c>
      <c r="DV152" s="14" t="s">
        <v>598</v>
      </c>
      <c r="DW152" s="14" t="s">
        <v>598</v>
      </c>
      <c r="DX152" s="14" t="s">
        <v>598</v>
      </c>
      <c r="DY152" s="14" t="s">
        <v>598</v>
      </c>
      <c r="DZ152" s="14" t="s">
        <v>598</v>
      </c>
      <c r="EA152" s="14" t="s">
        <v>598</v>
      </c>
      <c r="EB152" s="14" t="s">
        <v>598</v>
      </c>
      <c r="EC152" s="14" t="s">
        <v>598</v>
      </c>
      <c r="ED152" s="14" t="s">
        <v>598</v>
      </c>
      <c r="EE152" s="14" t="s">
        <v>598</v>
      </c>
      <c r="EF152" s="14" t="s">
        <v>598</v>
      </c>
      <c r="EG152" s="14" t="s">
        <v>598</v>
      </c>
      <c r="EH152" s="14" t="s">
        <v>598</v>
      </c>
      <c r="EI152" s="14" t="s">
        <v>598</v>
      </c>
      <c r="EJ152" s="14" t="s">
        <v>598</v>
      </c>
      <c r="EK152" s="14" t="s">
        <v>598</v>
      </c>
      <c r="EL152" s="14" t="s">
        <v>598</v>
      </c>
      <c r="EM152" s="14" t="s">
        <v>598</v>
      </c>
      <c r="EN152" s="14" t="s">
        <v>598</v>
      </c>
      <c r="EO152" s="14" t="s">
        <v>598</v>
      </c>
      <c r="EP152" s="14" t="s">
        <v>598</v>
      </c>
      <c r="EQ152" s="14" t="s">
        <v>598</v>
      </c>
      <c r="ER152" s="14" t="s">
        <v>598</v>
      </c>
      <c r="ES152" s="14">
        <v>14</v>
      </c>
      <c r="EY152" s="14">
        <v>14</v>
      </c>
      <c r="EZ152" s="14">
        <v>160</v>
      </c>
      <c r="FF152" s="14">
        <v>160</v>
      </c>
      <c r="FM152" s="14">
        <v>0</v>
      </c>
      <c r="FT152" s="14">
        <v>0</v>
      </c>
      <c r="GA152" s="14">
        <v>0</v>
      </c>
      <c r="GH152" s="14">
        <v>0</v>
      </c>
      <c r="GI152" s="14">
        <v>20</v>
      </c>
      <c r="GO152" s="14">
        <v>20</v>
      </c>
      <c r="GP152" s="14" t="s">
        <v>1362</v>
      </c>
      <c r="GQ152" s="14">
        <v>6</v>
      </c>
      <c r="GW152" s="14">
        <v>6</v>
      </c>
      <c r="GX152" s="14">
        <v>200</v>
      </c>
      <c r="GY152" s="14">
        <v>0</v>
      </c>
      <c r="GZ152" s="14">
        <v>0</v>
      </c>
      <c r="HA152" s="14">
        <v>0</v>
      </c>
      <c r="HB152" s="14">
        <v>0</v>
      </c>
      <c r="HC152" s="14">
        <v>0</v>
      </c>
      <c r="HD152" s="14">
        <v>200</v>
      </c>
      <c r="HK152" s="14">
        <v>0</v>
      </c>
      <c r="HL152" s="14">
        <v>200</v>
      </c>
      <c r="HR152" s="14">
        <v>200</v>
      </c>
      <c r="HY152" s="14">
        <v>0</v>
      </c>
      <c r="IF152" s="14">
        <v>0</v>
      </c>
      <c r="IM152" s="14">
        <v>0</v>
      </c>
      <c r="IN152" s="14">
        <v>200</v>
      </c>
      <c r="IO152" s="14">
        <v>0</v>
      </c>
      <c r="IP152" s="14">
        <v>0</v>
      </c>
      <c r="IQ152" s="14">
        <v>0</v>
      </c>
      <c r="IR152" s="14">
        <v>0</v>
      </c>
      <c r="IS152" s="14">
        <v>0</v>
      </c>
      <c r="IT152" s="14">
        <v>200</v>
      </c>
      <c r="IW152" s="14">
        <v>100</v>
      </c>
      <c r="IZ152" s="14">
        <v>3</v>
      </c>
      <c r="JA152" s="14">
        <v>3</v>
      </c>
      <c r="JB152" s="14">
        <v>2</v>
      </c>
      <c r="JC152" s="14" t="s">
        <v>600</v>
      </c>
      <c r="NF152" s="14" t="s">
        <v>601</v>
      </c>
      <c r="NG152" s="14">
        <v>14</v>
      </c>
      <c r="NM152" s="14">
        <v>14</v>
      </c>
      <c r="NN152" s="14">
        <v>160</v>
      </c>
      <c r="NT152" s="14">
        <v>160</v>
      </c>
      <c r="OA152" s="14">
        <v>0</v>
      </c>
      <c r="OH152" s="14">
        <v>0</v>
      </c>
      <c r="OO152" s="14">
        <v>0</v>
      </c>
      <c r="OV152" s="14">
        <v>0</v>
      </c>
      <c r="OW152" s="14">
        <v>20</v>
      </c>
      <c r="PC152" s="14">
        <v>20</v>
      </c>
      <c r="PD152" s="14" t="s">
        <v>1362</v>
      </c>
      <c r="PE152" s="14">
        <v>6</v>
      </c>
      <c r="PK152" s="14">
        <v>6</v>
      </c>
      <c r="PL152" s="14">
        <v>200</v>
      </c>
      <c r="PM152" s="14">
        <v>0</v>
      </c>
      <c r="PN152" s="14">
        <v>0</v>
      </c>
      <c r="PO152" s="14">
        <v>0</v>
      </c>
      <c r="PP152" s="14">
        <v>0</v>
      </c>
      <c r="PQ152" s="14">
        <v>0</v>
      </c>
      <c r="PR152" s="14">
        <v>200</v>
      </c>
      <c r="PS152" s="14">
        <v>200</v>
      </c>
      <c r="PY152" s="14">
        <v>200</v>
      </c>
      <c r="QF152" s="14">
        <v>0</v>
      </c>
      <c r="QM152" s="14">
        <v>0</v>
      </c>
      <c r="QT152" s="14">
        <v>0</v>
      </c>
      <c r="RA152" s="14">
        <v>0</v>
      </c>
      <c r="RB152" s="14">
        <v>200</v>
      </c>
      <c r="RC152" s="14">
        <v>0</v>
      </c>
      <c r="RD152" s="14">
        <v>0</v>
      </c>
      <c r="RE152" s="14">
        <v>0</v>
      </c>
      <c r="RF152" s="14">
        <v>0</v>
      </c>
      <c r="RG152" s="14">
        <v>0</v>
      </c>
      <c r="RH152" s="14">
        <v>200</v>
      </c>
      <c r="RI152" s="14" t="s">
        <v>602</v>
      </c>
      <c r="VL152" s="14" t="s">
        <v>603</v>
      </c>
      <c r="ZO152" s="14" t="s">
        <v>604</v>
      </c>
      <c r="ADR152" s="14" t="s">
        <v>605</v>
      </c>
    </row>
    <row r="153" spans="1:798" x14ac:dyDescent="0.25">
      <c r="A153" s="14">
        <v>173</v>
      </c>
      <c r="B153" s="14" t="s">
        <v>889</v>
      </c>
      <c r="C153" s="16">
        <f>VLOOKUP(A153,[4]RawData!Z:AA,2,FALSE)</f>
        <v>42772.716666666667</v>
      </c>
      <c r="D153" s="14" t="s">
        <v>1363</v>
      </c>
      <c r="E153" s="14" t="s">
        <v>1364</v>
      </c>
      <c r="F153" s="14" t="s">
        <v>1365</v>
      </c>
      <c r="G153" s="14" t="s">
        <v>1366</v>
      </c>
      <c r="H153" s="14">
        <v>442032057429</v>
      </c>
      <c r="I153" s="14" t="s">
        <v>1078</v>
      </c>
      <c r="J153" s="14" t="s">
        <v>732</v>
      </c>
      <c r="L153" s="14">
        <v>1</v>
      </c>
      <c r="U153" s="14">
        <v>0</v>
      </c>
      <c r="V153" s="14">
        <v>1100</v>
      </c>
      <c r="W153" s="14">
        <v>900</v>
      </c>
      <c r="AB153" s="14">
        <v>2000</v>
      </c>
      <c r="AI153" s="14">
        <v>0</v>
      </c>
      <c r="AP153" s="14">
        <v>0</v>
      </c>
      <c r="AW153" s="14">
        <v>0</v>
      </c>
      <c r="BD153" s="14">
        <v>0</v>
      </c>
      <c r="BE153" s="14">
        <v>1100</v>
      </c>
      <c r="BF153" s="14">
        <v>900</v>
      </c>
      <c r="BG153" s="14">
        <v>0</v>
      </c>
      <c r="BH153" s="14">
        <v>0</v>
      </c>
      <c r="BI153" s="14">
        <v>0</v>
      </c>
      <c r="BJ153" s="14">
        <v>0</v>
      </c>
      <c r="BK153" s="14">
        <v>2000</v>
      </c>
      <c r="BR153" s="14">
        <v>0</v>
      </c>
      <c r="BS153" s="14">
        <v>10</v>
      </c>
      <c r="BT153" s="14">
        <v>5</v>
      </c>
      <c r="BY153" s="14">
        <v>15</v>
      </c>
      <c r="CF153" s="14">
        <v>0</v>
      </c>
      <c r="CM153" s="14">
        <v>0</v>
      </c>
      <c r="CT153" s="14">
        <v>0</v>
      </c>
      <c r="DA153" s="14">
        <v>0</v>
      </c>
      <c r="DB153" s="14">
        <v>10</v>
      </c>
      <c r="DC153" s="14">
        <v>5</v>
      </c>
      <c r="DD153" s="14">
        <v>0</v>
      </c>
      <c r="DE153" s="14">
        <v>0</v>
      </c>
      <c r="DF153" s="14">
        <v>0</v>
      </c>
      <c r="DG153" s="14">
        <v>0</v>
      </c>
      <c r="DH153" s="14">
        <v>15</v>
      </c>
      <c r="DI153" s="14" t="s">
        <v>598</v>
      </c>
      <c r="DJ153" s="14" t="s">
        <v>598</v>
      </c>
      <c r="DK153" s="14" t="s">
        <v>598</v>
      </c>
      <c r="DL153" s="14" t="s">
        <v>598</v>
      </c>
      <c r="DM153" s="14" t="s">
        <v>598</v>
      </c>
      <c r="DN153" s="14" t="s">
        <v>598</v>
      </c>
      <c r="DO153" s="14" t="s">
        <v>597</v>
      </c>
      <c r="DP153" s="14" t="s">
        <v>597</v>
      </c>
      <c r="DQ153" s="14" t="s">
        <v>598</v>
      </c>
      <c r="DR153" s="14" t="s">
        <v>598</v>
      </c>
      <c r="DS153" s="14" t="s">
        <v>598</v>
      </c>
      <c r="DT153" s="14" t="s">
        <v>598</v>
      </c>
      <c r="DU153" s="14" t="s">
        <v>598</v>
      </c>
      <c r="DV153" s="14" t="s">
        <v>598</v>
      </c>
      <c r="DW153" s="14" t="s">
        <v>598</v>
      </c>
      <c r="DX153" s="14" t="s">
        <v>598</v>
      </c>
      <c r="DY153" s="14" t="s">
        <v>598</v>
      </c>
      <c r="DZ153" s="14" t="s">
        <v>598</v>
      </c>
      <c r="EA153" s="14" t="s">
        <v>598</v>
      </c>
      <c r="EB153" s="14" t="s">
        <v>598</v>
      </c>
      <c r="EC153" s="14" t="s">
        <v>598</v>
      </c>
      <c r="ED153" s="14" t="s">
        <v>598</v>
      </c>
      <c r="EE153" s="14" t="s">
        <v>598</v>
      </c>
      <c r="EF153" s="14" t="s">
        <v>598</v>
      </c>
      <c r="EG153" s="14" t="s">
        <v>598</v>
      </c>
      <c r="EH153" s="14" t="s">
        <v>598</v>
      </c>
      <c r="EI153" s="14" t="s">
        <v>598</v>
      </c>
      <c r="EJ153" s="14" t="s">
        <v>598</v>
      </c>
      <c r="EK153" s="14" t="s">
        <v>598</v>
      </c>
      <c r="EL153" s="14" t="s">
        <v>598</v>
      </c>
      <c r="EM153" s="14" t="s">
        <v>598</v>
      </c>
      <c r="EN153" s="14" t="s">
        <v>598</v>
      </c>
      <c r="EO153" s="14" t="s">
        <v>598</v>
      </c>
      <c r="EP153" s="14" t="s">
        <v>598</v>
      </c>
      <c r="EQ153" s="14" t="s">
        <v>598</v>
      </c>
      <c r="ER153" s="14" t="s">
        <v>598</v>
      </c>
      <c r="ES153" s="14">
        <v>400</v>
      </c>
      <c r="ET153" s="14">
        <v>900</v>
      </c>
      <c r="EY153" s="14">
        <v>1300</v>
      </c>
      <c r="EZ153" s="14">
        <v>600</v>
      </c>
      <c r="FF153" s="14">
        <v>600</v>
      </c>
      <c r="FM153" s="14">
        <v>0</v>
      </c>
      <c r="FT153" s="14">
        <v>0</v>
      </c>
      <c r="GA153" s="14">
        <v>0</v>
      </c>
      <c r="GH153" s="14">
        <v>0</v>
      </c>
      <c r="GI153" s="14">
        <v>100</v>
      </c>
      <c r="GO153" s="14">
        <v>100</v>
      </c>
      <c r="GW153" s="14">
        <v>0</v>
      </c>
      <c r="GX153" s="14">
        <v>1100</v>
      </c>
      <c r="GY153" s="14">
        <v>900</v>
      </c>
      <c r="GZ153" s="14">
        <v>0</v>
      </c>
      <c r="HA153" s="14">
        <v>0</v>
      </c>
      <c r="HB153" s="14">
        <v>0</v>
      </c>
      <c r="HC153" s="14">
        <v>0</v>
      </c>
      <c r="HD153" s="14">
        <v>2000</v>
      </c>
      <c r="HF153" s="14">
        <v>350</v>
      </c>
      <c r="HK153" s="14">
        <v>350</v>
      </c>
      <c r="HL153" s="14">
        <v>1100</v>
      </c>
      <c r="HM153" s="14">
        <v>550</v>
      </c>
      <c r="HR153" s="14">
        <v>1650</v>
      </c>
      <c r="HY153" s="14">
        <v>0</v>
      </c>
      <c r="IF153" s="14">
        <v>0</v>
      </c>
      <c r="IM153" s="14">
        <v>0</v>
      </c>
      <c r="IN153" s="14">
        <v>1100</v>
      </c>
      <c r="IO153" s="14">
        <v>900</v>
      </c>
      <c r="IP153" s="14">
        <v>0</v>
      </c>
      <c r="IQ153" s="14">
        <v>0</v>
      </c>
      <c r="IR153" s="14">
        <v>0</v>
      </c>
      <c r="IS153" s="14">
        <v>0</v>
      </c>
      <c r="IT153" s="14">
        <v>2000</v>
      </c>
      <c r="IW153" s="14">
        <v>100</v>
      </c>
      <c r="IZ153" s="14">
        <v>1</v>
      </c>
      <c r="JA153" s="14">
        <v>3</v>
      </c>
      <c r="JB153" s="14">
        <v>1</v>
      </c>
      <c r="JC153" s="14" t="s">
        <v>600</v>
      </c>
      <c r="NF153" s="14" t="s">
        <v>601</v>
      </c>
      <c r="NG153" s="14">
        <v>400</v>
      </c>
      <c r="NH153" s="14">
        <v>900</v>
      </c>
      <c r="NM153" s="14">
        <v>1300</v>
      </c>
      <c r="NN153" s="14">
        <v>600</v>
      </c>
      <c r="NT153" s="14">
        <v>600</v>
      </c>
      <c r="OA153" s="14">
        <v>0</v>
      </c>
      <c r="OH153" s="14">
        <v>0</v>
      </c>
      <c r="OO153" s="14">
        <v>0</v>
      </c>
      <c r="OV153" s="14">
        <v>0</v>
      </c>
      <c r="OW153" s="14">
        <v>100</v>
      </c>
      <c r="PC153" s="14">
        <v>100</v>
      </c>
      <c r="PK153" s="14">
        <v>0</v>
      </c>
      <c r="PL153" s="14">
        <v>1100</v>
      </c>
      <c r="PM153" s="14">
        <v>900</v>
      </c>
      <c r="PN153" s="14">
        <v>0</v>
      </c>
      <c r="PO153" s="14">
        <v>0</v>
      </c>
      <c r="PP153" s="14">
        <v>0</v>
      </c>
      <c r="PQ153" s="14">
        <v>0</v>
      </c>
      <c r="PR153" s="14">
        <v>2000</v>
      </c>
      <c r="PS153" s="14">
        <v>1100</v>
      </c>
      <c r="PT153" s="14">
        <v>550</v>
      </c>
      <c r="PY153" s="14">
        <v>1650</v>
      </c>
      <c r="QA153" s="14">
        <v>350</v>
      </c>
      <c r="QF153" s="14">
        <v>350</v>
      </c>
      <c r="QM153" s="14">
        <v>0</v>
      </c>
      <c r="QT153" s="14">
        <v>0</v>
      </c>
      <c r="RA153" s="14">
        <v>0</v>
      </c>
      <c r="RB153" s="14">
        <v>1100</v>
      </c>
      <c r="RC153" s="14">
        <v>900</v>
      </c>
      <c r="RD153" s="14">
        <v>0</v>
      </c>
      <c r="RE153" s="14">
        <v>0</v>
      </c>
      <c r="RF153" s="14">
        <v>0</v>
      </c>
      <c r="RG153" s="14">
        <v>0</v>
      </c>
      <c r="RH153" s="14">
        <v>2000</v>
      </c>
      <c r="RI153" s="14" t="s">
        <v>602</v>
      </c>
      <c r="VL153" s="14" t="s">
        <v>603</v>
      </c>
      <c r="ZO153" s="14" t="s">
        <v>604</v>
      </c>
      <c r="ADR153" s="14" t="s">
        <v>605</v>
      </c>
    </row>
    <row r="154" spans="1:798" x14ac:dyDescent="0.25">
      <c r="A154" s="14">
        <v>139</v>
      </c>
      <c r="B154" s="14" t="s">
        <v>889</v>
      </c>
      <c r="C154" s="16">
        <f>VLOOKUP(A154,[4]RawData!Z:AA,2,FALSE)</f>
        <v>42766.425694444442</v>
      </c>
      <c r="D154" s="14" t="s">
        <v>1367</v>
      </c>
      <c r="E154" s="14" t="s">
        <v>1368</v>
      </c>
      <c r="F154" s="14" t="s">
        <v>825</v>
      </c>
      <c r="G154" s="14" t="s">
        <v>1369</v>
      </c>
      <c r="H154" s="14">
        <v>78123251306</v>
      </c>
      <c r="I154" s="14" t="s">
        <v>1370</v>
      </c>
      <c r="J154" s="14" t="s">
        <v>596</v>
      </c>
      <c r="L154" s="14">
        <v>2</v>
      </c>
      <c r="M154" s="14">
        <v>6</v>
      </c>
      <c r="N154" s="14" t="s">
        <v>1371</v>
      </c>
      <c r="U154" s="14">
        <v>0</v>
      </c>
      <c r="AB154" s="14">
        <v>0</v>
      </c>
      <c r="AI154" s="14">
        <v>0</v>
      </c>
      <c r="AP154" s="14">
        <v>0</v>
      </c>
      <c r="AW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R154" s="14">
        <v>0</v>
      </c>
      <c r="BY154" s="14">
        <v>0</v>
      </c>
      <c r="CF154" s="14">
        <v>0</v>
      </c>
      <c r="CM154" s="14">
        <v>0</v>
      </c>
      <c r="CT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 t="s">
        <v>598</v>
      </c>
      <c r="DJ154" s="14" t="s">
        <v>598</v>
      </c>
      <c r="DK154" s="14" t="s">
        <v>598</v>
      </c>
      <c r="DL154" s="14" t="s">
        <v>598</v>
      </c>
      <c r="DM154" s="14" t="s">
        <v>598</v>
      </c>
      <c r="DN154" s="14" t="s">
        <v>598</v>
      </c>
      <c r="DO154" s="14" t="s">
        <v>598</v>
      </c>
      <c r="DP154" s="14" t="s">
        <v>598</v>
      </c>
      <c r="DQ154" s="14" t="s">
        <v>598</v>
      </c>
      <c r="DR154" s="14" t="s">
        <v>598</v>
      </c>
      <c r="DS154" s="14" t="s">
        <v>598</v>
      </c>
      <c r="DT154" s="14" t="s">
        <v>598</v>
      </c>
      <c r="DU154" s="14" t="s">
        <v>598</v>
      </c>
      <c r="DV154" s="14" t="s">
        <v>598</v>
      </c>
      <c r="DW154" s="14" t="s">
        <v>598</v>
      </c>
      <c r="DX154" s="14" t="s">
        <v>598</v>
      </c>
      <c r="DY154" s="14" t="s">
        <v>598</v>
      </c>
      <c r="DZ154" s="14" t="s">
        <v>598</v>
      </c>
      <c r="EA154" s="14" t="s">
        <v>598</v>
      </c>
      <c r="EB154" s="14" t="s">
        <v>598</v>
      </c>
      <c r="EC154" s="14" t="s">
        <v>598</v>
      </c>
      <c r="ED154" s="14" t="s">
        <v>598</v>
      </c>
      <c r="EE154" s="14" t="s">
        <v>598</v>
      </c>
      <c r="EF154" s="14" t="s">
        <v>598</v>
      </c>
      <c r="EG154" s="14" t="s">
        <v>598</v>
      </c>
      <c r="EH154" s="14" t="s">
        <v>598</v>
      </c>
      <c r="EI154" s="14" t="s">
        <v>598</v>
      </c>
      <c r="EJ154" s="14" t="s">
        <v>598</v>
      </c>
      <c r="EK154" s="14" t="s">
        <v>598</v>
      </c>
      <c r="EL154" s="14" t="s">
        <v>598</v>
      </c>
      <c r="EM154" s="14" t="s">
        <v>598</v>
      </c>
      <c r="EN154" s="14" t="s">
        <v>598</v>
      </c>
      <c r="EO154" s="14" t="s">
        <v>598</v>
      </c>
      <c r="EP154" s="14" t="s">
        <v>598</v>
      </c>
      <c r="EQ154" s="14" t="s">
        <v>598</v>
      </c>
      <c r="ER154" s="14" t="s">
        <v>598</v>
      </c>
      <c r="EY154" s="14">
        <v>0</v>
      </c>
      <c r="FF154" s="14">
        <v>0</v>
      </c>
      <c r="FM154" s="14">
        <v>0</v>
      </c>
      <c r="FT154" s="14">
        <v>0</v>
      </c>
      <c r="GA154" s="14">
        <v>0</v>
      </c>
      <c r="GH154" s="14">
        <v>0</v>
      </c>
      <c r="GO154" s="14">
        <v>0</v>
      </c>
      <c r="GW154" s="14">
        <v>0</v>
      </c>
      <c r="GX154" s="14">
        <v>0</v>
      </c>
      <c r="GY154" s="14">
        <v>0</v>
      </c>
      <c r="GZ154" s="14">
        <v>0</v>
      </c>
      <c r="HA154" s="14">
        <v>0</v>
      </c>
      <c r="HB154" s="14">
        <v>0</v>
      </c>
      <c r="HC154" s="14">
        <v>0</v>
      </c>
      <c r="HD154" s="14">
        <v>0</v>
      </c>
      <c r="HK154" s="14">
        <v>0</v>
      </c>
      <c r="HR154" s="14">
        <v>0</v>
      </c>
      <c r="HY154" s="14">
        <v>0</v>
      </c>
      <c r="IF154" s="14">
        <v>0</v>
      </c>
      <c r="IM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0</v>
      </c>
      <c r="IS154" s="14">
        <v>0</v>
      </c>
      <c r="IT154" s="14">
        <v>0</v>
      </c>
      <c r="IZ154" s="14">
        <v>1</v>
      </c>
      <c r="JA154" s="14">
        <v>2</v>
      </c>
      <c r="JB154" s="14">
        <v>1</v>
      </c>
      <c r="JC154" s="14" t="s">
        <v>600</v>
      </c>
      <c r="NF154" s="14" t="s">
        <v>601</v>
      </c>
      <c r="RI154" s="14" t="s">
        <v>602</v>
      </c>
      <c r="VL154" s="14" t="s">
        <v>603</v>
      </c>
      <c r="ZO154" s="14" t="s">
        <v>604</v>
      </c>
      <c r="ADR154" s="14" t="s">
        <v>605</v>
      </c>
    </row>
    <row r="155" spans="1:798" x14ac:dyDescent="0.25">
      <c r="A155" s="14">
        <v>155</v>
      </c>
      <c r="B155" s="14" t="s">
        <v>889</v>
      </c>
      <c r="C155" s="16">
        <f>VLOOKUP(A155,[4]RawData!Z:AA,2,FALSE)</f>
        <v>42767.690972222219</v>
      </c>
      <c r="D155" s="14" t="s">
        <v>1372</v>
      </c>
      <c r="E155" s="14" t="s">
        <v>1373</v>
      </c>
      <c r="F155" s="14" t="s">
        <v>1374</v>
      </c>
      <c r="G155" s="14" t="s">
        <v>1375</v>
      </c>
      <c r="H155" s="14" t="s">
        <v>1376</v>
      </c>
      <c r="I155" s="14" t="s">
        <v>979</v>
      </c>
      <c r="J155" s="14" t="s">
        <v>732</v>
      </c>
      <c r="L155" s="14">
        <v>1</v>
      </c>
      <c r="U155" s="14">
        <v>0</v>
      </c>
      <c r="V155" s="14">
        <v>100.4</v>
      </c>
      <c r="AB155" s="14">
        <v>100.4</v>
      </c>
      <c r="AI155" s="14">
        <v>0</v>
      </c>
      <c r="AP155" s="14">
        <v>0</v>
      </c>
      <c r="AW155" s="14">
        <v>0</v>
      </c>
      <c r="BD155" s="14">
        <v>0</v>
      </c>
      <c r="BE155" s="14">
        <v>100.4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100.4</v>
      </c>
      <c r="BR155" s="14">
        <v>0</v>
      </c>
      <c r="BS155" s="14">
        <v>3</v>
      </c>
      <c r="BY155" s="14">
        <v>3</v>
      </c>
      <c r="CF155" s="14">
        <v>0</v>
      </c>
      <c r="CM155" s="14">
        <v>0</v>
      </c>
      <c r="CT155" s="14">
        <v>0</v>
      </c>
      <c r="DA155" s="14">
        <v>0</v>
      </c>
      <c r="DB155" s="14">
        <v>3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3</v>
      </c>
      <c r="DI155" s="14" t="s">
        <v>598</v>
      </c>
      <c r="DJ155" s="14" t="s">
        <v>598</v>
      </c>
      <c r="DK155" s="14" t="s">
        <v>598</v>
      </c>
      <c r="DL155" s="14" t="s">
        <v>598</v>
      </c>
      <c r="DM155" s="14" t="s">
        <v>598</v>
      </c>
      <c r="DN155" s="14" t="s">
        <v>598</v>
      </c>
      <c r="DO155" s="14" t="s">
        <v>597</v>
      </c>
      <c r="DP155" s="14" t="s">
        <v>598</v>
      </c>
      <c r="DQ155" s="14" t="s">
        <v>598</v>
      </c>
      <c r="DR155" s="14" t="s">
        <v>598</v>
      </c>
      <c r="DS155" s="14" t="s">
        <v>598</v>
      </c>
      <c r="DT155" s="14" t="s">
        <v>598</v>
      </c>
      <c r="DU155" s="14" t="s">
        <v>598</v>
      </c>
      <c r="DV155" s="14" t="s">
        <v>598</v>
      </c>
      <c r="DW155" s="14" t="s">
        <v>598</v>
      </c>
      <c r="DX155" s="14" t="s">
        <v>598</v>
      </c>
      <c r="DY155" s="14" t="s">
        <v>598</v>
      </c>
      <c r="DZ155" s="14" t="s">
        <v>598</v>
      </c>
      <c r="EA155" s="14" t="s">
        <v>598</v>
      </c>
      <c r="EB155" s="14" t="s">
        <v>598</v>
      </c>
      <c r="EC155" s="14" t="s">
        <v>598</v>
      </c>
      <c r="ED155" s="14" t="s">
        <v>598</v>
      </c>
      <c r="EE155" s="14" t="s">
        <v>598</v>
      </c>
      <c r="EF155" s="14" t="s">
        <v>598</v>
      </c>
      <c r="EG155" s="14" t="s">
        <v>598</v>
      </c>
      <c r="EH155" s="14" t="s">
        <v>598</v>
      </c>
      <c r="EI155" s="14" t="s">
        <v>598</v>
      </c>
      <c r="EJ155" s="14" t="s">
        <v>598</v>
      </c>
      <c r="EK155" s="14" t="s">
        <v>598</v>
      </c>
      <c r="EL155" s="14" t="s">
        <v>598</v>
      </c>
      <c r="EM155" s="14" t="s">
        <v>598</v>
      </c>
      <c r="EN155" s="14" t="s">
        <v>598</v>
      </c>
      <c r="EO155" s="14" t="s">
        <v>598</v>
      </c>
      <c r="EP155" s="14" t="s">
        <v>598</v>
      </c>
      <c r="EQ155" s="14" t="s">
        <v>598</v>
      </c>
      <c r="ER155" s="14" t="s">
        <v>598</v>
      </c>
      <c r="ES155" s="14">
        <v>100.4</v>
      </c>
      <c r="EY155" s="14">
        <v>100.4</v>
      </c>
      <c r="FF155" s="14">
        <v>0</v>
      </c>
      <c r="FM155" s="14">
        <v>0</v>
      </c>
      <c r="FT155" s="14">
        <v>0</v>
      </c>
      <c r="GA155" s="14">
        <v>0</v>
      </c>
      <c r="GH155" s="14">
        <v>0</v>
      </c>
      <c r="GO155" s="14">
        <v>0</v>
      </c>
      <c r="GW155" s="14">
        <v>0</v>
      </c>
      <c r="GX155" s="14">
        <v>100.4</v>
      </c>
      <c r="GY155" s="14">
        <v>0</v>
      </c>
      <c r="GZ155" s="14">
        <v>0</v>
      </c>
      <c r="HA155" s="14">
        <v>0</v>
      </c>
      <c r="HB155" s="14">
        <v>0</v>
      </c>
      <c r="HC155" s="14">
        <v>0</v>
      </c>
      <c r="HD155" s="14">
        <v>100.4</v>
      </c>
      <c r="HK155" s="14">
        <v>0</v>
      </c>
      <c r="HL155" s="14">
        <v>100.4</v>
      </c>
      <c r="HR155" s="14">
        <v>100.4</v>
      </c>
      <c r="HY155" s="14">
        <v>0</v>
      </c>
      <c r="IF155" s="14">
        <v>0</v>
      </c>
      <c r="IM155" s="14">
        <v>0</v>
      </c>
      <c r="IN155" s="14">
        <v>100.4</v>
      </c>
      <c r="IO155" s="14">
        <v>0</v>
      </c>
      <c r="IP155" s="14">
        <v>0</v>
      </c>
      <c r="IQ155" s="14">
        <v>0</v>
      </c>
      <c r="IR155" s="14">
        <v>0</v>
      </c>
      <c r="IS155" s="14">
        <v>0</v>
      </c>
      <c r="IT155" s="14">
        <v>100.4</v>
      </c>
      <c r="IU155" s="14">
        <v>40</v>
      </c>
      <c r="IV155" s="14">
        <v>60</v>
      </c>
      <c r="IZ155" s="14">
        <v>1</v>
      </c>
      <c r="JA155" s="14">
        <v>3</v>
      </c>
      <c r="JB155" s="14">
        <v>1</v>
      </c>
      <c r="JC155" s="14" t="s">
        <v>600</v>
      </c>
      <c r="NF155" s="14" t="s">
        <v>601</v>
      </c>
      <c r="NG155" s="14">
        <v>100.4</v>
      </c>
      <c r="NM155" s="14">
        <v>100.4</v>
      </c>
      <c r="NT155" s="14">
        <v>0</v>
      </c>
      <c r="OA155" s="14">
        <v>0</v>
      </c>
      <c r="OH155" s="14">
        <v>0</v>
      </c>
      <c r="OO155" s="14">
        <v>0</v>
      </c>
      <c r="OV155" s="14">
        <v>0</v>
      </c>
      <c r="PC155" s="14">
        <v>0</v>
      </c>
      <c r="PK155" s="14">
        <v>0</v>
      </c>
      <c r="PL155" s="14">
        <v>100.4</v>
      </c>
      <c r="PM155" s="14">
        <v>0</v>
      </c>
      <c r="PN155" s="14">
        <v>0</v>
      </c>
      <c r="PO155" s="14">
        <v>0</v>
      </c>
      <c r="PP155" s="14">
        <v>0</v>
      </c>
      <c r="PQ155" s="14">
        <v>0</v>
      </c>
      <c r="PR155" s="14">
        <v>100.4</v>
      </c>
      <c r="PS155" s="14">
        <v>100.4</v>
      </c>
      <c r="PY155" s="14">
        <v>100.4</v>
      </c>
      <c r="QF155" s="14">
        <v>0</v>
      </c>
      <c r="QM155" s="14">
        <v>0</v>
      </c>
      <c r="QT155" s="14">
        <v>0</v>
      </c>
      <c r="RA155" s="14">
        <v>0</v>
      </c>
      <c r="RB155" s="14">
        <v>100.4</v>
      </c>
      <c r="RC155" s="14">
        <v>0</v>
      </c>
      <c r="RD155" s="14">
        <v>0</v>
      </c>
      <c r="RE155" s="14">
        <v>0</v>
      </c>
      <c r="RF155" s="14">
        <v>0</v>
      </c>
      <c r="RG155" s="14">
        <v>0</v>
      </c>
      <c r="RH155" s="14">
        <v>100.4</v>
      </c>
      <c r="RI155" s="14" t="s">
        <v>602</v>
      </c>
      <c r="VL155" s="14" t="s">
        <v>603</v>
      </c>
      <c r="ZO155" s="14" t="s">
        <v>604</v>
      </c>
      <c r="ADR155" s="14" t="s">
        <v>605</v>
      </c>
    </row>
    <row r="156" spans="1:798" x14ac:dyDescent="0.25">
      <c r="A156" s="14">
        <v>103</v>
      </c>
      <c r="B156" s="14" t="s">
        <v>889</v>
      </c>
      <c r="C156" s="16">
        <f>VLOOKUP(A156,[4]RawData!Z:AA,2,FALSE)</f>
        <v>42752.595138888886</v>
      </c>
      <c r="D156" s="14" t="s">
        <v>1377</v>
      </c>
      <c r="E156" s="14" t="s">
        <v>1378</v>
      </c>
      <c r="F156" s="14" t="s">
        <v>880</v>
      </c>
      <c r="G156" s="14" t="s">
        <v>1379</v>
      </c>
      <c r="H156" s="14">
        <v>4790556483</v>
      </c>
      <c r="I156" s="14" t="s">
        <v>1152</v>
      </c>
      <c r="J156" s="14" t="s">
        <v>1153</v>
      </c>
      <c r="L156" s="14">
        <v>1</v>
      </c>
      <c r="U156" s="14">
        <v>0</v>
      </c>
      <c r="W156" s="14">
        <v>1500</v>
      </c>
      <c r="AB156" s="14">
        <v>1500</v>
      </c>
      <c r="AI156" s="14">
        <v>0</v>
      </c>
      <c r="AP156" s="14">
        <v>0</v>
      </c>
      <c r="AW156" s="14">
        <v>0</v>
      </c>
      <c r="BD156" s="14">
        <v>0</v>
      </c>
      <c r="BE156" s="14">
        <v>0</v>
      </c>
      <c r="BF156" s="14">
        <v>1500</v>
      </c>
      <c r="BG156" s="14">
        <v>0</v>
      </c>
      <c r="BH156" s="14">
        <v>0</v>
      </c>
      <c r="BI156" s="14">
        <v>0</v>
      </c>
      <c r="BJ156" s="14">
        <v>0</v>
      </c>
      <c r="BK156" s="14">
        <v>1500</v>
      </c>
      <c r="BR156" s="14">
        <v>0</v>
      </c>
      <c r="BT156" s="14">
        <v>1</v>
      </c>
      <c r="BY156" s="14">
        <v>1</v>
      </c>
      <c r="CF156" s="14">
        <v>0</v>
      </c>
      <c r="CM156" s="14">
        <v>0</v>
      </c>
      <c r="CT156" s="14">
        <v>0</v>
      </c>
      <c r="DA156" s="14">
        <v>0</v>
      </c>
      <c r="DB156" s="14">
        <v>0</v>
      </c>
      <c r="DC156" s="14">
        <v>1</v>
      </c>
      <c r="DD156" s="14">
        <v>0</v>
      </c>
      <c r="DE156" s="14">
        <v>0</v>
      </c>
      <c r="DF156" s="14">
        <v>0</v>
      </c>
      <c r="DG156" s="14">
        <v>0</v>
      </c>
      <c r="DH156" s="14">
        <v>1</v>
      </c>
      <c r="DI156" s="14" t="s">
        <v>598</v>
      </c>
      <c r="DJ156" s="14" t="s">
        <v>598</v>
      </c>
      <c r="DK156" s="14" t="s">
        <v>598</v>
      </c>
      <c r="DL156" s="14" t="s">
        <v>598</v>
      </c>
      <c r="DM156" s="14" t="s">
        <v>598</v>
      </c>
      <c r="DN156" s="14" t="s">
        <v>598</v>
      </c>
      <c r="DO156" s="14" t="s">
        <v>598</v>
      </c>
      <c r="DP156" s="14" t="s">
        <v>597</v>
      </c>
      <c r="DQ156" s="14" t="s">
        <v>598</v>
      </c>
      <c r="DR156" s="14" t="s">
        <v>598</v>
      </c>
      <c r="DS156" s="14" t="s">
        <v>598</v>
      </c>
      <c r="DT156" s="14" t="s">
        <v>598</v>
      </c>
      <c r="DU156" s="14" t="s">
        <v>598</v>
      </c>
      <c r="DV156" s="14" t="s">
        <v>598</v>
      </c>
      <c r="DW156" s="14" t="s">
        <v>598</v>
      </c>
      <c r="DX156" s="14" t="s">
        <v>598</v>
      </c>
      <c r="DY156" s="14" t="s">
        <v>598</v>
      </c>
      <c r="DZ156" s="14" t="s">
        <v>598</v>
      </c>
      <c r="EA156" s="14" t="s">
        <v>598</v>
      </c>
      <c r="EB156" s="14" t="s">
        <v>598</v>
      </c>
      <c r="EC156" s="14" t="s">
        <v>598</v>
      </c>
      <c r="ED156" s="14" t="s">
        <v>598</v>
      </c>
      <c r="EE156" s="14" t="s">
        <v>598</v>
      </c>
      <c r="EF156" s="14" t="s">
        <v>598</v>
      </c>
      <c r="EG156" s="14" t="s">
        <v>598</v>
      </c>
      <c r="EH156" s="14" t="s">
        <v>598</v>
      </c>
      <c r="EI156" s="14" t="s">
        <v>598</v>
      </c>
      <c r="EJ156" s="14" t="s">
        <v>598</v>
      </c>
      <c r="EK156" s="14" t="s">
        <v>598</v>
      </c>
      <c r="EL156" s="14" t="s">
        <v>598</v>
      </c>
      <c r="EM156" s="14" t="s">
        <v>598</v>
      </c>
      <c r="EN156" s="14" t="s">
        <v>598</v>
      </c>
      <c r="EO156" s="14" t="s">
        <v>598</v>
      </c>
      <c r="EP156" s="14" t="s">
        <v>598</v>
      </c>
      <c r="EQ156" s="14" t="s">
        <v>598</v>
      </c>
      <c r="ER156" s="14" t="s">
        <v>598</v>
      </c>
      <c r="ET156" s="14">
        <v>1500</v>
      </c>
      <c r="EY156" s="14">
        <v>1500</v>
      </c>
      <c r="FF156" s="14">
        <v>0</v>
      </c>
      <c r="FM156" s="14">
        <v>0</v>
      </c>
      <c r="FT156" s="14">
        <v>0</v>
      </c>
      <c r="GA156" s="14">
        <v>0</v>
      </c>
      <c r="GH156" s="14">
        <v>0</v>
      </c>
      <c r="GO156" s="14">
        <v>0</v>
      </c>
      <c r="GW156" s="14">
        <v>0</v>
      </c>
      <c r="GX156" s="14">
        <v>0</v>
      </c>
      <c r="GY156" s="14">
        <v>1500</v>
      </c>
      <c r="GZ156" s="14">
        <v>0</v>
      </c>
      <c r="HA156" s="14">
        <v>0</v>
      </c>
      <c r="HB156" s="14">
        <v>0</v>
      </c>
      <c r="HC156" s="14">
        <v>0</v>
      </c>
      <c r="HD156" s="14">
        <v>1500</v>
      </c>
      <c r="HK156" s="14">
        <v>0</v>
      </c>
      <c r="HM156" s="14">
        <v>1500</v>
      </c>
      <c r="HR156" s="14">
        <v>1500</v>
      </c>
      <c r="HY156" s="14">
        <v>0</v>
      </c>
      <c r="IF156" s="14">
        <v>0</v>
      </c>
      <c r="IM156" s="14">
        <v>0</v>
      </c>
      <c r="IN156" s="14">
        <v>0</v>
      </c>
      <c r="IO156" s="14">
        <v>1500</v>
      </c>
      <c r="IP156" s="14">
        <v>0</v>
      </c>
      <c r="IQ156" s="14">
        <v>0</v>
      </c>
      <c r="IR156" s="14">
        <v>0</v>
      </c>
      <c r="IS156" s="14">
        <v>0</v>
      </c>
      <c r="IT156" s="14">
        <v>1500</v>
      </c>
      <c r="IW156" s="14">
        <v>100</v>
      </c>
      <c r="IZ156" s="14">
        <v>1</v>
      </c>
      <c r="JA156" s="14">
        <v>2</v>
      </c>
      <c r="JB156" s="14">
        <v>1</v>
      </c>
      <c r="JC156" s="14" t="s">
        <v>600</v>
      </c>
      <c r="NF156" s="14" t="s">
        <v>601</v>
      </c>
      <c r="RI156" s="14" t="s">
        <v>602</v>
      </c>
      <c r="VL156" s="14" t="s">
        <v>603</v>
      </c>
      <c r="ZO156" s="14" t="s">
        <v>604</v>
      </c>
      <c r="ADR156" s="14" t="s">
        <v>605</v>
      </c>
    </row>
    <row r="157" spans="1:798" x14ac:dyDescent="0.25">
      <c r="A157" s="14">
        <v>59</v>
      </c>
      <c r="B157" s="14" t="s">
        <v>889</v>
      </c>
      <c r="C157" s="16">
        <f>VLOOKUP(A157,[4]RawData!Z:AA,2,FALSE)</f>
        <v>42746.446527777778</v>
      </c>
      <c r="D157" s="14" t="s">
        <v>1380</v>
      </c>
      <c r="E157" s="14" t="s">
        <v>1381</v>
      </c>
      <c r="F157" s="14" t="s">
        <v>825</v>
      </c>
      <c r="G157" s="14" t="s">
        <v>1382</v>
      </c>
      <c r="H157" s="14" t="s">
        <v>1383</v>
      </c>
      <c r="I157" s="14" t="s">
        <v>731</v>
      </c>
      <c r="J157" s="14" t="s">
        <v>732</v>
      </c>
      <c r="L157" s="14">
        <v>2</v>
      </c>
      <c r="M157" s="14">
        <v>6</v>
      </c>
      <c r="N157" s="14" t="s">
        <v>1384</v>
      </c>
      <c r="U157" s="14">
        <v>0</v>
      </c>
      <c r="AB157" s="14">
        <v>0</v>
      </c>
      <c r="AI157" s="14">
        <v>0</v>
      </c>
      <c r="AP157" s="14">
        <v>0</v>
      </c>
      <c r="AW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R157" s="14">
        <v>0</v>
      </c>
      <c r="BY157" s="14">
        <v>0</v>
      </c>
      <c r="CF157" s="14">
        <v>0</v>
      </c>
      <c r="CM157" s="14">
        <v>0</v>
      </c>
      <c r="CT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 t="s">
        <v>598</v>
      </c>
      <c r="DJ157" s="14" t="s">
        <v>598</v>
      </c>
      <c r="DK157" s="14" t="s">
        <v>598</v>
      </c>
      <c r="DL157" s="14" t="s">
        <v>598</v>
      </c>
      <c r="DM157" s="14" t="s">
        <v>598</v>
      </c>
      <c r="DN157" s="14" t="s">
        <v>598</v>
      </c>
      <c r="DO157" s="14" t="s">
        <v>598</v>
      </c>
      <c r="DP157" s="14" t="s">
        <v>598</v>
      </c>
      <c r="DQ157" s="14" t="s">
        <v>598</v>
      </c>
      <c r="DR157" s="14" t="s">
        <v>598</v>
      </c>
      <c r="DS157" s="14" t="s">
        <v>598</v>
      </c>
      <c r="DT157" s="14" t="s">
        <v>598</v>
      </c>
      <c r="DU157" s="14" t="s">
        <v>598</v>
      </c>
      <c r="DV157" s="14" t="s">
        <v>598</v>
      </c>
      <c r="DW157" s="14" t="s">
        <v>598</v>
      </c>
      <c r="DX157" s="14" t="s">
        <v>598</v>
      </c>
      <c r="DY157" s="14" t="s">
        <v>598</v>
      </c>
      <c r="DZ157" s="14" t="s">
        <v>598</v>
      </c>
      <c r="EA157" s="14" t="s">
        <v>598</v>
      </c>
      <c r="EB157" s="14" t="s">
        <v>598</v>
      </c>
      <c r="EC157" s="14" t="s">
        <v>598</v>
      </c>
      <c r="ED157" s="14" t="s">
        <v>598</v>
      </c>
      <c r="EE157" s="14" t="s">
        <v>598</v>
      </c>
      <c r="EF157" s="14" t="s">
        <v>598</v>
      </c>
      <c r="EG157" s="14" t="s">
        <v>598</v>
      </c>
      <c r="EH157" s="14" t="s">
        <v>598</v>
      </c>
      <c r="EI157" s="14" t="s">
        <v>598</v>
      </c>
      <c r="EJ157" s="14" t="s">
        <v>598</v>
      </c>
      <c r="EK157" s="14" t="s">
        <v>598</v>
      </c>
      <c r="EL157" s="14" t="s">
        <v>598</v>
      </c>
      <c r="EM157" s="14" t="s">
        <v>598</v>
      </c>
      <c r="EN157" s="14" t="s">
        <v>598</v>
      </c>
      <c r="EO157" s="14" t="s">
        <v>598</v>
      </c>
      <c r="EP157" s="14" t="s">
        <v>598</v>
      </c>
      <c r="EQ157" s="14" t="s">
        <v>598</v>
      </c>
      <c r="ER157" s="14" t="s">
        <v>598</v>
      </c>
      <c r="EY157" s="14">
        <v>0</v>
      </c>
      <c r="FF157" s="14">
        <v>0</v>
      </c>
      <c r="FM157" s="14">
        <v>0</v>
      </c>
      <c r="FT157" s="14">
        <v>0</v>
      </c>
      <c r="GA157" s="14">
        <v>0</v>
      </c>
      <c r="GH157" s="14">
        <v>0</v>
      </c>
      <c r="GO157" s="14">
        <v>0</v>
      </c>
      <c r="GW157" s="14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4">
        <v>0</v>
      </c>
      <c r="HD157" s="14">
        <v>0</v>
      </c>
      <c r="HK157" s="14">
        <v>0</v>
      </c>
      <c r="HR157" s="14">
        <v>0</v>
      </c>
      <c r="HY157" s="14">
        <v>0</v>
      </c>
      <c r="IF157" s="14">
        <v>0</v>
      </c>
      <c r="IM157" s="14">
        <v>0</v>
      </c>
      <c r="IN157" s="14">
        <v>0</v>
      </c>
      <c r="IO157" s="14">
        <v>0</v>
      </c>
      <c r="IP157" s="14">
        <v>0</v>
      </c>
      <c r="IQ157" s="14">
        <v>0</v>
      </c>
      <c r="IR157" s="14">
        <v>0</v>
      </c>
      <c r="IS157" s="14">
        <v>0</v>
      </c>
      <c r="IT157" s="14">
        <v>0</v>
      </c>
      <c r="IZ157" s="14">
        <v>1</v>
      </c>
      <c r="JA157" s="14">
        <v>1</v>
      </c>
      <c r="JB157" s="14">
        <v>1</v>
      </c>
      <c r="JC157" s="14" t="s">
        <v>600</v>
      </c>
      <c r="NF157" s="14" t="s">
        <v>601</v>
      </c>
      <c r="RI157" s="14" t="s">
        <v>602</v>
      </c>
      <c r="VL157" s="14" t="s">
        <v>603</v>
      </c>
      <c r="ZO157" s="14" t="s">
        <v>604</v>
      </c>
      <c r="ADR157" s="14" t="s">
        <v>605</v>
      </c>
    </row>
    <row r="158" spans="1:798" x14ac:dyDescent="0.25">
      <c r="A158" s="14">
        <v>58</v>
      </c>
      <c r="B158" s="14" t="s">
        <v>889</v>
      </c>
      <c r="C158" s="16">
        <f>$C$3</f>
        <v>42780</v>
      </c>
      <c r="D158" s="14" t="s">
        <v>1385</v>
      </c>
      <c r="E158" s="14" t="s">
        <v>1386</v>
      </c>
      <c r="F158" s="14" t="s">
        <v>775</v>
      </c>
      <c r="G158" s="14" t="s">
        <v>1387</v>
      </c>
      <c r="H158" s="14" t="s">
        <v>1388</v>
      </c>
      <c r="I158" s="14" t="s">
        <v>731</v>
      </c>
      <c r="J158" s="14" t="s">
        <v>732</v>
      </c>
      <c r="L158" s="14">
        <v>1</v>
      </c>
      <c r="O158" s="14">
        <v>28</v>
      </c>
      <c r="P158" s="14">
        <v>18</v>
      </c>
      <c r="U158" s="14">
        <v>46</v>
      </c>
      <c r="V158" s="14">
        <v>355</v>
      </c>
      <c r="W158" s="14">
        <v>1249</v>
      </c>
      <c r="AB158" s="14">
        <v>1604</v>
      </c>
      <c r="AI158" s="14">
        <v>0</v>
      </c>
      <c r="AP158" s="14">
        <v>0</v>
      </c>
      <c r="AW158" s="14">
        <v>0</v>
      </c>
      <c r="BD158" s="14">
        <v>0</v>
      </c>
      <c r="BE158" s="14">
        <v>383</v>
      </c>
      <c r="BF158" s="14">
        <v>1267</v>
      </c>
      <c r="BG158" s="14">
        <v>0</v>
      </c>
      <c r="BH158" s="14">
        <v>0</v>
      </c>
      <c r="BI158" s="14">
        <v>0</v>
      </c>
      <c r="BJ158" s="14">
        <v>0</v>
      </c>
      <c r="BK158" s="14">
        <v>1650</v>
      </c>
      <c r="BL158" s="14">
        <v>1</v>
      </c>
      <c r="BM158" s="14">
        <v>1</v>
      </c>
      <c r="BR158" s="14">
        <v>2</v>
      </c>
      <c r="BS158" s="14">
        <v>9</v>
      </c>
      <c r="BT158" s="14">
        <v>9</v>
      </c>
      <c r="BY158" s="14">
        <v>18</v>
      </c>
      <c r="CF158" s="14">
        <v>0</v>
      </c>
      <c r="CM158" s="14">
        <v>0</v>
      </c>
      <c r="CT158" s="14">
        <v>0</v>
      </c>
      <c r="DA158" s="14">
        <v>0</v>
      </c>
      <c r="DB158" s="14">
        <v>10</v>
      </c>
      <c r="DC158" s="14">
        <v>10</v>
      </c>
      <c r="DD158" s="14">
        <v>0</v>
      </c>
      <c r="DE158" s="14">
        <v>0</v>
      </c>
      <c r="DF158" s="14">
        <v>0</v>
      </c>
      <c r="DG158" s="14">
        <v>0</v>
      </c>
      <c r="DH158" s="14">
        <v>20</v>
      </c>
      <c r="DI158" s="14" t="s">
        <v>597</v>
      </c>
      <c r="DJ158" s="14" t="s">
        <v>597</v>
      </c>
      <c r="DK158" s="14" t="s">
        <v>598</v>
      </c>
      <c r="DL158" s="14" t="s">
        <v>598</v>
      </c>
      <c r="DM158" s="14" t="s">
        <v>598</v>
      </c>
      <c r="DN158" s="14" t="s">
        <v>598</v>
      </c>
      <c r="DO158" s="14" t="s">
        <v>597</v>
      </c>
      <c r="DP158" s="14" t="s">
        <v>597</v>
      </c>
      <c r="DQ158" s="14" t="s">
        <v>598</v>
      </c>
      <c r="DR158" s="14" t="s">
        <v>598</v>
      </c>
      <c r="DS158" s="14" t="s">
        <v>598</v>
      </c>
      <c r="DT158" s="14" t="s">
        <v>598</v>
      </c>
      <c r="DU158" s="14" t="s">
        <v>598</v>
      </c>
      <c r="DV158" s="14" t="s">
        <v>598</v>
      </c>
      <c r="DW158" s="14" t="s">
        <v>598</v>
      </c>
      <c r="DX158" s="14" t="s">
        <v>598</v>
      </c>
      <c r="DY158" s="14" t="s">
        <v>598</v>
      </c>
      <c r="DZ158" s="14" t="s">
        <v>598</v>
      </c>
      <c r="EA158" s="14" t="s">
        <v>598</v>
      </c>
      <c r="EB158" s="14" t="s">
        <v>598</v>
      </c>
      <c r="EC158" s="14" t="s">
        <v>598</v>
      </c>
      <c r="ED158" s="14" t="s">
        <v>598</v>
      </c>
      <c r="EE158" s="14" t="s">
        <v>598</v>
      </c>
      <c r="EF158" s="14" t="s">
        <v>598</v>
      </c>
      <c r="EG158" s="14" t="s">
        <v>598</v>
      </c>
      <c r="EH158" s="14" t="s">
        <v>598</v>
      </c>
      <c r="EI158" s="14" t="s">
        <v>598</v>
      </c>
      <c r="EJ158" s="14" t="s">
        <v>598</v>
      </c>
      <c r="EK158" s="14" t="s">
        <v>598</v>
      </c>
      <c r="EL158" s="14" t="s">
        <v>598</v>
      </c>
      <c r="EM158" s="14" t="s">
        <v>598</v>
      </c>
      <c r="EN158" s="14" t="s">
        <v>598</v>
      </c>
      <c r="EO158" s="14" t="s">
        <v>598</v>
      </c>
      <c r="EP158" s="14" t="s">
        <v>598</v>
      </c>
      <c r="EQ158" s="14" t="s">
        <v>598</v>
      </c>
      <c r="ER158" s="14" t="s">
        <v>598</v>
      </c>
      <c r="ES158" s="14">
        <v>105</v>
      </c>
      <c r="ET158" s="14">
        <v>448</v>
      </c>
      <c r="EY158" s="14">
        <v>553</v>
      </c>
      <c r="EZ158" s="14">
        <v>184</v>
      </c>
      <c r="FA158" s="14">
        <v>137</v>
      </c>
      <c r="FF158" s="14">
        <v>321</v>
      </c>
      <c r="FM158" s="14">
        <v>0</v>
      </c>
      <c r="FO158" s="14">
        <v>19</v>
      </c>
      <c r="FT158" s="14">
        <v>19</v>
      </c>
      <c r="FU158" s="14">
        <v>49</v>
      </c>
      <c r="GA158" s="14">
        <v>49</v>
      </c>
      <c r="GB158" s="14">
        <v>7</v>
      </c>
      <c r="GH158" s="14">
        <v>7</v>
      </c>
      <c r="GI158" s="14">
        <v>9</v>
      </c>
      <c r="GO158" s="14">
        <v>9</v>
      </c>
      <c r="GP158" s="14" t="s">
        <v>1389</v>
      </c>
      <c r="GQ158" s="14">
        <v>29</v>
      </c>
      <c r="GR158" s="14">
        <v>663</v>
      </c>
      <c r="GW158" s="14">
        <v>692</v>
      </c>
      <c r="GX158" s="14">
        <v>383</v>
      </c>
      <c r="GY158" s="14">
        <v>1267</v>
      </c>
      <c r="GZ158" s="14">
        <v>0</v>
      </c>
      <c r="HA158" s="14">
        <v>0</v>
      </c>
      <c r="HB158" s="14">
        <v>0</v>
      </c>
      <c r="HC158" s="14">
        <v>0</v>
      </c>
      <c r="HD158" s="14">
        <v>1650</v>
      </c>
      <c r="HE158" s="14">
        <v>19</v>
      </c>
      <c r="HF158" s="14">
        <v>387</v>
      </c>
      <c r="HK158" s="14">
        <v>406</v>
      </c>
      <c r="HL158" s="14">
        <v>364</v>
      </c>
      <c r="HM158" s="14">
        <v>755</v>
      </c>
      <c r="HR158" s="14">
        <v>1119</v>
      </c>
      <c r="HT158" s="14">
        <v>125</v>
      </c>
      <c r="HY158" s="14">
        <v>125</v>
      </c>
      <c r="IF158" s="14">
        <v>0</v>
      </c>
      <c r="IM158" s="14">
        <v>0</v>
      </c>
      <c r="IN158" s="14">
        <v>383</v>
      </c>
      <c r="IO158" s="14">
        <v>1267</v>
      </c>
      <c r="IP158" s="14">
        <v>0</v>
      </c>
      <c r="IQ158" s="14">
        <v>0</v>
      </c>
      <c r="IR158" s="14">
        <v>0</v>
      </c>
      <c r="IS158" s="14">
        <v>0</v>
      </c>
      <c r="IT158" s="14">
        <v>1650</v>
      </c>
      <c r="IU158" s="14">
        <v>1</v>
      </c>
      <c r="IV158" s="14">
        <v>44</v>
      </c>
      <c r="IW158" s="14">
        <v>55</v>
      </c>
      <c r="IZ158" s="14">
        <v>1</v>
      </c>
      <c r="JA158" s="14">
        <v>3</v>
      </c>
      <c r="JB158" s="14">
        <v>1</v>
      </c>
      <c r="JC158" s="14" t="s">
        <v>600</v>
      </c>
      <c r="JJ158" s="14">
        <v>0</v>
      </c>
      <c r="JQ158" s="14">
        <v>0</v>
      </c>
      <c r="JX158" s="14">
        <v>0</v>
      </c>
      <c r="KE158" s="14">
        <v>0</v>
      </c>
      <c r="KL158" s="14">
        <v>0</v>
      </c>
      <c r="KS158" s="14">
        <v>0</v>
      </c>
      <c r="KT158" s="14">
        <v>9</v>
      </c>
      <c r="KZ158" s="14">
        <v>9</v>
      </c>
      <c r="LB158" s="14">
        <v>19</v>
      </c>
      <c r="LC158" s="14">
        <v>18</v>
      </c>
      <c r="LH158" s="14">
        <v>37</v>
      </c>
      <c r="LI158" s="14">
        <v>28</v>
      </c>
      <c r="LJ158" s="14">
        <v>18</v>
      </c>
      <c r="LK158" s="14">
        <v>0</v>
      </c>
      <c r="LL158" s="14">
        <v>0</v>
      </c>
      <c r="LM158" s="14">
        <v>0</v>
      </c>
      <c r="LN158" s="14">
        <v>0</v>
      </c>
      <c r="LO158" s="14">
        <v>46</v>
      </c>
      <c r="LP158" s="14">
        <v>9</v>
      </c>
      <c r="LV158" s="14">
        <v>9</v>
      </c>
      <c r="LW158" s="14">
        <v>19</v>
      </c>
      <c r="MC158" s="14">
        <v>19</v>
      </c>
      <c r="ME158" s="14">
        <v>18</v>
      </c>
      <c r="MJ158" s="14">
        <v>18</v>
      </c>
      <c r="MQ158" s="14">
        <v>0</v>
      </c>
      <c r="MX158" s="14">
        <v>0</v>
      </c>
      <c r="MY158" s="14">
        <v>28</v>
      </c>
      <c r="MZ158" s="14">
        <v>18</v>
      </c>
      <c r="NA158" s="14">
        <v>0</v>
      </c>
      <c r="NB158" s="14">
        <v>0</v>
      </c>
      <c r="NC158" s="14">
        <v>0</v>
      </c>
      <c r="ND158" s="14">
        <v>0</v>
      </c>
      <c r="NE158" s="14">
        <v>46</v>
      </c>
      <c r="NF158" s="14" t="s">
        <v>601</v>
      </c>
      <c r="NG158" s="14">
        <v>105</v>
      </c>
      <c r="NH158" s="14">
        <v>448</v>
      </c>
      <c r="NM158" s="14">
        <v>553</v>
      </c>
      <c r="NN158" s="14">
        <v>184</v>
      </c>
      <c r="NO158" s="14">
        <v>137</v>
      </c>
      <c r="NT158" s="14">
        <v>321</v>
      </c>
      <c r="OA158" s="14">
        <v>0</v>
      </c>
      <c r="OC158" s="14">
        <v>19</v>
      </c>
      <c r="OH158" s="14">
        <v>19</v>
      </c>
      <c r="OI158" s="14">
        <v>49</v>
      </c>
      <c r="OO158" s="14">
        <v>49</v>
      </c>
      <c r="OP158" s="14">
        <v>7</v>
      </c>
      <c r="OV158" s="14">
        <v>7</v>
      </c>
      <c r="PC158" s="14">
        <v>0</v>
      </c>
      <c r="PE158" s="14">
        <v>10</v>
      </c>
      <c r="PF158" s="14">
        <v>645</v>
      </c>
      <c r="PK158" s="14">
        <v>655</v>
      </c>
      <c r="PL158" s="14">
        <v>355</v>
      </c>
      <c r="PM158" s="14">
        <v>1249</v>
      </c>
      <c r="PN158" s="14">
        <v>0</v>
      </c>
      <c r="PO158" s="14">
        <v>0</v>
      </c>
      <c r="PP158" s="14">
        <v>0</v>
      </c>
      <c r="PQ158" s="14">
        <v>0</v>
      </c>
      <c r="PR158" s="14">
        <v>1604</v>
      </c>
      <c r="PS158" s="14">
        <v>355</v>
      </c>
      <c r="PT158" s="14">
        <v>755</v>
      </c>
      <c r="PY158" s="14">
        <v>1110</v>
      </c>
      <c r="QA158" s="14">
        <v>386</v>
      </c>
      <c r="QF158" s="14">
        <v>386</v>
      </c>
      <c r="QH158" s="14">
        <v>108</v>
      </c>
      <c r="QM158" s="14">
        <v>108</v>
      </c>
      <c r="QT158" s="14">
        <v>0</v>
      </c>
      <c r="RA158" s="14">
        <v>0</v>
      </c>
      <c r="RB158" s="14">
        <v>355</v>
      </c>
      <c r="RC158" s="14">
        <v>1249</v>
      </c>
      <c r="RD158" s="14">
        <v>0</v>
      </c>
      <c r="RE158" s="14">
        <v>0</v>
      </c>
      <c r="RF158" s="14">
        <v>0</v>
      </c>
      <c r="RG158" s="14">
        <v>0</v>
      </c>
      <c r="RH158" s="14">
        <v>1604</v>
      </c>
      <c r="RI158" s="14" t="s">
        <v>602</v>
      </c>
      <c r="VL158" s="14" t="s">
        <v>603</v>
      </c>
      <c r="ZO158" s="14" t="s">
        <v>604</v>
      </c>
      <c r="ADR158" s="14" t="s">
        <v>605</v>
      </c>
    </row>
    <row r="159" spans="1:798" x14ac:dyDescent="0.25">
      <c r="A159" s="14">
        <v>166</v>
      </c>
      <c r="B159" s="14" t="s">
        <v>889</v>
      </c>
      <c r="C159" s="16">
        <f>VLOOKUP(A159,[4]RawData!Z:AA,2,FALSE)</f>
        <v>42770.480555555558</v>
      </c>
      <c r="D159" s="14" t="s">
        <v>1390</v>
      </c>
      <c r="E159" s="14" t="s">
        <v>1391</v>
      </c>
      <c r="F159" s="14" t="s">
        <v>1392</v>
      </c>
      <c r="G159" s="14" t="s">
        <v>1393</v>
      </c>
      <c r="H159" s="14" t="s">
        <v>1394</v>
      </c>
      <c r="I159" s="14" t="s">
        <v>950</v>
      </c>
      <c r="J159" s="14" t="s">
        <v>732</v>
      </c>
      <c r="L159" s="14">
        <v>1</v>
      </c>
      <c r="U159" s="14">
        <v>0</v>
      </c>
      <c r="W159" s="14">
        <v>190</v>
      </c>
      <c r="AB159" s="14">
        <v>190</v>
      </c>
      <c r="AI159" s="14">
        <v>0</v>
      </c>
      <c r="AP159" s="14">
        <v>0</v>
      </c>
      <c r="AW159" s="14">
        <v>0</v>
      </c>
      <c r="BD159" s="14">
        <v>0</v>
      </c>
      <c r="BE159" s="14">
        <v>0</v>
      </c>
      <c r="BF159" s="14">
        <v>190</v>
      </c>
      <c r="BG159" s="14">
        <v>0</v>
      </c>
      <c r="BH159" s="14">
        <v>0</v>
      </c>
      <c r="BI159" s="14">
        <v>0</v>
      </c>
      <c r="BJ159" s="14">
        <v>0</v>
      </c>
      <c r="BK159" s="14">
        <v>190</v>
      </c>
      <c r="BR159" s="14">
        <v>0</v>
      </c>
      <c r="BT159" s="14">
        <v>3</v>
      </c>
      <c r="BY159" s="14">
        <v>3</v>
      </c>
      <c r="CF159" s="14">
        <v>0</v>
      </c>
      <c r="CM159" s="14">
        <v>0</v>
      </c>
      <c r="CT159" s="14">
        <v>0</v>
      </c>
      <c r="DA159" s="14">
        <v>0</v>
      </c>
      <c r="DB159" s="14">
        <v>0</v>
      </c>
      <c r="DC159" s="14">
        <v>3</v>
      </c>
      <c r="DD159" s="14">
        <v>0</v>
      </c>
      <c r="DE159" s="14">
        <v>0</v>
      </c>
      <c r="DF159" s="14">
        <v>0</v>
      </c>
      <c r="DG159" s="14">
        <v>0</v>
      </c>
      <c r="DH159" s="14">
        <v>3</v>
      </c>
      <c r="DI159" s="14" t="s">
        <v>598</v>
      </c>
      <c r="DJ159" s="14" t="s">
        <v>598</v>
      </c>
      <c r="DK159" s="14" t="s">
        <v>598</v>
      </c>
      <c r="DL159" s="14" t="s">
        <v>598</v>
      </c>
      <c r="DM159" s="14" t="s">
        <v>598</v>
      </c>
      <c r="DN159" s="14" t="s">
        <v>598</v>
      </c>
      <c r="DO159" s="14" t="s">
        <v>598</v>
      </c>
      <c r="DP159" s="14" t="s">
        <v>597</v>
      </c>
      <c r="DQ159" s="14" t="s">
        <v>598</v>
      </c>
      <c r="DR159" s="14" t="s">
        <v>598</v>
      </c>
      <c r="DS159" s="14" t="s">
        <v>598</v>
      </c>
      <c r="DT159" s="14" t="s">
        <v>598</v>
      </c>
      <c r="DU159" s="14" t="s">
        <v>598</v>
      </c>
      <c r="DV159" s="14" t="s">
        <v>598</v>
      </c>
      <c r="DW159" s="14" t="s">
        <v>598</v>
      </c>
      <c r="DX159" s="14" t="s">
        <v>598</v>
      </c>
      <c r="DY159" s="14" t="s">
        <v>598</v>
      </c>
      <c r="DZ159" s="14" t="s">
        <v>598</v>
      </c>
      <c r="EA159" s="14" t="s">
        <v>598</v>
      </c>
      <c r="EB159" s="14" t="s">
        <v>598</v>
      </c>
      <c r="EC159" s="14" t="s">
        <v>598</v>
      </c>
      <c r="ED159" s="14" t="s">
        <v>598</v>
      </c>
      <c r="EE159" s="14" t="s">
        <v>598</v>
      </c>
      <c r="EF159" s="14" t="s">
        <v>598</v>
      </c>
      <c r="EG159" s="14" t="s">
        <v>598</v>
      </c>
      <c r="EH159" s="14" t="s">
        <v>598</v>
      </c>
      <c r="EI159" s="14" t="s">
        <v>598</v>
      </c>
      <c r="EJ159" s="14" t="s">
        <v>598</v>
      </c>
      <c r="EK159" s="14" t="s">
        <v>598</v>
      </c>
      <c r="EL159" s="14" t="s">
        <v>598</v>
      </c>
      <c r="EM159" s="14" t="s">
        <v>598</v>
      </c>
      <c r="EN159" s="14" t="s">
        <v>598</v>
      </c>
      <c r="EO159" s="14" t="s">
        <v>598</v>
      </c>
      <c r="EP159" s="14" t="s">
        <v>598</v>
      </c>
      <c r="EQ159" s="14" t="s">
        <v>598</v>
      </c>
      <c r="ER159" s="14" t="s">
        <v>598</v>
      </c>
      <c r="ET159" s="14">
        <v>140</v>
      </c>
      <c r="EY159" s="14">
        <v>140</v>
      </c>
      <c r="FA159" s="14">
        <v>25</v>
      </c>
      <c r="FF159" s="14">
        <v>25</v>
      </c>
      <c r="FM159" s="14">
        <v>0</v>
      </c>
      <c r="FT159" s="14">
        <v>0</v>
      </c>
      <c r="FV159" s="14">
        <v>25</v>
      </c>
      <c r="GA159" s="14">
        <v>25</v>
      </c>
      <c r="GH159" s="14">
        <v>0</v>
      </c>
      <c r="GO159" s="14">
        <v>0</v>
      </c>
      <c r="GW159" s="14">
        <v>0</v>
      </c>
      <c r="GX159" s="14">
        <v>0</v>
      </c>
      <c r="GY159" s="14">
        <v>190</v>
      </c>
      <c r="GZ159" s="14">
        <v>0</v>
      </c>
      <c r="HA159" s="14">
        <v>0</v>
      </c>
      <c r="HB159" s="14">
        <v>0</v>
      </c>
      <c r="HC159" s="14">
        <v>0</v>
      </c>
      <c r="HD159" s="14">
        <v>190</v>
      </c>
      <c r="HK159" s="14">
        <v>0</v>
      </c>
      <c r="HM159" s="14">
        <v>190</v>
      </c>
      <c r="HR159" s="14">
        <v>190</v>
      </c>
      <c r="HY159" s="14">
        <v>0</v>
      </c>
      <c r="IF159" s="14">
        <v>0</v>
      </c>
      <c r="IM159" s="14">
        <v>0</v>
      </c>
      <c r="IN159" s="14">
        <v>0</v>
      </c>
      <c r="IO159" s="14">
        <v>190</v>
      </c>
      <c r="IP159" s="14">
        <v>0</v>
      </c>
      <c r="IQ159" s="14">
        <v>0</v>
      </c>
      <c r="IR159" s="14">
        <v>0</v>
      </c>
      <c r="IS159" s="14">
        <v>0</v>
      </c>
      <c r="IT159" s="14">
        <v>190</v>
      </c>
      <c r="IU159" s="14">
        <v>5</v>
      </c>
      <c r="IV159" s="14">
        <v>15</v>
      </c>
      <c r="IW159" s="14">
        <v>80</v>
      </c>
      <c r="IZ159" s="14">
        <v>1</v>
      </c>
      <c r="JA159" s="14">
        <v>1</v>
      </c>
      <c r="JB159" s="14">
        <v>1</v>
      </c>
      <c r="JC159" s="14" t="s">
        <v>600</v>
      </c>
      <c r="NF159" s="14" t="s">
        <v>601</v>
      </c>
      <c r="NH159" s="14">
        <v>140</v>
      </c>
      <c r="NM159" s="14">
        <v>140</v>
      </c>
      <c r="NO159" s="14">
        <v>25</v>
      </c>
      <c r="NT159" s="14">
        <v>25</v>
      </c>
      <c r="OA159" s="14">
        <v>0</v>
      </c>
      <c r="OH159" s="14">
        <v>0</v>
      </c>
      <c r="OJ159" s="14">
        <v>25</v>
      </c>
      <c r="OO159" s="14">
        <v>25</v>
      </c>
      <c r="OV159" s="14">
        <v>0</v>
      </c>
      <c r="PC159" s="14">
        <v>0</v>
      </c>
      <c r="PK159" s="14">
        <v>0</v>
      </c>
      <c r="PL159" s="14">
        <v>0</v>
      </c>
      <c r="PM159" s="14">
        <v>190</v>
      </c>
      <c r="PN159" s="14">
        <v>0</v>
      </c>
      <c r="PO159" s="14">
        <v>0</v>
      </c>
      <c r="PP159" s="14">
        <v>0</v>
      </c>
      <c r="PQ159" s="14">
        <v>0</v>
      </c>
      <c r="PR159" s="14">
        <v>190</v>
      </c>
      <c r="PT159" s="14">
        <v>190</v>
      </c>
      <c r="PY159" s="14">
        <v>190</v>
      </c>
      <c r="QF159" s="14">
        <v>0</v>
      </c>
      <c r="QM159" s="14">
        <v>0</v>
      </c>
      <c r="QT159" s="14">
        <v>0</v>
      </c>
      <c r="RA159" s="14">
        <v>0</v>
      </c>
      <c r="RB159" s="14">
        <v>0</v>
      </c>
      <c r="RC159" s="14">
        <v>190</v>
      </c>
      <c r="RD159" s="14">
        <v>0</v>
      </c>
      <c r="RE159" s="14">
        <v>0</v>
      </c>
      <c r="RF159" s="14">
        <v>0</v>
      </c>
      <c r="RG159" s="14">
        <v>0</v>
      </c>
      <c r="RH159" s="14">
        <v>190</v>
      </c>
      <c r="RI159" s="14" t="s">
        <v>602</v>
      </c>
      <c r="VL159" s="14" t="s">
        <v>603</v>
      </c>
      <c r="ZO159" s="14" t="s">
        <v>604</v>
      </c>
      <c r="ADR159" s="14" t="s">
        <v>605</v>
      </c>
    </row>
    <row r="160" spans="1:798" x14ac:dyDescent="0.25">
      <c r="A160" s="14">
        <v>41</v>
      </c>
      <c r="B160" s="14" t="s">
        <v>889</v>
      </c>
      <c r="C160" s="16">
        <f>VLOOKUP(A160,[4]RawData!Z:AA,2,FALSE)</f>
        <v>42745.556944444441</v>
      </c>
      <c r="D160" s="14" t="s">
        <v>1395</v>
      </c>
      <c r="E160" s="14" t="s">
        <v>1396</v>
      </c>
      <c r="F160" s="14" t="s">
        <v>1374</v>
      </c>
      <c r="G160" s="14" t="s">
        <v>1397</v>
      </c>
      <c r="H160" s="14" t="s">
        <v>1398</v>
      </c>
      <c r="I160" s="14" t="s">
        <v>979</v>
      </c>
      <c r="J160" s="14" t="s">
        <v>732</v>
      </c>
      <c r="L160" s="14">
        <v>1</v>
      </c>
      <c r="U160" s="14">
        <v>0</v>
      </c>
      <c r="V160" s="14">
        <v>592</v>
      </c>
      <c r="W160" s="14">
        <v>316</v>
      </c>
      <c r="AB160" s="14">
        <v>908</v>
      </c>
      <c r="AI160" s="14">
        <v>0</v>
      </c>
      <c r="AP160" s="14">
        <v>0</v>
      </c>
      <c r="AW160" s="14">
        <v>0</v>
      </c>
      <c r="BD160" s="14">
        <v>0</v>
      </c>
      <c r="BE160" s="14">
        <v>592</v>
      </c>
      <c r="BF160" s="14">
        <v>316</v>
      </c>
      <c r="BG160" s="14">
        <v>0</v>
      </c>
      <c r="BH160" s="14">
        <v>0</v>
      </c>
      <c r="BI160" s="14">
        <v>0</v>
      </c>
      <c r="BJ160" s="14">
        <v>0</v>
      </c>
      <c r="BK160" s="14">
        <v>908</v>
      </c>
      <c r="BR160" s="14">
        <v>0</v>
      </c>
      <c r="BS160" s="14">
        <v>1</v>
      </c>
      <c r="BT160" s="14">
        <v>1</v>
      </c>
      <c r="BY160" s="14">
        <v>2</v>
      </c>
      <c r="CF160" s="14">
        <v>0</v>
      </c>
      <c r="CM160" s="14">
        <v>0</v>
      </c>
      <c r="CT160" s="14">
        <v>0</v>
      </c>
      <c r="DA160" s="14">
        <v>0</v>
      </c>
      <c r="DB160" s="14">
        <v>1</v>
      </c>
      <c r="DC160" s="14">
        <v>1</v>
      </c>
      <c r="DD160" s="14">
        <v>0</v>
      </c>
      <c r="DE160" s="14">
        <v>0</v>
      </c>
      <c r="DF160" s="14">
        <v>0</v>
      </c>
      <c r="DG160" s="14">
        <v>0</v>
      </c>
      <c r="DH160" s="14">
        <v>2</v>
      </c>
      <c r="DI160" s="14" t="s">
        <v>598</v>
      </c>
      <c r="DJ160" s="14" t="s">
        <v>598</v>
      </c>
      <c r="DK160" s="14" t="s">
        <v>598</v>
      </c>
      <c r="DL160" s="14" t="s">
        <v>598</v>
      </c>
      <c r="DM160" s="14" t="s">
        <v>598</v>
      </c>
      <c r="DN160" s="14" t="s">
        <v>598</v>
      </c>
      <c r="DO160" s="14" t="s">
        <v>597</v>
      </c>
      <c r="DP160" s="14" t="s">
        <v>597</v>
      </c>
      <c r="DQ160" s="14" t="s">
        <v>598</v>
      </c>
      <c r="DR160" s="14" t="s">
        <v>598</v>
      </c>
      <c r="DS160" s="14" t="s">
        <v>598</v>
      </c>
      <c r="DT160" s="14" t="s">
        <v>598</v>
      </c>
      <c r="DU160" s="14" t="s">
        <v>598</v>
      </c>
      <c r="DV160" s="14" t="s">
        <v>598</v>
      </c>
      <c r="DW160" s="14" t="s">
        <v>598</v>
      </c>
      <c r="DX160" s="14" t="s">
        <v>598</v>
      </c>
      <c r="DY160" s="14" t="s">
        <v>598</v>
      </c>
      <c r="DZ160" s="14" t="s">
        <v>598</v>
      </c>
      <c r="EA160" s="14" t="s">
        <v>598</v>
      </c>
      <c r="EB160" s="14" t="s">
        <v>598</v>
      </c>
      <c r="EC160" s="14" t="s">
        <v>598</v>
      </c>
      <c r="ED160" s="14" t="s">
        <v>598</v>
      </c>
      <c r="EE160" s="14" t="s">
        <v>598</v>
      </c>
      <c r="EF160" s="14" t="s">
        <v>598</v>
      </c>
      <c r="EG160" s="14" t="s">
        <v>598</v>
      </c>
      <c r="EH160" s="14" t="s">
        <v>598</v>
      </c>
      <c r="EI160" s="14" t="s">
        <v>598</v>
      </c>
      <c r="EJ160" s="14" t="s">
        <v>598</v>
      </c>
      <c r="EK160" s="14" t="s">
        <v>598</v>
      </c>
      <c r="EL160" s="14" t="s">
        <v>598</v>
      </c>
      <c r="EM160" s="14" t="s">
        <v>598</v>
      </c>
      <c r="EN160" s="14" t="s">
        <v>598</v>
      </c>
      <c r="EO160" s="14" t="s">
        <v>598</v>
      </c>
      <c r="EP160" s="14" t="s">
        <v>598</v>
      </c>
      <c r="EQ160" s="14" t="s">
        <v>598</v>
      </c>
      <c r="ER160" s="14" t="s">
        <v>598</v>
      </c>
      <c r="ES160" s="14">
        <v>127</v>
      </c>
      <c r="EY160" s="14">
        <v>127</v>
      </c>
      <c r="EZ160" s="14">
        <v>455</v>
      </c>
      <c r="FA160" s="14">
        <v>316</v>
      </c>
      <c r="FF160" s="14">
        <v>771</v>
      </c>
      <c r="FM160" s="14">
        <v>0</v>
      </c>
      <c r="FT160" s="14">
        <v>0</v>
      </c>
      <c r="FU160" s="14">
        <v>10</v>
      </c>
      <c r="GA160" s="14">
        <v>10</v>
      </c>
      <c r="GH160" s="14">
        <v>0</v>
      </c>
      <c r="GO160" s="14">
        <v>0</v>
      </c>
      <c r="GW160" s="14">
        <v>0</v>
      </c>
      <c r="GX160" s="14">
        <v>592</v>
      </c>
      <c r="GY160" s="14">
        <v>316</v>
      </c>
      <c r="GZ160" s="14">
        <v>0</v>
      </c>
      <c r="HA160" s="14">
        <v>0</v>
      </c>
      <c r="HB160" s="14">
        <v>0</v>
      </c>
      <c r="HC160" s="14">
        <v>0</v>
      </c>
      <c r="HD160" s="14">
        <v>908</v>
      </c>
      <c r="HK160" s="14">
        <v>0</v>
      </c>
      <c r="HL160" s="14">
        <v>592</v>
      </c>
      <c r="HM160" s="14">
        <v>316</v>
      </c>
      <c r="HR160" s="14">
        <v>908</v>
      </c>
      <c r="HY160" s="14">
        <v>0</v>
      </c>
      <c r="IF160" s="14">
        <v>0</v>
      </c>
      <c r="IM160" s="14">
        <v>0</v>
      </c>
      <c r="IN160" s="14">
        <v>592</v>
      </c>
      <c r="IO160" s="14">
        <v>316</v>
      </c>
      <c r="IP160" s="14">
        <v>0</v>
      </c>
      <c r="IQ160" s="14">
        <v>0</v>
      </c>
      <c r="IR160" s="14">
        <v>0</v>
      </c>
      <c r="IS160" s="14">
        <v>0</v>
      </c>
      <c r="IT160" s="14">
        <v>908</v>
      </c>
      <c r="IU160" s="14">
        <v>17</v>
      </c>
      <c r="IV160" s="14">
        <v>5</v>
      </c>
      <c r="IW160" s="14">
        <v>78</v>
      </c>
      <c r="IZ160" s="14">
        <v>2</v>
      </c>
      <c r="JA160" s="14">
        <v>3</v>
      </c>
      <c r="JB160" s="14">
        <v>1</v>
      </c>
      <c r="JC160" s="14" t="s">
        <v>600</v>
      </c>
      <c r="NF160" s="14" t="s">
        <v>601</v>
      </c>
      <c r="NG160" s="14">
        <v>127</v>
      </c>
      <c r="NM160" s="14">
        <v>127</v>
      </c>
      <c r="NN160" s="14">
        <v>455</v>
      </c>
      <c r="NO160" s="14">
        <v>316</v>
      </c>
      <c r="NT160" s="14">
        <v>771</v>
      </c>
      <c r="OA160" s="14">
        <v>0</v>
      </c>
      <c r="OH160" s="14">
        <v>0</v>
      </c>
      <c r="OI160" s="14">
        <v>10</v>
      </c>
      <c r="OO160" s="14">
        <v>10</v>
      </c>
      <c r="OV160" s="14">
        <v>0</v>
      </c>
      <c r="PC160" s="14">
        <v>0</v>
      </c>
      <c r="PK160" s="14">
        <v>0</v>
      </c>
      <c r="PL160" s="14">
        <v>592</v>
      </c>
      <c r="PM160" s="14">
        <v>316</v>
      </c>
      <c r="PN160" s="14">
        <v>0</v>
      </c>
      <c r="PO160" s="14">
        <v>0</v>
      </c>
      <c r="PP160" s="14">
        <v>0</v>
      </c>
      <c r="PQ160" s="14">
        <v>0</v>
      </c>
      <c r="PR160" s="14">
        <v>908</v>
      </c>
      <c r="PS160" s="14">
        <v>592</v>
      </c>
      <c r="PT160" s="14">
        <v>316</v>
      </c>
      <c r="PY160" s="14">
        <v>908</v>
      </c>
      <c r="QF160" s="14">
        <v>0</v>
      </c>
      <c r="QM160" s="14">
        <v>0</v>
      </c>
      <c r="QT160" s="14">
        <v>0</v>
      </c>
      <c r="RA160" s="14">
        <v>0</v>
      </c>
      <c r="RB160" s="14">
        <v>592</v>
      </c>
      <c r="RC160" s="14">
        <v>316</v>
      </c>
      <c r="RD160" s="14">
        <v>0</v>
      </c>
      <c r="RE160" s="14">
        <v>0</v>
      </c>
      <c r="RF160" s="14">
        <v>0</v>
      </c>
      <c r="RG160" s="14">
        <v>0</v>
      </c>
      <c r="RH160" s="14">
        <v>908</v>
      </c>
      <c r="RI160" s="14" t="s">
        <v>602</v>
      </c>
      <c r="VL160" s="14" t="s">
        <v>603</v>
      </c>
      <c r="ZO160" s="14" t="s">
        <v>604</v>
      </c>
      <c r="ADR160" s="14" t="s">
        <v>605</v>
      </c>
    </row>
    <row r="161" spans="1:798" x14ac:dyDescent="0.25">
      <c r="A161" s="14">
        <v>194</v>
      </c>
      <c r="B161" s="14" t="s">
        <v>889</v>
      </c>
      <c r="C161" s="16">
        <f>VLOOKUP(A161,[4]RawData!Z:AA,2,FALSE)</f>
        <v>42775.370833333334</v>
      </c>
      <c r="D161" s="14" t="s">
        <v>1399</v>
      </c>
      <c r="E161" s="14" t="s">
        <v>1400</v>
      </c>
      <c r="F161" s="14" t="s">
        <v>825</v>
      </c>
      <c r="G161" s="14" t="s">
        <v>1401</v>
      </c>
      <c r="H161" s="14">
        <v>-5426079</v>
      </c>
      <c r="I161" s="14" t="s">
        <v>1402</v>
      </c>
      <c r="J161" s="14" t="s">
        <v>732</v>
      </c>
      <c r="L161" s="14">
        <v>1</v>
      </c>
      <c r="U161" s="14">
        <v>0</v>
      </c>
      <c r="V161" s="14">
        <v>235.01</v>
      </c>
      <c r="AB161" s="14">
        <v>235.01</v>
      </c>
      <c r="AI161" s="14">
        <v>0</v>
      </c>
      <c r="AP161" s="14">
        <v>0</v>
      </c>
      <c r="AW161" s="14">
        <v>0</v>
      </c>
      <c r="BD161" s="14">
        <v>0</v>
      </c>
      <c r="BE161" s="14">
        <v>235.01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235.01</v>
      </c>
      <c r="BR161" s="14">
        <v>0</v>
      </c>
      <c r="BS161" s="14">
        <v>1</v>
      </c>
      <c r="BY161" s="14">
        <v>1</v>
      </c>
      <c r="CF161" s="14">
        <v>0</v>
      </c>
      <c r="CM161" s="14">
        <v>0</v>
      </c>
      <c r="CT161" s="14">
        <v>0</v>
      </c>
      <c r="DA161" s="14">
        <v>0</v>
      </c>
      <c r="DB161" s="14">
        <v>1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1</v>
      </c>
      <c r="DI161" s="14" t="s">
        <v>598</v>
      </c>
      <c r="DJ161" s="14" t="s">
        <v>598</v>
      </c>
      <c r="DK161" s="14" t="s">
        <v>598</v>
      </c>
      <c r="DL161" s="14" t="s">
        <v>598</v>
      </c>
      <c r="DM161" s="14" t="s">
        <v>598</v>
      </c>
      <c r="DN161" s="14" t="s">
        <v>598</v>
      </c>
      <c r="DO161" s="14" t="s">
        <v>597</v>
      </c>
      <c r="DP161" s="14" t="s">
        <v>598</v>
      </c>
      <c r="DQ161" s="14" t="s">
        <v>598</v>
      </c>
      <c r="DR161" s="14" t="s">
        <v>598</v>
      </c>
      <c r="DS161" s="14" t="s">
        <v>598</v>
      </c>
      <c r="DT161" s="14" t="s">
        <v>598</v>
      </c>
      <c r="DU161" s="14" t="s">
        <v>598</v>
      </c>
      <c r="DV161" s="14" t="s">
        <v>598</v>
      </c>
      <c r="DW161" s="14" t="s">
        <v>598</v>
      </c>
      <c r="DX161" s="14" t="s">
        <v>598</v>
      </c>
      <c r="DY161" s="14" t="s">
        <v>598</v>
      </c>
      <c r="DZ161" s="14" t="s">
        <v>598</v>
      </c>
      <c r="EA161" s="14" t="s">
        <v>598</v>
      </c>
      <c r="EB161" s="14" t="s">
        <v>598</v>
      </c>
      <c r="EC161" s="14" t="s">
        <v>598</v>
      </c>
      <c r="ED161" s="14" t="s">
        <v>598</v>
      </c>
      <c r="EE161" s="14" t="s">
        <v>598</v>
      </c>
      <c r="EF161" s="14" t="s">
        <v>598</v>
      </c>
      <c r="EG161" s="14" t="s">
        <v>598</v>
      </c>
      <c r="EH161" s="14" t="s">
        <v>598</v>
      </c>
      <c r="EI161" s="14" t="s">
        <v>598</v>
      </c>
      <c r="EJ161" s="14" t="s">
        <v>598</v>
      </c>
      <c r="EK161" s="14" t="s">
        <v>598</v>
      </c>
      <c r="EL161" s="14" t="s">
        <v>598</v>
      </c>
      <c r="EM161" s="14" t="s">
        <v>598</v>
      </c>
      <c r="EN161" s="14" t="s">
        <v>598</v>
      </c>
      <c r="EO161" s="14" t="s">
        <v>598</v>
      </c>
      <c r="EP161" s="14" t="s">
        <v>598</v>
      </c>
      <c r="EQ161" s="14" t="s">
        <v>598</v>
      </c>
      <c r="ER161" s="14" t="s">
        <v>598</v>
      </c>
      <c r="ES161" s="14">
        <v>18</v>
      </c>
      <c r="EY161" s="14">
        <v>18</v>
      </c>
      <c r="FF161" s="14">
        <v>0</v>
      </c>
      <c r="FM161" s="14">
        <v>0</v>
      </c>
      <c r="FT161" s="14">
        <v>0</v>
      </c>
      <c r="GA161" s="14">
        <v>0</v>
      </c>
      <c r="GB161" s="14">
        <v>217.01</v>
      </c>
      <c r="GH161" s="14">
        <v>217.01</v>
      </c>
      <c r="GO161" s="14">
        <v>0</v>
      </c>
      <c r="GW161" s="14">
        <v>0</v>
      </c>
      <c r="GX161" s="14">
        <v>235.01</v>
      </c>
      <c r="GY161" s="14">
        <v>0</v>
      </c>
      <c r="GZ161" s="14">
        <v>0</v>
      </c>
      <c r="HA161" s="14">
        <v>0</v>
      </c>
      <c r="HB161" s="14">
        <v>0</v>
      </c>
      <c r="HC161" s="14">
        <v>0</v>
      </c>
      <c r="HD161" s="14">
        <v>235.01</v>
      </c>
      <c r="HK161" s="14">
        <v>0</v>
      </c>
      <c r="HL161" s="14">
        <v>170</v>
      </c>
      <c r="HR161" s="14">
        <v>170</v>
      </c>
      <c r="HS161" s="14">
        <v>65.010000000000005</v>
      </c>
      <c r="HY161" s="14">
        <v>65.010000000000005</v>
      </c>
      <c r="IF161" s="14">
        <v>0</v>
      </c>
      <c r="IM161" s="14">
        <v>0</v>
      </c>
      <c r="IN161" s="14">
        <v>235.01</v>
      </c>
      <c r="IO161" s="14">
        <v>0</v>
      </c>
      <c r="IP161" s="14">
        <v>0</v>
      </c>
      <c r="IQ161" s="14">
        <v>0</v>
      </c>
      <c r="IR161" s="14">
        <v>0</v>
      </c>
      <c r="IS161" s="14">
        <v>0</v>
      </c>
      <c r="IT161" s="14">
        <v>235.01</v>
      </c>
      <c r="IU161" s="14">
        <v>0</v>
      </c>
      <c r="IV161" s="14">
        <v>50</v>
      </c>
      <c r="IW161" s="14">
        <v>50</v>
      </c>
      <c r="IZ161" s="14">
        <v>1</v>
      </c>
      <c r="JA161" s="14">
        <v>2</v>
      </c>
      <c r="JB161" s="14">
        <v>2</v>
      </c>
      <c r="JC161" s="14" t="s">
        <v>600</v>
      </c>
      <c r="NF161" s="14" t="s">
        <v>601</v>
      </c>
      <c r="NG161" s="14">
        <v>18</v>
      </c>
      <c r="NM161" s="14">
        <v>18</v>
      </c>
      <c r="NT161" s="14">
        <v>0</v>
      </c>
      <c r="OA161" s="14">
        <v>0</v>
      </c>
      <c r="OH161" s="14">
        <v>0</v>
      </c>
      <c r="OO161" s="14">
        <v>0</v>
      </c>
      <c r="OP161" s="14">
        <v>217.01</v>
      </c>
      <c r="OV161" s="14">
        <v>217.01</v>
      </c>
      <c r="PC161" s="14">
        <v>0</v>
      </c>
      <c r="PK161" s="14">
        <v>0</v>
      </c>
      <c r="PL161" s="14">
        <v>235.01</v>
      </c>
      <c r="PM161" s="14">
        <v>0</v>
      </c>
      <c r="PN161" s="14">
        <v>0</v>
      </c>
      <c r="PO161" s="14">
        <v>0</v>
      </c>
      <c r="PP161" s="14">
        <v>0</v>
      </c>
      <c r="PQ161" s="14">
        <v>0</v>
      </c>
      <c r="PR161" s="14">
        <v>235.01</v>
      </c>
      <c r="PS161" s="14">
        <v>170</v>
      </c>
      <c r="PY161" s="14">
        <v>170</v>
      </c>
      <c r="QF161" s="14">
        <v>0</v>
      </c>
      <c r="QG161" s="14">
        <v>65.010000000000005</v>
      </c>
      <c r="QM161" s="14">
        <v>65.010000000000005</v>
      </c>
      <c r="QT161" s="14">
        <v>0</v>
      </c>
      <c r="RA161" s="14">
        <v>0</v>
      </c>
      <c r="RB161" s="14">
        <v>235.01</v>
      </c>
      <c r="RC161" s="14">
        <v>0</v>
      </c>
      <c r="RD161" s="14">
        <v>0</v>
      </c>
      <c r="RE161" s="14">
        <v>0</v>
      </c>
      <c r="RF161" s="14">
        <v>0</v>
      </c>
      <c r="RG161" s="14">
        <v>0</v>
      </c>
      <c r="RH161" s="14">
        <v>235.01</v>
      </c>
      <c r="RI161" s="14" t="s">
        <v>602</v>
      </c>
      <c r="VL161" s="14" t="s">
        <v>603</v>
      </c>
      <c r="ZO161" s="14" t="s">
        <v>604</v>
      </c>
      <c r="ADR161" s="14" t="s">
        <v>605</v>
      </c>
    </row>
    <row r="162" spans="1:798" x14ac:dyDescent="0.25">
      <c r="A162" s="14">
        <v>238</v>
      </c>
      <c r="B162" s="14" t="s">
        <v>889</v>
      </c>
      <c r="C162" s="16">
        <f>$C$3</f>
        <v>42780</v>
      </c>
      <c r="D162" s="14" t="s">
        <v>1403</v>
      </c>
      <c r="E162" s="14" t="s">
        <v>1404</v>
      </c>
      <c r="F162" s="14" t="s">
        <v>1405</v>
      </c>
      <c r="G162" s="14" t="s">
        <v>1406</v>
      </c>
      <c r="H162" s="14" t="s">
        <v>1407</v>
      </c>
      <c r="I162" s="14" t="s">
        <v>1188</v>
      </c>
      <c r="J162" s="14" t="s">
        <v>732</v>
      </c>
      <c r="L162" s="14">
        <v>1</v>
      </c>
      <c r="U162" s="14">
        <v>0</v>
      </c>
      <c r="V162" s="14">
        <v>110</v>
      </c>
      <c r="AB162" s="14">
        <v>110</v>
      </c>
      <c r="AI162" s="14">
        <v>0</v>
      </c>
      <c r="AP162" s="14">
        <v>0</v>
      </c>
      <c r="AW162" s="14">
        <v>0</v>
      </c>
      <c r="BD162" s="14">
        <v>0</v>
      </c>
      <c r="BE162" s="14">
        <v>110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110</v>
      </c>
      <c r="BR162" s="14">
        <v>0</v>
      </c>
      <c r="BS162" s="14">
        <v>1</v>
      </c>
      <c r="BY162" s="14">
        <v>1</v>
      </c>
      <c r="CF162" s="14">
        <v>0</v>
      </c>
      <c r="CM162" s="14">
        <v>0</v>
      </c>
      <c r="CT162" s="14">
        <v>0</v>
      </c>
      <c r="DA162" s="14">
        <v>0</v>
      </c>
      <c r="DB162" s="14">
        <v>1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1</v>
      </c>
      <c r="DI162" s="14" t="s">
        <v>598</v>
      </c>
      <c r="DJ162" s="14" t="s">
        <v>598</v>
      </c>
      <c r="DK162" s="14" t="s">
        <v>598</v>
      </c>
      <c r="DL162" s="14" t="s">
        <v>598</v>
      </c>
      <c r="DM162" s="14" t="s">
        <v>598</v>
      </c>
      <c r="DN162" s="14" t="s">
        <v>598</v>
      </c>
      <c r="DO162" s="14" t="s">
        <v>597</v>
      </c>
      <c r="DP162" s="14" t="s">
        <v>598</v>
      </c>
      <c r="DQ162" s="14" t="s">
        <v>598</v>
      </c>
      <c r="DR162" s="14" t="s">
        <v>598</v>
      </c>
      <c r="DS162" s="14" t="s">
        <v>598</v>
      </c>
      <c r="DT162" s="14" t="s">
        <v>598</v>
      </c>
      <c r="DU162" s="14" t="s">
        <v>598</v>
      </c>
      <c r="DV162" s="14" t="s">
        <v>598</v>
      </c>
      <c r="DW162" s="14" t="s">
        <v>598</v>
      </c>
      <c r="DX162" s="14" t="s">
        <v>598</v>
      </c>
      <c r="DY162" s="14" t="s">
        <v>598</v>
      </c>
      <c r="DZ162" s="14" t="s">
        <v>598</v>
      </c>
      <c r="EA162" s="14" t="s">
        <v>598</v>
      </c>
      <c r="EB162" s="14" t="s">
        <v>598</v>
      </c>
      <c r="EC162" s="14" t="s">
        <v>598</v>
      </c>
      <c r="ED162" s="14" t="s">
        <v>598</v>
      </c>
      <c r="EE162" s="14" t="s">
        <v>598</v>
      </c>
      <c r="EF162" s="14" t="s">
        <v>598</v>
      </c>
      <c r="EG162" s="14" t="s">
        <v>598</v>
      </c>
      <c r="EH162" s="14" t="s">
        <v>598</v>
      </c>
      <c r="EI162" s="14" t="s">
        <v>598</v>
      </c>
      <c r="EJ162" s="14" t="s">
        <v>598</v>
      </c>
      <c r="EK162" s="14" t="s">
        <v>598</v>
      </c>
      <c r="EL162" s="14" t="s">
        <v>598</v>
      </c>
      <c r="EM162" s="14" t="s">
        <v>598</v>
      </c>
      <c r="EN162" s="14" t="s">
        <v>598</v>
      </c>
      <c r="EO162" s="14" t="s">
        <v>598</v>
      </c>
      <c r="EP162" s="14" t="s">
        <v>598</v>
      </c>
      <c r="EQ162" s="14" t="s">
        <v>598</v>
      </c>
      <c r="ER162" s="14" t="s">
        <v>598</v>
      </c>
      <c r="EY162" s="14">
        <v>0</v>
      </c>
      <c r="FF162" s="14">
        <v>0</v>
      </c>
      <c r="FM162" s="14">
        <v>0</v>
      </c>
      <c r="FT162" s="14">
        <v>0</v>
      </c>
      <c r="GA162" s="14">
        <v>0</v>
      </c>
      <c r="GB162" s="14">
        <v>110</v>
      </c>
      <c r="GH162" s="14">
        <v>110</v>
      </c>
      <c r="GO162" s="14">
        <v>0</v>
      </c>
      <c r="GW162" s="14">
        <v>0</v>
      </c>
      <c r="GX162" s="14">
        <v>110</v>
      </c>
      <c r="GY162" s="14">
        <v>0</v>
      </c>
      <c r="GZ162" s="14">
        <v>0</v>
      </c>
      <c r="HA162" s="14">
        <v>0</v>
      </c>
      <c r="HB162" s="14">
        <v>0</v>
      </c>
      <c r="HC162" s="14">
        <v>0</v>
      </c>
      <c r="HD162" s="14">
        <v>110</v>
      </c>
      <c r="HK162" s="14">
        <v>0</v>
      </c>
      <c r="HR162" s="14">
        <v>0</v>
      </c>
      <c r="HS162" s="14">
        <v>110</v>
      </c>
      <c r="HY162" s="14">
        <v>110</v>
      </c>
      <c r="IF162" s="14">
        <v>0</v>
      </c>
      <c r="IM162" s="14">
        <v>0</v>
      </c>
      <c r="IN162" s="14">
        <v>110</v>
      </c>
      <c r="IO162" s="14">
        <v>0</v>
      </c>
      <c r="IP162" s="14">
        <v>0</v>
      </c>
      <c r="IQ162" s="14">
        <v>0</v>
      </c>
      <c r="IR162" s="14">
        <v>0</v>
      </c>
      <c r="IS162" s="14">
        <v>0</v>
      </c>
      <c r="IT162" s="14">
        <v>110</v>
      </c>
      <c r="IW162" s="14">
        <v>100</v>
      </c>
      <c r="IZ162" s="14">
        <v>1</v>
      </c>
      <c r="JA162" s="14">
        <v>1</v>
      </c>
      <c r="JB162" s="14">
        <v>1</v>
      </c>
      <c r="JC162" s="14" t="s">
        <v>600</v>
      </c>
      <c r="NF162" s="14" t="s">
        <v>601</v>
      </c>
      <c r="NM162" s="14">
        <v>0</v>
      </c>
      <c r="NT162" s="14">
        <v>0</v>
      </c>
      <c r="OA162" s="14">
        <v>0</v>
      </c>
      <c r="OH162" s="14">
        <v>0</v>
      </c>
      <c r="OO162" s="14">
        <v>0</v>
      </c>
      <c r="OP162" s="14">
        <v>110</v>
      </c>
      <c r="OV162" s="14">
        <v>110</v>
      </c>
      <c r="PC162" s="14">
        <v>0</v>
      </c>
      <c r="PK162" s="14">
        <v>0</v>
      </c>
      <c r="PL162" s="14">
        <v>110</v>
      </c>
      <c r="PM162" s="14">
        <v>0</v>
      </c>
      <c r="PN162" s="14">
        <v>0</v>
      </c>
      <c r="PO162" s="14">
        <v>0</v>
      </c>
      <c r="PP162" s="14">
        <v>0</v>
      </c>
      <c r="PQ162" s="14">
        <v>0</v>
      </c>
      <c r="PR162" s="14">
        <v>110</v>
      </c>
      <c r="PY162" s="14">
        <v>0</v>
      </c>
      <c r="QF162" s="14">
        <v>0</v>
      </c>
      <c r="QG162" s="14">
        <v>110</v>
      </c>
      <c r="QM162" s="14">
        <v>110</v>
      </c>
      <c r="QT162" s="14">
        <v>0</v>
      </c>
      <c r="RA162" s="14">
        <v>0</v>
      </c>
      <c r="RB162" s="14">
        <v>110</v>
      </c>
      <c r="RC162" s="14">
        <v>0</v>
      </c>
      <c r="RD162" s="14">
        <v>0</v>
      </c>
      <c r="RE162" s="14">
        <v>0</v>
      </c>
      <c r="RF162" s="14">
        <v>0</v>
      </c>
      <c r="RG162" s="14">
        <v>0</v>
      </c>
      <c r="RH162" s="14">
        <v>110</v>
      </c>
      <c r="RI162" s="14" t="s">
        <v>602</v>
      </c>
      <c r="VL162" s="14" t="s">
        <v>603</v>
      </c>
      <c r="ZO162" s="14" t="s">
        <v>604</v>
      </c>
      <c r="ADR162" s="14" t="s">
        <v>605</v>
      </c>
    </row>
    <row r="163" spans="1:798" x14ac:dyDescent="0.25">
      <c r="A163" s="14">
        <v>157</v>
      </c>
      <c r="B163" s="14" t="s">
        <v>889</v>
      </c>
      <c r="C163" s="16">
        <f>VLOOKUP(A163,[4]RawData!Z:AA,2,FALSE)</f>
        <v>42767.498611111114</v>
      </c>
      <c r="D163" s="14" t="s">
        <v>1408</v>
      </c>
      <c r="E163" s="14" t="s">
        <v>1409</v>
      </c>
      <c r="F163" s="14" t="s">
        <v>1350</v>
      </c>
      <c r="G163" s="14" t="s">
        <v>1410</v>
      </c>
      <c r="H163" s="14" t="s">
        <v>1411</v>
      </c>
      <c r="I163" s="14" t="s">
        <v>731</v>
      </c>
      <c r="J163" s="14" t="s">
        <v>945</v>
      </c>
      <c r="L163" s="14">
        <v>1</v>
      </c>
      <c r="U163" s="14">
        <v>0</v>
      </c>
      <c r="W163" s="14">
        <v>358</v>
      </c>
      <c r="X163" s="14">
        <v>75</v>
      </c>
      <c r="AB163" s="14">
        <v>433</v>
      </c>
      <c r="AI163" s="14">
        <v>0</v>
      </c>
      <c r="AP163" s="14">
        <v>0</v>
      </c>
      <c r="AW163" s="14">
        <v>0</v>
      </c>
      <c r="BD163" s="14">
        <v>0</v>
      </c>
      <c r="BE163" s="14">
        <v>0</v>
      </c>
      <c r="BF163" s="14">
        <v>358</v>
      </c>
      <c r="BG163" s="14">
        <v>75</v>
      </c>
      <c r="BH163" s="14">
        <v>0</v>
      </c>
      <c r="BI163" s="14">
        <v>0</v>
      </c>
      <c r="BJ163" s="14">
        <v>0</v>
      </c>
      <c r="BK163" s="14">
        <v>433</v>
      </c>
      <c r="BR163" s="14">
        <v>0</v>
      </c>
      <c r="BT163" s="14">
        <v>2</v>
      </c>
      <c r="BU163" s="14">
        <v>1</v>
      </c>
      <c r="BY163" s="14">
        <v>3</v>
      </c>
      <c r="CF163" s="14">
        <v>0</v>
      </c>
      <c r="CM163" s="14">
        <v>0</v>
      </c>
      <c r="CT163" s="14">
        <v>0</v>
      </c>
      <c r="DA163" s="14">
        <v>0</v>
      </c>
      <c r="DB163" s="14">
        <v>0</v>
      </c>
      <c r="DC163" s="14">
        <v>2</v>
      </c>
      <c r="DD163" s="14">
        <v>1</v>
      </c>
      <c r="DE163" s="14">
        <v>0</v>
      </c>
      <c r="DF163" s="14">
        <v>0</v>
      </c>
      <c r="DG163" s="14">
        <v>0</v>
      </c>
      <c r="DH163" s="14">
        <v>3</v>
      </c>
      <c r="DI163" s="14" t="s">
        <v>598</v>
      </c>
      <c r="DJ163" s="14" t="s">
        <v>598</v>
      </c>
      <c r="DK163" s="14" t="s">
        <v>598</v>
      </c>
      <c r="DL163" s="14" t="s">
        <v>598</v>
      </c>
      <c r="DM163" s="14" t="s">
        <v>598</v>
      </c>
      <c r="DN163" s="14" t="s">
        <v>598</v>
      </c>
      <c r="DO163" s="14" t="s">
        <v>598</v>
      </c>
      <c r="DP163" s="14" t="s">
        <v>597</v>
      </c>
      <c r="DQ163" s="14" t="s">
        <v>597</v>
      </c>
      <c r="DR163" s="14" t="s">
        <v>598</v>
      </c>
      <c r="DS163" s="14" t="s">
        <v>598</v>
      </c>
      <c r="DT163" s="14" t="s">
        <v>598</v>
      </c>
      <c r="DU163" s="14" t="s">
        <v>598</v>
      </c>
      <c r="DV163" s="14" t="s">
        <v>598</v>
      </c>
      <c r="DW163" s="14" t="s">
        <v>598</v>
      </c>
      <c r="DX163" s="14" t="s">
        <v>598</v>
      </c>
      <c r="DY163" s="14" t="s">
        <v>598</v>
      </c>
      <c r="DZ163" s="14" t="s">
        <v>598</v>
      </c>
      <c r="EA163" s="14" t="s">
        <v>598</v>
      </c>
      <c r="EB163" s="14" t="s">
        <v>598</v>
      </c>
      <c r="EC163" s="14" t="s">
        <v>598</v>
      </c>
      <c r="ED163" s="14" t="s">
        <v>598</v>
      </c>
      <c r="EE163" s="14" t="s">
        <v>598</v>
      </c>
      <c r="EF163" s="14" t="s">
        <v>598</v>
      </c>
      <c r="EG163" s="14" t="s">
        <v>598</v>
      </c>
      <c r="EH163" s="14" t="s">
        <v>598</v>
      </c>
      <c r="EI163" s="14" t="s">
        <v>598</v>
      </c>
      <c r="EJ163" s="14" t="s">
        <v>598</v>
      </c>
      <c r="EK163" s="14" t="s">
        <v>598</v>
      </c>
      <c r="EL163" s="14" t="s">
        <v>598</v>
      </c>
      <c r="EM163" s="14" t="s">
        <v>598</v>
      </c>
      <c r="EN163" s="14" t="s">
        <v>598</v>
      </c>
      <c r="EO163" s="14" t="s">
        <v>598</v>
      </c>
      <c r="EP163" s="14" t="s">
        <v>598</v>
      </c>
      <c r="EQ163" s="14" t="s">
        <v>598</v>
      </c>
      <c r="ER163" s="14" t="s">
        <v>598</v>
      </c>
      <c r="ET163" s="14">
        <v>358</v>
      </c>
      <c r="EY163" s="14">
        <v>358</v>
      </c>
      <c r="FF163" s="14">
        <v>0</v>
      </c>
      <c r="FI163" s="14">
        <v>75</v>
      </c>
      <c r="FM163" s="14">
        <v>75</v>
      </c>
      <c r="FT163" s="14">
        <v>0</v>
      </c>
      <c r="GA163" s="14">
        <v>0</v>
      </c>
      <c r="GH163" s="14">
        <v>0</v>
      </c>
      <c r="GO163" s="14">
        <v>0</v>
      </c>
      <c r="GW163" s="14">
        <v>0</v>
      </c>
      <c r="GX163" s="14">
        <v>0</v>
      </c>
      <c r="GY163" s="14">
        <v>358</v>
      </c>
      <c r="GZ163" s="14">
        <v>75</v>
      </c>
      <c r="HA163" s="14">
        <v>0</v>
      </c>
      <c r="HB163" s="14">
        <v>0</v>
      </c>
      <c r="HC163" s="14">
        <v>0</v>
      </c>
      <c r="HD163" s="14">
        <v>433</v>
      </c>
      <c r="HG163" s="14">
        <v>75</v>
      </c>
      <c r="HK163" s="14">
        <v>75</v>
      </c>
      <c r="HM163" s="14">
        <v>358</v>
      </c>
      <c r="HR163" s="14">
        <v>358</v>
      </c>
      <c r="HY163" s="14">
        <v>0</v>
      </c>
      <c r="IF163" s="14">
        <v>0</v>
      </c>
      <c r="IM163" s="14">
        <v>0</v>
      </c>
      <c r="IN163" s="14">
        <v>0</v>
      </c>
      <c r="IO163" s="14">
        <v>358</v>
      </c>
      <c r="IP163" s="14">
        <v>75</v>
      </c>
      <c r="IQ163" s="14">
        <v>0</v>
      </c>
      <c r="IR163" s="14">
        <v>0</v>
      </c>
      <c r="IS163" s="14">
        <v>0</v>
      </c>
      <c r="IT163" s="14">
        <v>433</v>
      </c>
      <c r="IW163" s="14">
        <v>100</v>
      </c>
      <c r="IZ163" s="14">
        <v>1</v>
      </c>
      <c r="JA163" s="14">
        <v>2</v>
      </c>
      <c r="JB163" s="14">
        <v>1</v>
      </c>
      <c r="JC163" s="14" t="s">
        <v>600</v>
      </c>
      <c r="NF163" s="14" t="s">
        <v>601</v>
      </c>
      <c r="RI163" s="14" t="s">
        <v>602</v>
      </c>
      <c r="VL163" s="14" t="s">
        <v>603</v>
      </c>
      <c r="ZO163" s="14" t="s">
        <v>604</v>
      </c>
      <c r="ADR163" s="14" t="s">
        <v>605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8D2A-4D1F-483C-932B-5CF455B4BC9B}">
  <sheetPr>
    <tabColor theme="8" tint="-0.499984740745262"/>
  </sheetPr>
  <dimension ref="A1:F950"/>
  <sheetViews>
    <sheetView topLeftCell="A534" workbookViewId="0">
      <selection activeCell="A569" sqref="A569"/>
    </sheetView>
  </sheetViews>
  <sheetFormatPr defaultColWidth="9.140625" defaultRowHeight="15" x14ac:dyDescent="0.25"/>
  <cols>
    <col min="1" max="1" width="21" style="3" customWidth="1"/>
    <col min="2" max="2" width="25" style="3" customWidth="1"/>
    <col min="3" max="3" width="30" style="3" bestFit="1" customWidth="1"/>
    <col min="4" max="4" width="9.140625" style="5"/>
    <col min="5" max="5" width="129.5703125" style="3" bestFit="1" customWidth="1"/>
    <col min="6" max="16384" width="9.140625" style="3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2056</v>
      </c>
    </row>
    <row r="2" spans="1:6" x14ac:dyDescent="0.25">
      <c r="A2" s="3" t="str">
        <f>_xlfn.CONCAT(C2,B2)</f>
        <v>Surveycode</v>
      </c>
      <c r="C2" s="3" t="s">
        <v>5</v>
      </c>
      <c r="D2" s="4" t="s">
        <v>6</v>
      </c>
      <c r="E2" s="3" t="s">
        <v>5</v>
      </c>
    </row>
    <row r="3" spans="1:6" x14ac:dyDescent="0.25">
      <c r="A3" s="3" t="str">
        <f t="shared" ref="A3:A66" si="0">_xlfn.CONCAT(C3,B3)</f>
        <v>Association (Sample)</v>
      </c>
      <c r="C3" s="3" t="s">
        <v>7</v>
      </c>
      <c r="D3" s="4" t="s">
        <v>6</v>
      </c>
      <c r="E3" s="3" t="s">
        <v>8</v>
      </c>
    </row>
    <row r="4" spans="1:6" x14ac:dyDescent="0.25">
      <c r="A4" s="3" t="str">
        <f t="shared" si="0"/>
        <v>Company (Sample)</v>
      </c>
      <c r="C4" s="3" t="s">
        <v>9</v>
      </c>
      <c r="D4" s="4" t="s">
        <v>6</v>
      </c>
      <c r="E4" s="3" t="s">
        <v>10</v>
      </c>
    </row>
    <row r="5" spans="1:6" x14ac:dyDescent="0.25">
      <c r="A5" s="3" t="str">
        <f t="shared" si="0"/>
        <v>REGION</v>
      </c>
      <c r="C5" s="3" t="s">
        <v>11</v>
      </c>
      <c r="D5" s="4" t="s">
        <v>12</v>
      </c>
      <c r="E5" s="3" t="s">
        <v>13</v>
      </c>
    </row>
    <row r="6" spans="1:6" x14ac:dyDescent="0.25">
      <c r="A6" s="3" t="str">
        <f t="shared" si="0"/>
        <v>DateCompleted (Asia)</v>
      </c>
      <c r="C6" s="3" t="s">
        <v>14</v>
      </c>
      <c r="D6" s="4" t="s">
        <v>12</v>
      </c>
      <c r="E6" s="3" t="s">
        <v>14</v>
      </c>
    </row>
    <row r="7" spans="1:6" x14ac:dyDescent="0.25">
      <c r="A7" s="3" t="str">
        <f t="shared" si="0"/>
        <v>REGION</v>
      </c>
      <c r="C7" s="3" t="s">
        <v>11</v>
      </c>
      <c r="D7" s="4" t="s">
        <v>12</v>
      </c>
      <c r="E7" s="3" t="s">
        <v>13</v>
      </c>
    </row>
    <row r="8" spans="1:6" x14ac:dyDescent="0.25">
      <c r="A8" s="3" t="str">
        <f t="shared" si="0"/>
        <v>DateCompleted (Europe)</v>
      </c>
      <c r="C8" s="3" t="s">
        <v>15</v>
      </c>
      <c r="D8" s="4" t="s">
        <v>12</v>
      </c>
      <c r="E8" s="3" t="s">
        <v>15</v>
      </c>
    </row>
    <row r="9" spans="1:6" x14ac:dyDescent="0.25">
      <c r="A9" s="3" t="str">
        <f t="shared" si="0"/>
        <v>REGION</v>
      </c>
      <c r="C9" s="3" t="s">
        <v>11</v>
      </c>
      <c r="D9" s="4" t="s">
        <v>12</v>
      </c>
      <c r="E9" s="3" t="s">
        <v>13</v>
      </c>
    </row>
    <row r="10" spans="1:6" x14ac:dyDescent="0.25">
      <c r="A10" s="3" t="str">
        <f t="shared" si="0"/>
        <v>DateCompleted (NorthAmerica)</v>
      </c>
      <c r="C10" s="3" t="s">
        <v>16</v>
      </c>
      <c r="D10" s="4" t="s">
        <v>12</v>
      </c>
      <c r="E10" s="3" t="s">
        <v>16</v>
      </c>
    </row>
    <row r="11" spans="1:6" x14ac:dyDescent="0.25">
      <c r="A11" s="3" t="str">
        <f t="shared" si="0"/>
        <v>REGION</v>
      </c>
      <c r="C11" s="3" t="s">
        <v>11</v>
      </c>
      <c r="D11" s="4" t="s">
        <v>12</v>
      </c>
      <c r="E11" s="3" t="s">
        <v>13</v>
      </c>
    </row>
    <row r="12" spans="1:6" x14ac:dyDescent="0.25">
      <c r="A12" s="3" t="str">
        <f t="shared" si="0"/>
        <v>DateCompleted (Global)</v>
      </c>
      <c r="C12" s="3" t="s">
        <v>17</v>
      </c>
      <c r="D12" s="4" t="s">
        <v>12</v>
      </c>
      <c r="E12" s="3" t="s">
        <v>17</v>
      </c>
    </row>
    <row r="13" spans="1:6" x14ac:dyDescent="0.25">
      <c r="A13" s="3" t="str">
        <f t="shared" si="0"/>
        <v>REGION</v>
      </c>
      <c r="C13" s="3" t="s">
        <v>11</v>
      </c>
      <c r="D13" s="4" t="s">
        <v>12</v>
      </c>
      <c r="E13" s="3" t="s">
        <v>13</v>
      </c>
    </row>
    <row r="14" spans="1:6" x14ac:dyDescent="0.25">
      <c r="A14" s="3" t="str">
        <f t="shared" si="0"/>
        <v>DateCompleted (SouthAmerica)</v>
      </c>
      <c r="C14" s="3" t="s">
        <v>18</v>
      </c>
      <c r="D14" s="4" t="s">
        <v>12</v>
      </c>
      <c r="E14" s="3" t="s">
        <v>18</v>
      </c>
    </row>
    <row r="15" spans="1:6" x14ac:dyDescent="0.25">
      <c r="A15" s="3" t="str">
        <f t="shared" si="0"/>
        <v>REGION</v>
      </c>
      <c r="C15" s="3" t="s">
        <v>11</v>
      </c>
      <c r="D15" s="4" t="s">
        <v>12</v>
      </c>
      <c r="E15" s="3" t="s">
        <v>13</v>
      </c>
    </row>
    <row r="16" spans="1:6" x14ac:dyDescent="0.25">
      <c r="A16" s="3" t="str">
        <f t="shared" si="0"/>
        <v>DateCompleted (Africa)</v>
      </c>
      <c r="C16" s="3" t="s">
        <v>19</v>
      </c>
      <c r="D16" s="4" t="s">
        <v>12</v>
      </c>
      <c r="E16" s="3" t="s">
        <v>19</v>
      </c>
    </row>
    <row r="17" spans="1:5" x14ac:dyDescent="0.25">
      <c r="A17" s="3" t="str">
        <f t="shared" si="0"/>
        <v>ShowEurope</v>
      </c>
      <c r="C17" s="3" t="s">
        <v>20</v>
      </c>
      <c r="D17" s="4" t="s">
        <v>12</v>
      </c>
      <c r="E17" s="3" t="s">
        <v>20</v>
      </c>
    </row>
    <row r="18" spans="1:5" x14ac:dyDescent="0.25">
      <c r="A18" s="3" t="str">
        <f t="shared" si="0"/>
        <v>ShowAsia</v>
      </c>
      <c r="C18" s="3" t="s">
        <v>21</v>
      </c>
      <c r="D18" s="4" t="s">
        <v>12</v>
      </c>
      <c r="E18" s="3" t="s">
        <v>21</v>
      </c>
    </row>
    <row r="19" spans="1:5" x14ac:dyDescent="0.25">
      <c r="A19" s="3" t="str">
        <f t="shared" si="0"/>
        <v>ShowNA</v>
      </c>
      <c r="C19" s="3" t="s">
        <v>22</v>
      </c>
      <c r="D19" s="4" t="s">
        <v>12</v>
      </c>
      <c r="E19" s="3" t="s">
        <v>22</v>
      </c>
    </row>
    <row r="20" spans="1:5" x14ac:dyDescent="0.25">
      <c r="A20" s="3" t="str">
        <f t="shared" si="0"/>
        <v>ShowGlobal</v>
      </c>
      <c r="C20" s="3" t="s">
        <v>23</v>
      </c>
      <c r="D20" s="4" t="s">
        <v>12</v>
      </c>
      <c r="E20" s="3" t="s">
        <v>23</v>
      </c>
    </row>
    <row r="21" spans="1:5" x14ac:dyDescent="0.25">
      <c r="A21" s="3" t="str">
        <f t="shared" si="0"/>
        <v>ShowSA</v>
      </c>
      <c r="C21" s="3" t="s">
        <v>24</v>
      </c>
      <c r="D21" s="4" t="s">
        <v>12</v>
      </c>
      <c r="E21" s="3" t="s">
        <v>24</v>
      </c>
    </row>
    <row r="22" spans="1:5" x14ac:dyDescent="0.25">
      <c r="A22" s="3" t="str">
        <f t="shared" si="0"/>
        <v>ShowAfrica</v>
      </c>
      <c r="C22" s="3" t="s">
        <v>25</v>
      </c>
      <c r="D22" s="4" t="s">
        <v>12</v>
      </c>
      <c r="E22" s="3" t="s">
        <v>25</v>
      </c>
    </row>
    <row r="23" spans="1:5" x14ac:dyDescent="0.25">
      <c r="A23" s="3" t="str">
        <f t="shared" si="0"/>
        <v>RecordNo</v>
      </c>
      <c r="C23" s="3" t="s">
        <v>26</v>
      </c>
      <c r="D23" s="4" t="s">
        <v>27</v>
      </c>
      <c r="E23" s="3" t="s">
        <v>26</v>
      </c>
    </row>
    <row r="24" spans="1:5" x14ac:dyDescent="0.25">
      <c r="A24" s="3" t="str">
        <f t="shared" si="0"/>
        <v>Surveycode</v>
      </c>
      <c r="C24" s="3" t="s">
        <v>5</v>
      </c>
      <c r="D24" s="4" t="s">
        <v>27</v>
      </c>
      <c r="E24" s="3" t="s">
        <v>5</v>
      </c>
    </row>
    <row r="25" spans="1:5" x14ac:dyDescent="0.25">
      <c r="A25" s="3" t="str">
        <f t="shared" si="0"/>
        <v>URIstring</v>
      </c>
      <c r="C25" s="3" t="s">
        <v>28</v>
      </c>
      <c r="D25" s="4" t="s">
        <v>27</v>
      </c>
      <c r="E25" s="3" t="s">
        <v>28</v>
      </c>
    </row>
    <row r="26" spans="1:5" x14ac:dyDescent="0.25">
      <c r="A26" s="3" t="str">
        <f t="shared" si="0"/>
        <v>DateUpdated</v>
      </c>
      <c r="C26" s="3" t="s">
        <v>29</v>
      </c>
      <c r="D26" s="4" t="s">
        <v>27</v>
      </c>
      <c r="E26" s="3" t="s">
        <v>29</v>
      </c>
    </row>
    <row r="27" spans="1:5" x14ac:dyDescent="0.25">
      <c r="A27" s="3" t="str">
        <f t="shared" si="0"/>
        <v>DateCompleted</v>
      </c>
      <c r="C27" s="3" t="s">
        <v>30</v>
      </c>
      <c r="D27" s="4" t="s">
        <v>27</v>
      </c>
      <c r="E27" s="3" t="s">
        <v>30</v>
      </c>
    </row>
    <row r="28" spans="1:5" x14ac:dyDescent="0.25">
      <c r="A28" s="3" t="str">
        <f t="shared" si="0"/>
        <v>PageNo</v>
      </c>
      <c r="C28" s="3" t="s">
        <v>31</v>
      </c>
      <c r="D28" s="4" t="s">
        <v>27</v>
      </c>
      <c r="E28" s="3" t="s">
        <v>31</v>
      </c>
    </row>
    <row r="29" spans="1:5" x14ac:dyDescent="0.25">
      <c r="A29" s="3" t="str">
        <f t="shared" si="0"/>
        <v>PathInfo</v>
      </c>
      <c r="C29" s="3" t="s">
        <v>32</v>
      </c>
      <c r="D29" s="4" t="s">
        <v>27</v>
      </c>
      <c r="E29" s="3" t="s">
        <v>32</v>
      </c>
    </row>
    <row r="30" spans="1:5" x14ac:dyDescent="0.25">
      <c r="A30" s="3" t="str">
        <f t="shared" si="0"/>
        <v>Referrer</v>
      </c>
      <c r="C30" s="3" t="s">
        <v>33</v>
      </c>
      <c r="D30" s="4" t="s">
        <v>27</v>
      </c>
      <c r="E30" s="3" t="s">
        <v>33</v>
      </c>
    </row>
    <row r="31" spans="1:5" x14ac:dyDescent="0.25">
      <c r="A31" s="3" t="str">
        <f t="shared" si="0"/>
        <v>IPaddress</v>
      </c>
      <c r="C31" s="3" t="s">
        <v>34</v>
      </c>
      <c r="D31" s="4" t="s">
        <v>27</v>
      </c>
      <c r="E31" s="3" t="s">
        <v>34</v>
      </c>
    </row>
    <row r="32" spans="1:5" x14ac:dyDescent="0.25">
      <c r="A32" s="3" t="str">
        <f t="shared" si="0"/>
        <v>Version</v>
      </c>
      <c r="C32" s="3" t="s">
        <v>35</v>
      </c>
      <c r="D32" s="4" t="s">
        <v>27</v>
      </c>
      <c r="E32" s="3" t="s">
        <v>36</v>
      </c>
    </row>
    <row r="33" spans="1:6" x14ac:dyDescent="0.25">
      <c r="A33" s="3" t="str">
        <f t="shared" si="0"/>
        <v>qName</v>
      </c>
      <c r="C33" s="3" t="s">
        <v>37</v>
      </c>
      <c r="D33" s="5" t="s">
        <v>38</v>
      </c>
      <c r="E33" s="3" t="s">
        <v>39</v>
      </c>
    </row>
    <row r="34" spans="1:6" x14ac:dyDescent="0.25">
      <c r="A34" s="3" t="str">
        <f t="shared" si="0"/>
        <v>qCompany</v>
      </c>
      <c r="C34" s="3" t="s">
        <v>40</v>
      </c>
      <c r="D34" s="5" t="s">
        <v>38</v>
      </c>
      <c r="E34" s="3" t="s">
        <v>41</v>
      </c>
    </row>
    <row r="35" spans="1:6" x14ac:dyDescent="0.25">
      <c r="A35" s="3" t="str">
        <f t="shared" si="0"/>
        <v>qJobtitle</v>
      </c>
      <c r="C35" s="3" t="s">
        <v>42</v>
      </c>
      <c r="D35" s="5" t="s">
        <v>38</v>
      </c>
      <c r="E35" s="3" t="s">
        <v>43</v>
      </c>
    </row>
    <row r="36" spans="1:6" x14ac:dyDescent="0.25">
      <c r="A36" s="3" t="str">
        <f t="shared" si="0"/>
        <v>qEmail</v>
      </c>
      <c r="C36" s="3" t="s">
        <v>44</v>
      </c>
      <c r="D36" s="5" t="s">
        <v>38</v>
      </c>
      <c r="E36" s="3" t="s">
        <v>45</v>
      </c>
    </row>
    <row r="37" spans="1:6" x14ac:dyDescent="0.25">
      <c r="A37" s="3" t="str">
        <f t="shared" si="0"/>
        <v>qTelephone</v>
      </c>
      <c r="C37" s="3" t="s">
        <v>46</v>
      </c>
      <c r="D37" s="5" t="s">
        <v>38</v>
      </c>
      <c r="E37" s="3" t="s">
        <v>47</v>
      </c>
    </row>
    <row r="38" spans="1:6" x14ac:dyDescent="0.25">
      <c r="A38" s="3" t="str">
        <f t="shared" si="0"/>
        <v>qCountry</v>
      </c>
      <c r="C38" s="3" t="s">
        <v>48</v>
      </c>
      <c r="D38" s="5" t="s">
        <v>38</v>
      </c>
      <c r="E38" s="3" t="s">
        <v>49</v>
      </c>
    </row>
    <row r="39" spans="1:6" x14ac:dyDescent="0.25">
      <c r="A39" s="3" t="str">
        <f t="shared" si="0"/>
        <v>qCurrency</v>
      </c>
      <c r="C39" s="3" t="s">
        <v>50</v>
      </c>
      <c r="D39" s="5" t="s">
        <v>51</v>
      </c>
      <c r="E39" s="3" t="s">
        <v>52</v>
      </c>
    </row>
    <row r="40" spans="1:6" x14ac:dyDescent="0.25">
      <c r="A40" s="3" t="str">
        <f t="shared" si="0"/>
        <v>qCurrencyOther</v>
      </c>
      <c r="C40" s="3" t="s">
        <v>53</v>
      </c>
      <c r="D40" s="5" t="s">
        <v>38</v>
      </c>
      <c r="E40" s="3" t="s">
        <v>54</v>
      </c>
    </row>
    <row r="41" spans="1:6" s="6" customFormat="1" x14ac:dyDescent="0.25">
      <c r="A41" s="3" t="str">
        <f t="shared" si="0"/>
        <v>q1</v>
      </c>
      <c r="C41" s="6" t="s">
        <v>55</v>
      </c>
      <c r="D41" s="7" t="s">
        <v>56</v>
      </c>
      <c r="E41" s="6" t="s">
        <v>2942</v>
      </c>
      <c r="F41" s="3">
        <v>1</v>
      </c>
    </row>
    <row r="42" spans="1:6" s="6" customFormat="1" x14ac:dyDescent="0.25">
      <c r="A42" s="3" t="str">
        <f t="shared" si="0"/>
        <v>q2</v>
      </c>
      <c r="C42" s="6" t="s">
        <v>57</v>
      </c>
      <c r="D42" s="7" t="s">
        <v>56</v>
      </c>
      <c r="E42" s="6" t="s">
        <v>58</v>
      </c>
      <c r="F42" s="3">
        <f>VLOOKUP(E42,'[5]Data-Map Questions'!$D:$E,2,FALSE)</f>
        <v>2</v>
      </c>
    </row>
    <row r="43" spans="1:6" x14ac:dyDescent="0.25">
      <c r="A43" s="3" t="str">
        <f t="shared" si="0"/>
        <v>q2other</v>
      </c>
      <c r="C43" s="3" t="s">
        <v>59</v>
      </c>
      <c r="D43" s="5" t="s">
        <v>38</v>
      </c>
      <c r="E43" s="3" t="s">
        <v>60</v>
      </c>
      <c r="F43" s="3">
        <f>VLOOKUP(E43,'[5]Data-Map Questions'!$D:$E,2,FALSE)</f>
        <v>3</v>
      </c>
    </row>
    <row r="44" spans="1:6" s="6" customFormat="1" x14ac:dyDescent="0.25">
      <c r="A44" s="3" t="str">
        <f t="shared" si="0"/>
        <v/>
      </c>
      <c r="D44" s="7"/>
      <c r="E44" s="6" t="s">
        <v>2943</v>
      </c>
      <c r="F44" s="3">
        <v>4</v>
      </c>
    </row>
    <row r="45" spans="1:6" x14ac:dyDescent="0.25">
      <c r="A45" s="3" t="str">
        <f t="shared" si="0"/>
        <v>q3A_TotalRealEstate</v>
      </c>
      <c r="C45" s="3" t="s">
        <v>61</v>
      </c>
      <c r="D45" s="5" t="s">
        <v>62</v>
      </c>
      <c r="E45" s="3" t="s">
        <v>63</v>
      </c>
      <c r="F45" s="3" t="s">
        <v>2057</v>
      </c>
    </row>
    <row r="46" spans="1:6" x14ac:dyDescent="0.25">
      <c r="A46" s="3" t="str">
        <f t="shared" si="0"/>
        <v>q3A_NonListedRealEstate</v>
      </c>
      <c r="C46" s="3" t="s">
        <v>64</v>
      </c>
      <c r="D46" s="5" t="s">
        <v>62</v>
      </c>
      <c r="E46" s="3" t="s">
        <v>65</v>
      </c>
      <c r="F46" s="3" t="s">
        <v>2058</v>
      </c>
    </row>
    <row r="47" spans="1:6" s="6" customFormat="1" x14ac:dyDescent="0.25">
      <c r="A47" s="3" t="str">
        <f t="shared" si="0"/>
        <v/>
      </c>
      <c r="D47" s="7"/>
      <c r="E47" s="6" t="s">
        <v>2944</v>
      </c>
      <c r="F47" s="3">
        <v>5</v>
      </c>
    </row>
    <row r="48" spans="1:6" x14ac:dyDescent="0.25">
      <c r="A48" s="3" t="str">
        <f t="shared" si="0"/>
        <v>q3B_TotalRealEstate</v>
      </c>
      <c r="C48" s="3" t="s">
        <v>66</v>
      </c>
      <c r="D48" s="5" t="s">
        <v>62</v>
      </c>
      <c r="E48" s="3" t="s">
        <v>63</v>
      </c>
      <c r="F48" s="3" t="s">
        <v>2059</v>
      </c>
    </row>
    <row r="49" spans="1:6" x14ac:dyDescent="0.25">
      <c r="A49" s="3" t="str">
        <f t="shared" si="0"/>
        <v>q3B_NonListedRealEstate</v>
      </c>
      <c r="C49" s="3" t="s">
        <v>67</v>
      </c>
      <c r="D49" s="5" t="s">
        <v>62</v>
      </c>
      <c r="E49" s="3" t="s">
        <v>68</v>
      </c>
      <c r="F49" s="3" t="s">
        <v>2060</v>
      </c>
    </row>
    <row r="50" spans="1:6" s="6" customFormat="1" x14ac:dyDescent="0.25">
      <c r="A50" s="3" t="str">
        <f t="shared" si="0"/>
        <v/>
      </c>
      <c r="D50" s="7"/>
      <c r="E50" s="6" t="s">
        <v>2945</v>
      </c>
      <c r="F50" s="3">
        <v>6</v>
      </c>
    </row>
    <row r="51" spans="1:6" x14ac:dyDescent="0.25">
      <c r="A51" s="3" t="str">
        <f t="shared" si="0"/>
        <v>q31_1</v>
      </c>
      <c r="C51" s="3" t="s">
        <v>69</v>
      </c>
      <c r="D51" s="5" t="s">
        <v>62</v>
      </c>
      <c r="E51" s="3" t="s">
        <v>70</v>
      </c>
      <c r="F51" s="3" t="s">
        <v>2061</v>
      </c>
    </row>
    <row r="52" spans="1:6" x14ac:dyDescent="0.25">
      <c r="A52" s="3" t="str">
        <f t="shared" si="0"/>
        <v>q31_2</v>
      </c>
      <c r="C52" s="3" t="s">
        <v>71</v>
      </c>
      <c r="D52" s="5" t="s">
        <v>62</v>
      </c>
      <c r="E52" s="3" t="s">
        <v>72</v>
      </c>
      <c r="F52" s="3" t="s">
        <v>2062</v>
      </c>
    </row>
    <row r="53" spans="1:6" x14ac:dyDescent="0.25">
      <c r="A53" s="3" t="str">
        <f t="shared" si="0"/>
        <v>q31_3</v>
      </c>
      <c r="C53" s="3" t="s">
        <v>73</v>
      </c>
      <c r="D53" s="5" t="s">
        <v>62</v>
      </c>
      <c r="E53" s="3" t="s">
        <v>74</v>
      </c>
      <c r="F53" s="3" t="s">
        <v>2063</v>
      </c>
    </row>
    <row r="54" spans="1:6" x14ac:dyDescent="0.25">
      <c r="A54" s="3" t="str">
        <f t="shared" si="0"/>
        <v>q31_4</v>
      </c>
      <c r="C54" s="3" t="s">
        <v>75</v>
      </c>
      <c r="D54" s="5" t="s">
        <v>62</v>
      </c>
      <c r="E54" s="3" t="s">
        <v>76</v>
      </c>
      <c r="F54" s="3" t="s">
        <v>2064</v>
      </c>
    </row>
    <row r="55" spans="1:6" x14ac:dyDescent="0.25">
      <c r="A55" s="3" t="str">
        <f t="shared" si="0"/>
        <v>q31_5</v>
      </c>
      <c r="C55" s="3" t="s">
        <v>77</v>
      </c>
      <c r="D55" s="5" t="s">
        <v>62</v>
      </c>
      <c r="E55" s="3" t="s">
        <v>78</v>
      </c>
      <c r="F55" s="3" t="s">
        <v>2065</v>
      </c>
    </row>
    <row r="56" spans="1:6" x14ac:dyDescent="0.25">
      <c r="A56" s="3" t="str">
        <f t="shared" si="0"/>
        <v>q31_6</v>
      </c>
      <c r="C56" s="3" t="s">
        <v>79</v>
      </c>
      <c r="D56" s="5" t="s">
        <v>62</v>
      </c>
      <c r="E56" s="3" t="s">
        <v>80</v>
      </c>
      <c r="F56" s="3" t="s">
        <v>2066</v>
      </c>
    </row>
    <row r="57" spans="1:6" x14ac:dyDescent="0.25">
      <c r="A57" s="3" t="str">
        <f t="shared" si="0"/>
        <v>q3ROW1_hidden</v>
      </c>
      <c r="C57" s="3" t="s">
        <v>81</v>
      </c>
      <c r="D57" s="5" t="s">
        <v>62</v>
      </c>
      <c r="E57" s="8" t="s">
        <v>82</v>
      </c>
      <c r="F57" s="3" t="s">
        <v>2067</v>
      </c>
    </row>
    <row r="58" spans="1:6" x14ac:dyDescent="0.25">
      <c r="A58" s="3" t="str">
        <f t="shared" si="0"/>
        <v>q32_1</v>
      </c>
      <c r="C58" s="3" t="s">
        <v>83</v>
      </c>
      <c r="D58" s="5" t="s">
        <v>62</v>
      </c>
      <c r="E58" s="3" t="s">
        <v>84</v>
      </c>
      <c r="F58" s="3" t="s">
        <v>2068</v>
      </c>
    </row>
    <row r="59" spans="1:6" x14ac:dyDescent="0.25">
      <c r="A59" s="3" t="str">
        <f t="shared" si="0"/>
        <v>q32_2</v>
      </c>
      <c r="C59" s="3" t="s">
        <v>85</v>
      </c>
      <c r="D59" s="5" t="s">
        <v>62</v>
      </c>
      <c r="E59" s="3" t="s">
        <v>86</v>
      </c>
      <c r="F59" s="3" t="s">
        <v>2069</v>
      </c>
    </row>
    <row r="60" spans="1:6" x14ac:dyDescent="0.25">
      <c r="A60" s="3" t="str">
        <f t="shared" si="0"/>
        <v>q32_3</v>
      </c>
      <c r="C60" s="3" t="s">
        <v>87</v>
      </c>
      <c r="D60" s="5" t="s">
        <v>62</v>
      </c>
      <c r="E60" s="3" t="s">
        <v>88</v>
      </c>
      <c r="F60" s="3" t="s">
        <v>2070</v>
      </c>
    </row>
    <row r="61" spans="1:6" x14ac:dyDescent="0.25">
      <c r="A61" s="3" t="str">
        <f t="shared" si="0"/>
        <v>q32_4</v>
      </c>
      <c r="C61" s="3" t="s">
        <v>89</v>
      </c>
      <c r="D61" s="5" t="s">
        <v>62</v>
      </c>
      <c r="E61" s="3" t="s">
        <v>90</v>
      </c>
      <c r="F61" s="3" t="s">
        <v>2071</v>
      </c>
    </row>
    <row r="62" spans="1:6" x14ac:dyDescent="0.25">
      <c r="A62" s="3" t="str">
        <f t="shared" si="0"/>
        <v>q32_5</v>
      </c>
      <c r="C62" s="3" t="s">
        <v>91</v>
      </c>
      <c r="D62" s="5" t="s">
        <v>62</v>
      </c>
      <c r="E62" s="3" t="s">
        <v>92</v>
      </c>
      <c r="F62" s="3" t="s">
        <v>2072</v>
      </c>
    </row>
    <row r="63" spans="1:6" x14ac:dyDescent="0.25">
      <c r="A63" s="3" t="str">
        <f t="shared" si="0"/>
        <v>q32_6</v>
      </c>
      <c r="C63" s="3" t="s">
        <v>93</v>
      </c>
      <c r="D63" s="5" t="s">
        <v>62</v>
      </c>
      <c r="E63" s="3" t="s">
        <v>94</v>
      </c>
      <c r="F63" s="3" t="s">
        <v>2073</v>
      </c>
    </row>
    <row r="64" spans="1:6" x14ac:dyDescent="0.25">
      <c r="A64" s="3" t="str">
        <f t="shared" si="0"/>
        <v>q3ROW2_hidden</v>
      </c>
      <c r="C64" s="3" t="s">
        <v>95</v>
      </c>
      <c r="D64" s="5" t="s">
        <v>62</v>
      </c>
      <c r="E64" s="8" t="s">
        <v>96</v>
      </c>
      <c r="F64" s="3" t="s">
        <v>2074</v>
      </c>
    </row>
    <row r="65" spans="1:6" x14ac:dyDescent="0.25">
      <c r="A65" s="3" t="str">
        <f t="shared" si="0"/>
        <v>q33_1</v>
      </c>
      <c r="C65" s="3" t="s">
        <v>97</v>
      </c>
      <c r="D65" s="5" t="s">
        <v>62</v>
      </c>
      <c r="E65" s="3" t="s">
        <v>98</v>
      </c>
      <c r="F65" s="3" t="s">
        <v>2075</v>
      </c>
    </row>
    <row r="66" spans="1:6" x14ac:dyDescent="0.25">
      <c r="A66" s="3" t="str">
        <f t="shared" si="0"/>
        <v>q33_2</v>
      </c>
      <c r="C66" s="3" t="s">
        <v>99</v>
      </c>
      <c r="D66" s="5" t="s">
        <v>62</v>
      </c>
      <c r="E66" s="3" t="s">
        <v>100</v>
      </c>
      <c r="F66" s="3" t="s">
        <v>2076</v>
      </c>
    </row>
    <row r="67" spans="1:6" x14ac:dyDescent="0.25">
      <c r="A67" s="3" t="str">
        <f t="shared" ref="A67:A130" si="1">_xlfn.CONCAT(C67,B67)</f>
        <v>q33_3</v>
      </c>
      <c r="C67" s="3" t="s">
        <v>101</v>
      </c>
      <c r="D67" s="5" t="s">
        <v>62</v>
      </c>
      <c r="E67" s="3" t="s">
        <v>102</v>
      </c>
      <c r="F67" s="3" t="s">
        <v>2077</v>
      </c>
    </row>
    <row r="68" spans="1:6" x14ac:dyDescent="0.25">
      <c r="A68" s="3" t="str">
        <f t="shared" si="1"/>
        <v>q33_4</v>
      </c>
      <c r="C68" s="3" t="s">
        <v>103</v>
      </c>
      <c r="D68" s="5" t="s">
        <v>62</v>
      </c>
      <c r="E68" s="3" t="s">
        <v>104</v>
      </c>
      <c r="F68" s="3" t="s">
        <v>2078</v>
      </c>
    </row>
    <row r="69" spans="1:6" x14ac:dyDescent="0.25">
      <c r="A69" s="3" t="str">
        <f t="shared" si="1"/>
        <v>q33_5</v>
      </c>
      <c r="C69" s="3" t="s">
        <v>105</v>
      </c>
      <c r="D69" s="5" t="s">
        <v>62</v>
      </c>
      <c r="E69" s="3" t="s">
        <v>106</v>
      </c>
      <c r="F69" s="3" t="s">
        <v>2079</v>
      </c>
    </row>
    <row r="70" spans="1:6" x14ac:dyDescent="0.25">
      <c r="A70" s="3" t="str">
        <f t="shared" si="1"/>
        <v>q33_6</v>
      </c>
      <c r="C70" s="3" t="s">
        <v>107</v>
      </c>
      <c r="D70" s="5" t="s">
        <v>62</v>
      </c>
      <c r="E70" s="3" t="s">
        <v>108</v>
      </c>
      <c r="F70" s="3" t="s">
        <v>2080</v>
      </c>
    </row>
    <row r="71" spans="1:6" x14ac:dyDescent="0.25">
      <c r="A71" s="3" t="str">
        <f t="shared" si="1"/>
        <v>q3ROW3_hidden</v>
      </c>
      <c r="C71" s="3" t="s">
        <v>109</v>
      </c>
      <c r="D71" s="5" t="s">
        <v>62</v>
      </c>
      <c r="E71" s="8" t="s">
        <v>110</v>
      </c>
      <c r="F71" s="3" t="s">
        <v>2081</v>
      </c>
    </row>
    <row r="72" spans="1:6" x14ac:dyDescent="0.25">
      <c r="A72" s="3" t="str">
        <f t="shared" si="1"/>
        <v>q34_1</v>
      </c>
      <c r="C72" s="3" t="s">
        <v>111</v>
      </c>
      <c r="D72" s="5" t="s">
        <v>62</v>
      </c>
      <c r="E72" s="3" t="s">
        <v>112</v>
      </c>
      <c r="F72" s="3" t="s">
        <v>2082</v>
      </c>
    </row>
    <row r="73" spans="1:6" x14ac:dyDescent="0.25">
      <c r="A73" s="3" t="str">
        <f t="shared" si="1"/>
        <v>q34_2</v>
      </c>
      <c r="C73" s="3" t="s">
        <v>113</v>
      </c>
      <c r="D73" s="5" t="s">
        <v>62</v>
      </c>
      <c r="E73" s="3" t="s">
        <v>114</v>
      </c>
      <c r="F73" s="3" t="s">
        <v>2083</v>
      </c>
    </row>
    <row r="74" spans="1:6" x14ac:dyDescent="0.25">
      <c r="A74" s="3" t="str">
        <f t="shared" si="1"/>
        <v>q34_3</v>
      </c>
      <c r="C74" s="3" t="s">
        <v>115</v>
      </c>
      <c r="D74" s="5" t="s">
        <v>62</v>
      </c>
      <c r="E74" s="3" t="s">
        <v>116</v>
      </c>
      <c r="F74" s="3" t="s">
        <v>2084</v>
      </c>
    </row>
    <row r="75" spans="1:6" x14ac:dyDescent="0.25">
      <c r="A75" s="3" t="str">
        <f t="shared" si="1"/>
        <v>q34_4</v>
      </c>
      <c r="C75" s="3" t="s">
        <v>117</v>
      </c>
      <c r="D75" s="5" t="s">
        <v>62</v>
      </c>
      <c r="E75" s="3" t="s">
        <v>118</v>
      </c>
      <c r="F75" s="3" t="s">
        <v>2085</v>
      </c>
    </row>
    <row r="76" spans="1:6" x14ac:dyDescent="0.25">
      <c r="A76" s="3" t="str">
        <f t="shared" si="1"/>
        <v>q34_5</v>
      </c>
      <c r="C76" s="3" t="s">
        <v>119</v>
      </c>
      <c r="D76" s="5" t="s">
        <v>62</v>
      </c>
      <c r="E76" s="3" t="s">
        <v>120</v>
      </c>
      <c r="F76" s="3" t="s">
        <v>2086</v>
      </c>
    </row>
    <row r="77" spans="1:6" x14ac:dyDescent="0.25">
      <c r="A77" s="3" t="str">
        <f t="shared" si="1"/>
        <v>q34_6</v>
      </c>
      <c r="C77" s="3" t="s">
        <v>121</v>
      </c>
      <c r="D77" s="5" t="s">
        <v>62</v>
      </c>
      <c r="E77" s="3" t="s">
        <v>122</v>
      </c>
      <c r="F77" s="3" t="s">
        <v>2087</v>
      </c>
    </row>
    <row r="78" spans="1:6" x14ac:dyDescent="0.25">
      <c r="A78" s="3" t="str">
        <f t="shared" si="1"/>
        <v>q3ROW4_hidden</v>
      </c>
      <c r="C78" s="3" t="s">
        <v>123</v>
      </c>
      <c r="D78" s="5" t="s">
        <v>62</v>
      </c>
      <c r="E78" s="8" t="s">
        <v>124</v>
      </c>
      <c r="F78" s="3" t="s">
        <v>2088</v>
      </c>
    </row>
    <row r="79" spans="1:6" x14ac:dyDescent="0.25">
      <c r="A79" s="3" t="str">
        <f t="shared" si="1"/>
        <v>q35_1</v>
      </c>
      <c r="C79" s="3" t="s">
        <v>125</v>
      </c>
      <c r="D79" s="5" t="s">
        <v>62</v>
      </c>
      <c r="E79" s="3" t="s">
        <v>126</v>
      </c>
      <c r="F79" s="3" t="s">
        <v>2089</v>
      </c>
    </row>
    <row r="80" spans="1:6" x14ac:dyDescent="0.25">
      <c r="A80" s="3" t="str">
        <f t="shared" si="1"/>
        <v>q35_2</v>
      </c>
      <c r="C80" s="3" t="s">
        <v>127</v>
      </c>
      <c r="D80" s="5" t="s">
        <v>62</v>
      </c>
      <c r="E80" s="3" t="s">
        <v>128</v>
      </c>
      <c r="F80" s="3" t="s">
        <v>2090</v>
      </c>
    </row>
    <row r="81" spans="1:6" x14ac:dyDescent="0.25">
      <c r="A81" s="3" t="str">
        <f t="shared" si="1"/>
        <v>q35_3</v>
      </c>
      <c r="C81" s="3" t="s">
        <v>129</v>
      </c>
      <c r="D81" s="5" t="s">
        <v>62</v>
      </c>
      <c r="E81" s="3" t="s">
        <v>130</v>
      </c>
      <c r="F81" s="3" t="s">
        <v>2091</v>
      </c>
    </row>
    <row r="82" spans="1:6" x14ac:dyDescent="0.25">
      <c r="A82" s="3" t="str">
        <f t="shared" si="1"/>
        <v>q35_4</v>
      </c>
      <c r="C82" s="3" t="s">
        <v>131</v>
      </c>
      <c r="D82" s="5" t="s">
        <v>62</v>
      </c>
      <c r="E82" s="3" t="s">
        <v>132</v>
      </c>
      <c r="F82" s="3" t="s">
        <v>2092</v>
      </c>
    </row>
    <row r="83" spans="1:6" x14ac:dyDescent="0.25">
      <c r="A83" s="3" t="str">
        <f t="shared" si="1"/>
        <v>q35_5</v>
      </c>
      <c r="C83" s="3" t="s">
        <v>133</v>
      </c>
      <c r="D83" s="5" t="s">
        <v>62</v>
      </c>
      <c r="E83" s="3" t="s">
        <v>134</v>
      </c>
      <c r="F83" s="3" t="s">
        <v>2093</v>
      </c>
    </row>
    <row r="84" spans="1:6" x14ac:dyDescent="0.25">
      <c r="A84" s="3" t="str">
        <f t="shared" si="1"/>
        <v>q35_6</v>
      </c>
      <c r="C84" s="3" t="s">
        <v>135</v>
      </c>
      <c r="D84" s="5" t="s">
        <v>62</v>
      </c>
      <c r="E84" s="3" t="s">
        <v>136</v>
      </c>
      <c r="F84" s="3" t="s">
        <v>2094</v>
      </c>
    </row>
    <row r="85" spans="1:6" x14ac:dyDescent="0.25">
      <c r="A85" s="3" t="str">
        <f t="shared" si="1"/>
        <v>q3ROW5_hidden</v>
      </c>
      <c r="C85" s="3" t="s">
        <v>137</v>
      </c>
      <c r="D85" s="5" t="s">
        <v>62</v>
      </c>
      <c r="E85" s="8" t="s">
        <v>138</v>
      </c>
      <c r="F85" s="3" t="s">
        <v>2095</v>
      </c>
    </row>
    <row r="86" spans="1:6" x14ac:dyDescent="0.25">
      <c r="A86" s="3" t="str">
        <f t="shared" si="1"/>
        <v>q36_1</v>
      </c>
      <c r="C86" s="3" t="s">
        <v>139</v>
      </c>
      <c r="D86" s="5" t="s">
        <v>62</v>
      </c>
      <c r="E86" s="3" t="s">
        <v>140</v>
      </c>
      <c r="F86" s="3" t="s">
        <v>2096</v>
      </c>
    </row>
    <row r="87" spans="1:6" x14ac:dyDescent="0.25">
      <c r="A87" s="3" t="str">
        <f t="shared" si="1"/>
        <v>q36_2</v>
      </c>
      <c r="C87" s="3" t="s">
        <v>141</v>
      </c>
      <c r="D87" s="5" t="s">
        <v>62</v>
      </c>
      <c r="E87" s="3" t="s">
        <v>142</v>
      </c>
      <c r="F87" s="3" t="s">
        <v>2097</v>
      </c>
    </row>
    <row r="88" spans="1:6" x14ac:dyDescent="0.25">
      <c r="A88" s="3" t="str">
        <f t="shared" si="1"/>
        <v>q36_3</v>
      </c>
      <c r="C88" s="3" t="s">
        <v>143</v>
      </c>
      <c r="D88" s="5" t="s">
        <v>62</v>
      </c>
      <c r="E88" s="3" t="s">
        <v>144</v>
      </c>
      <c r="F88" s="3" t="s">
        <v>2098</v>
      </c>
    </row>
    <row r="89" spans="1:6" x14ac:dyDescent="0.25">
      <c r="A89" s="3" t="str">
        <f t="shared" si="1"/>
        <v>q36_4</v>
      </c>
      <c r="C89" s="3" t="s">
        <v>145</v>
      </c>
      <c r="D89" s="5" t="s">
        <v>62</v>
      </c>
      <c r="E89" s="3" t="s">
        <v>146</v>
      </c>
      <c r="F89" s="3" t="s">
        <v>2099</v>
      </c>
    </row>
    <row r="90" spans="1:6" x14ac:dyDescent="0.25">
      <c r="A90" s="3" t="str">
        <f t="shared" si="1"/>
        <v>q36_5</v>
      </c>
      <c r="C90" s="3" t="s">
        <v>147</v>
      </c>
      <c r="D90" s="5" t="s">
        <v>62</v>
      </c>
      <c r="E90" s="3" t="s">
        <v>148</v>
      </c>
      <c r="F90" s="3" t="s">
        <v>2100</v>
      </c>
    </row>
    <row r="91" spans="1:6" x14ac:dyDescent="0.25">
      <c r="A91" s="3" t="str">
        <f t="shared" si="1"/>
        <v>q36_6</v>
      </c>
      <c r="C91" s="3" t="s">
        <v>149</v>
      </c>
      <c r="D91" s="5" t="s">
        <v>62</v>
      </c>
      <c r="E91" s="3" t="s">
        <v>150</v>
      </c>
      <c r="F91" s="3" t="s">
        <v>2101</v>
      </c>
    </row>
    <row r="92" spans="1:6" x14ac:dyDescent="0.25">
      <c r="A92" s="3" t="str">
        <f t="shared" si="1"/>
        <v>q3ROW6_hidden</v>
      </c>
      <c r="C92" s="3" t="s">
        <v>151</v>
      </c>
      <c r="D92" s="5" t="s">
        <v>62</v>
      </c>
      <c r="E92" s="8" t="s">
        <v>152</v>
      </c>
      <c r="F92" s="3" t="s">
        <v>2102</v>
      </c>
    </row>
    <row r="93" spans="1:6" x14ac:dyDescent="0.25">
      <c r="A93" s="3" t="str">
        <f t="shared" si="1"/>
        <v>q3COL1_hidden</v>
      </c>
      <c r="C93" s="3" t="s">
        <v>153</v>
      </c>
      <c r="D93" s="5" t="s">
        <v>62</v>
      </c>
      <c r="E93" s="8" t="s">
        <v>154</v>
      </c>
      <c r="F93" s="3" t="s">
        <v>2103</v>
      </c>
    </row>
    <row r="94" spans="1:6" x14ac:dyDescent="0.25">
      <c r="A94" s="3" t="str">
        <f t="shared" si="1"/>
        <v>q3COL2_hidden</v>
      </c>
      <c r="C94" s="3" t="s">
        <v>155</v>
      </c>
      <c r="D94" s="5" t="s">
        <v>62</v>
      </c>
      <c r="E94" s="8" t="s">
        <v>156</v>
      </c>
      <c r="F94" s="3" t="s">
        <v>2104</v>
      </c>
    </row>
    <row r="95" spans="1:6" x14ac:dyDescent="0.25">
      <c r="A95" s="3" t="str">
        <f t="shared" si="1"/>
        <v>q3COL3_hidden</v>
      </c>
      <c r="C95" s="3" t="s">
        <v>157</v>
      </c>
      <c r="D95" s="5" t="s">
        <v>62</v>
      </c>
      <c r="E95" s="8" t="s">
        <v>158</v>
      </c>
      <c r="F95" s="3" t="s">
        <v>2105</v>
      </c>
    </row>
    <row r="96" spans="1:6" x14ac:dyDescent="0.25">
      <c r="A96" s="3" t="str">
        <f t="shared" si="1"/>
        <v>q3COL4_hidden</v>
      </c>
      <c r="C96" s="3" t="s">
        <v>159</v>
      </c>
      <c r="D96" s="5" t="s">
        <v>62</v>
      </c>
      <c r="E96" s="8" t="s">
        <v>160</v>
      </c>
      <c r="F96" s="3" t="s">
        <v>2106</v>
      </c>
    </row>
    <row r="97" spans="1:6" x14ac:dyDescent="0.25">
      <c r="A97" s="3" t="str">
        <f t="shared" si="1"/>
        <v>q3COL5_hidden</v>
      </c>
      <c r="C97" s="3" t="s">
        <v>161</v>
      </c>
      <c r="D97" s="5" t="s">
        <v>62</v>
      </c>
      <c r="E97" s="8" t="s">
        <v>162</v>
      </c>
      <c r="F97" s="3" t="s">
        <v>2107</v>
      </c>
    </row>
    <row r="98" spans="1:6" x14ac:dyDescent="0.25">
      <c r="A98" s="3" t="str">
        <f t="shared" si="1"/>
        <v>q3COL6_hidden</v>
      </c>
      <c r="C98" s="3" t="s">
        <v>163</v>
      </c>
      <c r="D98" s="5" t="s">
        <v>62</v>
      </c>
      <c r="E98" s="8" t="s">
        <v>164</v>
      </c>
      <c r="F98" s="3" t="s">
        <v>2108</v>
      </c>
    </row>
    <row r="99" spans="1:6" x14ac:dyDescent="0.25">
      <c r="A99" s="3" t="str">
        <f t="shared" si="1"/>
        <v>q3GRANDTotal_hidden</v>
      </c>
      <c r="C99" s="3" t="s">
        <v>165</v>
      </c>
      <c r="D99" s="5" t="s">
        <v>62</v>
      </c>
      <c r="E99" s="8" t="s">
        <v>2962</v>
      </c>
      <c r="F99" s="3" t="s">
        <v>2109</v>
      </c>
    </row>
    <row r="100" spans="1:6" s="6" customFormat="1" x14ac:dyDescent="0.25">
      <c r="A100" s="3" t="str">
        <f t="shared" si="1"/>
        <v/>
      </c>
      <c r="D100" s="7"/>
      <c r="E100" s="6" t="s">
        <v>2946</v>
      </c>
      <c r="F100" s="3">
        <v>7</v>
      </c>
    </row>
    <row r="101" spans="1:6" x14ac:dyDescent="0.25">
      <c r="A101" s="3" t="str">
        <f t="shared" si="1"/>
        <v>q41_1</v>
      </c>
      <c r="C101" s="3" t="s">
        <v>166</v>
      </c>
      <c r="D101" s="5" t="s">
        <v>167</v>
      </c>
      <c r="E101" s="3" t="s">
        <v>70</v>
      </c>
      <c r="F101" s="3" t="s">
        <v>2110</v>
      </c>
    </row>
    <row r="102" spans="1:6" x14ac:dyDescent="0.25">
      <c r="A102" s="3" t="str">
        <f t="shared" si="1"/>
        <v>q41_2</v>
      </c>
      <c r="C102" s="3" t="s">
        <v>168</v>
      </c>
      <c r="D102" s="5" t="s">
        <v>167</v>
      </c>
      <c r="E102" s="3" t="s">
        <v>72</v>
      </c>
      <c r="F102" s="3" t="s">
        <v>2111</v>
      </c>
    </row>
    <row r="103" spans="1:6" x14ac:dyDescent="0.25">
      <c r="A103" s="3" t="str">
        <f t="shared" si="1"/>
        <v>q41_3</v>
      </c>
      <c r="C103" s="3" t="s">
        <v>169</v>
      </c>
      <c r="D103" s="5" t="s">
        <v>167</v>
      </c>
      <c r="E103" s="3" t="s">
        <v>74</v>
      </c>
      <c r="F103" s="3" t="s">
        <v>2112</v>
      </c>
    </row>
    <row r="104" spans="1:6" x14ac:dyDescent="0.25">
      <c r="A104" s="3" t="str">
        <f t="shared" si="1"/>
        <v>q41_4</v>
      </c>
      <c r="C104" s="3" t="s">
        <v>170</v>
      </c>
      <c r="D104" s="5" t="s">
        <v>167</v>
      </c>
      <c r="E104" s="3" t="s">
        <v>76</v>
      </c>
      <c r="F104" s="3" t="s">
        <v>2113</v>
      </c>
    </row>
    <row r="105" spans="1:6" x14ac:dyDescent="0.25">
      <c r="A105" s="3" t="str">
        <f t="shared" si="1"/>
        <v>q41_5</v>
      </c>
      <c r="C105" s="3" t="s">
        <v>171</v>
      </c>
      <c r="D105" s="5" t="s">
        <v>167</v>
      </c>
      <c r="E105" s="3" t="s">
        <v>78</v>
      </c>
      <c r="F105" s="3" t="s">
        <v>2114</v>
      </c>
    </row>
    <row r="106" spans="1:6" x14ac:dyDescent="0.25">
      <c r="A106" s="3" t="str">
        <f t="shared" si="1"/>
        <v>q41_6</v>
      </c>
      <c r="C106" s="3" t="s">
        <v>172</v>
      </c>
      <c r="D106" s="5" t="s">
        <v>167</v>
      </c>
      <c r="E106" s="3" t="s">
        <v>80</v>
      </c>
      <c r="F106" s="3" t="s">
        <v>2115</v>
      </c>
    </row>
    <row r="107" spans="1:6" x14ac:dyDescent="0.25">
      <c r="A107" s="3" t="str">
        <f t="shared" si="1"/>
        <v>q4ROW1_hidden</v>
      </c>
      <c r="C107" s="3" t="s">
        <v>173</v>
      </c>
      <c r="D107" s="5" t="s">
        <v>167</v>
      </c>
      <c r="E107" s="8" t="s">
        <v>82</v>
      </c>
      <c r="F107" s="3" t="s">
        <v>2116</v>
      </c>
    </row>
    <row r="108" spans="1:6" x14ac:dyDescent="0.25">
      <c r="A108" s="3" t="str">
        <f t="shared" si="1"/>
        <v>q42_1</v>
      </c>
      <c r="C108" s="3" t="s">
        <v>174</v>
      </c>
      <c r="D108" s="5" t="s">
        <v>167</v>
      </c>
      <c r="E108" s="3" t="s">
        <v>84</v>
      </c>
      <c r="F108" s="3" t="s">
        <v>2117</v>
      </c>
    </row>
    <row r="109" spans="1:6" x14ac:dyDescent="0.25">
      <c r="A109" s="3" t="str">
        <f t="shared" si="1"/>
        <v>q42_2</v>
      </c>
      <c r="C109" s="3" t="s">
        <v>175</v>
      </c>
      <c r="D109" s="5" t="s">
        <v>167</v>
      </c>
      <c r="E109" s="3" t="s">
        <v>86</v>
      </c>
      <c r="F109" s="3" t="s">
        <v>2118</v>
      </c>
    </row>
    <row r="110" spans="1:6" x14ac:dyDescent="0.25">
      <c r="A110" s="3" t="str">
        <f t="shared" si="1"/>
        <v>q42_3</v>
      </c>
      <c r="C110" s="3" t="s">
        <v>176</v>
      </c>
      <c r="D110" s="5" t="s">
        <v>167</v>
      </c>
      <c r="E110" s="3" t="s">
        <v>88</v>
      </c>
      <c r="F110" s="3" t="s">
        <v>2119</v>
      </c>
    </row>
    <row r="111" spans="1:6" x14ac:dyDescent="0.25">
      <c r="A111" s="3" t="str">
        <f t="shared" si="1"/>
        <v>q42_4</v>
      </c>
      <c r="C111" s="3" t="s">
        <v>177</v>
      </c>
      <c r="D111" s="5" t="s">
        <v>167</v>
      </c>
      <c r="E111" s="3" t="s">
        <v>90</v>
      </c>
      <c r="F111" s="3" t="s">
        <v>2120</v>
      </c>
    </row>
    <row r="112" spans="1:6" x14ac:dyDescent="0.25">
      <c r="A112" s="3" t="str">
        <f t="shared" si="1"/>
        <v>q42_5</v>
      </c>
      <c r="C112" s="3" t="s">
        <v>178</v>
      </c>
      <c r="D112" s="5" t="s">
        <v>167</v>
      </c>
      <c r="E112" s="3" t="s">
        <v>92</v>
      </c>
      <c r="F112" s="3" t="s">
        <v>2121</v>
      </c>
    </row>
    <row r="113" spans="1:6" x14ac:dyDescent="0.25">
      <c r="A113" s="3" t="str">
        <f t="shared" si="1"/>
        <v>q42_6</v>
      </c>
      <c r="C113" s="3" t="s">
        <v>179</v>
      </c>
      <c r="D113" s="5" t="s">
        <v>167</v>
      </c>
      <c r="E113" s="3" t="s">
        <v>94</v>
      </c>
      <c r="F113" s="3" t="s">
        <v>2122</v>
      </c>
    </row>
    <row r="114" spans="1:6" x14ac:dyDescent="0.25">
      <c r="A114" s="3" t="str">
        <f t="shared" si="1"/>
        <v>q4ROW2_hidden</v>
      </c>
      <c r="C114" s="3" t="s">
        <v>180</v>
      </c>
      <c r="D114" s="5" t="s">
        <v>167</v>
      </c>
      <c r="E114" s="8" t="s">
        <v>96</v>
      </c>
      <c r="F114" s="3" t="s">
        <v>2123</v>
      </c>
    </row>
    <row r="115" spans="1:6" x14ac:dyDescent="0.25">
      <c r="A115" s="3" t="str">
        <f t="shared" si="1"/>
        <v>q43_1</v>
      </c>
      <c r="C115" s="3" t="s">
        <v>181</v>
      </c>
      <c r="D115" s="5" t="s">
        <v>167</v>
      </c>
      <c r="E115" s="3" t="s">
        <v>98</v>
      </c>
      <c r="F115" s="3" t="s">
        <v>2124</v>
      </c>
    </row>
    <row r="116" spans="1:6" x14ac:dyDescent="0.25">
      <c r="A116" s="3" t="str">
        <f t="shared" si="1"/>
        <v>q43_2</v>
      </c>
      <c r="C116" s="3" t="s">
        <v>182</v>
      </c>
      <c r="D116" s="5" t="s">
        <v>167</v>
      </c>
      <c r="E116" s="3" t="s">
        <v>100</v>
      </c>
      <c r="F116" s="3" t="s">
        <v>2125</v>
      </c>
    </row>
    <row r="117" spans="1:6" x14ac:dyDescent="0.25">
      <c r="A117" s="3" t="str">
        <f t="shared" si="1"/>
        <v>q43_3</v>
      </c>
      <c r="C117" s="3" t="s">
        <v>183</v>
      </c>
      <c r="D117" s="5" t="s">
        <v>167</v>
      </c>
      <c r="E117" s="3" t="s">
        <v>102</v>
      </c>
      <c r="F117" s="3" t="s">
        <v>2126</v>
      </c>
    </row>
    <row r="118" spans="1:6" x14ac:dyDescent="0.25">
      <c r="A118" s="3" t="str">
        <f t="shared" si="1"/>
        <v>q43_4</v>
      </c>
      <c r="C118" s="3" t="s">
        <v>184</v>
      </c>
      <c r="D118" s="5" t="s">
        <v>167</v>
      </c>
      <c r="E118" s="3" t="s">
        <v>104</v>
      </c>
      <c r="F118" s="3" t="s">
        <v>2127</v>
      </c>
    </row>
    <row r="119" spans="1:6" x14ac:dyDescent="0.25">
      <c r="A119" s="3" t="str">
        <f t="shared" si="1"/>
        <v>q43_5</v>
      </c>
      <c r="C119" s="3" t="s">
        <v>185</v>
      </c>
      <c r="D119" s="5" t="s">
        <v>167</v>
      </c>
      <c r="E119" s="3" t="s">
        <v>106</v>
      </c>
      <c r="F119" s="3" t="s">
        <v>2128</v>
      </c>
    </row>
    <row r="120" spans="1:6" x14ac:dyDescent="0.25">
      <c r="A120" s="3" t="str">
        <f t="shared" si="1"/>
        <v>q43_6</v>
      </c>
      <c r="C120" s="3" t="s">
        <v>186</v>
      </c>
      <c r="D120" s="5" t="s">
        <v>167</v>
      </c>
      <c r="E120" s="3" t="s">
        <v>108</v>
      </c>
      <c r="F120" s="3" t="s">
        <v>2129</v>
      </c>
    </row>
    <row r="121" spans="1:6" x14ac:dyDescent="0.25">
      <c r="A121" s="3" t="str">
        <f t="shared" si="1"/>
        <v>q4ROW3_hidden</v>
      </c>
      <c r="C121" s="3" t="s">
        <v>187</v>
      </c>
      <c r="D121" s="5" t="s">
        <v>167</v>
      </c>
      <c r="E121" s="8" t="s">
        <v>110</v>
      </c>
      <c r="F121" s="3" t="s">
        <v>2130</v>
      </c>
    </row>
    <row r="122" spans="1:6" x14ac:dyDescent="0.25">
      <c r="A122" s="3" t="str">
        <f t="shared" si="1"/>
        <v>q44_1</v>
      </c>
      <c r="C122" s="3" t="s">
        <v>188</v>
      </c>
      <c r="D122" s="5" t="s">
        <v>167</v>
      </c>
      <c r="E122" s="3" t="s">
        <v>112</v>
      </c>
      <c r="F122" s="3" t="s">
        <v>2131</v>
      </c>
    </row>
    <row r="123" spans="1:6" x14ac:dyDescent="0.25">
      <c r="A123" s="3" t="str">
        <f t="shared" si="1"/>
        <v>q44_2</v>
      </c>
      <c r="C123" s="3" t="s">
        <v>189</v>
      </c>
      <c r="D123" s="5" t="s">
        <v>167</v>
      </c>
      <c r="E123" s="3" t="s">
        <v>114</v>
      </c>
      <c r="F123" s="3" t="s">
        <v>2132</v>
      </c>
    </row>
    <row r="124" spans="1:6" x14ac:dyDescent="0.25">
      <c r="A124" s="3" t="str">
        <f t="shared" si="1"/>
        <v>q44_3</v>
      </c>
      <c r="C124" s="3" t="s">
        <v>190</v>
      </c>
      <c r="D124" s="5" t="s">
        <v>167</v>
      </c>
      <c r="E124" s="3" t="s">
        <v>116</v>
      </c>
      <c r="F124" s="3" t="s">
        <v>2133</v>
      </c>
    </row>
    <row r="125" spans="1:6" x14ac:dyDescent="0.25">
      <c r="A125" s="3" t="str">
        <f t="shared" si="1"/>
        <v>q44_4</v>
      </c>
      <c r="C125" s="3" t="s">
        <v>191</v>
      </c>
      <c r="D125" s="5" t="s">
        <v>167</v>
      </c>
      <c r="E125" s="3" t="s">
        <v>118</v>
      </c>
      <c r="F125" s="3" t="s">
        <v>2134</v>
      </c>
    </row>
    <row r="126" spans="1:6" x14ac:dyDescent="0.25">
      <c r="A126" s="3" t="str">
        <f t="shared" si="1"/>
        <v>q44_5</v>
      </c>
      <c r="C126" s="3" t="s">
        <v>192</v>
      </c>
      <c r="D126" s="5" t="s">
        <v>167</v>
      </c>
      <c r="E126" s="3" t="s">
        <v>120</v>
      </c>
      <c r="F126" s="3" t="s">
        <v>2135</v>
      </c>
    </row>
    <row r="127" spans="1:6" x14ac:dyDescent="0.25">
      <c r="A127" s="3" t="str">
        <f t="shared" si="1"/>
        <v>q44_6</v>
      </c>
      <c r="C127" s="3" t="s">
        <v>193</v>
      </c>
      <c r="D127" s="5" t="s">
        <v>167</v>
      </c>
      <c r="E127" s="3" t="s">
        <v>122</v>
      </c>
      <c r="F127" s="3" t="s">
        <v>2136</v>
      </c>
    </row>
    <row r="128" spans="1:6" x14ac:dyDescent="0.25">
      <c r="A128" s="3" t="str">
        <f t="shared" si="1"/>
        <v>q4ROW4_hidden</v>
      </c>
      <c r="C128" s="3" t="s">
        <v>194</v>
      </c>
      <c r="D128" s="5" t="s">
        <v>167</v>
      </c>
      <c r="E128" s="8" t="s">
        <v>124</v>
      </c>
      <c r="F128" s="3" t="s">
        <v>2137</v>
      </c>
    </row>
    <row r="129" spans="1:6" x14ac:dyDescent="0.25">
      <c r="A129" s="3" t="str">
        <f t="shared" si="1"/>
        <v>q45_1</v>
      </c>
      <c r="C129" s="3" t="s">
        <v>195</v>
      </c>
      <c r="D129" s="5" t="s">
        <v>167</v>
      </c>
      <c r="E129" s="3" t="s">
        <v>126</v>
      </c>
      <c r="F129" s="3" t="s">
        <v>2138</v>
      </c>
    </row>
    <row r="130" spans="1:6" x14ac:dyDescent="0.25">
      <c r="A130" s="3" t="str">
        <f t="shared" si="1"/>
        <v>q45_2</v>
      </c>
      <c r="C130" s="3" t="s">
        <v>196</v>
      </c>
      <c r="D130" s="5" t="s">
        <v>167</v>
      </c>
      <c r="E130" s="3" t="s">
        <v>128</v>
      </c>
      <c r="F130" s="3" t="s">
        <v>2139</v>
      </c>
    </row>
    <row r="131" spans="1:6" x14ac:dyDescent="0.25">
      <c r="A131" s="3" t="str">
        <f t="shared" ref="A131:A194" si="2">_xlfn.CONCAT(C131,B131)</f>
        <v>q45_3</v>
      </c>
      <c r="C131" s="3" t="s">
        <v>197</v>
      </c>
      <c r="D131" s="5" t="s">
        <v>167</v>
      </c>
      <c r="E131" s="3" t="s">
        <v>130</v>
      </c>
      <c r="F131" s="3" t="s">
        <v>2140</v>
      </c>
    </row>
    <row r="132" spans="1:6" x14ac:dyDescent="0.25">
      <c r="A132" s="3" t="str">
        <f t="shared" si="2"/>
        <v>q45_4</v>
      </c>
      <c r="C132" s="3" t="s">
        <v>198</v>
      </c>
      <c r="D132" s="5" t="s">
        <v>167</v>
      </c>
      <c r="E132" s="3" t="s">
        <v>132</v>
      </c>
      <c r="F132" s="3" t="s">
        <v>2141</v>
      </c>
    </row>
    <row r="133" spans="1:6" x14ac:dyDescent="0.25">
      <c r="A133" s="3" t="str">
        <f t="shared" si="2"/>
        <v>q45_5</v>
      </c>
      <c r="C133" s="3" t="s">
        <v>199</v>
      </c>
      <c r="D133" s="5" t="s">
        <v>167</v>
      </c>
      <c r="E133" s="3" t="s">
        <v>134</v>
      </c>
      <c r="F133" s="3" t="s">
        <v>2142</v>
      </c>
    </row>
    <row r="134" spans="1:6" x14ac:dyDescent="0.25">
      <c r="A134" s="3" t="str">
        <f t="shared" si="2"/>
        <v>q45_6</v>
      </c>
      <c r="C134" s="3" t="s">
        <v>200</v>
      </c>
      <c r="D134" s="5" t="s">
        <v>167</v>
      </c>
      <c r="E134" s="3" t="s">
        <v>136</v>
      </c>
      <c r="F134" s="3" t="s">
        <v>2143</v>
      </c>
    </row>
    <row r="135" spans="1:6" x14ac:dyDescent="0.25">
      <c r="A135" s="3" t="str">
        <f t="shared" si="2"/>
        <v>q4ROW5_hidden</v>
      </c>
      <c r="C135" s="3" t="s">
        <v>201</v>
      </c>
      <c r="D135" s="5" t="s">
        <v>167</v>
      </c>
      <c r="E135" s="8" t="s">
        <v>138</v>
      </c>
      <c r="F135" s="3" t="s">
        <v>2144</v>
      </c>
    </row>
    <row r="136" spans="1:6" x14ac:dyDescent="0.25">
      <c r="A136" s="3" t="str">
        <f t="shared" si="2"/>
        <v>q46_1</v>
      </c>
      <c r="C136" s="3" t="s">
        <v>202</v>
      </c>
      <c r="D136" s="5" t="s">
        <v>167</v>
      </c>
      <c r="E136" s="3" t="s">
        <v>140</v>
      </c>
      <c r="F136" s="3" t="s">
        <v>2145</v>
      </c>
    </row>
    <row r="137" spans="1:6" x14ac:dyDescent="0.25">
      <c r="A137" s="3" t="str">
        <f t="shared" si="2"/>
        <v>q46_2</v>
      </c>
      <c r="C137" s="3" t="s">
        <v>203</v>
      </c>
      <c r="D137" s="5" t="s">
        <v>167</v>
      </c>
      <c r="E137" s="3" t="s">
        <v>142</v>
      </c>
      <c r="F137" s="3" t="s">
        <v>2146</v>
      </c>
    </row>
    <row r="138" spans="1:6" x14ac:dyDescent="0.25">
      <c r="A138" s="3" t="str">
        <f t="shared" si="2"/>
        <v>q46_3</v>
      </c>
      <c r="C138" s="3" t="s">
        <v>204</v>
      </c>
      <c r="D138" s="5" t="s">
        <v>167</v>
      </c>
      <c r="E138" s="3" t="s">
        <v>144</v>
      </c>
      <c r="F138" s="3" t="s">
        <v>2147</v>
      </c>
    </row>
    <row r="139" spans="1:6" x14ac:dyDescent="0.25">
      <c r="A139" s="3" t="str">
        <f t="shared" si="2"/>
        <v>q46_4</v>
      </c>
      <c r="C139" s="3" t="s">
        <v>205</v>
      </c>
      <c r="D139" s="5" t="s">
        <v>167</v>
      </c>
      <c r="E139" s="3" t="s">
        <v>146</v>
      </c>
      <c r="F139" s="3" t="s">
        <v>2148</v>
      </c>
    </row>
    <row r="140" spans="1:6" x14ac:dyDescent="0.25">
      <c r="A140" s="3" t="str">
        <f t="shared" si="2"/>
        <v>q46_5</v>
      </c>
      <c r="C140" s="3" t="s">
        <v>206</v>
      </c>
      <c r="D140" s="5" t="s">
        <v>167</v>
      </c>
      <c r="E140" s="3" t="s">
        <v>148</v>
      </c>
      <c r="F140" s="3" t="s">
        <v>2149</v>
      </c>
    </row>
    <row r="141" spans="1:6" x14ac:dyDescent="0.25">
      <c r="A141" s="3" t="str">
        <f t="shared" si="2"/>
        <v>q46_6</v>
      </c>
      <c r="C141" s="3" t="s">
        <v>207</v>
      </c>
      <c r="D141" s="5" t="s">
        <v>167</v>
      </c>
      <c r="E141" s="3" t="s">
        <v>150</v>
      </c>
      <c r="F141" s="3" t="s">
        <v>2150</v>
      </c>
    </row>
    <row r="142" spans="1:6" x14ac:dyDescent="0.25">
      <c r="A142" s="3" t="str">
        <f t="shared" si="2"/>
        <v>q4ROW6_hidden</v>
      </c>
      <c r="C142" s="3" t="s">
        <v>208</v>
      </c>
      <c r="D142" s="5" t="s">
        <v>167</v>
      </c>
      <c r="E142" s="8" t="s">
        <v>152</v>
      </c>
      <c r="F142" s="3" t="s">
        <v>2151</v>
      </c>
    </row>
    <row r="143" spans="1:6" x14ac:dyDescent="0.25">
      <c r="A143" s="3" t="str">
        <f t="shared" si="2"/>
        <v>q4COL1_hidden</v>
      </c>
      <c r="C143" s="3" t="s">
        <v>209</v>
      </c>
      <c r="D143" s="5" t="s">
        <v>167</v>
      </c>
      <c r="E143" s="8" t="s">
        <v>154</v>
      </c>
      <c r="F143" s="3" t="s">
        <v>2152</v>
      </c>
    </row>
    <row r="144" spans="1:6" x14ac:dyDescent="0.25">
      <c r="A144" s="3" t="str">
        <f t="shared" si="2"/>
        <v>q4COL2_hidden</v>
      </c>
      <c r="C144" s="3" t="s">
        <v>210</v>
      </c>
      <c r="D144" s="5" t="s">
        <v>167</v>
      </c>
      <c r="E144" s="8" t="s">
        <v>156</v>
      </c>
      <c r="F144" s="3" t="s">
        <v>2153</v>
      </c>
    </row>
    <row r="145" spans="1:6" x14ac:dyDescent="0.25">
      <c r="A145" s="3" t="str">
        <f t="shared" si="2"/>
        <v>q4COL3_hidden</v>
      </c>
      <c r="C145" s="3" t="s">
        <v>211</v>
      </c>
      <c r="D145" s="5" t="s">
        <v>167</v>
      </c>
      <c r="E145" s="8" t="s">
        <v>158</v>
      </c>
      <c r="F145" s="3" t="s">
        <v>2154</v>
      </c>
    </row>
    <row r="146" spans="1:6" x14ac:dyDescent="0.25">
      <c r="A146" s="3" t="str">
        <f t="shared" si="2"/>
        <v>q4COL4_hidden</v>
      </c>
      <c r="C146" s="3" t="s">
        <v>212</v>
      </c>
      <c r="D146" s="5" t="s">
        <v>167</v>
      </c>
      <c r="E146" s="8" t="s">
        <v>160</v>
      </c>
      <c r="F146" s="3" t="s">
        <v>2155</v>
      </c>
    </row>
    <row r="147" spans="1:6" x14ac:dyDescent="0.25">
      <c r="A147" s="3" t="str">
        <f t="shared" si="2"/>
        <v>q4COL5_hidden</v>
      </c>
      <c r="C147" s="3" t="s">
        <v>213</v>
      </c>
      <c r="D147" s="5" t="s">
        <v>167</v>
      </c>
      <c r="E147" s="8" t="s">
        <v>162</v>
      </c>
      <c r="F147" s="3" t="s">
        <v>2156</v>
      </c>
    </row>
    <row r="148" spans="1:6" x14ac:dyDescent="0.25">
      <c r="A148" s="3" t="str">
        <f t="shared" si="2"/>
        <v>q4COL6_hidden</v>
      </c>
      <c r="C148" s="3" t="s">
        <v>214</v>
      </c>
      <c r="D148" s="5" t="s">
        <v>167</v>
      </c>
      <c r="E148" s="8" t="s">
        <v>164</v>
      </c>
      <c r="F148" s="3" t="s">
        <v>2157</v>
      </c>
    </row>
    <row r="149" spans="1:6" x14ac:dyDescent="0.25">
      <c r="A149" s="3" t="str">
        <f t="shared" si="2"/>
        <v>q4GRANDTotal_hidden</v>
      </c>
      <c r="C149" s="3" t="s">
        <v>215</v>
      </c>
      <c r="D149" s="5" t="s">
        <v>167</v>
      </c>
      <c r="E149" s="8" t="s">
        <v>2964</v>
      </c>
      <c r="F149" s="3" t="s">
        <v>2158</v>
      </c>
    </row>
    <row r="150" spans="1:6" x14ac:dyDescent="0.25">
      <c r="A150" s="3" t="str">
        <f t="shared" si="2"/>
        <v>Alert41_1</v>
      </c>
      <c r="C150" s="3" t="s">
        <v>216</v>
      </c>
      <c r="D150" s="4" t="s">
        <v>27</v>
      </c>
      <c r="E150" s="3" t="s">
        <v>217</v>
      </c>
      <c r="F150" s="3" t="s">
        <v>2159</v>
      </c>
    </row>
    <row r="151" spans="1:6" x14ac:dyDescent="0.25">
      <c r="A151" s="3" t="str">
        <f t="shared" si="2"/>
        <v>Alert41_2</v>
      </c>
      <c r="C151" s="3" t="s">
        <v>218</v>
      </c>
      <c r="D151" s="4" t="s">
        <v>27</v>
      </c>
      <c r="E151" s="3" t="s">
        <v>217</v>
      </c>
      <c r="F151" s="3" t="s">
        <v>2160</v>
      </c>
    </row>
    <row r="152" spans="1:6" x14ac:dyDescent="0.25">
      <c r="A152" s="3" t="str">
        <f t="shared" si="2"/>
        <v>Alert41_3</v>
      </c>
      <c r="C152" s="3" t="s">
        <v>219</v>
      </c>
      <c r="D152" s="4" t="s">
        <v>27</v>
      </c>
      <c r="E152" s="3" t="s">
        <v>217</v>
      </c>
      <c r="F152" s="3" t="s">
        <v>2161</v>
      </c>
    </row>
    <row r="153" spans="1:6" x14ac:dyDescent="0.25">
      <c r="A153" s="3" t="str">
        <f t="shared" si="2"/>
        <v>Alert41_4</v>
      </c>
      <c r="C153" s="3" t="s">
        <v>220</v>
      </c>
      <c r="D153" s="4" t="s">
        <v>27</v>
      </c>
      <c r="E153" s="3" t="s">
        <v>217</v>
      </c>
      <c r="F153" s="3" t="s">
        <v>2162</v>
      </c>
    </row>
    <row r="154" spans="1:6" x14ac:dyDescent="0.25">
      <c r="A154" s="3" t="str">
        <f t="shared" si="2"/>
        <v>Alert41_5</v>
      </c>
      <c r="C154" s="3" t="s">
        <v>221</v>
      </c>
      <c r="D154" s="4" t="s">
        <v>27</v>
      </c>
      <c r="E154" s="3" t="s">
        <v>217</v>
      </c>
      <c r="F154" s="3" t="s">
        <v>2163</v>
      </c>
    </row>
    <row r="155" spans="1:6" x14ac:dyDescent="0.25">
      <c r="A155" s="3" t="str">
        <f t="shared" si="2"/>
        <v>Alert41_6</v>
      </c>
      <c r="C155" s="3" t="s">
        <v>222</v>
      </c>
      <c r="D155" s="4" t="s">
        <v>27</v>
      </c>
      <c r="E155" s="3" t="s">
        <v>217</v>
      </c>
      <c r="F155" s="3" t="s">
        <v>2164</v>
      </c>
    </row>
    <row r="156" spans="1:6" x14ac:dyDescent="0.25">
      <c r="A156" s="3" t="str">
        <f t="shared" si="2"/>
        <v>Alert42_1</v>
      </c>
      <c r="C156" s="3" t="s">
        <v>223</v>
      </c>
      <c r="D156" s="4" t="s">
        <v>27</v>
      </c>
      <c r="E156" s="3" t="s">
        <v>217</v>
      </c>
      <c r="F156" s="3" t="s">
        <v>2165</v>
      </c>
    </row>
    <row r="157" spans="1:6" x14ac:dyDescent="0.25">
      <c r="A157" s="3" t="str">
        <f t="shared" si="2"/>
        <v>Alert42_2</v>
      </c>
      <c r="C157" s="3" t="s">
        <v>224</v>
      </c>
      <c r="D157" s="4" t="s">
        <v>27</v>
      </c>
      <c r="E157" s="3" t="s">
        <v>217</v>
      </c>
      <c r="F157" s="3" t="s">
        <v>2166</v>
      </c>
    </row>
    <row r="158" spans="1:6" x14ac:dyDescent="0.25">
      <c r="A158" s="3" t="str">
        <f t="shared" si="2"/>
        <v>Alert42_3</v>
      </c>
      <c r="C158" s="3" t="s">
        <v>225</v>
      </c>
      <c r="D158" s="4" t="s">
        <v>27</v>
      </c>
      <c r="E158" s="3" t="s">
        <v>217</v>
      </c>
      <c r="F158" s="3" t="s">
        <v>2167</v>
      </c>
    </row>
    <row r="159" spans="1:6" x14ac:dyDescent="0.25">
      <c r="A159" s="3" t="str">
        <f t="shared" si="2"/>
        <v>Alert42_4</v>
      </c>
      <c r="C159" s="3" t="s">
        <v>226</v>
      </c>
      <c r="D159" s="4" t="s">
        <v>27</v>
      </c>
      <c r="E159" s="3" t="s">
        <v>217</v>
      </c>
      <c r="F159" s="3" t="s">
        <v>2168</v>
      </c>
    </row>
    <row r="160" spans="1:6" x14ac:dyDescent="0.25">
      <c r="A160" s="3" t="str">
        <f t="shared" si="2"/>
        <v>Alert42_5</v>
      </c>
      <c r="C160" s="3" t="s">
        <v>227</v>
      </c>
      <c r="D160" s="4" t="s">
        <v>27</v>
      </c>
      <c r="E160" s="3" t="s">
        <v>217</v>
      </c>
      <c r="F160" s="3" t="s">
        <v>2169</v>
      </c>
    </row>
    <row r="161" spans="1:6" x14ac:dyDescent="0.25">
      <c r="A161" s="3" t="str">
        <f t="shared" si="2"/>
        <v>Alert42_6</v>
      </c>
      <c r="C161" s="3" t="s">
        <v>228</v>
      </c>
      <c r="D161" s="4" t="s">
        <v>27</v>
      </c>
      <c r="E161" s="3" t="s">
        <v>217</v>
      </c>
      <c r="F161" s="3" t="s">
        <v>2170</v>
      </c>
    </row>
    <row r="162" spans="1:6" x14ac:dyDescent="0.25">
      <c r="A162" s="3" t="str">
        <f t="shared" si="2"/>
        <v>Alert43_1</v>
      </c>
      <c r="C162" s="3" t="s">
        <v>229</v>
      </c>
      <c r="D162" s="4" t="s">
        <v>27</v>
      </c>
      <c r="E162" s="3" t="s">
        <v>217</v>
      </c>
      <c r="F162" s="3" t="s">
        <v>2171</v>
      </c>
    </row>
    <row r="163" spans="1:6" x14ac:dyDescent="0.25">
      <c r="A163" s="3" t="str">
        <f t="shared" si="2"/>
        <v>Alert43_2</v>
      </c>
      <c r="C163" s="3" t="s">
        <v>230</v>
      </c>
      <c r="D163" s="4" t="s">
        <v>27</v>
      </c>
      <c r="E163" s="3" t="s">
        <v>217</v>
      </c>
      <c r="F163" s="3" t="s">
        <v>2172</v>
      </c>
    </row>
    <row r="164" spans="1:6" x14ac:dyDescent="0.25">
      <c r="A164" s="3" t="str">
        <f t="shared" si="2"/>
        <v>Alert43_3</v>
      </c>
      <c r="C164" s="3" t="s">
        <v>231</v>
      </c>
      <c r="D164" s="4" t="s">
        <v>27</v>
      </c>
      <c r="E164" s="3" t="s">
        <v>217</v>
      </c>
      <c r="F164" s="3" t="s">
        <v>2173</v>
      </c>
    </row>
    <row r="165" spans="1:6" x14ac:dyDescent="0.25">
      <c r="A165" s="3" t="str">
        <f t="shared" si="2"/>
        <v>Alert43_4</v>
      </c>
      <c r="C165" s="3" t="s">
        <v>232</v>
      </c>
      <c r="D165" s="4" t="s">
        <v>27</v>
      </c>
      <c r="E165" s="3" t="s">
        <v>217</v>
      </c>
      <c r="F165" s="3" t="s">
        <v>2174</v>
      </c>
    </row>
    <row r="166" spans="1:6" x14ac:dyDescent="0.25">
      <c r="A166" s="3" t="str">
        <f t="shared" si="2"/>
        <v>Alert43_5</v>
      </c>
      <c r="C166" s="3" t="s">
        <v>233</v>
      </c>
      <c r="D166" s="4" t="s">
        <v>27</v>
      </c>
      <c r="E166" s="3" t="s">
        <v>217</v>
      </c>
      <c r="F166" s="3" t="s">
        <v>2175</v>
      </c>
    </row>
    <row r="167" spans="1:6" x14ac:dyDescent="0.25">
      <c r="A167" s="3" t="str">
        <f t="shared" si="2"/>
        <v>Alert43_6</v>
      </c>
      <c r="C167" s="3" t="s">
        <v>234</v>
      </c>
      <c r="D167" s="4" t="s">
        <v>27</v>
      </c>
      <c r="E167" s="3" t="s">
        <v>217</v>
      </c>
      <c r="F167" s="3" t="s">
        <v>2176</v>
      </c>
    </row>
    <row r="168" spans="1:6" x14ac:dyDescent="0.25">
      <c r="A168" s="3" t="str">
        <f t="shared" si="2"/>
        <v>Alert44_1</v>
      </c>
      <c r="C168" s="3" t="s">
        <v>235</v>
      </c>
      <c r="D168" s="4" t="s">
        <v>27</v>
      </c>
      <c r="E168" s="3" t="s">
        <v>217</v>
      </c>
      <c r="F168" s="3" t="s">
        <v>2177</v>
      </c>
    </row>
    <row r="169" spans="1:6" x14ac:dyDescent="0.25">
      <c r="A169" s="3" t="str">
        <f t="shared" si="2"/>
        <v>Alert44_2</v>
      </c>
      <c r="C169" s="3" t="s">
        <v>236</v>
      </c>
      <c r="D169" s="4" t="s">
        <v>27</v>
      </c>
      <c r="E169" s="3" t="s">
        <v>217</v>
      </c>
      <c r="F169" s="3" t="s">
        <v>2178</v>
      </c>
    </row>
    <row r="170" spans="1:6" x14ac:dyDescent="0.25">
      <c r="A170" s="3" t="str">
        <f t="shared" si="2"/>
        <v>Alert44_3</v>
      </c>
      <c r="C170" s="3" t="s">
        <v>237</v>
      </c>
      <c r="D170" s="4" t="s">
        <v>27</v>
      </c>
      <c r="E170" s="3" t="s">
        <v>217</v>
      </c>
      <c r="F170" s="3" t="s">
        <v>2179</v>
      </c>
    </row>
    <row r="171" spans="1:6" x14ac:dyDescent="0.25">
      <c r="A171" s="3" t="str">
        <f t="shared" si="2"/>
        <v>Alert44_4</v>
      </c>
      <c r="C171" s="3" t="s">
        <v>238</v>
      </c>
      <c r="D171" s="4" t="s">
        <v>27</v>
      </c>
      <c r="E171" s="3" t="s">
        <v>217</v>
      </c>
      <c r="F171" s="3" t="s">
        <v>2180</v>
      </c>
    </row>
    <row r="172" spans="1:6" x14ac:dyDescent="0.25">
      <c r="A172" s="3" t="str">
        <f t="shared" si="2"/>
        <v>Alert44_5</v>
      </c>
      <c r="C172" s="3" t="s">
        <v>239</v>
      </c>
      <c r="D172" s="4" t="s">
        <v>27</v>
      </c>
      <c r="E172" s="3" t="s">
        <v>217</v>
      </c>
      <c r="F172" s="3" t="s">
        <v>2181</v>
      </c>
    </row>
    <row r="173" spans="1:6" x14ac:dyDescent="0.25">
      <c r="A173" s="3" t="str">
        <f t="shared" si="2"/>
        <v>Alert44_6</v>
      </c>
      <c r="C173" s="3" t="s">
        <v>240</v>
      </c>
      <c r="D173" s="4" t="s">
        <v>27</v>
      </c>
      <c r="E173" s="3" t="s">
        <v>217</v>
      </c>
      <c r="F173" s="3" t="s">
        <v>2182</v>
      </c>
    </row>
    <row r="174" spans="1:6" x14ac:dyDescent="0.25">
      <c r="A174" s="3" t="str">
        <f t="shared" si="2"/>
        <v>Alert45_1</v>
      </c>
      <c r="C174" s="3" t="s">
        <v>241</v>
      </c>
      <c r="D174" s="4" t="s">
        <v>27</v>
      </c>
      <c r="E174" s="3" t="s">
        <v>217</v>
      </c>
      <c r="F174" s="3" t="s">
        <v>2183</v>
      </c>
    </row>
    <row r="175" spans="1:6" x14ac:dyDescent="0.25">
      <c r="A175" s="3" t="str">
        <f t="shared" si="2"/>
        <v>Alert45_2</v>
      </c>
      <c r="C175" s="3" t="s">
        <v>242</v>
      </c>
      <c r="D175" s="4" t="s">
        <v>27</v>
      </c>
      <c r="E175" s="3" t="s">
        <v>217</v>
      </c>
      <c r="F175" s="3" t="s">
        <v>2184</v>
      </c>
    </row>
    <row r="176" spans="1:6" x14ac:dyDescent="0.25">
      <c r="A176" s="3" t="str">
        <f t="shared" si="2"/>
        <v>Alert45_3</v>
      </c>
      <c r="C176" s="3" t="s">
        <v>243</v>
      </c>
      <c r="D176" s="4" t="s">
        <v>27</v>
      </c>
      <c r="E176" s="3" t="s">
        <v>217</v>
      </c>
      <c r="F176" s="3" t="s">
        <v>2185</v>
      </c>
    </row>
    <row r="177" spans="1:6" x14ac:dyDescent="0.25">
      <c r="A177" s="3" t="str">
        <f t="shared" si="2"/>
        <v>Alert45_4</v>
      </c>
      <c r="C177" s="3" t="s">
        <v>244</v>
      </c>
      <c r="D177" s="4" t="s">
        <v>27</v>
      </c>
      <c r="E177" s="3" t="s">
        <v>217</v>
      </c>
      <c r="F177" s="3" t="s">
        <v>2186</v>
      </c>
    </row>
    <row r="178" spans="1:6" x14ac:dyDescent="0.25">
      <c r="A178" s="3" t="str">
        <f t="shared" si="2"/>
        <v>Alert45_5</v>
      </c>
      <c r="C178" s="3" t="s">
        <v>245</v>
      </c>
      <c r="D178" s="4" t="s">
        <v>27</v>
      </c>
      <c r="E178" s="3" t="s">
        <v>217</v>
      </c>
      <c r="F178" s="3" t="s">
        <v>2187</v>
      </c>
    </row>
    <row r="179" spans="1:6" x14ac:dyDescent="0.25">
      <c r="A179" s="3" t="str">
        <f t="shared" si="2"/>
        <v>Alert45_6</v>
      </c>
      <c r="C179" s="3" t="s">
        <v>246</v>
      </c>
      <c r="D179" s="4" t="s">
        <v>27</v>
      </c>
      <c r="E179" s="3" t="s">
        <v>217</v>
      </c>
      <c r="F179" s="3" t="s">
        <v>2188</v>
      </c>
    </row>
    <row r="180" spans="1:6" x14ac:dyDescent="0.25">
      <c r="A180" s="3" t="str">
        <f t="shared" si="2"/>
        <v>Alert46_1</v>
      </c>
      <c r="C180" s="3" t="s">
        <v>247</v>
      </c>
      <c r="D180" s="4" t="s">
        <v>27</v>
      </c>
      <c r="E180" s="3" t="s">
        <v>217</v>
      </c>
      <c r="F180" s="3" t="s">
        <v>2189</v>
      </c>
    </row>
    <row r="181" spans="1:6" x14ac:dyDescent="0.25">
      <c r="A181" s="3" t="str">
        <f t="shared" si="2"/>
        <v>Alert46_2</v>
      </c>
      <c r="C181" s="3" t="s">
        <v>248</v>
      </c>
      <c r="D181" s="4" t="s">
        <v>27</v>
      </c>
      <c r="E181" s="3" t="s">
        <v>217</v>
      </c>
      <c r="F181" s="3" t="s">
        <v>2190</v>
      </c>
    </row>
    <row r="182" spans="1:6" x14ac:dyDescent="0.25">
      <c r="A182" s="3" t="str">
        <f t="shared" si="2"/>
        <v>Alert46_3</v>
      </c>
      <c r="C182" s="3" t="s">
        <v>249</v>
      </c>
      <c r="D182" s="4" t="s">
        <v>27</v>
      </c>
      <c r="E182" s="3" t="s">
        <v>217</v>
      </c>
      <c r="F182" s="3" t="s">
        <v>2191</v>
      </c>
    </row>
    <row r="183" spans="1:6" x14ac:dyDescent="0.25">
      <c r="A183" s="3" t="str">
        <f t="shared" si="2"/>
        <v>Alert46_4</v>
      </c>
      <c r="C183" s="3" t="s">
        <v>250</v>
      </c>
      <c r="D183" s="4" t="s">
        <v>27</v>
      </c>
      <c r="E183" s="3" t="s">
        <v>217</v>
      </c>
      <c r="F183" s="3" t="s">
        <v>2192</v>
      </c>
    </row>
    <row r="184" spans="1:6" x14ac:dyDescent="0.25">
      <c r="A184" s="3" t="str">
        <f t="shared" si="2"/>
        <v>Alert46_5</v>
      </c>
      <c r="C184" s="3" t="s">
        <v>251</v>
      </c>
      <c r="D184" s="4" t="s">
        <v>27</v>
      </c>
      <c r="E184" s="3" t="s">
        <v>217</v>
      </c>
      <c r="F184" s="3" t="s">
        <v>2193</v>
      </c>
    </row>
    <row r="185" spans="1:6" x14ac:dyDescent="0.25">
      <c r="A185" s="3" t="str">
        <f t="shared" si="2"/>
        <v>Alert46_6</v>
      </c>
      <c r="C185" s="3" t="s">
        <v>252</v>
      </c>
      <c r="D185" s="4" t="s">
        <v>27</v>
      </c>
      <c r="E185" s="3" t="s">
        <v>217</v>
      </c>
      <c r="F185" s="3" t="s">
        <v>2194</v>
      </c>
    </row>
    <row r="186" spans="1:6" s="6" customFormat="1" x14ac:dyDescent="0.25">
      <c r="A186" s="3" t="str">
        <f t="shared" si="2"/>
        <v/>
      </c>
      <c r="D186" s="7"/>
      <c r="E186" s="6" t="s">
        <v>2947</v>
      </c>
      <c r="F186" s="3">
        <v>8</v>
      </c>
    </row>
    <row r="187" spans="1:6" x14ac:dyDescent="0.25">
      <c r="A187" s="3" t="str">
        <f t="shared" si="2"/>
        <v>q51_1</v>
      </c>
      <c r="C187" s="3" t="s">
        <v>253</v>
      </c>
      <c r="D187" s="5" t="s">
        <v>62</v>
      </c>
      <c r="E187" s="3" t="s">
        <v>254</v>
      </c>
      <c r="F187" s="3" t="s">
        <v>2195</v>
      </c>
    </row>
    <row r="188" spans="1:6" x14ac:dyDescent="0.25">
      <c r="A188" s="3" t="str">
        <f t="shared" si="2"/>
        <v>q51_2</v>
      </c>
      <c r="C188" s="3" t="s">
        <v>255</v>
      </c>
      <c r="D188" s="5" t="s">
        <v>62</v>
      </c>
      <c r="E188" s="3" t="s">
        <v>256</v>
      </c>
      <c r="F188" s="3" t="s">
        <v>2196</v>
      </c>
    </row>
    <row r="189" spans="1:6" x14ac:dyDescent="0.25">
      <c r="A189" s="3" t="str">
        <f t="shared" si="2"/>
        <v>q51_3</v>
      </c>
      <c r="C189" s="3" t="s">
        <v>257</v>
      </c>
      <c r="D189" s="5" t="s">
        <v>62</v>
      </c>
      <c r="E189" s="3" t="s">
        <v>258</v>
      </c>
      <c r="F189" s="3" t="s">
        <v>2197</v>
      </c>
    </row>
    <row r="190" spans="1:6" x14ac:dyDescent="0.25">
      <c r="A190" s="3" t="str">
        <f t="shared" si="2"/>
        <v>q51_4</v>
      </c>
      <c r="C190" s="3" t="s">
        <v>259</v>
      </c>
      <c r="D190" s="5" t="s">
        <v>62</v>
      </c>
      <c r="E190" s="3" t="s">
        <v>260</v>
      </c>
      <c r="F190" s="3" t="s">
        <v>2198</v>
      </c>
    </row>
    <row r="191" spans="1:6" x14ac:dyDescent="0.25">
      <c r="A191" s="3" t="str">
        <f t="shared" si="2"/>
        <v>q51_5</v>
      </c>
      <c r="C191" s="3" t="s">
        <v>261</v>
      </c>
      <c r="D191" s="5" t="s">
        <v>62</v>
      </c>
      <c r="E191" s="3" t="s">
        <v>262</v>
      </c>
      <c r="F191" s="3" t="s">
        <v>2199</v>
      </c>
    </row>
    <row r="192" spans="1:6" x14ac:dyDescent="0.25">
      <c r="A192" s="3" t="str">
        <f t="shared" si="2"/>
        <v>q51_6</v>
      </c>
      <c r="C192" s="3" t="s">
        <v>263</v>
      </c>
      <c r="D192" s="5" t="s">
        <v>62</v>
      </c>
      <c r="E192" s="3" t="s">
        <v>264</v>
      </c>
      <c r="F192" s="3" t="s">
        <v>2200</v>
      </c>
    </row>
    <row r="193" spans="1:6" x14ac:dyDescent="0.25">
      <c r="A193" s="3" t="str">
        <f t="shared" si="2"/>
        <v>q5ROW1_hidden</v>
      </c>
      <c r="C193" s="3" t="s">
        <v>265</v>
      </c>
      <c r="D193" s="5" t="s">
        <v>62</v>
      </c>
      <c r="E193" s="8" t="s">
        <v>266</v>
      </c>
      <c r="F193" s="3" t="s">
        <v>2201</v>
      </c>
    </row>
    <row r="194" spans="1:6" x14ac:dyDescent="0.25">
      <c r="A194" s="3" t="str">
        <f t="shared" si="2"/>
        <v>q52_1</v>
      </c>
      <c r="C194" s="3" t="s">
        <v>267</v>
      </c>
      <c r="D194" s="5" t="s">
        <v>62</v>
      </c>
      <c r="E194" s="3" t="s">
        <v>268</v>
      </c>
      <c r="F194" s="3" t="s">
        <v>2202</v>
      </c>
    </row>
    <row r="195" spans="1:6" x14ac:dyDescent="0.25">
      <c r="A195" s="3" t="str">
        <f t="shared" ref="A195:A258" si="3">_xlfn.CONCAT(C195,B195)</f>
        <v>q52_2</v>
      </c>
      <c r="C195" s="3" t="s">
        <v>269</v>
      </c>
      <c r="D195" s="5" t="s">
        <v>62</v>
      </c>
      <c r="E195" s="3" t="s">
        <v>270</v>
      </c>
      <c r="F195" s="3" t="s">
        <v>2203</v>
      </c>
    </row>
    <row r="196" spans="1:6" x14ac:dyDescent="0.25">
      <c r="A196" s="3" t="str">
        <f t="shared" si="3"/>
        <v>q52_3</v>
      </c>
      <c r="C196" s="3" t="s">
        <v>271</v>
      </c>
      <c r="D196" s="5" t="s">
        <v>62</v>
      </c>
      <c r="E196" s="3" t="s">
        <v>272</v>
      </c>
      <c r="F196" s="3" t="s">
        <v>2204</v>
      </c>
    </row>
    <row r="197" spans="1:6" x14ac:dyDescent="0.25">
      <c r="A197" s="3" t="str">
        <f t="shared" si="3"/>
        <v>q52_4</v>
      </c>
      <c r="C197" s="3" t="s">
        <v>273</v>
      </c>
      <c r="D197" s="5" t="s">
        <v>62</v>
      </c>
      <c r="E197" s="3" t="s">
        <v>274</v>
      </c>
      <c r="F197" s="3" t="s">
        <v>2205</v>
      </c>
    </row>
    <row r="198" spans="1:6" x14ac:dyDescent="0.25">
      <c r="A198" s="3" t="str">
        <f t="shared" si="3"/>
        <v>q52_5</v>
      </c>
      <c r="C198" s="3" t="s">
        <v>275</v>
      </c>
      <c r="D198" s="5" t="s">
        <v>62</v>
      </c>
      <c r="E198" s="3" t="s">
        <v>276</v>
      </c>
      <c r="F198" s="3" t="s">
        <v>2206</v>
      </c>
    </row>
    <row r="199" spans="1:6" x14ac:dyDescent="0.25">
      <c r="A199" s="3" t="str">
        <f t="shared" si="3"/>
        <v>q52_6</v>
      </c>
      <c r="C199" s="3" t="s">
        <v>277</v>
      </c>
      <c r="D199" s="5" t="s">
        <v>62</v>
      </c>
      <c r="E199" s="3" t="s">
        <v>278</v>
      </c>
      <c r="F199" s="3" t="s">
        <v>2207</v>
      </c>
    </row>
    <row r="200" spans="1:6" x14ac:dyDescent="0.25">
      <c r="A200" s="3" t="str">
        <f t="shared" si="3"/>
        <v>q5ROW2_hidden</v>
      </c>
      <c r="C200" s="3" t="s">
        <v>279</v>
      </c>
      <c r="D200" s="5" t="s">
        <v>62</v>
      </c>
      <c r="E200" s="8" t="s">
        <v>280</v>
      </c>
      <c r="F200" s="3" t="s">
        <v>2208</v>
      </c>
    </row>
    <row r="201" spans="1:6" x14ac:dyDescent="0.25">
      <c r="A201" s="3" t="str">
        <f t="shared" si="3"/>
        <v>q53_1</v>
      </c>
      <c r="C201" s="3" t="s">
        <v>281</v>
      </c>
      <c r="D201" s="5" t="s">
        <v>62</v>
      </c>
      <c r="E201" s="3" t="s">
        <v>282</v>
      </c>
      <c r="F201" s="3" t="s">
        <v>2209</v>
      </c>
    </row>
    <row r="202" spans="1:6" x14ac:dyDescent="0.25">
      <c r="A202" s="3" t="str">
        <f t="shared" si="3"/>
        <v>q53_2</v>
      </c>
      <c r="C202" s="3" t="s">
        <v>283</v>
      </c>
      <c r="D202" s="5" t="s">
        <v>62</v>
      </c>
      <c r="E202" s="3" t="s">
        <v>284</v>
      </c>
      <c r="F202" s="3" t="s">
        <v>2210</v>
      </c>
    </row>
    <row r="203" spans="1:6" x14ac:dyDescent="0.25">
      <c r="A203" s="3" t="str">
        <f t="shared" si="3"/>
        <v>q53_3</v>
      </c>
      <c r="C203" s="3" t="s">
        <v>285</v>
      </c>
      <c r="D203" s="5" t="s">
        <v>62</v>
      </c>
      <c r="E203" s="3" t="s">
        <v>286</v>
      </c>
      <c r="F203" s="3" t="s">
        <v>2211</v>
      </c>
    </row>
    <row r="204" spans="1:6" x14ac:dyDescent="0.25">
      <c r="A204" s="3" t="str">
        <f t="shared" si="3"/>
        <v>q53_4</v>
      </c>
      <c r="C204" s="3" t="s">
        <v>287</v>
      </c>
      <c r="D204" s="5" t="s">
        <v>62</v>
      </c>
      <c r="E204" s="3" t="s">
        <v>288</v>
      </c>
      <c r="F204" s="3" t="s">
        <v>2212</v>
      </c>
    </row>
    <row r="205" spans="1:6" x14ac:dyDescent="0.25">
      <c r="A205" s="3" t="str">
        <f t="shared" si="3"/>
        <v>q53_5</v>
      </c>
      <c r="C205" s="3" t="s">
        <v>289</v>
      </c>
      <c r="D205" s="5" t="s">
        <v>62</v>
      </c>
      <c r="E205" s="3" t="s">
        <v>290</v>
      </c>
      <c r="F205" s="3" t="s">
        <v>2213</v>
      </c>
    </row>
    <row r="206" spans="1:6" x14ac:dyDescent="0.25">
      <c r="A206" s="3" t="str">
        <f t="shared" si="3"/>
        <v>q53_6</v>
      </c>
      <c r="C206" s="3" t="s">
        <v>291</v>
      </c>
      <c r="D206" s="5" t="s">
        <v>62</v>
      </c>
      <c r="E206" s="3" t="s">
        <v>292</v>
      </c>
      <c r="F206" s="3" t="s">
        <v>2214</v>
      </c>
    </row>
    <row r="207" spans="1:6" x14ac:dyDescent="0.25">
      <c r="A207" s="3" t="str">
        <f t="shared" si="3"/>
        <v>q5ROW3_hidden</v>
      </c>
      <c r="C207" s="3" t="s">
        <v>293</v>
      </c>
      <c r="D207" s="5" t="s">
        <v>62</v>
      </c>
      <c r="E207" s="8" t="s">
        <v>294</v>
      </c>
      <c r="F207" s="3" t="s">
        <v>2215</v>
      </c>
    </row>
    <row r="208" spans="1:6" x14ac:dyDescent="0.25">
      <c r="A208" s="3" t="str">
        <f t="shared" si="3"/>
        <v>q54_1</v>
      </c>
      <c r="C208" s="3" t="s">
        <v>295</v>
      </c>
      <c r="D208" s="5" t="s">
        <v>62</v>
      </c>
      <c r="E208" s="3" t="s">
        <v>296</v>
      </c>
      <c r="F208" s="3" t="s">
        <v>2216</v>
      </c>
    </row>
    <row r="209" spans="1:6" x14ac:dyDescent="0.25">
      <c r="A209" s="3" t="str">
        <f t="shared" si="3"/>
        <v>q54_2</v>
      </c>
      <c r="C209" s="3" t="s">
        <v>297</v>
      </c>
      <c r="D209" s="5" t="s">
        <v>62</v>
      </c>
      <c r="E209" s="3" t="s">
        <v>298</v>
      </c>
      <c r="F209" s="3" t="s">
        <v>2217</v>
      </c>
    </row>
    <row r="210" spans="1:6" x14ac:dyDescent="0.25">
      <c r="A210" s="3" t="str">
        <f t="shared" si="3"/>
        <v>q54_3</v>
      </c>
      <c r="C210" s="3" t="s">
        <v>299</v>
      </c>
      <c r="D210" s="5" t="s">
        <v>62</v>
      </c>
      <c r="E210" s="3" t="s">
        <v>300</v>
      </c>
      <c r="F210" s="3" t="s">
        <v>2218</v>
      </c>
    </row>
    <row r="211" spans="1:6" x14ac:dyDescent="0.25">
      <c r="A211" s="3" t="str">
        <f t="shared" si="3"/>
        <v>q54_4</v>
      </c>
      <c r="C211" s="3" t="s">
        <v>301</v>
      </c>
      <c r="D211" s="5" t="s">
        <v>62</v>
      </c>
      <c r="E211" s="3" t="s">
        <v>302</v>
      </c>
      <c r="F211" s="3" t="s">
        <v>2219</v>
      </c>
    </row>
    <row r="212" spans="1:6" x14ac:dyDescent="0.25">
      <c r="A212" s="3" t="str">
        <f t="shared" si="3"/>
        <v>q54_5</v>
      </c>
      <c r="C212" s="3" t="s">
        <v>303</v>
      </c>
      <c r="D212" s="5" t="s">
        <v>62</v>
      </c>
      <c r="E212" s="3" t="s">
        <v>304</v>
      </c>
      <c r="F212" s="3" t="s">
        <v>2220</v>
      </c>
    </row>
    <row r="213" spans="1:6" x14ac:dyDescent="0.25">
      <c r="A213" s="3" t="str">
        <f t="shared" si="3"/>
        <v>q54_6</v>
      </c>
      <c r="C213" s="3" t="s">
        <v>305</v>
      </c>
      <c r="D213" s="5" t="s">
        <v>62</v>
      </c>
      <c r="E213" s="3" t="s">
        <v>306</v>
      </c>
      <c r="F213" s="3" t="s">
        <v>2221</v>
      </c>
    </row>
    <row r="214" spans="1:6" x14ac:dyDescent="0.25">
      <c r="A214" s="3" t="str">
        <f t="shared" si="3"/>
        <v>q5ROW4_hidden</v>
      </c>
      <c r="C214" s="3" t="s">
        <v>307</v>
      </c>
      <c r="D214" s="5" t="s">
        <v>62</v>
      </c>
      <c r="E214" s="8" t="s">
        <v>308</v>
      </c>
      <c r="F214" s="3" t="s">
        <v>2222</v>
      </c>
    </row>
    <row r="215" spans="1:6" x14ac:dyDescent="0.25">
      <c r="A215" s="3" t="str">
        <f t="shared" si="3"/>
        <v>q55_1</v>
      </c>
      <c r="C215" s="3" t="s">
        <v>309</v>
      </c>
      <c r="D215" s="5" t="s">
        <v>62</v>
      </c>
      <c r="E215" s="3" t="s">
        <v>310</v>
      </c>
      <c r="F215" s="3" t="s">
        <v>2223</v>
      </c>
    </row>
    <row r="216" spans="1:6" x14ac:dyDescent="0.25">
      <c r="A216" s="3" t="str">
        <f t="shared" si="3"/>
        <v>q55_2</v>
      </c>
      <c r="C216" s="3" t="s">
        <v>311</v>
      </c>
      <c r="D216" s="5" t="s">
        <v>62</v>
      </c>
      <c r="E216" s="3" t="s">
        <v>312</v>
      </c>
      <c r="F216" s="3" t="s">
        <v>2224</v>
      </c>
    </row>
    <row r="217" spans="1:6" x14ac:dyDescent="0.25">
      <c r="A217" s="3" t="str">
        <f t="shared" si="3"/>
        <v>q55_3</v>
      </c>
      <c r="C217" s="3" t="s">
        <v>313</v>
      </c>
      <c r="D217" s="5" t="s">
        <v>62</v>
      </c>
      <c r="E217" s="3" t="s">
        <v>314</v>
      </c>
      <c r="F217" s="3" t="s">
        <v>2225</v>
      </c>
    </row>
    <row r="218" spans="1:6" x14ac:dyDescent="0.25">
      <c r="A218" s="3" t="str">
        <f t="shared" si="3"/>
        <v>q55_4</v>
      </c>
      <c r="C218" s="3" t="s">
        <v>315</v>
      </c>
      <c r="D218" s="5" t="s">
        <v>62</v>
      </c>
      <c r="E218" s="3" t="s">
        <v>316</v>
      </c>
      <c r="F218" s="3" t="s">
        <v>2226</v>
      </c>
    </row>
    <row r="219" spans="1:6" x14ac:dyDescent="0.25">
      <c r="A219" s="3" t="str">
        <f t="shared" si="3"/>
        <v>q55_5</v>
      </c>
      <c r="C219" s="3" t="s">
        <v>317</v>
      </c>
      <c r="D219" s="5" t="s">
        <v>62</v>
      </c>
      <c r="E219" s="3" t="s">
        <v>318</v>
      </c>
      <c r="F219" s="3" t="s">
        <v>2227</v>
      </c>
    </row>
    <row r="220" spans="1:6" x14ac:dyDescent="0.25">
      <c r="A220" s="3" t="str">
        <f t="shared" si="3"/>
        <v>q55_6</v>
      </c>
      <c r="C220" s="3" t="s">
        <v>319</v>
      </c>
      <c r="D220" s="5" t="s">
        <v>62</v>
      </c>
      <c r="E220" s="3" t="s">
        <v>320</v>
      </c>
      <c r="F220" s="3" t="s">
        <v>2228</v>
      </c>
    </row>
    <row r="221" spans="1:6" x14ac:dyDescent="0.25">
      <c r="A221" s="3" t="str">
        <f t="shared" si="3"/>
        <v>q5ROW5_hidden</v>
      </c>
      <c r="C221" s="3" t="s">
        <v>321</v>
      </c>
      <c r="D221" s="5" t="s">
        <v>62</v>
      </c>
      <c r="E221" s="8" t="s">
        <v>322</v>
      </c>
      <c r="F221" s="3" t="s">
        <v>2229</v>
      </c>
    </row>
    <row r="222" spans="1:6" x14ac:dyDescent="0.25">
      <c r="A222" s="3" t="str">
        <f t="shared" si="3"/>
        <v>q56_1</v>
      </c>
      <c r="C222" s="3" t="s">
        <v>323</v>
      </c>
      <c r="D222" s="5" t="s">
        <v>62</v>
      </c>
      <c r="E222" s="3" t="s">
        <v>324</v>
      </c>
      <c r="F222" s="3" t="s">
        <v>2230</v>
      </c>
    </row>
    <row r="223" spans="1:6" x14ac:dyDescent="0.25">
      <c r="A223" s="3" t="str">
        <f t="shared" si="3"/>
        <v>q56_2</v>
      </c>
      <c r="C223" s="3" t="s">
        <v>325</v>
      </c>
      <c r="D223" s="5" t="s">
        <v>62</v>
      </c>
      <c r="E223" s="3" t="s">
        <v>326</v>
      </c>
      <c r="F223" s="3" t="s">
        <v>2231</v>
      </c>
    </row>
    <row r="224" spans="1:6" x14ac:dyDescent="0.25">
      <c r="A224" s="3" t="str">
        <f t="shared" si="3"/>
        <v>q56_3</v>
      </c>
      <c r="C224" s="3" t="s">
        <v>327</v>
      </c>
      <c r="D224" s="5" t="s">
        <v>62</v>
      </c>
      <c r="E224" s="3" t="s">
        <v>328</v>
      </c>
      <c r="F224" s="3" t="s">
        <v>2232</v>
      </c>
    </row>
    <row r="225" spans="1:6" x14ac:dyDescent="0.25">
      <c r="A225" s="3" t="str">
        <f t="shared" si="3"/>
        <v>q56_4</v>
      </c>
      <c r="C225" s="3" t="s">
        <v>329</v>
      </c>
      <c r="D225" s="5" t="s">
        <v>62</v>
      </c>
      <c r="E225" s="3" t="s">
        <v>330</v>
      </c>
      <c r="F225" s="3" t="s">
        <v>2233</v>
      </c>
    </row>
    <row r="226" spans="1:6" x14ac:dyDescent="0.25">
      <c r="A226" s="3" t="str">
        <f t="shared" si="3"/>
        <v>q56_5</v>
      </c>
      <c r="C226" s="3" t="s">
        <v>331</v>
      </c>
      <c r="D226" s="5" t="s">
        <v>62</v>
      </c>
      <c r="E226" s="3" t="s">
        <v>332</v>
      </c>
      <c r="F226" s="3" t="s">
        <v>2234</v>
      </c>
    </row>
    <row r="227" spans="1:6" x14ac:dyDescent="0.25">
      <c r="A227" s="3" t="str">
        <f t="shared" si="3"/>
        <v>q56_6</v>
      </c>
      <c r="C227" s="3" t="s">
        <v>333</v>
      </c>
      <c r="D227" s="5" t="s">
        <v>62</v>
      </c>
      <c r="E227" s="3" t="s">
        <v>334</v>
      </c>
      <c r="F227" s="3" t="s">
        <v>2235</v>
      </c>
    </row>
    <row r="228" spans="1:6" x14ac:dyDescent="0.25">
      <c r="A228" s="3" t="str">
        <f t="shared" si="3"/>
        <v>q5ROW6_hidden</v>
      </c>
      <c r="C228" s="3" t="s">
        <v>335</v>
      </c>
      <c r="D228" s="5" t="s">
        <v>62</v>
      </c>
      <c r="E228" s="8" t="s">
        <v>162</v>
      </c>
      <c r="F228" s="3" t="s">
        <v>2236</v>
      </c>
    </row>
    <row r="229" spans="1:6" x14ac:dyDescent="0.25">
      <c r="A229" s="3" t="str">
        <f t="shared" si="3"/>
        <v>q57_1</v>
      </c>
      <c r="C229" s="3" t="s">
        <v>336</v>
      </c>
      <c r="D229" s="5" t="s">
        <v>62</v>
      </c>
      <c r="E229" s="3" t="s">
        <v>337</v>
      </c>
      <c r="F229" s="3" t="s">
        <v>2237</v>
      </c>
    </row>
    <row r="230" spans="1:6" x14ac:dyDescent="0.25">
      <c r="A230" s="3" t="str">
        <f t="shared" si="3"/>
        <v>q57_2</v>
      </c>
      <c r="C230" s="3" t="s">
        <v>338</v>
      </c>
      <c r="D230" s="5" t="s">
        <v>62</v>
      </c>
      <c r="E230" s="3" t="s">
        <v>339</v>
      </c>
      <c r="F230" s="3" t="s">
        <v>2238</v>
      </c>
    </row>
    <row r="231" spans="1:6" x14ac:dyDescent="0.25">
      <c r="A231" s="3" t="str">
        <f t="shared" si="3"/>
        <v>q57_3</v>
      </c>
      <c r="C231" s="3" t="s">
        <v>340</v>
      </c>
      <c r="D231" s="5" t="s">
        <v>62</v>
      </c>
      <c r="E231" s="3" t="s">
        <v>341</v>
      </c>
      <c r="F231" s="3" t="s">
        <v>2239</v>
      </c>
    </row>
    <row r="232" spans="1:6" x14ac:dyDescent="0.25">
      <c r="A232" s="3" t="str">
        <f t="shared" si="3"/>
        <v>q57_4</v>
      </c>
      <c r="C232" s="3" t="s">
        <v>342</v>
      </c>
      <c r="D232" s="5" t="s">
        <v>62</v>
      </c>
      <c r="E232" s="3" t="s">
        <v>343</v>
      </c>
      <c r="F232" s="3" t="s">
        <v>2240</v>
      </c>
    </row>
    <row r="233" spans="1:6" x14ac:dyDescent="0.25">
      <c r="A233" s="3" t="str">
        <f t="shared" si="3"/>
        <v>q57_5</v>
      </c>
      <c r="C233" s="3" t="s">
        <v>344</v>
      </c>
      <c r="D233" s="5" t="s">
        <v>62</v>
      </c>
      <c r="E233" s="3" t="s">
        <v>345</v>
      </c>
      <c r="F233" s="3" t="s">
        <v>2241</v>
      </c>
    </row>
    <row r="234" spans="1:6" x14ac:dyDescent="0.25">
      <c r="A234" s="3" t="str">
        <f t="shared" si="3"/>
        <v>q57_6</v>
      </c>
      <c r="C234" s="3" t="s">
        <v>346</v>
      </c>
      <c r="D234" s="5" t="s">
        <v>62</v>
      </c>
      <c r="E234" s="3" t="s">
        <v>347</v>
      </c>
      <c r="F234" s="3" t="s">
        <v>2242</v>
      </c>
    </row>
    <row r="235" spans="1:6" x14ac:dyDescent="0.25">
      <c r="A235" s="3" t="str">
        <f t="shared" si="3"/>
        <v>q5ROW7_hidden</v>
      </c>
      <c r="C235" s="3" t="s">
        <v>348</v>
      </c>
      <c r="D235" s="5" t="s">
        <v>62</v>
      </c>
      <c r="E235" s="8" t="s">
        <v>349</v>
      </c>
      <c r="F235" s="3" t="s">
        <v>2243</v>
      </c>
    </row>
    <row r="236" spans="1:6" x14ac:dyDescent="0.25">
      <c r="A236" s="3" t="str">
        <f t="shared" si="3"/>
        <v>q5other</v>
      </c>
      <c r="C236" s="3" t="s">
        <v>350</v>
      </c>
      <c r="D236" s="5" t="s">
        <v>62</v>
      </c>
      <c r="E236" s="3" t="s">
        <v>351</v>
      </c>
      <c r="F236" s="3" t="s">
        <v>2244</v>
      </c>
    </row>
    <row r="237" spans="1:6" x14ac:dyDescent="0.25">
      <c r="A237" s="3" t="str">
        <f t="shared" si="3"/>
        <v>q58_1</v>
      </c>
      <c r="C237" s="3" t="s">
        <v>352</v>
      </c>
      <c r="D237" s="5" t="s">
        <v>62</v>
      </c>
      <c r="E237" s="3" t="s">
        <v>353</v>
      </c>
      <c r="F237" s="3" t="s">
        <v>2245</v>
      </c>
    </row>
    <row r="238" spans="1:6" x14ac:dyDescent="0.25">
      <c r="A238" s="3" t="str">
        <f t="shared" si="3"/>
        <v>q58_2</v>
      </c>
      <c r="C238" s="3" t="s">
        <v>354</v>
      </c>
      <c r="D238" s="5" t="s">
        <v>62</v>
      </c>
      <c r="E238" s="3" t="s">
        <v>355</v>
      </c>
      <c r="F238" s="3" t="s">
        <v>2246</v>
      </c>
    </row>
    <row r="239" spans="1:6" x14ac:dyDescent="0.25">
      <c r="A239" s="3" t="str">
        <f t="shared" si="3"/>
        <v>q58_3</v>
      </c>
      <c r="C239" s="3" t="s">
        <v>356</v>
      </c>
      <c r="D239" s="5" t="s">
        <v>62</v>
      </c>
      <c r="E239" s="3" t="s">
        <v>357</v>
      </c>
      <c r="F239" s="3" t="s">
        <v>2247</v>
      </c>
    </row>
    <row r="240" spans="1:6" x14ac:dyDescent="0.25">
      <c r="A240" s="3" t="str">
        <f t="shared" si="3"/>
        <v>q58_4</v>
      </c>
      <c r="C240" s="3" t="s">
        <v>358</v>
      </c>
      <c r="D240" s="5" t="s">
        <v>62</v>
      </c>
      <c r="E240" s="3" t="s">
        <v>359</v>
      </c>
      <c r="F240" s="3" t="s">
        <v>2248</v>
      </c>
    </row>
    <row r="241" spans="1:6" x14ac:dyDescent="0.25">
      <c r="A241" s="3" t="str">
        <f t="shared" si="3"/>
        <v>q58_5</v>
      </c>
      <c r="C241" s="3" t="s">
        <v>360</v>
      </c>
      <c r="D241" s="5" t="s">
        <v>62</v>
      </c>
      <c r="E241" s="3" t="s">
        <v>361</v>
      </c>
      <c r="F241" s="3" t="s">
        <v>2249</v>
      </c>
    </row>
    <row r="242" spans="1:6" x14ac:dyDescent="0.25">
      <c r="A242" s="3" t="str">
        <f t="shared" si="3"/>
        <v>q58_6</v>
      </c>
      <c r="C242" s="3" t="s">
        <v>362</v>
      </c>
      <c r="D242" s="5" t="s">
        <v>62</v>
      </c>
      <c r="E242" s="3" t="s">
        <v>363</v>
      </c>
      <c r="F242" s="3" t="s">
        <v>2250</v>
      </c>
    </row>
    <row r="243" spans="1:6" x14ac:dyDescent="0.25">
      <c r="A243" s="3" t="str">
        <f t="shared" si="3"/>
        <v>q5ROW8_hidden</v>
      </c>
      <c r="C243" s="3" t="s">
        <v>364</v>
      </c>
      <c r="D243" s="5" t="s">
        <v>62</v>
      </c>
      <c r="E243" s="8" t="s">
        <v>365</v>
      </c>
      <c r="F243" s="3" t="s">
        <v>2251</v>
      </c>
    </row>
    <row r="244" spans="1:6" x14ac:dyDescent="0.25">
      <c r="A244" s="3" t="str">
        <f t="shared" si="3"/>
        <v>q5COL1_hidden</v>
      </c>
      <c r="C244" s="3" t="s">
        <v>366</v>
      </c>
      <c r="D244" s="5" t="s">
        <v>62</v>
      </c>
      <c r="E244" s="8" t="s">
        <v>154</v>
      </c>
      <c r="F244" s="3" t="s">
        <v>2252</v>
      </c>
    </row>
    <row r="245" spans="1:6" x14ac:dyDescent="0.25">
      <c r="A245" s="3" t="str">
        <f t="shared" si="3"/>
        <v>q5COL2_hidden</v>
      </c>
      <c r="C245" s="3" t="s">
        <v>367</v>
      </c>
      <c r="D245" s="5" t="s">
        <v>62</v>
      </c>
      <c r="E245" s="8" t="s">
        <v>156</v>
      </c>
      <c r="F245" s="3" t="s">
        <v>2253</v>
      </c>
    </row>
    <row r="246" spans="1:6" x14ac:dyDescent="0.25">
      <c r="A246" s="3" t="str">
        <f t="shared" si="3"/>
        <v>q5COL3_hidden</v>
      </c>
      <c r="C246" s="3" t="s">
        <v>368</v>
      </c>
      <c r="D246" s="5" t="s">
        <v>62</v>
      </c>
      <c r="E246" s="8" t="s">
        <v>158</v>
      </c>
      <c r="F246" s="3" t="s">
        <v>2254</v>
      </c>
    </row>
    <row r="247" spans="1:6" x14ac:dyDescent="0.25">
      <c r="A247" s="3" t="str">
        <f t="shared" si="3"/>
        <v>q5COL4_hidden</v>
      </c>
      <c r="C247" s="3" t="s">
        <v>369</v>
      </c>
      <c r="D247" s="5" t="s">
        <v>62</v>
      </c>
      <c r="E247" s="8" t="s">
        <v>160</v>
      </c>
      <c r="F247" s="3" t="s">
        <v>2255</v>
      </c>
    </row>
    <row r="248" spans="1:6" x14ac:dyDescent="0.25">
      <c r="A248" s="3" t="str">
        <f t="shared" si="3"/>
        <v>q5COL5_hidden</v>
      </c>
      <c r="C248" s="3" t="s">
        <v>370</v>
      </c>
      <c r="D248" s="5" t="s">
        <v>62</v>
      </c>
      <c r="E248" s="8" t="s">
        <v>162</v>
      </c>
      <c r="F248" s="3" t="s">
        <v>2256</v>
      </c>
    </row>
    <row r="249" spans="1:6" x14ac:dyDescent="0.25">
      <c r="A249" s="3" t="str">
        <f t="shared" si="3"/>
        <v>q5COL6_hidden</v>
      </c>
      <c r="C249" s="3" t="s">
        <v>371</v>
      </c>
      <c r="D249" s="5" t="s">
        <v>62</v>
      </c>
      <c r="E249" s="8" t="s">
        <v>164</v>
      </c>
      <c r="F249" s="3" t="s">
        <v>2257</v>
      </c>
    </row>
    <row r="250" spans="1:6" x14ac:dyDescent="0.25">
      <c r="A250" s="3" t="str">
        <f t="shared" si="3"/>
        <v>q5GRANDTotal_hidden</v>
      </c>
      <c r="C250" s="3" t="s">
        <v>372</v>
      </c>
      <c r="D250" s="5" t="s">
        <v>62</v>
      </c>
      <c r="E250" s="8" t="s">
        <v>2963</v>
      </c>
      <c r="F250" s="3" t="s">
        <v>2258</v>
      </c>
    </row>
    <row r="251" spans="1:6" s="6" customFormat="1" x14ac:dyDescent="0.25">
      <c r="A251" s="3" t="str">
        <f t="shared" si="3"/>
        <v/>
      </c>
      <c r="D251" s="7"/>
      <c r="E251" s="6" t="s">
        <v>2948</v>
      </c>
      <c r="F251" s="3">
        <v>9</v>
      </c>
    </row>
    <row r="252" spans="1:6" x14ac:dyDescent="0.25">
      <c r="A252" s="3" t="str">
        <f t="shared" si="3"/>
        <v>q61_1</v>
      </c>
      <c r="C252" s="3" t="s">
        <v>373</v>
      </c>
      <c r="D252" s="5" t="s">
        <v>62</v>
      </c>
      <c r="E252" s="3" t="s">
        <v>374</v>
      </c>
      <c r="F252" s="3" t="s">
        <v>2259</v>
      </c>
    </row>
    <row r="253" spans="1:6" x14ac:dyDescent="0.25">
      <c r="A253" s="3" t="str">
        <f t="shared" si="3"/>
        <v>q61_2</v>
      </c>
      <c r="C253" s="3" t="s">
        <v>375</v>
      </c>
      <c r="D253" s="5" t="s">
        <v>62</v>
      </c>
      <c r="E253" s="3" t="s">
        <v>376</v>
      </c>
      <c r="F253" s="3" t="s">
        <v>2260</v>
      </c>
    </row>
    <row r="254" spans="1:6" x14ac:dyDescent="0.25">
      <c r="A254" s="3" t="str">
        <f t="shared" si="3"/>
        <v>q61_3</v>
      </c>
      <c r="C254" s="3" t="s">
        <v>377</v>
      </c>
      <c r="D254" s="5" t="s">
        <v>62</v>
      </c>
      <c r="E254" s="3" t="s">
        <v>378</v>
      </c>
      <c r="F254" s="3" t="s">
        <v>2261</v>
      </c>
    </row>
    <row r="255" spans="1:6" x14ac:dyDescent="0.25">
      <c r="A255" s="3" t="str">
        <f t="shared" si="3"/>
        <v>q61_4</v>
      </c>
      <c r="C255" s="3" t="s">
        <v>379</v>
      </c>
      <c r="D255" s="5" t="s">
        <v>62</v>
      </c>
      <c r="E255" s="3" t="s">
        <v>380</v>
      </c>
      <c r="F255" s="3" t="s">
        <v>2262</v>
      </c>
    </row>
    <row r="256" spans="1:6" x14ac:dyDescent="0.25">
      <c r="A256" s="3" t="str">
        <f t="shared" si="3"/>
        <v>q61_5</v>
      </c>
      <c r="C256" s="3" t="s">
        <v>381</v>
      </c>
      <c r="D256" s="5" t="s">
        <v>62</v>
      </c>
      <c r="E256" s="3" t="s">
        <v>382</v>
      </c>
      <c r="F256" s="3" t="s">
        <v>2263</v>
      </c>
    </row>
    <row r="257" spans="1:6" x14ac:dyDescent="0.25">
      <c r="A257" s="3" t="str">
        <f t="shared" si="3"/>
        <v>q61_6</v>
      </c>
      <c r="C257" s="3" t="s">
        <v>383</v>
      </c>
      <c r="D257" s="5" t="s">
        <v>62</v>
      </c>
      <c r="E257" s="3" t="s">
        <v>384</v>
      </c>
      <c r="F257" s="3" t="s">
        <v>2264</v>
      </c>
    </row>
    <row r="258" spans="1:6" x14ac:dyDescent="0.25">
      <c r="A258" s="3" t="str">
        <f t="shared" si="3"/>
        <v>q6ROW1_hidden</v>
      </c>
      <c r="C258" s="3" t="s">
        <v>385</v>
      </c>
      <c r="D258" s="5" t="s">
        <v>62</v>
      </c>
      <c r="E258" s="8" t="s">
        <v>386</v>
      </c>
      <c r="F258" s="3" t="s">
        <v>2265</v>
      </c>
    </row>
    <row r="259" spans="1:6" x14ac:dyDescent="0.25">
      <c r="A259" s="3" t="str">
        <f t="shared" ref="A259:A322" si="4">_xlfn.CONCAT(C259,B259)</f>
        <v>q62_1</v>
      </c>
      <c r="C259" s="3" t="s">
        <v>387</v>
      </c>
      <c r="D259" s="5" t="s">
        <v>62</v>
      </c>
      <c r="E259" s="3" t="s">
        <v>388</v>
      </c>
      <c r="F259" s="3" t="s">
        <v>2266</v>
      </c>
    </row>
    <row r="260" spans="1:6" x14ac:dyDescent="0.25">
      <c r="A260" s="3" t="str">
        <f t="shared" si="4"/>
        <v>q62_2</v>
      </c>
      <c r="C260" s="3" t="s">
        <v>389</v>
      </c>
      <c r="D260" s="5" t="s">
        <v>62</v>
      </c>
      <c r="E260" s="3" t="s">
        <v>390</v>
      </c>
      <c r="F260" s="3" t="s">
        <v>2267</v>
      </c>
    </row>
    <row r="261" spans="1:6" x14ac:dyDescent="0.25">
      <c r="A261" s="3" t="str">
        <f t="shared" si="4"/>
        <v>q62_3</v>
      </c>
      <c r="C261" s="3" t="s">
        <v>391</v>
      </c>
      <c r="D261" s="5" t="s">
        <v>62</v>
      </c>
      <c r="E261" s="3" t="s">
        <v>392</v>
      </c>
      <c r="F261" s="3" t="s">
        <v>2268</v>
      </c>
    </row>
    <row r="262" spans="1:6" x14ac:dyDescent="0.25">
      <c r="A262" s="3" t="str">
        <f t="shared" si="4"/>
        <v>q62_4</v>
      </c>
      <c r="C262" s="3" t="s">
        <v>393</v>
      </c>
      <c r="D262" s="5" t="s">
        <v>62</v>
      </c>
      <c r="E262" s="3" t="s">
        <v>394</v>
      </c>
      <c r="F262" s="3" t="s">
        <v>2269</v>
      </c>
    </row>
    <row r="263" spans="1:6" x14ac:dyDescent="0.25">
      <c r="A263" s="3" t="str">
        <f t="shared" si="4"/>
        <v>q62_5</v>
      </c>
      <c r="C263" s="3" t="s">
        <v>395</v>
      </c>
      <c r="D263" s="5" t="s">
        <v>62</v>
      </c>
      <c r="E263" s="3" t="s">
        <v>396</v>
      </c>
      <c r="F263" s="3" t="s">
        <v>2270</v>
      </c>
    </row>
    <row r="264" spans="1:6" x14ac:dyDescent="0.25">
      <c r="A264" s="3" t="str">
        <f t="shared" si="4"/>
        <v>q62_6</v>
      </c>
      <c r="C264" s="3" t="s">
        <v>397</v>
      </c>
      <c r="D264" s="5" t="s">
        <v>62</v>
      </c>
      <c r="E264" s="3" t="s">
        <v>398</v>
      </c>
      <c r="F264" s="3" t="s">
        <v>2271</v>
      </c>
    </row>
    <row r="265" spans="1:6" x14ac:dyDescent="0.25">
      <c r="A265" s="3" t="str">
        <f t="shared" si="4"/>
        <v>q6ROW2_hidden</v>
      </c>
      <c r="C265" s="3" t="s">
        <v>399</v>
      </c>
      <c r="D265" s="5" t="s">
        <v>62</v>
      </c>
      <c r="E265" s="8" t="s">
        <v>400</v>
      </c>
      <c r="F265" s="3" t="s">
        <v>2272</v>
      </c>
    </row>
    <row r="266" spans="1:6" x14ac:dyDescent="0.25">
      <c r="A266" s="3" t="str">
        <f t="shared" si="4"/>
        <v>q63_1</v>
      </c>
      <c r="C266" s="3" t="s">
        <v>401</v>
      </c>
      <c r="D266" s="5" t="s">
        <v>62</v>
      </c>
      <c r="E266" s="3" t="s">
        <v>402</v>
      </c>
      <c r="F266" s="3" t="s">
        <v>2273</v>
      </c>
    </row>
    <row r="267" spans="1:6" x14ac:dyDescent="0.25">
      <c r="A267" s="3" t="str">
        <f t="shared" si="4"/>
        <v>q63_2</v>
      </c>
      <c r="C267" s="3" t="s">
        <v>403</v>
      </c>
      <c r="D267" s="5" t="s">
        <v>62</v>
      </c>
      <c r="E267" s="3" t="s">
        <v>404</v>
      </c>
      <c r="F267" s="3" t="s">
        <v>2274</v>
      </c>
    </row>
    <row r="268" spans="1:6" x14ac:dyDescent="0.25">
      <c r="A268" s="3" t="str">
        <f t="shared" si="4"/>
        <v>q63_3</v>
      </c>
      <c r="C268" s="3" t="s">
        <v>405</v>
      </c>
      <c r="D268" s="5" t="s">
        <v>62</v>
      </c>
      <c r="E268" s="3" t="s">
        <v>406</v>
      </c>
      <c r="F268" s="3" t="s">
        <v>2275</v>
      </c>
    </row>
    <row r="269" spans="1:6" x14ac:dyDescent="0.25">
      <c r="A269" s="3" t="str">
        <f t="shared" si="4"/>
        <v>q63_4</v>
      </c>
      <c r="C269" s="3" t="s">
        <v>407</v>
      </c>
      <c r="D269" s="5" t="s">
        <v>62</v>
      </c>
      <c r="E269" s="3" t="s">
        <v>408</v>
      </c>
      <c r="F269" s="3" t="s">
        <v>2276</v>
      </c>
    </row>
    <row r="270" spans="1:6" x14ac:dyDescent="0.25">
      <c r="A270" s="3" t="str">
        <f t="shared" si="4"/>
        <v>q63_5</v>
      </c>
      <c r="C270" s="3" t="s">
        <v>409</v>
      </c>
      <c r="D270" s="5" t="s">
        <v>62</v>
      </c>
      <c r="E270" s="3" t="s">
        <v>410</v>
      </c>
      <c r="F270" s="3" t="s">
        <v>2277</v>
      </c>
    </row>
    <row r="271" spans="1:6" x14ac:dyDescent="0.25">
      <c r="A271" s="3" t="str">
        <f t="shared" si="4"/>
        <v>q63_6</v>
      </c>
      <c r="C271" s="3" t="s">
        <v>411</v>
      </c>
      <c r="D271" s="5" t="s">
        <v>62</v>
      </c>
      <c r="E271" s="3" t="s">
        <v>412</v>
      </c>
      <c r="F271" s="3" t="s">
        <v>2278</v>
      </c>
    </row>
    <row r="272" spans="1:6" x14ac:dyDescent="0.25">
      <c r="A272" s="3" t="str">
        <f t="shared" si="4"/>
        <v>q6ROW3_hidden</v>
      </c>
      <c r="C272" s="3" t="s">
        <v>413</v>
      </c>
      <c r="D272" s="5" t="s">
        <v>62</v>
      </c>
      <c r="E272" s="8" t="s">
        <v>414</v>
      </c>
      <c r="F272" s="3" t="s">
        <v>2279</v>
      </c>
    </row>
    <row r="273" spans="1:6" x14ac:dyDescent="0.25">
      <c r="A273" s="3" t="str">
        <f t="shared" si="4"/>
        <v>q64_1</v>
      </c>
      <c r="C273" s="3" t="s">
        <v>415</v>
      </c>
      <c r="D273" s="5" t="s">
        <v>62</v>
      </c>
      <c r="E273" s="3" t="s">
        <v>416</v>
      </c>
      <c r="F273" s="3" t="s">
        <v>2280</v>
      </c>
    </row>
    <row r="274" spans="1:6" x14ac:dyDescent="0.25">
      <c r="A274" s="3" t="str">
        <f t="shared" si="4"/>
        <v>q64_2</v>
      </c>
      <c r="C274" s="3" t="s">
        <v>417</v>
      </c>
      <c r="D274" s="5" t="s">
        <v>62</v>
      </c>
      <c r="E274" s="3" t="s">
        <v>418</v>
      </c>
      <c r="F274" s="3" t="s">
        <v>2281</v>
      </c>
    </row>
    <row r="275" spans="1:6" x14ac:dyDescent="0.25">
      <c r="A275" s="3" t="str">
        <f t="shared" si="4"/>
        <v>q64_3</v>
      </c>
      <c r="C275" s="3" t="s">
        <v>419</v>
      </c>
      <c r="D275" s="5" t="s">
        <v>62</v>
      </c>
      <c r="E275" s="3" t="s">
        <v>420</v>
      </c>
      <c r="F275" s="3" t="s">
        <v>2282</v>
      </c>
    </row>
    <row r="276" spans="1:6" x14ac:dyDescent="0.25">
      <c r="A276" s="3" t="str">
        <f t="shared" si="4"/>
        <v>q64_4</v>
      </c>
      <c r="C276" s="3" t="s">
        <v>421</v>
      </c>
      <c r="D276" s="5" t="s">
        <v>62</v>
      </c>
      <c r="E276" s="3" t="s">
        <v>422</v>
      </c>
      <c r="F276" s="3" t="s">
        <v>2283</v>
      </c>
    </row>
    <row r="277" spans="1:6" x14ac:dyDescent="0.25">
      <c r="A277" s="3" t="str">
        <f t="shared" si="4"/>
        <v>q64_5</v>
      </c>
      <c r="C277" s="3" t="s">
        <v>423</v>
      </c>
      <c r="D277" s="5" t="s">
        <v>62</v>
      </c>
      <c r="E277" s="3" t="s">
        <v>424</v>
      </c>
      <c r="F277" s="3" t="s">
        <v>2284</v>
      </c>
    </row>
    <row r="278" spans="1:6" x14ac:dyDescent="0.25">
      <c r="A278" s="3" t="str">
        <f t="shared" si="4"/>
        <v>q64_6</v>
      </c>
      <c r="C278" s="3" t="s">
        <v>425</v>
      </c>
      <c r="D278" s="5" t="s">
        <v>62</v>
      </c>
      <c r="E278" s="3" t="s">
        <v>426</v>
      </c>
      <c r="F278" s="3" t="s">
        <v>2285</v>
      </c>
    </row>
    <row r="279" spans="1:6" x14ac:dyDescent="0.25">
      <c r="A279" s="3" t="str">
        <f t="shared" si="4"/>
        <v>q6ROW4_hidden</v>
      </c>
      <c r="C279" s="3" t="s">
        <v>427</v>
      </c>
      <c r="D279" s="5" t="s">
        <v>62</v>
      </c>
      <c r="E279" s="8" t="s">
        <v>428</v>
      </c>
      <c r="F279" s="3" t="s">
        <v>2286</v>
      </c>
    </row>
    <row r="280" spans="1:6" x14ac:dyDescent="0.25">
      <c r="A280" s="3" t="str">
        <f t="shared" si="4"/>
        <v>q65_1</v>
      </c>
      <c r="C280" s="3" t="s">
        <v>429</v>
      </c>
      <c r="D280" s="5" t="s">
        <v>62</v>
      </c>
      <c r="E280" s="3" t="s">
        <v>430</v>
      </c>
      <c r="F280" s="3" t="s">
        <v>2287</v>
      </c>
    </row>
    <row r="281" spans="1:6" x14ac:dyDescent="0.25">
      <c r="A281" s="3" t="str">
        <f t="shared" si="4"/>
        <v>q65_2</v>
      </c>
      <c r="C281" s="3" t="s">
        <v>431</v>
      </c>
      <c r="D281" s="5" t="s">
        <v>62</v>
      </c>
      <c r="E281" s="3" t="s">
        <v>432</v>
      </c>
      <c r="F281" s="3" t="s">
        <v>2288</v>
      </c>
    </row>
    <row r="282" spans="1:6" x14ac:dyDescent="0.25">
      <c r="A282" s="3" t="str">
        <f t="shared" si="4"/>
        <v>q65_3</v>
      </c>
      <c r="C282" s="3" t="s">
        <v>433</v>
      </c>
      <c r="D282" s="5" t="s">
        <v>62</v>
      </c>
      <c r="E282" s="3" t="s">
        <v>434</v>
      </c>
      <c r="F282" s="3" t="s">
        <v>2289</v>
      </c>
    </row>
    <row r="283" spans="1:6" x14ac:dyDescent="0.25">
      <c r="A283" s="3" t="str">
        <f t="shared" si="4"/>
        <v>q65_4</v>
      </c>
      <c r="C283" s="3" t="s">
        <v>435</v>
      </c>
      <c r="D283" s="5" t="s">
        <v>62</v>
      </c>
      <c r="E283" s="3" t="s">
        <v>436</v>
      </c>
      <c r="F283" s="3" t="s">
        <v>2290</v>
      </c>
    </row>
    <row r="284" spans="1:6" x14ac:dyDescent="0.25">
      <c r="A284" s="3" t="str">
        <f t="shared" si="4"/>
        <v>q65_5</v>
      </c>
      <c r="C284" s="3" t="s">
        <v>437</v>
      </c>
      <c r="D284" s="5" t="s">
        <v>62</v>
      </c>
      <c r="E284" s="3" t="s">
        <v>438</v>
      </c>
      <c r="F284" s="3" t="s">
        <v>2291</v>
      </c>
    </row>
    <row r="285" spans="1:6" x14ac:dyDescent="0.25">
      <c r="A285" s="3" t="str">
        <f t="shared" si="4"/>
        <v>q65_6</v>
      </c>
      <c r="C285" s="3" t="s">
        <v>439</v>
      </c>
      <c r="D285" s="5" t="s">
        <v>62</v>
      </c>
      <c r="E285" s="3" t="s">
        <v>440</v>
      </c>
      <c r="F285" s="3" t="s">
        <v>2292</v>
      </c>
    </row>
    <row r="286" spans="1:6" x14ac:dyDescent="0.25">
      <c r="A286" s="3" t="str">
        <f t="shared" si="4"/>
        <v>q6ROW5_hidden</v>
      </c>
      <c r="C286" s="3" t="s">
        <v>441</v>
      </c>
      <c r="D286" s="5" t="s">
        <v>62</v>
      </c>
      <c r="E286" s="8" t="s">
        <v>442</v>
      </c>
      <c r="F286" s="3" t="s">
        <v>2293</v>
      </c>
    </row>
    <row r="287" spans="1:6" x14ac:dyDescent="0.25">
      <c r="A287" s="3" t="str">
        <f t="shared" si="4"/>
        <v>q6COL1_hidden</v>
      </c>
      <c r="C287" s="3" t="s">
        <v>443</v>
      </c>
      <c r="D287" s="5" t="s">
        <v>62</v>
      </c>
      <c r="E287" s="8" t="s">
        <v>154</v>
      </c>
      <c r="F287" s="3" t="s">
        <v>2294</v>
      </c>
    </row>
    <row r="288" spans="1:6" x14ac:dyDescent="0.25">
      <c r="A288" s="3" t="str">
        <f t="shared" si="4"/>
        <v>q6COL2_hidden</v>
      </c>
      <c r="C288" s="3" t="s">
        <v>444</v>
      </c>
      <c r="D288" s="5" t="s">
        <v>62</v>
      </c>
      <c r="E288" s="8" t="s">
        <v>156</v>
      </c>
      <c r="F288" s="3" t="s">
        <v>2295</v>
      </c>
    </row>
    <row r="289" spans="1:6" x14ac:dyDescent="0.25">
      <c r="A289" s="3" t="str">
        <f t="shared" si="4"/>
        <v>q6COL3_hidden</v>
      </c>
      <c r="C289" s="3" t="s">
        <v>445</v>
      </c>
      <c r="D289" s="5" t="s">
        <v>62</v>
      </c>
      <c r="E289" s="8" t="s">
        <v>158</v>
      </c>
      <c r="F289" s="3" t="s">
        <v>2296</v>
      </c>
    </row>
    <row r="290" spans="1:6" x14ac:dyDescent="0.25">
      <c r="A290" s="3" t="str">
        <f t="shared" si="4"/>
        <v>q6COL4_hidden</v>
      </c>
      <c r="C290" s="3" t="s">
        <v>446</v>
      </c>
      <c r="D290" s="5" t="s">
        <v>62</v>
      </c>
      <c r="E290" s="8" t="s">
        <v>160</v>
      </c>
      <c r="F290" s="3" t="s">
        <v>2297</v>
      </c>
    </row>
    <row r="291" spans="1:6" x14ac:dyDescent="0.25">
      <c r="A291" s="3" t="str">
        <f t="shared" si="4"/>
        <v>q6COL5_hidden</v>
      </c>
      <c r="C291" s="3" t="s">
        <v>447</v>
      </c>
      <c r="D291" s="5" t="s">
        <v>62</v>
      </c>
      <c r="E291" s="8" t="s">
        <v>162</v>
      </c>
      <c r="F291" s="3" t="s">
        <v>2298</v>
      </c>
    </row>
    <row r="292" spans="1:6" x14ac:dyDescent="0.25">
      <c r="A292" s="3" t="str">
        <f t="shared" si="4"/>
        <v>q6COL6_hidden</v>
      </c>
      <c r="C292" s="3" t="s">
        <v>448</v>
      </c>
      <c r="D292" s="5" t="s">
        <v>62</v>
      </c>
      <c r="E292" s="8" t="s">
        <v>164</v>
      </c>
      <c r="F292" s="3" t="s">
        <v>2299</v>
      </c>
    </row>
    <row r="293" spans="1:6" x14ac:dyDescent="0.25">
      <c r="A293" s="3" t="str">
        <f t="shared" si="4"/>
        <v>q6GRANDTotal_hidden</v>
      </c>
      <c r="C293" s="3" t="s">
        <v>449</v>
      </c>
      <c r="D293" s="5" t="s">
        <v>62</v>
      </c>
      <c r="E293" s="8" t="s">
        <v>2949</v>
      </c>
      <c r="F293" s="3" t="s">
        <v>2300</v>
      </c>
    </row>
    <row r="294" spans="1:6" s="6" customFormat="1" x14ac:dyDescent="0.25">
      <c r="A294" s="3" t="str">
        <f t="shared" si="4"/>
        <v/>
      </c>
      <c r="D294" s="7"/>
      <c r="E294" s="6" t="s">
        <v>450</v>
      </c>
      <c r="F294" s="3">
        <v>10</v>
      </c>
    </row>
    <row r="295" spans="1:6" x14ac:dyDescent="0.25">
      <c r="A295" s="3" t="str">
        <f t="shared" si="4"/>
        <v>q7_1</v>
      </c>
      <c r="C295" s="3" t="s">
        <v>451</v>
      </c>
      <c r="D295" s="5" t="s">
        <v>452</v>
      </c>
      <c r="E295" s="3" t="s">
        <v>453</v>
      </c>
      <c r="F295" s="3" t="s">
        <v>2301</v>
      </c>
    </row>
    <row r="296" spans="1:6" x14ac:dyDescent="0.25">
      <c r="A296" s="3" t="str">
        <f t="shared" si="4"/>
        <v>q7_2</v>
      </c>
      <c r="C296" s="3" t="s">
        <v>454</v>
      </c>
      <c r="D296" s="5" t="s">
        <v>452</v>
      </c>
      <c r="E296" s="3" t="s">
        <v>455</v>
      </c>
      <c r="F296" s="3" t="s">
        <v>2302</v>
      </c>
    </row>
    <row r="297" spans="1:6" x14ac:dyDescent="0.25">
      <c r="A297" s="3" t="str">
        <f t="shared" si="4"/>
        <v>q7_3</v>
      </c>
      <c r="C297" s="3" t="s">
        <v>456</v>
      </c>
      <c r="D297" s="5" t="s">
        <v>452</v>
      </c>
      <c r="E297" s="3" t="s">
        <v>457</v>
      </c>
      <c r="F297" s="3" t="s">
        <v>2303</v>
      </c>
    </row>
    <row r="298" spans="1:6" x14ac:dyDescent="0.25">
      <c r="A298" s="3" t="str">
        <f t="shared" si="4"/>
        <v>q7other</v>
      </c>
      <c r="C298" s="3" t="s">
        <v>458</v>
      </c>
      <c r="D298" s="5" t="s">
        <v>38</v>
      </c>
      <c r="E298" s="3" t="s">
        <v>351</v>
      </c>
      <c r="F298" s="3" t="s">
        <v>2304</v>
      </c>
    </row>
    <row r="299" spans="1:6" x14ac:dyDescent="0.25">
      <c r="A299" s="3" t="str">
        <f t="shared" si="4"/>
        <v>q7_4</v>
      </c>
      <c r="C299" s="3" t="s">
        <v>459</v>
      </c>
      <c r="D299" s="5" t="s">
        <v>452</v>
      </c>
      <c r="E299" s="3" t="s">
        <v>460</v>
      </c>
      <c r="F299" s="3" t="s">
        <v>2305</v>
      </c>
    </row>
    <row r="300" spans="1:6" s="6" customFormat="1" x14ac:dyDescent="0.25">
      <c r="A300" s="3" t="str">
        <f t="shared" si="4"/>
        <v>q8</v>
      </c>
      <c r="C300" s="6" t="s">
        <v>461</v>
      </c>
      <c r="D300" s="7" t="s">
        <v>56</v>
      </c>
      <c r="E300" s="9" t="s">
        <v>462</v>
      </c>
      <c r="F300" s="3">
        <v>11</v>
      </c>
    </row>
    <row r="301" spans="1:6" s="6" customFormat="1" x14ac:dyDescent="0.25">
      <c r="A301" s="3" t="str">
        <f t="shared" si="4"/>
        <v>q9</v>
      </c>
      <c r="C301" s="6" t="s">
        <v>463</v>
      </c>
      <c r="D301" s="7" t="s">
        <v>56</v>
      </c>
      <c r="E301" s="9" t="s">
        <v>464</v>
      </c>
      <c r="F301" s="3">
        <v>12</v>
      </c>
    </row>
    <row r="302" spans="1:6" s="6" customFormat="1" x14ac:dyDescent="0.25">
      <c r="A302" s="3" t="str">
        <f t="shared" si="4"/>
        <v>q91</v>
      </c>
      <c r="C302" s="6" t="s">
        <v>465</v>
      </c>
      <c r="D302" s="7" t="s">
        <v>56</v>
      </c>
      <c r="E302" s="9" t="s">
        <v>466</v>
      </c>
      <c r="F302" s="3">
        <v>13</v>
      </c>
    </row>
    <row r="303" spans="1:6" x14ac:dyDescent="0.25">
      <c r="A303" s="3" t="str">
        <f t="shared" si="4"/>
        <v>ASIA PACIFIC_apac</v>
      </c>
      <c r="B303" s="3" t="s">
        <v>467</v>
      </c>
      <c r="C303" s="10" t="s">
        <v>468</v>
      </c>
      <c r="D303" s="11"/>
      <c r="E303" s="9" t="s">
        <v>2950</v>
      </c>
      <c r="F303" s="3">
        <v>14</v>
      </c>
    </row>
    <row r="304" spans="1:6" x14ac:dyDescent="0.25">
      <c r="A304" s="3" t="str">
        <f t="shared" si="4"/>
        <v>q101_1_apac</v>
      </c>
      <c r="B304" s="3" t="str">
        <f t="shared" ref="B304:B367" si="5">B303</f>
        <v>_apac</v>
      </c>
      <c r="C304" s="3" t="s">
        <v>469</v>
      </c>
      <c r="D304" s="12" t="s">
        <v>62</v>
      </c>
      <c r="E304" s="3" t="s">
        <v>254</v>
      </c>
      <c r="F304" s="3" t="s">
        <v>2306</v>
      </c>
    </row>
    <row r="305" spans="1:6" x14ac:dyDescent="0.25">
      <c r="A305" s="3" t="str">
        <f t="shared" si="4"/>
        <v>q101_2_apac</v>
      </c>
      <c r="B305" s="3" t="str">
        <f t="shared" si="5"/>
        <v>_apac</v>
      </c>
      <c r="C305" s="3" t="s">
        <v>470</v>
      </c>
      <c r="D305" s="12" t="s">
        <v>62</v>
      </c>
      <c r="E305" s="3" t="s">
        <v>256</v>
      </c>
      <c r="F305" s="3" t="s">
        <v>2307</v>
      </c>
    </row>
    <row r="306" spans="1:6" x14ac:dyDescent="0.25">
      <c r="A306" s="3" t="str">
        <f t="shared" si="4"/>
        <v>q101_3_apac</v>
      </c>
      <c r="B306" s="3" t="str">
        <f t="shared" si="5"/>
        <v>_apac</v>
      </c>
      <c r="C306" s="3" t="s">
        <v>471</v>
      </c>
      <c r="D306" s="12" t="s">
        <v>62</v>
      </c>
      <c r="E306" s="3" t="s">
        <v>258</v>
      </c>
      <c r="F306" s="3" t="s">
        <v>2308</v>
      </c>
    </row>
    <row r="307" spans="1:6" x14ac:dyDescent="0.25">
      <c r="A307" s="3" t="str">
        <f t="shared" si="4"/>
        <v>q101_4_apac</v>
      </c>
      <c r="B307" s="3" t="str">
        <f t="shared" si="5"/>
        <v>_apac</v>
      </c>
      <c r="C307" s="3" t="s">
        <v>472</v>
      </c>
      <c r="D307" s="12" t="s">
        <v>62</v>
      </c>
      <c r="E307" s="3" t="s">
        <v>260</v>
      </c>
      <c r="F307" s="3" t="s">
        <v>2309</v>
      </c>
    </row>
    <row r="308" spans="1:6" x14ac:dyDescent="0.25">
      <c r="A308" s="3" t="str">
        <f t="shared" si="4"/>
        <v>q101_5_apac</v>
      </c>
      <c r="B308" s="3" t="str">
        <f t="shared" si="5"/>
        <v>_apac</v>
      </c>
      <c r="C308" s="3" t="s">
        <v>473</v>
      </c>
      <c r="D308" s="12" t="s">
        <v>62</v>
      </c>
      <c r="E308" s="3" t="s">
        <v>262</v>
      </c>
      <c r="F308" s="3" t="s">
        <v>2310</v>
      </c>
    </row>
    <row r="309" spans="1:6" x14ac:dyDescent="0.25">
      <c r="A309" s="3" t="str">
        <f t="shared" si="4"/>
        <v>q101_6_apac</v>
      </c>
      <c r="B309" s="3" t="str">
        <f t="shared" si="5"/>
        <v>_apac</v>
      </c>
      <c r="C309" s="3" t="s">
        <v>474</v>
      </c>
      <c r="D309" s="12" t="s">
        <v>62</v>
      </c>
      <c r="E309" s="3" t="s">
        <v>264</v>
      </c>
      <c r="F309" s="3" t="s">
        <v>2311</v>
      </c>
    </row>
    <row r="310" spans="1:6" x14ac:dyDescent="0.25">
      <c r="A310" s="3" t="str">
        <f t="shared" si="4"/>
        <v>q10ROW1_hidden_apac</v>
      </c>
      <c r="B310" s="3" t="str">
        <f t="shared" si="5"/>
        <v>_apac</v>
      </c>
      <c r="C310" s="3" t="s">
        <v>475</v>
      </c>
      <c r="D310" s="12" t="s">
        <v>62</v>
      </c>
      <c r="E310" s="8" t="s">
        <v>266</v>
      </c>
      <c r="F310" s="3" t="s">
        <v>2312</v>
      </c>
    </row>
    <row r="311" spans="1:6" x14ac:dyDescent="0.25">
      <c r="A311" s="3" t="str">
        <f t="shared" si="4"/>
        <v>q102_1_apac</v>
      </c>
      <c r="B311" s="3" t="str">
        <f t="shared" si="5"/>
        <v>_apac</v>
      </c>
      <c r="C311" s="3" t="s">
        <v>476</v>
      </c>
      <c r="D311" s="12" t="s">
        <v>62</v>
      </c>
      <c r="E311" s="3" t="s">
        <v>268</v>
      </c>
      <c r="F311" s="3" t="s">
        <v>2313</v>
      </c>
    </row>
    <row r="312" spans="1:6" x14ac:dyDescent="0.25">
      <c r="A312" s="3" t="str">
        <f t="shared" si="4"/>
        <v>q102_2_apac</v>
      </c>
      <c r="B312" s="3" t="str">
        <f t="shared" si="5"/>
        <v>_apac</v>
      </c>
      <c r="C312" s="3" t="s">
        <v>477</v>
      </c>
      <c r="D312" s="12" t="s">
        <v>62</v>
      </c>
      <c r="E312" s="3" t="s">
        <v>270</v>
      </c>
      <c r="F312" s="3" t="s">
        <v>2314</v>
      </c>
    </row>
    <row r="313" spans="1:6" x14ac:dyDescent="0.25">
      <c r="A313" s="3" t="str">
        <f t="shared" si="4"/>
        <v>q102_3_apac</v>
      </c>
      <c r="B313" s="3" t="str">
        <f t="shared" si="5"/>
        <v>_apac</v>
      </c>
      <c r="C313" s="3" t="s">
        <v>478</v>
      </c>
      <c r="D313" s="12" t="s">
        <v>62</v>
      </c>
      <c r="E313" s="3" t="s">
        <v>272</v>
      </c>
      <c r="F313" s="3" t="s">
        <v>2315</v>
      </c>
    </row>
    <row r="314" spans="1:6" x14ac:dyDescent="0.25">
      <c r="A314" s="3" t="str">
        <f t="shared" si="4"/>
        <v>q102_4_apac</v>
      </c>
      <c r="B314" s="3" t="str">
        <f t="shared" si="5"/>
        <v>_apac</v>
      </c>
      <c r="C314" s="3" t="s">
        <v>479</v>
      </c>
      <c r="D314" s="12" t="s">
        <v>62</v>
      </c>
      <c r="E314" s="3" t="s">
        <v>274</v>
      </c>
      <c r="F314" s="3" t="s">
        <v>2316</v>
      </c>
    </row>
    <row r="315" spans="1:6" x14ac:dyDescent="0.25">
      <c r="A315" s="3" t="str">
        <f t="shared" si="4"/>
        <v>q102_5_apac</v>
      </c>
      <c r="B315" s="3" t="str">
        <f t="shared" si="5"/>
        <v>_apac</v>
      </c>
      <c r="C315" s="3" t="s">
        <v>480</v>
      </c>
      <c r="D315" s="12" t="s">
        <v>62</v>
      </c>
      <c r="E315" s="3" t="s">
        <v>276</v>
      </c>
      <c r="F315" s="3" t="s">
        <v>2317</v>
      </c>
    </row>
    <row r="316" spans="1:6" x14ac:dyDescent="0.25">
      <c r="A316" s="3" t="str">
        <f t="shared" si="4"/>
        <v>q102_6_apac</v>
      </c>
      <c r="B316" s="3" t="str">
        <f t="shared" si="5"/>
        <v>_apac</v>
      </c>
      <c r="C316" s="3" t="s">
        <v>481</v>
      </c>
      <c r="D316" s="12" t="s">
        <v>62</v>
      </c>
      <c r="E316" s="3" t="s">
        <v>278</v>
      </c>
      <c r="F316" s="3" t="s">
        <v>2318</v>
      </c>
    </row>
    <row r="317" spans="1:6" x14ac:dyDescent="0.25">
      <c r="A317" s="3" t="str">
        <f t="shared" si="4"/>
        <v>q10ROW2_hidden_apac</v>
      </c>
      <c r="B317" s="3" t="str">
        <f t="shared" si="5"/>
        <v>_apac</v>
      </c>
      <c r="C317" s="3" t="s">
        <v>482</v>
      </c>
      <c r="D317" s="12" t="s">
        <v>62</v>
      </c>
      <c r="E317" s="8" t="s">
        <v>280</v>
      </c>
      <c r="F317" s="3" t="s">
        <v>2319</v>
      </c>
    </row>
    <row r="318" spans="1:6" x14ac:dyDescent="0.25">
      <c r="A318" s="3" t="str">
        <f t="shared" si="4"/>
        <v>q103_1_apac</v>
      </c>
      <c r="B318" s="3" t="str">
        <f t="shared" si="5"/>
        <v>_apac</v>
      </c>
      <c r="C318" s="3" t="s">
        <v>483</v>
      </c>
      <c r="D318" s="12" t="s">
        <v>62</v>
      </c>
      <c r="E318" s="3" t="s">
        <v>282</v>
      </c>
      <c r="F318" s="3" t="s">
        <v>2320</v>
      </c>
    </row>
    <row r="319" spans="1:6" x14ac:dyDescent="0.25">
      <c r="A319" s="3" t="str">
        <f t="shared" si="4"/>
        <v>q103_2_apac</v>
      </c>
      <c r="B319" s="3" t="str">
        <f t="shared" si="5"/>
        <v>_apac</v>
      </c>
      <c r="C319" s="3" t="s">
        <v>484</v>
      </c>
      <c r="D319" s="12" t="s">
        <v>62</v>
      </c>
      <c r="E319" s="3" t="s">
        <v>284</v>
      </c>
      <c r="F319" s="3" t="s">
        <v>2321</v>
      </c>
    </row>
    <row r="320" spans="1:6" x14ac:dyDescent="0.25">
      <c r="A320" s="3" t="str">
        <f t="shared" si="4"/>
        <v>q103_3_apac</v>
      </c>
      <c r="B320" s="3" t="str">
        <f t="shared" si="5"/>
        <v>_apac</v>
      </c>
      <c r="C320" s="3" t="s">
        <v>485</v>
      </c>
      <c r="D320" s="12" t="s">
        <v>62</v>
      </c>
      <c r="E320" s="3" t="s">
        <v>286</v>
      </c>
      <c r="F320" s="3" t="s">
        <v>2322</v>
      </c>
    </row>
    <row r="321" spans="1:6" x14ac:dyDescent="0.25">
      <c r="A321" s="3" t="str">
        <f t="shared" si="4"/>
        <v>q103_4_apac</v>
      </c>
      <c r="B321" s="3" t="str">
        <f t="shared" si="5"/>
        <v>_apac</v>
      </c>
      <c r="C321" s="3" t="s">
        <v>486</v>
      </c>
      <c r="D321" s="12" t="s">
        <v>62</v>
      </c>
      <c r="E321" s="3" t="s">
        <v>288</v>
      </c>
      <c r="F321" s="3" t="s">
        <v>2323</v>
      </c>
    </row>
    <row r="322" spans="1:6" x14ac:dyDescent="0.25">
      <c r="A322" s="3" t="str">
        <f t="shared" si="4"/>
        <v>q103_5_apac</v>
      </c>
      <c r="B322" s="3" t="str">
        <f t="shared" si="5"/>
        <v>_apac</v>
      </c>
      <c r="C322" s="3" t="s">
        <v>487</v>
      </c>
      <c r="D322" s="12" t="s">
        <v>62</v>
      </c>
      <c r="E322" s="3" t="s">
        <v>290</v>
      </c>
      <c r="F322" s="3" t="s">
        <v>2324</v>
      </c>
    </row>
    <row r="323" spans="1:6" x14ac:dyDescent="0.25">
      <c r="A323" s="3" t="str">
        <f t="shared" ref="A323:A386" si="6">_xlfn.CONCAT(C323,B323)</f>
        <v>q103_6_apac</v>
      </c>
      <c r="B323" s="3" t="str">
        <f t="shared" si="5"/>
        <v>_apac</v>
      </c>
      <c r="C323" s="3" t="s">
        <v>488</v>
      </c>
      <c r="D323" s="12" t="s">
        <v>62</v>
      </c>
      <c r="E323" s="3" t="s">
        <v>292</v>
      </c>
      <c r="F323" s="3" t="s">
        <v>2325</v>
      </c>
    </row>
    <row r="324" spans="1:6" x14ac:dyDescent="0.25">
      <c r="A324" s="3" t="str">
        <f t="shared" si="6"/>
        <v>q10ROW3_hidden_apac</v>
      </c>
      <c r="B324" s="3" t="str">
        <f t="shared" si="5"/>
        <v>_apac</v>
      </c>
      <c r="C324" s="3" t="s">
        <v>489</v>
      </c>
      <c r="D324" s="12" t="s">
        <v>62</v>
      </c>
      <c r="E324" s="8" t="s">
        <v>294</v>
      </c>
      <c r="F324" s="3" t="s">
        <v>2326</v>
      </c>
    </row>
    <row r="325" spans="1:6" x14ac:dyDescent="0.25">
      <c r="A325" s="3" t="str">
        <f t="shared" si="6"/>
        <v>q104_1_apac</v>
      </c>
      <c r="B325" s="3" t="str">
        <f t="shared" si="5"/>
        <v>_apac</v>
      </c>
      <c r="C325" s="3" t="s">
        <v>490</v>
      </c>
      <c r="D325" s="12" t="s">
        <v>62</v>
      </c>
      <c r="E325" s="3" t="s">
        <v>296</v>
      </c>
      <c r="F325" s="3" t="s">
        <v>2327</v>
      </c>
    </row>
    <row r="326" spans="1:6" x14ac:dyDescent="0.25">
      <c r="A326" s="3" t="str">
        <f t="shared" si="6"/>
        <v>q104_2_apac</v>
      </c>
      <c r="B326" s="3" t="str">
        <f t="shared" si="5"/>
        <v>_apac</v>
      </c>
      <c r="C326" s="3" t="s">
        <v>491</v>
      </c>
      <c r="D326" s="12" t="s">
        <v>62</v>
      </c>
      <c r="E326" s="3" t="s">
        <v>298</v>
      </c>
      <c r="F326" s="3" t="s">
        <v>2328</v>
      </c>
    </row>
    <row r="327" spans="1:6" x14ac:dyDescent="0.25">
      <c r="A327" s="3" t="str">
        <f t="shared" si="6"/>
        <v>q104_3_apac</v>
      </c>
      <c r="B327" s="3" t="str">
        <f t="shared" si="5"/>
        <v>_apac</v>
      </c>
      <c r="C327" s="3" t="s">
        <v>492</v>
      </c>
      <c r="D327" s="12" t="s">
        <v>62</v>
      </c>
      <c r="E327" s="3" t="s">
        <v>300</v>
      </c>
      <c r="F327" s="3" t="s">
        <v>2329</v>
      </c>
    </row>
    <row r="328" spans="1:6" x14ac:dyDescent="0.25">
      <c r="A328" s="3" t="str">
        <f t="shared" si="6"/>
        <v>q104_4_apac</v>
      </c>
      <c r="B328" s="3" t="str">
        <f t="shared" si="5"/>
        <v>_apac</v>
      </c>
      <c r="C328" s="3" t="s">
        <v>493</v>
      </c>
      <c r="D328" s="12" t="s">
        <v>62</v>
      </c>
      <c r="E328" s="3" t="s">
        <v>302</v>
      </c>
      <c r="F328" s="3" t="s">
        <v>2330</v>
      </c>
    </row>
    <row r="329" spans="1:6" x14ac:dyDescent="0.25">
      <c r="A329" s="3" t="str">
        <f t="shared" si="6"/>
        <v>q104_5_apac</v>
      </c>
      <c r="B329" s="3" t="str">
        <f t="shared" si="5"/>
        <v>_apac</v>
      </c>
      <c r="C329" s="3" t="s">
        <v>494</v>
      </c>
      <c r="D329" s="12" t="s">
        <v>62</v>
      </c>
      <c r="E329" s="3" t="s">
        <v>304</v>
      </c>
      <c r="F329" s="3" t="s">
        <v>2331</v>
      </c>
    </row>
    <row r="330" spans="1:6" x14ac:dyDescent="0.25">
      <c r="A330" s="3" t="str">
        <f t="shared" si="6"/>
        <v>q104_6_apac</v>
      </c>
      <c r="B330" s="3" t="str">
        <f t="shared" si="5"/>
        <v>_apac</v>
      </c>
      <c r="C330" s="3" t="s">
        <v>495</v>
      </c>
      <c r="D330" s="12" t="s">
        <v>62</v>
      </c>
      <c r="E330" s="3" t="s">
        <v>306</v>
      </c>
      <c r="F330" s="3" t="s">
        <v>2332</v>
      </c>
    </row>
    <row r="331" spans="1:6" x14ac:dyDescent="0.25">
      <c r="A331" s="3" t="str">
        <f t="shared" si="6"/>
        <v>q10ROW4_hidden_apac</v>
      </c>
      <c r="B331" s="3" t="str">
        <f t="shared" si="5"/>
        <v>_apac</v>
      </c>
      <c r="C331" s="3" t="s">
        <v>496</v>
      </c>
      <c r="D331" s="12" t="s">
        <v>62</v>
      </c>
      <c r="E331" s="8" t="s">
        <v>308</v>
      </c>
      <c r="F331" s="3" t="s">
        <v>2333</v>
      </c>
    </row>
    <row r="332" spans="1:6" x14ac:dyDescent="0.25">
      <c r="A332" s="3" t="str">
        <f t="shared" si="6"/>
        <v>q105_1_apac</v>
      </c>
      <c r="B332" s="3" t="str">
        <f t="shared" si="5"/>
        <v>_apac</v>
      </c>
      <c r="C332" s="3" t="s">
        <v>497</v>
      </c>
      <c r="D332" s="12" t="s">
        <v>62</v>
      </c>
      <c r="E332" s="3" t="s">
        <v>310</v>
      </c>
      <c r="F332" s="3" t="s">
        <v>2334</v>
      </c>
    </row>
    <row r="333" spans="1:6" x14ac:dyDescent="0.25">
      <c r="A333" s="3" t="str">
        <f t="shared" si="6"/>
        <v>q105_2_apac</v>
      </c>
      <c r="B333" s="3" t="str">
        <f t="shared" si="5"/>
        <v>_apac</v>
      </c>
      <c r="C333" s="3" t="s">
        <v>498</v>
      </c>
      <c r="D333" s="12" t="s">
        <v>62</v>
      </c>
      <c r="E333" s="3" t="s">
        <v>312</v>
      </c>
      <c r="F333" s="3" t="s">
        <v>2335</v>
      </c>
    </row>
    <row r="334" spans="1:6" x14ac:dyDescent="0.25">
      <c r="A334" s="3" t="str">
        <f t="shared" si="6"/>
        <v>q105_3_apac</v>
      </c>
      <c r="B334" s="3" t="str">
        <f t="shared" si="5"/>
        <v>_apac</v>
      </c>
      <c r="C334" s="3" t="s">
        <v>499</v>
      </c>
      <c r="D334" s="12" t="s">
        <v>62</v>
      </c>
      <c r="E334" s="3" t="s">
        <v>314</v>
      </c>
      <c r="F334" s="3" t="s">
        <v>2336</v>
      </c>
    </row>
    <row r="335" spans="1:6" x14ac:dyDescent="0.25">
      <c r="A335" s="3" t="str">
        <f t="shared" si="6"/>
        <v>q105_4_apac</v>
      </c>
      <c r="B335" s="3" t="str">
        <f t="shared" si="5"/>
        <v>_apac</v>
      </c>
      <c r="C335" s="3" t="s">
        <v>500</v>
      </c>
      <c r="D335" s="12" t="s">
        <v>62</v>
      </c>
      <c r="E335" s="3" t="s">
        <v>316</v>
      </c>
      <c r="F335" s="3" t="s">
        <v>2337</v>
      </c>
    </row>
    <row r="336" spans="1:6" x14ac:dyDescent="0.25">
      <c r="A336" s="3" t="str">
        <f t="shared" si="6"/>
        <v>q105_5_apac</v>
      </c>
      <c r="B336" s="3" t="str">
        <f t="shared" si="5"/>
        <v>_apac</v>
      </c>
      <c r="C336" s="3" t="s">
        <v>501</v>
      </c>
      <c r="D336" s="12" t="s">
        <v>62</v>
      </c>
      <c r="E336" s="3" t="s">
        <v>318</v>
      </c>
      <c r="F336" s="3" t="s">
        <v>2338</v>
      </c>
    </row>
    <row r="337" spans="1:6" x14ac:dyDescent="0.25">
      <c r="A337" s="3" t="str">
        <f t="shared" si="6"/>
        <v>q105_6_apac</v>
      </c>
      <c r="B337" s="3" t="str">
        <f t="shared" si="5"/>
        <v>_apac</v>
      </c>
      <c r="C337" s="3" t="s">
        <v>502</v>
      </c>
      <c r="D337" s="12" t="s">
        <v>62</v>
      </c>
      <c r="E337" s="3" t="s">
        <v>320</v>
      </c>
      <c r="F337" s="3" t="s">
        <v>2339</v>
      </c>
    </row>
    <row r="338" spans="1:6" x14ac:dyDescent="0.25">
      <c r="A338" s="3" t="str">
        <f t="shared" si="6"/>
        <v>q10ROW5_hidden_apac</v>
      </c>
      <c r="B338" s="3" t="str">
        <f t="shared" si="5"/>
        <v>_apac</v>
      </c>
      <c r="C338" s="3" t="s">
        <v>503</v>
      </c>
      <c r="D338" s="12" t="s">
        <v>62</v>
      </c>
      <c r="E338" s="8" t="s">
        <v>322</v>
      </c>
      <c r="F338" s="3" t="s">
        <v>2340</v>
      </c>
    </row>
    <row r="339" spans="1:6" x14ac:dyDescent="0.25">
      <c r="A339" s="3" t="str">
        <f t="shared" si="6"/>
        <v>q106_1_apac</v>
      </c>
      <c r="B339" s="3" t="str">
        <f t="shared" si="5"/>
        <v>_apac</v>
      </c>
      <c r="C339" s="3" t="s">
        <v>504</v>
      </c>
      <c r="D339" s="12" t="s">
        <v>62</v>
      </c>
      <c r="E339" s="3" t="s">
        <v>324</v>
      </c>
      <c r="F339" s="3" t="s">
        <v>2341</v>
      </c>
    </row>
    <row r="340" spans="1:6" x14ac:dyDescent="0.25">
      <c r="A340" s="3" t="str">
        <f t="shared" si="6"/>
        <v>q106_2_apac</v>
      </c>
      <c r="B340" s="3" t="str">
        <f t="shared" si="5"/>
        <v>_apac</v>
      </c>
      <c r="C340" s="3" t="s">
        <v>505</v>
      </c>
      <c r="D340" s="12" t="s">
        <v>62</v>
      </c>
      <c r="E340" s="3" t="s">
        <v>326</v>
      </c>
      <c r="F340" s="3" t="s">
        <v>2342</v>
      </c>
    </row>
    <row r="341" spans="1:6" x14ac:dyDescent="0.25">
      <c r="A341" s="3" t="str">
        <f t="shared" si="6"/>
        <v>q106_3_apac</v>
      </c>
      <c r="B341" s="3" t="str">
        <f t="shared" si="5"/>
        <v>_apac</v>
      </c>
      <c r="C341" s="3" t="s">
        <v>506</v>
      </c>
      <c r="D341" s="12" t="s">
        <v>62</v>
      </c>
      <c r="E341" s="3" t="s">
        <v>328</v>
      </c>
      <c r="F341" s="3" t="s">
        <v>2343</v>
      </c>
    </row>
    <row r="342" spans="1:6" x14ac:dyDescent="0.25">
      <c r="A342" s="3" t="str">
        <f t="shared" si="6"/>
        <v>q106_4_apac</v>
      </c>
      <c r="B342" s="3" t="str">
        <f t="shared" si="5"/>
        <v>_apac</v>
      </c>
      <c r="C342" s="3" t="s">
        <v>507</v>
      </c>
      <c r="D342" s="12" t="s">
        <v>62</v>
      </c>
      <c r="E342" s="3" t="s">
        <v>330</v>
      </c>
      <c r="F342" s="3" t="s">
        <v>2344</v>
      </c>
    </row>
    <row r="343" spans="1:6" x14ac:dyDescent="0.25">
      <c r="A343" s="3" t="str">
        <f t="shared" si="6"/>
        <v>q106_5_apac</v>
      </c>
      <c r="B343" s="3" t="str">
        <f t="shared" si="5"/>
        <v>_apac</v>
      </c>
      <c r="C343" s="3" t="s">
        <v>508</v>
      </c>
      <c r="D343" s="12" t="s">
        <v>62</v>
      </c>
      <c r="E343" s="3" t="s">
        <v>332</v>
      </c>
      <c r="F343" s="3" t="s">
        <v>2345</v>
      </c>
    </row>
    <row r="344" spans="1:6" x14ac:dyDescent="0.25">
      <c r="A344" s="3" t="str">
        <f t="shared" si="6"/>
        <v>q106_6_apac</v>
      </c>
      <c r="B344" s="3" t="str">
        <f t="shared" si="5"/>
        <v>_apac</v>
      </c>
      <c r="C344" s="3" t="s">
        <v>509</v>
      </c>
      <c r="D344" s="12" t="s">
        <v>62</v>
      </c>
      <c r="E344" s="3" t="s">
        <v>334</v>
      </c>
      <c r="F344" s="3" t="s">
        <v>2346</v>
      </c>
    </row>
    <row r="345" spans="1:6" x14ac:dyDescent="0.25">
      <c r="A345" s="3" t="str">
        <f t="shared" si="6"/>
        <v>q10ROW6_hidden_apac</v>
      </c>
      <c r="B345" s="3" t="str">
        <f t="shared" si="5"/>
        <v>_apac</v>
      </c>
      <c r="C345" s="3" t="s">
        <v>510</v>
      </c>
      <c r="D345" s="12" t="s">
        <v>62</v>
      </c>
      <c r="E345" s="8" t="s">
        <v>162</v>
      </c>
      <c r="F345" s="3" t="s">
        <v>2347</v>
      </c>
    </row>
    <row r="346" spans="1:6" x14ac:dyDescent="0.25">
      <c r="A346" s="3" t="str">
        <f t="shared" si="6"/>
        <v>q107_1_apac</v>
      </c>
      <c r="B346" s="3" t="str">
        <f t="shared" si="5"/>
        <v>_apac</v>
      </c>
      <c r="C346" s="3" t="s">
        <v>511</v>
      </c>
      <c r="D346" s="12" t="s">
        <v>62</v>
      </c>
      <c r="E346" s="3" t="s">
        <v>337</v>
      </c>
      <c r="F346" s="3" t="s">
        <v>2348</v>
      </c>
    </row>
    <row r="347" spans="1:6" x14ac:dyDescent="0.25">
      <c r="A347" s="3" t="str">
        <f t="shared" si="6"/>
        <v>q107_2_apac</v>
      </c>
      <c r="B347" s="3" t="str">
        <f t="shared" si="5"/>
        <v>_apac</v>
      </c>
      <c r="C347" s="3" t="s">
        <v>512</v>
      </c>
      <c r="D347" s="12" t="s">
        <v>62</v>
      </c>
      <c r="E347" s="3" t="s">
        <v>339</v>
      </c>
      <c r="F347" s="3" t="s">
        <v>2349</v>
      </c>
    </row>
    <row r="348" spans="1:6" x14ac:dyDescent="0.25">
      <c r="A348" s="3" t="str">
        <f t="shared" si="6"/>
        <v>q107_3_apac</v>
      </c>
      <c r="B348" s="3" t="str">
        <f t="shared" si="5"/>
        <v>_apac</v>
      </c>
      <c r="C348" s="3" t="s">
        <v>513</v>
      </c>
      <c r="D348" s="12" t="s">
        <v>62</v>
      </c>
      <c r="E348" s="3" t="s">
        <v>341</v>
      </c>
      <c r="F348" s="3" t="s">
        <v>2350</v>
      </c>
    </row>
    <row r="349" spans="1:6" x14ac:dyDescent="0.25">
      <c r="A349" s="3" t="str">
        <f t="shared" si="6"/>
        <v>q107_4_apac</v>
      </c>
      <c r="B349" s="3" t="str">
        <f t="shared" si="5"/>
        <v>_apac</v>
      </c>
      <c r="C349" s="3" t="s">
        <v>514</v>
      </c>
      <c r="D349" s="12" t="s">
        <v>62</v>
      </c>
      <c r="E349" s="3" t="s">
        <v>343</v>
      </c>
      <c r="F349" s="3" t="s">
        <v>2351</v>
      </c>
    </row>
    <row r="350" spans="1:6" x14ac:dyDescent="0.25">
      <c r="A350" s="3" t="str">
        <f t="shared" si="6"/>
        <v>q107_5_apac</v>
      </c>
      <c r="B350" s="3" t="str">
        <f t="shared" si="5"/>
        <v>_apac</v>
      </c>
      <c r="C350" s="3" t="s">
        <v>515</v>
      </c>
      <c r="D350" s="12" t="s">
        <v>62</v>
      </c>
      <c r="E350" s="3" t="s">
        <v>345</v>
      </c>
      <c r="F350" s="3" t="s">
        <v>2352</v>
      </c>
    </row>
    <row r="351" spans="1:6" x14ac:dyDescent="0.25">
      <c r="A351" s="3" t="str">
        <f t="shared" si="6"/>
        <v>q107_6_apac</v>
      </c>
      <c r="B351" s="3" t="str">
        <f t="shared" si="5"/>
        <v>_apac</v>
      </c>
      <c r="C351" s="3" t="s">
        <v>516</v>
      </c>
      <c r="D351" s="12" t="s">
        <v>62</v>
      </c>
      <c r="E351" s="3" t="s">
        <v>347</v>
      </c>
      <c r="F351" s="3" t="s">
        <v>2353</v>
      </c>
    </row>
    <row r="352" spans="1:6" x14ac:dyDescent="0.25">
      <c r="A352" s="3" t="str">
        <f t="shared" si="6"/>
        <v>q10ROW7_hidden_apac</v>
      </c>
      <c r="B352" s="3" t="str">
        <f t="shared" si="5"/>
        <v>_apac</v>
      </c>
      <c r="C352" s="3" t="s">
        <v>517</v>
      </c>
      <c r="D352" s="12" t="s">
        <v>62</v>
      </c>
      <c r="E352" s="8" t="s">
        <v>349</v>
      </c>
      <c r="F352" s="3" t="s">
        <v>2354</v>
      </c>
    </row>
    <row r="353" spans="1:6" x14ac:dyDescent="0.25">
      <c r="A353" s="3" t="str">
        <f t="shared" si="6"/>
        <v>q10other_apac</v>
      </c>
      <c r="B353" s="3" t="str">
        <f t="shared" si="5"/>
        <v>_apac</v>
      </c>
      <c r="C353" s="3" t="s">
        <v>518</v>
      </c>
      <c r="D353" s="12" t="s">
        <v>62</v>
      </c>
      <c r="E353" s="3" t="s">
        <v>351</v>
      </c>
      <c r="F353" s="3" t="s">
        <v>2355</v>
      </c>
    </row>
    <row r="354" spans="1:6" x14ac:dyDescent="0.25">
      <c r="A354" s="3" t="str">
        <f t="shared" si="6"/>
        <v>q108_1_apac</v>
      </c>
      <c r="B354" s="3" t="str">
        <f t="shared" si="5"/>
        <v>_apac</v>
      </c>
      <c r="C354" s="3" t="s">
        <v>519</v>
      </c>
      <c r="D354" s="12" t="s">
        <v>62</v>
      </c>
      <c r="E354" s="3" t="s">
        <v>353</v>
      </c>
      <c r="F354" s="3" t="s">
        <v>2356</v>
      </c>
    </row>
    <row r="355" spans="1:6" x14ac:dyDescent="0.25">
      <c r="A355" s="3" t="str">
        <f t="shared" si="6"/>
        <v>q108_2_apac</v>
      </c>
      <c r="B355" s="3" t="str">
        <f t="shared" si="5"/>
        <v>_apac</v>
      </c>
      <c r="C355" s="3" t="s">
        <v>520</v>
      </c>
      <c r="D355" s="12" t="s">
        <v>62</v>
      </c>
      <c r="E355" s="3" t="s">
        <v>355</v>
      </c>
      <c r="F355" s="3" t="s">
        <v>2357</v>
      </c>
    </row>
    <row r="356" spans="1:6" x14ac:dyDescent="0.25">
      <c r="A356" s="3" t="str">
        <f t="shared" si="6"/>
        <v>q108_3_apac</v>
      </c>
      <c r="B356" s="3" t="str">
        <f t="shared" si="5"/>
        <v>_apac</v>
      </c>
      <c r="C356" s="3" t="s">
        <v>521</v>
      </c>
      <c r="D356" s="12" t="s">
        <v>62</v>
      </c>
      <c r="E356" s="3" t="s">
        <v>357</v>
      </c>
      <c r="F356" s="3" t="s">
        <v>2358</v>
      </c>
    </row>
    <row r="357" spans="1:6" x14ac:dyDescent="0.25">
      <c r="A357" s="3" t="str">
        <f t="shared" si="6"/>
        <v>q108_4_apac</v>
      </c>
      <c r="B357" s="3" t="str">
        <f t="shared" si="5"/>
        <v>_apac</v>
      </c>
      <c r="C357" s="3" t="s">
        <v>522</v>
      </c>
      <c r="D357" s="12" t="s">
        <v>62</v>
      </c>
      <c r="E357" s="3" t="s">
        <v>359</v>
      </c>
      <c r="F357" s="3" t="s">
        <v>2359</v>
      </c>
    </row>
    <row r="358" spans="1:6" x14ac:dyDescent="0.25">
      <c r="A358" s="3" t="str">
        <f t="shared" si="6"/>
        <v>q108_5_apac</v>
      </c>
      <c r="B358" s="3" t="str">
        <f t="shared" si="5"/>
        <v>_apac</v>
      </c>
      <c r="C358" s="3" t="s">
        <v>523</v>
      </c>
      <c r="D358" s="12" t="s">
        <v>62</v>
      </c>
      <c r="E358" s="3" t="s">
        <v>361</v>
      </c>
      <c r="F358" s="3" t="s">
        <v>2360</v>
      </c>
    </row>
    <row r="359" spans="1:6" x14ac:dyDescent="0.25">
      <c r="A359" s="3" t="str">
        <f t="shared" si="6"/>
        <v>q108_6_apac</v>
      </c>
      <c r="B359" s="3" t="str">
        <f t="shared" si="5"/>
        <v>_apac</v>
      </c>
      <c r="C359" s="3" t="s">
        <v>524</v>
      </c>
      <c r="D359" s="12" t="s">
        <v>62</v>
      </c>
      <c r="E359" s="3" t="s">
        <v>363</v>
      </c>
      <c r="F359" s="3" t="s">
        <v>2361</v>
      </c>
    </row>
    <row r="360" spans="1:6" x14ac:dyDescent="0.25">
      <c r="A360" s="3" t="str">
        <f t="shared" si="6"/>
        <v>q10ROW8_hidden_apac</v>
      </c>
      <c r="B360" s="3" t="str">
        <f t="shared" si="5"/>
        <v>_apac</v>
      </c>
      <c r="C360" s="3" t="s">
        <v>525</v>
      </c>
      <c r="D360" s="12" t="s">
        <v>62</v>
      </c>
      <c r="E360" s="8" t="s">
        <v>365</v>
      </c>
      <c r="F360" s="3" t="s">
        <v>2362</v>
      </c>
    </row>
    <row r="361" spans="1:6" x14ac:dyDescent="0.25">
      <c r="A361" s="3" t="str">
        <f t="shared" si="6"/>
        <v>q10COL1_hidden_apac</v>
      </c>
      <c r="B361" s="3" t="str">
        <f t="shared" si="5"/>
        <v>_apac</v>
      </c>
      <c r="C361" s="3" t="s">
        <v>526</v>
      </c>
      <c r="D361" s="12" t="s">
        <v>62</v>
      </c>
      <c r="E361" s="8" t="s">
        <v>154</v>
      </c>
      <c r="F361" s="3" t="s">
        <v>2363</v>
      </c>
    </row>
    <row r="362" spans="1:6" x14ac:dyDescent="0.25">
      <c r="A362" s="3" t="str">
        <f t="shared" si="6"/>
        <v>q10COL2_hidden_apac</v>
      </c>
      <c r="B362" s="3" t="str">
        <f t="shared" si="5"/>
        <v>_apac</v>
      </c>
      <c r="C362" s="3" t="s">
        <v>527</v>
      </c>
      <c r="D362" s="12" t="s">
        <v>62</v>
      </c>
      <c r="E362" s="8" t="s">
        <v>156</v>
      </c>
      <c r="F362" s="3" t="s">
        <v>2364</v>
      </c>
    </row>
    <row r="363" spans="1:6" x14ac:dyDescent="0.25">
      <c r="A363" s="3" t="str">
        <f t="shared" si="6"/>
        <v>q10COL3_hidden_apac</v>
      </c>
      <c r="B363" s="3" t="str">
        <f t="shared" si="5"/>
        <v>_apac</v>
      </c>
      <c r="C363" s="3" t="s">
        <v>528</v>
      </c>
      <c r="D363" s="12" t="s">
        <v>62</v>
      </c>
      <c r="E363" s="8" t="s">
        <v>158</v>
      </c>
      <c r="F363" s="3" t="s">
        <v>2365</v>
      </c>
    </row>
    <row r="364" spans="1:6" x14ac:dyDescent="0.25">
      <c r="A364" s="3" t="str">
        <f t="shared" si="6"/>
        <v>q10COL4_hidden_apac</v>
      </c>
      <c r="B364" s="3" t="str">
        <f t="shared" si="5"/>
        <v>_apac</v>
      </c>
      <c r="C364" s="3" t="s">
        <v>529</v>
      </c>
      <c r="D364" s="12" t="s">
        <v>62</v>
      </c>
      <c r="E364" s="8" t="s">
        <v>160</v>
      </c>
      <c r="F364" s="3" t="s">
        <v>2366</v>
      </c>
    </row>
    <row r="365" spans="1:6" x14ac:dyDescent="0.25">
      <c r="A365" s="3" t="str">
        <f t="shared" si="6"/>
        <v>q10COL5_hidden_apac</v>
      </c>
      <c r="B365" s="3" t="str">
        <f t="shared" si="5"/>
        <v>_apac</v>
      </c>
      <c r="C365" s="3" t="s">
        <v>530</v>
      </c>
      <c r="D365" s="12" t="s">
        <v>62</v>
      </c>
      <c r="E365" s="8" t="s">
        <v>162</v>
      </c>
      <c r="F365" s="3" t="s">
        <v>2367</v>
      </c>
    </row>
    <row r="366" spans="1:6" x14ac:dyDescent="0.25">
      <c r="A366" s="3" t="str">
        <f t="shared" si="6"/>
        <v>q10COL6_hidden_apac</v>
      </c>
      <c r="B366" s="3" t="str">
        <f t="shared" si="5"/>
        <v>_apac</v>
      </c>
      <c r="C366" s="3" t="s">
        <v>531</v>
      </c>
      <c r="D366" s="12" t="s">
        <v>62</v>
      </c>
      <c r="E366" s="8" t="s">
        <v>164</v>
      </c>
      <c r="F366" s="3" t="s">
        <v>2368</v>
      </c>
    </row>
    <row r="367" spans="1:6" x14ac:dyDescent="0.25">
      <c r="A367" s="3" t="str">
        <f t="shared" si="6"/>
        <v>q10GRANDTotal_hidden_apac</v>
      </c>
      <c r="B367" s="3" t="str">
        <f t="shared" si="5"/>
        <v>_apac</v>
      </c>
      <c r="C367" s="3" t="s">
        <v>532</v>
      </c>
      <c r="D367" s="12" t="s">
        <v>62</v>
      </c>
      <c r="E367" s="8" t="s">
        <v>533</v>
      </c>
      <c r="F367" s="3" t="s">
        <v>2369</v>
      </c>
    </row>
    <row r="368" spans="1:6" x14ac:dyDescent="0.25">
      <c r="A368" s="3" t="str">
        <f t="shared" si="6"/>
        <v>_apac</v>
      </c>
      <c r="B368" s="3" t="str">
        <f t="shared" ref="B368:B410" si="7">B367</f>
        <v>_apac</v>
      </c>
      <c r="C368" s="6"/>
      <c r="D368" s="6"/>
      <c r="E368" s="9" t="s">
        <v>2951</v>
      </c>
      <c r="F368" s="3">
        <v>15</v>
      </c>
    </row>
    <row r="369" spans="1:6" x14ac:dyDescent="0.25">
      <c r="A369" s="3" t="str">
        <f t="shared" si="6"/>
        <v>q111_1_apac</v>
      </c>
      <c r="B369" s="3" t="str">
        <f t="shared" si="7"/>
        <v>_apac</v>
      </c>
      <c r="C369" s="3" t="s">
        <v>534</v>
      </c>
      <c r="D369" s="12" t="s">
        <v>62</v>
      </c>
      <c r="E369" s="3" t="s">
        <v>388</v>
      </c>
      <c r="F369" s="3" t="s">
        <v>2370</v>
      </c>
    </row>
    <row r="370" spans="1:6" x14ac:dyDescent="0.25">
      <c r="A370" s="3" t="str">
        <f t="shared" si="6"/>
        <v>q111_2_apac</v>
      </c>
      <c r="B370" s="3" t="str">
        <f t="shared" si="7"/>
        <v>_apac</v>
      </c>
      <c r="C370" s="3" t="s">
        <v>535</v>
      </c>
      <c r="D370" s="12" t="s">
        <v>62</v>
      </c>
      <c r="E370" s="3" t="s">
        <v>390</v>
      </c>
      <c r="F370" s="3" t="s">
        <v>2371</v>
      </c>
    </row>
    <row r="371" spans="1:6" x14ac:dyDescent="0.25">
      <c r="A371" s="3" t="str">
        <f t="shared" si="6"/>
        <v>q111_3_apac</v>
      </c>
      <c r="B371" s="3" t="str">
        <f t="shared" si="7"/>
        <v>_apac</v>
      </c>
      <c r="C371" s="3" t="s">
        <v>536</v>
      </c>
      <c r="D371" s="12" t="s">
        <v>62</v>
      </c>
      <c r="E371" s="3" t="s">
        <v>392</v>
      </c>
      <c r="F371" s="3" t="s">
        <v>2372</v>
      </c>
    </row>
    <row r="372" spans="1:6" x14ac:dyDescent="0.25">
      <c r="A372" s="3" t="str">
        <f t="shared" si="6"/>
        <v>q111_4_apac</v>
      </c>
      <c r="B372" s="3" t="str">
        <f t="shared" si="7"/>
        <v>_apac</v>
      </c>
      <c r="C372" s="3" t="s">
        <v>537</v>
      </c>
      <c r="D372" s="12" t="s">
        <v>62</v>
      </c>
      <c r="E372" s="3" t="s">
        <v>394</v>
      </c>
      <c r="F372" s="3" t="s">
        <v>2373</v>
      </c>
    </row>
    <row r="373" spans="1:6" x14ac:dyDescent="0.25">
      <c r="A373" s="3" t="str">
        <f t="shared" si="6"/>
        <v>q111_5_apac</v>
      </c>
      <c r="B373" s="3" t="str">
        <f t="shared" si="7"/>
        <v>_apac</v>
      </c>
      <c r="C373" s="3" t="s">
        <v>538</v>
      </c>
      <c r="D373" s="12" t="s">
        <v>62</v>
      </c>
      <c r="E373" s="3" t="s">
        <v>396</v>
      </c>
      <c r="F373" s="3" t="s">
        <v>2374</v>
      </c>
    </row>
    <row r="374" spans="1:6" x14ac:dyDescent="0.25">
      <c r="A374" s="3" t="str">
        <f t="shared" si="6"/>
        <v>q111_6_apac</v>
      </c>
      <c r="B374" s="3" t="str">
        <f t="shared" si="7"/>
        <v>_apac</v>
      </c>
      <c r="C374" s="3" t="s">
        <v>539</v>
      </c>
      <c r="D374" s="12" t="s">
        <v>62</v>
      </c>
      <c r="E374" s="3" t="s">
        <v>398</v>
      </c>
      <c r="F374" s="3" t="s">
        <v>2375</v>
      </c>
    </row>
    <row r="375" spans="1:6" x14ac:dyDescent="0.25">
      <c r="A375" s="3" t="str">
        <f t="shared" si="6"/>
        <v>q11ROW1_hidden_apac</v>
      </c>
      <c r="B375" s="3" t="str">
        <f t="shared" si="7"/>
        <v>_apac</v>
      </c>
      <c r="C375" s="3" t="s">
        <v>540</v>
      </c>
      <c r="D375" s="12" t="s">
        <v>62</v>
      </c>
      <c r="E375" s="8" t="s">
        <v>541</v>
      </c>
      <c r="F375" s="3" t="s">
        <v>2376</v>
      </c>
    </row>
    <row r="376" spans="1:6" x14ac:dyDescent="0.25">
      <c r="A376" s="3" t="str">
        <f t="shared" si="6"/>
        <v>q112_1_apac</v>
      </c>
      <c r="B376" s="3" t="str">
        <f t="shared" si="7"/>
        <v>_apac</v>
      </c>
      <c r="C376" s="3" t="s">
        <v>542</v>
      </c>
      <c r="D376" s="12" t="s">
        <v>62</v>
      </c>
      <c r="E376" s="3" t="s">
        <v>374</v>
      </c>
      <c r="F376" s="3" t="s">
        <v>2377</v>
      </c>
    </row>
    <row r="377" spans="1:6" x14ac:dyDescent="0.25">
      <c r="A377" s="3" t="str">
        <f t="shared" si="6"/>
        <v>q112_2_apac</v>
      </c>
      <c r="B377" s="3" t="str">
        <f t="shared" si="7"/>
        <v>_apac</v>
      </c>
      <c r="C377" s="3" t="s">
        <v>543</v>
      </c>
      <c r="D377" s="12" t="s">
        <v>62</v>
      </c>
      <c r="E377" s="3" t="s">
        <v>376</v>
      </c>
      <c r="F377" s="3" t="s">
        <v>2378</v>
      </c>
    </row>
    <row r="378" spans="1:6" x14ac:dyDescent="0.25">
      <c r="A378" s="3" t="str">
        <f t="shared" si="6"/>
        <v>q112_3_apac</v>
      </c>
      <c r="B378" s="3" t="str">
        <f t="shared" si="7"/>
        <v>_apac</v>
      </c>
      <c r="C378" s="3" t="s">
        <v>544</v>
      </c>
      <c r="D378" s="12" t="s">
        <v>62</v>
      </c>
      <c r="E378" s="3" t="s">
        <v>378</v>
      </c>
      <c r="F378" s="3" t="s">
        <v>2379</v>
      </c>
    </row>
    <row r="379" spans="1:6" x14ac:dyDescent="0.25">
      <c r="A379" s="3" t="str">
        <f t="shared" si="6"/>
        <v>q112_4_apac</v>
      </c>
      <c r="B379" s="3" t="str">
        <f t="shared" si="7"/>
        <v>_apac</v>
      </c>
      <c r="C379" s="3" t="s">
        <v>545</v>
      </c>
      <c r="D379" s="12" t="s">
        <v>62</v>
      </c>
      <c r="E379" s="3" t="s">
        <v>380</v>
      </c>
      <c r="F379" s="3" t="s">
        <v>2380</v>
      </c>
    </row>
    <row r="380" spans="1:6" x14ac:dyDescent="0.25">
      <c r="A380" s="3" t="str">
        <f t="shared" si="6"/>
        <v>q112_5_apac</v>
      </c>
      <c r="B380" s="3" t="str">
        <f t="shared" si="7"/>
        <v>_apac</v>
      </c>
      <c r="C380" s="3" t="s">
        <v>546</v>
      </c>
      <c r="D380" s="12" t="s">
        <v>62</v>
      </c>
      <c r="E380" s="3" t="s">
        <v>382</v>
      </c>
      <c r="F380" s="3" t="s">
        <v>2381</v>
      </c>
    </row>
    <row r="381" spans="1:6" x14ac:dyDescent="0.25">
      <c r="A381" s="3" t="str">
        <f t="shared" si="6"/>
        <v>q112_6_apac</v>
      </c>
      <c r="B381" s="3" t="str">
        <f t="shared" si="7"/>
        <v>_apac</v>
      </c>
      <c r="C381" s="3" t="s">
        <v>547</v>
      </c>
      <c r="D381" s="12" t="s">
        <v>62</v>
      </c>
      <c r="E381" s="3" t="s">
        <v>384</v>
      </c>
      <c r="F381" s="3" t="s">
        <v>2382</v>
      </c>
    </row>
    <row r="382" spans="1:6" x14ac:dyDescent="0.25">
      <c r="A382" s="3" t="str">
        <f t="shared" si="6"/>
        <v>q11ROW2_hidden_apac</v>
      </c>
      <c r="B382" s="3" t="str">
        <f t="shared" si="7"/>
        <v>_apac</v>
      </c>
      <c r="C382" s="3" t="s">
        <v>548</v>
      </c>
      <c r="D382" s="12" t="s">
        <v>62</v>
      </c>
      <c r="E382" s="8" t="s">
        <v>549</v>
      </c>
      <c r="F382" s="3" t="s">
        <v>2383</v>
      </c>
    </row>
    <row r="383" spans="1:6" x14ac:dyDescent="0.25">
      <c r="A383" s="3" t="str">
        <f t="shared" si="6"/>
        <v>q113_1_apac</v>
      </c>
      <c r="B383" s="3" t="str">
        <f t="shared" si="7"/>
        <v>_apac</v>
      </c>
      <c r="C383" s="3" t="s">
        <v>550</v>
      </c>
      <c r="D383" s="12" t="s">
        <v>62</v>
      </c>
      <c r="E383" s="3" t="s">
        <v>402</v>
      </c>
      <c r="F383" s="3" t="s">
        <v>2384</v>
      </c>
    </row>
    <row r="384" spans="1:6" x14ac:dyDescent="0.25">
      <c r="A384" s="3" t="str">
        <f t="shared" si="6"/>
        <v>q113_2_apac</v>
      </c>
      <c r="B384" s="3" t="str">
        <f t="shared" si="7"/>
        <v>_apac</v>
      </c>
      <c r="C384" s="3" t="s">
        <v>551</v>
      </c>
      <c r="D384" s="12" t="s">
        <v>62</v>
      </c>
      <c r="E384" s="3" t="s">
        <v>404</v>
      </c>
      <c r="F384" s="3" t="s">
        <v>2385</v>
      </c>
    </row>
    <row r="385" spans="1:6" x14ac:dyDescent="0.25">
      <c r="A385" s="3" t="str">
        <f t="shared" si="6"/>
        <v>q113_3_apac</v>
      </c>
      <c r="B385" s="3" t="str">
        <f t="shared" si="7"/>
        <v>_apac</v>
      </c>
      <c r="C385" s="3" t="s">
        <v>552</v>
      </c>
      <c r="D385" s="12" t="s">
        <v>62</v>
      </c>
      <c r="E385" s="3" t="s">
        <v>406</v>
      </c>
      <c r="F385" s="3" t="s">
        <v>2386</v>
      </c>
    </row>
    <row r="386" spans="1:6" x14ac:dyDescent="0.25">
      <c r="A386" s="3" t="str">
        <f t="shared" si="6"/>
        <v>q113_4_apac</v>
      </c>
      <c r="B386" s="3" t="str">
        <f t="shared" si="7"/>
        <v>_apac</v>
      </c>
      <c r="C386" s="3" t="s">
        <v>553</v>
      </c>
      <c r="D386" s="12" t="s">
        <v>62</v>
      </c>
      <c r="E386" s="3" t="s">
        <v>408</v>
      </c>
      <c r="F386" s="3" t="s">
        <v>2387</v>
      </c>
    </row>
    <row r="387" spans="1:6" x14ac:dyDescent="0.25">
      <c r="A387" s="3" t="str">
        <f t="shared" ref="A387:A450" si="8">_xlfn.CONCAT(C387,B387)</f>
        <v>q113_5_apac</v>
      </c>
      <c r="B387" s="3" t="str">
        <f t="shared" si="7"/>
        <v>_apac</v>
      </c>
      <c r="C387" s="3" t="s">
        <v>554</v>
      </c>
      <c r="D387" s="12" t="s">
        <v>62</v>
      </c>
      <c r="E387" s="3" t="s">
        <v>410</v>
      </c>
      <c r="F387" s="3" t="s">
        <v>2388</v>
      </c>
    </row>
    <row r="388" spans="1:6" x14ac:dyDescent="0.25">
      <c r="A388" s="3" t="str">
        <f t="shared" si="8"/>
        <v>q113_6_apac</v>
      </c>
      <c r="B388" s="3" t="str">
        <f t="shared" si="7"/>
        <v>_apac</v>
      </c>
      <c r="C388" s="3" t="s">
        <v>555</v>
      </c>
      <c r="D388" s="12" t="s">
        <v>62</v>
      </c>
      <c r="E388" s="3" t="s">
        <v>412</v>
      </c>
      <c r="F388" s="3" t="s">
        <v>2389</v>
      </c>
    </row>
    <row r="389" spans="1:6" x14ac:dyDescent="0.25">
      <c r="A389" s="3" t="str">
        <f t="shared" si="8"/>
        <v>q11ROW3_hidden_apac</v>
      </c>
      <c r="B389" s="3" t="str">
        <f t="shared" si="7"/>
        <v>_apac</v>
      </c>
      <c r="C389" s="3" t="s">
        <v>556</v>
      </c>
      <c r="D389" s="12" t="s">
        <v>62</v>
      </c>
      <c r="E389" s="8" t="s">
        <v>557</v>
      </c>
      <c r="F389" s="3" t="s">
        <v>2390</v>
      </c>
    </row>
    <row r="390" spans="1:6" x14ac:dyDescent="0.25">
      <c r="A390" s="3" t="str">
        <f t="shared" si="8"/>
        <v>q114_1_apac</v>
      </c>
      <c r="B390" s="3" t="str">
        <f t="shared" si="7"/>
        <v>_apac</v>
      </c>
      <c r="C390" s="3" t="s">
        <v>558</v>
      </c>
      <c r="D390" s="12" t="s">
        <v>62</v>
      </c>
      <c r="E390" s="3" t="s">
        <v>416</v>
      </c>
      <c r="F390" s="3" t="s">
        <v>2391</v>
      </c>
    </row>
    <row r="391" spans="1:6" x14ac:dyDescent="0.25">
      <c r="A391" s="3" t="str">
        <f t="shared" si="8"/>
        <v>q114_2_apac</v>
      </c>
      <c r="B391" s="3" t="str">
        <f t="shared" si="7"/>
        <v>_apac</v>
      </c>
      <c r="C391" s="3" t="s">
        <v>559</v>
      </c>
      <c r="D391" s="12" t="s">
        <v>62</v>
      </c>
      <c r="E391" s="3" t="s">
        <v>418</v>
      </c>
      <c r="F391" s="3" t="s">
        <v>2392</v>
      </c>
    </row>
    <row r="392" spans="1:6" x14ac:dyDescent="0.25">
      <c r="A392" s="3" t="str">
        <f t="shared" si="8"/>
        <v>q114_3_apac</v>
      </c>
      <c r="B392" s="3" t="str">
        <f t="shared" si="7"/>
        <v>_apac</v>
      </c>
      <c r="C392" s="3" t="s">
        <v>560</v>
      </c>
      <c r="D392" s="12" t="s">
        <v>62</v>
      </c>
      <c r="E392" s="3" t="s">
        <v>420</v>
      </c>
      <c r="F392" s="3" t="s">
        <v>2393</v>
      </c>
    </row>
    <row r="393" spans="1:6" x14ac:dyDescent="0.25">
      <c r="A393" s="3" t="str">
        <f t="shared" si="8"/>
        <v>q114_4_apac</v>
      </c>
      <c r="B393" s="3" t="str">
        <f t="shared" si="7"/>
        <v>_apac</v>
      </c>
      <c r="C393" s="3" t="s">
        <v>561</v>
      </c>
      <c r="D393" s="12" t="s">
        <v>62</v>
      </c>
      <c r="E393" s="3" t="s">
        <v>422</v>
      </c>
      <c r="F393" s="3" t="s">
        <v>2394</v>
      </c>
    </row>
    <row r="394" spans="1:6" x14ac:dyDescent="0.25">
      <c r="A394" s="3" t="str">
        <f t="shared" si="8"/>
        <v>q114_5_apac</v>
      </c>
      <c r="B394" s="3" t="str">
        <f t="shared" si="7"/>
        <v>_apac</v>
      </c>
      <c r="C394" s="3" t="s">
        <v>562</v>
      </c>
      <c r="D394" s="12" t="s">
        <v>62</v>
      </c>
      <c r="E394" s="3" t="s">
        <v>424</v>
      </c>
      <c r="F394" s="3" t="s">
        <v>2395</v>
      </c>
    </row>
    <row r="395" spans="1:6" x14ac:dyDescent="0.25">
      <c r="A395" s="3" t="str">
        <f t="shared" si="8"/>
        <v>q114_6_apac</v>
      </c>
      <c r="B395" s="3" t="str">
        <f t="shared" si="7"/>
        <v>_apac</v>
      </c>
      <c r="C395" s="3" t="s">
        <v>563</v>
      </c>
      <c r="D395" s="12" t="s">
        <v>62</v>
      </c>
      <c r="E395" s="3" t="s">
        <v>426</v>
      </c>
      <c r="F395" s="3" t="s">
        <v>2396</v>
      </c>
    </row>
    <row r="396" spans="1:6" x14ac:dyDescent="0.25">
      <c r="A396" s="3" t="str">
        <f t="shared" si="8"/>
        <v>q11ROW4_hidden_apac</v>
      </c>
      <c r="B396" s="3" t="str">
        <f t="shared" si="7"/>
        <v>_apac</v>
      </c>
      <c r="C396" s="3" t="s">
        <v>564</v>
      </c>
      <c r="D396" s="12" t="s">
        <v>62</v>
      </c>
      <c r="E396" s="8" t="s">
        <v>565</v>
      </c>
      <c r="F396" s="3" t="s">
        <v>2397</v>
      </c>
    </row>
    <row r="397" spans="1:6" x14ac:dyDescent="0.25">
      <c r="A397" s="3" t="str">
        <f t="shared" si="8"/>
        <v>q115_1_apac</v>
      </c>
      <c r="B397" s="3" t="str">
        <f t="shared" si="7"/>
        <v>_apac</v>
      </c>
      <c r="C397" s="3" t="s">
        <v>566</v>
      </c>
      <c r="D397" s="12" t="s">
        <v>62</v>
      </c>
      <c r="E397" s="3" t="s">
        <v>430</v>
      </c>
      <c r="F397" s="3" t="s">
        <v>2398</v>
      </c>
    </row>
    <row r="398" spans="1:6" x14ac:dyDescent="0.25">
      <c r="A398" s="3" t="str">
        <f t="shared" si="8"/>
        <v>q115_2_apac</v>
      </c>
      <c r="B398" s="3" t="str">
        <f t="shared" si="7"/>
        <v>_apac</v>
      </c>
      <c r="C398" s="3" t="s">
        <v>567</v>
      </c>
      <c r="D398" s="12" t="s">
        <v>62</v>
      </c>
      <c r="E398" s="3" t="s">
        <v>432</v>
      </c>
      <c r="F398" s="3" t="s">
        <v>2399</v>
      </c>
    </row>
    <row r="399" spans="1:6" x14ac:dyDescent="0.25">
      <c r="A399" s="3" t="str">
        <f t="shared" si="8"/>
        <v>q115_3_apac</v>
      </c>
      <c r="B399" s="3" t="str">
        <f t="shared" si="7"/>
        <v>_apac</v>
      </c>
      <c r="C399" s="3" t="s">
        <v>568</v>
      </c>
      <c r="D399" s="12" t="s">
        <v>62</v>
      </c>
      <c r="E399" s="3" t="s">
        <v>434</v>
      </c>
      <c r="F399" s="3" t="s">
        <v>2400</v>
      </c>
    </row>
    <row r="400" spans="1:6" x14ac:dyDescent="0.25">
      <c r="A400" s="3" t="str">
        <f t="shared" si="8"/>
        <v>q115_4_apac</v>
      </c>
      <c r="B400" s="3" t="str">
        <f t="shared" si="7"/>
        <v>_apac</v>
      </c>
      <c r="C400" s="3" t="s">
        <v>569</v>
      </c>
      <c r="D400" s="12" t="s">
        <v>62</v>
      </c>
      <c r="E400" s="3" t="s">
        <v>436</v>
      </c>
      <c r="F400" s="3" t="s">
        <v>2401</v>
      </c>
    </row>
    <row r="401" spans="1:6" x14ac:dyDescent="0.25">
      <c r="A401" s="3" t="str">
        <f t="shared" si="8"/>
        <v>q115_5_apac</v>
      </c>
      <c r="B401" s="3" t="str">
        <f t="shared" si="7"/>
        <v>_apac</v>
      </c>
      <c r="C401" s="3" t="s">
        <v>570</v>
      </c>
      <c r="D401" s="12" t="s">
        <v>62</v>
      </c>
      <c r="E401" s="3" t="s">
        <v>438</v>
      </c>
      <c r="F401" s="3" t="s">
        <v>2402</v>
      </c>
    </row>
    <row r="402" spans="1:6" x14ac:dyDescent="0.25">
      <c r="A402" s="3" t="str">
        <f t="shared" si="8"/>
        <v>q115_6_apac</v>
      </c>
      <c r="B402" s="3" t="str">
        <f t="shared" si="7"/>
        <v>_apac</v>
      </c>
      <c r="C402" s="3" t="s">
        <v>571</v>
      </c>
      <c r="D402" s="12" t="s">
        <v>62</v>
      </c>
      <c r="E402" s="3" t="s">
        <v>440</v>
      </c>
      <c r="F402" s="3" t="s">
        <v>2403</v>
      </c>
    </row>
    <row r="403" spans="1:6" x14ac:dyDescent="0.25">
      <c r="A403" s="3" t="str">
        <f t="shared" si="8"/>
        <v>q11ROW5_hidden_apac</v>
      </c>
      <c r="B403" s="3" t="str">
        <f t="shared" si="7"/>
        <v>_apac</v>
      </c>
      <c r="C403" s="3" t="s">
        <v>572</v>
      </c>
      <c r="D403" s="12" t="s">
        <v>62</v>
      </c>
      <c r="E403" s="8" t="s">
        <v>442</v>
      </c>
      <c r="F403" s="3" t="s">
        <v>2404</v>
      </c>
    </row>
    <row r="404" spans="1:6" x14ac:dyDescent="0.25">
      <c r="A404" s="3" t="str">
        <f t="shared" si="8"/>
        <v>q11COL1_hidden_apac</v>
      </c>
      <c r="B404" s="3" t="str">
        <f t="shared" si="7"/>
        <v>_apac</v>
      </c>
      <c r="C404" s="3" t="s">
        <v>573</v>
      </c>
      <c r="D404" s="12" t="s">
        <v>62</v>
      </c>
      <c r="E404" s="8" t="s">
        <v>154</v>
      </c>
      <c r="F404" s="3" t="s">
        <v>2405</v>
      </c>
    </row>
    <row r="405" spans="1:6" x14ac:dyDescent="0.25">
      <c r="A405" s="3" t="str">
        <f t="shared" si="8"/>
        <v>q11COL2_hidden_apac</v>
      </c>
      <c r="B405" s="3" t="str">
        <f t="shared" si="7"/>
        <v>_apac</v>
      </c>
      <c r="C405" s="3" t="s">
        <v>574</v>
      </c>
      <c r="D405" s="12" t="s">
        <v>62</v>
      </c>
      <c r="E405" s="8" t="s">
        <v>156</v>
      </c>
      <c r="F405" s="3" t="s">
        <v>2406</v>
      </c>
    </row>
    <row r="406" spans="1:6" x14ac:dyDescent="0.25">
      <c r="A406" s="3" t="str">
        <f t="shared" si="8"/>
        <v>q11COL3_hidden_apac</v>
      </c>
      <c r="B406" s="3" t="str">
        <f t="shared" si="7"/>
        <v>_apac</v>
      </c>
      <c r="C406" s="3" t="s">
        <v>575</v>
      </c>
      <c r="D406" s="12" t="s">
        <v>62</v>
      </c>
      <c r="E406" s="8" t="s">
        <v>158</v>
      </c>
      <c r="F406" s="3" t="s">
        <v>2407</v>
      </c>
    </row>
    <row r="407" spans="1:6" x14ac:dyDescent="0.25">
      <c r="A407" s="3" t="str">
        <f t="shared" si="8"/>
        <v>q11COL4_hidden_apac</v>
      </c>
      <c r="B407" s="3" t="str">
        <f t="shared" si="7"/>
        <v>_apac</v>
      </c>
      <c r="C407" s="3" t="s">
        <v>576</v>
      </c>
      <c r="D407" s="12" t="s">
        <v>62</v>
      </c>
      <c r="E407" s="8" t="s">
        <v>160</v>
      </c>
      <c r="F407" s="3" t="s">
        <v>2408</v>
      </c>
    </row>
    <row r="408" spans="1:6" x14ac:dyDescent="0.25">
      <c r="A408" s="3" t="str">
        <f t="shared" si="8"/>
        <v>q11COL5_hidden_apac</v>
      </c>
      <c r="B408" s="3" t="str">
        <f t="shared" si="7"/>
        <v>_apac</v>
      </c>
      <c r="C408" s="3" t="s">
        <v>577</v>
      </c>
      <c r="D408" s="12" t="s">
        <v>62</v>
      </c>
      <c r="E408" s="8" t="s">
        <v>162</v>
      </c>
      <c r="F408" s="3" t="s">
        <v>2409</v>
      </c>
    </row>
    <row r="409" spans="1:6" x14ac:dyDescent="0.25">
      <c r="A409" s="3" t="str">
        <f t="shared" si="8"/>
        <v>q11COL6_hidden_apac</v>
      </c>
      <c r="B409" s="3" t="str">
        <f t="shared" si="7"/>
        <v>_apac</v>
      </c>
      <c r="C409" s="3" t="s">
        <v>578</v>
      </c>
      <c r="D409" s="12" t="s">
        <v>62</v>
      </c>
      <c r="E409" s="8" t="s">
        <v>164</v>
      </c>
      <c r="F409" s="3" t="s">
        <v>2410</v>
      </c>
    </row>
    <row r="410" spans="1:6" x14ac:dyDescent="0.25">
      <c r="A410" s="3" t="str">
        <f t="shared" si="8"/>
        <v>q11GRANDTotal_hidden_apac</v>
      </c>
      <c r="B410" s="3" t="str">
        <f t="shared" si="7"/>
        <v>_apac</v>
      </c>
      <c r="C410" s="3" t="s">
        <v>579</v>
      </c>
      <c r="D410" s="12" t="s">
        <v>62</v>
      </c>
      <c r="E410" s="8" t="s">
        <v>580</v>
      </c>
      <c r="F410" s="3" t="s">
        <v>2411</v>
      </c>
    </row>
    <row r="411" spans="1:6" x14ac:dyDescent="0.25">
      <c r="A411" s="3" t="str">
        <f t="shared" si="8"/>
        <v>EUROPE_europe</v>
      </c>
      <c r="B411" s="3" t="s">
        <v>581</v>
      </c>
      <c r="C411" s="10" t="s">
        <v>582</v>
      </c>
      <c r="D411" s="11"/>
      <c r="E411" s="9" t="s">
        <v>2952</v>
      </c>
      <c r="F411" s="3">
        <v>16</v>
      </c>
    </row>
    <row r="412" spans="1:6" x14ac:dyDescent="0.25">
      <c r="A412" s="3" t="str">
        <f t="shared" si="8"/>
        <v>q101_1_europe</v>
      </c>
      <c r="B412" s="3" t="str">
        <f t="shared" ref="B412:B475" si="9">B411</f>
        <v>_europe</v>
      </c>
      <c r="C412" s="3" t="s">
        <v>469</v>
      </c>
      <c r="D412" s="12" t="s">
        <v>62</v>
      </c>
      <c r="E412" s="3" t="s">
        <v>254</v>
      </c>
      <c r="F412" s="3" t="s">
        <v>2412</v>
      </c>
    </row>
    <row r="413" spans="1:6" x14ac:dyDescent="0.25">
      <c r="A413" s="3" t="str">
        <f t="shared" si="8"/>
        <v>q101_2_europe</v>
      </c>
      <c r="B413" s="3" t="str">
        <f t="shared" si="9"/>
        <v>_europe</v>
      </c>
      <c r="C413" s="3" t="s">
        <v>470</v>
      </c>
      <c r="D413" s="12" t="s">
        <v>62</v>
      </c>
      <c r="E413" s="3" t="s">
        <v>256</v>
      </c>
      <c r="F413" s="3" t="s">
        <v>2413</v>
      </c>
    </row>
    <row r="414" spans="1:6" x14ac:dyDescent="0.25">
      <c r="A414" s="3" t="str">
        <f t="shared" si="8"/>
        <v>q101_3_europe</v>
      </c>
      <c r="B414" s="3" t="str">
        <f t="shared" si="9"/>
        <v>_europe</v>
      </c>
      <c r="C414" s="3" t="s">
        <v>471</v>
      </c>
      <c r="D414" s="12" t="s">
        <v>62</v>
      </c>
      <c r="E414" s="3" t="s">
        <v>258</v>
      </c>
      <c r="F414" s="3" t="s">
        <v>2414</v>
      </c>
    </row>
    <row r="415" spans="1:6" x14ac:dyDescent="0.25">
      <c r="A415" s="3" t="str">
        <f t="shared" si="8"/>
        <v>q101_4_europe</v>
      </c>
      <c r="B415" s="3" t="str">
        <f t="shared" si="9"/>
        <v>_europe</v>
      </c>
      <c r="C415" s="3" t="s">
        <v>472</v>
      </c>
      <c r="D415" s="12" t="s">
        <v>62</v>
      </c>
      <c r="E415" s="3" t="s">
        <v>260</v>
      </c>
      <c r="F415" s="3" t="s">
        <v>2415</v>
      </c>
    </row>
    <row r="416" spans="1:6" x14ac:dyDescent="0.25">
      <c r="A416" s="3" t="str">
        <f t="shared" si="8"/>
        <v>q101_5_europe</v>
      </c>
      <c r="B416" s="3" t="str">
        <f t="shared" si="9"/>
        <v>_europe</v>
      </c>
      <c r="C416" s="3" t="s">
        <v>473</v>
      </c>
      <c r="D416" s="12" t="s">
        <v>62</v>
      </c>
      <c r="E416" s="3" t="s">
        <v>262</v>
      </c>
      <c r="F416" s="3" t="s">
        <v>2416</v>
      </c>
    </row>
    <row r="417" spans="1:6" x14ac:dyDescent="0.25">
      <c r="A417" s="3" t="str">
        <f t="shared" si="8"/>
        <v>q101_6_europe</v>
      </c>
      <c r="B417" s="3" t="str">
        <f t="shared" si="9"/>
        <v>_europe</v>
      </c>
      <c r="C417" s="3" t="s">
        <v>474</v>
      </c>
      <c r="D417" s="12" t="s">
        <v>62</v>
      </c>
      <c r="E417" s="3" t="s">
        <v>264</v>
      </c>
      <c r="F417" s="3" t="s">
        <v>2417</v>
      </c>
    </row>
    <row r="418" spans="1:6" x14ac:dyDescent="0.25">
      <c r="A418" s="3" t="str">
        <f t="shared" si="8"/>
        <v>q10ROW1_hidden_europe</v>
      </c>
      <c r="B418" s="3" t="str">
        <f t="shared" si="9"/>
        <v>_europe</v>
      </c>
      <c r="C418" s="3" t="s">
        <v>475</v>
      </c>
      <c r="D418" s="12" t="s">
        <v>62</v>
      </c>
      <c r="E418" s="8" t="s">
        <v>266</v>
      </c>
      <c r="F418" s="3" t="s">
        <v>2418</v>
      </c>
    </row>
    <row r="419" spans="1:6" x14ac:dyDescent="0.25">
      <c r="A419" s="3" t="str">
        <f t="shared" si="8"/>
        <v>q102_1_europe</v>
      </c>
      <c r="B419" s="3" t="str">
        <f t="shared" si="9"/>
        <v>_europe</v>
      </c>
      <c r="C419" s="3" t="s">
        <v>476</v>
      </c>
      <c r="D419" s="12" t="s">
        <v>62</v>
      </c>
      <c r="E419" s="3" t="s">
        <v>268</v>
      </c>
      <c r="F419" s="3" t="s">
        <v>2419</v>
      </c>
    </row>
    <row r="420" spans="1:6" x14ac:dyDescent="0.25">
      <c r="A420" s="3" t="str">
        <f t="shared" si="8"/>
        <v>q102_2_europe</v>
      </c>
      <c r="B420" s="3" t="str">
        <f t="shared" si="9"/>
        <v>_europe</v>
      </c>
      <c r="C420" s="3" t="s">
        <v>477</v>
      </c>
      <c r="D420" s="12" t="s">
        <v>62</v>
      </c>
      <c r="E420" s="3" t="s">
        <v>270</v>
      </c>
      <c r="F420" s="3" t="s">
        <v>2420</v>
      </c>
    </row>
    <row r="421" spans="1:6" x14ac:dyDescent="0.25">
      <c r="A421" s="3" t="str">
        <f t="shared" si="8"/>
        <v>q102_3_europe</v>
      </c>
      <c r="B421" s="3" t="str">
        <f t="shared" si="9"/>
        <v>_europe</v>
      </c>
      <c r="C421" s="3" t="s">
        <v>478</v>
      </c>
      <c r="D421" s="12" t="s">
        <v>62</v>
      </c>
      <c r="E421" s="3" t="s">
        <v>272</v>
      </c>
      <c r="F421" s="3" t="s">
        <v>2421</v>
      </c>
    </row>
    <row r="422" spans="1:6" x14ac:dyDescent="0.25">
      <c r="A422" s="3" t="str">
        <f t="shared" si="8"/>
        <v>q102_4_europe</v>
      </c>
      <c r="B422" s="3" t="str">
        <f t="shared" si="9"/>
        <v>_europe</v>
      </c>
      <c r="C422" s="3" t="s">
        <v>479</v>
      </c>
      <c r="D422" s="12" t="s">
        <v>62</v>
      </c>
      <c r="E422" s="3" t="s">
        <v>274</v>
      </c>
      <c r="F422" s="3" t="s">
        <v>2422</v>
      </c>
    </row>
    <row r="423" spans="1:6" x14ac:dyDescent="0.25">
      <c r="A423" s="3" t="str">
        <f t="shared" si="8"/>
        <v>q102_5_europe</v>
      </c>
      <c r="B423" s="3" t="str">
        <f t="shared" si="9"/>
        <v>_europe</v>
      </c>
      <c r="C423" s="3" t="s">
        <v>480</v>
      </c>
      <c r="D423" s="12" t="s">
        <v>62</v>
      </c>
      <c r="E423" s="3" t="s">
        <v>276</v>
      </c>
      <c r="F423" s="3" t="s">
        <v>2423</v>
      </c>
    </row>
    <row r="424" spans="1:6" x14ac:dyDescent="0.25">
      <c r="A424" s="3" t="str">
        <f t="shared" si="8"/>
        <v>q102_6_europe</v>
      </c>
      <c r="B424" s="3" t="str">
        <f t="shared" si="9"/>
        <v>_europe</v>
      </c>
      <c r="C424" s="3" t="s">
        <v>481</v>
      </c>
      <c r="D424" s="12" t="s">
        <v>62</v>
      </c>
      <c r="E424" s="3" t="s">
        <v>278</v>
      </c>
      <c r="F424" s="3" t="s">
        <v>2424</v>
      </c>
    </row>
    <row r="425" spans="1:6" x14ac:dyDescent="0.25">
      <c r="A425" s="3" t="str">
        <f t="shared" si="8"/>
        <v>q10ROW2_hidden_europe</v>
      </c>
      <c r="B425" s="3" t="str">
        <f t="shared" si="9"/>
        <v>_europe</v>
      </c>
      <c r="C425" s="3" t="s">
        <v>482</v>
      </c>
      <c r="D425" s="12" t="s">
        <v>62</v>
      </c>
      <c r="E425" s="8" t="s">
        <v>280</v>
      </c>
      <c r="F425" s="3" t="s">
        <v>2425</v>
      </c>
    </row>
    <row r="426" spans="1:6" x14ac:dyDescent="0.25">
      <c r="A426" s="3" t="str">
        <f t="shared" si="8"/>
        <v>q103_1_europe</v>
      </c>
      <c r="B426" s="3" t="str">
        <f t="shared" si="9"/>
        <v>_europe</v>
      </c>
      <c r="C426" s="3" t="s">
        <v>483</v>
      </c>
      <c r="D426" s="12" t="s">
        <v>62</v>
      </c>
      <c r="E426" s="3" t="s">
        <v>282</v>
      </c>
      <c r="F426" s="3" t="s">
        <v>2426</v>
      </c>
    </row>
    <row r="427" spans="1:6" x14ac:dyDescent="0.25">
      <c r="A427" s="3" t="str">
        <f t="shared" si="8"/>
        <v>q103_2_europe</v>
      </c>
      <c r="B427" s="3" t="str">
        <f t="shared" si="9"/>
        <v>_europe</v>
      </c>
      <c r="C427" s="3" t="s">
        <v>484</v>
      </c>
      <c r="D427" s="12" t="s">
        <v>62</v>
      </c>
      <c r="E427" s="3" t="s">
        <v>284</v>
      </c>
      <c r="F427" s="3" t="s">
        <v>2427</v>
      </c>
    </row>
    <row r="428" spans="1:6" x14ac:dyDescent="0.25">
      <c r="A428" s="3" t="str">
        <f t="shared" si="8"/>
        <v>q103_3_europe</v>
      </c>
      <c r="B428" s="3" t="str">
        <f t="shared" si="9"/>
        <v>_europe</v>
      </c>
      <c r="C428" s="3" t="s">
        <v>485</v>
      </c>
      <c r="D428" s="12" t="s">
        <v>62</v>
      </c>
      <c r="E428" s="3" t="s">
        <v>286</v>
      </c>
      <c r="F428" s="3" t="s">
        <v>2428</v>
      </c>
    </row>
    <row r="429" spans="1:6" x14ac:dyDescent="0.25">
      <c r="A429" s="3" t="str">
        <f t="shared" si="8"/>
        <v>q103_4_europe</v>
      </c>
      <c r="B429" s="3" t="str">
        <f t="shared" si="9"/>
        <v>_europe</v>
      </c>
      <c r="C429" s="3" t="s">
        <v>486</v>
      </c>
      <c r="D429" s="12" t="s">
        <v>62</v>
      </c>
      <c r="E429" s="3" t="s">
        <v>288</v>
      </c>
      <c r="F429" s="3" t="s">
        <v>2429</v>
      </c>
    </row>
    <row r="430" spans="1:6" x14ac:dyDescent="0.25">
      <c r="A430" s="3" t="str">
        <f t="shared" si="8"/>
        <v>q103_5_europe</v>
      </c>
      <c r="B430" s="3" t="str">
        <f t="shared" si="9"/>
        <v>_europe</v>
      </c>
      <c r="C430" s="3" t="s">
        <v>487</v>
      </c>
      <c r="D430" s="12" t="s">
        <v>62</v>
      </c>
      <c r="E430" s="3" t="s">
        <v>290</v>
      </c>
      <c r="F430" s="3" t="s">
        <v>2430</v>
      </c>
    </row>
    <row r="431" spans="1:6" x14ac:dyDescent="0.25">
      <c r="A431" s="3" t="str">
        <f t="shared" si="8"/>
        <v>q103_6_europe</v>
      </c>
      <c r="B431" s="3" t="str">
        <f t="shared" si="9"/>
        <v>_europe</v>
      </c>
      <c r="C431" s="3" t="s">
        <v>488</v>
      </c>
      <c r="D431" s="12" t="s">
        <v>62</v>
      </c>
      <c r="E431" s="3" t="s">
        <v>292</v>
      </c>
      <c r="F431" s="3" t="s">
        <v>2431</v>
      </c>
    </row>
    <row r="432" spans="1:6" x14ac:dyDescent="0.25">
      <c r="A432" s="3" t="str">
        <f t="shared" si="8"/>
        <v>q10ROW3_hidden_europe</v>
      </c>
      <c r="B432" s="3" t="str">
        <f t="shared" si="9"/>
        <v>_europe</v>
      </c>
      <c r="C432" s="3" t="s">
        <v>489</v>
      </c>
      <c r="D432" s="12" t="s">
        <v>62</v>
      </c>
      <c r="E432" s="8" t="s">
        <v>294</v>
      </c>
      <c r="F432" s="3" t="s">
        <v>2432</v>
      </c>
    </row>
    <row r="433" spans="1:6" x14ac:dyDescent="0.25">
      <c r="A433" s="3" t="str">
        <f t="shared" si="8"/>
        <v>q104_1_europe</v>
      </c>
      <c r="B433" s="3" t="str">
        <f t="shared" si="9"/>
        <v>_europe</v>
      </c>
      <c r="C433" s="3" t="s">
        <v>490</v>
      </c>
      <c r="D433" s="12" t="s">
        <v>62</v>
      </c>
      <c r="E433" s="3" t="s">
        <v>296</v>
      </c>
      <c r="F433" s="3" t="s">
        <v>2433</v>
      </c>
    </row>
    <row r="434" spans="1:6" x14ac:dyDescent="0.25">
      <c r="A434" s="3" t="str">
        <f t="shared" si="8"/>
        <v>q104_2_europe</v>
      </c>
      <c r="B434" s="3" t="str">
        <f t="shared" si="9"/>
        <v>_europe</v>
      </c>
      <c r="C434" s="3" t="s">
        <v>491</v>
      </c>
      <c r="D434" s="12" t="s">
        <v>62</v>
      </c>
      <c r="E434" s="3" t="s">
        <v>298</v>
      </c>
      <c r="F434" s="3" t="s">
        <v>2434</v>
      </c>
    </row>
    <row r="435" spans="1:6" x14ac:dyDescent="0.25">
      <c r="A435" s="3" t="str">
        <f t="shared" si="8"/>
        <v>q104_3_europe</v>
      </c>
      <c r="B435" s="3" t="str">
        <f t="shared" si="9"/>
        <v>_europe</v>
      </c>
      <c r="C435" s="3" t="s">
        <v>492</v>
      </c>
      <c r="D435" s="12" t="s">
        <v>62</v>
      </c>
      <c r="E435" s="3" t="s">
        <v>300</v>
      </c>
      <c r="F435" s="3" t="s">
        <v>2435</v>
      </c>
    </row>
    <row r="436" spans="1:6" x14ac:dyDescent="0.25">
      <c r="A436" s="3" t="str">
        <f t="shared" si="8"/>
        <v>q104_4_europe</v>
      </c>
      <c r="B436" s="3" t="str">
        <f t="shared" si="9"/>
        <v>_europe</v>
      </c>
      <c r="C436" s="3" t="s">
        <v>493</v>
      </c>
      <c r="D436" s="12" t="s">
        <v>62</v>
      </c>
      <c r="E436" s="3" t="s">
        <v>302</v>
      </c>
      <c r="F436" s="3" t="s">
        <v>2436</v>
      </c>
    </row>
    <row r="437" spans="1:6" x14ac:dyDescent="0.25">
      <c r="A437" s="3" t="str">
        <f t="shared" si="8"/>
        <v>q104_5_europe</v>
      </c>
      <c r="B437" s="3" t="str">
        <f t="shared" si="9"/>
        <v>_europe</v>
      </c>
      <c r="C437" s="3" t="s">
        <v>494</v>
      </c>
      <c r="D437" s="12" t="s">
        <v>62</v>
      </c>
      <c r="E437" s="3" t="s">
        <v>304</v>
      </c>
      <c r="F437" s="3" t="s">
        <v>2437</v>
      </c>
    </row>
    <row r="438" spans="1:6" x14ac:dyDescent="0.25">
      <c r="A438" s="3" t="str">
        <f t="shared" si="8"/>
        <v>q104_6_europe</v>
      </c>
      <c r="B438" s="3" t="str">
        <f t="shared" si="9"/>
        <v>_europe</v>
      </c>
      <c r="C438" s="3" t="s">
        <v>495</v>
      </c>
      <c r="D438" s="12" t="s">
        <v>62</v>
      </c>
      <c r="E438" s="3" t="s">
        <v>306</v>
      </c>
      <c r="F438" s="3" t="s">
        <v>2438</v>
      </c>
    </row>
    <row r="439" spans="1:6" x14ac:dyDescent="0.25">
      <c r="A439" s="3" t="str">
        <f t="shared" si="8"/>
        <v>q10ROW4_hidden_europe</v>
      </c>
      <c r="B439" s="3" t="str">
        <f t="shared" si="9"/>
        <v>_europe</v>
      </c>
      <c r="C439" s="3" t="s">
        <v>496</v>
      </c>
      <c r="D439" s="12" t="s">
        <v>62</v>
      </c>
      <c r="E439" s="8" t="s">
        <v>308</v>
      </c>
      <c r="F439" s="3" t="s">
        <v>2439</v>
      </c>
    </row>
    <row r="440" spans="1:6" x14ac:dyDescent="0.25">
      <c r="A440" s="3" t="str">
        <f t="shared" si="8"/>
        <v>q105_1_europe</v>
      </c>
      <c r="B440" s="3" t="str">
        <f t="shared" si="9"/>
        <v>_europe</v>
      </c>
      <c r="C440" s="3" t="s">
        <v>497</v>
      </c>
      <c r="D440" s="12" t="s">
        <v>62</v>
      </c>
      <c r="E440" s="3" t="s">
        <v>310</v>
      </c>
      <c r="F440" s="3" t="s">
        <v>2440</v>
      </c>
    </row>
    <row r="441" spans="1:6" x14ac:dyDescent="0.25">
      <c r="A441" s="3" t="str">
        <f t="shared" si="8"/>
        <v>q105_2_europe</v>
      </c>
      <c r="B441" s="3" t="str">
        <f t="shared" si="9"/>
        <v>_europe</v>
      </c>
      <c r="C441" s="3" t="s">
        <v>498</v>
      </c>
      <c r="D441" s="12" t="s">
        <v>62</v>
      </c>
      <c r="E441" s="3" t="s">
        <v>312</v>
      </c>
      <c r="F441" s="3" t="s">
        <v>2441</v>
      </c>
    </row>
    <row r="442" spans="1:6" x14ac:dyDescent="0.25">
      <c r="A442" s="3" t="str">
        <f t="shared" si="8"/>
        <v>q105_3_europe</v>
      </c>
      <c r="B442" s="3" t="str">
        <f t="shared" si="9"/>
        <v>_europe</v>
      </c>
      <c r="C442" s="3" t="s">
        <v>499</v>
      </c>
      <c r="D442" s="12" t="s">
        <v>62</v>
      </c>
      <c r="E442" s="3" t="s">
        <v>314</v>
      </c>
      <c r="F442" s="3" t="s">
        <v>2442</v>
      </c>
    </row>
    <row r="443" spans="1:6" x14ac:dyDescent="0.25">
      <c r="A443" s="3" t="str">
        <f t="shared" si="8"/>
        <v>q105_4_europe</v>
      </c>
      <c r="B443" s="3" t="str">
        <f t="shared" si="9"/>
        <v>_europe</v>
      </c>
      <c r="C443" s="3" t="s">
        <v>500</v>
      </c>
      <c r="D443" s="12" t="s">
        <v>62</v>
      </c>
      <c r="E443" s="3" t="s">
        <v>316</v>
      </c>
      <c r="F443" s="3" t="s">
        <v>2443</v>
      </c>
    </row>
    <row r="444" spans="1:6" x14ac:dyDescent="0.25">
      <c r="A444" s="3" t="str">
        <f t="shared" si="8"/>
        <v>q105_5_europe</v>
      </c>
      <c r="B444" s="3" t="str">
        <f t="shared" si="9"/>
        <v>_europe</v>
      </c>
      <c r="C444" s="3" t="s">
        <v>501</v>
      </c>
      <c r="D444" s="12" t="s">
        <v>62</v>
      </c>
      <c r="E444" s="3" t="s">
        <v>318</v>
      </c>
      <c r="F444" s="3" t="s">
        <v>2444</v>
      </c>
    </row>
    <row r="445" spans="1:6" x14ac:dyDescent="0.25">
      <c r="A445" s="3" t="str">
        <f t="shared" si="8"/>
        <v>q105_6_europe</v>
      </c>
      <c r="B445" s="3" t="str">
        <f t="shared" si="9"/>
        <v>_europe</v>
      </c>
      <c r="C445" s="3" t="s">
        <v>502</v>
      </c>
      <c r="D445" s="12" t="s">
        <v>62</v>
      </c>
      <c r="E445" s="3" t="s">
        <v>320</v>
      </c>
      <c r="F445" s="3" t="s">
        <v>2445</v>
      </c>
    </row>
    <row r="446" spans="1:6" x14ac:dyDescent="0.25">
      <c r="A446" s="3" t="str">
        <f t="shared" si="8"/>
        <v>q10ROW5_hidden_europe</v>
      </c>
      <c r="B446" s="3" t="str">
        <f t="shared" si="9"/>
        <v>_europe</v>
      </c>
      <c r="C446" s="3" t="s">
        <v>503</v>
      </c>
      <c r="D446" s="12" t="s">
        <v>62</v>
      </c>
      <c r="E446" s="8" t="s">
        <v>322</v>
      </c>
      <c r="F446" s="3" t="s">
        <v>2446</v>
      </c>
    </row>
    <row r="447" spans="1:6" x14ac:dyDescent="0.25">
      <c r="A447" s="3" t="str">
        <f t="shared" si="8"/>
        <v>q106_1_europe</v>
      </c>
      <c r="B447" s="3" t="str">
        <f t="shared" si="9"/>
        <v>_europe</v>
      </c>
      <c r="C447" s="3" t="s">
        <v>504</v>
      </c>
      <c r="D447" s="12" t="s">
        <v>62</v>
      </c>
      <c r="E447" s="3" t="s">
        <v>324</v>
      </c>
      <c r="F447" s="3" t="s">
        <v>2447</v>
      </c>
    </row>
    <row r="448" spans="1:6" x14ac:dyDescent="0.25">
      <c r="A448" s="3" t="str">
        <f t="shared" si="8"/>
        <v>q106_2_europe</v>
      </c>
      <c r="B448" s="3" t="str">
        <f t="shared" si="9"/>
        <v>_europe</v>
      </c>
      <c r="C448" s="3" t="s">
        <v>505</v>
      </c>
      <c r="D448" s="12" t="s">
        <v>62</v>
      </c>
      <c r="E448" s="3" t="s">
        <v>326</v>
      </c>
      <c r="F448" s="3" t="s">
        <v>2448</v>
      </c>
    </row>
    <row r="449" spans="1:6" x14ac:dyDescent="0.25">
      <c r="A449" s="3" t="str">
        <f t="shared" si="8"/>
        <v>q106_3_europe</v>
      </c>
      <c r="B449" s="3" t="str">
        <f t="shared" si="9"/>
        <v>_europe</v>
      </c>
      <c r="C449" s="3" t="s">
        <v>506</v>
      </c>
      <c r="D449" s="12" t="s">
        <v>62</v>
      </c>
      <c r="E449" s="3" t="s">
        <v>328</v>
      </c>
      <c r="F449" s="3" t="s">
        <v>2449</v>
      </c>
    </row>
    <row r="450" spans="1:6" x14ac:dyDescent="0.25">
      <c r="A450" s="3" t="str">
        <f t="shared" si="8"/>
        <v>q106_4_europe</v>
      </c>
      <c r="B450" s="3" t="str">
        <f t="shared" si="9"/>
        <v>_europe</v>
      </c>
      <c r="C450" s="3" t="s">
        <v>507</v>
      </c>
      <c r="D450" s="12" t="s">
        <v>62</v>
      </c>
      <c r="E450" s="3" t="s">
        <v>330</v>
      </c>
      <c r="F450" s="3" t="s">
        <v>2450</v>
      </c>
    </row>
    <row r="451" spans="1:6" x14ac:dyDescent="0.25">
      <c r="A451" s="3" t="str">
        <f t="shared" ref="A451:A514" si="10">_xlfn.CONCAT(C451,B451)</f>
        <v>q106_5_europe</v>
      </c>
      <c r="B451" s="3" t="str">
        <f t="shared" si="9"/>
        <v>_europe</v>
      </c>
      <c r="C451" s="3" t="s">
        <v>508</v>
      </c>
      <c r="D451" s="12" t="s">
        <v>62</v>
      </c>
      <c r="E451" s="3" t="s">
        <v>332</v>
      </c>
      <c r="F451" s="3" t="s">
        <v>2451</v>
      </c>
    </row>
    <row r="452" spans="1:6" x14ac:dyDescent="0.25">
      <c r="A452" s="3" t="str">
        <f t="shared" si="10"/>
        <v>q106_6_europe</v>
      </c>
      <c r="B452" s="3" t="str">
        <f t="shared" si="9"/>
        <v>_europe</v>
      </c>
      <c r="C452" s="3" t="s">
        <v>509</v>
      </c>
      <c r="D452" s="12" t="s">
        <v>62</v>
      </c>
      <c r="E452" s="3" t="s">
        <v>334</v>
      </c>
      <c r="F452" s="3" t="s">
        <v>2452</v>
      </c>
    </row>
    <row r="453" spans="1:6" x14ac:dyDescent="0.25">
      <c r="A453" s="3" t="str">
        <f t="shared" si="10"/>
        <v>q10ROW6_hidden_europe</v>
      </c>
      <c r="B453" s="3" t="str">
        <f t="shared" si="9"/>
        <v>_europe</v>
      </c>
      <c r="C453" s="3" t="s">
        <v>510</v>
      </c>
      <c r="D453" s="12" t="s">
        <v>62</v>
      </c>
      <c r="E453" s="8" t="s">
        <v>162</v>
      </c>
      <c r="F453" s="3" t="s">
        <v>2453</v>
      </c>
    </row>
    <row r="454" spans="1:6" x14ac:dyDescent="0.25">
      <c r="A454" s="3" t="str">
        <f t="shared" si="10"/>
        <v>q107_1_europe</v>
      </c>
      <c r="B454" s="3" t="str">
        <f t="shared" si="9"/>
        <v>_europe</v>
      </c>
      <c r="C454" s="3" t="s">
        <v>511</v>
      </c>
      <c r="D454" s="12" t="s">
        <v>62</v>
      </c>
      <c r="E454" s="3" t="s">
        <v>337</v>
      </c>
      <c r="F454" s="3" t="s">
        <v>2454</v>
      </c>
    </row>
    <row r="455" spans="1:6" x14ac:dyDescent="0.25">
      <c r="A455" s="3" t="str">
        <f t="shared" si="10"/>
        <v>q107_2_europe</v>
      </c>
      <c r="B455" s="3" t="str">
        <f t="shared" si="9"/>
        <v>_europe</v>
      </c>
      <c r="C455" s="3" t="s">
        <v>512</v>
      </c>
      <c r="D455" s="12" t="s">
        <v>62</v>
      </c>
      <c r="E455" s="3" t="s">
        <v>339</v>
      </c>
      <c r="F455" s="3" t="s">
        <v>2455</v>
      </c>
    </row>
    <row r="456" spans="1:6" x14ac:dyDescent="0.25">
      <c r="A456" s="3" t="str">
        <f t="shared" si="10"/>
        <v>q107_3_europe</v>
      </c>
      <c r="B456" s="3" t="str">
        <f t="shared" si="9"/>
        <v>_europe</v>
      </c>
      <c r="C456" s="3" t="s">
        <v>513</v>
      </c>
      <c r="D456" s="12" t="s">
        <v>62</v>
      </c>
      <c r="E456" s="3" t="s">
        <v>341</v>
      </c>
      <c r="F456" s="3" t="s">
        <v>2456</v>
      </c>
    </row>
    <row r="457" spans="1:6" x14ac:dyDescent="0.25">
      <c r="A457" s="3" t="str">
        <f t="shared" si="10"/>
        <v>q107_4_europe</v>
      </c>
      <c r="B457" s="3" t="str">
        <f t="shared" si="9"/>
        <v>_europe</v>
      </c>
      <c r="C457" s="3" t="s">
        <v>514</v>
      </c>
      <c r="D457" s="12" t="s">
        <v>62</v>
      </c>
      <c r="E457" s="3" t="s">
        <v>343</v>
      </c>
      <c r="F457" s="3" t="s">
        <v>2457</v>
      </c>
    </row>
    <row r="458" spans="1:6" x14ac:dyDescent="0.25">
      <c r="A458" s="3" t="str">
        <f t="shared" si="10"/>
        <v>q107_5_europe</v>
      </c>
      <c r="B458" s="3" t="str">
        <f t="shared" si="9"/>
        <v>_europe</v>
      </c>
      <c r="C458" s="3" t="s">
        <v>515</v>
      </c>
      <c r="D458" s="12" t="s">
        <v>62</v>
      </c>
      <c r="E458" s="3" t="s">
        <v>345</v>
      </c>
      <c r="F458" s="3" t="s">
        <v>2458</v>
      </c>
    </row>
    <row r="459" spans="1:6" x14ac:dyDescent="0.25">
      <c r="A459" s="3" t="str">
        <f t="shared" si="10"/>
        <v>q107_6_europe</v>
      </c>
      <c r="B459" s="3" t="str">
        <f t="shared" si="9"/>
        <v>_europe</v>
      </c>
      <c r="C459" s="3" t="s">
        <v>516</v>
      </c>
      <c r="D459" s="12" t="s">
        <v>62</v>
      </c>
      <c r="E459" s="3" t="s">
        <v>347</v>
      </c>
      <c r="F459" s="3" t="s">
        <v>2459</v>
      </c>
    </row>
    <row r="460" spans="1:6" x14ac:dyDescent="0.25">
      <c r="A460" s="3" t="str">
        <f t="shared" si="10"/>
        <v>q10ROW7_hidden_europe</v>
      </c>
      <c r="B460" s="3" t="str">
        <f t="shared" si="9"/>
        <v>_europe</v>
      </c>
      <c r="C460" s="3" t="s">
        <v>517</v>
      </c>
      <c r="D460" s="12" t="s">
        <v>62</v>
      </c>
      <c r="E460" s="8" t="s">
        <v>349</v>
      </c>
      <c r="F460" s="3" t="s">
        <v>2460</v>
      </c>
    </row>
    <row r="461" spans="1:6" x14ac:dyDescent="0.25">
      <c r="A461" s="3" t="str">
        <f t="shared" si="10"/>
        <v>q10other_europe</v>
      </c>
      <c r="B461" s="3" t="str">
        <f t="shared" si="9"/>
        <v>_europe</v>
      </c>
      <c r="C461" s="3" t="s">
        <v>518</v>
      </c>
      <c r="D461" s="12" t="s">
        <v>62</v>
      </c>
      <c r="E461" s="3" t="s">
        <v>351</v>
      </c>
      <c r="F461" s="3" t="s">
        <v>2461</v>
      </c>
    </row>
    <row r="462" spans="1:6" x14ac:dyDescent="0.25">
      <c r="A462" s="3" t="str">
        <f t="shared" si="10"/>
        <v>q108_1_europe</v>
      </c>
      <c r="B462" s="3" t="str">
        <f t="shared" si="9"/>
        <v>_europe</v>
      </c>
      <c r="C462" s="3" t="s">
        <v>519</v>
      </c>
      <c r="D462" s="12" t="s">
        <v>62</v>
      </c>
      <c r="E462" s="3" t="s">
        <v>353</v>
      </c>
      <c r="F462" s="3" t="s">
        <v>2462</v>
      </c>
    </row>
    <row r="463" spans="1:6" x14ac:dyDescent="0.25">
      <c r="A463" s="3" t="str">
        <f t="shared" si="10"/>
        <v>q108_2_europe</v>
      </c>
      <c r="B463" s="3" t="str">
        <f t="shared" si="9"/>
        <v>_europe</v>
      </c>
      <c r="C463" s="3" t="s">
        <v>520</v>
      </c>
      <c r="D463" s="12" t="s">
        <v>62</v>
      </c>
      <c r="E463" s="3" t="s">
        <v>355</v>
      </c>
      <c r="F463" s="3" t="s">
        <v>2463</v>
      </c>
    </row>
    <row r="464" spans="1:6" x14ac:dyDescent="0.25">
      <c r="A464" s="3" t="str">
        <f t="shared" si="10"/>
        <v>q108_3_europe</v>
      </c>
      <c r="B464" s="3" t="str">
        <f t="shared" si="9"/>
        <v>_europe</v>
      </c>
      <c r="C464" s="3" t="s">
        <v>521</v>
      </c>
      <c r="D464" s="12" t="s">
        <v>62</v>
      </c>
      <c r="E464" s="3" t="s">
        <v>357</v>
      </c>
      <c r="F464" s="3" t="s">
        <v>2464</v>
      </c>
    </row>
    <row r="465" spans="1:6" x14ac:dyDescent="0.25">
      <c r="A465" s="3" t="str">
        <f t="shared" si="10"/>
        <v>q108_4_europe</v>
      </c>
      <c r="B465" s="3" t="str">
        <f t="shared" si="9"/>
        <v>_europe</v>
      </c>
      <c r="C465" s="3" t="s">
        <v>522</v>
      </c>
      <c r="D465" s="12" t="s">
        <v>62</v>
      </c>
      <c r="E465" s="3" t="s">
        <v>359</v>
      </c>
      <c r="F465" s="3" t="s">
        <v>2465</v>
      </c>
    </row>
    <row r="466" spans="1:6" x14ac:dyDescent="0.25">
      <c r="A466" s="3" t="str">
        <f t="shared" si="10"/>
        <v>q108_5_europe</v>
      </c>
      <c r="B466" s="3" t="str">
        <f t="shared" si="9"/>
        <v>_europe</v>
      </c>
      <c r="C466" s="3" t="s">
        <v>523</v>
      </c>
      <c r="D466" s="12" t="s">
        <v>62</v>
      </c>
      <c r="E466" s="3" t="s">
        <v>361</v>
      </c>
      <c r="F466" s="3" t="s">
        <v>2466</v>
      </c>
    </row>
    <row r="467" spans="1:6" x14ac:dyDescent="0.25">
      <c r="A467" s="3" t="str">
        <f t="shared" si="10"/>
        <v>q108_6_europe</v>
      </c>
      <c r="B467" s="3" t="str">
        <f t="shared" si="9"/>
        <v>_europe</v>
      </c>
      <c r="C467" s="3" t="s">
        <v>524</v>
      </c>
      <c r="D467" s="12" t="s">
        <v>62</v>
      </c>
      <c r="E467" s="3" t="s">
        <v>363</v>
      </c>
      <c r="F467" s="3" t="s">
        <v>2467</v>
      </c>
    </row>
    <row r="468" spans="1:6" x14ac:dyDescent="0.25">
      <c r="A468" s="3" t="str">
        <f t="shared" si="10"/>
        <v>q10ROW8_hidden_europe</v>
      </c>
      <c r="B468" s="3" t="str">
        <f t="shared" si="9"/>
        <v>_europe</v>
      </c>
      <c r="C468" s="3" t="s">
        <v>525</v>
      </c>
      <c r="D468" s="12" t="s">
        <v>62</v>
      </c>
      <c r="E468" s="8" t="s">
        <v>365</v>
      </c>
      <c r="F468" s="3" t="s">
        <v>2468</v>
      </c>
    </row>
    <row r="469" spans="1:6" x14ac:dyDescent="0.25">
      <c r="A469" s="3" t="str">
        <f t="shared" si="10"/>
        <v>q10COL1_hidden_europe</v>
      </c>
      <c r="B469" s="3" t="str">
        <f t="shared" si="9"/>
        <v>_europe</v>
      </c>
      <c r="C469" s="3" t="s">
        <v>526</v>
      </c>
      <c r="D469" s="12" t="s">
        <v>62</v>
      </c>
      <c r="E469" s="8" t="s">
        <v>154</v>
      </c>
      <c r="F469" s="3" t="s">
        <v>2469</v>
      </c>
    </row>
    <row r="470" spans="1:6" x14ac:dyDescent="0.25">
      <c r="A470" s="3" t="str">
        <f t="shared" si="10"/>
        <v>q10COL2_hidden_europe</v>
      </c>
      <c r="B470" s="3" t="str">
        <f t="shared" si="9"/>
        <v>_europe</v>
      </c>
      <c r="C470" s="3" t="s">
        <v>527</v>
      </c>
      <c r="D470" s="12" t="s">
        <v>62</v>
      </c>
      <c r="E470" s="8" t="s">
        <v>156</v>
      </c>
      <c r="F470" s="3" t="s">
        <v>2470</v>
      </c>
    </row>
    <row r="471" spans="1:6" x14ac:dyDescent="0.25">
      <c r="A471" s="3" t="str">
        <f t="shared" si="10"/>
        <v>q10COL3_hidden_europe</v>
      </c>
      <c r="B471" s="3" t="str">
        <f t="shared" si="9"/>
        <v>_europe</v>
      </c>
      <c r="C471" s="3" t="s">
        <v>528</v>
      </c>
      <c r="D471" s="12" t="s">
        <v>62</v>
      </c>
      <c r="E471" s="8" t="s">
        <v>158</v>
      </c>
      <c r="F471" s="3" t="s">
        <v>2471</v>
      </c>
    </row>
    <row r="472" spans="1:6" x14ac:dyDescent="0.25">
      <c r="A472" s="3" t="str">
        <f t="shared" si="10"/>
        <v>q10COL4_hidden_europe</v>
      </c>
      <c r="B472" s="3" t="str">
        <f t="shared" si="9"/>
        <v>_europe</v>
      </c>
      <c r="C472" s="3" t="s">
        <v>529</v>
      </c>
      <c r="D472" s="12" t="s">
        <v>62</v>
      </c>
      <c r="E472" s="8" t="s">
        <v>160</v>
      </c>
      <c r="F472" s="3" t="s">
        <v>2472</v>
      </c>
    </row>
    <row r="473" spans="1:6" x14ac:dyDescent="0.25">
      <c r="A473" s="3" t="str">
        <f t="shared" si="10"/>
        <v>q10COL5_hidden_europe</v>
      </c>
      <c r="B473" s="3" t="str">
        <f t="shared" si="9"/>
        <v>_europe</v>
      </c>
      <c r="C473" s="3" t="s">
        <v>530</v>
      </c>
      <c r="D473" s="12" t="s">
        <v>62</v>
      </c>
      <c r="E473" s="8" t="s">
        <v>162</v>
      </c>
      <c r="F473" s="3" t="s">
        <v>2473</v>
      </c>
    </row>
    <row r="474" spans="1:6" x14ac:dyDescent="0.25">
      <c r="A474" s="3" t="str">
        <f t="shared" si="10"/>
        <v>q10COL6_hidden_europe</v>
      </c>
      <c r="B474" s="3" t="str">
        <f t="shared" si="9"/>
        <v>_europe</v>
      </c>
      <c r="C474" s="3" t="s">
        <v>531</v>
      </c>
      <c r="D474" s="12" t="s">
        <v>62</v>
      </c>
      <c r="E474" s="8" t="s">
        <v>164</v>
      </c>
      <c r="F474" s="3" t="s">
        <v>2474</v>
      </c>
    </row>
    <row r="475" spans="1:6" x14ac:dyDescent="0.25">
      <c r="A475" s="3" t="str">
        <f t="shared" si="10"/>
        <v>q10GRANDTotal_hidden_europe</v>
      </c>
      <c r="B475" s="3" t="str">
        <f t="shared" si="9"/>
        <v>_europe</v>
      </c>
      <c r="C475" s="3" t="s">
        <v>532</v>
      </c>
      <c r="D475" s="12" t="s">
        <v>62</v>
      </c>
      <c r="E475" s="8" t="s">
        <v>533</v>
      </c>
      <c r="F475" s="3" t="s">
        <v>2475</v>
      </c>
    </row>
    <row r="476" spans="1:6" x14ac:dyDescent="0.25">
      <c r="A476" s="3" t="str">
        <f t="shared" si="10"/>
        <v>_europe</v>
      </c>
      <c r="B476" s="3" t="str">
        <f t="shared" ref="B476:B518" si="11">B475</f>
        <v>_europe</v>
      </c>
      <c r="C476" s="6"/>
      <c r="D476" s="6"/>
      <c r="E476" s="9" t="s">
        <v>2953</v>
      </c>
      <c r="F476" s="3">
        <v>17</v>
      </c>
    </row>
    <row r="477" spans="1:6" x14ac:dyDescent="0.25">
      <c r="A477" s="3" t="str">
        <f t="shared" si="10"/>
        <v>q111_1_europe</v>
      </c>
      <c r="B477" s="3" t="str">
        <f t="shared" si="11"/>
        <v>_europe</v>
      </c>
      <c r="C477" s="3" t="s">
        <v>534</v>
      </c>
      <c r="D477" s="12" t="s">
        <v>62</v>
      </c>
      <c r="E477" s="3" t="s">
        <v>388</v>
      </c>
      <c r="F477" s="3" t="s">
        <v>2476</v>
      </c>
    </row>
    <row r="478" spans="1:6" x14ac:dyDescent="0.25">
      <c r="A478" s="3" t="str">
        <f t="shared" si="10"/>
        <v>q111_2_europe</v>
      </c>
      <c r="B478" s="3" t="str">
        <f t="shared" si="11"/>
        <v>_europe</v>
      </c>
      <c r="C478" s="3" t="s">
        <v>535</v>
      </c>
      <c r="D478" s="12" t="s">
        <v>62</v>
      </c>
      <c r="E478" s="3" t="s">
        <v>390</v>
      </c>
      <c r="F478" s="3" t="s">
        <v>2477</v>
      </c>
    </row>
    <row r="479" spans="1:6" x14ac:dyDescent="0.25">
      <c r="A479" s="3" t="str">
        <f t="shared" si="10"/>
        <v>q111_3_europe</v>
      </c>
      <c r="B479" s="3" t="str">
        <f t="shared" si="11"/>
        <v>_europe</v>
      </c>
      <c r="C479" s="3" t="s">
        <v>536</v>
      </c>
      <c r="D479" s="12" t="s">
        <v>62</v>
      </c>
      <c r="E479" s="3" t="s">
        <v>392</v>
      </c>
      <c r="F479" s="3" t="s">
        <v>2478</v>
      </c>
    </row>
    <row r="480" spans="1:6" x14ac:dyDescent="0.25">
      <c r="A480" s="3" t="str">
        <f t="shared" si="10"/>
        <v>q111_4_europe</v>
      </c>
      <c r="B480" s="3" t="str">
        <f t="shared" si="11"/>
        <v>_europe</v>
      </c>
      <c r="C480" s="3" t="s">
        <v>537</v>
      </c>
      <c r="D480" s="12" t="s">
        <v>62</v>
      </c>
      <c r="E480" s="3" t="s">
        <v>394</v>
      </c>
      <c r="F480" s="3" t="s">
        <v>2479</v>
      </c>
    </row>
    <row r="481" spans="1:6" x14ac:dyDescent="0.25">
      <c r="A481" s="3" t="str">
        <f t="shared" si="10"/>
        <v>q111_5_europe</v>
      </c>
      <c r="B481" s="3" t="str">
        <f t="shared" si="11"/>
        <v>_europe</v>
      </c>
      <c r="C481" s="3" t="s">
        <v>538</v>
      </c>
      <c r="D481" s="12" t="s">
        <v>62</v>
      </c>
      <c r="E481" s="3" t="s">
        <v>396</v>
      </c>
      <c r="F481" s="3" t="s">
        <v>2480</v>
      </c>
    </row>
    <row r="482" spans="1:6" x14ac:dyDescent="0.25">
      <c r="A482" s="3" t="str">
        <f t="shared" si="10"/>
        <v>q111_6_europe</v>
      </c>
      <c r="B482" s="3" t="str">
        <f t="shared" si="11"/>
        <v>_europe</v>
      </c>
      <c r="C482" s="3" t="s">
        <v>539</v>
      </c>
      <c r="D482" s="12" t="s">
        <v>62</v>
      </c>
      <c r="E482" s="3" t="s">
        <v>398</v>
      </c>
      <c r="F482" s="3" t="s">
        <v>2481</v>
      </c>
    </row>
    <row r="483" spans="1:6" x14ac:dyDescent="0.25">
      <c r="A483" s="3" t="str">
        <f t="shared" si="10"/>
        <v>q11ROW1_hidden_europe</v>
      </c>
      <c r="B483" s="3" t="str">
        <f t="shared" si="11"/>
        <v>_europe</v>
      </c>
      <c r="C483" s="3" t="s">
        <v>540</v>
      </c>
      <c r="D483" s="12" t="s">
        <v>62</v>
      </c>
      <c r="E483" s="8" t="s">
        <v>541</v>
      </c>
      <c r="F483" s="3" t="s">
        <v>2482</v>
      </c>
    </row>
    <row r="484" spans="1:6" x14ac:dyDescent="0.25">
      <c r="A484" s="3" t="str">
        <f t="shared" si="10"/>
        <v>q112_1_europe</v>
      </c>
      <c r="B484" s="3" t="str">
        <f t="shared" si="11"/>
        <v>_europe</v>
      </c>
      <c r="C484" s="3" t="s">
        <v>542</v>
      </c>
      <c r="D484" s="12" t="s">
        <v>62</v>
      </c>
      <c r="E484" s="3" t="s">
        <v>374</v>
      </c>
      <c r="F484" s="3" t="s">
        <v>2483</v>
      </c>
    </row>
    <row r="485" spans="1:6" x14ac:dyDescent="0.25">
      <c r="A485" s="3" t="str">
        <f t="shared" si="10"/>
        <v>q112_2_europe</v>
      </c>
      <c r="B485" s="3" t="str">
        <f t="shared" si="11"/>
        <v>_europe</v>
      </c>
      <c r="C485" s="3" t="s">
        <v>543</v>
      </c>
      <c r="D485" s="12" t="s">
        <v>62</v>
      </c>
      <c r="E485" s="3" t="s">
        <v>376</v>
      </c>
      <c r="F485" s="3" t="s">
        <v>2484</v>
      </c>
    </row>
    <row r="486" spans="1:6" x14ac:dyDescent="0.25">
      <c r="A486" s="3" t="str">
        <f t="shared" si="10"/>
        <v>q112_3_europe</v>
      </c>
      <c r="B486" s="3" t="str">
        <f t="shared" si="11"/>
        <v>_europe</v>
      </c>
      <c r="C486" s="3" t="s">
        <v>544</v>
      </c>
      <c r="D486" s="12" t="s">
        <v>62</v>
      </c>
      <c r="E486" s="3" t="s">
        <v>378</v>
      </c>
      <c r="F486" s="3" t="s">
        <v>2485</v>
      </c>
    </row>
    <row r="487" spans="1:6" x14ac:dyDescent="0.25">
      <c r="A487" s="3" t="str">
        <f t="shared" si="10"/>
        <v>q112_4_europe</v>
      </c>
      <c r="B487" s="3" t="str">
        <f t="shared" si="11"/>
        <v>_europe</v>
      </c>
      <c r="C487" s="3" t="s">
        <v>545</v>
      </c>
      <c r="D487" s="12" t="s">
        <v>62</v>
      </c>
      <c r="E487" s="3" t="s">
        <v>380</v>
      </c>
      <c r="F487" s="3" t="s">
        <v>2486</v>
      </c>
    </row>
    <row r="488" spans="1:6" x14ac:dyDescent="0.25">
      <c r="A488" s="3" t="str">
        <f t="shared" si="10"/>
        <v>q112_5_europe</v>
      </c>
      <c r="B488" s="3" t="str">
        <f t="shared" si="11"/>
        <v>_europe</v>
      </c>
      <c r="C488" s="3" t="s">
        <v>546</v>
      </c>
      <c r="D488" s="12" t="s">
        <v>62</v>
      </c>
      <c r="E488" s="3" t="s">
        <v>382</v>
      </c>
      <c r="F488" s="3" t="s">
        <v>2487</v>
      </c>
    </row>
    <row r="489" spans="1:6" x14ac:dyDescent="0.25">
      <c r="A489" s="3" t="str">
        <f t="shared" si="10"/>
        <v>q112_6_europe</v>
      </c>
      <c r="B489" s="3" t="str">
        <f t="shared" si="11"/>
        <v>_europe</v>
      </c>
      <c r="C489" s="3" t="s">
        <v>547</v>
      </c>
      <c r="D489" s="12" t="s">
        <v>62</v>
      </c>
      <c r="E489" s="3" t="s">
        <v>384</v>
      </c>
      <c r="F489" s="3" t="s">
        <v>2488</v>
      </c>
    </row>
    <row r="490" spans="1:6" x14ac:dyDescent="0.25">
      <c r="A490" s="3" t="str">
        <f t="shared" si="10"/>
        <v>q11ROW2_hidden_europe</v>
      </c>
      <c r="B490" s="3" t="str">
        <f t="shared" si="11"/>
        <v>_europe</v>
      </c>
      <c r="C490" s="3" t="s">
        <v>548</v>
      </c>
      <c r="D490" s="12" t="s">
        <v>62</v>
      </c>
      <c r="E490" s="8" t="s">
        <v>549</v>
      </c>
      <c r="F490" s="3" t="s">
        <v>2489</v>
      </c>
    </row>
    <row r="491" spans="1:6" x14ac:dyDescent="0.25">
      <c r="A491" s="3" t="str">
        <f t="shared" si="10"/>
        <v>q113_1_europe</v>
      </c>
      <c r="B491" s="3" t="str">
        <f t="shared" si="11"/>
        <v>_europe</v>
      </c>
      <c r="C491" s="3" t="s">
        <v>550</v>
      </c>
      <c r="D491" s="12" t="s">
        <v>62</v>
      </c>
      <c r="E491" s="3" t="s">
        <v>402</v>
      </c>
      <c r="F491" s="3" t="s">
        <v>2490</v>
      </c>
    </row>
    <row r="492" spans="1:6" x14ac:dyDescent="0.25">
      <c r="A492" s="3" t="str">
        <f t="shared" si="10"/>
        <v>q113_2_europe</v>
      </c>
      <c r="B492" s="3" t="str">
        <f t="shared" si="11"/>
        <v>_europe</v>
      </c>
      <c r="C492" s="3" t="s">
        <v>551</v>
      </c>
      <c r="D492" s="12" t="s">
        <v>62</v>
      </c>
      <c r="E492" s="3" t="s">
        <v>404</v>
      </c>
      <c r="F492" s="3" t="s">
        <v>2491</v>
      </c>
    </row>
    <row r="493" spans="1:6" x14ac:dyDescent="0.25">
      <c r="A493" s="3" t="str">
        <f t="shared" si="10"/>
        <v>q113_3_europe</v>
      </c>
      <c r="B493" s="3" t="str">
        <f t="shared" si="11"/>
        <v>_europe</v>
      </c>
      <c r="C493" s="3" t="s">
        <v>552</v>
      </c>
      <c r="D493" s="12" t="s">
        <v>62</v>
      </c>
      <c r="E493" s="3" t="s">
        <v>406</v>
      </c>
      <c r="F493" s="3" t="s">
        <v>2492</v>
      </c>
    </row>
    <row r="494" spans="1:6" x14ac:dyDescent="0.25">
      <c r="A494" s="3" t="str">
        <f t="shared" si="10"/>
        <v>q113_4_europe</v>
      </c>
      <c r="B494" s="3" t="str">
        <f t="shared" si="11"/>
        <v>_europe</v>
      </c>
      <c r="C494" s="3" t="s">
        <v>553</v>
      </c>
      <c r="D494" s="12" t="s">
        <v>62</v>
      </c>
      <c r="E494" s="3" t="s">
        <v>408</v>
      </c>
      <c r="F494" s="3" t="s">
        <v>2493</v>
      </c>
    </row>
    <row r="495" spans="1:6" x14ac:dyDescent="0.25">
      <c r="A495" s="3" t="str">
        <f t="shared" si="10"/>
        <v>q113_5_europe</v>
      </c>
      <c r="B495" s="3" t="str">
        <f t="shared" si="11"/>
        <v>_europe</v>
      </c>
      <c r="C495" s="3" t="s">
        <v>554</v>
      </c>
      <c r="D495" s="12" t="s">
        <v>62</v>
      </c>
      <c r="E495" s="3" t="s">
        <v>410</v>
      </c>
      <c r="F495" s="3" t="s">
        <v>2494</v>
      </c>
    </row>
    <row r="496" spans="1:6" x14ac:dyDescent="0.25">
      <c r="A496" s="3" t="str">
        <f t="shared" si="10"/>
        <v>q113_6_europe</v>
      </c>
      <c r="B496" s="3" t="str">
        <f t="shared" si="11"/>
        <v>_europe</v>
      </c>
      <c r="C496" s="3" t="s">
        <v>555</v>
      </c>
      <c r="D496" s="12" t="s">
        <v>62</v>
      </c>
      <c r="E496" s="3" t="s">
        <v>412</v>
      </c>
      <c r="F496" s="3" t="s">
        <v>2495</v>
      </c>
    </row>
    <row r="497" spans="1:6" x14ac:dyDescent="0.25">
      <c r="A497" s="3" t="str">
        <f t="shared" si="10"/>
        <v>q11ROW3_hidden_europe</v>
      </c>
      <c r="B497" s="3" t="str">
        <f t="shared" si="11"/>
        <v>_europe</v>
      </c>
      <c r="C497" s="3" t="s">
        <v>556</v>
      </c>
      <c r="D497" s="12" t="s">
        <v>62</v>
      </c>
      <c r="E497" s="8" t="s">
        <v>557</v>
      </c>
      <c r="F497" s="3" t="s">
        <v>2496</v>
      </c>
    </row>
    <row r="498" spans="1:6" x14ac:dyDescent="0.25">
      <c r="A498" s="3" t="str">
        <f t="shared" si="10"/>
        <v>q114_1_europe</v>
      </c>
      <c r="B498" s="3" t="str">
        <f t="shared" si="11"/>
        <v>_europe</v>
      </c>
      <c r="C498" s="3" t="s">
        <v>558</v>
      </c>
      <c r="D498" s="12" t="s">
        <v>62</v>
      </c>
      <c r="E498" s="3" t="s">
        <v>416</v>
      </c>
      <c r="F498" s="3" t="s">
        <v>2497</v>
      </c>
    </row>
    <row r="499" spans="1:6" x14ac:dyDescent="0.25">
      <c r="A499" s="3" t="str">
        <f t="shared" si="10"/>
        <v>q114_2_europe</v>
      </c>
      <c r="B499" s="3" t="str">
        <f t="shared" si="11"/>
        <v>_europe</v>
      </c>
      <c r="C499" s="3" t="s">
        <v>559</v>
      </c>
      <c r="D499" s="12" t="s">
        <v>62</v>
      </c>
      <c r="E499" s="3" t="s">
        <v>418</v>
      </c>
      <c r="F499" s="3" t="s">
        <v>2498</v>
      </c>
    </row>
    <row r="500" spans="1:6" x14ac:dyDescent="0.25">
      <c r="A500" s="3" t="str">
        <f t="shared" si="10"/>
        <v>q114_3_europe</v>
      </c>
      <c r="B500" s="3" t="str">
        <f t="shared" si="11"/>
        <v>_europe</v>
      </c>
      <c r="C500" s="3" t="s">
        <v>560</v>
      </c>
      <c r="D500" s="12" t="s">
        <v>62</v>
      </c>
      <c r="E500" s="3" t="s">
        <v>420</v>
      </c>
      <c r="F500" s="3" t="s">
        <v>2499</v>
      </c>
    </row>
    <row r="501" spans="1:6" x14ac:dyDescent="0.25">
      <c r="A501" s="3" t="str">
        <f t="shared" si="10"/>
        <v>q114_4_europe</v>
      </c>
      <c r="B501" s="3" t="str">
        <f t="shared" si="11"/>
        <v>_europe</v>
      </c>
      <c r="C501" s="3" t="s">
        <v>561</v>
      </c>
      <c r="D501" s="12" t="s">
        <v>62</v>
      </c>
      <c r="E501" s="3" t="s">
        <v>422</v>
      </c>
      <c r="F501" s="3" t="s">
        <v>2500</v>
      </c>
    </row>
    <row r="502" spans="1:6" x14ac:dyDescent="0.25">
      <c r="A502" s="3" t="str">
        <f t="shared" si="10"/>
        <v>q114_5_europe</v>
      </c>
      <c r="B502" s="3" t="str">
        <f t="shared" si="11"/>
        <v>_europe</v>
      </c>
      <c r="C502" s="3" t="s">
        <v>562</v>
      </c>
      <c r="D502" s="12" t="s">
        <v>62</v>
      </c>
      <c r="E502" s="3" t="s">
        <v>424</v>
      </c>
      <c r="F502" s="3" t="s">
        <v>2501</v>
      </c>
    </row>
    <row r="503" spans="1:6" x14ac:dyDescent="0.25">
      <c r="A503" s="3" t="str">
        <f t="shared" si="10"/>
        <v>q114_6_europe</v>
      </c>
      <c r="B503" s="3" t="str">
        <f t="shared" si="11"/>
        <v>_europe</v>
      </c>
      <c r="C503" s="3" t="s">
        <v>563</v>
      </c>
      <c r="D503" s="12" t="s">
        <v>62</v>
      </c>
      <c r="E503" s="3" t="s">
        <v>426</v>
      </c>
      <c r="F503" s="3" t="s">
        <v>2502</v>
      </c>
    </row>
    <row r="504" spans="1:6" x14ac:dyDescent="0.25">
      <c r="A504" s="3" t="str">
        <f t="shared" si="10"/>
        <v>q11ROW4_hidden_europe</v>
      </c>
      <c r="B504" s="3" t="str">
        <f t="shared" si="11"/>
        <v>_europe</v>
      </c>
      <c r="C504" s="3" t="s">
        <v>564</v>
      </c>
      <c r="D504" s="12" t="s">
        <v>62</v>
      </c>
      <c r="E504" s="8" t="s">
        <v>565</v>
      </c>
      <c r="F504" s="3" t="s">
        <v>2503</v>
      </c>
    </row>
    <row r="505" spans="1:6" x14ac:dyDescent="0.25">
      <c r="A505" s="3" t="str">
        <f t="shared" si="10"/>
        <v>q115_1_europe</v>
      </c>
      <c r="B505" s="3" t="str">
        <f t="shared" si="11"/>
        <v>_europe</v>
      </c>
      <c r="C505" s="3" t="s">
        <v>566</v>
      </c>
      <c r="D505" s="12" t="s">
        <v>62</v>
      </c>
      <c r="E505" s="3" t="s">
        <v>430</v>
      </c>
      <c r="F505" s="3" t="s">
        <v>2504</v>
      </c>
    </row>
    <row r="506" spans="1:6" x14ac:dyDescent="0.25">
      <c r="A506" s="3" t="str">
        <f t="shared" si="10"/>
        <v>q115_2_europe</v>
      </c>
      <c r="B506" s="3" t="str">
        <f t="shared" si="11"/>
        <v>_europe</v>
      </c>
      <c r="C506" s="3" t="s">
        <v>567</v>
      </c>
      <c r="D506" s="12" t="s">
        <v>62</v>
      </c>
      <c r="E506" s="3" t="s">
        <v>432</v>
      </c>
      <c r="F506" s="3" t="s">
        <v>2505</v>
      </c>
    </row>
    <row r="507" spans="1:6" x14ac:dyDescent="0.25">
      <c r="A507" s="3" t="str">
        <f t="shared" si="10"/>
        <v>q115_3_europe</v>
      </c>
      <c r="B507" s="3" t="str">
        <f t="shared" si="11"/>
        <v>_europe</v>
      </c>
      <c r="C507" s="3" t="s">
        <v>568</v>
      </c>
      <c r="D507" s="12" t="s">
        <v>62</v>
      </c>
      <c r="E507" s="3" t="s">
        <v>434</v>
      </c>
      <c r="F507" s="3" t="s">
        <v>2506</v>
      </c>
    </row>
    <row r="508" spans="1:6" x14ac:dyDescent="0.25">
      <c r="A508" s="3" t="str">
        <f t="shared" si="10"/>
        <v>q115_4_europe</v>
      </c>
      <c r="B508" s="3" t="str">
        <f t="shared" si="11"/>
        <v>_europe</v>
      </c>
      <c r="C508" s="3" t="s">
        <v>569</v>
      </c>
      <c r="D508" s="12" t="s">
        <v>62</v>
      </c>
      <c r="E508" s="3" t="s">
        <v>436</v>
      </c>
      <c r="F508" s="3" t="s">
        <v>2507</v>
      </c>
    </row>
    <row r="509" spans="1:6" x14ac:dyDescent="0.25">
      <c r="A509" s="3" t="str">
        <f t="shared" si="10"/>
        <v>q115_5_europe</v>
      </c>
      <c r="B509" s="3" t="str">
        <f t="shared" si="11"/>
        <v>_europe</v>
      </c>
      <c r="C509" s="3" t="s">
        <v>570</v>
      </c>
      <c r="D509" s="12" t="s">
        <v>62</v>
      </c>
      <c r="E509" s="3" t="s">
        <v>438</v>
      </c>
      <c r="F509" s="3" t="s">
        <v>2508</v>
      </c>
    </row>
    <row r="510" spans="1:6" x14ac:dyDescent="0.25">
      <c r="A510" s="3" t="str">
        <f t="shared" si="10"/>
        <v>q115_6_europe</v>
      </c>
      <c r="B510" s="3" t="str">
        <f t="shared" si="11"/>
        <v>_europe</v>
      </c>
      <c r="C510" s="3" t="s">
        <v>571</v>
      </c>
      <c r="D510" s="12" t="s">
        <v>62</v>
      </c>
      <c r="E510" s="3" t="s">
        <v>440</v>
      </c>
      <c r="F510" s="3" t="s">
        <v>2509</v>
      </c>
    </row>
    <row r="511" spans="1:6" x14ac:dyDescent="0.25">
      <c r="A511" s="3" t="str">
        <f t="shared" si="10"/>
        <v>q11ROW5_hidden_europe</v>
      </c>
      <c r="B511" s="3" t="str">
        <f t="shared" si="11"/>
        <v>_europe</v>
      </c>
      <c r="C511" s="3" t="s">
        <v>572</v>
      </c>
      <c r="D511" s="12" t="s">
        <v>62</v>
      </c>
      <c r="E511" s="8" t="s">
        <v>442</v>
      </c>
      <c r="F511" s="3" t="s">
        <v>2510</v>
      </c>
    </row>
    <row r="512" spans="1:6" x14ac:dyDescent="0.25">
      <c r="A512" s="3" t="str">
        <f t="shared" si="10"/>
        <v>q11COL1_hidden_europe</v>
      </c>
      <c r="B512" s="3" t="str">
        <f t="shared" si="11"/>
        <v>_europe</v>
      </c>
      <c r="C512" s="3" t="s">
        <v>573</v>
      </c>
      <c r="D512" s="12" t="s">
        <v>62</v>
      </c>
      <c r="E512" s="8" t="s">
        <v>154</v>
      </c>
      <c r="F512" s="3" t="s">
        <v>2511</v>
      </c>
    </row>
    <row r="513" spans="1:6" x14ac:dyDescent="0.25">
      <c r="A513" s="3" t="str">
        <f t="shared" si="10"/>
        <v>q11COL2_hidden_europe</v>
      </c>
      <c r="B513" s="3" t="str">
        <f t="shared" si="11"/>
        <v>_europe</v>
      </c>
      <c r="C513" s="3" t="s">
        <v>574</v>
      </c>
      <c r="D513" s="12" t="s">
        <v>62</v>
      </c>
      <c r="E513" s="8" t="s">
        <v>156</v>
      </c>
      <c r="F513" s="3" t="s">
        <v>2512</v>
      </c>
    </row>
    <row r="514" spans="1:6" x14ac:dyDescent="0.25">
      <c r="A514" s="3" t="str">
        <f t="shared" si="10"/>
        <v>q11COL3_hidden_europe</v>
      </c>
      <c r="B514" s="3" t="str">
        <f t="shared" si="11"/>
        <v>_europe</v>
      </c>
      <c r="C514" s="3" t="s">
        <v>575</v>
      </c>
      <c r="D514" s="12" t="s">
        <v>62</v>
      </c>
      <c r="E514" s="8" t="s">
        <v>158</v>
      </c>
      <c r="F514" s="3" t="s">
        <v>2513</v>
      </c>
    </row>
    <row r="515" spans="1:6" x14ac:dyDescent="0.25">
      <c r="A515" s="3" t="str">
        <f t="shared" ref="A515:A578" si="12">_xlfn.CONCAT(C515,B515)</f>
        <v>q11COL4_hidden_europe</v>
      </c>
      <c r="B515" s="3" t="str">
        <f t="shared" si="11"/>
        <v>_europe</v>
      </c>
      <c r="C515" s="3" t="s">
        <v>576</v>
      </c>
      <c r="D515" s="12" t="s">
        <v>62</v>
      </c>
      <c r="E515" s="8" t="s">
        <v>160</v>
      </c>
      <c r="F515" s="3" t="s">
        <v>2514</v>
      </c>
    </row>
    <row r="516" spans="1:6" x14ac:dyDescent="0.25">
      <c r="A516" s="3" t="str">
        <f t="shared" si="12"/>
        <v>q11COL5_hidden_europe</v>
      </c>
      <c r="B516" s="3" t="str">
        <f t="shared" si="11"/>
        <v>_europe</v>
      </c>
      <c r="C516" s="3" t="s">
        <v>577</v>
      </c>
      <c r="D516" s="12" t="s">
        <v>62</v>
      </c>
      <c r="E516" s="8" t="s">
        <v>162</v>
      </c>
      <c r="F516" s="3" t="s">
        <v>2515</v>
      </c>
    </row>
    <row r="517" spans="1:6" x14ac:dyDescent="0.25">
      <c r="A517" s="3" t="str">
        <f t="shared" si="12"/>
        <v>q11COL6_hidden_europe</v>
      </c>
      <c r="B517" s="3" t="str">
        <f t="shared" si="11"/>
        <v>_europe</v>
      </c>
      <c r="C517" s="3" t="s">
        <v>578</v>
      </c>
      <c r="D517" s="12" t="s">
        <v>62</v>
      </c>
      <c r="E517" s="8" t="s">
        <v>164</v>
      </c>
      <c r="F517" s="3" t="s">
        <v>2516</v>
      </c>
    </row>
    <row r="518" spans="1:6" x14ac:dyDescent="0.25">
      <c r="A518" s="3" t="str">
        <f t="shared" si="12"/>
        <v>q11GRANDTotal_hidden_europe</v>
      </c>
      <c r="B518" s="3" t="str">
        <f t="shared" si="11"/>
        <v>_europe</v>
      </c>
      <c r="C518" s="3" t="s">
        <v>579</v>
      </c>
      <c r="D518" s="12" t="s">
        <v>62</v>
      </c>
      <c r="E518" s="8" t="s">
        <v>580</v>
      </c>
      <c r="F518" s="3" t="s">
        <v>2517</v>
      </c>
    </row>
    <row r="519" spans="1:6" x14ac:dyDescent="0.25">
      <c r="A519" s="3" t="str">
        <f t="shared" si="12"/>
        <v>NORTH AMERICA_northamerica</v>
      </c>
      <c r="B519" s="3" t="s">
        <v>1413</v>
      </c>
      <c r="C519" s="10" t="s">
        <v>583</v>
      </c>
      <c r="D519" s="11"/>
      <c r="E519" s="9" t="s">
        <v>2954</v>
      </c>
      <c r="F519" s="3">
        <v>18</v>
      </c>
    </row>
    <row r="520" spans="1:6" x14ac:dyDescent="0.25">
      <c r="A520" s="3" t="str">
        <f t="shared" si="12"/>
        <v>q101_1_northamerica</v>
      </c>
      <c r="B520" s="3" t="str">
        <f t="shared" ref="B520:B583" si="13">B519</f>
        <v>_northamerica</v>
      </c>
      <c r="C520" s="3" t="s">
        <v>469</v>
      </c>
      <c r="D520" s="12" t="s">
        <v>62</v>
      </c>
      <c r="E520" s="3" t="s">
        <v>254</v>
      </c>
      <c r="F520" s="3" t="s">
        <v>2518</v>
      </c>
    </row>
    <row r="521" spans="1:6" x14ac:dyDescent="0.25">
      <c r="A521" s="3" t="str">
        <f t="shared" si="12"/>
        <v>q101_2_northamerica</v>
      </c>
      <c r="B521" s="3" t="str">
        <f t="shared" si="13"/>
        <v>_northamerica</v>
      </c>
      <c r="C521" s="3" t="s">
        <v>470</v>
      </c>
      <c r="D521" s="12" t="s">
        <v>62</v>
      </c>
      <c r="E521" s="3" t="s">
        <v>256</v>
      </c>
      <c r="F521" s="3" t="s">
        <v>2519</v>
      </c>
    </row>
    <row r="522" spans="1:6" x14ac:dyDescent="0.25">
      <c r="A522" s="3" t="str">
        <f t="shared" si="12"/>
        <v>q101_3_northamerica</v>
      </c>
      <c r="B522" s="3" t="str">
        <f t="shared" si="13"/>
        <v>_northamerica</v>
      </c>
      <c r="C522" s="3" t="s">
        <v>471</v>
      </c>
      <c r="D522" s="12" t="s">
        <v>62</v>
      </c>
      <c r="E522" s="3" t="s">
        <v>258</v>
      </c>
      <c r="F522" s="3" t="s">
        <v>2520</v>
      </c>
    </row>
    <row r="523" spans="1:6" x14ac:dyDescent="0.25">
      <c r="A523" s="3" t="str">
        <f t="shared" si="12"/>
        <v>q101_4_northamerica</v>
      </c>
      <c r="B523" s="3" t="str">
        <f t="shared" si="13"/>
        <v>_northamerica</v>
      </c>
      <c r="C523" s="3" t="s">
        <v>472</v>
      </c>
      <c r="D523" s="12" t="s">
        <v>62</v>
      </c>
      <c r="E523" s="3" t="s">
        <v>260</v>
      </c>
      <c r="F523" s="3" t="s">
        <v>2521</v>
      </c>
    </row>
    <row r="524" spans="1:6" x14ac:dyDescent="0.25">
      <c r="A524" s="3" t="str">
        <f t="shared" si="12"/>
        <v>q101_5_northamerica</v>
      </c>
      <c r="B524" s="3" t="str">
        <f t="shared" si="13"/>
        <v>_northamerica</v>
      </c>
      <c r="C524" s="3" t="s">
        <v>473</v>
      </c>
      <c r="D524" s="12" t="s">
        <v>62</v>
      </c>
      <c r="E524" s="3" t="s">
        <v>262</v>
      </c>
      <c r="F524" s="3" t="s">
        <v>2522</v>
      </c>
    </row>
    <row r="525" spans="1:6" x14ac:dyDescent="0.25">
      <c r="A525" s="3" t="str">
        <f t="shared" si="12"/>
        <v>q101_6_northamerica</v>
      </c>
      <c r="B525" s="3" t="str">
        <f t="shared" si="13"/>
        <v>_northamerica</v>
      </c>
      <c r="C525" s="3" t="s">
        <v>474</v>
      </c>
      <c r="D525" s="12" t="s">
        <v>62</v>
      </c>
      <c r="E525" s="3" t="s">
        <v>264</v>
      </c>
      <c r="F525" s="3" t="s">
        <v>2523</v>
      </c>
    </row>
    <row r="526" spans="1:6" x14ac:dyDescent="0.25">
      <c r="A526" s="3" t="str">
        <f t="shared" si="12"/>
        <v>q10ROW1_hidden_northamerica</v>
      </c>
      <c r="B526" s="3" t="str">
        <f t="shared" si="13"/>
        <v>_northamerica</v>
      </c>
      <c r="C526" s="3" t="s">
        <v>475</v>
      </c>
      <c r="D526" s="12" t="s">
        <v>62</v>
      </c>
      <c r="E526" s="8" t="s">
        <v>266</v>
      </c>
      <c r="F526" s="3" t="s">
        <v>2524</v>
      </c>
    </row>
    <row r="527" spans="1:6" x14ac:dyDescent="0.25">
      <c r="A527" s="3" t="str">
        <f t="shared" si="12"/>
        <v>q102_1_northamerica</v>
      </c>
      <c r="B527" s="3" t="str">
        <f t="shared" si="13"/>
        <v>_northamerica</v>
      </c>
      <c r="C527" s="3" t="s">
        <v>476</v>
      </c>
      <c r="D527" s="12" t="s">
        <v>62</v>
      </c>
      <c r="E527" s="3" t="s">
        <v>268</v>
      </c>
      <c r="F527" s="3" t="s">
        <v>2525</v>
      </c>
    </row>
    <row r="528" spans="1:6" x14ac:dyDescent="0.25">
      <c r="A528" s="3" t="str">
        <f t="shared" si="12"/>
        <v>q102_2_northamerica</v>
      </c>
      <c r="B528" s="3" t="str">
        <f t="shared" si="13"/>
        <v>_northamerica</v>
      </c>
      <c r="C528" s="3" t="s">
        <v>477</v>
      </c>
      <c r="D528" s="12" t="s">
        <v>62</v>
      </c>
      <c r="E528" s="3" t="s">
        <v>270</v>
      </c>
      <c r="F528" s="3" t="s">
        <v>2526</v>
      </c>
    </row>
    <row r="529" spans="1:6" x14ac:dyDescent="0.25">
      <c r="A529" s="3" t="str">
        <f t="shared" si="12"/>
        <v>q102_3_northamerica</v>
      </c>
      <c r="B529" s="3" t="str">
        <f t="shared" si="13"/>
        <v>_northamerica</v>
      </c>
      <c r="C529" s="3" t="s">
        <v>478</v>
      </c>
      <c r="D529" s="12" t="s">
        <v>62</v>
      </c>
      <c r="E529" s="3" t="s">
        <v>272</v>
      </c>
      <c r="F529" s="3" t="s">
        <v>2527</v>
      </c>
    </row>
    <row r="530" spans="1:6" x14ac:dyDescent="0.25">
      <c r="A530" s="3" t="str">
        <f t="shared" si="12"/>
        <v>q102_4_northamerica</v>
      </c>
      <c r="B530" s="3" t="str">
        <f t="shared" si="13"/>
        <v>_northamerica</v>
      </c>
      <c r="C530" s="3" t="s">
        <v>479</v>
      </c>
      <c r="D530" s="12" t="s">
        <v>62</v>
      </c>
      <c r="E530" s="3" t="s">
        <v>274</v>
      </c>
      <c r="F530" s="3" t="s">
        <v>2528</v>
      </c>
    </row>
    <row r="531" spans="1:6" x14ac:dyDescent="0.25">
      <c r="A531" s="3" t="str">
        <f t="shared" si="12"/>
        <v>q102_5_northamerica</v>
      </c>
      <c r="B531" s="3" t="str">
        <f t="shared" si="13"/>
        <v>_northamerica</v>
      </c>
      <c r="C531" s="3" t="s">
        <v>480</v>
      </c>
      <c r="D531" s="12" t="s">
        <v>62</v>
      </c>
      <c r="E531" s="3" t="s">
        <v>276</v>
      </c>
      <c r="F531" s="3" t="s">
        <v>2529</v>
      </c>
    </row>
    <row r="532" spans="1:6" x14ac:dyDescent="0.25">
      <c r="A532" s="3" t="str">
        <f t="shared" si="12"/>
        <v>q102_6_northamerica</v>
      </c>
      <c r="B532" s="3" t="str">
        <f t="shared" si="13"/>
        <v>_northamerica</v>
      </c>
      <c r="C532" s="3" t="s">
        <v>481</v>
      </c>
      <c r="D532" s="12" t="s">
        <v>62</v>
      </c>
      <c r="E532" s="3" t="s">
        <v>278</v>
      </c>
      <c r="F532" s="3" t="s">
        <v>2530</v>
      </c>
    </row>
    <row r="533" spans="1:6" x14ac:dyDescent="0.25">
      <c r="A533" s="3" t="str">
        <f t="shared" si="12"/>
        <v>q10ROW2_hidden_northamerica</v>
      </c>
      <c r="B533" s="3" t="str">
        <f t="shared" si="13"/>
        <v>_northamerica</v>
      </c>
      <c r="C533" s="3" t="s">
        <v>482</v>
      </c>
      <c r="D533" s="12" t="s">
        <v>62</v>
      </c>
      <c r="E533" s="8" t="s">
        <v>280</v>
      </c>
      <c r="F533" s="3" t="s">
        <v>2531</v>
      </c>
    </row>
    <row r="534" spans="1:6" x14ac:dyDescent="0.25">
      <c r="A534" s="3" t="str">
        <f t="shared" si="12"/>
        <v>q103_1_northamerica</v>
      </c>
      <c r="B534" s="3" t="str">
        <f t="shared" si="13"/>
        <v>_northamerica</v>
      </c>
      <c r="C534" s="3" t="s">
        <v>483</v>
      </c>
      <c r="D534" s="12" t="s">
        <v>62</v>
      </c>
      <c r="E534" s="3" t="s">
        <v>282</v>
      </c>
      <c r="F534" s="3" t="s">
        <v>2532</v>
      </c>
    </row>
    <row r="535" spans="1:6" x14ac:dyDescent="0.25">
      <c r="A535" s="3" t="str">
        <f t="shared" si="12"/>
        <v>q103_2_northamerica</v>
      </c>
      <c r="B535" s="3" t="str">
        <f t="shared" si="13"/>
        <v>_northamerica</v>
      </c>
      <c r="C535" s="3" t="s">
        <v>484</v>
      </c>
      <c r="D535" s="12" t="s">
        <v>62</v>
      </c>
      <c r="E535" s="3" t="s">
        <v>284</v>
      </c>
      <c r="F535" s="3" t="s">
        <v>2533</v>
      </c>
    </row>
    <row r="536" spans="1:6" x14ac:dyDescent="0.25">
      <c r="A536" s="3" t="str">
        <f t="shared" si="12"/>
        <v>q103_3_northamerica</v>
      </c>
      <c r="B536" s="3" t="str">
        <f t="shared" si="13"/>
        <v>_northamerica</v>
      </c>
      <c r="C536" s="3" t="s">
        <v>485</v>
      </c>
      <c r="D536" s="12" t="s">
        <v>62</v>
      </c>
      <c r="E536" s="3" t="s">
        <v>286</v>
      </c>
      <c r="F536" s="3" t="s">
        <v>2534</v>
      </c>
    </row>
    <row r="537" spans="1:6" x14ac:dyDescent="0.25">
      <c r="A537" s="3" t="str">
        <f t="shared" si="12"/>
        <v>q103_4_northamerica</v>
      </c>
      <c r="B537" s="3" t="str">
        <f t="shared" si="13"/>
        <v>_northamerica</v>
      </c>
      <c r="C537" s="3" t="s">
        <v>486</v>
      </c>
      <c r="D537" s="12" t="s">
        <v>62</v>
      </c>
      <c r="E537" s="3" t="s">
        <v>288</v>
      </c>
      <c r="F537" s="3" t="s">
        <v>2535</v>
      </c>
    </row>
    <row r="538" spans="1:6" x14ac:dyDescent="0.25">
      <c r="A538" s="3" t="str">
        <f t="shared" si="12"/>
        <v>q103_5_northamerica</v>
      </c>
      <c r="B538" s="3" t="str">
        <f t="shared" si="13"/>
        <v>_northamerica</v>
      </c>
      <c r="C538" s="3" t="s">
        <v>487</v>
      </c>
      <c r="D538" s="12" t="s">
        <v>62</v>
      </c>
      <c r="E538" s="3" t="s">
        <v>290</v>
      </c>
      <c r="F538" s="3" t="s">
        <v>2536</v>
      </c>
    </row>
    <row r="539" spans="1:6" x14ac:dyDescent="0.25">
      <c r="A539" s="3" t="str">
        <f t="shared" si="12"/>
        <v>q103_6_northamerica</v>
      </c>
      <c r="B539" s="3" t="str">
        <f t="shared" si="13"/>
        <v>_northamerica</v>
      </c>
      <c r="C539" s="3" t="s">
        <v>488</v>
      </c>
      <c r="D539" s="12" t="s">
        <v>62</v>
      </c>
      <c r="E539" s="3" t="s">
        <v>292</v>
      </c>
      <c r="F539" s="3" t="s">
        <v>2537</v>
      </c>
    </row>
    <row r="540" spans="1:6" x14ac:dyDescent="0.25">
      <c r="A540" s="3" t="str">
        <f t="shared" si="12"/>
        <v>q10ROW3_hidden_northamerica</v>
      </c>
      <c r="B540" s="3" t="str">
        <f t="shared" si="13"/>
        <v>_northamerica</v>
      </c>
      <c r="C540" s="3" t="s">
        <v>489</v>
      </c>
      <c r="D540" s="12" t="s">
        <v>62</v>
      </c>
      <c r="E540" s="8" t="s">
        <v>294</v>
      </c>
      <c r="F540" s="3" t="s">
        <v>2538</v>
      </c>
    </row>
    <row r="541" spans="1:6" x14ac:dyDescent="0.25">
      <c r="A541" s="3" t="str">
        <f t="shared" si="12"/>
        <v>q104_1_northamerica</v>
      </c>
      <c r="B541" s="3" t="str">
        <f t="shared" si="13"/>
        <v>_northamerica</v>
      </c>
      <c r="C541" s="3" t="s">
        <v>490</v>
      </c>
      <c r="D541" s="12" t="s">
        <v>62</v>
      </c>
      <c r="E541" s="3" t="s">
        <v>296</v>
      </c>
      <c r="F541" s="3" t="s">
        <v>2539</v>
      </c>
    </row>
    <row r="542" spans="1:6" x14ac:dyDescent="0.25">
      <c r="A542" s="3" t="str">
        <f t="shared" si="12"/>
        <v>q104_2_northamerica</v>
      </c>
      <c r="B542" s="3" t="str">
        <f t="shared" si="13"/>
        <v>_northamerica</v>
      </c>
      <c r="C542" s="3" t="s">
        <v>491</v>
      </c>
      <c r="D542" s="12" t="s">
        <v>62</v>
      </c>
      <c r="E542" s="3" t="s">
        <v>298</v>
      </c>
      <c r="F542" s="3" t="s">
        <v>2540</v>
      </c>
    </row>
    <row r="543" spans="1:6" x14ac:dyDescent="0.25">
      <c r="A543" s="3" t="str">
        <f t="shared" si="12"/>
        <v>q104_3_northamerica</v>
      </c>
      <c r="B543" s="3" t="str">
        <f t="shared" si="13"/>
        <v>_northamerica</v>
      </c>
      <c r="C543" s="3" t="s">
        <v>492</v>
      </c>
      <c r="D543" s="12" t="s">
        <v>62</v>
      </c>
      <c r="E543" s="3" t="s">
        <v>300</v>
      </c>
      <c r="F543" s="3" t="s">
        <v>2541</v>
      </c>
    </row>
    <row r="544" spans="1:6" x14ac:dyDescent="0.25">
      <c r="A544" s="3" t="str">
        <f t="shared" si="12"/>
        <v>q104_4_northamerica</v>
      </c>
      <c r="B544" s="3" t="str">
        <f t="shared" si="13"/>
        <v>_northamerica</v>
      </c>
      <c r="C544" s="3" t="s">
        <v>493</v>
      </c>
      <c r="D544" s="12" t="s">
        <v>62</v>
      </c>
      <c r="E544" s="3" t="s">
        <v>302</v>
      </c>
      <c r="F544" s="3" t="s">
        <v>2542</v>
      </c>
    </row>
    <row r="545" spans="1:6" x14ac:dyDescent="0.25">
      <c r="A545" s="3" t="str">
        <f t="shared" si="12"/>
        <v>q104_5_northamerica</v>
      </c>
      <c r="B545" s="3" t="str">
        <f t="shared" si="13"/>
        <v>_northamerica</v>
      </c>
      <c r="C545" s="3" t="s">
        <v>494</v>
      </c>
      <c r="D545" s="12" t="s">
        <v>62</v>
      </c>
      <c r="E545" s="3" t="s">
        <v>304</v>
      </c>
      <c r="F545" s="3" t="s">
        <v>2543</v>
      </c>
    </row>
    <row r="546" spans="1:6" x14ac:dyDescent="0.25">
      <c r="A546" s="3" t="str">
        <f t="shared" si="12"/>
        <v>q104_6_northamerica</v>
      </c>
      <c r="B546" s="3" t="str">
        <f t="shared" si="13"/>
        <v>_northamerica</v>
      </c>
      <c r="C546" s="3" t="s">
        <v>495</v>
      </c>
      <c r="D546" s="12" t="s">
        <v>62</v>
      </c>
      <c r="E546" s="3" t="s">
        <v>306</v>
      </c>
      <c r="F546" s="3" t="s">
        <v>2544</v>
      </c>
    </row>
    <row r="547" spans="1:6" x14ac:dyDescent="0.25">
      <c r="A547" s="3" t="str">
        <f t="shared" si="12"/>
        <v>q10ROW4_hidden_northamerica</v>
      </c>
      <c r="B547" s="3" t="str">
        <f t="shared" si="13"/>
        <v>_northamerica</v>
      </c>
      <c r="C547" s="3" t="s">
        <v>496</v>
      </c>
      <c r="D547" s="12" t="s">
        <v>62</v>
      </c>
      <c r="E547" s="8" t="s">
        <v>308</v>
      </c>
      <c r="F547" s="3" t="s">
        <v>2545</v>
      </c>
    </row>
    <row r="548" spans="1:6" x14ac:dyDescent="0.25">
      <c r="A548" s="3" t="str">
        <f t="shared" si="12"/>
        <v>q105_1_northamerica</v>
      </c>
      <c r="B548" s="3" t="str">
        <f t="shared" si="13"/>
        <v>_northamerica</v>
      </c>
      <c r="C548" s="3" t="s">
        <v>497</v>
      </c>
      <c r="D548" s="12" t="s">
        <v>62</v>
      </c>
      <c r="E548" s="3" t="s">
        <v>310</v>
      </c>
      <c r="F548" s="3" t="s">
        <v>2546</v>
      </c>
    </row>
    <row r="549" spans="1:6" x14ac:dyDescent="0.25">
      <c r="A549" s="3" t="str">
        <f t="shared" si="12"/>
        <v>q105_2_northamerica</v>
      </c>
      <c r="B549" s="3" t="str">
        <f t="shared" si="13"/>
        <v>_northamerica</v>
      </c>
      <c r="C549" s="3" t="s">
        <v>498</v>
      </c>
      <c r="D549" s="12" t="s">
        <v>62</v>
      </c>
      <c r="E549" s="3" t="s">
        <v>312</v>
      </c>
      <c r="F549" s="3" t="s">
        <v>2547</v>
      </c>
    </row>
    <row r="550" spans="1:6" x14ac:dyDescent="0.25">
      <c r="A550" s="3" t="str">
        <f t="shared" si="12"/>
        <v>q105_3_northamerica</v>
      </c>
      <c r="B550" s="3" t="str">
        <f t="shared" si="13"/>
        <v>_northamerica</v>
      </c>
      <c r="C550" s="3" t="s">
        <v>499</v>
      </c>
      <c r="D550" s="12" t="s">
        <v>62</v>
      </c>
      <c r="E550" s="3" t="s">
        <v>314</v>
      </c>
      <c r="F550" s="3" t="s">
        <v>2548</v>
      </c>
    </row>
    <row r="551" spans="1:6" x14ac:dyDescent="0.25">
      <c r="A551" s="3" t="str">
        <f t="shared" si="12"/>
        <v>q105_4_northamerica</v>
      </c>
      <c r="B551" s="3" t="str">
        <f t="shared" si="13"/>
        <v>_northamerica</v>
      </c>
      <c r="C551" s="3" t="s">
        <v>500</v>
      </c>
      <c r="D551" s="12" t="s">
        <v>62</v>
      </c>
      <c r="E551" s="3" t="s">
        <v>316</v>
      </c>
      <c r="F551" s="3" t="s">
        <v>2549</v>
      </c>
    </row>
    <row r="552" spans="1:6" x14ac:dyDescent="0.25">
      <c r="A552" s="3" t="str">
        <f t="shared" si="12"/>
        <v>q105_5_northamerica</v>
      </c>
      <c r="B552" s="3" t="str">
        <f t="shared" si="13"/>
        <v>_northamerica</v>
      </c>
      <c r="C552" s="3" t="s">
        <v>501</v>
      </c>
      <c r="D552" s="12" t="s">
        <v>62</v>
      </c>
      <c r="E552" s="3" t="s">
        <v>318</v>
      </c>
      <c r="F552" s="3" t="s">
        <v>2550</v>
      </c>
    </row>
    <row r="553" spans="1:6" x14ac:dyDescent="0.25">
      <c r="A553" s="3" t="str">
        <f t="shared" si="12"/>
        <v>q105_6_northamerica</v>
      </c>
      <c r="B553" s="3" t="str">
        <f t="shared" si="13"/>
        <v>_northamerica</v>
      </c>
      <c r="C553" s="3" t="s">
        <v>502</v>
      </c>
      <c r="D553" s="12" t="s">
        <v>62</v>
      </c>
      <c r="E553" s="3" t="s">
        <v>320</v>
      </c>
      <c r="F553" s="3" t="s">
        <v>2551</v>
      </c>
    </row>
    <row r="554" spans="1:6" x14ac:dyDescent="0.25">
      <c r="A554" s="3" t="str">
        <f t="shared" si="12"/>
        <v>q10ROW5_hidden_northamerica</v>
      </c>
      <c r="B554" s="3" t="str">
        <f t="shared" si="13"/>
        <v>_northamerica</v>
      </c>
      <c r="C554" s="3" t="s">
        <v>503</v>
      </c>
      <c r="D554" s="12" t="s">
        <v>62</v>
      </c>
      <c r="E554" s="8" t="s">
        <v>322</v>
      </c>
      <c r="F554" s="3" t="s">
        <v>2552</v>
      </c>
    </row>
    <row r="555" spans="1:6" x14ac:dyDescent="0.25">
      <c r="A555" s="3" t="str">
        <f t="shared" si="12"/>
        <v>q106_1_northamerica</v>
      </c>
      <c r="B555" s="3" t="str">
        <f t="shared" si="13"/>
        <v>_northamerica</v>
      </c>
      <c r="C555" s="3" t="s">
        <v>504</v>
      </c>
      <c r="D555" s="12" t="s">
        <v>62</v>
      </c>
      <c r="E555" s="3" t="s">
        <v>324</v>
      </c>
      <c r="F555" s="3" t="s">
        <v>2553</v>
      </c>
    </row>
    <row r="556" spans="1:6" x14ac:dyDescent="0.25">
      <c r="A556" s="3" t="str">
        <f t="shared" si="12"/>
        <v>q106_2_northamerica</v>
      </c>
      <c r="B556" s="3" t="str">
        <f t="shared" si="13"/>
        <v>_northamerica</v>
      </c>
      <c r="C556" s="3" t="s">
        <v>505</v>
      </c>
      <c r="D556" s="12" t="s">
        <v>62</v>
      </c>
      <c r="E556" s="3" t="s">
        <v>326</v>
      </c>
      <c r="F556" s="3" t="s">
        <v>2554</v>
      </c>
    </row>
    <row r="557" spans="1:6" x14ac:dyDescent="0.25">
      <c r="A557" s="3" t="str">
        <f t="shared" si="12"/>
        <v>q106_3_northamerica</v>
      </c>
      <c r="B557" s="3" t="str">
        <f t="shared" si="13"/>
        <v>_northamerica</v>
      </c>
      <c r="C557" s="3" t="s">
        <v>506</v>
      </c>
      <c r="D557" s="12" t="s">
        <v>62</v>
      </c>
      <c r="E557" s="3" t="s">
        <v>328</v>
      </c>
      <c r="F557" s="3" t="s">
        <v>2555</v>
      </c>
    </row>
    <row r="558" spans="1:6" x14ac:dyDescent="0.25">
      <c r="A558" s="3" t="str">
        <f t="shared" si="12"/>
        <v>q106_4_northamerica</v>
      </c>
      <c r="B558" s="3" t="str">
        <f t="shared" si="13"/>
        <v>_northamerica</v>
      </c>
      <c r="C558" s="3" t="s">
        <v>507</v>
      </c>
      <c r="D558" s="12" t="s">
        <v>62</v>
      </c>
      <c r="E558" s="3" t="s">
        <v>330</v>
      </c>
      <c r="F558" s="3" t="s">
        <v>2556</v>
      </c>
    </row>
    <row r="559" spans="1:6" x14ac:dyDescent="0.25">
      <c r="A559" s="3" t="str">
        <f t="shared" si="12"/>
        <v>q106_5_northamerica</v>
      </c>
      <c r="B559" s="3" t="str">
        <f t="shared" si="13"/>
        <v>_northamerica</v>
      </c>
      <c r="C559" s="3" t="s">
        <v>508</v>
      </c>
      <c r="D559" s="12" t="s">
        <v>62</v>
      </c>
      <c r="E559" s="3" t="s">
        <v>332</v>
      </c>
      <c r="F559" s="3" t="s">
        <v>2557</v>
      </c>
    </row>
    <row r="560" spans="1:6" x14ac:dyDescent="0.25">
      <c r="A560" s="3" t="str">
        <f t="shared" si="12"/>
        <v>q106_6_northamerica</v>
      </c>
      <c r="B560" s="3" t="str">
        <f t="shared" si="13"/>
        <v>_northamerica</v>
      </c>
      <c r="C560" s="3" t="s">
        <v>509</v>
      </c>
      <c r="D560" s="12" t="s">
        <v>62</v>
      </c>
      <c r="E560" s="3" t="s">
        <v>334</v>
      </c>
      <c r="F560" s="3" t="s">
        <v>2558</v>
      </c>
    </row>
    <row r="561" spans="1:6" x14ac:dyDescent="0.25">
      <c r="A561" s="3" t="str">
        <f>_xlfn.CONCAT(C561,B561)</f>
        <v>q10ROW6_hidden_northamerica</v>
      </c>
      <c r="B561" s="3" t="str">
        <f t="shared" si="13"/>
        <v>_northamerica</v>
      </c>
      <c r="C561" s="3" t="s">
        <v>510</v>
      </c>
      <c r="D561" s="12" t="s">
        <v>62</v>
      </c>
      <c r="E561" s="8" t="s">
        <v>162</v>
      </c>
      <c r="F561" s="3" t="s">
        <v>2559</v>
      </c>
    </row>
    <row r="562" spans="1:6" x14ac:dyDescent="0.25">
      <c r="A562" s="3" t="str">
        <f t="shared" si="12"/>
        <v>q107_1_northamerica</v>
      </c>
      <c r="B562" s="3" t="str">
        <f t="shared" si="13"/>
        <v>_northamerica</v>
      </c>
      <c r="C562" s="3" t="s">
        <v>511</v>
      </c>
      <c r="D562" s="12" t="s">
        <v>62</v>
      </c>
      <c r="E562" s="3" t="s">
        <v>337</v>
      </c>
      <c r="F562" s="3" t="s">
        <v>2560</v>
      </c>
    </row>
    <row r="563" spans="1:6" x14ac:dyDescent="0.25">
      <c r="A563" s="3" t="str">
        <f t="shared" si="12"/>
        <v>q107_2_northamerica</v>
      </c>
      <c r="B563" s="3" t="str">
        <f t="shared" si="13"/>
        <v>_northamerica</v>
      </c>
      <c r="C563" s="3" t="s">
        <v>512</v>
      </c>
      <c r="D563" s="12" t="s">
        <v>62</v>
      </c>
      <c r="E563" s="3" t="s">
        <v>339</v>
      </c>
      <c r="F563" s="3" t="s">
        <v>2561</v>
      </c>
    </row>
    <row r="564" spans="1:6" x14ac:dyDescent="0.25">
      <c r="A564" s="3" t="str">
        <f t="shared" si="12"/>
        <v>q107_3_northamerica</v>
      </c>
      <c r="B564" s="3" t="str">
        <f t="shared" si="13"/>
        <v>_northamerica</v>
      </c>
      <c r="C564" s="3" t="s">
        <v>513</v>
      </c>
      <c r="D564" s="12" t="s">
        <v>62</v>
      </c>
      <c r="E564" s="3" t="s">
        <v>341</v>
      </c>
      <c r="F564" s="3" t="s">
        <v>2562</v>
      </c>
    </row>
    <row r="565" spans="1:6" x14ac:dyDescent="0.25">
      <c r="A565" s="3" t="str">
        <f t="shared" si="12"/>
        <v>q107_4_northamerica</v>
      </c>
      <c r="B565" s="3" t="str">
        <f t="shared" si="13"/>
        <v>_northamerica</v>
      </c>
      <c r="C565" s="3" t="s">
        <v>514</v>
      </c>
      <c r="D565" s="12" t="s">
        <v>62</v>
      </c>
      <c r="E565" s="3" t="s">
        <v>343</v>
      </c>
      <c r="F565" s="3" t="s">
        <v>2563</v>
      </c>
    </row>
    <row r="566" spans="1:6" x14ac:dyDescent="0.25">
      <c r="A566" s="3" t="str">
        <f t="shared" si="12"/>
        <v>q107_5_northamerica</v>
      </c>
      <c r="B566" s="3" t="str">
        <f t="shared" si="13"/>
        <v>_northamerica</v>
      </c>
      <c r="C566" s="3" t="s">
        <v>515</v>
      </c>
      <c r="D566" s="12" t="s">
        <v>62</v>
      </c>
      <c r="E566" s="3" t="s">
        <v>345</v>
      </c>
      <c r="F566" s="3" t="s">
        <v>2564</v>
      </c>
    </row>
    <row r="567" spans="1:6" x14ac:dyDescent="0.25">
      <c r="A567" s="3" t="str">
        <f t="shared" si="12"/>
        <v>q107_6_northamerica</v>
      </c>
      <c r="B567" s="3" t="str">
        <f t="shared" si="13"/>
        <v>_northamerica</v>
      </c>
      <c r="C567" s="3" t="s">
        <v>516</v>
      </c>
      <c r="D567" s="12" t="s">
        <v>62</v>
      </c>
      <c r="E567" s="3" t="s">
        <v>347</v>
      </c>
      <c r="F567" s="3" t="s">
        <v>2565</v>
      </c>
    </row>
    <row r="568" spans="1:6" x14ac:dyDescent="0.25">
      <c r="A568" s="3" t="str">
        <f t="shared" si="12"/>
        <v>q10ROW7_hidden_northamerica</v>
      </c>
      <c r="B568" s="3" t="str">
        <f t="shared" si="13"/>
        <v>_northamerica</v>
      </c>
      <c r="C568" s="3" t="s">
        <v>517</v>
      </c>
      <c r="D568" s="12" t="s">
        <v>62</v>
      </c>
      <c r="E568" s="8" t="s">
        <v>349</v>
      </c>
      <c r="F568" s="3" t="s">
        <v>2566</v>
      </c>
    </row>
    <row r="569" spans="1:6" x14ac:dyDescent="0.25">
      <c r="A569" s="3" t="str">
        <f t="shared" si="12"/>
        <v>q10other_northamerica</v>
      </c>
      <c r="B569" s="3" t="str">
        <f t="shared" si="13"/>
        <v>_northamerica</v>
      </c>
      <c r="C569" s="3" t="s">
        <v>518</v>
      </c>
      <c r="D569" s="12" t="s">
        <v>62</v>
      </c>
      <c r="E569" s="3" t="s">
        <v>351</v>
      </c>
      <c r="F569" s="3" t="s">
        <v>2567</v>
      </c>
    </row>
    <row r="570" spans="1:6" x14ac:dyDescent="0.25">
      <c r="A570" s="3" t="str">
        <f t="shared" si="12"/>
        <v>q108_1_northamerica</v>
      </c>
      <c r="B570" s="3" t="str">
        <f t="shared" si="13"/>
        <v>_northamerica</v>
      </c>
      <c r="C570" s="3" t="s">
        <v>519</v>
      </c>
      <c r="D570" s="12" t="s">
        <v>62</v>
      </c>
      <c r="E570" s="3" t="s">
        <v>353</v>
      </c>
      <c r="F570" s="3" t="s">
        <v>2568</v>
      </c>
    </row>
    <row r="571" spans="1:6" x14ac:dyDescent="0.25">
      <c r="A571" s="3" t="str">
        <f t="shared" si="12"/>
        <v>q108_2_northamerica</v>
      </c>
      <c r="B571" s="3" t="str">
        <f t="shared" si="13"/>
        <v>_northamerica</v>
      </c>
      <c r="C571" s="3" t="s">
        <v>520</v>
      </c>
      <c r="D571" s="12" t="s">
        <v>62</v>
      </c>
      <c r="E571" s="3" t="s">
        <v>355</v>
      </c>
      <c r="F571" s="3" t="s">
        <v>2569</v>
      </c>
    </row>
    <row r="572" spans="1:6" x14ac:dyDescent="0.25">
      <c r="A572" s="3" t="str">
        <f t="shared" si="12"/>
        <v>q108_3_northamerica</v>
      </c>
      <c r="B572" s="3" t="str">
        <f t="shared" si="13"/>
        <v>_northamerica</v>
      </c>
      <c r="C572" s="3" t="s">
        <v>521</v>
      </c>
      <c r="D572" s="12" t="s">
        <v>62</v>
      </c>
      <c r="E572" s="3" t="s">
        <v>357</v>
      </c>
      <c r="F572" s="3" t="s">
        <v>2570</v>
      </c>
    </row>
    <row r="573" spans="1:6" x14ac:dyDescent="0.25">
      <c r="A573" s="3" t="str">
        <f t="shared" si="12"/>
        <v>q108_4_northamerica</v>
      </c>
      <c r="B573" s="3" t="str">
        <f t="shared" si="13"/>
        <v>_northamerica</v>
      </c>
      <c r="C573" s="3" t="s">
        <v>522</v>
      </c>
      <c r="D573" s="12" t="s">
        <v>62</v>
      </c>
      <c r="E573" s="3" t="s">
        <v>359</v>
      </c>
      <c r="F573" s="3" t="s">
        <v>2571</v>
      </c>
    </row>
    <row r="574" spans="1:6" x14ac:dyDescent="0.25">
      <c r="A574" s="3" t="str">
        <f t="shared" si="12"/>
        <v>q108_5_northamerica</v>
      </c>
      <c r="B574" s="3" t="str">
        <f t="shared" si="13"/>
        <v>_northamerica</v>
      </c>
      <c r="C574" s="3" t="s">
        <v>523</v>
      </c>
      <c r="D574" s="12" t="s">
        <v>62</v>
      </c>
      <c r="E574" s="3" t="s">
        <v>361</v>
      </c>
      <c r="F574" s="3" t="s">
        <v>2572</v>
      </c>
    </row>
    <row r="575" spans="1:6" x14ac:dyDescent="0.25">
      <c r="A575" s="3" t="str">
        <f t="shared" si="12"/>
        <v>q108_6_northamerica</v>
      </c>
      <c r="B575" s="3" t="str">
        <f t="shared" si="13"/>
        <v>_northamerica</v>
      </c>
      <c r="C575" s="3" t="s">
        <v>524</v>
      </c>
      <c r="D575" s="12" t="s">
        <v>62</v>
      </c>
      <c r="E575" s="3" t="s">
        <v>363</v>
      </c>
      <c r="F575" s="3" t="s">
        <v>2573</v>
      </c>
    </row>
    <row r="576" spans="1:6" x14ac:dyDescent="0.25">
      <c r="A576" s="3" t="str">
        <f t="shared" si="12"/>
        <v>q10ROW8_hidden_northamerica</v>
      </c>
      <c r="B576" s="3" t="str">
        <f t="shared" si="13"/>
        <v>_northamerica</v>
      </c>
      <c r="C576" s="3" t="s">
        <v>525</v>
      </c>
      <c r="D576" s="12" t="s">
        <v>62</v>
      </c>
      <c r="E576" s="8" t="s">
        <v>365</v>
      </c>
      <c r="F576" s="3" t="s">
        <v>2574</v>
      </c>
    </row>
    <row r="577" spans="1:6" x14ac:dyDescent="0.25">
      <c r="A577" s="3" t="str">
        <f t="shared" si="12"/>
        <v>q10COL1_hidden_northamerica</v>
      </c>
      <c r="B577" s="3" t="str">
        <f t="shared" si="13"/>
        <v>_northamerica</v>
      </c>
      <c r="C577" s="3" t="s">
        <v>526</v>
      </c>
      <c r="D577" s="12" t="s">
        <v>62</v>
      </c>
      <c r="E577" s="8" t="s">
        <v>154</v>
      </c>
      <c r="F577" s="3" t="s">
        <v>2575</v>
      </c>
    </row>
    <row r="578" spans="1:6" x14ac:dyDescent="0.25">
      <c r="A578" s="3" t="str">
        <f t="shared" si="12"/>
        <v>q10COL2_hidden_northamerica</v>
      </c>
      <c r="B578" s="3" t="str">
        <f t="shared" si="13"/>
        <v>_northamerica</v>
      </c>
      <c r="C578" s="3" t="s">
        <v>527</v>
      </c>
      <c r="D578" s="12" t="s">
        <v>62</v>
      </c>
      <c r="E578" s="8" t="s">
        <v>156</v>
      </c>
      <c r="F578" s="3" t="s">
        <v>2576</v>
      </c>
    </row>
    <row r="579" spans="1:6" x14ac:dyDescent="0.25">
      <c r="A579" s="3" t="str">
        <f t="shared" ref="A579:A642" si="14">_xlfn.CONCAT(C579,B579)</f>
        <v>q10COL3_hidden_northamerica</v>
      </c>
      <c r="B579" s="3" t="str">
        <f t="shared" si="13"/>
        <v>_northamerica</v>
      </c>
      <c r="C579" s="3" t="s">
        <v>528</v>
      </c>
      <c r="D579" s="12" t="s">
        <v>62</v>
      </c>
      <c r="E579" s="8" t="s">
        <v>158</v>
      </c>
      <c r="F579" s="3" t="s">
        <v>2577</v>
      </c>
    </row>
    <row r="580" spans="1:6" x14ac:dyDescent="0.25">
      <c r="A580" s="3" t="str">
        <f t="shared" si="14"/>
        <v>q10COL4_hidden_northamerica</v>
      </c>
      <c r="B580" s="3" t="str">
        <f t="shared" si="13"/>
        <v>_northamerica</v>
      </c>
      <c r="C580" s="3" t="s">
        <v>529</v>
      </c>
      <c r="D580" s="12" t="s">
        <v>62</v>
      </c>
      <c r="E580" s="8" t="s">
        <v>160</v>
      </c>
      <c r="F580" s="3" t="s">
        <v>2578</v>
      </c>
    </row>
    <row r="581" spans="1:6" x14ac:dyDescent="0.25">
      <c r="A581" s="3" t="str">
        <f t="shared" si="14"/>
        <v>q10COL5_hidden_northamerica</v>
      </c>
      <c r="B581" s="3" t="str">
        <f t="shared" si="13"/>
        <v>_northamerica</v>
      </c>
      <c r="C581" s="3" t="s">
        <v>530</v>
      </c>
      <c r="D581" s="12" t="s">
        <v>62</v>
      </c>
      <c r="E581" s="8" t="s">
        <v>162</v>
      </c>
      <c r="F581" s="3" t="s">
        <v>2579</v>
      </c>
    </row>
    <row r="582" spans="1:6" x14ac:dyDescent="0.25">
      <c r="A582" s="3" t="str">
        <f t="shared" si="14"/>
        <v>q10COL6_hidden_northamerica</v>
      </c>
      <c r="B582" s="3" t="str">
        <f t="shared" si="13"/>
        <v>_northamerica</v>
      </c>
      <c r="C582" s="3" t="s">
        <v>531</v>
      </c>
      <c r="D582" s="12" t="s">
        <v>62</v>
      </c>
      <c r="E582" s="8" t="s">
        <v>164</v>
      </c>
      <c r="F582" s="3" t="s">
        <v>2580</v>
      </c>
    </row>
    <row r="583" spans="1:6" x14ac:dyDescent="0.25">
      <c r="A583" s="3" t="str">
        <f t="shared" si="14"/>
        <v>q10GRANDTotal_hidden_northamerica</v>
      </c>
      <c r="B583" s="3" t="str">
        <f t="shared" si="13"/>
        <v>_northamerica</v>
      </c>
      <c r="C583" s="3" t="s">
        <v>532</v>
      </c>
      <c r="D583" s="12" t="s">
        <v>62</v>
      </c>
      <c r="E583" s="8" t="s">
        <v>533</v>
      </c>
      <c r="F583" s="3" t="s">
        <v>2581</v>
      </c>
    </row>
    <row r="584" spans="1:6" x14ac:dyDescent="0.25">
      <c r="A584" s="3" t="str">
        <f t="shared" si="14"/>
        <v>_northamerica</v>
      </c>
      <c r="B584" s="3" t="str">
        <f t="shared" ref="B584:B626" si="15">B583</f>
        <v>_northamerica</v>
      </c>
      <c r="C584" s="6"/>
      <c r="D584" s="6"/>
      <c r="E584" s="9" t="s">
        <v>2955</v>
      </c>
      <c r="F584" s="3">
        <v>19</v>
      </c>
    </row>
    <row r="585" spans="1:6" x14ac:dyDescent="0.25">
      <c r="A585" s="3" t="str">
        <f t="shared" si="14"/>
        <v>q111_1_northamerica</v>
      </c>
      <c r="B585" s="3" t="str">
        <f t="shared" si="15"/>
        <v>_northamerica</v>
      </c>
      <c r="C585" s="3" t="s">
        <v>534</v>
      </c>
      <c r="D585" s="12" t="s">
        <v>62</v>
      </c>
      <c r="E585" s="3" t="s">
        <v>388</v>
      </c>
      <c r="F585" s="3" t="s">
        <v>2582</v>
      </c>
    </row>
    <row r="586" spans="1:6" x14ac:dyDescent="0.25">
      <c r="A586" s="3" t="str">
        <f t="shared" si="14"/>
        <v>q111_2_northamerica</v>
      </c>
      <c r="B586" s="3" t="str">
        <f t="shared" si="15"/>
        <v>_northamerica</v>
      </c>
      <c r="C586" s="3" t="s">
        <v>535</v>
      </c>
      <c r="D586" s="12" t="s">
        <v>62</v>
      </c>
      <c r="E586" s="3" t="s">
        <v>390</v>
      </c>
      <c r="F586" s="3" t="s">
        <v>2583</v>
      </c>
    </row>
    <row r="587" spans="1:6" x14ac:dyDescent="0.25">
      <c r="A587" s="3" t="str">
        <f t="shared" si="14"/>
        <v>q111_3_northamerica</v>
      </c>
      <c r="B587" s="3" t="str">
        <f t="shared" si="15"/>
        <v>_northamerica</v>
      </c>
      <c r="C587" s="3" t="s">
        <v>536</v>
      </c>
      <c r="D587" s="12" t="s">
        <v>62</v>
      </c>
      <c r="E587" s="3" t="s">
        <v>392</v>
      </c>
      <c r="F587" s="3" t="s">
        <v>2584</v>
      </c>
    </row>
    <row r="588" spans="1:6" x14ac:dyDescent="0.25">
      <c r="A588" s="3" t="str">
        <f t="shared" si="14"/>
        <v>q111_4_northamerica</v>
      </c>
      <c r="B588" s="3" t="str">
        <f t="shared" si="15"/>
        <v>_northamerica</v>
      </c>
      <c r="C588" s="3" t="s">
        <v>537</v>
      </c>
      <c r="D588" s="12" t="s">
        <v>62</v>
      </c>
      <c r="E588" s="3" t="s">
        <v>394</v>
      </c>
      <c r="F588" s="3" t="s">
        <v>2585</v>
      </c>
    </row>
    <row r="589" spans="1:6" x14ac:dyDescent="0.25">
      <c r="A589" s="3" t="str">
        <f t="shared" si="14"/>
        <v>q111_5_northamerica</v>
      </c>
      <c r="B589" s="3" t="str">
        <f t="shared" si="15"/>
        <v>_northamerica</v>
      </c>
      <c r="C589" s="3" t="s">
        <v>538</v>
      </c>
      <c r="D589" s="12" t="s">
        <v>62</v>
      </c>
      <c r="E589" s="3" t="s">
        <v>396</v>
      </c>
      <c r="F589" s="3" t="s">
        <v>2586</v>
      </c>
    </row>
    <row r="590" spans="1:6" x14ac:dyDescent="0.25">
      <c r="A590" s="3" t="str">
        <f t="shared" si="14"/>
        <v>q111_6_northamerica</v>
      </c>
      <c r="B590" s="3" t="str">
        <f t="shared" si="15"/>
        <v>_northamerica</v>
      </c>
      <c r="C590" s="3" t="s">
        <v>539</v>
      </c>
      <c r="D590" s="12" t="s">
        <v>62</v>
      </c>
      <c r="E590" s="3" t="s">
        <v>398</v>
      </c>
      <c r="F590" s="3" t="s">
        <v>2587</v>
      </c>
    </row>
    <row r="591" spans="1:6" x14ac:dyDescent="0.25">
      <c r="A591" s="3" t="str">
        <f t="shared" si="14"/>
        <v>q11ROW1_hidden_northamerica</v>
      </c>
      <c r="B591" s="3" t="str">
        <f t="shared" si="15"/>
        <v>_northamerica</v>
      </c>
      <c r="C591" s="3" t="s">
        <v>540</v>
      </c>
      <c r="D591" s="12" t="s">
        <v>62</v>
      </c>
      <c r="E591" s="8" t="s">
        <v>541</v>
      </c>
      <c r="F591" s="3" t="s">
        <v>2588</v>
      </c>
    </row>
    <row r="592" spans="1:6" x14ac:dyDescent="0.25">
      <c r="A592" s="3" t="str">
        <f t="shared" si="14"/>
        <v>q112_1_northamerica</v>
      </c>
      <c r="B592" s="3" t="str">
        <f t="shared" si="15"/>
        <v>_northamerica</v>
      </c>
      <c r="C592" s="3" t="s">
        <v>542</v>
      </c>
      <c r="D592" s="12" t="s">
        <v>62</v>
      </c>
      <c r="E592" s="3" t="s">
        <v>374</v>
      </c>
      <c r="F592" s="3" t="s">
        <v>2589</v>
      </c>
    </row>
    <row r="593" spans="1:6" x14ac:dyDescent="0.25">
      <c r="A593" s="3" t="str">
        <f t="shared" si="14"/>
        <v>q112_2_northamerica</v>
      </c>
      <c r="B593" s="3" t="str">
        <f t="shared" si="15"/>
        <v>_northamerica</v>
      </c>
      <c r="C593" s="3" t="s">
        <v>543</v>
      </c>
      <c r="D593" s="12" t="s">
        <v>62</v>
      </c>
      <c r="E593" s="3" t="s">
        <v>376</v>
      </c>
      <c r="F593" s="3" t="s">
        <v>2590</v>
      </c>
    </row>
    <row r="594" spans="1:6" x14ac:dyDescent="0.25">
      <c r="A594" s="3" t="str">
        <f t="shared" si="14"/>
        <v>q112_3_northamerica</v>
      </c>
      <c r="B594" s="3" t="str">
        <f t="shared" si="15"/>
        <v>_northamerica</v>
      </c>
      <c r="C594" s="3" t="s">
        <v>544</v>
      </c>
      <c r="D594" s="12" t="s">
        <v>62</v>
      </c>
      <c r="E594" s="3" t="s">
        <v>378</v>
      </c>
      <c r="F594" s="3" t="s">
        <v>2591</v>
      </c>
    </row>
    <row r="595" spans="1:6" x14ac:dyDescent="0.25">
      <c r="A595" s="3" t="str">
        <f t="shared" si="14"/>
        <v>q112_4_northamerica</v>
      </c>
      <c r="B595" s="3" t="str">
        <f t="shared" si="15"/>
        <v>_northamerica</v>
      </c>
      <c r="C595" s="3" t="s">
        <v>545</v>
      </c>
      <c r="D595" s="12" t="s">
        <v>62</v>
      </c>
      <c r="E595" s="3" t="s">
        <v>380</v>
      </c>
      <c r="F595" s="3" t="s">
        <v>2592</v>
      </c>
    </row>
    <row r="596" spans="1:6" x14ac:dyDescent="0.25">
      <c r="A596" s="3" t="str">
        <f t="shared" si="14"/>
        <v>q112_5_northamerica</v>
      </c>
      <c r="B596" s="3" t="str">
        <f t="shared" si="15"/>
        <v>_northamerica</v>
      </c>
      <c r="C596" s="3" t="s">
        <v>546</v>
      </c>
      <c r="D596" s="12" t="s">
        <v>62</v>
      </c>
      <c r="E596" s="3" t="s">
        <v>382</v>
      </c>
      <c r="F596" s="3" t="s">
        <v>2593</v>
      </c>
    </row>
    <row r="597" spans="1:6" x14ac:dyDescent="0.25">
      <c r="A597" s="3" t="str">
        <f t="shared" si="14"/>
        <v>q112_6_northamerica</v>
      </c>
      <c r="B597" s="3" t="str">
        <f t="shared" si="15"/>
        <v>_northamerica</v>
      </c>
      <c r="C597" s="3" t="s">
        <v>547</v>
      </c>
      <c r="D597" s="12" t="s">
        <v>62</v>
      </c>
      <c r="E597" s="3" t="s">
        <v>384</v>
      </c>
      <c r="F597" s="3" t="s">
        <v>2594</v>
      </c>
    </row>
    <row r="598" spans="1:6" x14ac:dyDescent="0.25">
      <c r="A598" s="3" t="str">
        <f t="shared" si="14"/>
        <v>q11ROW2_hidden_northamerica</v>
      </c>
      <c r="B598" s="3" t="str">
        <f t="shared" si="15"/>
        <v>_northamerica</v>
      </c>
      <c r="C598" s="3" t="s">
        <v>548</v>
      </c>
      <c r="D598" s="12" t="s">
        <v>62</v>
      </c>
      <c r="E598" s="8" t="s">
        <v>549</v>
      </c>
      <c r="F598" s="3" t="s">
        <v>2595</v>
      </c>
    </row>
    <row r="599" spans="1:6" x14ac:dyDescent="0.25">
      <c r="A599" s="3" t="str">
        <f t="shared" si="14"/>
        <v>q113_1_northamerica</v>
      </c>
      <c r="B599" s="3" t="str">
        <f t="shared" si="15"/>
        <v>_northamerica</v>
      </c>
      <c r="C599" s="3" t="s">
        <v>550</v>
      </c>
      <c r="D599" s="12" t="s">
        <v>62</v>
      </c>
      <c r="E599" s="3" t="s">
        <v>402</v>
      </c>
      <c r="F599" s="3" t="s">
        <v>2596</v>
      </c>
    </row>
    <row r="600" spans="1:6" x14ac:dyDescent="0.25">
      <c r="A600" s="3" t="str">
        <f t="shared" si="14"/>
        <v>q113_2_northamerica</v>
      </c>
      <c r="B600" s="3" t="str">
        <f t="shared" si="15"/>
        <v>_northamerica</v>
      </c>
      <c r="C600" s="3" t="s">
        <v>551</v>
      </c>
      <c r="D600" s="12" t="s">
        <v>62</v>
      </c>
      <c r="E600" s="3" t="s">
        <v>404</v>
      </c>
      <c r="F600" s="3" t="s">
        <v>2597</v>
      </c>
    </row>
    <row r="601" spans="1:6" x14ac:dyDescent="0.25">
      <c r="A601" s="3" t="str">
        <f t="shared" si="14"/>
        <v>q113_3_northamerica</v>
      </c>
      <c r="B601" s="3" t="str">
        <f t="shared" si="15"/>
        <v>_northamerica</v>
      </c>
      <c r="C601" s="3" t="s">
        <v>552</v>
      </c>
      <c r="D601" s="12" t="s">
        <v>62</v>
      </c>
      <c r="E601" s="3" t="s">
        <v>406</v>
      </c>
      <c r="F601" s="3" t="s">
        <v>2598</v>
      </c>
    </row>
    <row r="602" spans="1:6" x14ac:dyDescent="0.25">
      <c r="A602" s="3" t="str">
        <f t="shared" si="14"/>
        <v>q113_4_northamerica</v>
      </c>
      <c r="B602" s="3" t="str">
        <f t="shared" si="15"/>
        <v>_northamerica</v>
      </c>
      <c r="C602" s="3" t="s">
        <v>553</v>
      </c>
      <c r="D602" s="12" t="s">
        <v>62</v>
      </c>
      <c r="E602" s="3" t="s">
        <v>408</v>
      </c>
      <c r="F602" s="3" t="s">
        <v>2599</v>
      </c>
    </row>
    <row r="603" spans="1:6" x14ac:dyDescent="0.25">
      <c r="A603" s="3" t="str">
        <f t="shared" si="14"/>
        <v>q113_5_northamerica</v>
      </c>
      <c r="B603" s="3" t="str">
        <f t="shared" si="15"/>
        <v>_northamerica</v>
      </c>
      <c r="C603" s="3" t="s">
        <v>554</v>
      </c>
      <c r="D603" s="12" t="s">
        <v>62</v>
      </c>
      <c r="E603" s="3" t="s">
        <v>410</v>
      </c>
      <c r="F603" s="3" t="s">
        <v>2600</v>
      </c>
    </row>
    <row r="604" spans="1:6" x14ac:dyDescent="0.25">
      <c r="A604" s="3" t="str">
        <f t="shared" si="14"/>
        <v>q113_6_northamerica</v>
      </c>
      <c r="B604" s="3" t="str">
        <f t="shared" si="15"/>
        <v>_northamerica</v>
      </c>
      <c r="C604" s="3" t="s">
        <v>555</v>
      </c>
      <c r="D604" s="12" t="s">
        <v>62</v>
      </c>
      <c r="E604" s="3" t="s">
        <v>412</v>
      </c>
      <c r="F604" s="3" t="s">
        <v>2601</v>
      </c>
    </row>
    <row r="605" spans="1:6" x14ac:dyDescent="0.25">
      <c r="A605" s="3" t="str">
        <f t="shared" si="14"/>
        <v>q11ROW3_hidden_northamerica</v>
      </c>
      <c r="B605" s="3" t="str">
        <f t="shared" si="15"/>
        <v>_northamerica</v>
      </c>
      <c r="C605" s="3" t="s">
        <v>556</v>
      </c>
      <c r="D605" s="12" t="s">
        <v>62</v>
      </c>
      <c r="E605" s="8" t="s">
        <v>557</v>
      </c>
      <c r="F605" s="3" t="s">
        <v>2602</v>
      </c>
    </row>
    <row r="606" spans="1:6" x14ac:dyDescent="0.25">
      <c r="A606" s="3" t="str">
        <f t="shared" si="14"/>
        <v>q114_1_northamerica</v>
      </c>
      <c r="B606" s="3" t="str">
        <f t="shared" si="15"/>
        <v>_northamerica</v>
      </c>
      <c r="C606" s="3" t="s">
        <v>558</v>
      </c>
      <c r="D606" s="12" t="s">
        <v>62</v>
      </c>
      <c r="E606" s="3" t="s">
        <v>416</v>
      </c>
      <c r="F606" s="3" t="s">
        <v>2603</v>
      </c>
    </row>
    <row r="607" spans="1:6" x14ac:dyDescent="0.25">
      <c r="A607" s="3" t="str">
        <f t="shared" si="14"/>
        <v>q114_2_northamerica</v>
      </c>
      <c r="B607" s="3" t="str">
        <f t="shared" si="15"/>
        <v>_northamerica</v>
      </c>
      <c r="C607" s="3" t="s">
        <v>559</v>
      </c>
      <c r="D607" s="12" t="s">
        <v>62</v>
      </c>
      <c r="E607" s="3" t="s">
        <v>418</v>
      </c>
      <c r="F607" s="3" t="s">
        <v>2604</v>
      </c>
    </row>
    <row r="608" spans="1:6" x14ac:dyDescent="0.25">
      <c r="A608" s="3" t="str">
        <f t="shared" si="14"/>
        <v>q114_3_northamerica</v>
      </c>
      <c r="B608" s="3" t="str">
        <f t="shared" si="15"/>
        <v>_northamerica</v>
      </c>
      <c r="C608" s="3" t="s">
        <v>560</v>
      </c>
      <c r="D608" s="12" t="s">
        <v>62</v>
      </c>
      <c r="E608" s="3" t="s">
        <v>420</v>
      </c>
      <c r="F608" s="3" t="s">
        <v>2605</v>
      </c>
    </row>
    <row r="609" spans="1:6" x14ac:dyDescent="0.25">
      <c r="A609" s="3" t="str">
        <f t="shared" si="14"/>
        <v>q114_4_northamerica</v>
      </c>
      <c r="B609" s="3" t="str">
        <f t="shared" si="15"/>
        <v>_northamerica</v>
      </c>
      <c r="C609" s="3" t="s">
        <v>561</v>
      </c>
      <c r="D609" s="12" t="s">
        <v>62</v>
      </c>
      <c r="E609" s="3" t="s">
        <v>422</v>
      </c>
      <c r="F609" s="3" t="s">
        <v>2606</v>
      </c>
    </row>
    <row r="610" spans="1:6" x14ac:dyDescent="0.25">
      <c r="A610" s="3" t="str">
        <f t="shared" si="14"/>
        <v>q114_5_northamerica</v>
      </c>
      <c r="B610" s="3" t="str">
        <f t="shared" si="15"/>
        <v>_northamerica</v>
      </c>
      <c r="C610" s="3" t="s">
        <v>562</v>
      </c>
      <c r="D610" s="12" t="s">
        <v>62</v>
      </c>
      <c r="E610" s="3" t="s">
        <v>424</v>
      </c>
      <c r="F610" s="3" t="s">
        <v>2607</v>
      </c>
    </row>
    <row r="611" spans="1:6" x14ac:dyDescent="0.25">
      <c r="A611" s="3" t="str">
        <f t="shared" si="14"/>
        <v>q114_6_northamerica</v>
      </c>
      <c r="B611" s="3" t="str">
        <f t="shared" si="15"/>
        <v>_northamerica</v>
      </c>
      <c r="C611" s="3" t="s">
        <v>563</v>
      </c>
      <c r="D611" s="12" t="s">
        <v>62</v>
      </c>
      <c r="E611" s="3" t="s">
        <v>426</v>
      </c>
      <c r="F611" s="3" t="s">
        <v>2608</v>
      </c>
    </row>
    <row r="612" spans="1:6" x14ac:dyDescent="0.25">
      <c r="A612" s="3" t="str">
        <f t="shared" si="14"/>
        <v>q11ROW4_hidden_northamerica</v>
      </c>
      <c r="B612" s="3" t="str">
        <f t="shared" si="15"/>
        <v>_northamerica</v>
      </c>
      <c r="C612" s="3" t="s">
        <v>564</v>
      </c>
      <c r="D612" s="12" t="s">
        <v>62</v>
      </c>
      <c r="E612" s="8" t="s">
        <v>565</v>
      </c>
      <c r="F612" s="3" t="s">
        <v>2609</v>
      </c>
    </row>
    <row r="613" spans="1:6" x14ac:dyDescent="0.25">
      <c r="A613" s="3" t="str">
        <f t="shared" si="14"/>
        <v>q115_1_northamerica</v>
      </c>
      <c r="B613" s="3" t="str">
        <f t="shared" si="15"/>
        <v>_northamerica</v>
      </c>
      <c r="C613" s="3" t="s">
        <v>566</v>
      </c>
      <c r="D613" s="12" t="s">
        <v>62</v>
      </c>
      <c r="E613" s="3" t="s">
        <v>430</v>
      </c>
      <c r="F613" s="3" t="s">
        <v>2610</v>
      </c>
    </row>
    <row r="614" spans="1:6" x14ac:dyDescent="0.25">
      <c r="A614" s="3" t="str">
        <f t="shared" si="14"/>
        <v>q115_2_northamerica</v>
      </c>
      <c r="B614" s="3" t="str">
        <f t="shared" si="15"/>
        <v>_northamerica</v>
      </c>
      <c r="C614" s="3" t="s">
        <v>567</v>
      </c>
      <c r="D614" s="12" t="s">
        <v>62</v>
      </c>
      <c r="E614" s="3" t="s">
        <v>432</v>
      </c>
      <c r="F614" s="3" t="s">
        <v>2611</v>
      </c>
    </row>
    <row r="615" spans="1:6" x14ac:dyDescent="0.25">
      <c r="A615" s="3" t="str">
        <f t="shared" si="14"/>
        <v>q115_3_northamerica</v>
      </c>
      <c r="B615" s="3" t="str">
        <f t="shared" si="15"/>
        <v>_northamerica</v>
      </c>
      <c r="C615" s="3" t="s">
        <v>568</v>
      </c>
      <c r="D615" s="12" t="s">
        <v>62</v>
      </c>
      <c r="E615" s="3" t="s">
        <v>434</v>
      </c>
      <c r="F615" s="3" t="s">
        <v>2612</v>
      </c>
    </row>
    <row r="616" spans="1:6" x14ac:dyDescent="0.25">
      <c r="A616" s="3" t="str">
        <f t="shared" si="14"/>
        <v>q115_4_northamerica</v>
      </c>
      <c r="B616" s="3" t="str">
        <f t="shared" si="15"/>
        <v>_northamerica</v>
      </c>
      <c r="C616" s="3" t="s">
        <v>569</v>
      </c>
      <c r="D616" s="12" t="s">
        <v>62</v>
      </c>
      <c r="E616" s="3" t="s">
        <v>436</v>
      </c>
      <c r="F616" s="3" t="s">
        <v>2613</v>
      </c>
    </row>
    <row r="617" spans="1:6" x14ac:dyDescent="0.25">
      <c r="A617" s="3" t="str">
        <f t="shared" si="14"/>
        <v>q115_5_northamerica</v>
      </c>
      <c r="B617" s="3" t="str">
        <f t="shared" si="15"/>
        <v>_northamerica</v>
      </c>
      <c r="C617" s="3" t="s">
        <v>570</v>
      </c>
      <c r="D617" s="12" t="s">
        <v>62</v>
      </c>
      <c r="E617" s="3" t="s">
        <v>438</v>
      </c>
      <c r="F617" s="3" t="s">
        <v>2614</v>
      </c>
    </row>
    <row r="618" spans="1:6" x14ac:dyDescent="0.25">
      <c r="A618" s="3" t="str">
        <f t="shared" si="14"/>
        <v>q115_6_northamerica</v>
      </c>
      <c r="B618" s="3" t="str">
        <f t="shared" si="15"/>
        <v>_northamerica</v>
      </c>
      <c r="C618" s="3" t="s">
        <v>571</v>
      </c>
      <c r="D618" s="12" t="s">
        <v>62</v>
      </c>
      <c r="E618" s="3" t="s">
        <v>440</v>
      </c>
      <c r="F618" s="3" t="s">
        <v>2615</v>
      </c>
    </row>
    <row r="619" spans="1:6" x14ac:dyDescent="0.25">
      <c r="A619" s="3" t="str">
        <f t="shared" si="14"/>
        <v>q11ROW5_hidden_northamerica</v>
      </c>
      <c r="B619" s="3" t="str">
        <f t="shared" si="15"/>
        <v>_northamerica</v>
      </c>
      <c r="C619" s="3" t="s">
        <v>572</v>
      </c>
      <c r="D619" s="12" t="s">
        <v>62</v>
      </c>
      <c r="E619" s="8" t="s">
        <v>442</v>
      </c>
      <c r="F619" s="3" t="s">
        <v>2616</v>
      </c>
    </row>
    <row r="620" spans="1:6" x14ac:dyDescent="0.25">
      <c r="A620" s="3" t="str">
        <f t="shared" si="14"/>
        <v>q11COL1_hidden_northamerica</v>
      </c>
      <c r="B620" s="3" t="str">
        <f t="shared" si="15"/>
        <v>_northamerica</v>
      </c>
      <c r="C620" s="3" t="s">
        <v>573</v>
      </c>
      <c r="D620" s="12" t="s">
        <v>62</v>
      </c>
      <c r="E620" s="8" t="s">
        <v>154</v>
      </c>
      <c r="F620" s="3" t="s">
        <v>2617</v>
      </c>
    </row>
    <row r="621" spans="1:6" x14ac:dyDescent="0.25">
      <c r="A621" s="3" t="str">
        <f t="shared" si="14"/>
        <v>q11COL2_hidden_northamerica</v>
      </c>
      <c r="B621" s="3" t="str">
        <f t="shared" si="15"/>
        <v>_northamerica</v>
      </c>
      <c r="C621" s="3" t="s">
        <v>574</v>
      </c>
      <c r="D621" s="12" t="s">
        <v>62</v>
      </c>
      <c r="E621" s="8" t="s">
        <v>156</v>
      </c>
      <c r="F621" s="3" t="s">
        <v>2618</v>
      </c>
    </row>
    <row r="622" spans="1:6" x14ac:dyDescent="0.25">
      <c r="A622" s="3" t="str">
        <f t="shared" si="14"/>
        <v>q11COL3_hidden_northamerica</v>
      </c>
      <c r="B622" s="3" t="str">
        <f t="shared" si="15"/>
        <v>_northamerica</v>
      </c>
      <c r="C622" s="3" t="s">
        <v>575</v>
      </c>
      <c r="D622" s="12" t="s">
        <v>62</v>
      </c>
      <c r="E622" s="8" t="s">
        <v>158</v>
      </c>
      <c r="F622" s="3" t="s">
        <v>2619</v>
      </c>
    </row>
    <row r="623" spans="1:6" x14ac:dyDescent="0.25">
      <c r="A623" s="3" t="str">
        <f t="shared" si="14"/>
        <v>q11COL4_hidden_northamerica</v>
      </c>
      <c r="B623" s="3" t="str">
        <f t="shared" si="15"/>
        <v>_northamerica</v>
      </c>
      <c r="C623" s="3" t="s">
        <v>576</v>
      </c>
      <c r="D623" s="12" t="s">
        <v>62</v>
      </c>
      <c r="E623" s="8" t="s">
        <v>160</v>
      </c>
      <c r="F623" s="3" t="s">
        <v>2620</v>
      </c>
    </row>
    <row r="624" spans="1:6" x14ac:dyDescent="0.25">
      <c r="A624" s="3" t="str">
        <f t="shared" si="14"/>
        <v>q11COL5_hidden_northamerica</v>
      </c>
      <c r="B624" s="3" t="str">
        <f t="shared" si="15"/>
        <v>_northamerica</v>
      </c>
      <c r="C624" s="3" t="s">
        <v>577</v>
      </c>
      <c r="D624" s="12" t="s">
        <v>62</v>
      </c>
      <c r="E624" s="8" t="s">
        <v>162</v>
      </c>
      <c r="F624" s="3" t="s">
        <v>2621</v>
      </c>
    </row>
    <row r="625" spans="1:6" x14ac:dyDescent="0.25">
      <c r="A625" s="3" t="str">
        <f t="shared" si="14"/>
        <v>q11COL6_hidden_northamerica</v>
      </c>
      <c r="B625" s="3" t="str">
        <f t="shared" si="15"/>
        <v>_northamerica</v>
      </c>
      <c r="C625" s="3" t="s">
        <v>578</v>
      </c>
      <c r="D625" s="12" t="s">
        <v>62</v>
      </c>
      <c r="E625" s="8" t="s">
        <v>164</v>
      </c>
      <c r="F625" s="3" t="s">
        <v>2622</v>
      </c>
    </row>
    <row r="626" spans="1:6" x14ac:dyDescent="0.25">
      <c r="A626" s="3" t="str">
        <f t="shared" si="14"/>
        <v>q11GRANDTotal_hidden_northamerica</v>
      </c>
      <c r="B626" s="3" t="str">
        <f t="shared" si="15"/>
        <v>_northamerica</v>
      </c>
      <c r="C626" s="3" t="s">
        <v>579</v>
      </c>
      <c r="D626" s="12" t="s">
        <v>62</v>
      </c>
      <c r="E626" s="8" t="s">
        <v>580</v>
      </c>
      <c r="F626" s="3" t="s">
        <v>2623</v>
      </c>
    </row>
    <row r="627" spans="1:6" x14ac:dyDescent="0.25">
      <c r="A627" s="3" t="str">
        <f t="shared" si="14"/>
        <v>Global_global</v>
      </c>
      <c r="B627" s="3" t="s">
        <v>584</v>
      </c>
      <c r="C627" s="10" t="s">
        <v>585</v>
      </c>
      <c r="D627" s="11"/>
      <c r="E627" s="9" t="s">
        <v>2956</v>
      </c>
      <c r="F627" s="3">
        <v>20</v>
      </c>
    </row>
    <row r="628" spans="1:6" x14ac:dyDescent="0.25">
      <c r="A628" s="3" t="str">
        <f t="shared" si="14"/>
        <v>q101_1_global</v>
      </c>
      <c r="B628" s="3" t="str">
        <f t="shared" ref="B628:B691" si="16">B627</f>
        <v>_global</v>
      </c>
      <c r="C628" s="3" t="s">
        <v>469</v>
      </c>
      <c r="D628" s="12" t="s">
        <v>62</v>
      </c>
      <c r="E628" s="3" t="s">
        <v>254</v>
      </c>
      <c r="F628" s="3" t="s">
        <v>2624</v>
      </c>
    </row>
    <row r="629" spans="1:6" x14ac:dyDescent="0.25">
      <c r="A629" s="3" t="str">
        <f t="shared" si="14"/>
        <v>q101_2_global</v>
      </c>
      <c r="B629" s="3" t="str">
        <f t="shared" si="16"/>
        <v>_global</v>
      </c>
      <c r="C629" s="3" t="s">
        <v>470</v>
      </c>
      <c r="D629" s="12" t="s">
        <v>62</v>
      </c>
      <c r="E629" s="3" t="s">
        <v>256</v>
      </c>
      <c r="F629" s="3" t="s">
        <v>2625</v>
      </c>
    </row>
    <row r="630" spans="1:6" x14ac:dyDescent="0.25">
      <c r="A630" s="3" t="str">
        <f t="shared" si="14"/>
        <v>q101_3_global</v>
      </c>
      <c r="B630" s="3" t="str">
        <f t="shared" si="16"/>
        <v>_global</v>
      </c>
      <c r="C630" s="3" t="s">
        <v>471</v>
      </c>
      <c r="D630" s="12" t="s">
        <v>62</v>
      </c>
      <c r="E630" s="3" t="s">
        <v>258</v>
      </c>
      <c r="F630" s="3" t="s">
        <v>2626</v>
      </c>
    </row>
    <row r="631" spans="1:6" x14ac:dyDescent="0.25">
      <c r="A631" s="3" t="str">
        <f t="shared" si="14"/>
        <v>q101_4_global</v>
      </c>
      <c r="B631" s="3" t="str">
        <f t="shared" si="16"/>
        <v>_global</v>
      </c>
      <c r="C631" s="3" t="s">
        <v>472</v>
      </c>
      <c r="D631" s="12" t="s">
        <v>62</v>
      </c>
      <c r="E631" s="3" t="s">
        <v>260</v>
      </c>
      <c r="F631" s="3" t="s">
        <v>2627</v>
      </c>
    </row>
    <row r="632" spans="1:6" x14ac:dyDescent="0.25">
      <c r="A632" s="3" t="str">
        <f t="shared" si="14"/>
        <v>q101_5_global</v>
      </c>
      <c r="B632" s="3" t="str">
        <f t="shared" si="16"/>
        <v>_global</v>
      </c>
      <c r="C632" s="3" t="s">
        <v>473</v>
      </c>
      <c r="D632" s="12" t="s">
        <v>62</v>
      </c>
      <c r="E632" s="3" t="s">
        <v>262</v>
      </c>
      <c r="F632" s="3" t="s">
        <v>2628</v>
      </c>
    </row>
    <row r="633" spans="1:6" x14ac:dyDescent="0.25">
      <c r="A633" s="3" t="str">
        <f t="shared" si="14"/>
        <v>q101_6_global</v>
      </c>
      <c r="B633" s="3" t="str">
        <f t="shared" si="16"/>
        <v>_global</v>
      </c>
      <c r="C633" s="3" t="s">
        <v>474</v>
      </c>
      <c r="D633" s="12" t="s">
        <v>62</v>
      </c>
      <c r="E633" s="3" t="s">
        <v>264</v>
      </c>
      <c r="F633" s="3" t="s">
        <v>2629</v>
      </c>
    </row>
    <row r="634" spans="1:6" x14ac:dyDescent="0.25">
      <c r="A634" s="3" t="str">
        <f t="shared" si="14"/>
        <v>q10ROW1_hidden_global</v>
      </c>
      <c r="B634" s="3" t="str">
        <f t="shared" si="16"/>
        <v>_global</v>
      </c>
      <c r="C634" s="3" t="s">
        <v>475</v>
      </c>
      <c r="D634" s="12" t="s">
        <v>62</v>
      </c>
      <c r="E634" s="8" t="s">
        <v>266</v>
      </c>
      <c r="F634" s="3" t="s">
        <v>2630</v>
      </c>
    </row>
    <row r="635" spans="1:6" x14ac:dyDescent="0.25">
      <c r="A635" s="3" t="str">
        <f t="shared" si="14"/>
        <v>q102_1_global</v>
      </c>
      <c r="B635" s="3" t="str">
        <f t="shared" si="16"/>
        <v>_global</v>
      </c>
      <c r="C635" s="3" t="s">
        <v>476</v>
      </c>
      <c r="D635" s="12" t="s">
        <v>62</v>
      </c>
      <c r="E635" s="3" t="s">
        <v>268</v>
      </c>
      <c r="F635" s="3" t="s">
        <v>2631</v>
      </c>
    </row>
    <row r="636" spans="1:6" x14ac:dyDescent="0.25">
      <c r="A636" s="3" t="str">
        <f t="shared" si="14"/>
        <v>q102_2_global</v>
      </c>
      <c r="B636" s="3" t="str">
        <f t="shared" si="16"/>
        <v>_global</v>
      </c>
      <c r="C636" s="3" t="s">
        <v>477</v>
      </c>
      <c r="D636" s="12" t="s">
        <v>62</v>
      </c>
      <c r="E636" s="3" t="s">
        <v>270</v>
      </c>
      <c r="F636" s="3" t="s">
        <v>2632</v>
      </c>
    </row>
    <row r="637" spans="1:6" x14ac:dyDescent="0.25">
      <c r="A637" s="3" t="str">
        <f t="shared" si="14"/>
        <v>q102_3_global</v>
      </c>
      <c r="B637" s="3" t="str">
        <f t="shared" si="16"/>
        <v>_global</v>
      </c>
      <c r="C637" s="3" t="s">
        <v>478</v>
      </c>
      <c r="D637" s="12" t="s">
        <v>62</v>
      </c>
      <c r="E637" s="3" t="s">
        <v>272</v>
      </c>
      <c r="F637" s="3" t="s">
        <v>2633</v>
      </c>
    </row>
    <row r="638" spans="1:6" x14ac:dyDescent="0.25">
      <c r="A638" s="3" t="str">
        <f t="shared" si="14"/>
        <v>q102_4_global</v>
      </c>
      <c r="B638" s="3" t="str">
        <f t="shared" si="16"/>
        <v>_global</v>
      </c>
      <c r="C638" s="3" t="s">
        <v>479</v>
      </c>
      <c r="D638" s="12" t="s">
        <v>62</v>
      </c>
      <c r="E638" s="3" t="s">
        <v>274</v>
      </c>
      <c r="F638" s="3" t="s">
        <v>2634</v>
      </c>
    </row>
    <row r="639" spans="1:6" x14ac:dyDescent="0.25">
      <c r="A639" s="3" t="str">
        <f t="shared" si="14"/>
        <v>q102_5_global</v>
      </c>
      <c r="B639" s="3" t="str">
        <f t="shared" si="16"/>
        <v>_global</v>
      </c>
      <c r="C639" s="3" t="s">
        <v>480</v>
      </c>
      <c r="D639" s="12" t="s">
        <v>62</v>
      </c>
      <c r="E639" s="3" t="s">
        <v>276</v>
      </c>
      <c r="F639" s="3" t="s">
        <v>2635</v>
      </c>
    </row>
    <row r="640" spans="1:6" x14ac:dyDescent="0.25">
      <c r="A640" s="3" t="str">
        <f t="shared" si="14"/>
        <v>q102_6_global</v>
      </c>
      <c r="B640" s="3" t="str">
        <f t="shared" si="16"/>
        <v>_global</v>
      </c>
      <c r="C640" s="3" t="s">
        <v>481</v>
      </c>
      <c r="D640" s="12" t="s">
        <v>62</v>
      </c>
      <c r="E640" s="3" t="s">
        <v>278</v>
      </c>
      <c r="F640" s="3" t="s">
        <v>2636</v>
      </c>
    </row>
    <row r="641" spans="1:6" x14ac:dyDescent="0.25">
      <c r="A641" s="3" t="str">
        <f t="shared" si="14"/>
        <v>q10ROW2_hidden_global</v>
      </c>
      <c r="B641" s="3" t="str">
        <f t="shared" si="16"/>
        <v>_global</v>
      </c>
      <c r="C641" s="3" t="s">
        <v>482</v>
      </c>
      <c r="D641" s="12" t="s">
        <v>62</v>
      </c>
      <c r="E641" s="8" t="s">
        <v>280</v>
      </c>
      <c r="F641" s="3" t="s">
        <v>2637</v>
      </c>
    </row>
    <row r="642" spans="1:6" x14ac:dyDescent="0.25">
      <c r="A642" s="3" t="str">
        <f t="shared" si="14"/>
        <v>q103_1_global</v>
      </c>
      <c r="B642" s="3" t="str">
        <f t="shared" si="16"/>
        <v>_global</v>
      </c>
      <c r="C642" s="3" t="s">
        <v>483</v>
      </c>
      <c r="D642" s="12" t="s">
        <v>62</v>
      </c>
      <c r="E642" s="3" t="s">
        <v>282</v>
      </c>
      <c r="F642" s="3" t="s">
        <v>2638</v>
      </c>
    </row>
    <row r="643" spans="1:6" x14ac:dyDescent="0.25">
      <c r="A643" s="3" t="str">
        <f t="shared" ref="A643:A706" si="17">_xlfn.CONCAT(C643,B643)</f>
        <v>q103_2_global</v>
      </c>
      <c r="B643" s="3" t="str">
        <f t="shared" si="16"/>
        <v>_global</v>
      </c>
      <c r="C643" s="3" t="s">
        <v>484</v>
      </c>
      <c r="D643" s="12" t="s">
        <v>62</v>
      </c>
      <c r="E643" s="3" t="s">
        <v>284</v>
      </c>
      <c r="F643" s="3" t="s">
        <v>2639</v>
      </c>
    </row>
    <row r="644" spans="1:6" x14ac:dyDescent="0.25">
      <c r="A644" s="3" t="str">
        <f t="shared" si="17"/>
        <v>q103_3_global</v>
      </c>
      <c r="B644" s="3" t="str">
        <f t="shared" si="16"/>
        <v>_global</v>
      </c>
      <c r="C644" s="3" t="s">
        <v>485</v>
      </c>
      <c r="D644" s="12" t="s">
        <v>62</v>
      </c>
      <c r="E644" s="3" t="s">
        <v>286</v>
      </c>
      <c r="F644" s="3" t="s">
        <v>2640</v>
      </c>
    </row>
    <row r="645" spans="1:6" x14ac:dyDescent="0.25">
      <c r="A645" s="3" t="str">
        <f t="shared" si="17"/>
        <v>q103_4_global</v>
      </c>
      <c r="B645" s="3" t="str">
        <f t="shared" si="16"/>
        <v>_global</v>
      </c>
      <c r="C645" s="3" t="s">
        <v>486</v>
      </c>
      <c r="D645" s="12" t="s">
        <v>62</v>
      </c>
      <c r="E645" s="3" t="s">
        <v>288</v>
      </c>
      <c r="F645" s="3" t="s">
        <v>2641</v>
      </c>
    </row>
    <row r="646" spans="1:6" x14ac:dyDescent="0.25">
      <c r="A646" s="3" t="str">
        <f t="shared" si="17"/>
        <v>q103_5_global</v>
      </c>
      <c r="B646" s="3" t="str">
        <f t="shared" si="16"/>
        <v>_global</v>
      </c>
      <c r="C646" s="3" t="s">
        <v>487</v>
      </c>
      <c r="D646" s="12" t="s">
        <v>62</v>
      </c>
      <c r="E646" s="3" t="s">
        <v>290</v>
      </c>
      <c r="F646" s="3" t="s">
        <v>2642</v>
      </c>
    </row>
    <row r="647" spans="1:6" x14ac:dyDescent="0.25">
      <c r="A647" s="3" t="str">
        <f t="shared" si="17"/>
        <v>q103_6_global</v>
      </c>
      <c r="B647" s="3" t="str">
        <f t="shared" si="16"/>
        <v>_global</v>
      </c>
      <c r="C647" s="3" t="s">
        <v>488</v>
      </c>
      <c r="D647" s="12" t="s">
        <v>62</v>
      </c>
      <c r="E647" s="3" t="s">
        <v>292</v>
      </c>
      <c r="F647" s="3" t="s">
        <v>2643</v>
      </c>
    </row>
    <row r="648" spans="1:6" x14ac:dyDescent="0.25">
      <c r="A648" s="3" t="str">
        <f t="shared" si="17"/>
        <v>q10ROW3_hidden_global</v>
      </c>
      <c r="B648" s="3" t="str">
        <f t="shared" si="16"/>
        <v>_global</v>
      </c>
      <c r="C648" s="3" t="s">
        <v>489</v>
      </c>
      <c r="D648" s="12" t="s">
        <v>62</v>
      </c>
      <c r="E648" s="8" t="s">
        <v>294</v>
      </c>
      <c r="F648" s="3" t="s">
        <v>2644</v>
      </c>
    </row>
    <row r="649" spans="1:6" x14ac:dyDescent="0.25">
      <c r="A649" s="3" t="str">
        <f t="shared" si="17"/>
        <v>q104_1_global</v>
      </c>
      <c r="B649" s="3" t="str">
        <f t="shared" si="16"/>
        <v>_global</v>
      </c>
      <c r="C649" s="3" t="s">
        <v>490</v>
      </c>
      <c r="D649" s="12" t="s">
        <v>62</v>
      </c>
      <c r="E649" s="3" t="s">
        <v>296</v>
      </c>
      <c r="F649" s="3" t="s">
        <v>2645</v>
      </c>
    </row>
    <row r="650" spans="1:6" x14ac:dyDescent="0.25">
      <c r="A650" s="3" t="str">
        <f t="shared" si="17"/>
        <v>q104_2_global</v>
      </c>
      <c r="B650" s="3" t="str">
        <f t="shared" si="16"/>
        <v>_global</v>
      </c>
      <c r="C650" s="3" t="s">
        <v>491</v>
      </c>
      <c r="D650" s="12" t="s">
        <v>62</v>
      </c>
      <c r="E650" s="3" t="s">
        <v>298</v>
      </c>
      <c r="F650" s="3" t="s">
        <v>2646</v>
      </c>
    </row>
    <row r="651" spans="1:6" x14ac:dyDescent="0.25">
      <c r="A651" s="3" t="str">
        <f t="shared" si="17"/>
        <v>q104_3_global</v>
      </c>
      <c r="B651" s="3" t="str">
        <f t="shared" si="16"/>
        <v>_global</v>
      </c>
      <c r="C651" s="3" t="s">
        <v>492</v>
      </c>
      <c r="D651" s="12" t="s">
        <v>62</v>
      </c>
      <c r="E651" s="3" t="s">
        <v>300</v>
      </c>
      <c r="F651" s="3" t="s">
        <v>2647</v>
      </c>
    </row>
    <row r="652" spans="1:6" x14ac:dyDescent="0.25">
      <c r="A652" s="3" t="str">
        <f t="shared" si="17"/>
        <v>q104_4_global</v>
      </c>
      <c r="B652" s="3" t="str">
        <f t="shared" si="16"/>
        <v>_global</v>
      </c>
      <c r="C652" s="3" t="s">
        <v>493</v>
      </c>
      <c r="D652" s="12" t="s">
        <v>62</v>
      </c>
      <c r="E652" s="3" t="s">
        <v>302</v>
      </c>
      <c r="F652" s="3" t="s">
        <v>2648</v>
      </c>
    </row>
    <row r="653" spans="1:6" x14ac:dyDescent="0.25">
      <c r="A653" s="3" t="str">
        <f t="shared" si="17"/>
        <v>q104_5_global</v>
      </c>
      <c r="B653" s="3" t="str">
        <f t="shared" si="16"/>
        <v>_global</v>
      </c>
      <c r="C653" s="3" t="s">
        <v>494</v>
      </c>
      <c r="D653" s="12" t="s">
        <v>62</v>
      </c>
      <c r="E653" s="3" t="s">
        <v>304</v>
      </c>
      <c r="F653" s="3" t="s">
        <v>2649</v>
      </c>
    </row>
    <row r="654" spans="1:6" x14ac:dyDescent="0.25">
      <c r="A654" s="3" t="str">
        <f t="shared" si="17"/>
        <v>q104_6_global</v>
      </c>
      <c r="B654" s="3" t="str">
        <f t="shared" si="16"/>
        <v>_global</v>
      </c>
      <c r="C654" s="3" t="s">
        <v>495</v>
      </c>
      <c r="D654" s="12" t="s">
        <v>62</v>
      </c>
      <c r="E654" s="3" t="s">
        <v>306</v>
      </c>
      <c r="F654" s="3" t="s">
        <v>2650</v>
      </c>
    </row>
    <row r="655" spans="1:6" x14ac:dyDescent="0.25">
      <c r="A655" s="3" t="str">
        <f t="shared" si="17"/>
        <v>q10ROW4_hidden_global</v>
      </c>
      <c r="B655" s="3" t="str">
        <f t="shared" si="16"/>
        <v>_global</v>
      </c>
      <c r="C655" s="3" t="s">
        <v>496</v>
      </c>
      <c r="D655" s="12" t="s">
        <v>62</v>
      </c>
      <c r="E655" s="8" t="s">
        <v>308</v>
      </c>
      <c r="F655" s="3" t="s">
        <v>2651</v>
      </c>
    </row>
    <row r="656" spans="1:6" x14ac:dyDescent="0.25">
      <c r="A656" s="3" t="str">
        <f t="shared" si="17"/>
        <v>q105_1_global</v>
      </c>
      <c r="B656" s="3" t="str">
        <f t="shared" si="16"/>
        <v>_global</v>
      </c>
      <c r="C656" s="3" t="s">
        <v>497</v>
      </c>
      <c r="D656" s="12" t="s">
        <v>62</v>
      </c>
      <c r="E656" s="3" t="s">
        <v>310</v>
      </c>
      <c r="F656" s="3" t="s">
        <v>2652</v>
      </c>
    </row>
    <row r="657" spans="1:6" x14ac:dyDescent="0.25">
      <c r="A657" s="3" t="str">
        <f t="shared" si="17"/>
        <v>q105_2_global</v>
      </c>
      <c r="B657" s="3" t="str">
        <f t="shared" si="16"/>
        <v>_global</v>
      </c>
      <c r="C657" s="3" t="s">
        <v>498</v>
      </c>
      <c r="D657" s="12" t="s">
        <v>62</v>
      </c>
      <c r="E657" s="3" t="s">
        <v>312</v>
      </c>
      <c r="F657" s="3" t="s">
        <v>2653</v>
      </c>
    </row>
    <row r="658" spans="1:6" x14ac:dyDescent="0.25">
      <c r="A658" s="3" t="str">
        <f t="shared" si="17"/>
        <v>q105_3_global</v>
      </c>
      <c r="B658" s="3" t="str">
        <f t="shared" si="16"/>
        <v>_global</v>
      </c>
      <c r="C658" s="3" t="s">
        <v>499</v>
      </c>
      <c r="D658" s="12" t="s">
        <v>62</v>
      </c>
      <c r="E658" s="3" t="s">
        <v>314</v>
      </c>
      <c r="F658" s="3" t="s">
        <v>2654</v>
      </c>
    </row>
    <row r="659" spans="1:6" x14ac:dyDescent="0.25">
      <c r="A659" s="3" t="str">
        <f t="shared" si="17"/>
        <v>q105_4_global</v>
      </c>
      <c r="B659" s="3" t="str">
        <f t="shared" si="16"/>
        <v>_global</v>
      </c>
      <c r="C659" s="3" t="s">
        <v>500</v>
      </c>
      <c r="D659" s="12" t="s">
        <v>62</v>
      </c>
      <c r="E659" s="3" t="s">
        <v>316</v>
      </c>
      <c r="F659" s="3" t="s">
        <v>2655</v>
      </c>
    </row>
    <row r="660" spans="1:6" x14ac:dyDescent="0.25">
      <c r="A660" s="3" t="str">
        <f t="shared" si="17"/>
        <v>q105_5_global</v>
      </c>
      <c r="B660" s="3" t="str">
        <f t="shared" si="16"/>
        <v>_global</v>
      </c>
      <c r="C660" s="3" t="s">
        <v>501</v>
      </c>
      <c r="D660" s="12" t="s">
        <v>62</v>
      </c>
      <c r="E660" s="3" t="s">
        <v>318</v>
      </c>
      <c r="F660" s="3" t="s">
        <v>2656</v>
      </c>
    </row>
    <row r="661" spans="1:6" x14ac:dyDescent="0.25">
      <c r="A661" s="3" t="str">
        <f t="shared" si="17"/>
        <v>q105_6_global</v>
      </c>
      <c r="B661" s="3" t="str">
        <f t="shared" si="16"/>
        <v>_global</v>
      </c>
      <c r="C661" s="3" t="s">
        <v>502</v>
      </c>
      <c r="D661" s="12" t="s">
        <v>62</v>
      </c>
      <c r="E661" s="3" t="s">
        <v>320</v>
      </c>
      <c r="F661" s="3" t="s">
        <v>2657</v>
      </c>
    </row>
    <row r="662" spans="1:6" x14ac:dyDescent="0.25">
      <c r="A662" s="3" t="str">
        <f t="shared" si="17"/>
        <v>q10ROW5_hidden_global</v>
      </c>
      <c r="B662" s="3" t="str">
        <f t="shared" si="16"/>
        <v>_global</v>
      </c>
      <c r="C662" s="3" t="s">
        <v>503</v>
      </c>
      <c r="D662" s="12" t="s">
        <v>62</v>
      </c>
      <c r="E662" s="8" t="s">
        <v>322</v>
      </c>
      <c r="F662" s="3" t="s">
        <v>2658</v>
      </c>
    </row>
    <row r="663" spans="1:6" x14ac:dyDescent="0.25">
      <c r="A663" s="3" t="str">
        <f t="shared" si="17"/>
        <v>q106_1_global</v>
      </c>
      <c r="B663" s="3" t="str">
        <f t="shared" si="16"/>
        <v>_global</v>
      </c>
      <c r="C663" s="3" t="s">
        <v>504</v>
      </c>
      <c r="D663" s="12" t="s">
        <v>62</v>
      </c>
      <c r="E663" s="3" t="s">
        <v>324</v>
      </c>
      <c r="F663" s="3" t="s">
        <v>2659</v>
      </c>
    </row>
    <row r="664" spans="1:6" x14ac:dyDescent="0.25">
      <c r="A664" s="3" t="str">
        <f t="shared" si="17"/>
        <v>q106_2_global</v>
      </c>
      <c r="B664" s="3" t="str">
        <f t="shared" si="16"/>
        <v>_global</v>
      </c>
      <c r="C664" s="3" t="s">
        <v>505</v>
      </c>
      <c r="D664" s="12" t="s">
        <v>62</v>
      </c>
      <c r="E664" s="3" t="s">
        <v>326</v>
      </c>
      <c r="F664" s="3" t="s">
        <v>2660</v>
      </c>
    </row>
    <row r="665" spans="1:6" x14ac:dyDescent="0.25">
      <c r="A665" s="3" t="str">
        <f t="shared" si="17"/>
        <v>q106_3_global</v>
      </c>
      <c r="B665" s="3" t="str">
        <f t="shared" si="16"/>
        <v>_global</v>
      </c>
      <c r="C665" s="3" t="s">
        <v>506</v>
      </c>
      <c r="D665" s="12" t="s">
        <v>62</v>
      </c>
      <c r="E665" s="3" t="s">
        <v>328</v>
      </c>
      <c r="F665" s="3" t="s">
        <v>2661</v>
      </c>
    </row>
    <row r="666" spans="1:6" x14ac:dyDescent="0.25">
      <c r="A666" s="3" t="str">
        <f t="shared" si="17"/>
        <v>q106_4_global</v>
      </c>
      <c r="B666" s="3" t="str">
        <f t="shared" si="16"/>
        <v>_global</v>
      </c>
      <c r="C666" s="3" t="s">
        <v>507</v>
      </c>
      <c r="D666" s="12" t="s">
        <v>62</v>
      </c>
      <c r="E666" s="3" t="s">
        <v>330</v>
      </c>
      <c r="F666" s="3" t="s">
        <v>2662</v>
      </c>
    </row>
    <row r="667" spans="1:6" x14ac:dyDescent="0.25">
      <c r="A667" s="3" t="str">
        <f t="shared" si="17"/>
        <v>q106_5_global</v>
      </c>
      <c r="B667" s="3" t="str">
        <f t="shared" si="16"/>
        <v>_global</v>
      </c>
      <c r="C667" s="3" t="s">
        <v>508</v>
      </c>
      <c r="D667" s="12" t="s">
        <v>62</v>
      </c>
      <c r="E667" s="3" t="s">
        <v>332</v>
      </c>
      <c r="F667" s="3" t="s">
        <v>2663</v>
      </c>
    </row>
    <row r="668" spans="1:6" x14ac:dyDescent="0.25">
      <c r="A668" s="3" t="str">
        <f t="shared" si="17"/>
        <v>q106_6_global</v>
      </c>
      <c r="B668" s="3" t="str">
        <f t="shared" si="16"/>
        <v>_global</v>
      </c>
      <c r="C668" s="3" t="s">
        <v>509</v>
      </c>
      <c r="D668" s="12" t="s">
        <v>62</v>
      </c>
      <c r="E668" s="3" t="s">
        <v>334</v>
      </c>
      <c r="F668" s="3" t="s">
        <v>2664</v>
      </c>
    </row>
    <row r="669" spans="1:6" x14ac:dyDescent="0.25">
      <c r="A669" s="3" t="str">
        <f t="shared" si="17"/>
        <v>q10ROW6_hidden_global</v>
      </c>
      <c r="B669" s="3" t="str">
        <f t="shared" si="16"/>
        <v>_global</v>
      </c>
      <c r="C669" s="3" t="s">
        <v>510</v>
      </c>
      <c r="D669" s="12" t="s">
        <v>62</v>
      </c>
      <c r="E669" s="8" t="s">
        <v>162</v>
      </c>
      <c r="F669" s="3" t="s">
        <v>2665</v>
      </c>
    </row>
    <row r="670" spans="1:6" x14ac:dyDescent="0.25">
      <c r="A670" s="3" t="str">
        <f t="shared" si="17"/>
        <v>q107_1_global</v>
      </c>
      <c r="B670" s="3" t="str">
        <f t="shared" si="16"/>
        <v>_global</v>
      </c>
      <c r="C670" s="3" t="s">
        <v>511</v>
      </c>
      <c r="D670" s="12" t="s">
        <v>62</v>
      </c>
      <c r="E670" s="3" t="s">
        <v>337</v>
      </c>
      <c r="F670" s="3" t="s">
        <v>2666</v>
      </c>
    </row>
    <row r="671" spans="1:6" x14ac:dyDescent="0.25">
      <c r="A671" s="3" t="str">
        <f t="shared" si="17"/>
        <v>q107_2_global</v>
      </c>
      <c r="B671" s="3" t="str">
        <f t="shared" si="16"/>
        <v>_global</v>
      </c>
      <c r="C671" s="3" t="s">
        <v>512</v>
      </c>
      <c r="D671" s="12" t="s">
        <v>62</v>
      </c>
      <c r="E671" s="3" t="s">
        <v>339</v>
      </c>
      <c r="F671" s="3" t="s">
        <v>2667</v>
      </c>
    </row>
    <row r="672" spans="1:6" x14ac:dyDescent="0.25">
      <c r="A672" s="3" t="str">
        <f t="shared" si="17"/>
        <v>q107_3_global</v>
      </c>
      <c r="B672" s="3" t="str">
        <f t="shared" si="16"/>
        <v>_global</v>
      </c>
      <c r="C672" s="3" t="s">
        <v>513</v>
      </c>
      <c r="D672" s="12" t="s">
        <v>62</v>
      </c>
      <c r="E672" s="3" t="s">
        <v>341</v>
      </c>
      <c r="F672" s="3" t="s">
        <v>2668</v>
      </c>
    </row>
    <row r="673" spans="1:6" x14ac:dyDescent="0.25">
      <c r="A673" s="3" t="str">
        <f t="shared" si="17"/>
        <v>q107_4_global</v>
      </c>
      <c r="B673" s="3" t="str">
        <f t="shared" si="16"/>
        <v>_global</v>
      </c>
      <c r="C673" s="3" t="s">
        <v>514</v>
      </c>
      <c r="D673" s="12" t="s">
        <v>62</v>
      </c>
      <c r="E673" s="3" t="s">
        <v>343</v>
      </c>
      <c r="F673" s="3" t="s">
        <v>2669</v>
      </c>
    </row>
    <row r="674" spans="1:6" x14ac:dyDescent="0.25">
      <c r="A674" s="3" t="str">
        <f t="shared" si="17"/>
        <v>q107_5_global</v>
      </c>
      <c r="B674" s="3" t="str">
        <f t="shared" si="16"/>
        <v>_global</v>
      </c>
      <c r="C674" s="3" t="s">
        <v>515</v>
      </c>
      <c r="D674" s="12" t="s">
        <v>62</v>
      </c>
      <c r="E674" s="3" t="s">
        <v>345</v>
      </c>
      <c r="F674" s="3" t="s">
        <v>2670</v>
      </c>
    </row>
    <row r="675" spans="1:6" x14ac:dyDescent="0.25">
      <c r="A675" s="3" t="str">
        <f t="shared" si="17"/>
        <v>q107_6_global</v>
      </c>
      <c r="B675" s="3" t="str">
        <f t="shared" si="16"/>
        <v>_global</v>
      </c>
      <c r="C675" s="3" t="s">
        <v>516</v>
      </c>
      <c r="D675" s="12" t="s">
        <v>62</v>
      </c>
      <c r="E675" s="3" t="s">
        <v>347</v>
      </c>
      <c r="F675" s="3" t="s">
        <v>2671</v>
      </c>
    </row>
    <row r="676" spans="1:6" x14ac:dyDescent="0.25">
      <c r="A676" s="3" t="str">
        <f t="shared" si="17"/>
        <v>q10ROW7_hidden_global</v>
      </c>
      <c r="B676" s="3" t="str">
        <f t="shared" si="16"/>
        <v>_global</v>
      </c>
      <c r="C676" s="3" t="s">
        <v>517</v>
      </c>
      <c r="D676" s="12" t="s">
        <v>62</v>
      </c>
      <c r="E676" s="8" t="s">
        <v>349</v>
      </c>
      <c r="F676" s="3" t="s">
        <v>2672</v>
      </c>
    </row>
    <row r="677" spans="1:6" x14ac:dyDescent="0.25">
      <c r="A677" s="3" t="str">
        <f t="shared" si="17"/>
        <v>q10other_global</v>
      </c>
      <c r="B677" s="3" t="str">
        <f t="shared" si="16"/>
        <v>_global</v>
      </c>
      <c r="C677" s="3" t="s">
        <v>518</v>
      </c>
      <c r="D677" s="12" t="s">
        <v>62</v>
      </c>
      <c r="E677" s="3" t="s">
        <v>351</v>
      </c>
      <c r="F677" s="3" t="s">
        <v>2673</v>
      </c>
    </row>
    <row r="678" spans="1:6" x14ac:dyDescent="0.25">
      <c r="A678" s="3" t="str">
        <f t="shared" si="17"/>
        <v>q108_1_global</v>
      </c>
      <c r="B678" s="3" t="str">
        <f t="shared" si="16"/>
        <v>_global</v>
      </c>
      <c r="C678" s="3" t="s">
        <v>519</v>
      </c>
      <c r="D678" s="12" t="s">
        <v>62</v>
      </c>
      <c r="E678" s="3" t="s">
        <v>353</v>
      </c>
      <c r="F678" s="3" t="s">
        <v>2674</v>
      </c>
    </row>
    <row r="679" spans="1:6" x14ac:dyDescent="0.25">
      <c r="A679" s="3" t="str">
        <f t="shared" si="17"/>
        <v>q108_2_global</v>
      </c>
      <c r="B679" s="3" t="str">
        <f t="shared" si="16"/>
        <v>_global</v>
      </c>
      <c r="C679" s="3" t="s">
        <v>520</v>
      </c>
      <c r="D679" s="12" t="s">
        <v>62</v>
      </c>
      <c r="E679" s="3" t="s">
        <v>355</v>
      </c>
      <c r="F679" s="3" t="s">
        <v>2675</v>
      </c>
    </row>
    <row r="680" spans="1:6" x14ac:dyDescent="0.25">
      <c r="A680" s="3" t="str">
        <f t="shared" si="17"/>
        <v>q108_3_global</v>
      </c>
      <c r="B680" s="3" t="str">
        <f t="shared" si="16"/>
        <v>_global</v>
      </c>
      <c r="C680" s="3" t="s">
        <v>521</v>
      </c>
      <c r="D680" s="12" t="s">
        <v>62</v>
      </c>
      <c r="E680" s="3" t="s">
        <v>357</v>
      </c>
      <c r="F680" s="3" t="s">
        <v>2676</v>
      </c>
    </row>
    <row r="681" spans="1:6" x14ac:dyDescent="0.25">
      <c r="A681" s="3" t="str">
        <f t="shared" si="17"/>
        <v>q108_4_global</v>
      </c>
      <c r="B681" s="3" t="str">
        <f t="shared" si="16"/>
        <v>_global</v>
      </c>
      <c r="C681" s="3" t="s">
        <v>522</v>
      </c>
      <c r="D681" s="12" t="s">
        <v>62</v>
      </c>
      <c r="E681" s="3" t="s">
        <v>359</v>
      </c>
      <c r="F681" s="3" t="s">
        <v>2677</v>
      </c>
    </row>
    <row r="682" spans="1:6" x14ac:dyDescent="0.25">
      <c r="A682" s="3" t="str">
        <f t="shared" si="17"/>
        <v>q108_5_global</v>
      </c>
      <c r="B682" s="3" t="str">
        <f t="shared" si="16"/>
        <v>_global</v>
      </c>
      <c r="C682" s="3" t="s">
        <v>523</v>
      </c>
      <c r="D682" s="12" t="s">
        <v>62</v>
      </c>
      <c r="E682" s="3" t="s">
        <v>361</v>
      </c>
      <c r="F682" s="3" t="s">
        <v>2678</v>
      </c>
    </row>
    <row r="683" spans="1:6" x14ac:dyDescent="0.25">
      <c r="A683" s="3" t="str">
        <f t="shared" si="17"/>
        <v>q108_6_global</v>
      </c>
      <c r="B683" s="3" t="str">
        <f t="shared" si="16"/>
        <v>_global</v>
      </c>
      <c r="C683" s="3" t="s">
        <v>524</v>
      </c>
      <c r="D683" s="12" t="s">
        <v>62</v>
      </c>
      <c r="E683" s="3" t="s">
        <v>363</v>
      </c>
      <c r="F683" s="3" t="s">
        <v>2679</v>
      </c>
    </row>
    <row r="684" spans="1:6" x14ac:dyDescent="0.25">
      <c r="A684" s="3" t="str">
        <f t="shared" si="17"/>
        <v>q10ROW8_hidden_global</v>
      </c>
      <c r="B684" s="3" t="str">
        <f t="shared" si="16"/>
        <v>_global</v>
      </c>
      <c r="C684" s="3" t="s">
        <v>525</v>
      </c>
      <c r="D684" s="12" t="s">
        <v>62</v>
      </c>
      <c r="E684" s="8" t="s">
        <v>365</v>
      </c>
      <c r="F684" s="3" t="s">
        <v>2680</v>
      </c>
    </row>
    <row r="685" spans="1:6" x14ac:dyDescent="0.25">
      <c r="A685" s="3" t="str">
        <f t="shared" si="17"/>
        <v>q10COL1_hidden_global</v>
      </c>
      <c r="B685" s="3" t="str">
        <f t="shared" si="16"/>
        <v>_global</v>
      </c>
      <c r="C685" s="3" t="s">
        <v>526</v>
      </c>
      <c r="D685" s="12" t="s">
        <v>62</v>
      </c>
      <c r="E685" s="8" t="s">
        <v>154</v>
      </c>
      <c r="F685" s="3" t="s">
        <v>2681</v>
      </c>
    </row>
    <row r="686" spans="1:6" x14ac:dyDescent="0.25">
      <c r="A686" s="3" t="str">
        <f t="shared" si="17"/>
        <v>q10COL2_hidden_global</v>
      </c>
      <c r="B686" s="3" t="str">
        <f t="shared" si="16"/>
        <v>_global</v>
      </c>
      <c r="C686" s="3" t="s">
        <v>527</v>
      </c>
      <c r="D686" s="12" t="s">
        <v>62</v>
      </c>
      <c r="E686" s="8" t="s">
        <v>156</v>
      </c>
      <c r="F686" s="3" t="s">
        <v>2682</v>
      </c>
    </row>
    <row r="687" spans="1:6" x14ac:dyDescent="0.25">
      <c r="A687" s="3" t="str">
        <f t="shared" si="17"/>
        <v>q10COL3_hidden_global</v>
      </c>
      <c r="B687" s="3" t="str">
        <f t="shared" si="16"/>
        <v>_global</v>
      </c>
      <c r="C687" s="3" t="s">
        <v>528</v>
      </c>
      <c r="D687" s="12" t="s">
        <v>62</v>
      </c>
      <c r="E687" s="8" t="s">
        <v>158</v>
      </c>
      <c r="F687" s="3" t="s">
        <v>2683</v>
      </c>
    </row>
    <row r="688" spans="1:6" x14ac:dyDescent="0.25">
      <c r="A688" s="3" t="str">
        <f t="shared" si="17"/>
        <v>q10COL4_hidden_global</v>
      </c>
      <c r="B688" s="3" t="str">
        <f t="shared" si="16"/>
        <v>_global</v>
      </c>
      <c r="C688" s="3" t="s">
        <v>529</v>
      </c>
      <c r="D688" s="12" t="s">
        <v>62</v>
      </c>
      <c r="E688" s="8" t="s">
        <v>160</v>
      </c>
      <c r="F688" s="3" t="s">
        <v>2684</v>
      </c>
    </row>
    <row r="689" spans="1:6" x14ac:dyDescent="0.25">
      <c r="A689" s="3" t="str">
        <f t="shared" si="17"/>
        <v>q10COL5_hidden_global</v>
      </c>
      <c r="B689" s="3" t="str">
        <f t="shared" si="16"/>
        <v>_global</v>
      </c>
      <c r="C689" s="3" t="s">
        <v>530</v>
      </c>
      <c r="D689" s="12" t="s">
        <v>62</v>
      </c>
      <c r="E689" s="8" t="s">
        <v>162</v>
      </c>
      <c r="F689" s="3" t="s">
        <v>2685</v>
      </c>
    </row>
    <row r="690" spans="1:6" x14ac:dyDescent="0.25">
      <c r="A690" s="3" t="str">
        <f t="shared" si="17"/>
        <v>q10COL6_hidden_global</v>
      </c>
      <c r="B690" s="3" t="str">
        <f t="shared" si="16"/>
        <v>_global</v>
      </c>
      <c r="C690" s="3" t="s">
        <v>531</v>
      </c>
      <c r="D690" s="12" t="s">
        <v>62</v>
      </c>
      <c r="E690" s="8" t="s">
        <v>164</v>
      </c>
      <c r="F690" s="3" t="s">
        <v>2686</v>
      </c>
    </row>
    <row r="691" spans="1:6" x14ac:dyDescent="0.25">
      <c r="A691" s="3" t="str">
        <f t="shared" si="17"/>
        <v>q10GRANDTotal_hidden_global</v>
      </c>
      <c r="B691" s="3" t="str">
        <f t="shared" si="16"/>
        <v>_global</v>
      </c>
      <c r="C691" s="3" t="s">
        <v>532</v>
      </c>
      <c r="D691" s="12" t="s">
        <v>62</v>
      </c>
      <c r="E691" s="8" t="s">
        <v>533</v>
      </c>
      <c r="F691" s="3" t="s">
        <v>2687</v>
      </c>
    </row>
    <row r="692" spans="1:6" x14ac:dyDescent="0.25">
      <c r="A692" s="3" t="str">
        <f t="shared" si="17"/>
        <v>_global</v>
      </c>
      <c r="B692" s="3" t="str">
        <f t="shared" ref="B692:B734" si="18">B691</f>
        <v>_global</v>
      </c>
      <c r="C692" s="6"/>
      <c r="D692" s="6"/>
      <c r="E692" s="9" t="s">
        <v>2957</v>
      </c>
      <c r="F692" s="3">
        <v>21</v>
      </c>
    </row>
    <row r="693" spans="1:6" x14ac:dyDescent="0.25">
      <c r="A693" s="3" t="str">
        <f t="shared" si="17"/>
        <v>q111_1_global</v>
      </c>
      <c r="B693" s="3" t="str">
        <f t="shared" si="18"/>
        <v>_global</v>
      </c>
      <c r="C693" s="3" t="s">
        <v>534</v>
      </c>
      <c r="D693" s="12" t="s">
        <v>62</v>
      </c>
      <c r="E693" s="3" t="s">
        <v>388</v>
      </c>
      <c r="F693" s="3" t="s">
        <v>2688</v>
      </c>
    </row>
    <row r="694" spans="1:6" x14ac:dyDescent="0.25">
      <c r="A694" s="3" t="str">
        <f t="shared" si="17"/>
        <v>q111_2_global</v>
      </c>
      <c r="B694" s="3" t="str">
        <f t="shared" si="18"/>
        <v>_global</v>
      </c>
      <c r="C694" s="3" t="s">
        <v>535</v>
      </c>
      <c r="D694" s="12" t="s">
        <v>62</v>
      </c>
      <c r="E694" s="3" t="s">
        <v>390</v>
      </c>
      <c r="F694" s="3" t="s">
        <v>2689</v>
      </c>
    </row>
    <row r="695" spans="1:6" x14ac:dyDescent="0.25">
      <c r="A695" s="3" t="str">
        <f t="shared" si="17"/>
        <v>q111_3_global</v>
      </c>
      <c r="B695" s="3" t="str">
        <f t="shared" si="18"/>
        <v>_global</v>
      </c>
      <c r="C695" s="3" t="s">
        <v>536</v>
      </c>
      <c r="D695" s="12" t="s">
        <v>62</v>
      </c>
      <c r="E695" s="3" t="s">
        <v>392</v>
      </c>
      <c r="F695" s="3" t="s">
        <v>2690</v>
      </c>
    </row>
    <row r="696" spans="1:6" x14ac:dyDescent="0.25">
      <c r="A696" s="3" t="str">
        <f t="shared" si="17"/>
        <v>q111_4_global</v>
      </c>
      <c r="B696" s="3" t="str">
        <f t="shared" si="18"/>
        <v>_global</v>
      </c>
      <c r="C696" s="3" t="s">
        <v>537</v>
      </c>
      <c r="D696" s="12" t="s">
        <v>62</v>
      </c>
      <c r="E696" s="3" t="s">
        <v>394</v>
      </c>
      <c r="F696" s="3" t="s">
        <v>2691</v>
      </c>
    </row>
    <row r="697" spans="1:6" x14ac:dyDescent="0.25">
      <c r="A697" s="3" t="str">
        <f t="shared" si="17"/>
        <v>q111_5_global</v>
      </c>
      <c r="B697" s="3" t="str">
        <f t="shared" si="18"/>
        <v>_global</v>
      </c>
      <c r="C697" s="3" t="s">
        <v>538</v>
      </c>
      <c r="D697" s="12" t="s">
        <v>62</v>
      </c>
      <c r="E697" s="3" t="s">
        <v>396</v>
      </c>
      <c r="F697" s="3" t="s">
        <v>2692</v>
      </c>
    </row>
    <row r="698" spans="1:6" x14ac:dyDescent="0.25">
      <c r="A698" s="3" t="str">
        <f t="shared" si="17"/>
        <v>q111_6_global</v>
      </c>
      <c r="B698" s="3" t="str">
        <f t="shared" si="18"/>
        <v>_global</v>
      </c>
      <c r="C698" s="3" t="s">
        <v>539</v>
      </c>
      <c r="D698" s="12" t="s">
        <v>62</v>
      </c>
      <c r="E698" s="3" t="s">
        <v>398</v>
      </c>
      <c r="F698" s="3" t="s">
        <v>2693</v>
      </c>
    </row>
    <row r="699" spans="1:6" x14ac:dyDescent="0.25">
      <c r="A699" s="3" t="str">
        <f t="shared" si="17"/>
        <v>q11ROW1_hidden_global</v>
      </c>
      <c r="B699" s="3" t="str">
        <f t="shared" si="18"/>
        <v>_global</v>
      </c>
      <c r="C699" s="3" t="s">
        <v>540</v>
      </c>
      <c r="D699" s="12" t="s">
        <v>62</v>
      </c>
      <c r="E699" s="8" t="s">
        <v>541</v>
      </c>
      <c r="F699" s="3" t="s">
        <v>2694</v>
      </c>
    </row>
    <row r="700" spans="1:6" x14ac:dyDescent="0.25">
      <c r="A700" s="3" t="str">
        <f t="shared" si="17"/>
        <v>q112_1_global</v>
      </c>
      <c r="B700" s="3" t="str">
        <f t="shared" si="18"/>
        <v>_global</v>
      </c>
      <c r="C700" s="3" t="s">
        <v>542</v>
      </c>
      <c r="D700" s="12" t="s">
        <v>62</v>
      </c>
      <c r="E700" s="3" t="s">
        <v>374</v>
      </c>
      <c r="F700" s="3" t="s">
        <v>2695</v>
      </c>
    </row>
    <row r="701" spans="1:6" x14ac:dyDescent="0.25">
      <c r="A701" s="3" t="str">
        <f t="shared" si="17"/>
        <v>q112_2_global</v>
      </c>
      <c r="B701" s="3" t="str">
        <f t="shared" si="18"/>
        <v>_global</v>
      </c>
      <c r="C701" s="3" t="s">
        <v>543</v>
      </c>
      <c r="D701" s="12" t="s">
        <v>62</v>
      </c>
      <c r="E701" s="3" t="s">
        <v>376</v>
      </c>
      <c r="F701" s="3" t="s">
        <v>2696</v>
      </c>
    </row>
    <row r="702" spans="1:6" x14ac:dyDescent="0.25">
      <c r="A702" s="3" t="str">
        <f t="shared" si="17"/>
        <v>q112_3_global</v>
      </c>
      <c r="B702" s="3" t="str">
        <f t="shared" si="18"/>
        <v>_global</v>
      </c>
      <c r="C702" s="3" t="s">
        <v>544</v>
      </c>
      <c r="D702" s="12" t="s">
        <v>62</v>
      </c>
      <c r="E702" s="3" t="s">
        <v>378</v>
      </c>
      <c r="F702" s="3" t="s">
        <v>2697</v>
      </c>
    </row>
    <row r="703" spans="1:6" x14ac:dyDescent="0.25">
      <c r="A703" s="3" t="str">
        <f t="shared" si="17"/>
        <v>q112_4_global</v>
      </c>
      <c r="B703" s="3" t="str">
        <f t="shared" si="18"/>
        <v>_global</v>
      </c>
      <c r="C703" s="3" t="s">
        <v>545</v>
      </c>
      <c r="D703" s="12" t="s">
        <v>62</v>
      </c>
      <c r="E703" s="3" t="s">
        <v>380</v>
      </c>
      <c r="F703" s="3" t="s">
        <v>2698</v>
      </c>
    </row>
    <row r="704" spans="1:6" x14ac:dyDescent="0.25">
      <c r="A704" s="3" t="str">
        <f t="shared" si="17"/>
        <v>q112_5_global</v>
      </c>
      <c r="B704" s="3" t="str">
        <f t="shared" si="18"/>
        <v>_global</v>
      </c>
      <c r="C704" s="3" t="s">
        <v>546</v>
      </c>
      <c r="D704" s="12" t="s">
        <v>62</v>
      </c>
      <c r="E704" s="3" t="s">
        <v>382</v>
      </c>
      <c r="F704" s="3" t="s">
        <v>2699</v>
      </c>
    </row>
    <row r="705" spans="1:6" x14ac:dyDescent="0.25">
      <c r="A705" s="3" t="str">
        <f t="shared" si="17"/>
        <v>q112_6_global</v>
      </c>
      <c r="B705" s="3" t="str">
        <f t="shared" si="18"/>
        <v>_global</v>
      </c>
      <c r="C705" s="3" t="s">
        <v>547</v>
      </c>
      <c r="D705" s="12" t="s">
        <v>62</v>
      </c>
      <c r="E705" s="3" t="s">
        <v>384</v>
      </c>
      <c r="F705" s="3" t="s">
        <v>2700</v>
      </c>
    </row>
    <row r="706" spans="1:6" x14ac:dyDescent="0.25">
      <c r="A706" s="3" t="str">
        <f t="shared" si="17"/>
        <v>q11ROW2_hidden_global</v>
      </c>
      <c r="B706" s="3" t="str">
        <f t="shared" si="18"/>
        <v>_global</v>
      </c>
      <c r="C706" s="3" t="s">
        <v>548</v>
      </c>
      <c r="D706" s="12" t="s">
        <v>62</v>
      </c>
      <c r="E706" s="8" t="s">
        <v>549</v>
      </c>
      <c r="F706" s="3" t="s">
        <v>2701</v>
      </c>
    </row>
    <row r="707" spans="1:6" x14ac:dyDescent="0.25">
      <c r="A707" s="3" t="str">
        <f t="shared" ref="A707:A770" si="19">_xlfn.CONCAT(C707,B707)</f>
        <v>q113_1_global</v>
      </c>
      <c r="B707" s="3" t="str">
        <f t="shared" si="18"/>
        <v>_global</v>
      </c>
      <c r="C707" s="3" t="s">
        <v>550</v>
      </c>
      <c r="D707" s="12" t="s">
        <v>62</v>
      </c>
      <c r="E707" s="3" t="s">
        <v>402</v>
      </c>
      <c r="F707" s="3" t="s">
        <v>2702</v>
      </c>
    </row>
    <row r="708" spans="1:6" x14ac:dyDescent="0.25">
      <c r="A708" s="3" t="str">
        <f t="shared" si="19"/>
        <v>q113_2_global</v>
      </c>
      <c r="B708" s="3" t="str">
        <f t="shared" si="18"/>
        <v>_global</v>
      </c>
      <c r="C708" s="3" t="s">
        <v>551</v>
      </c>
      <c r="D708" s="12" t="s">
        <v>62</v>
      </c>
      <c r="E708" s="3" t="s">
        <v>404</v>
      </c>
      <c r="F708" s="3" t="s">
        <v>2703</v>
      </c>
    </row>
    <row r="709" spans="1:6" x14ac:dyDescent="0.25">
      <c r="A709" s="3" t="str">
        <f t="shared" si="19"/>
        <v>q113_3_global</v>
      </c>
      <c r="B709" s="3" t="str">
        <f t="shared" si="18"/>
        <v>_global</v>
      </c>
      <c r="C709" s="3" t="s">
        <v>552</v>
      </c>
      <c r="D709" s="12" t="s">
        <v>62</v>
      </c>
      <c r="E709" s="3" t="s">
        <v>406</v>
      </c>
      <c r="F709" s="3" t="s">
        <v>2704</v>
      </c>
    </row>
    <row r="710" spans="1:6" x14ac:dyDescent="0.25">
      <c r="A710" s="3" t="str">
        <f t="shared" si="19"/>
        <v>q113_4_global</v>
      </c>
      <c r="B710" s="3" t="str">
        <f t="shared" si="18"/>
        <v>_global</v>
      </c>
      <c r="C710" s="3" t="s">
        <v>553</v>
      </c>
      <c r="D710" s="12" t="s">
        <v>62</v>
      </c>
      <c r="E710" s="3" t="s">
        <v>408</v>
      </c>
      <c r="F710" s="3" t="s">
        <v>2705</v>
      </c>
    </row>
    <row r="711" spans="1:6" x14ac:dyDescent="0.25">
      <c r="A711" s="3" t="str">
        <f t="shared" si="19"/>
        <v>q113_5_global</v>
      </c>
      <c r="B711" s="3" t="str">
        <f t="shared" si="18"/>
        <v>_global</v>
      </c>
      <c r="C711" s="3" t="s">
        <v>554</v>
      </c>
      <c r="D711" s="12" t="s">
        <v>62</v>
      </c>
      <c r="E711" s="3" t="s">
        <v>410</v>
      </c>
      <c r="F711" s="3" t="s">
        <v>2706</v>
      </c>
    </row>
    <row r="712" spans="1:6" x14ac:dyDescent="0.25">
      <c r="A712" s="3" t="str">
        <f t="shared" si="19"/>
        <v>q113_6_global</v>
      </c>
      <c r="B712" s="3" t="str">
        <f t="shared" si="18"/>
        <v>_global</v>
      </c>
      <c r="C712" s="3" t="s">
        <v>555</v>
      </c>
      <c r="D712" s="12" t="s">
        <v>62</v>
      </c>
      <c r="E712" s="3" t="s">
        <v>412</v>
      </c>
      <c r="F712" s="3" t="s">
        <v>2707</v>
      </c>
    </row>
    <row r="713" spans="1:6" x14ac:dyDescent="0.25">
      <c r="A713" s="3" t="str">
        <f t="shared" si="19"/>
        <v>q11ROW3_hidden_global</v>
      </c>
      <c r="B713" s="3" t="str">
        <f t="shared" si="18"/>
        <v>_global</v>
      </c>
      <c r="C713" s="3" t="s">
        <v>556</v>
      </c>
      <c r="D713" s="12" t="s">
        <v>62</v>
      </c>
      <c r="E713" s="8" t="s">
        <v>557</v>
      </c>
      <c r="F713" s="3" t="s">
        <v>2708</v>
      </c>
    </row>
    <row r="714" spans="1:6" x14ac:dyDescent="0.25">
      <c r="A714" s="3" t="str">
        <f t="shared" si="19"/>
        <v>q114_1_global</v>
      </c>
      <c r="B714" s="3" t="str">
        <f t="shared" si="18"/>
        <v>_global</v>
      </c>
      <c r="C714" s="3" t="s">
        <v>558</v>
      </c>
      <c r="D714" s="12" t="s">
        <v>62</v>
      </c>
      <c r="E714" s="3" t="s">
        <v>416</v>
      </c>
      <c r="F714" s="3" t="s">
        <v>2709</v>
      </c>
    </row>
    <row r="715" spans="1:6" x14ac:dyDescent="0.25">
      <c r="A715" s="3" t="str">
        <f t="shared" si="19"/>
        <v>q114_2_global</v>
      </c>
      <c r="B715" s="3" t="str">
        <f t="shared" si="18"/>
        <v>_global</v>
      </c>
      <c r="C715" s="3" t="s">
        <v>559</v>
      </c>
      <c r="D715" s="12" t="s">
        <v>62</v>
      </c>
      <c r="E715" s="3" t="s">
        <v>418</v>
      </c>
      <c r="F715" s="3" t="s">
        <v>2710</v>
      </c>
    </row>
    <row r="716" spans="1:6" x14ac:dyDescent="0.25">
      <c r="A716" s="3" t="str">
        <f t="shared" si="19"/>
        <v>q114_3_global</v>
      </c>
      <c r="B716" s="3" t="str">
        <f t="shared" si="18"/>
        <v>_global</v>
      </c>
      <c r="C716" s="3" t="s">
        <v>560</v>
      </c>
      <c r="D716" s="12" t="s">
        <v>62</v>
      </c>
      <c r="E716" s="3" t="s">
        <v>420</v>
      </c>
      <c r="F716" s="3" t="s">
        <v>2711</v>
      </c>
    </row>
    <row r="717" spans="1:6" x14ac:dyDescent="0.25">
      <c r="A717" s="3" t="str">
        <f t="shared" si="19"/>
        <v>q114_4_global</v>
      </c>
      <c r="B717" s="3" t="str">
        <f t="shared" si="18"/>
        <v>_global</v>
      </c>
      <c r="C717" s="3" t="s">
        <v>561</v>
      </c>
      <c r="D717" s="12" t="s">
        <v>62</v>
      </c>
      <c r="E717" s="3" t="s">
        <v>422</v>
      </c>
      <c r="F717" s="3" t="s">
        <v>2712</v>
      </c>
    </row>
    <row r="718" spans="1:6" x14ac:dyDescent="0.25">
      <c r="A718" s="3" t="str">
        <f t="shared" si="19"/>
        <v>q114_5_global</v>
      </c>
      <c r="B718" s="3" t="str">
        <f t="shared" si="18"/>
        <v>_global</v>
      </c>
      <c r="C718" s="3" t="s">
        <v>562</v>
      </c>
      <c r="D718" s="12" t="s">
        <v>62</v>
      </c>
      <c r="E718" s="3" t="s">
        <v>424</v>
      </c>
      <c r="F718" s="3" t="s">
        <v>2713</v>
      </c>
    </row>
    <row r="719" spans="1:6" x14ac:dyDescent="0.25">
      <c r="A719" s="3" t="str">
        <f t="shared" si="19"/>
        <v>q114_6_global</v>
      </c>
      <c r="B719" s="3" t="str">
        <f t="shared" si="18"/>
        <v>_global</v>
      </c>
      <c r="C719" s="3" t="s">
        <v>563</v>
      </c>
      <c r="D719" s="12" t="s">
        <v>62</v>
      </c>
      <c r="E719" s="3" t="s">
        <v>426</v>
      </c>
      <c r="F719" s="3" t="s">
        <v>2714</v>
      </c>
    </row>
    <row r="720" spans="1:6" x14ac:dyDescent="0.25">
      <c r="A720" s="3" t="str">
        <f t="shared" si="19"/>
        <v>q11ROW4_hidden_global</v>
      </c>
      <c r="B720" s="3" t="str">
        <f t="shared" si="18"/>
        <v>_global</v>
      </c>
      <c r="C720" s="3" t="s">
        <v>564</v>
      </c>
      <c r="D720" s="12" t="s">
        <v>62</v>
      </c>
      <c r="E720" s="8" t="s">
        <v>565</v>
      </c>
      <c r="F720" s="3" t="s">
        <v>2715</v>
      </c>
    </row>
    <row r="721" spans="1:6" x14ac:dyDescent="0.25">
      <c r="A721" s="3" t="str">
        <f t="shared" si="19"/>
        <v>q115_1_global</v>
      </c>
      <c r="B721" s="3" t="str">
        <f t="shared" si="18"/>
        <v>_global</v>
      </c>
      <c r="C721" s="3" t="s">
        <v>566</v>
      </c>
      <c r="D721" s="12" t="s">
        <v>62</v>
      </c>
      <c r="E721" s="3" t="s">
        <v>430</v>
      </c>
      <c r="F721" s="3" t="s">
        <v>2716</v>
      </c>
    </row>
    <row r="722" spans="1:6" x14ac:dyDescent="0.25">
      <c r="A722" s="3" t="str">
        <f t="shared" si="19"/>
        <v>q115_2_global</v>
      </c>
      <c r="B722" s="3" t="str">
        <f t="shared" si="18"/>
        <v>_global</v>
      </c>
      <c r="C722" s="3" t="s">
        <v>567</v>
      </c>
      <c r="D722" s="12" t="s">
        <v>62</v>
      </c>
      <c r="E722" s="3" t="s">
        <v>432</v>
      </c>
      <c r="F722" s="3" t="s">
        <v>2717</v>
      </c>
    </row>
    <row r="723" spans="1:6" x14ac:dyDescent="0.25">
      <c r="A723" s="3" t="str">
        <f t="shared" si="19"/>
        <v>q115_3_global</v>
      </c>
      <c r="B723" s="3" t="str">
        <f t="shared" si="18"/>
        <v>_global</v>
      </c>
      <c r="C723" s="3" t="s">
        <v>568</v>
      </c>
      <c r="D723" s="12" t="s">
        <v>62</v>
      </c>
      <c r="E723" s="3" t="s">
        <v>434</v>
      </c>
      <c r="F723" s="3" t="s">
        <v>2718</v>
      </c>
    </row>
    <row r="724" spans="1:6" x14ac:dyDescent="0.25">
      <c r="A724" s="3" t="str">
        <f t="shared" si="19"/>
        <v>q115_4_global</v>
      </c>
      <c r="B724" s="3" t="str">
        <f t="shared" si="18"/>
        <v>_global</v>
      </c>
      <c r="C724" s="3" t="s">
        <v>569</v>
      </c>
      <c r="D724" s="12" t="s">
        <v>62</v>
      </c>
      <c r="E724" s="3" t="s">
        <v>436</v>
      </c>
      <c r="F724" s="3" t="s">
        <v>2719</v>
      </c>
    </row>
    <row r="725" spans="1:6" x14ac:dyDescent="0.25">
      <c r="A725" s="3" t="str">
        <f t="shared" si="19"/>
        <v>q115_5_global</v>
      </c>
      <c r="B725" s="3" t="str">
        <f t="shared" si="18"/>
        <v>_global</v>
      </c>
      <c r="C725" s="3" t="s">
        <v>570</v>
      </c>
      <c r="D725" s="12" t="s">
        <v>62</v>
      </c>
      <c r="E725" s="3" t="s">
        <v>438</v>
      </c>
      <c r="F725" s="3" t="s">
        <v>2720</v>
      </c>
    </row>
    <row r="726" spans="1:6" x14ac:dyDescent="0.25">
      <c r="A726" s="3" t="str">
        <f t="shared" si="19"/>
        <v>q115_6_global</v>
      </c>
      <c r="B726" s="3" t="str">
        <f t="shared" si="18"/>
        <v>_global</v>
      </c>
      <c r="C726" s="3" t="s">
        <v>571</v>
      </c>
      <c r="D726" s="12" t="s">
        <v>62</v>
      </c>
      <c r="E726" s="3" t="s">
        <v>440</v>
      </c>
      <c r="F726" s="3" t="s">
        <v>2721</v>
      </c>
    </row>
    <row r="727" spans="1:6" x14ac:dyDescent="0.25">
      <c r="A727" s="3" t="str">
        <f t="shared" si="19"/>
        <v>q11ROW5_hidden_global</v>
      </c>
      <c r="B727" s="3" t="str">
        <f t="shared" si="18"/>
        <v>_global</v>
      </c>
      <c r="C727" s="3" t="s">
        <v>572</v>
      </c>
      <c r="D727" s="12" t="s">
        <v>62</v>
      </c>
      <c r="E727" s="8" t="s">
        <v>442</v>
      </c>
      <c r="F727" s="3" t="s">
        <v>2722</v>
      </c>
    </row>
    <row r="728" spans="1:6" x14ac:dyDescent="0.25">
      <c r="A728" s="3" t="str">
        <f t="shared" si="19"/>
        <v>q11COL1_hidden_global</v>
      </c>
      <c r="B728" s="3" t="str">
        <f t="shared" si="18"/>
        <v>_global</v>
      </c>
      <c r="C728" s="3" t="s">
        <v>573</v>
      </c>
      <c r="D728" s="12" t="s">
        <v>62</v>
      </c>
      <c r="E728" s="8" t="s">
        <v>154</v>
      </c>
      <c r="F728" s="3" t="s">
        <v>2723</v>
      </c>
    </row>
    <row r="729" spans="1:6" x14ac:dyDescent="0.25">
      <c r="A729" s="3" t="str">
        <f t="shared" si="19"/>
        <v>q11COL2_hidden_global</v>
      </c>
      <c r="B729" s="3" t="str">
        <f t="shared" si="18"/>
        <v>_global</v>
      </c>
      <c r="C729" s="3" t="s">
        <v>574</v>
      </c>
      <c r="D729" s="12" t="s">
        <v>62</v>
      </c>
      <c r="E729" s="8" t="s">
        <v>156</v>
      </c>
      <c r="F729" s="3" t="s">
        <v>2724</v>
      </c>
    </row>
    <row r="730" spans="1:6" x14ac:dyDescent="0.25">
      <c r="A730" s="3" t="str">
        <f t="shared" si="19"/>
        <v>q11COL3_hidden_global</v>
      </c>
      <c r="B730" s="3" t="str">
        <f t="shared" si="18"/>
        <v>_global</v>
      </c>
      <c r="C730" s="3" t="s">
        <v>575</v>
      </c>
      <c r="D730" s="12" t="s">
        <v>62</v>
      </c>
      <c r="E730" s="8" t="s">
        <v>158</v>
      </c>
      <c r="F730" s="3" t="s">
        <v>2725</v>
      </c>
    </row>
    <row r="731" spans="1:6" x14ac:dyDescent="0.25">
      <c r="A731" s="3" t="str">
        <f t="shared" si="19"/>
        <v>q11COL4_hidden_global</v>
      </c>
      <c r="B731" s="3" t="str">
        <f t="shared" si="18"/>
        <v>_global</v>
      </c>
      <c r="C731" s="3" t="s">
        <v>576</v>
      </c>
      <c r="D731" s="12" t="s">
        <v>62</v>
      </c>
      <c r="E731" s="8" t="s">
        <v>160</v>
      </c>
      <c r="F731" s="3" t="s">
        <v>2726</v>
      </c>
    </row>
    <row r="732" spans="1:6" x14ac:dyDescent="0.25">
      <c r="A732" s="3" t="str">
        <f t="shared" si="19"/>
        <v>q11COL5_hidden_global</v>
      </c>
      <c r="B732" s="3" t="str">
        <f t="shared" si="18"/>
        <v>_global</v>
      </c>
      <c r="C732" s="3" t="s">
        <v>577</v>
      </c>
      <c r="D732" s="12" t="s">
        <v>62</v>
      </c>
      <c r="E732" s="8" t="s">
        <v>162</v>
      </c>
      <c r="F732" s="3" t="s">
        <v>2727</v>
      </c>
    </row>
    <row r="733" spans="1:6" x14ac:dyDescent="0.25">
      <c r="A733" s="3" t="str">
        <f t="shared" si="19"/>
        <v>q11COL6_hidden_global</v>
      </c>
      <c r="B733" s="3" t="str">
        <f t="shared" si="18"/>
        <v>_global</v>
      </c>
      <c r="C733" s="3" t="s">
        <v>578</v>
      </c>
      <c r="D733" s="12" t="s">
        <v>62</v>
      </c>
      <c r="E733" s="8" t="s">
        <v>164</v>
      </c>
      <c r="F733" s="3" t="s">
        <v>2728</v>
      </c>
    </row>
    <row r="734" spans="1:6" x14ac:dyDescent="0.25">
      <c r="A734" s="3" t="str">
        <f t="shared" si="19"/>
        <v>q11GRANDTotal_hidden_global</v>
      </c>
      <c r="B734" s="3" t="str">
        <f t="shared" si="18"/>
        <v>_global</v>
      </c>
      <c r="C734" s="3" t="s">
        <v>579</v>
      </c>
      <c r="D734" s="12" t="s">
        <v>62</v>
      </c>
      <c r="E734" s="8" t="s">
        <v>580</v>
      </c>
      <c r="F734" s="3" t="s">
        <v>2729</v>
      </c>
    </row>
    <row r="735" spans="1:6" x14ac:dyDescent="0.25">
      <c r="A735" s="3" t="str">
        <f t="shared" si="19"/>
        <v>SOUTH AMERICA_southamerica</v>
      </c>
      <c r="B735" s="3" t="s">
        <v>586</v>
      </c>
      <c r="C735" s="10" t="s">
        <v>587</v>
      </c>
      <c r="D735" s="11"/>
      <c r="E735" s="9" t="s">
        <v>2958</v>
      </c>
      <c r="F735" s="3">
        <v>22</v>
      </c>
    </row>
    <row r="736" spans="1:6" x14ac:dyDescent="0.25">
      <c r="A736" s="3" t="str">
        <f t="shared" si="19"/>
        <v>q101_1_southamerica</v>
      </c>
      <c r="B736" s="3" t="str">
        <f t="shared" ref="B736:B799" si="20">B735</f>
        <v>_southamerica</v>
      </c>
      <c r="C736" s="3" t="s">
        <v>469</v>
      </c>
      <c r="D736" s="12" t="s">
        <v>62</v>
      </c>
      <c r="E736" s="3" t="s">
        <v>254</v>
      </c>
      <c r="F736" s="3" t="s">
        <v>2730</v>
      </c>
    </row>
    <row r="737" spans="1:6" x14ac:dyDescent="0.25">
      <c r="A737" s="3" t="str">
        <f t="shared" si="19"/>
        <v>q101_2_southamerica</v>
      </c>
      <c r="B737" s="3" t="str">
        <f t="shared" si="20"/>
        <v>_southamerica</v>
      </c>
      <c r="C737" s="3" t="s">
        <v>470</v>
      </c>
      <c r="D737" s="12" t="s">
        <v>62</v>
      </c>
      <c r="E737" s="3" t="s">
        <v>256</v>
      </c>
      <c r="F737" s="3" t="s">
        <v>2731</v>
      </c>
    </row>
    <row r="738" spans="1:6" x14ac:dyDescent="0.25">
      <c r="A738" s="3" t="str">
        <f t="shared" si="19"/>
        <v>q101_3_southamerica</v>
      </c>
      <c r="B738" s="3" t="str">
        <f t="shared" si="20"/>
        <v>_southamerica</v>
      </c>
      <c r="C738" s="3" t="s">
        <v>471</v>
      </c>
      <c r="D738" s="12" t="s">
        <v>62</v>
      </c>
      <c r="E738" s="3" t="s">
        <v>258</v>
      </c>
      <c r="F738" s="3" t="s">
        <v>2732</v>
      </c>
    </row>
    <row r="739" spans="1:6" x14ac:dyDescent="0.25">
      <c r="A739" s="3" t="str">
        <f t="shared" si="19"/>
        <v>q101_4_southamerica</v>
      </c>
      <c r="B739" s="3" t="str">
        <f t="shared" si="20"/>
        <v>_southamerica</v>
      </c>
      <c r="C739" s="3" t="s">
        <v>472</v>
      </c>
      <c r="D739" s="12" t="s">
        <v>62</v>
      </c>
      <c r="E739" s="3" t="s">
        <v>260</v>
      </c>
      <c r="F739" s="3" t="s">
        <v>2733</v>
      </c>
    </row>
    <row r="740" spans="1:6" x14ac:dyDescent="0.25">
      <c r="A740" s="3" t="str">
        <f t="shared" si="19"/>
        <v>q101_5_southamerica</v>
      </c>
      <c r="B740" s="3" t="str">
        <f t="shared" si="20"/>
        <v>_southamerica</v>
      </c>
      <c r="C740" s="3" t="s">
        <v>473</v>
      </c>
      <c r="D740" s="12" t="s">
        <v>62</v>
      </c>
      <c r="E740" s="3" t="s">
        <v>262</v>
      </c>
      <c r="F740" s="3" t="s">
        <v>2734</v>
      </c>
    </row>
    <row r="741" spans="1:6" x14ac:dyDescent="0.25">
      <c r="A741" s="3" t="str">
        <f t="shared" si="19"/>
        <v>q101_6_southamerica</v>
      </c>
      <c r="B741" s="3" t="str">
        <f t="shared" si="20"/>
        <v>_southamerica</v>
      </c>
      <c r="C741" s="3" t="s">
        <v>474</v>
      </c>
      <c r="D741" s="12" t="s">
        <v>62</v>
      </c>
      <c r="E741" s="3" t="s">
        <v>264</v>
      </c>
      <c r="F741" s="3" t="s">
        <v>2735</v>
      </c>
    </row>
    <row r="742" spans="1:6" x14ac:dyDescent="0.25">
      <c r="A742" s="3" t="str">
        <f t="shared" si="19"/>
        <v>q10ROW1_hidden_southamerica</v>
      </c>
      <c r="B742" s="3" t="str">
        <f t="shared" si="20"/>
        <v>_southamerica</v>
      </c>
      <c r="C742" s="3" t="s">
        <v>475</v>
      </c>
      <c r="D742" s="12" t="s">
        <v>62</v>
      </c>
      <c r="E742" s="8" t="s">
        <v>266</v>
      </c>
      <c r="F742" s="3" t="s">
        <v>2736</v>
      </c>
    </row>
    <row r="743" spans="1:6" x14ac:dyDescent="0.25">
      <c r="A743" s="3" t="str">
        <f t="shared" si="19"/>
        <v>q102_1_southamerica</v>
      </c>
      <c r="B743" s="3" t="str">
        <f t="shared" si="20"/>
        <v>_southamerica</v>
      </c>
      <c r="C743" s="3" t="s">
        <v>476</v>
      </c>
      <c r="D743" s="12" t="s">
        <v>62</v>
      </c>
      <c r="E743" s="3" t="s">
        <v>268</v>
      </c>
      <c r="F743" s="3" t="s">
        <v>2737</v>
      </c>
    </row>
    <row r="744" spans="1:6" x14ac:dyDescent="0.25">
      <c r="A744" s="3" t="str">
        <f t="shared" si="19"/>
        <v>q102_2_southamerica</v>
      </c>
      <c r="B744" s="3" t="str">
        <f t="shared" si="20"/>
        <v>_southamerica</v>
      </c>
      <c r="C744" s="3" t="s">
        <v>477</v>
      </c>
      <c r="D744" s="12" t="s">
        <v>62</v>
      </c>
      <c r="E744" s="3" t="s">
        <v>270</v>
      </c>
      <c r="F744" s="3" t="s">
        <v>2738</v>
      </c>
    </row>
    <row r="745" spans="1:6" x14ac:dyDescent="0.25">
      <c r="A745" s="3" t="str">
        <f t="shared" si="19"/>
        <v>q102_3_southamerica</v>
      </c>
      <c r="B745" s="3" t="str">
        <f t="shared" si="20"/>
        <v>_southamerica</v>
      </c>
      <c r="C745" s="3" t="s">
        <v>478</v>
      </c>
      <c r="D745" s="12" t="s">
        <v>62</v>
      </c>
      <c r="E745" s="3" t="s">
        <v>272</v>
      </c>
      <c r="F745" s="3" t="s">
        <v>2739</v>
      </c>
    </row>
    <row r="746" spans="1:6" x14ac:dyDescent="0.25">
      <c r="A746" s="3" t="str">
        <f t="shared" si="19"/>
        <v>q102_4_southamerica</v>
      </c>
      <c r="B746" s="3" t="str">
        <f t="shared" si="20"/>
        <v>_southamerica</v>
      </c>
      <c r="C746" s="3" t="s">
        <v>479</v>
      </c>
      <c r="D746" s="12" t="s">
        <v>62</v>
      </c>
      <c r="E746" s="3" t="s">
        <v>274</v>
      </c>
      <c r="F746" s="3" t="s">
        <v>2740</v>
      </c>
    </row>
    <row r="747" spans="1:6" x14ac:dyDescent="0.25">
      <c r="A747" s="3" t="str">
        <f t="shared" si="19"/>
        <v>q102_5_southamerica</v>
      </c>
      <c r="B747" s="3" t="str">
        <f t="shared" si="20"/>
        <v>_southamerica</v>
      </c>
      <c r="C747" s="3" t="s">
        <v>480</v>
      </c>
      <c r="D747" s="12" t="s">
        <v>62</v>
      </c>
      <c r="E747" s="3" t="s">
        <v>276</v>
      </c>
      <c r="F747" s="3" t="s">
        <v>2741</v>
      </c>
    </row>
    <row r="748" spans="1:6" x14ac:dyDescent="0.25">
      <c r="A748" s="3" t="str">
        <f t="shared" si="19"/>
        <v>q102_6_southamerica</v>
      </c>
      <c r="B748" s="3" t="str">
        <f t="shared" si="20"/>
        <v>_southamerica</v>
      </c>
      <c r="C748" s="3" t="s">
        <v>481</v>
      </c>
      <c r="D748" s="12" t="s">
        <v>62</v>
      </c>
      <c r="E748" s="3" t="s">
        <v>278</v>
      </c>
      <c r="F748" s="3" t="s">
        <v>2742</v>
      </c>
    </row>
    <row r="749" spans="1:6" x14ac:dyDescent="0.25">
      <c r="A749" s="3" t="str">
        <f t="shared" si="19"/>
        <v>q10ROW2_hidden_southamerica</v>
      </c>
      <c r="B749" s="3" t="str">
        <f t="shared" si="20"/>
        <v>_southamerica</v>
      </c>
      <c r="C749" s="3" t="s">
        <v>482</v>
      </c>
      <c r="D749" s="12" t="s">
        <v>62</v>
      </c>
      <c r="E749" s="8" t="s">
        <v>280</v>
      </c>
      <c r="F749" s="3" t="s">
        <v>2743</v>
      </c>
    </row>
    <row r="750" spans="1:6" x14ac:dyDescent="0.25">
      <c r="A750" s="3" t="str">
        <f t="shared" si="19"/>
        <v>q103_1_southamerica</v>
      </c>
      <c r="B750" s="3" t="str">
        <f t="shared" si="20"/>
        <v>_southamerica</v>
      </c>
      <c r="C750" s="3" t="s">
        <v>483</v>
      </c>
      <c r="D750" s="12" t="s">
        <v>62</v>
      </c>
      <c r="E750" s="3" t="s">
        <v>282</v>
      </c>
      <c r="F750" s="3" t="s">
        <v>2744</v>
      </c>
    </row>
    <row r="751" spans="1:6" x14ac:dyDescent="0.25">
      <c r="A751" s="3" t="str">
        <f t="shared" si="19"/>
        <v>q103_2_southamerica</v>
      </c>
      <c r="B751" s="3" t="str">
        <f t="shared" si="20"/>
        <v>_southamerica</v>
      </c>
      <c r="C751" s="3" t="s">
        <v>484</v>
      </c>
      <c r="D751" s="12" t="s">
        <v>62</v>
      </c>
      <c r="E751" s="3" t="s">
        <v>284</v>
      </c>
      <c r="F751" s="3" t="s">
        <v>2745</v>
      </c>
    </row>
    <row r="752" spans="1:6" x14ac:dyDescent="0.25">
      <c r="A752" s="3" t="str">
        <f t="shared" si="19"/>
        <v>q103_3_southamerica</v>
      </c>
      <c r="B752" s="3" t="str">
        <f t="shared" si="20"/>
        <v>_southamerica</v>
      </c>
      <c r="C752" s="3" t="s">
        <v>485</v>
      </c>
      <c r="D752" s="12" t="s">
        <v>62</v>
      </c>
      <c r="E752" s="3" t="s">
        <v>286</v>
      </c>
      <c r="F752" s="3" t="s">
        <v>2746</v>
      </c>
    </row>
    <row r="753" spans="1:6" x14ac:dyDescent="0.25">
      <c r="A753" s="3" t="str">
        <f t="shared" si="19"/>
        <v>q103_4_southamerica</v>
      </c>
      <c r="B753" s="3" t="str">
        <f t="shared" si="20"/>
        <v>_southamerica</v>
      </c>
      <c r="C753" s="3" t="s">
        <v>486</v>
      </c>
      <c r="D753" s="12" t="s">
        <v>62</v>
      </c>
      <c r="E753" s="3" t="s">
        <v>288</v>
      </c>
      <c r="F753" s="3" t="s">
        <v>2747</v>
      </c>
    </row>
    <row r="754" spans="1:6" x14ac:dyDescent="0.25">
      <c r="A754" s="3" t="str">
        <f t="shared" si="19"/>
        <v>q103_5_southamerica</v>
      </c>
      <c r="B754" s="3" t="str">
        <f t="shared" si="20"/>
        <v>_southamerica</v>
      </c>
      <c r="C754" s="3" t="s">
        <v>487</v>
      </c>
      <c r="D754" s="12" t="s">
        <v>62</v>
      </c>
      <c r="E754" s="3" t="s">
        <v>290</v>
      </c>
      <c r="F754" s="3" t="s">
        <v>2748</v>
      </c>
    </row>
    <row r="755" spans="1:6" x14ac:dyDescent="0.25">
      <c r="A755" s="3" t="str">
        <f t="shared" si="19"/>
        <v>q103_6_southamerica</v>
      </c>
      <c r="B755" s="3" t="str">
        <f t="shared" si="20"/>
        <v>_southamerica</v>
      </c>
      <c r="C755" s="3" t="s">
        <v>488</v>
      </c>
      <c r="D755" s="12" t="s">
        <v>62</v>
      </c>
      <c r="E755" s="3" t="s">
        <v>292</v>
      </c>
      <c r="F755" s="3" t="s">
        <v>2749</v>
      </c>
    </row>
    <row r="756" spans="1:6" x14ac:dyDescent="0.25">
      <c r="A756" s="3" t="str">
        <f t="shared" si="19"/>
        <v>q10ROW3_hidden_southamerica</v>
      </c>
      <c r="B756" s="3" t="str">
        <f t="shared" si="20"/>
        <v>_southamerica</v>
      </c>
      <c r="C756" s="3" t="s">
        <v>489</v>
      </c>
      <c r="D756" s="12" t="s">
        <v>62</v>
      </c>
      <c r="E756" s="8" t="s">
        <v>294</v>
      </c>
      <c r="F756" s="3" t="s">
        <v>2750</v>
      </c>
    </row>
    <row r="757" spans="1:6" x14ac:dyDescent="0.25">
      <c r="A757" s="3" t="str">
        <f t="shared" si="19"/>
        <v>q104_1_southamerica</v>
      </c>
      <c r="B757" s="3" t="str">
        <f t="shared" si="20"/>
        <v>_southamerica</v>
      </c>
      <c r="C757" s="3" t="s">
        <v>490</v>
      </c>
      <c r="D757" s="12" t="s">
        <v>62</v>
      </c>
      <c r="E757" s="3" t="s">
        <v>296</v>
      </c>
      <c r="F757" s="3" t="s">
        <v>2751</v>
      </c>
    </row>
    <row r="758" spans="1:6" x14ac:dyDescent="0.25">
      <c r="A758" s="3" t="str">
        <f t="shared" si="19"/>
        <v>q104_2_southamerica</v>
      </c>
      <c r="B758" s="3" t="str">
        <f t="shared" si="20"/>
        <v>_southamerica</v>
      </c>
      <c r="C758" s="3" t="s">
        <v>491</v>
      </c>
      <c r="D758" s="12" t="s">
        <v>62</v>
      </c>
      <c r="E758" s="3" t="s">
        <v>298</v>
      </c>
      <c r="F758" s="3" t="s">
        <v>2752</v>
      </c>
    </row>
    <row r="759" spans="1:6" x14ac:dyDescent="0.25">
      <c r="A759" s="3" t="str">
        <f t="shared" si="19"/>
        <v>q104_3_southamerica</v>
      </c>
      <c r="B759" s="3" t="str">
        <f t="shared" si="20"/>
        <v>_southamerica</v>
      </c>
      <c r="C759" s="3" t="s">
        <v>492</v>
      </c>
      <c r="D759" s="12" t="s">
        <v>62</v>
      </c>
      <c r="E759" s="3" t="s">
        <v>300</v>
      </c>
      <c r="F759" s="3" t="s">
        <v>2753</v>
      </c>
    </row>
    <row r="760" spans="1:6" x14ac:dyDescent="0.25">
      <c r="A760" s="3" t="str">
        <f t="shared" si="19"/>
        <v>q104_4_southamerica</v>
      </c>
      <c r="B760" s="3" t="str">
        <f t="shared" si="20"/>
        <v>_southamerica</v>
      </c>
      <c r="C760" s="3" t="s">
        <v>493</v>
      </c>
      <c r="D760" s="12" t="s">
        <v>62</v>
      </c>
      <c r="E760" s="3" t="s">
        <v>302</v>
      </c>
      <c r="F760" s="3" t="s">
        <v>2754</v>
      </c>
    </row>
    <row r="761" spans="1:6" x14ac:dyDescent="0.25">
      <c r="A761" s="3" t="str">
        <f t="shared" si="19"/>
        <v>q104_5_southamerica</v>
      </c>
      <c r="B761" s="3" t="str">
        <f t="shared" si="20"/>
        <v>_southamerica</v>
      </c>
      <c r="C761" s="3" t="s">
        <v>494</v>
      </c>
      <c r="D761" s="12" t="s">
        <v>62</v>
      </c>
      <c r="E761" s="3" t="s">
        <v>304</v>
      </c>
      <c r="F761" s="3" t="s">
        <v>2755</v>
      </c>
    </row>
    <row r="762" spans="1:6" x14ac:dyDescent="0.25">
      <c r="A762" s="3" t="str">
        <f t="shared" si="19"/>
        <v>q104_6_southamerica</v>
      </c>
      <c r="B762" s="3" t="str">
        <f t="shared" si="20"/>
        <v>_southamerica</v>
      </c>
      <c r="C762" s="3" t="s">
        <v>495</v>
      </c>
      <c r="D762" s="12" t="s">
        <v>62</v>
      </c>
      <c r="E762" s="3" t="s">
        <v>306</v>
      </c>
      <c r="F762" s="3" t="s">
        <v>2756</v>
      </c>
    </row>
    <row r="763" spans="1:6" x14ac:dyDescent="0.25">
      <c r="A763" s="3" t="str">
        <f t="shared" si="19"/>
        <v>q10ROW4_hidden_southamerica</v>
      </c>
      <c r="B763" s="3" t="str">
        <f t="shared" si="20"/>
        <v>_southamerica</v>
      </c>
      <c r="C763" s="3" t="s">
        <v>496</v>
      </c>
      <c r="D763" s="12" t="s">
        <v>62</v>
      </c>
      <c r="E763" s="8" t="s">
        <v>308</v>
      </c>
      <c r="F763" s="3" t="s">
        <v>2757</v>
      </c>
    </row>
    <row r="764" spans="1:6" x14ac:dyDescent="0.25">
      <c r="A764" s="3" t="str">
        <f t="shared" si="19"/>
        <v>q105_1_southamerica</v>
      </c>
      <c r="B764" s="3" t="str">
        <f t="shared" si="20"/>
        <v>_southamerica</v>
      </c>
      <c r="C764" s="3" t="s">
        <v>497</v>
      </c>
      <c r="D764" s="12" t="s">
        <v>62</v>
      </c>
      <c r="E764" s="3" t="s">
        <v>310</v>
      </c>
      <c r="F764" s="3" t="s">
        <v>2758</v>
      </c>
    </row>
    <row r="765" spans="1:6" x14ac:dyDescent="0.25">
      <c r="A765" s="3" t="str">
        <f t="shared" si="19"/>
        <v>q105_2_southamerica</v>
      </c>
      <c r="B765" s="3" t="str">
        <f t="shared" si="20"/>
        <v>_southamerica</v>
      </c>
      <c r="C765" s="3" t="s">
        <v>498</v>
      </c>
      <c r="D765" s="12" t="s">
        <v>62</v>
      </c>
      <c r="E765" s="3" t="s">
        <v>312</v>
      </c>
      <c r="F765" s="3" t="s">
        <v>2759</v>
      </c>
    </row>
    <row r="766" spans="1:6" x14ac:dyDescent="0.25">
      <c r="A766" s="3" t="str">
        <f t="shared" si="19"/>
        <v>q105_3_southamerica</v>
      </c>
      <c r="B766" s="3" t="str">
        <f t="shared" si="20"/>
        <v>_southamerica</v>
      </c>
      <c r="C766" s="3" t="s">
        <v>499</v>
      </c>
      <c r="D766" s="12" t="s">
        <v>62</v>
      </c>
      <c r="E766" s="3" t="s">
        <v>314</v>
      </c>
      <c r="F766" s="3" t="s">
        <v>2760</v>
      </c>
    </row>
    <row r="767" spans="1:6" x14ac:dyDescent="0.25">
      <c r="A767" s="3" t="str">
        <f t="shared" si="19"/>
        <v>q105_4_southamerica</v>
      </c>
      <c r="B767" s="3" t="str">
        <f t="shared" si="20"/>
        <v>_southamerica</v>
      </c>
      <c r="C767" s="3" t="s">
        <v>500</v>
      </c>
      <c r="D767" s="12" t="s">
        <v>62</v>
      </c>
      <c r="E767" s="3" t="s">
        <v>316</v>
      </c>
      <c r="F767" s="3" t="s">
        <v>2761</v>
      </c>
    </row>
    <row r="768" spans="1:6" x14ac:dyDescent="0.25">
      <c r="A768" s="3" t="str">
        <f t="shared" si="19"/>
        <v>q105_5_southamerica</v>
      </c>
      <c r="B768" s="3" t="str">
        <f t="shared" si="20"/>
        <v>_southamerica</v>
      </c>
      <c r="C768" s="3" t="s">
        <v>501</v>
      </c>
      <c r="D768" s="12" t="s">
        <v>62</v>
      </c>
      <c r="E768" s="3" t="s">
        <v>318</v>
      </c>
      <c r="F768" s="3" t="s">
        <v>2762</v>
      </c>
    </row>
    <row r="769" spans="1:6" x14ac:dyDescent="0.25">
      <c r="A769" s="3" t="str">
        <f t="shared" si="19"/>
        <v>q105_6_southamerica</v>
      </c>
      <c r="B769" s="3" t="str">
        <f t="shared" si="20"/>
        <v>_southamerica</v>
      </c>
      <c r="C769" s="3" t="s">
        <v>502</v>
      </c>
      <c r="D769" s="12" t="s">
        <v>62</v>
      </c>
      <c r="E769" s="3" t="s">
        <v>320</v>
      </c>
      <c r="F769" s="3" t="s">
        <v>2763</v>
      </c>
    </row>
    <row r="770" spans="1:6" x14ac:dyDescent="0.25">
      <c r="A770" s="3" t="str">
        <f t="shared" si="19"/>
        <v>q10ROW5_hidden_southamerica</v>
      </c>
      <c r="B770" s="3" t="str">
        <f t="shared" si="20"/>
        <v>_southamerica</v>
      </c>
      <c r="C770" s="3" t="s">
        <v>503</v>
      </c>
      <c r="D770" s="12" t="s">
        <v>62</v>
      </c>
      <c r="E770" s="8" t="s">
        <v>322</v>
      </c>
      <c r="F770" s="3" t="s">
        <v>2764</v>
      </c>
    </row>
    <row r="771" spans="1:6" x14ac:dyDescent="0.25">
      <c r="A771" s="3" t="str">
        <f t="shared" ref="A771:A834" si="21">_xlfn.CONCAT(C771,B771)</f>
        <v>q106_1_southamerica</v>
      </c>
      <c r="B771" s="3" t="str">
        <f t="shared" si="20"/>
        <v>_southamerica</v>
      </c>
      <c r="C771" s="3" t="s">
        <v>504</v>
      </c>
      <c r="D771" s="12" t="s">
        <v>62</v>
      </c>
      <c r="E771" s="3" t="s">
        <v>324</v>
      </c>
      <c r="F771" s="3" t="s">
        <v>2765</v>
      </c>
    </row>
    <row r="772" spans="1:6" x14ac:dyDescent="0.25">
      <c r="A772" s="3" t="str">
        <f t="shared" si="21"/>
        <v>q106_2_southamerica</v>
      </c>
      <c r="B772" s="3" t="str">
        <f t="shared" si="20"/>
        <v>_southamerica</v>
      </c>
      <c r="C772" s="3" t="s">
        <v>505</v>
      </c>
      <c r="D772" s="12" t="s">
        <v>62</v>
      </c>
      <c r="E772" s="3" t="s">
        <v>326</v>
      </c>
      <c r="F772" s="3" t="s">
        <v>2766</v>
      </c>
    </row>
    <row r="773" spans="1:6" x14ac:dyDescent="0.25">
      <c r="A773" s="3" t="str">
        <f t="shared" si="21"/>
        <v>q106_3_southamerica</v>
      </c>
      <c r="B773" s="3" t="str">
        <f t="shared" si="20"/>
        <v>_southamerica</v>
      </c>
      <c r="C773" s="3" t="s">
        <v>506</v>
      </c>
      <c r="D773" s="12" t="s">
        <v>62</v>
      </c>
      <c r="E773" s="3" t="s">
        <v>328</v>
      </c>
      <c r="F773" s="3" t="s">
        <v>2767</v>
      </c>
    </row>
    <row r="774" spans="1:6" x14ac:dyDescent="0.25">
      <c r="A774" s="3" t="str">
        <f t="shared" si="21"/>
        <v>q106_4_southamerica</v>
      </c>
      <c r="B774" s="3" t="str">
        <f t="shared" si="20"/>
        <v>_southamerica</v>
      </c>
      <c r="C774" s="3" t="s">
        <v>507</v>
      </c>
      <c r="D774" s="12" t="s">
        <v>62</v>
      </c>
      <c r="E774" s="3" t="s">
        <v>330</v>
      </c>
      <c r="F774" s="3" t="s">
        <v>2768</v>
      </c>
    </row>
    <row r="775" spans="1:6" x14ac:dyDescent="0.25">
      <c r="A775" s="3" t="str">
        <f t="shared" si="21"/>
        <v>q106_5_southamerica</v>
      </c>
      <c r="B775" s="3" t="str">
        <f t="shared" si="20"/>
        <v>_southamerica</v>
      </c>
      <c r="C775" s="3" t="s">
        <v>508</v>
      </c>
      <c r="D775" s="12" t="s">
        <v>62</v>
      </c>
      <c r="E775" s="3" t="s">
        <v>332</v>
      </c>
      <c r="F775" s="3" t="s">
        <v>2769</v>
      </c>
    </row>
    <row r="776" spans="1:6" x14ac:dyDescent="0.25">
      <c r="A776" s="3" t="str">
        <f t="shared" si="21"/>
        <v>q106_6_southamerica</v>
      </c>
      <c r="B776" s="3" t="str">
        <f t="shared" si="20"/>
        <v>_southamerica</v>
      </c>
      <c r="C776" s="3" t="s">
        <v>509</v>
      </c>
      <c r="D776" s="12" t="s">
        <v>62</v>
      </c>
      <c r="E776" s="3" t="s">
        <v>334</v>
      </c>
      <c r="F776" s="3" t="s">
        <v>2770</v>
      </c>
    </row>
    <row r="777" spans="1:6" x14ac:dyDescent="0.25">
      <c r="A777" s="3" t="str">
        <f t="shared" si="21"/>
        <v>q10ROW6_hidden_southamerica</v>
      </c>
      <c r="B777" s="3" t="str">
        <f t="shared" si="20"/>
        <v>_southamerica</v>
      </c>
      <c r="C777" s="3" t="s">
        <v>510</v>
      </c>
      <c r="D777" s="12" t="s">
        <v>62</v>
      </c>
      <c r="E777" s="8" t="s">
        <v>162</v>
      </c>
      <c r="F777" s="3" t="s">
        <v>2771</v>
      </c>
    </row>
    <row r="778" spans="1:6" x14ac:dyDescent="0.25">
      <c r="A778" s="3" t="str">
        <f t="shared" si="21"/>
        <v>q107_1_southamerica</v>
      </c>
      <c r="B778" s="3" t="str">
        <f t="shared" si="20"/>
        <v>_southamerica</v>
      </c>
      <c r="C778" s="3" t="s">
        <v>511</v>
      </c>
      <c r="D778" s="12" t="s">
        <v>62</v>
      </c>
      <c r="E778" s="3" t="s">
        <v>337</v>
      </c>
      <c r="F778" s="3" t="s">
        <v>2772</v>
      </c>
    </row>
    <row r="779" spans="1:6" x14ac:dyDescent="0.25">
      <c r="A779" s="3" t="str">
        <f t="shared" si="21"/>
        <v>q107_2_southamerica</v>
      </c>
      <c r="B779" s="3" t="str">
        <f t="shared" si="20"/>
        <v>_southamerica</v>
      </c>
      <c r="C779" s="3" t="s">
        <v>512</v>
      </c>
      <c r="D779" s="12" t="s">
        <v>62</v>
      </c>
      <c r="E779" s="3" t="s">
        <v>339</v>
      </c>
      <c r="F779" s="3" t="s">
        <v>2773</v>
      </c>
    </row>
    <row r="780" spans="1:6" x14ac:dyDescent="0.25">
      <c r="A780" s="3" t="str">
        <f t="shared" si="21"/>
        <v>q107_3_southamerica</v>
      </c>
      <c r="B780" s="3" t="str">
        <f t="shared" si="20"/>
        <v>_southamerica</v>
      </c>
      <c r="C780" s="3" t="s">
        <v>513</v>
      </c>
      <c r="D780" s="12" t="s">
        <v>62</v>
      </c>
      <c r="E780" s="3" t="s">
        <v>341</v>
      </c>
      <c r="F780" s="3" t="s">
        <v>2774</v>
      </c>
    </row>
    <row r="781" spans="1:6" x14ac:dyDescent="0.25">
      <c r="A781" s="3" t="str">
        <f t="shared" si="21"/>
        <v>q107_4_southamerica</v>
      </c>
      <c r="B781" s="3" t="str">
        <f t="shared" si="20"/>
        <v>_southamerica</v>
      </c>
      <c r="C781" s="3" t="s">
        <v>514</v>
      </c>
      <c r="D781" s="12" t="s">
        <v>62</v>
      </c>
      <c r="E781" s="3" t="s">
        <v>343</v>
      </c>
      <c r="F781" s="3" t="s">
        <v>2775</v>
      </c>
    </row>
    <row r="782" spans="1:6" x14ac:dyDescent="0.25">
      <c r="A782" s="3" t="str">
        <f t="shared" si="21"/>
        <v>q107_5_southamerica</v>
      </c>
      <c r="B782" s="3" t="str">
        <f t="shared" si="20"/>
        <v>_southamerica</v>
      </c>
      <c r="C782" s="3" t="s">
        <v>515</v>
      </c>
      <c r="D782" s="12" t="s">
        <v>62</v>
      </c>
      <c r="E782" s="3" t="s">
        <v>345</v>
      </c>
      <c r="F782" s="3" t="s">
        <v>2776</v>
      </c>
    </row>
    <row r="783" spans="1:6" x14ac:dyDescent="0.25">
      <c r="A783" s="3" t="str">
        <f t="shared" si="21"/>
        <v>q107_6_southamerica</v>
      </c>
      <c r="B783" s="3" t="str">
        <f t="shared" si="20"/>
        <v>_southamerica</v>
      </c>
      <c r="C783" s="3" t="s">
        <v>516</v>
      </c>
      <c r="D783" s="12" t="s">
        <v>62</v>
      </c>
      <c r="E783" s="3" t="s">
        <v>347</v>
      </c>
      <c r="F783" s="3" t="s">
        <v>2777</v>
      </c>
    </row>
    <row r="784" spans="1:6" x14ac:dyDescent="0.25">
      <c r="A784" s="3" t="str">
        <f t="shared" si="21"/>
        <v>q10ROW7_hidden_southamerica</v>
      </c>
      <c r="B784" s="3" t="str">
        <f t="shared" si="20"/>
        <v>_southamerica</v>
      </c>
      <c r="C784" s="3" t="s">
        <v>517</v>
      </c>
      <c r="D784" s="12" t="s">
        <v>62</v>
      </c>
      <c r="E784" s="8" t="s">
        <v>349</v>
      </c>
      <c r="F784" s="3" t="s">
        <v>2778</v>
      </c>
    </row>
    <row r="785" spans="1:6" x14ac:dyDescent="0.25">
      <c r="A785" s="3" t="str">
        <f t="shared" si="21"/>
        <v>q10other_southamerica</v>
      </c>
      <c r="B785" s="3" t="str">
        <f t="shared" si="20"/>
        <v>_southamerica</v>
      </c>
      <c r="C785" s="3" t="s">
        <v>518</v>
      </c>
      <c r="D785" s="12" t="s">
        <v>62</v>
      </c>
      <c r="E785" s="3" t="s">
        <v>351</v>
      </c>
      <c r="F785" s="3" t="s">
        <v>2779</v>
      </c>
    </row>
    <row r="786" spans="1:6" x14ac:dyDescent="0.25">
      <c r="A786" s="3" t="str">
        <f t="shared" si="21"/>
        <v>q108_1_southamerica</v>
      </c>
      <c r="B786" s="3" t="str">
        <f t="shared" si="20"/>
        <v>_southamerica</v>
      </c>
      <c r="C786" s="3" t="s">
        <v>519</v>
      </c>
      <c r="D786" s="12" t="s">
        <v>62</v>
      </c>
      <c r="E786" s="3" t="s">
        <v>353</v>
      </c>
      <c r="F786" s="3" t="s">
        <v>2780</v>
      </c>
    </row>
    <row r="787" spans="1:6" x14ac:dyDescent="0.25">
      <c r="A787" s="3" t="str">
        <f t="shared" si="21"/>
        <v>q108_2_southamerica</v>
      </c>
      <c r="B787" s="3" t="str">
        <f t="shared" si="20"/>
        <v>_southamerica</v>
      </c>
      <c r="C787" s="3" t="s">
        <v>520</v>
      </c>
      <c r="D787" s="12" t="s">
        <v>62</v>
      </c>
      <c r="E787" s="3" t="s">
        <v>355</v>
      </c>
      <c r="F787" s="3" t="s">
        <v>2781</v>
      </c>
    </row>
    <row r="788" spans="1:6" x14ac:dyDescent="0.25">
      <c r="A788" s="3" t="str">
        <f t="shared" si="21"/>
        <v>q108_3_southamerica</v>
      </c>
      <c r="B788" s="3" t="str">
        <f t="shared" si="20"/>
        <v>_southamerica</v>
      </c>
      <c r="C788" s="3" t="s">
        <v>521</v>
      </c>
      <c r="D788" s="12" t="s">
        <v>62</v>
      </c>
      <c r="E788" s="3" t="s">
        <v>357</v>
      </c>
      <c r="F788" s="3" t="s">
        <v>2782</v>
      </c>
    </row>
    <row r="789" spans="1:6" x14ac:dyDescent="0.25">
      <c r="A789" s="3" t="str">
        <f t="shared" si="21"/>
        <v>q108_4_southamerica</v>
      </c>
      <c r="B789" s="3" t="str">
        <f t="shared" si="20"/>
        <v>_southamerica</v>
      </c>
      <c r="C789" s="3" t="s">
        <v>522</v>
      </c>
      <c r="D789" s="12" t="s">
        <v>62</v>
      </c>
      <c r="E789" s="3" t="s">
        <v>359</v>
      </c>
      <c r="F789" s="3" t="s">
        <v>2783</v>
      </c>
    </row>
    <row r="790" spans="1:6" x14ac:dyDescent="0.25">
      <c r="A790" s="3" t="str">
        <f t="shared" si="21"/>
        <v>q108_5_southamerica</v>
      </c>
      <c r="B790" s="3" t="str">
        <f t="shared" si="20"/>
        <v>_southamerica</v>
      </c>
      <c r="C790" s="3" t="s">
        <v>523</v>
      </c>
      <c r="D790" s="12" t="s">
        <v>62</v>
      </c>
      <c r="E790" s="3" t="s">
        <v>361</v>
      </c>
      <c r="F790" s="3" t="s">
        <v>2784</v>
      </c>
    </row>
    <row r="791" spans="1:6" x14ac:dyDescent="0.25">
      <c r="A791" s="3" t="str">
        <f t="shared" si="21"/>
        <v>q108_6_southamerica</v>
      </c>
      <c r="B791" s="3" t="str">
        <f t="shared" si="20"/>
        <v>_southamerica</v>
      </c>
      <c r="C791" s="3" t="s">
        <v>524</v>
      </c>
      <c r="D791" s="12" t="s">
        <v>62</v>
      </c>
      <c r="E791" s="3" t="s">
        <v>363</v>
      </c>
      <c r="F791" s="3" t="s">
        <v>2785</v>
      </c>
    </row>
    <row r="792" spans="1:6" x14ac:dyDescent="0.25">
      <c r="A792" s="3" t="str">
        <f t="shared" si="21"/>
        <v>q10ROW8_hidden_southamerica</v>
      </c>
      <c r="B792" s="3" t="str">
        <f t="shared" si="20"/>
        <v>_southamerica</v>
      </c>
      <c r="C792" s="3" t="s">
        <v>525</v>
      </c>
      <c r="D792" s="12" t="s">
        <v>62</v>
      </c>
      <c r="E792" s="8" t="s">
        <v>365</v>
      </c>
      <c r="F792" s="3" t="s">
        <v>2786</v>
      </c>
    </row>
    <row r="793" spans="1:6" x14ac:dyDescent="0.25">
      <c r="A793" s="3" t="str">
        <f t="shared" si="21"/>
        <v>q10COL1_hidden_southamerica</v>
      </c>
      <c r="B793" s="3" t="str">
        <f t="shared" si="20"/>
        <v>_southamerica</v>
      </c>
      <c r="C793" s="3" t="s">
        <v>526</v>
      </c>
      <c r="D793" s="12" t="s">
        <v>62</v>
      </c>
      <c r="E793" s="8" t="s">
        <v>154</v>
      </c>
      <c r="F793" s="3" t="s">
        <v>2787</v>
      </c>
    </row>
    <row r="794" spans="1:6" x14ac:dyDescent="0.25">
      <c r="A794" s="3" t="str">
        <f t="shared" si="21"/>
        <v>q10COL2_hidden_southamerica</v>
      </c>
      <c r="B794" s="3" t="str">
        <f t="shared" si="20"/>
        <v>_southamerica</v>
      </c>
      <c r="C794" s="3" t="s">
        <v>527</v>
      </c>
      <c r="D794" s="12" t="s">
        <v>62</v>
      </c>
      <c r="E794" s="8" t="s">
        <v>156</v>
      </c>
      <c r="F794" s="3" t="s">
        <v>2788</v>
      </c>
    </row>
    <row r="795" spans="1:6" x14ac:dyDescent="0.25">
      <c r="A795" s="3" t="str">
        <f t="shared" si="21"/>
        <v>q10COL3_hidden_southamerica</v>
      </c>
      <c r="B795" s="3" t="str">
        <f t="shared" si="20"/>
        <v>_southamerica</v>
      </c>
      <c r="C795" s="3" t="s">
        <v>528</v>
      </c>
      <c r="D795" s="12" t="s">
        <v>62</v>
      </c>
      <c r="E795" s="8" t="s">
        <v>158</v>
      </c>
      <c r="F795" s="3" t="s">
        <v>2789</v>
      </c>
    </row>
    <row r="796" spans="1:6" x14ac:dyDescent="0.25">
      <c r="A796" s="3" t="str">
        <f t="shared" si="21"/>
        <v>q10COL4_hidden_southamerica</v>
      </c>
      <c r="B796" s="3" t="str">
        <f t="shared" si="20"/>
        <v>_southamerica</v>
      </c>
      <c r="C796" s="3" t="s">
        <v>529</v>
      </c>
      <c r="D796" s="12" t="s">
        <v>62</v>
      </c>
      <c r="E796" s="8" t="s">
        <v>160</v>
      </c>
      <c r="F796" s="3" t="s">
        <v>2790</v>
      </c>
    </row>
    <row r="797" spans="1:6" x14ac:dyDescent="0.25">
      <c r="A797" s="3" t="str">
        <f t="shared" si="21"/>
        <v>q10COL5_hidden_southamerica</v>
      </c>
      <c r="B797" s="3" t="str">
        <f t="shared" si="20"/>
        <v>_southamerica</v>
      </c>
      <c r="C797" s="3" t="s">
        <v>530</v>
      </c>
      <c r="D797" s="12" t="s">
        <v>62</v>
      </c>
      <c r="E797" s="8" t="s">
        <v>162</v>
      </c>
      <c r="F797" s="3" t="s">
        <v>2791</v>
      </c>
    </row>
    <row r="798" spans="1:6" x14ac:dyDescent="0.25">
      <c r="A798" s="3" t="str">
        <f t="shared" si="21"/>
        <v>q10COL6_hidden_southamerica</v>
      </c>
      <c r="B798" s="3" t="str">
        <f t="shared" si="20"/>
        <v>_southamerica</v>
      </c>
      <c r="C798" s="3" t="s">
        <v>531</v>
      </c>
      <c r="D798" s="12" t="s">
        <v>62</v>
      </c>
      <c r="E798" s="8" t="s">
        <v>164</v>
      </c>
      <c r="F798" s="3" t="s">
        <v>2792</v>
      </c>
    </row>
    <row r="799" spans="1:6" x14ac:dyDescent="0.25">
      <c r="A799" s="3" t="str">
        <f t="shared" si="21"/>
        <v>q10GRANDTotal_hidden_southamerica</v>
      </c>
      <c r="B799" s="3" t="str">
        <f t="shared" si="20"/>
        <v>_southamerica</v>
      </c>
      <c r="C799" s="3" t="s">
        <v>532</v>
      </c>
      <c r="D799" s="12" t="s">
        <v>62</v>
      </c>
      <c r="E799" s="8" t="s">
        <v>533</v>
      </c>
      <c r="F799" s="3" t="s">
        <v>2793</v>
      </c>
    </row>
    <row r="800" spans="1:6" x14ac:dyDescent="0.25">
      <c r="A800" s="3" t="str">
        <f t="shared" si="21"/>
        <v>_southamerica</v>
      </c>
      <c r="B800" s="3" t="str">
        <f t="shared" ref="B800:B842" si="22">B799</f>
        <v>_southamerica</v>
      </c>
      <c r="C800" s="6"/>
      <c r="D800" s="6"/>
      <c r="E800" s="9" t="s">
        <v>2959</v>
      </c>
      <c r="F800" s="3">
        <v>23</v>
      </c>
    </row>
    <row r="801" spans="1:6" x14ac:dyDescent="0.25">
      <c r="A801" s="3" t="str">
        <f t="shared" si="21"/>
        <v>q111_1_southamerica</v>
      </c>
      <c r="B801" s="3" t="str">
        <f t="shared" si="22"/>
        <v>_southamerica</v>
      </c>
      <c r="C801" s="3" t="s">
        <v>534</v>
      </c>
      <c r="D801" s="12" t="s">
        <v>62</v>
      </c>
      <c r="E801" s="3" t="s">
        <v>388</v>
      </c>
      <c r="F801" s="3" t="s">
        <v>2794</v>
      </c>
    </row>
    <row r="802" spans="1:6" x14ac:dyDescent="0.25">
      <c r="A802" s="3" t="str">
        <f t="shared" si="21"/>
        <v>q111_2_southamerica</v>
      </c>
      <c r="B802" s="3" t="str">
        <f t="shared" si="22"/>
        <v>_southamerica</v>
      </c>
      <c r="C802" s="3" t="s">
        <v>535</v>
      </c>
      <c r="D802" s="12" t="s">
        <v>62</v>
      </c>
      <c r="E802" s="3" t="s">
        <v>390</v>
      </c>
      <c r="F802" s="3" t="s">
        <v>2795</v>
      </c>
    </row>
    <row r="803" spans="1:6" x14ac:dyDescent="0.25">
      <c r="A803" s="3" t="str">
        <f t="shared" si="21"/>
        <v>q111_3_southamerica</v>
      </c>
      <c r="B803" s="3" t="str">
        <f t="shared" si="22"/>
        <v>_southamerica</v>
      </c>
      <c r="C803" s="3" t="s">
        <v>536</v>
      </c>
      <c r="D803" s="12" t="s">
        <v>62</v>
      </c>
      <c r="E803" s="3" t="s">
        <v>392</v>
      </c>
      <c r="F803" s="3" t="s">
        <v>2796</v>
      </c>
    </row>
    <row r="804" spans="1:6" x14ac:dyDescent="0.25">
      <c r="A804" s="3" t="str">
        <f t="shared" si="21"/>
        <v>q111_4_southamerica</v>
      </c>
      <c r="B804" s="3" t="str">
        <f t="shared" si="22"/>
        <v>_southamerica</v>
      </c>
      <c r="C804" s="3" t="s">
        <v>537</v>
      </c>
      <c r="D804" s="12" t="s">
        <v>62</v>
      </c>
      <c r="E804" s="3" t="s">
        <v>394</v>
      </c>
      <c r="F804" s="3" t="s">
        <v>2797</v>
      </c>
    </row>
    <row r="805" spans="1:6" x14ac:dyDescent="0.25">
      <c r="A805" s="3" t="str">
        <f t="shared" si="21"/>
        <v>q111_5_southamerica</v>
      </c>
      <c r="B805" s="3" t="str">
        <f t="shared" si="22"/>
        <v>_southamerica</v>
      </c>
      <c r="C805" s="3" t="s">
        <v>538</v>
      </c>
      <c r="D805" s="12" t="s">
        <v>62</v>
      </c>
      <c r="E805" s="3" t="s">
        <v>396</v>
      </c>
      <c r="F805" s="3" t="s">
        <v>2798</v>
      </c>
    </row>
    <row r="806" spans="1:6" x14ac:dyDescent="0.25">
      <c r="A806" s="3" t="str">
        <f t="shared" si="21"/>
        <v>q111_6_southamerica</v>
      </c>
      <c r="B806" s="3" t="str">
        <f t="shared" si="22"/>
        <v>_southamerica</v>
      </c>
      <c r="C806" s="3" t="s">
        <v>539</v>
      </c>
      <c r="D806" s="12" t="s">
        <v>62</v>
      </c>
      <c r="E806" s="3" t="s">
        <v>398</v>
      </c>
      <c r="F806" s="3" t="s">
        <v>2799</v>
      </c>
    </row>
    <row r="807" spans="1:6" x14ac:dyDescent="0.25">
      <c r="A807" s="3" t="str">
        <f t="shared" si="21"/>
        <v>q11ROW1_hidden_southamerica</v>
      </c>
      <c r="B807" s="3" t="str">
        <f t="shared" si="22"/>
        <v>_southamerica</v>
      </c>
      <c r="C807" s="3" t="s">
        <v>540</v>
      </c>
      <c r="D807" s="12" t="s">
        <v>62</v>
      </c>
      <c r="E807" s="8" t="s">
        <v>541</v>
      </c>
      <c r="F807" s="3" t="s">
        <v>2800</v>
      </c>
    </row>
    <row r="808" spans="1:6" x14ac:dyDescent="0.25">
      <c r="A808" s="3" t="str">
        <f t="shared" si="21"/>
        <v>q112_1_southamerica</v>
      </c>
      <c r="B808" s="3" t="str">
        <f t="shared" si="22"/>
        <v>_southamerica</v>
      </c>
      <c r="C808" s="3" t="s">
        <v>542</v>
      </c>
      <c r="D808" s="12" t="s">
        <v>62</v>
      </c>
      <c r="E808" s="3" t="s">
        <v>374</v>
      </c>
      <c r="F808" s="3" t="s">
        <v>2801</v>
      </c>
    </row>
    <row r="809" spans="1:6" x14ac:dyDescent="0.25">
      <c r="A809" s="3" t="str">
        <f t="shared" si="21"/>
        <v>q112_2_southamerica</v>
      </c>
      <c r="B809" s="3" t="str">
        <f t="shared" si="22"/>
        <v>_southamerica</v>
      </c>
      <c r="C809" s="3" t="s">
        <v>543</v>
      </c>
      <c r="D809" s="12" t="s">
        <v>62</v>
      </c>
      <c r="E809" s="3" t="s">
        <v>376</v>
      </c>
      <c r="F809" s="3" t="s">
        <v>2802</v>
      </c>
    </row>
    <row r="810" spans="1:6" x14ac:dyDescent="0.25">
      <c r="A810" s="3" t="str">
        <f t="shared" si="21"/>
        <v>q112_3_southamerica</v>
      </c>
      <c r="B810" s="3" t="str">
        <f t="shared" si="22"/>
        <v>_southamerica</v>
      </c>
      <c r="C810" s="3" t="s">
        <v>544</v>
      </c>
      <c r="D810" s="12" t="s">
        <v>62</v>
      </c>
      <c r="E810" s="3" t="s">
        <v>378</v>
      </c>
      <c r="F810" s="3" t="s">
        <v>2803</v>
      </c>
    </row>
    <row r="811" spans="1:6" x14ac:dyDescent="0.25">
      <c r="A811" s="3" t="str">
        <f t="shared" si="21"/>
        <v>q112_4_southamerica</v>
      </c>
      <c r="B811" s="3" t="str">
        <f t="shared" si="22"/>
        <v>_southamerica</v>
      </c>
      <c r="C811" s="3" t="s">
        <v>545</v>
      </c>
      <c r="D811" s="12" t="s">
        <v>62</v>
      </c>
      <c r="E811" s="3" t="s">
        <v>380</v>
      </c>
      <c r="F811" s="3" t="s">
        <v>2804</v>
      </c>
    </row>
    <row r="812" spans="1:6" x14ac:dyDescent="0.25">
      <c r="A812" s="3" t="str">
        <f t="shared" si="21"/>
        <v>q112_5_southamerica</v>
      </c>
      <c r="B812" s="3" t="str">
        <f t="shared" si="22"/>
        <v>_southamerica</v>
      </c>
      <c r="C812" s="3" t="s">
        <v>546</v>
      </c>
      <c r="D812" s="12" t="s">
        <v>62</v>
      </c>
      <c r="E812" s="3" t="s">
        <v>382</v>
      </c>
      <c r="F812" s="3" t="s">
        <v>2805</v>
      </c>
    </row>
    <row r="813" spans="1:6" x14ac:dyDescent="0.25">
      <c r="A813" s="3" t="str">
        <f t="shared" si="21"/>
        <v>q112_6_southamerica</v>
      </c>
      <c r="B813" s="3" t="str">
        <f t="shared" si="22"/>
        <v>_southamerica</v>
      </c>
      <c r="C813" s="3" t="s">
        <v>547</v>
      </c>
      <c r="D813" s="12" t="s">
        <v>62</v>
      </c>
      <c r="E813" s="3" t="s">
        <v>384</v>
      </c>
      <c r="F813" s="3" t="s">
        <v>2806</v>
      </c>
    </row>
    <row r="814" spans="1:6" x14ac:dyDescent="0.25">
      <c r="A814" s="3" t="str">
        <f t="shared" si="21"/>
        <v>q11ROW2_hidden_southamerica</v>
      </c>
      <c r="B814" s="3" t="str">
        <f t="shared" si="22"/>
        <v>_southamerica</v>
      </c>
      <c r="C814" s="3" t="s">
        <v>548</v>
      </c>
      <c r="D814" s="12" t="s">
        <v>62</v>
      </c>
      <c r="E814" s="8" t="s">
        <v>549</v>
      </c>
      <c r="F814" s="3" t="s">
        <v>2807</v>
      </c>
    </row>
    <row r="815" spans="1:6" x14ac:dyDescent="0.25">
      <c r="A815" s="3" t="str">
        <f t="shared" si="21"/>
        <v>q113_1_southamerica</v>
      </c>
      <c r="B815" s="3" t="str">
        <f t="shared" si="22"/>
        <v>_southamerica</v>
      </c>
      <c r="C815" s="3" t="s">
        <v>550</v>
      </c>
      <c r="D815" s="12" t="s">
        <v>62</v>
      </c>
      <c r="E815" s="3" t="s">
        <v>402</v>
      </c>
      <c r="F815" s="3" t="s">
        <v>2808</v>
      </c>
    </row>
    <row r="816" spans="1:6" x14ac:dyDescent="0.25">
      <c r="A816" s="3" t="str">
        <f t="shared" si="21"/>
        <v>q113_2_southamerica</v>
      </c>
      <c r="B816" s="3" t="str">
        <f t="shared" si="22"/>
        <v>_southamerica</v>
      </c>
      <c r="C816" s="3" t="s">
        <v>551</v>
      </c>
      <c r="D816" s="12" t="s">
        <v>62</v>
      </c>
      <c r="E816" s="3" t="s">
        <v>404</v>
      </c>
      <c r="F816" s="3" t="s">
        <v>2809</v>
      </c>
    </row>
    <row r="817" spans="1:6" x14ac:dyDescent="0.25">
      <c r="A817" s="3" t="str">
        <f t="shared" si="21"/>
        <v>q113_3_southamerica</v>
      </c>
      <c r="B817" s="3" t="str">
        <f t="shared" si="22"/>
        <v>_southamerica</v>
      </c>
      <c r="C817" s="3" t="s">
        <v>552</v>
      </c>
      <c r="D817" s="12" t="s">
        <v>62</v>
      </c>
      <c r="E817" s="3" t="s">
        <v>406</v>
      </c>
      <c r="F817" s="3" t="s">
        <v>2810</v>
      </c>
    </row>
    <row r="818" spans="1:6" x14ac:dyDescent="0.25">
      <c r="A818" s="3" t="str">
        <f t="shared" si="21"/>
        <v>q113_4_southamerica</v>
      </c>
      <c r="B818" s="3" t="str">
        <f t="shared" si="22"/>
        <v>_southamerica</v>
      </c>
      <c r="C818" s="3" t="s">
        <v>553</v>
      </c>
      <c r="D818" s="12" t="s">
        <v>62</v>
      </c>
      <c r="E818" s="3" t="s">
        <v>408</v>
      </c>
      <c r="F818" s="3" t="s">
        <v>2811</v>
      </c>
    </row>
    <row r="819" spans="1:6" x14ac:dyDescent="0.25">
      <c r="A819" s="3" t="str">
        <f t="shared" si="21"/>
        <v>q113_5_southamerica</v>
      </c>
      <c r="B819" s="3" t="str">
        <f t="shared" si="22"/>
        <v>_southamerica</v>
      </c>
      <c r="C819" s="3" t="s">
        <v>554</v>
      </c>
      <c r="D819" s="12" t="s">
        <v>62</v>
      </c>
      <c r="E819" s="3" t="s">
        <v>410</v>
      </c>
      <c r="F819" s="3" t="s">
        <v>2812</v>
      </c>
    </row>
    <row r="820" spans="1:6" x14ac:dyDescent="0.25">
      <c r="A820" s="3" t="str">
        <f t="shared" si="21"/>
        <v>q113_6_southamerica</v>
      </c>
      <c r="B820" s="3" t="str">
        <f t="shared" si="22"/>
        <v>_southamerica</v>
      </c>
      <c r="C820" s="3" t="s">
        <v>555</v>
      </c>
      <c r="D820" s="12" t="s">
        <v>62</v>
      </c>
      <c r="E820" s="3" t="s">
        <v>412</v>
      </c>
      <c r="F820" s="3" t="s">
        <v>2813</v>
      </c>
    </row>
    <row r="821" spans="1:6" x14ac:dyDescent="0.25">
      <c r="A821" s="3" t="str">
        <f t="shared" si="21"/>
        <v>q11ROW3_hidden_southamerica</v>
      </c>
      <c r="B821" s="3" t="str">
        <f t="shared" si="22"/>
        <v>_southamerica</v>
      </c>
      <c r="C821" s="3" t="s">
        <v>556</v>
      </c>
      <c r="D821" s="12" t="s">
        <v>62</v>
      </c>
      <c r="E821" s="8" t="s">
        <v>557</v>
      </c>
      <c r="F821" s="3" t="s">
        <v>2814</v>
      </c>
    </row>
    <row r="822" spans="1:6" x14ac:dyDescent="0.25">
      <c r="A822" s="3" t="str">
        <f t="shared" si="21"/>
        <v>q114_1_southamerica</v>
      </c>
      <c r="B822" s="3" t="str">
        <f t="shared" si="22"/>
        <v>_southamerica</v>
      </c>
      <c r="C822" s="3" t="s">
        <v>558</v>
      </c>
      <c r="D822" s="12" t="s">
        <v>62</v>
      </c>
      <c r="E822" s="3" t="s">
        <v>416</v>
      </c>
      <c r="F822" s="3" t="s">
        <v>2815</v>
      </c>
    </row>
    <row r="823" spans="1:6" x14ac:dyDescent="0.25">
      <c r="A823" s="3" t="str">
        <f t="shared" si="21"/>
        <v>q114_2_southamerica</v>
      </c>
      <c r="B823" s="3" t="str">
        <f t="shared" si="22"/>
        <v>_southamerica</v>
      </c>
      <c r="C823" s="3" t="s">
        <v>559</v>
      </c>
      <c r="D823" s="12" t="s">
        <v>62</v>
      </c>
      <c r="E823" s="3" t="s">
        <v>418</v>
      </c>
      <c r="F823" s="3" t="s">
        <v>2816</v>
      </c>
    </row>
    <row r="824" spans="1:6" x14ac:dyDescent="0.25">
      <c r="A824" s="3" t="str">
        <f t="shared" si="21"/>
        <v>q114_3_southamerica</v>
      </c>
      <c r="B824" s="3" t="str">
        <f t="shared" si="22"/>
        <v>_southamerica</v>
      </c>
      <c r="C824" s="3" t="s">
        <v>560</v>
      </c>
      <c r="D824" s="12" t="s">
        <v>62</v>
      </c>
      <c r="E824" s="3" t="s">
        <v>420</v>
      </c>
      <c r="F824" s="3" t="s">
        <v>2817</v>
      </c>
    </row>
    <row r="825" spans="1:6" x14ac:dyDescent="0.25">
      <c r="A825" s="3" t="str">
        <f t="shared" si="21"/>
        <v>q114_4_southamerica</v>
      </c>
      <c r="B825" s="3" t="str">
        <f t="shared" si="22"/>
        <v>_southamerica</v>
      </c>
      <c r="C825" s="3" t="s">
        <v>561</v>
      </c>
      <c r="D825" s="12" t="s">
        <v>62</v>
      </c>
      <c r="E825" s="3" t="s">
        <v>422</v>
      </c>
      <c r="F825" s="3" t="s">
        <v>2818</v>
      </c>
    </row>
    <row r="826" spans="1:6" x14ac:dyDescent="0.25">
      <c r="A826" s="3" t="str">
        <f t="shared" si="21"/>
        <v>q114_5_southamerica</v>
      </c>
      <c r="B826" s="3" t="str">
        <f t="shared" si="22"/>
        <v>_southamerica</v>
      </c>
      <c r="C826" s="3" t="s">
        <v>562</v>
      </c>
      <c r="D826" s="12" t="s">
        <v>62</v>
      </c>
      <c r="E826" s="3" t="s">
        <v>424</v>
      </c>
      <c r="F826" s="3" t="s">
        <v>2819</v>
      </c>
    </row>
    <row r="827" spans="1:6" x14ac:dyDescent="0.25">
      <c r="A827" s="3" t="str">
        <f t="shared" si="21"/>
        <v>q114_6_southamerica</v>
      </c>
      <c r="B827" s="3" t="str">
        <f t="shared" si="22"/>
        <v>_southamerica</v>
      </c>
      <c r="C827" s="3" t="s">
        <v>563</v>
      </c>
      <c r="D827" s="12" t="s">
        <v>62</v>
      </c>
      <c r="E827" s="3" t="s">
        <v>426</v>
      </c>
      <c r="F827" s="3" t="s">
        <v>2820</v>
      </c>
    </row>
    <row r="828" spans="1:6" x14ac:dyDescent="0.25">
      <c r="A828" s="3" t="str">
        <f t="shared" si="21"/>
        <v>q11ROW4_hidden_southamerica</v>
      </c>
      <c r="B828" s="3" t="str">
        <f t="shared" si="22"/>
        <v>_southamerica</v>
      </c>
      <c r="C828" s="3" t="s">
        <v>564</v>
      </c>
      <c r="D828" s="12" t="s">
        <v>62</v>
      </c>
      <c r="E828" s="8" t="s">
        <v>565</v>
      </c>
      <c r="F828" s="3" t="s">
        <v>2821</v>
      </c>
    </row>
    <row r="829" spans="1:6" x14ac:dyDescent="0.25">
      <c r="A829" s="3" t="str">
        <f t="shared" si="21"/>
        <v>q115_1_southamerica</v>
      </c>
      <c r="B829" s="3" t="str">
        <f t="shared" si="22"/>
        <v>_southamerica</v>
      </c>
      <c r="C829" s="3" t="s">
        <v>566</v>
      </c>
      <c r="D829" s="12" t="s">
        <v>62</v>
      </c>
      <c r="E829" s="3" t="s">
        <v>430</v>
      </c>
      <c r="F829" s="3" t="s">
        <v>2822</v>
      </c>
    </row>
    <row r="830" spans="1:6" x14ac:dyDescent="0.25">
      <c r="A830" s="3" t="str">
        <f>_xlfn.CONCAT(C830,B830)</f>
        <v>q115_2_southamerica</v>
      </c>
      <c r="B830" s="3" t="str">
        <f t="shared" si="22"/>
        <v>_southamerica</v>
      </c>
      <c r="C830" s="3" t="s">
        <v>567</v>
      </c>
      <c r="D830" s="12" t="s">
        <v>62</v>
      </c>
      <c r="E830" s="3" t="s">
        <v>432</v>
      </c>
      <c r="F830" s="3" t="s">
        <v>2823</v>
      </c>
    </row>
    <row r="831" spans="1:6" x14ac:dyDescent="0.25">
      <c r="A831" s="3" t="str">
        <f t="shared" si="21"/>
        <v>q115_3_southamerica</v>
      </c>
      <c r="B831" s="3" t="str">
        <f t="shared" si="22"/>
        <v>_southamerica</v>
      </c>
      <c r="C831" s="3" t="s">
        <v>568</v>
      </c>
      <c r="D831" s="12" t="s">
        <v>62</v>
      </c>
      <c r="E831" s="3" t="s">
        <v>434</v>
      </c>
      <c r="F831" s="3" t="s">
        <v>2824</v>
      </c>
    </row>
    <row r="832" spans="1:6" x14ac:dyDescent="0.25">
      <c r="A832" s="3" t="str">
        <f t="shared" si="21"/>
        <v>q115_4_southamerica</v>
      </c>
      <c r="B832" s="3" t="str">
        <f t="shared" si="22"/>
        <v>_southamerica</v>
      </c>
      <c r="C832" s="3" t="s">
        <v>569</v>
      </c>
      <c r="D832" s="12" t="s">
        <v>62</v>
      </c>
      <c r="E832" s="3" t="s">
        <v>436</v>
      </c>
      <c r="F832" s="3" t="s">
        <v>2825</v>
      </c>
    </row>
    <row r="833" spans="1:6" x14ac:dyDescent="0.25">
      <c r="A833" s="3" t="str">
        <f t="shared" si="21"/>
        <v>q115_5_southamerica</v>
      </c>
      <c r="B833" s="3" t="str">
        <f t="shared" si="22"/>
        <v>_southamerica</v>
      </c>
      <c r="C833" s="3" t="s">
        <v>570</v>
      </c>
      <c r="D833" s="12" t="s">
        <v>62</v>
      </c>
      <c r="E833" s="3" t="s">
        <v>438</v>
      </c>
      <c r="F833" s="3" t="s">
        <v>2826</v>
      </c>
    </row>
    <row r="834" spans="1:6" x14ac:dyDescent="0.25">
      <c r="A834" s="3" t="str">
        <f t="shared" si="21"/>
        <v>q115_6_southamerica</v>
      </c>
      <c r="B834" s="3" t="str">
        <f t="shared" si="22"/>
        <v>_southamerica</v>
      </c>
      <c r="C834" s="3" t="s">
        <v>571</v>
      </c>
      <c r="D834" s="12" t="s">
        <v>62</v>
      </c>
      <c r="E834" s="3" t="s">
        <v>440</v>
      </c>
      <c r="F834" s="3" t="s">
        <v>2827</v>
      </c>
    </row>
    <row r="835" spans="1:6" x14ac:dyDescent="0.25">
      <c r="A835" s="3" t="str">
        <f t="shared" ref="A835:A898" si="23">_xlfn.CONCAT(C835,B835)</f>
        <v>q11ROW5_hidden_southamerica</v>
      </c>
      <c r="B835" s="3" t="str">
        <f t="shared" si="22"/>
        <v>_southamerica</v>
      </c>
      <c r="C835" s="3" t="s">
        <v>572</v>
      </c>
      <c r="D835" s="12" t="s">
        <v>62</v>
      </c>
      <c r="E835" s="8" t="s">
        <v>442</v>
      </c>
      <c r="F835" s="3" t="s">
        <v>2828</v>
      </c>
    </row>
    <row r="836" spans="1:6" x14ac:dyDescent="0.25">
      <c r="A836" s="3" t="str">
        <f t="shared" si="23"/>
        <v>q11COL1_hidden_southamerica</v>
      </c>
      <c r="B836" s="3" t="str">
        <f t="shared" si="22"/>
        <v>_southamerica</v>
      </c>
      <c r="C836" s="3" t="s">
        <v>573</v>
      </c>
      <c r="D836" s="12" t="s">
        <v>62</v>
      </c>
      <c r="E836" s="8" t="s">
        <v>154</v>
      </c>
      <c r="F836" s="3" t="s">
        <v>2829</v>
      </c>
    </row>
    <row r="837" spans="1:6" x14ac:dyDescent="0.25">
      <c r="A837" s="3" t="str">
        <f t="shared" si="23"/>
        <v>q11COL2_hidden_southamerica</v>
      </c>
      <c r="B837" s="3" t="str">
        <f t="shared" si="22"/>
        <v>_southamerica</v>
      </c>
      <c r="C837" s="3" t="s">
        <v>574</v>
      </c>
      <c r="D837" s="12" t="s">
        <v>62</v>
      </c>
      <c r="E837" s="8" t="s">
        <v>156</v>
      </c>
      <c r="F837" s="3" t="s">
        <v>2830</v>
      </c>
    </row>
    <row r="838" spans="1:6" x14ac:dyDescent="0.25">
      <c r="A838" s="3" t="str">
        <f t="shared" si="23"/>
        <v>q11COL3_hidden_southamerica</v>
      </c>
      <c r="B838" s="3" t="str">
        <f t="shared" si="22"/>
        <v>_southamerica</v>
      </c>
      <c r="C838" s="3" t="s">
        <v>575</v>
      </c>
      <c r="D838" s="12" t="s">
        <v>62</v>
      </c>
      <c r="E838" s="8" t="s">
        <v>158</v>
      </c>
      <c r="F838" s="3" t="s">
        <v>2831</v>
      </c>
    </row>
    <row r="839" spans="1:6" x14ac:dyDescent="0.25">
      <c r="A839" s="3" t="str">
        <f t="shared" si="23"/>
        <v>q11COL4_hidden_southamerica</v>
      </c>
      <c r="B839" s="3" t="str">
        <f t="shared" si="22"/>
        <v>_southamerica</v>
      </c>
      <c r="C839" s="3" t="s">
        <v>576</v>
      </c>
      <c r="D839" s="12" t="s">
        <v>62</v>
      </c>
      <c r="E839" s="8" t="s">
        <v>160</v>
      </c>
      <c r="F839" s="3" t="s">
        <v>2832</v>
      </c>
    </row>
    <row r="840" spans="1:6" x14ac:dyDescent="0.25">
      <c r="A840" s="3" t="str">
        <f t="shared" si="23"/>
        <v>q11COL5_hidden_southamerica</v>
      </c>
      <c r="B840" s="3" t="str">
        <f t="shared" si="22"/>
        <v>_southamerica</v>
      </c>
      <c r="C840" s="3" t="s">
        <v>577</v>
      </c>
      <c r="D840" s="12" t="s">
        <v>62</v>
      </c>
      <c r="E840" s="8" t="s">
        <v>162</v>
      </c>
      <c r="F840" s="3" t="s">
        <v>2833</v>
      </c>
    </row>
    <row r="841" spans="1:6" x14ac:dyDescent="0.25">
      <c r="A841" s="3" t="str">
        <f t="shared" si="23"/>
        <v>q11COL6_hidden_southamerica</v>
      </c>
      <c r="B841" s="3" t="str">
        <f t="shared" si="22"/>
        <v>_southamerica</v>
      </c>
      <c r="C841" s="3" t="s">
        <v>578</v>
      </c>
      <c r="D841" s="12" t="s">
        <v>62</v>
      </c>
      <c r="E841" s="8" t="s">
        <v>164</v>
      </c>
      <c r="F841" s="3" t="s">
        <v>2834</v>
      </c>
    </row>
    <row r="842" spans="1:6" x14ac:dyDescent="0.25">
      <c r="A842" s="3" t="str">
        <f t="shared" si="23"/>
        <v>q11GRANDTotal_hidden_southamerica</v>
      </c>
      <c r="B842" s="3" t="str">
        <f t="shared" si="22"/>
        <v>_southamerica</v>
      </c>
      <c r="C842" s="3" t="s">
        <v>579</v>
      </c>
      <c r="D842" s="12" t="s">
        <v>62</v>
      </c>
      <c r="E842" s="8" t="s">
        <v>580</v>
      </c>
      <c r="F842" s="3" t="s">
        <v>2835</v>
      </c>
    </row>
    <row r="843" spans="1:6" x14ac:dyDescent="0.25">
      <c r="A843" s="3" t="str">
        <f t="shared" si="23"/>
        <v>AFRICA_africa</v>
      </c>
      <c r="B843" s="3" t="s">
        <v>588</v>
      </c>
      <c r="C843" s="10" t="s">
        <v>589</v>
      </c>
      <c r="D843" s="11"/>
      <c r="E843" s="9" t="s">
        <v>2960</v>
      </c>
      <c r="F843" s="3">
        <v>24</v>
      </c>
    </row>
    <row r="844" spans="1:6" x14ac:dyDescent="0.25">
      <c r="A844" s="3" t="str">
        <f t="shared" si="23"/>
        <v>q101_1_africa</v>
      </c>
      <c r="B844" s="3" t="str">
        <f t="shared" ref="B844:B907" si="24">B843</f>
        <v>_africa</v>
      </c>
      <c r="C844" s="3" t="s">
        <v>469</v>
      </c>
      <c r="D844" s="12" t="s">
        <v>62</v>
      </c>
      <c r="E844" s="3" t="s">
        <v>254</v>
      </c>
      <c r="F844" s="3" t="s">
        <v>2836</v>
      </c>
    </row>
    <row r="845" spans="1:6" x14ac:dyDescent="0.25">
      <c r="A845" s="3" t="str">
        <f t="shared" si="23"/>
        <v>q101_2_africa</v>
      </c>
      <c r="B845" s="3" t="str">
        <f t="shared" si="24"/>
        <v>_africa</v>
      </c>
      <c r="C845" s="3" t="s">
        <v>470</v>
      </c>
      <c r="D845" s="12" t="s">
        <v>62</v>
      </c>
      <c r="E845" s="3" t="s">
        <v>256</v>
      </c>
      <c r="F845" s="3" t="s">
        <v>2837</v>
      </c>
    </row>
    <row r="846" spans="1:6" x14ac:dyDescent="0.25">
      <c r="A846" s="3" t="str">
        <f t="shared" si="23"/>
        <v>q101_3_africa</v>
      </c>
      <c r="B846" s="3" t="str">
        <f t="shared" si="24"/>
        <v>_africa</v>
      </c>
      <c r="C846" s="3" t="s">
        <v>471</v>
      </c>
      <c r="D846" s="12" t="s">
        <v>62</v>
      </c>
      <c r="E846" s="3" t="s">
        <v>258</v>
      </c>
      <c r="F846" s="3" t="s">
        <v>2838</v>
      </c>
    </row>
    <row r="847" spans="1:6" x14ac:dyDescent="0.25">
      <c r="A847" s="3" t="str">
        <f t="shared" si="23"/>
        <v>q101_4_africa</v>
      </c>
      <c r="B847" s="3" t="str">
        <f t="shared" si="24"/>
        <v>_africa</v>
      </c>
      <c r="C847" s="3" t="s">
        <v>472</v>
      </c>
      <c r="D847" s="12" t="s">
        <v>62</v>
      </c>
      <c r="E847" s="3" t="s">
        <v>260</v>
      </c>
      <c r="F847" s="3" t="s">
        <v>2839</v>
      </c>
    </row>
    <row r="848" spans="1:6" x14ac:dyDescent="0.25">
      <c r="A848" s="3" t="str">
        <f t="shared" si="23"/>
        <v>q101_5_africa</v>
      </c>
      <c r="B848" s="3" t="str">
        <f t="shared" si="24"/>
        <v>_africa</v>
      </c>
      <c r="C848" s="3" t="s">
        <v>473</v>
      </c>
      <c r="D848" s="12" t="s">
        <v>62</v>
      </c>
      <c r="E848" s="3" t="s">
        <v>262</v>
      </c>
      <c r="F848" s="3" t="s">
        <v>2840</v>
      </c>
    </row>
    <row r="849" spans="1:6" x14ac:dyDescent="0.25">
      <c r="A849" s="3" t="str">
        <f t="shared" si="23"/>
        <v>q101_6_africa</v>
      </c>
      <c r="B849" s="3" t="str">
        <f t="shared" si="24"/>
        <v>_africa</v>
      </c>
      <c r="C849" s="3" t="s">
        <v>474</v>
      </c>
      <c r="D849" s="12" t="s">
        <v>62</v>
      </c>
      <c r="E849" s="3" t="s">
        <v>264</v>
      </c>
      <c r="F849" s="3" t="s">
        <v>2841</v>
      </c>
    </row>
    <row r="850" spans="1:6" x14ac:dyDescent="0.25">
      <c r="A850" s="3" t="str">
        <f t="shared" si="23"/>
        <v>q10ROW1_hidden_africa</v>
      </c>
      <c r="B850" s="3" t="str">
        <f t="shared" si="24"/>
        <v>_africa</v>
      </c>
      <c r="C850" s="3" t="s">
        <v>475</v>
      </c>
      <c r="D850" s="12" t="s">
        <v>62</v>
      </c>
      <c r="E850" s="8" t="s">
        <v>266</v>
      </c>
      <c r="F850" s="3" t="s">
        <v>2842</v>
      </c>
    </row>
    <row r="851" spans="1:6" x14ac:dyDescent="0.25">
      <c r="A851" s="3" t="str">
        <f t="shared" si="23"/>
        <v>q102_1_africa</v>
      </c>
      <c r="B851" s="3" t="str">
        <f t="shared" si="24"/>
        <v>_africa</v>
      </c>
      <c r="C851" s="3" t="s">
        <v>476</v>
      </c>
      <c r="D851" s="12" t="s">
        <v>62</v>
      </c>
      <c r="E851" s="3" t="s">
        <v>268</v>
      </c>
      <c r="F851" s="3" t="s">
        <v>2843</v>
      </c>
    </row>
    <row r="852" spans="1:6" x14ac:dyDescent="0.25">
      <c r="A852" s="3" t="str">
        <f t="shared" si="23"/>
        <v>q102_2_africa</v>
      </c>
      <c r="B852" s="3" t="str">
        <f t="shared" si="24"/>
        <v>_africa</v>
      </c>
      <c r="C852" s="3" t="s">
        <v>477</v>
      </c>
      <c r="D852" s="12" t="s">
        <v>62</v>
      </c>
      <c r="E852" s="3" t="s">
        <v>270</v>
      </c>
      <c r="F852" s="3" t="s">
        <v>2844</v>
      </c>
    </row>
    <row r="853" spans="1:6" x14ac:dyDescent="0.25">
      <c r="A853" s="3" t="str">
        <f t="shared" si="23"/>
        <v>q102_3_africa</v>
      </c>
      <c r="B853" s="3" t="str">
        <f t="shared" si="24"/>
        <v>_africa</v>
      </c>
      <c r="C853" s="3" t="s">
        <v>478</v>
      </c>
      <c r="D853" s="12" t="s">
        <v>62</v>
      </c>
      <c r="E853" s="3" t="s">
        <v>272</v>
      </c>
      <c r="F853" s="3" t="s">
        <v>2845</v>
      </c>
    </row>
    <row r="854" spans="1:6" x14ac:dyDescent="0.25">
      <c r="A854" s="3" t="str">
        <f t="shared" si="23"/>
        <v>q102_4_africa</v>
      </c>
      <c r="B854" s="3" t="str">
        <f t="shared" si="24"/>
        <v>_africa</v>
      </c>
      <c r="C854" s="3" t="s">
        <v>479</v>
      </c>
      <c r="D854" s="12" t="s">
        <v>62</v>
      </c>
      <c r="E854" s="3" t="s">
        <v>274</v>
      </c>
      <c r="F854" s="3" t="s">
        <v>2846</v>
      </c>
    </row>
    <row r="855" spans="1:6" x14ac:dyDescent="0.25">
      <c r="A855" s="3" t="str">
        <f t="shared" si="23"/>
        <v>q102_5_africa</v>
      </c>
      <c r="B855" s="3" t="str">
        <f t="shared" si="24"/>
        <v>_africa</v>
      </c>
      <c r="C855" s="3" t="s">
        <v>480</v>
      </c>
      <c r="D855" s="12" t="s">
        <v>62</v>
      </c>
      <c r="E855" s="3" t="s">
        <v>276</v>
      </c>
      <c r="F855" s="3" t="s">
        <v>2847</v>
      </c>
    </row>
    <row r="856" spans="1:6" x14ac:dyDescent="0.25">
      <c r="A856" s="3" t="str">
        <f t="shared" si="23"/>
        <v>q102_6_africa</v>
      </c>
      <c r="B856" s="3" t="str">
        <f t="shared" si="24"/>
        <v>_africa</v>
      </c>
      <c r="C856" s="3" t="s">
        <v>481</v>
      </c>
      <c r="D856" s="12" t="s">
        <v>62</v>
      </c>
      <c r="E856" s="3" t="s">
        <v>278</v>
      </c>
      <c r="F856" s="3" t="s">
        <v>2848</v>
      </c>
    </row>
    <row r="857" spans="1:6" x14ac:dyDescent="0.25">
      <c r="A857" s="3" t="str">
        <f t="shared" si="23"/>
        <v>q10ROW2_hidden_africa</v>
      </c>
      <c r="B857" s="3" t="str">
        <f t="shared" si="24"/>
        <v>_africa</v>
      </c>
      <c r="C857" s="3" t="s">
        <v>482</v>
      </c>
      <c r="D857" s="12" t="s">
        <v>62</v>
      </c>
      <c r="E857" s="8" t="s">
        <v>280</v>
      </c>
      <c r="F857" s="3" t="s">
        <v>2849</v>
      </c>
    </row>
    <row r="858" spans="1:6" x14ac:dyDescent="0.25">
      <c r="A858" s="3" t="str">
        <f t="shared" si="23"/>
        <v>q103_1_africa</v>
      </c>
      <c r="B858" s="3" t="str">
        <f t="shared" si="24"/>
        <v>_africa</v>
      </c>
      <c r="C858" s="3" t="s">
        <v>483</v>
      </c>
      <c r="D858" s="12" t="s">
        <v>62</v>
      </c>
      <c r="E858" s="3" t="s">
        <v>282</v>
      </c>
      <c r="F858" s="3" t="s">
        <v>2850</v>
      </c>
    </row>
    <row r="859" spans="1:6" x14ac:dyDescent="0.25">
      <c r="A859" s="3" t="str">
        <f t="shared" si="23"/>
        <v>q103_2_africa</v>
      </c>
      <c r="B859" s="3" t="str">
        <f t="shared" si="24"/>
        <v>_africa</v>
      </c>
      <c r="C859" s="3" t="s">
        <v>484</v>
      </c>
      <c r="D859" s="12" t="s">
        <v>62</v>
      </c>
      <c r="E859" s="3" t="s">
        <v>284</v>
      </c>
      <c r="F859" s="3" t="s">
        <v>2851</v>
      </c>
    </row>
    <row r="860" spans="1:6" x14ac:dyDescent="0.25">
      <c r="A860" s="3" t="str">
        <f t="shared" si="23"/>
        <v>q103_3_africa</v>
      </c>
      <c r="B860" s="3" t="str">
        <f t="shared" si="24"/>
        <v>_africa</v>
      </c>
      <c r="C860" s="3" t="s">
        <v>485</v>
      </c>
      <c r="D860" s="12" t="s">
        <v>62</v>
      </c>
      <c r="E860" s="3" t="s">
        <v>286</v>
      </c>
      <c r="F860" s="3" t="s">
        <v>2852</v>
      </c>
    </row>
    <row r="861" spans="1:6" x14ac:dyDescent="0.25">
      <c r="A861" s="3" t="str">
        <f t="shared" si="23"/>
        <v>q103_4_africa</v>
      </c>
      <c r="B861" s="3" t="str">
        <f t="shared" si="24"/>
        <v>_africa</v>
      </c>
      <c r="C861" s="3" t="s">
        <v>486</v>
      </c>
      <c r="D861" s="12" t="s">
        <v>62</v>
      </c>
      <c r="E861" s="3" t="s">
        <v>288</v>
      </c>
      <c r="F861" s="3" t="s">
        <v>2853</v>
      </c>
    </row>
    <row r="862" spans="1:6" x14ac:dyDescent="0.25">
      <c r="A862" s="3" t="str">
        <f t="shared" si="23"/>
        <v>q103_5_africa</v>
      </c>
      <c r="B862" s="3" t="str">
        <f t="shared" si="24"/>
        <v>_africa</v>
      </c>
      <c r="C862" s="3" t="s">
        <v>487</v>
      </c>
      <c r="D862" s="12" t="s">
        <v>62</v>
      </c>
      <c r="E862" s="3" t="s">
        <v>290</v>
      </c>
      <c r="F862" s="3" t="s">
        <v>2854</v>
      </c>
    </row>
    <row r="863" spans="1:6" x14ac:dyDescent="0.25">
      <c r="A863" s="3" t="str">
        <f t="shared" si="23"/>
        <v>q103_6_africa</v>
      </c>
      <c r="B863" s="3" t="str">
        <f t="shared" si="24"/>
        <v>_africa</v>
      </c>
      <c r="C863" s="3" t="s">
        <v>488</v>
      </c>
      <c r="D863" s="12" t="s">
        <v>62</v>
      </c>
      <c r="E863" s="3" t="s">
        <v>292</v>
      </c>
      <c r="F863" s="3" t="s">
        <v>2855</v>
      </c>
    </row>
    <row r="864" spans="1:6" x14ac:dyDescent="0.25">
      <c r="A864" s="3" t="str">
        <f t="shared" si="23"/>
        <v>q10ROW3_hidden_africa</v>
      </c>
      <c r="B864" s="3" t="str">
        <f t="shared" si="24"/>
        <v>_africa</v>
      </c>
      <c r="C864" s="3" t="s">
        <v>489</v>
      </c>
      <c r="D864" s="12" t="s">
        <v>62</v>
      </c>
      <c r="E864" s="8" t="s">
        <v>294</v>
      </c>
      <c r="F864" s="3" t="s">
        <v>2856</v>
      </c>
    </row>
    <row r="865" spans="1:6" x14ac:dyDescent="0.25">
      <c r="A865" s="3" t="str">
        <f t="shared" si="23"/>
        <v>q104_1_africa</v>
      </c>
      <c r="B865" s="3" t="str">
        <f t="shared" si="24"/>
        <v>_africa</v>
      </c>
      <c r="C865" s="3" t="s">
        <v>490</v>
      </c>
      <c r="D865" s="12" t="s">
        <v>62</v>
      </c>
      <c r="E865" s="3" t="s">
        <v>296</v>
      </c>
      <c r="F865" s="3" t="s">
        <v>2857</v>
      </c>
    </row>
    <row r="866" spans="1:6" x14ac:dyDescent="0.25">
      <c r="A866" s="3" t="str">
        <f t="shared" si="23"/>
        <v>q104_2_africa</v>
      </c>
      <c r="B866" s="3" t="str">
        <f t="shared" si="24"/>
        <v>_africa</v>
      </c>
      <c r="C866" s="3" t="s">
        <v>491</v>
      </c>
      <c r="D866" s="12" t="s">
        <v>62</v>
      </c>
      <c r="E866" s="3" t="s">
        <v>298</v>
      </c>
      <c r="F866" s="3" t="s">
        <v>2858</v>
      </c>
    </row>
    <row r="867" spans="1:6" x14ac:dyDescent="0.25">
      <c r="A867" s="3" t="str">
        <f t="shared" si="23"/>
        <v>q104_3_africa</v>
      </c>
      <c r="B867" s="3" t="str">
        <f t="shared" si="24"/>
        <v>_africa</v>
      </c>
      <c r="C867" s="3" t="s">
        <v>492</v>
      </c>
      <c r="D867" s="12" t="s">
        <v>62</v>
      </c>
      <c r="E867" s="3" t="s">
        <v>300</v>
      </c>
      <c r="F867" s="3" t="s">
        <v>2859</v>
      </c>
    </row>
    <row r="868" spans="1:6" x14ac:dyDescent="0.25">
      <c r="A868" s="3" t="str">
        <f t="shared" si="23"/>
        <v>q104_4_africa</v>
      </c>
      <c r="B868" s="3" t="str">
        <f t="shared" si="24"/>
        <v>_africa</v>
      </c>
      <c r="C868" s="3" t="s">
        <v>493</v>
      </c>
      <c r="D868" s="12" t="s">
        <v>62</v>
      </c>
      <c r="E868" s="3" t="s">
        <v>302</v>
      </c>
      <c r="F868" s="3" t="s">
        <v>2860</v>
      </c>
    </row>
    <row r="869" spans="1:6" x14ac:dyDescent="0.25">
      <c r="A869" s="3" t="str">
        <f t="shared" si="23"/>
        <v>q104_5_africa</v>
      </c>
      <c r="B869" s="3" t="str">
        <f t="shared" si="24"/>
        <v>_africa</v>
      </c>
      <c r="C869" s="3" t="s">
        <v>494</v>
      </c>
      <c r="D869" s="12" t="s">
        <v>62</v>
      </c>
      <c r="E869" s="3" t="s">
        <v>304</v>
      </c>
      <c r="F869" s="3" t="s">
        <v>2861</v>
      </c>
    </row>
    <row r="870" spans="1:6" x14ac:dyDescent="0.25">
      <c r="A870" s="3" t="str">
        <f t="shared" si="23"/>
        <v>q104_6_africa</v>
      </c>
      <c r="B870" s="3" t="str">
        <f t="shared" si="24"/>
        <v>_africa</v>
      </c>
      <c r="C870" s="3" t="s">
        <v>495</v>
      </c>
      <c r="D870" s="12" t="s">
        <v>62</v>
      </c>
      <c r="E870" s="3" t="s">
        <v>306</v>
      </c>
      <c r="F870" s="3" t="s">
        <v>2862</v>
      </c>
    </row>
    <row r="871" spans="1:6" x14ac:dyDescent="0.25">
      <c r="A871" s="3" t="str">
        <f t="shared" si="23"/>
        <v>q10ROW4_hidden_africa</v>
      </c>
      <c r="B871" s="3" t="str">
        <f t="shared" si="24"/>
        <v>_africa</v>
      </c>
      <c r="C871" s="3" t="s">
        <v>496</v>
      </c>
      <c r="D871" s="12" t="s">
        <v>62</v>
      </c>
      <c r="E871" s="8" t="s">
        <v>308</v>
      </c>
      <c r="F871" s="3" t="s">
        <v>2863</v>
      </c>
    </row>
    <row r="872" spans="1:6" x14ac:dyDescent="0.25">
      <c r="A872" s="3" t="str">
        <f t="shared" si="23"/>
        <v>q105_1_africa</v>
      </c>
      <c r="B872" s="3" t="str">
        <f t="shared" si="24"/>
        <v>_africa</v>
      </c>
      <c r="C872" s="3" t="s">
        <v>497</v>
      </c>
      <c r="D872" s="12" t="s">
        <v>62</v>
      </c>
      <c r="E872" s="3" t="s">
        <v>310</v>
      </c>
      <c r="F872" s="3" t="s">
        <v>2864</v>
      </c>
    </row>
    <row r="873" spans="1:6" x14ac:dyDescent="0.25">
      <c r="A873" s="3" t="str">
        <f t="shared" si="23"/>
        <v>q105_2_africa</v>
      </c>
      <c r="B873" s="3" t="str">
        <f t="shared" si="24"/>
        <v>_africa</v>
      </c>
      <c r="C873" s="3" t="s">
        <v>498</v>
      </c>
      <c r="D873" s="12" t="s">
        <v>62</v>
      </c>
      <c r="E873" s="3" t="s">
        <v>312</v>
      </c>
      <c r="F873" s="3" t="s">
        <v>2865</v>
      </c>
    </row>
    <row r="874" spans="1:6" x14ac:dyDescent="0.25">
      <c r="A874" s="3" t="str">
        <f t="shared" si="23"/>
        <v>q105_3_africa</v>
      </c>
      <c r="B874" s="3" t="str">
        <f t="shared" si="24"/>
        <v>_africa</v>
      </c>
      <c r="C874" s="3" t="s">
        <v>499</v>
      </c>
      <c r="D874" s="12" t="s">
        <v>62</v>
      </c>
      <c r="E874" s="3" t="s">
        <v>314</v>
      </c>
      <c r="F874" s="3" t="s">
        <v>2866</v>
      </c>
    </row>
    <row r="875" spans="1:6" x14ac:dyDescent="0.25">
      <c r="A875" s="3" t="str">
        <f t="shared" si="23"/>
        <v>q105_4_africa</v>
      </c>
      <c r="B875" s="3" t="str">
        <f t="shared" si="24"/>
        <v>_africa</v>
      </c>
      <c r="C875" s="3" t="s">
        <v>500</v>
      </c>
      <c r="D875" s="12" t="s">
        <v>62</v>
      </c>
      <c r="E875" s="3" t="s">
        <v>316</v>
      </c>
      <c r="F875" s="3" t="s">
        <v>2867</v>
      </c>
    </row>
    <row r="876" spans="1:6" x14ac:dyDescent="0.25">
      <c r="A876" s="3" t="str">
        <f t="shared" si="23"/>
        <v>q105_5_africa</v>
      </c>
      <c r="B876" s="3" t="str">
        <f t="shared" si="24"/>
        <v>_africa</v>
      </c>
      <c r="C876" s="3" t="s">
        <v>501</v>
      </c>
      <c r="D876" s="12" t="s">
        <v>62</v>
      </c>
      <c r="E876" s="3" t="s">
        <v>318</v>
      </c>
      <c r="F876" s="3" t="s">
        <v>2868</v>
      </c>
    </row>
    <row r="877" spans="1:6" x14ac:dyDescent="0.25">
      <c r="A877" s="3" t="str">
        <f t="shared" si="23"/>
        <v>q105_6_africa</v>
      </c>
      <c r="B877" s="3" t="str">
        <f t="shared" si="24"/>
        <v>_africa</v>
      </c>
      <c r="C877" s="3" t="s">
        <v>502</v>
      </c>
      <c r="D877" s="12" t="s">
        <v>62</v>
      </c>
      <c r="E877" s="3" t="s">
        <v>320</v>
      </c>
      <c r="F877" s="3" t="s">
        <v>2869</v>
      </c>
    </row>
    <row r="878" spans="1:6" x14ac:dyDescent="0.25">
      <c r="A878" s="3" t="str">
        <f t="shared" si="23"/>
        <v>q10ROW5_hidden_africa</v>
      </c>
      <c r="B878" s="3" t="str">
        <f t="shared" si="24"/>
        <v>_africa</v>
      </c>
      <c r="C878" s="3" t="s">
        <v>503</v>
      </c>
      <c r="D878" s="12" t="s">
        <v>62</v>
      </c>
      <c r="E878" s="8" t="s">
        <v>322</v>
      </c>
      <c r="F878" s="3" t="s">
        <v>2870</v>
      </c>
    </row>
    <row r="879" spans="1:6" x14ac:dyDescent="0.25">
      <c r="A879" s="3" t="str">
        <f t="shared" si="23"/>
        <v>q106_1_africa</v>
      </c>
      <c r="B879" s="3" t="str">
        <f t="shared" si="24"/>
        <v>_africa</v>
      </c>
      <c r="C879" s="3" t="s">
        <v>504</v>
      </c>
      <c r="D879" s="12" t="s">
        <v>62</v>
      </c>
      <c r="E879" s="3" t="s">
        <v>324</v>
      </c>
      <c r="F879" s="3" t="s">
        <v>2871</v>
      </c>
    </row>
    <row r="880" spans="1:6" x14ac:dyDescent="0.25">
      <c r="A880" s="3" t="str">
        <f t="shared" si="23"/>
        <v>q106_2_africa</v>
      </c>
      <c r="B880" s="3" t="str">
        <f t="shared" si="24"/>
        <v>_africa</v>
      </c>
      <c r="C880" s="3" t="s">
        <v>505</v>
      </c>
      <c r="D880" s="12" t="s">
        <v>62</v>
      </c>
      <c r="E880" s="3" t="s">
        <v>326</v>
      </c>
      <c r="F880" s="3" t="s">
        <v>2872</v>
      </c>
    </row>
    <row r="881" spans="1:6" x14ac:dyDescent="0.25">
      <c r="A881" s="3" t="str">
        <f t="shared" si="23"/>
        <v>q106_3_africa</v>
      </c>
      <c r="B881" s="3" t="str">
        <f t="shared" si="24"/>
        <v>_africa</v>
      </c>
      <c r="C881" s="3" t="s">
        <v>506</v>
      </c>
      <c r="D881" s="12" t="s">
        <v>62</v>
      </c>
      <c r="E881" s="3" t="s">
        <v>328</v>
      </c>
      <c r="F881" s="3" t="s">
        <v>2873</v>
      </c>
    </row>
    <row r="882" spans="1:6" x14ac:dyDescent="0.25">
      <c r="A882" s="3" t="str">
        <f t="shared" si="23"/>
        <v>q106_4_africa</v>
      </c>
      <c r="B882" s="3" t="str">
        <f t="shared" si="24"/>
        <v>_africa</v>
      </c>
      <c r="C882" s="3" t="s">
        <v>507</v>
      </c>
      <c r="D882" s="12" t="s">
        <v>62</v>
      </c>
      <c r="E882" s="3" t="s">
        <v>330</v>
      </c>
      <c r="F882" s="3" t="s">
        <v>2874</v>
      </c>
    </row>
    <row r="883" spans="1:6" x14ac:dyDescent="0.25">
      <c r="A883" s="3" t="str">
        <f t="shared" si="23"/>
        <v>q106_5_africa</v>
      </c>
      <c r="B883" s="3" t="str">
        <f t="shared" si="24"/>
        <v>_africa</v>
      </c>
      <c r="C883" s="3" t="s">
        <v>508</v>
      </c>
      <c r="D883" s="12" t="s">
        <v>62</v>
      </c>
      <c r="E883" s="3" t="s">
        <v>332</v>
      </c>
      <c r="F883" s="3" t="s">
        <v>2875</v>
      </c>
    </row>
    <row r="884" spans="1:6" x14ac:dyDescent="0.25">
      <c r="A884" s="3" t="str">
        <f t="shared" si="23"/>
        <v>q106_6_africa</v>
      </c>
      <c r="B884" s="3" t="str">
        <f t="shared" si="24"/>
        <v>_africa</v>
      </c>
      <c r="C884" s="3" t="s">
        <v>509</v>
      </c>
      <c r="D884" s="12" t="s">
        <v>62</v>
      </c>
      <c r="E884" s="3" t="s">
        <v>334</v>
      </c>
      <c r="F884" s="3" t="s">
        <v>2876</v>
      </c>
    </row>
    <row r="885" spans="1:6" x14ac:dyDescent="0.25">
      <c r="A885" s="3" t="str">
        <f t="shared" si="23"/>
        <v>q10ROW6_hidden_africa</v>
      </c>
      <c r="B885" s="3" t="str">
        <f t="shared" si="24"/>
        <v>_africa</v>
      </c>
      <c r="C885" s="3" t="s">
        <v>510</v>
      </c>
      <c r="D885" s="12" t="s">
        <v>62</v>
      </c>
      <c r="E885" s="8" t="s">
        <v>162</v>
      </c>
      <c r="F885" s="3" t="s">
        <v>2877</v>
      </c>
    </row>
    <row r="886" spans="1:6" x14ac:dyDescent="0.25">
      <c r="A886" s="3" t="str">
        <f t="shared" si="23"/>
        <v>q107_1_africa</v>
      </c>
      <c r="B886" s="3" t="str">
        <f t="shared" si="24"/>
        <v>_africa</v>
      </c>
      <c r="C886" s="3" t="s">
        <v>511</v>
      </c>
      <c r="D886" s="12" t="s">
        <v>62</v>
      </c>
      <c r="E886" s="3" t="s">
        <v>337</v>
      </c>
      <c r="F886" s="3" t="s">
        <v>2878</v>
      </c>
    </row>
    <row r="887" spans="1:6" x14ac:dyDescent="0.25">
      <c r="A887" s="3" t="str">
        <f t="shared" si="23"/>
        <v>q107_2_africa</v>
      </c>
      <c r="B887" s="3" t="str">
        <f t="shared" si="24"/>
        <v>_africa</v>
      </c>
      <c r="C887" s="3" t="s">
        <v>512</v>
      </c>
      <c r="D887" s="12" t="s">
        <v>62</v>
      </c>
      <c r="E887" s="3" t="s">
        <v>339</v>
      </c>
      <c r="F887" s="3" t="s">
        <v>2879</v>
      </c>
    </row>
    <row r="888" spans="1:6" x14ac:dyDescent="0.25">
      <c r="A888" s="3" t="str">
        <f t="shared" si="23"/>
        <v>q107_3_africa</v>
      </c>
      <c r="B888" s="3" t="str">
        <f t="shared" si="24"/>
        <v>_africa</v>
      </c>
      <c r="C888" s="3" t="s">
        <v>513</v>
      </c>
      <c r="D888" s="12" t="s">
        <v>62</v>
      </c>
      <c r="E888" s="3" t="s">
        <v>341</v>
      </c>
      <c r="F888" s="3" t="s">
        <v>2880</v>
      </c>
    </row>
    <row r="889" spans="1:6" x14ac:dyDescent="0.25">
      <c r="A889" s="3" t="str">
        <f t="shared" si="23"/>
        <v>q107_4_africa</v>
      </c>
      <c r="B889" s="3" t="str">
        <f t="shared" si="24"/>
        <v>_africa</v>
      </c>
      <c r="C889" s="3" t="s">
        <v>514</v>
      </c>
      <c r="D889" s="12" t="s">
        <v>62</v>
      </c>
      <c r="E889" s="3" t="s">
        <v>343</v>
      </c>
      <c r="F889" s="3" t="s">
        <v>2881</v>
      </c>
    </row>
    <row r="890" spans="1:6" x14ac:dyDescent="0.25">
      <c r="A890" s="3" t="str">
        <f t="shared" si="23"/>
        <v>q107_5_africa</v>
      </c>
      <c r="B890" s="3" t="str">
        <f t="shared" si="24"/>
        <v>_africa</v>
      </c>
      <c r="C890" s="3" t="s">
        <v>515</v>
      </c>
      <c r="D890" s="12" t="s">
        <v>62</v>
      </c>
      <c r="E890" s="3" t="s">
        <v>345</v>
      </c>
      <c r="F890" s="3" t="s">
        <v>2882</v>
      </c>
    </row>
    <row r="891" spans="1:6" x14ac:dyDescent="0.25">
      <c r="A891" s="3" t="str">
        <f t="shared" si="23"/>
        <v>q107_6_africa</v>
      </c>
      <c r="B891" s="3" t="str">
        <f t="shared" si="24"/>
        <v>_africa</v>
      </c>
      <c r="C891" s="3" t="s">
        <v>516</v>
      </c>
      <c r="D891" s="12" t="s">
        <v>62</v>
      </c>
      <c r="E891" s="3" t="s">
        <v>347</v>
      </c>
      <c r="F891" s="3" t="s">
        <v>2883</v>
      </c>
    </row>
    <row r="892" spans="1:6" x14ac:dyDescent="0.25">
      <c r="A892" s="3" t="str">
        <f t="shared" si="23"/>
        <v>q10ROW7_hidden_africa</v>
      </c>
      <c r="B892" s="3" t="str">
        <f t="shared" si="24"/>
        <v>_africa</v>
      </c>
      <c r="C892" s="3" t="s">
        <v>517</v>
      </c>
      <c r="D892" s="12" t="s">
        <v>62</v>
      </c>
      <c r="E892" s="8" t="s">
        <v>349</v>
      </c>
      <c r="F892" s="3" t="s">
        <v>2884</v>
      </c>
    </row>
    <row r="893" spans="1:6" x14ac:dyDescent="0.25">
      <c r="A893" s="3" t="str">
        <f t="shared" si="23"/>
        <v>q10other_africa</v>
      </c>
      <c r="B893" s="3" t="str">
        <f t="shared" si="24"/>
        <v>_africa</v>
      </c>
      <c r="C893" s="3" t="s">
        <v>518</v>
      </c>
      <c r="D893" s="12" t="s">
        <v>62</v>
      </c>
      <c r="E893" s="3" t="s">
        <v>351</v>
      </c>
      <c r="F893" s="3" t="s">
        <v>2885</v>
      </c>
    </row>
    <row r="894" spans="1:6" x14ac:dyDescent="0.25">
      <c r="A894" s="3" t="str">
        <f t="shared" si="23"/>
        <v>q108_1_africa</v>
      </c>
      <c r="B894" s="3" t="str">
        <f t="shared" si="24"/>
        <v>_africa</v>
      </c>
      <c r="C894" s="3" t="s">
        <v>519</v>
      </c>
      <c r="D894" s="12" t="s">
        <v>62</v>
      </c>
      <c r="E894" s="3" t="s">
        <v>353</v>
      </c>
      <c r="F894" s="3" t="s">
        <v>2886</v>
      </c>
    </row>
    <row r="895" spans="1:6" x14ac:dyDescent="0.25">
      <c r="A895" s="3" t="str">
        <f t="shared" si="23"/>
        <v>q108_2_africa</v>
      </c>
      <c r="B895" s="3" t="str">
        <f t="shared" si="24"/>
        <v>_africa</v>
      </c>
      <c r="C895" s="3" t="s">
        <v>520</v>
      </c>
      <c r="D895" s="12" t="s">
        <v>62</v>
      </c>
      <c r="E895" s="3" t="s">
        <v>355</v>
      </c>
      <c r="F895" s="3" t="s">
        <v>2887</v>
      </c>
    </row>
    <row r="896" spans="1:6" x14ac:dyDescent="0.25">
      <c r="A896" s="3" t="str">
        <f t="shared" si="23"/>
        <v>q108_3_africa</v>
      </c>
      <c r="B896" s="3" t="str">
        <f t="shared" si="24"/>
        <v>_africa</v>
      </c>
      <c r="C896" s="3" t="s">
        <v>521</v>
      </c>
      <c r="D896" s="12" t="s">
        <v>62</v>
      </c>
      <c r="E896" s="3" t="s">
        <v>357</v>
      </c>
      <c r="F896" s="3" t="s">
        <v>2888</v>
      </c>
    </row>
    <row r="897" spans="1:6" x14ac:dyDescent="0.25">
      <c r="A897" s="3" t="str">
        <f t="shared" si="23"/>
        <v>q108_4_africa</v>
      </c>
      <c r="B897" s="3" t="str">
        <f t="shared" si="24"/>
        <v>_africa</v>
      </c>
      <c r="C897" s="3" t="s">
        <v>522</v>
      </c>
      <c r="D897" s="12" t="s">
        <v>62</v>
      </c>
      <c r="E897" s="3" t="s">
        <v>359</v>
      </c>
      <c r="F897" s="3" t="s">
        <v>2889</v>
      </c>
    </row>
    <row r="898" spans="1:6" x14ac:dyDescent="0.25">
      <c r="A898" s="3" t="str">
        <f t="shared" si="23"/>
        <v>q108_5_africa</v>
      </c>
      <c r="B898" s="3" t="str">
        <f t="shared" si="24"/>
        <v>_africa</v>
      </c>
      <c r="C898" s="3" t="s">
        <v>523</v>
      </c>
      <c r="D898" s="12" t="s">
        <v>62</v>
      </c>
      <c r="E898" s="3" t="s">
        <v>361</v>
      </c>
      <c r="F898" s="3" t="s">
        <v>2890</v>
      </c>
    </row>
    <row r="899" spans="1:6" x14ac:dyDescent="0.25">
      <c r="A899" s="3" t="str">
        <f t="shared" ref="A899:A950" si="25">_xlfn.CONCAT(C899,B899)</f>
        <v>q108_6_africa</v>
      </c>
      <c r="B899" s="3" t="str">
        <f t="shared" si="24"/>
        <v>_africa</v>
      </c>
      <c r="C899" s="3" t="s">
        <v>524</v>
      </c>
      <c r="D899" s="12" t="s">
        <v>62</v>
      </c>
      <c r="E899" s="3" t="s">
        <v>363</v>
      </c>
      <c r="F899" s="3" t="s">
        <v>2891</v>
      </c>
    </row>
    <row r="900" spans="1:6" x14ac:dyDescent="0.25">
      <c r="A900" s="3" t="str">
        <f t="shared" si="25"/>
        <v>q10ROW8_hidden_africa</v>
      </c>
      <c r="B900" s="3" t="str">
        <f t="shared" si="24"/>
        <v>_africa</v>
      </c>
      <c r="C900" s="3" t="s">
        <v>525</v>
      </c>
      <c r="D900" s="12" t="s">
        <v>62</v>
      </c>
      <c r="E900" s="8" t="s">
        <v>365</v>
      </c>
      <c r="F900" s="3" t="s">
        <v>2892</v>
      </c>
    </row>
    <row r="901" spans="1:6" x14ac:dyDescent="0.25">
      <c r="A901" s="3" t="str">
        <f t="shared" si="25"/>
        <v>q10COL1_hidden_africa</v>
      </c>
      <c r="B901" s="3" t="str">
        <f t="shared" si="24"/>
        <v>_africa</v>
      </c>
      <c r="C901" s="3" t="s">
        <v>526</v>
      </c>
      <c r="D901" s="12" t="s">
        <v>62</v>
      </c>
      <c r="E901" s="8" t="s">
        <v>154</v>
      </c>
      <c r="F901" s="3" t="s">
        <v>2893</v>
      </c>
    </row>
    <row r="902" spans="1:6" x14ac:dyDescent="0.25">
      <c r="A902" s="3" t="str">
        <f t="shared" si="25"/>
        <v>q10COL2_hidden_africa</v>
      </c>
      <c r="B902" s="3" t="str">
        <f t="shared" si="24"/>
        <v>_africa</v>
      </c>
      <c r="C902" s="3" t="s">
        <v>527</v>
      </c>
      <c r="D902" s="12" t="s">
        <v>62</v>
      </c>
      <c r="E902" s="8" t="s">
        <v>156</v>
      </c>
      <c r="F902" s="3" t="s">
        <v>2894</v>
      </c>
    </row>
    <row r="903" spans="1:6" x14ac:dyDescent="0.25">
      <c r="A903" s="3" t="str">
        <f t="shared" si="25"/>
        <v>q10COL3_hidden_africa</v>
      </c>
      <c r="B903" s="3" t="str">
        <f t="shared" si="24"/>
        <v>_africa</v>
      </c>
      <c r="C903" s="3" t="s">
        <v>528</v>
      </c>
      <c r="D903" s="12" t="s">
        <v>62</v>
      </c>
      <c r="E903" s="8" t="s">
        <v>158</v>
      </c>
      <c r="F903" s="3" t="s">
        <v>2895</v>
      </c>
    </row>
    <row r="904" spans="1:6" x14ac:dyDescent="0.25">
      <c r="A904" s="3" t="str">
        <f t="shared" si="25"/>
        <v>q10COL4_hidden_africa</v>
      </c>
      <c r="B904" s="3" t="str">
        <f t="shared" si="24"/>
        <v>_africa</v>
      </c>
      <c r="C904" s="3" t="s">
        <v>529</v>
      </c>
      <c r="D904" s="12" t="s">
        <v>62</v>
      </c>
      <c r="E904" s="8" t="s">
        <v>160</v>
      </c>
      <c r="F904" s="3" t="s">
        <v>2896</v>
      </c>
    </row>
    <row r="905" spans="1:6" x14ac:dyDescent="0.25">
      <c r="A905" s="3" t="str">
        <f t="shared" si="25"/>
        <v>q10COL5_hidden_africa</v>
      </c>
      <c r="B905" s="3" t="str">
        <f t="shared" si="24"/>
        <v>_africa</v>
      </c>
      <c r="C905" s="3" t="s">
        <v>530</v>
      </c>
      <c r="D905" s="12" t="s">
        <v>62</v>
      </c>
      <c r="E905" s="8" t="s">
        <v>162</v>
      </c>
      <c r="F905" s="3" t="s">
        <v>2897</v>
      </c>
    </row>
    <row r="906" spans="1:6" x14ac:dyDescent="0.25">
      <c r="A906" s="3" t="str">
        <f t="shared" si="25"/>
        <v>q10COL6_hidden_africa</v>
      </c>
      <c r="B906" s="3" t="str">
        <f t="shared" si="24"/>
        <v>_africa</v>
      </c>
      <c r="C906" s="3" t="s">
        <v>531</v>
      </c>
      <c r="D906" s="12" t="s">
        <v>62</v>
      </c>
      <c r="E906" s="8" t="s">
        <v>164</v>
      </c>
      <c r="F906" s="3" t="s">
        <v>2898</v>
      </c>
    </row>
    <row r="907" spans="1:6" x14ac:dyDescent="0.25">
      <c r="A907" s="3" t="str">
        <f t="shared" si="25"/>
        <v>q10GRANDTotal_hidden_africa</v>
      </c>
      <c r="B907" s="3" t="str">
        <f t="shared" si="24"/>
        <v>_africa</v>
      </c>
      <c r="C907" s="3" t="s">
        <v>532</v>
      </c>
      <c r="D907" s="12" t="s">
        <v>62</v>
      </c>
      <c r="E907" s="8" t="s">
        <v>533</v>
      </c>
      <c r="F907" s="3" t="s">
        <v>2899</v>
      </c>
    </row>
    <row r="908" spans="1:6" x14ac:dyDescent="0.25">
      <c r="A908" s="3" t="str">
        <f t="shared" si="25"/>
        <v>_africa</v>
      </c>
      <c r="B908" s="3" t="str">
        <f t="shared" ref="B908:B950" si="26">B907</f>
        <v>_africa</v>
      </c>
      <c r="C908" s="6"/>
      <c r="D908" s="6"/>
      <c r="E908" s="9" t="s">
        <v>2961</v>
      </c>
      <c r="F908" s="3">
        <v>25</v>
      </c>
    </row>
    <row r="909" spans="1:6" x14ac:dyDescent="0.25">
      <c r="A909" s="3" t="str">
        <f t="shared" si="25"/>
        <v>q111_1_africa</v>
      </c>
      <c r="B909" s="3" t="str">
        <f t="shared" si="26"/>
        <v>_africa</v>
      </c>
      <c r="C909" s="3" t="s">
        <v>534</v>
      </c>
      <c r="D909" s="12" t="s">
        <v>62</v>
      </c>
      <c r="E909" s="3" t="s">
        <v>388</v>
      </c>
      <c r="F909" s="3" t="s">
        <v>2900</v>
      </c>
    </row>
    <row r="910" spans="1:6" x14ac:dyDescent="0.25">
      <c r="A910" s="3" t="str">
        <f t="shared" si="25"/>
        <v>q111_2_africa</v>
      </c>
      <c r="B910" s="3" t="str">
        <f t="shared" si="26"/>
        <v>_africa</v>
      </c>
      <c r="C910" s="3" t="s">
        <v>535</v>
      </c>
      <c r="D910" s="12" t="s">
        <v>62</v>
      </c>
      <c r="E910" s="3" t="s">
        <v>390</v>
      </c>
      <c r="F910" s="3" t="s">
        <v>2901</v>
      </c>
    </row>
    <row r="911" spans="1:6" x14ac:dyDescent="0.25">
      <c r="A911" s="3" t="str">
        <f t="shared" si="25"/>
        <v>q111_3_africa</v>
      </c>
      <c r="B911" s="3" t="str">
        <f t="shared" si="26"/>
        <v>_africa</v>
      </c>
      <c r="C911" s="3" t="s">
        <v>536</v>
      </c>
      <c r="D911" s="12" t="s">
        <v>62</v>
      </c>
      <c r="E911" s="3" t="s">
        <v>392</v>
      </c>
      <c r="F911" s="3" t="s">
        <v>2902</v>
      </c>
    </row>
    <row r="912" spans="1:6" x14ac:dyDescent="0.25">
      <c r="A912" s="3" t="str">
        <f t="shared" si="25"/>
        <v>q111_4_africa</v>
      </c>
      <c r="B912" s="3" t="str">
        <f t="shared" si="26"/>
        <v>_africa</v>
      </c>
      <c r="C912" s="3" t="s">
        <v>537</v>
      </c>
      <c r="D912" s="12" t="s">
        <v>62</v>
      </c>
      <c r="E912" s="3" t="s">
        <v>394</v>
      </c>
      <c r="F912" s="3" t="s">
        <v>2903</v>
      </c>
    </row>
    <row r="913" spans="1:6" x14ac:dyDescent="0.25">
      <c r="A913" s="3" t="str">
        <f t="shared" si="25"/>
        <v>q111_5_africa</v>
      </c>
      <c r="B913" s="3" t="str">
        <f t="shared" si="26"/>
        <v>_africa</v>
      </c>
      <c r="C913" s="3" t="s">
        <v>538</v>
      </c>
      <c r="D913" s="12" t="s">
        <v>62</v>
      </c>
      <c r="E913" s="3" t="s">
        <v>396</v>
      </c>
      <c r="F913" s="3" t="s">
        <v>2904</v>
      </c>
    </row>
    <row r="914" spans="1:6" x14ac:dyDescent="0.25">
      <c r="A914" s="3" t="str">
        <f t="shared" si="25"/>
        <v>q111_6_africa</v>
      </c>
      <c r="B914" s="3" t="str">
        <f t="shared" si="26"/>
        <v>_africa</v>
      </c>
      <c r="C914" s="3" t="s">
        <v>539</v>
      </c>
      <c r="D914" s="12" t="s">
        <v>62</v>
      </c>
      <c r="E914" s="3" t="s">
        <v>398</v>
      </c>
      <c r="F914" s="3" t="s">
        <v>2905</v>
      </c>
    </row>
    <row r="915" spans="1:6" x14ac:dyDescent="0.25">
      <c r="A915" s="3" t="str">
        <f t="shared" si="25"/>
        <v>q11ROW1_hidden_africa</v>
      </c>
      <c r="B915" s="3" t="str">
        <f t="shared" si="26"/>
        <v>_africa</v>
      </c>
      <c r="C915" s="3" t="s">
        <v>540</v>
      </c>
      <c r="D915" s="12" t="s">
        <v>62</v>
      </c>
      <c r="E915" s="8" t="s">
        <v>541</v>
      </c>
      <c r="F915" s="3" t="s">
        <v>2906</v>
      </c>
    </row>
    <row r="916" spans="1:6" x14ac:dyDescent="0.25">
      <c r="A916" s="3" t="str">
        <f t="shared" si="25"/>
        <v>q112_1_africa</v>
      </c>
      <c r="B916" s="3" t="str">
        <f t="shared" si="26"/>
        <v>_africa</v>
      </c>
      <c r="C916" s="3" t="s">
        <v>542</v>
      </c>
      <c r="D916" s="12" t="s">
        <v>62</v>
      </c>
      <c r="E916" s="3" t="s">
        <v>374</v>
      </c>
      <c r="F916" s="3" t="s">
        <v>2907</v>
      </c>
    </row>
    <row r="917" spans="1:6" x14ac:dyDescent="0.25">
      <c r="A917" s="3" t="str">
        <f t="shared" si="25"/>
        <v>q112_2_africa</v>
      </c>
      <c r="B917" s="3" t="str">
        <f t="shared" si="26"/>
        <v>_africa</v>
      </c>
      <c r="C917" s="3" t="s">
        <v>543</v>
      </c>
      <c r="D917" s="12" t="s">
        <v>62</v>
      </c>
      <c r="E917" s="3" t="s">
        <v>376</v>
      </c>
      <c r="F917" s="3" t="s">
        <v>2908</v>
      </c>
    </row>
    <row r="918" spans="1:6" x14ac:dyDescent="0.25">
      <c r="A918" s="3" t="str">
        <f t="shared" si="25"/>
        <v>q112_3_africa</v>
      </c>
      <c r="B918" s="3" t="str">
        <f t="shared" si="26"/>
        <v>_africa</v>
      </c>
      <c r="C918" s="3" t="s">
        <v>544</v>
      </c>
      <c r="D918" s="12" t="s">
        <v>62</v>
      </c>
      <c r="E918" s="3" t="s">
        <v>378</v>
      </c>
      <c r="F918" s="3" t="s">
        <v>2909</v>
      </c>
    </row>
    <row r="919" spans="1:6" x14ac:dyDescent="0.25">
      <c r="A919" s="3" t="str">
        <f t="shared" si="25"/>
        <v>q112_4_africa</v>
      </c>
      <c r="B919" s="3" t="str">
        <f t="shared" si="26"/>
        <v>_africa</v>
      </c>
      <c r="C919" s="3" t="s">
        <v>545</v>
      </c>
      <c r="D919" s="12" t="s">
        <v>62</v>
      </c>
      <c r="E919" s="3" t="s">
        <v>380</v>
      </c>
      <c r="F919" s="3" t="s">
        <v>2910</v>
      </c>
    </row>
    <row r="920" spans="1:6" x14ac:dyDescent="0.25">
      <c r="A920" s="3" t="str">
        <f t="shared" si="25"/>
        <v>q112_5_africa</v>
      </c>
      <c r="B920" s="3" t="str">
        <f t="shared" si="26"/>
        <v>_africa</v>
      </c>
      <c r="C920" s="3" t="s">
        <v>546</v>
      </c>
      <c r="D920" s="12" t="s">
        <v>62</v>
      </c>
      <c r="E920" s="3" t="s">
        <v>382</v>
      </c>
      <c r="F920" s="3" t="s">
        <v>2911</v>
      </c>
    </row>
    <row r="921" spans="1:6" x14ac:dyDescent="0.25">
      <c r="A921" s="3" t="str">
        <f t="shared" si="25"/>
        <v>q112_6_africa</v>
      </c>
      <c r="B921" s="3" t="str">
        <f t="shared" si="26"/>
        <v>_africa</v>
      </c>
      <c r="C921" s="3" t="s">
        <v>547</v>
      </c>
      <c r="D921" s="12" t="s">
        <v>62</v>
      </c>
      <c r="E921" s="3" t="s">
        <v>384</v>
      </c>
      <c r="F921" s="3" t="s">
        <v>2912</v>
      </c>
    </row>
    <row r="922" spans="1:6" x14ac:dyDescent="0.25">
      <c r="A922" s="3" t="str">
        <f t="shared" si="25"/>
        <v>q11ROW2_hidden_africa</v>
      </c>
      <c r="B922" s="3" t="str">
        <f t="shared" si="26"/>
        <v>_africa</v>
      </c>
      <c r="C922" s="3" t="s">
        <v>548</v>
      </c>
      <c r="D922" s="12" t="s">
        <v>62</v>
      </c>
      <c r="E922" s="8" t="s">
        <v>549</v>
      </c>
      <c r="F922" s="3" t="s">
        <v>2913</v>
      </c>
    </row>
    <row r="923" spans="1:6" x14ac:dyDescent="0.25">
      <c r="A923" s="3" t="str">
        <f t="shared" si="25"/>
        <v>q113_1_africa</v>
      </c>
      <c r="B923" s="3" t="str">
        <f t="shared" si="26"/>
        <v>_africa</v>
      </c>
      <c r="C923" s="3" t="s">
        <v>550</v>
      </c>
      <c r="D923" s="12" t="s">
        <v>62</v>
      </c>
      <c r="E923" s="3" t="s">
        <v>402</v>
      </c>
      <c r="F923" s="3" t="s">
        <v>2914</v>
      </c>
    </row>
    <row r="924" spans="1:6" x14ac:dyDescent="0.25">
      <c r="A924" s="3" t="str">
        <f t="shared" si="25"/>
        <v>q113_2_africa</v>
      </c>
      <c r="B924" s="3" t="str">
        <f t="shared" si="26"/>
        <v>_africa</v>
      </c>
      <c r="C924" s="3" t="s">
        <v>551</v>
      </c>
      <c r="D924" s="12" t="s">
        <v>62</v>
      </c>
      <c r="E924" s="3" t="s">
        <v>404</v>
      </c>
      <c r="F924" s="3" t="s">
        <v>2915</v>
      </c>
    </row>
    <row r="925" spans="1:6" x14ac:dyDescent="0.25">
      <c r="A925" s="3" t="str">
        <f t="shared" si="25"/>
        <v>q113_3_africa</v>
      </c>
      <c r="B925" s="3" t="str">
        <f t="shared" si="26"/>
        <v>_africa</v>
      </c>
      <c r="C925" s="3" t="s">
        <v>552</v>
      </c>
      <c r="D925" s="12" t="s">
        <v>62</v>
      </c>
      <c r="E925" s="3" t="s">
        <v>406</v>
      </c>
      <c r="F925" s="3" t="s">
        <v>2916</v>
      </c>
    </row>
    <row r="926" spans="1:6" x14ac:dyDescent="0.25">
      <c r="A926" s="3" t="str">
        <f t="shared" si="25"/>
        <v>q113_4_africa</v>
      </c>
      <c r="B926" s="3" t="str">
        <f t="shared" si="26"/>
        <v>_africa</v>
      </c>
      <c r="C926" s="3" t="s">
        <v>553</v>
      </c>
      <c r="D926" s="12" t="s">
        <v>62</v>
      </c>
      <c r="E926" s="3" t="s">
        <v>408</v>
      </c>
      <c r="F926" s="3" t="s">
        <v>2917</v>
      </c>
    </row>
    <row r="927" spans="1:6" x14ac:dyDescent="0.25">
      <c r="A927" s="3" t="str">
        <f t="shared" si="25"/>
        <v>q113_5_africa</v>
      </c>
      <c r="B927" s="3" t="str">
        <f t="shared" si="26"/>
        <v>_africa</v>
      </c>
      <c r="C927" s="3" t="s">
        <v>554</v>
      </c>
      <c r="D927" s="12" t="s">
        <v>62</v>
      </c>
      <c r="E927" s="3" t="s">
        <v>410</v>
      </c>
      <c r="F927" s="3" t="s">
        <v>2918</v>
      </c>
    </row>
    <row r="928" spans="1:6" x14ac:dyDescent="0.25">
      <c r="A928" s="3" t="str">
        <f t="shared" si="25"/>
        <v>q113_6_africa</v>
      </c>
      <c r="B928" s="3" t="str">
        <f t="shared" si="26"/>
        <v>_africa</v>
      </c>
      <c r="C928" s="3" t="s">
        <v>555</v>
      </c>
      <c r="D928" s="12" t="s">
        <v>62</v>
      </c>
      <c r="E928" s="3" t="s">
        <v>412</v>
      </c>
      <c r="F928" s="3" t="s">
        <v>2919</v>
      </c>
    </row>
    <row r="929" spans="1:6" x14ac:dyDescent="0.25">
      <c r="A929" s="3" t="str">
        <f t="shared" si="25"/>
        <v>q11ROW3_hidden_africa</v>
      </c>
      <c r="B929" s="3" t="str">
        <f t="shared" si="26"/>
        <v>_africa</v>
      </c>
      <c r="C929" s="3" t="s">
        <v>556</v>
      </c>
      <c r="D929" s="12" t="s">
        <v>62</v>
      </c>
      <c r="E929" s="8" t="s">
        <v>557</v>
      </c>
      <c r="F929" s="3" t="s">
        <v>2920</v>
      </c>
    </row>
    <row r="930" spans="1:6" x14ac:dyDescent="0.25">
      <c r="A930" s="3" t="str">
        <f t="shared" si="25"/>
        <v>q114_1_africa</v>
      </c>
      <c r="B930" s="3" t="str">
        <f t="shared" si="26"/>
        <v>_africa</v>
      </c>
      <c r="C930" s="3" t="s">
        <v>558</v>
      </c>
      <c r="D930" s="12" t="s">
        <v>62</v>
      </c>
      <c r="E930" s="3" t="s">
        <v>416</v>
      </c>
      <c r="F930" s="3" t="s">
        <v>2921</v>
      </c>
    </row>
    <row r="931" spans="1:6" x14ac:dyDescent="0.25">
      <c r="A931" s="3" t="str">
        <f t="shared" si="25"/>
        <v>q114_2_africa</v>
      </c>
      <c r="B931" s="3" t="str">
        <f t="shared" si="26"/>
        <v>_africa</v>
      </c>
      <c r="C931" s="3" t="s">
        <v>559</v>
      </c>
      <c r="D931" s="12" t="s">
        <v>62</v>
      </c>
      <c r="E931" s="3" t="s">
        <v>418</v>
      </c>
      <c r="F931" s="3" t="s">
        <v>2922</v>
      </c>
    </row>
    <row r="932" spans="1:6" x14ac:dyDescent="0.25">
      <c r="A932" s="3" t="str">
        <f t="shared" si="25"/>
        <v>q114_3_africa</v>
      </c>
      <c r="B932" s="3" t="str">
        <f t="shared" si="26"/>
        <v>_africa</v>
      </c>
      <c r="C932" s="3" t="s">
        <v>560</v>
      </c>
      <c r="D932" s="12" t="s">
        <v>62</v>
      </c>
      <c r="E932" s="3" t="s">
        <v>420</v>
      </c>
      <c r="F932" s="3" t="s">
        <v>2923</v>
      </c>
    </row>
    <row r="933" spans="1:6" x14ac:dyDescent="0.25">
      <c r="A933" s="3" t="str">
        <f t="shared" si="25"/>
        <v>q114_4_africa</v>
      </c>
      <c r="B933" s="3" t="str">
        <f t="shared" si="26"/>
        <v>_africa</v>
      </c>
      <c r="C933" s="3" t="s">
        <v>561</v>
      </c>
      <c r="D933" s="12" t="s">
        <v>62</v>
      </c>
      <c r="E933" s="3" t="s">
        <v>422</v>
      </c>
      <c r="F933" s="3" t="s">
        <v>2924</v>
      </c>
    </row>
    <row r="934" spans="1:6" x14ac:dyDescent="0.25">
      <c r="A934" s="3" t="str">
        <f t="shared" si="25"/>
        <v>q114_5_africa</v>
      </c>
      <c r="B934" s="3" t="str">
        <f t="shared" si="26"/>
        <v>_africa</v>
      </c>
      <c r="C934" s="3" t="s">
        <v>562</v>
      </c>
      <c r="D934" s="12" t="s">
        <v>62</v>
      </c>
      <c r="E934" s="3" t="s">
        <v>424</v>
      </c>
      <c r="F934" s="3" t="s">
        <v>2925</v>
      </c>
    </row>
    <row r="935" spans="1:6" x14ac:dyDescent="0.25">
      <c r="A935" s="3" t="str">
        <f t="shared" si="25"/>
        <v>q114_6_africa</v>
      </c>
      <c r="B935" s="3" t="str">
        <f t="shared" si="26"/>
        <v>_africa</v>
      </c>
      <c r="C935" s="3" t="s">
        <v>563</v>
      </c>
      <c r="D935" s="12" t="s">
        <v>62</v>
      </c>
      <c r="E935" s="3" t="s">
        <v>426</v>
      </c>
      <c r="F935" s="3" t="s">
        <v>2926</v>
      </c>
    </row>
    <row r="936" spans="1:6" x14ac:dyDescent="0.25">
      <c r="A936" s="3" t="str">
        <f t="shared" si="25"/>
        <v>q11ROW4_hidden_africa</v>
      </c>
      <c r="B936" s="3" t="str">
        <f t="shared" si="26"/>
        <v>_africa</v>
      </c>
      <c r="C936" s="3" t="s">
        <v>564</v>
      </c>
      <c r="D936" s="12" t="s">
        <v>62</v>
      </c>
      <c r="E936" s="8" t="s">
        <v>565</v>
      </c>
      <c r="F936" s="3" t="s">
        <v>2927</v>
      </c>
    </row>
    <row r="937" spans="1:6" x14ac:dyDescent="0.25">
      <c r="A937" s="3" t="str">
        <f t="shared" si="25"/>
        <v>q115_1_africa</v>
      </c>
      <c r="B937" s="3" t="str">
        <f t="shared" si="26"/>
        <v>_africa</v>
      </c>
      <c r="C937" s="3" t="s">
        <v>566</v>
      </c>
      <c r="D937" s="12" t="s">
        <v>62</v>
      </c>
      <c r="E937" s="3" t="s">
        <v>430</v>
      </c>
      <c r="F937" s="3" t="s">
        <v>2928</v>
      </c>
    </row>
    <row r="938" spans="1:6" x14ac:dyDescent="0.25">
      <c r="A938" s="3" t="str">
        <f t="shared" si="25"/>
        <v>q115_2_africa</v>
      </c>
      <c r="B938" s="3" t="str">
        <f t="shared" si="26"/>
        <v>_africa</v>
      </c>
      <c r="C938" s="3" t="s">
        <v>567</v>
      </c>
      <c r="D938" s="12" t="s">
        <v>62</v>
      </c>
      <c r="E938" s="3" t="s">
        <v>432</v>
      </c>
      <c r="F938" s="3" t="s">
        <v>2929</v>
      </c>
    </row>
    <row r="939" spans="1:6" x14ac:dyDescent="0.25">
      <c r="A939" s="3" t="str">
        <f t="shared" si="25"/>
        <v>q115_3_africa</v>
      </c>
      <c r="B939" s="3" t="str">
        <f t="shared" si="26"/>
        <v>_africa</v>
      </c>
      <c r="C939" s="3" t="s">
        <v>568</v>
      </c>
      <c r="D939" s="12" t="s">
        <v>62</v>
      </c>
      <c r="E939" s="3" t="s">
        <v>434</v>
      </c>
      <c r="F939" s="3" t="s">
        <v>2930</v>
      </c>
    </row>
    <row r="940" spans="1:6" x14ac:dyDescent="0.25">
      <c r="A940" s="3" t="str">
        <f t="shared" si="25"/>
        <v>q115_4_africa</v>
      </c>
      <c r="B940" s="3" t="str">
        <f t="shared" si="26"/>
        <v>_africa</v>
      </c>
      <c r="C940" s="3" t="s">
        <v>569</v>
      </c>
      <c r="D940" s="12" t="s">
        <v>62</v>
      </c>
      <c r="E940" s="3" t="s">
        <v>436</v>
      </c>
      <c r="F940" s="3" t="s">
        <v>2931</v>
      </c>
    </row>
    <row r="941" spans="1:6" x14ac:dyDescent="0.25">
      <c r="A941" s="3" t="str">
        <f t="shared" si="25"/>
        <v>q115_5_africa</v>
      </c>
      <c r="B941" s="3" t="str">
        <f t="shared" si="26"/>
        <v>_africa</v>
      </c>
      <c r="C941" s="3" t="s">
        <v>570</v>
      </c>
      <c r="D941" s="12" t="s">
        <v>62</v>
      </c>
      <c r="E941" s="3" t="s">
        <v>438</v>
      </c>
      <c r="F941" s="3" t="s">
        <v>2932</v>
      </c>
    </row>
    <row r="942" spans="1:6" x14ac:dyDescent="0.25">
      <c r="A942" s="3" t="str">
        <f t="shared" si="25"/>
        <v>q115_6_africa</v>
      </c>
      <c r="B942" s="3" t="str">
        <f t="shared" si="26"/>
        <v>_africa</v>
      </c>
      <c r="C942" s="3" t="s">
        <v>571</v>
      </c>
      <c r="D942" s="12" t="s">
        <v>62</v>
      </c>
      <c r="E942" s="3" t="s">
        <v>440</v>
      </c>
      <c r="F942" s="3" t="s">
        <v>2933</v>
      </c>
    </row>
    <row r="943" spans="1:6" x14ac:dyDescent="0.25">
      <c r="A943" s="3" t="str">
        <f t="shared" si="25"/>
        <v>q11ROW5_hidden_africa</v>
      </c>
      <c r="B943" s="3" t="str">
        <f t="shared" si="26"/>
        <v>_africa</v>
      </c>
      <c r="C943" s="3" t="s">
        <v>572</v>
      </c>
      <c r="D943" s="12" t="s">
        <v>62</v>
      </c>
      <c r="E943" s="8" t="s">
        <v>442</v>
      </c>
      <c r="F943" s="3" t="s">
        <v>2934</v>
      </c>
    </row>
    <row r="944" spans="1:6" x14ac:dyDescent="0.25">
      <c r="A944" s="3" t="str">
        <f t="shared" si="25"/>
        <v>q11COL1_hidden_africa</v>
      </c>
      <c r="B944" s="3" t="str">
        <f t="shared" si="26"/>
        <v>_africa</v>
      </c>
      <c r="C944" s="3" t="s">
        <v>573</v>
      </c>
      <c r="D944" s="12" t="s">
        <v>62</v>
      </c>
      <c r="E944" s="8" t="s">
        <v>154</v>
      </c>
      <c r="F944" s="3" t="s">
        <v>2935</v>
      </c>
    </row>
    <row r="945" spans="1:6" x14ac:dyDescent="0.25">
      <c r="A945" s="3" t="str">
        <f t="shared" si="25"/>
        <v>q11COL2_hidden_africa</v>
      </c>
      <c r="B945" s="3" t="str">
        <f t="shared" si="26"/>
        <v>_africa</v>
      </c>
      <c r="C945" s="3" t="s">
        <v>574</v>
      </c>
      <c r="D945" s="12" t="s">
        <v>62</v>
      </c>
      <c r="E945" s="8" t="s">
        <v>156</v>
      </c>
      <c r="F945" s="3" t="s">
        <v>2936</v>
      </c>
    </row>
    <row r="946" spans="1:6" x14ac:dyDescent="0.25">
      <c r="A946" s="3" t="str">
        <f t="shared" si="25"/>
        <v>q11COL3_hidden_africa</v>
      </c>
      <c r="B946" s="3" t="str">
        <f t="shared" si="26"/>
        <v>_africa</v>
      </c>
      <c r="C946" s="3" t="s">
        <v>575</v>
      </c>
      <c r="D946" s="12" t="s">
        <v>62</v>
      </c>
      <c r="E946" s="8" t="s">
        <v>158</v>
      </c>
      <c r="F946" s="3" t="s">
        <v>2937</v>
      </c>
    </row>
    <row r="947" spans="1:6" x14ac:dyDescent="0.25">
      <c r="A947" s="3" t="str">
        <f t="shared" si="25"/>
        <v>q11COL4_hidden_africa</v>
      </c>
      <c r="B947" s="3" t="str">
        <f t="shared" si="26"/>
        <v>_africa</v>
      </c>
      <c r="C947" s="3" t="s">
        <v>576</v>
      </c>
      <c r="D947" s="12" t="s">
        <v>62</v>
      </c>
      <c r="E947" s="8" t="s">
        <v>160</v>
      </c>
      <c r="F947" s="3" t="s">
        <v>2938</v>
      </c>
    </row>
    <row r="948" spans="1:6" x14ac:dyDescent="0.25">
      <c r="A948" s="3" t="str">
        <f t="shared" si="25"/>
        <v>q11COL5_hidden_africa</v>
      </c>
      <c r="B948" s="3" t="str">
        <f t="shared" si="26"/>
        <v>_africa</v>
      </c>
      <c r="C948" s="3" t="s">
        <v>577</v>
      </c>
      <c r="D948" s="12" t="s">
        <v>62</v>
      </c>
      <c r="E948" s="8" t="s">
        <v>162</v>
      </c>
      <c r="F948" s="3" t="s">
        <v>2939</v>
      </c>
    </row>
    <row r="949" spans="1:6" x14ac:dyDescent="0.25">
      <c r="A949" s="3" t="str">
        <f t="shared" si="25"/>
        <v>q11COL6_hidden_africa</v>
      </c>
      <c r="B949" s="3" t="str">
        <f t="shared" si="26"/>
        <v>_africa</v>
      </c>
      <c r="C949" s="3" t="s">
        <v>578</v>
      </c>
      <c r="D949" s="12" t="s">
        <v>62</v>
      </c>
      <c r="E949" s="8" t="s">
        <v>164</v>
      </c>
      <c r="F949" s="3" t="s">
        <v>2940</v>
      </c>
    </row>
    <row r="950" spans="1:6" x14ac:dyDescent="0.25">
      <c r="A950" s="3" t="str">
        <f t="shared" si="25"/>
        <v>q11GRANDTotal_hidden_africa</v>
      </c>
      <c r="B950" s="3" t="str">
        <f t="shared" si="26"/>
        <v>_africa</v>
      </c>
      <c r="C950" s="3" t="s">
        <v>579</v>
      </c>
      <c r="D950" s="12" t="s">
        <v>62</v>
      </c>
      <c r="E950" s="8" t="s">
        <v>580</v>
      </c>
      <c r="F950" s="3" t="s">
        <v>2941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2C3B-A4F7-41E5-855F-D6A9D03062A9}">
  <sheetPr>
    <tabColor theme="8" tint="-0.499984740745262"/>
  </sheetPr>
  <dimension ref="A1:C42"/>
  <sheetViews>
    <sheetView workbookViewId="0">
      <selection activeCell="E11" sqref="E11"/>
    </sheetView>
  </sheetViews>
  <sheetFormatPr defaultRowHeight="15" x14ac:dyDescent="0.25"/>
  <cols>
    <col min="1" max="2" width="11.140625" bestFit="1" customWidth="1"/>
    <col min="3" max="3" width="31.42578125" bestFit="1" customWidth="1"/>
  </cols>
  <sheetData>
    <row r="1" spans="1:3" x14ac:dyDescent="0.25">
      <c r="A1" t="s">
        <v>2966</v>
      </c>
      <c r="B1" t="s">
        <v>2967</v>
      </c>
      <c r="C1" t="s">
        <v>2968</v>
      </c>
    </row>
    <row r="2" spans="1:3" x14ac:dyDescent="0.25">
      <c r="A2" t="s">
        <v>50</v>
      </c>
      <c r="B2" t="s">
        <v>732</v>
      </c>
      <c r="C2" t="s">
        <v>2969</v>
      </c>
    </row>
    <row r="3" spans="1:3" x14ac:dyDescent="0.25">
      <c r="A3" t="s">
        <v>50</v>
      </c>
      <c r="B3" t="s">
        <v>945</v>
      </c>
      <c r="C3" t="s">
        <v>2970</v>
      </c>
    </row>
    <row r="4" spans="1:3" x14ac:dyDescent="0.25">
      <c r="A4" t="s">
        <v>50</v>
      </c>
      <c r="B4" t="s">
        <v>596</v>
      </c>
      <c r="C4" t="s">
        <v>2971</v>
      </c>
    </row>
    <row r="5" spans="1:3" x14ac:dyDescent="0.25">
      <c r="A5" t="s">
        <v>50</v>
      </c>
      <c r="B5" t="s">
        <v>625</v>
      </c>
      <c r="C5" t="s">
        <v>2972</v>
      </c>
    </row>
    <row r="6" spans="1:3" x14ac:dyDescent="0.25">
      <c r="A6" t="s">
        <v>50</v>
      </c>
      <c r="B6" t="s">
        <v>2973</v>
      </c>
      <c r="C6" t="s">
        <v>2974</v>
      </c>
    </row>
    <row r="7" spans="1:3" x14ac:dyDescent="0.25">
      <c r="A7" t="s">
        <v>50</v>
      </c>
      <c r="B7" t="s">
        <v>833</v>
      </c>
      <c r="C7" t="s">
        <v>2975</v>
      </c>
    </row>
    <row r="8" spans="1:3" x14ac:dyDescent="0.25">
      <c r="A8" t="s">
        <v>50</v>
      </c>
      <c r="B8" t="s">
        <v>2976</v>
      </c>
      <c r="C8" t="s">
        <v>2977</v>
      </c>
    </row>
    <row r="9" spans="1:3" x14ac:dyDescent="0.25">
      <c r="A9" t="s">
        <v>50</v>
      </c>
      <c r="B9" t="s">
        <v>2978</v>
      </c>
      <c r="C9" t="s">
        <v>2979</v>
      </c>
    </row>
    <row r="10" spans="1:3" x14ac:dyDescent="0.25">
      <c r="A10" t="s">
        <v>50</v>
      </c>
      <c r="B10" t="s">
        <v>2980</v>
      </c>
      <c r="C10" t="s">
        <v>2981</v>
      </c>
    </row>
    <row r="11" spans="1:3" x14ac:dyDescent="0.25">
      <c r="A11" t="s">
        <v>50</v>
      </c>
      <c r="B11" t="s">
        <v>778</v>
      </c>
      <c r="C11" t="s">
        <v>2982</v>
      </c>
    </row>
    <row r="12" spans="1:3" x14ac:dyDescent="0.25">
      <c r="A12" t="s">
        <v>50</v>
      </c>
      <c r="B12" t="s">
        <v>739</v>
      </c>
      <c r="C12" t="s">
        <v>2983</v>
      </c>
    </row>
    <row r="13" spans="1:3" x14ac:dyDescent="0.25">
      <c r="A13" t="s">
        <v>50</v>
      </c>
      <c r="B13" t="s">
        <v>633</v>
      </c>
      <c r="C13" t="s">
        <v>2984</v>
      </c>
    </row>
    <row r="14" spans="1:3" x14ac:dyDescent="0.25">
      <c r="A14" t="s">
        <v>50</v>
      </c>
      <c r="B14" t="s">
        <v>2985</v>
      </c>
      <c r="C14" t="s">
        <v>2986</v>
      </c>
    </row>
    <row r="15" spans="1:3" x14ac:dyDescent="0.25">
      <c r="A15" t="s">
        <v>50</v>
      </c>
      <c r="B15" t="s">
        <v>2987</v>
      </c>
      <c r="C15" t="s">
        <v>2988</v>
      </c>
    </row>
    <row r="16" spans="1:3" x14ac:dyDescent="0.25">
      <c r="A16" t="s">
        <v>50</v>
      </c>
      <c r="B16" t="s">
        <v>1153</v>
      </c>
      <c r="C16" t="s">
        <v>2989</v>
      </c>
    </row>
    <row r="17" spans="1:3" x14ac:dyDescent="0.25">
      <c r="A17" t="s">
        <v>50</v>
      </c>
      <c r="B17" t="s">
        <v>2990</v>
      </c>
      <c r="C17" t="s">
        <v>2991</v>
      </c>
    </row>
    <row r="18" spans="1:3" x14ac:dyDescent="0.25">
      <c r="A18" t="s">
        <v>50</v>
      </c>
      <c r="B18" t="s">
        <v>2992</v>
      </c>
      <c r="C18" t="s">
        <v>2993</v>
      </c>
    </row>
    <row r="19" spans="1:3" x14ac:dyDescent="0.25">
      <c r="A19" t="s">
        <v>50</v>
      </c>
      <c r="B19" t="s">
        <v>2994</v>
      </c>
      <c r="C19" t="s">
        <v>2995</v>
      </c>
    </row>
    <row r="20" spans="1:3" x14ac:dyDescent="0.25">
      <c r="A20" t="s">
        <v>50</v>
      </c>
      <c r="B20" t="s">
        <v>951</v>
      </c>
      <c r="C20" t="s">
        <v>2996</v>
      </c>
    </row>
    <row r="21" spans="1:3" x14ac:dyDescent="0.25">
      <c r="A21" t="s">
        <v>50</v>
      </c>
      <c r="B21" t="s">
        <v>679</v>
      </c>
      <c r="C21" t="s">
        <v>2997</v>
      </c>
    </row>
    <row r="22" spans="1:3" x14ac:dyDescent="0.25">
      <c r="A22" t="s">
        <v>50</v>
      </c>
      <c r="B22" t="s">
        <v>2998</v>
      </c>
      <c r="C22" t="s">
        <v>2999</v>
      </c>
    </row>
    <row r="23" spans="1:3" x14ac:dyDescent="0.25">
      <c r="A23" t="s">
        <v>50</v>
      </c>
      <c r="B23" t="s">
        <v>3000</v>
      </c>
      <c r="C23" t="s">
        <v>3001</v>
      </c>
    </row>
    <row r="24" spans="1:3" x14ac:dyDescent="0.25">
      <c r="A24" t="s">
        <v>50</v>
      </c>
      <c r="B24" t="s">
        <v>3002</v>
      </c>
      <c r="C24" t="s">
        <v>3003</v>
      </c>
    </row>
    <row r="25" spans="1:3" x14ac:dyDescent="0.25">
      <c r="A25" t="s">
        <v>50</v>
      </c>
      <c r="B25" t="s">
        <v>3004</v>
      </c>
      <c r="C25" t="s">
        <v>3005</v>
      </c>
    </row>
    <row r="26" spans="1:3" x14ac:dyDescent="0.25">
      <c r="A26" t="s">
        <v>50</v>
      </c>
      <c r="B26" t="s">
        <v>3006</v>
      </c>
      <c r="C26" t="s">
        <v>460</v>
      </c>
    </row>
    <row r="27" spans="1:3" x14ac:dyDescent="0.25">
      <c r="A27" t="s">
        <v>55</v>
      </c>
      <c r="B27" t="s">
        <v>3007</v>
      </c>
      <c r="C27" t="s">
        <v>3008</v>
      </c>
    </row>
    <row r="28" spans="1:3" x14ac:dyDescent="0.25">
      <c r="A28" t="s">
        <v>55</v>
      </c>
      <c r="B28" t="s">
        <v>3009</v>
      </c>
      <c r="C28" t="s">
        <v>3010</v>
      </c>
    </row>
    <row r="29" spans="1:3" x14ac:dyDescent="0.25">
      <c r="A29" t="s">
        <v>57</v>
      </c>
      <c r="B29" t="s">
        <v>3007</v>
      </c>
      <c r="C29" t="s">
        <v>3011</v>
      </c>
    </row>
    <row r="30" spans="1:3" x14ac:dyDescent="0.25">
      <c r="A30" t="s">
        <v>57</v>
      </c>
      <c r="B30" t="s">
        <v>3009</v>
      </c>
      <c r="C30" t="s">
        <v>3012</v>
      </c>
    </row>
    <row r="31" spans="1:3" x14ac:dyDescent="0.25">
      <c r="A31" t="s">
        <v>57</v>
      </c>
      <c r="B31" t="s">
        <v>3013</v>
      </c>
      <c r="C31" t="s">
        <v>3014</v>
      </c>
    </row>
    <row r="32" spans="1:3" x14ac:dyDescent="0.25">
      <c r="A32" t="s">
        <v>57</v>
      </c>
      <c r="B32" t="s">
        <v>3015</v>
      </c>
      <c r="C32" t="s">
        <v>3016</v>
      </c>
    </row>
    <row r="33" spans="1:3" x14ac:dyDescent="0.25">
      <c r="A33" t="s">
        <v>57</v>
      </c>
      <c r="B33" t="s">
        <v>3017</v>
      </c>
      <c r="C33" t="s">
        <v>3018</v>
      </c>
    </row>
    <row r="34" spans="1:3" x14ac:dyDescent="0.25">
      <c r="A34" t="s">
        <v>57</v>
      </c>
      <c r="B34" t="s">
        <v>3019</v>
      </c>
      <c r="C34" t="s">
        <v>460</v>
      </c>
    </row>
    <row r="35" spans="1:3" x14ac:dyDescent="0.25">
      <c r="A35" t="s">
        <v>461</v>
      </c>
      <c r="B35" t="s">
        <v>3007</v>
      </c>
      <c r="C35" t="s">
        <v>3020</v>
      </c>
    </row>
    <row r="36" spans="1:3" x14ac:dyDescent="0.25">
      <c r="A36" t="s">
        <v>461</v>
      </c>
      <c r="B36" t="s">
        <v>3009</v>
      </c>
      <c r="C36" t="s">
        <v>3021</v>
      </c>
    </row>
    <row r="37" spans="1:3" x14ac:dyDescent="0.25">
      <c r="A37" t="s">
        <v>461</v>
      </c>
      <c r="B37" t="s">
        <v>3013</v>
      </c>
      <c r="C37" t="s">
        <v>3022</v>
      </c>
    </row>
    <row r="38" spans="1:3" x14ac:dyDescent="0.25">
      <c r="A38" t="s">
        <v>463</v>
      </c>
      <c r="B38" t="s">
        <v>3007</v>
      </c>
      <c r="C38" t="s">
        <v>3023</v>
      </c>
    </row>
    <row r="39" spans="1:3" x14ac:dyDescent="0.25">
      <c r="A39" t="s">
        <v>463</v>
      </c>
      <c r="B39" t="s">
        <v>3009</v>
      </c>
      <c r="C39" t="s">
        <v>3024</v>
      </c>
    </row>
    <row r="40" spans="1:3" x14ac:dyDescent="0.25">
      <c r="A40" t="s">
        <v>463</v>
      </c>
      <c r="B40" t="s">
        <v>3013</v>
      </c>
      <c r="C40" t="s">
        <v>3025</v>
      </c>
    </row>
    <row r="41" spans="1:3" x14ac:dyDescent="0.25">
      <c r="A41" t="s">
        <v>465</v>
      </c>
      <c r="B41" t="s">
        <v>3007</v>
      </c>
      <c r="C41" t="s">
        <v>3008</v>
      </c>
    </row>
    <row r="42" spans="1:3" x14ac:dyDescent="0.25">
      <c r="A42" t="s">
        <v>465</v>
      </c>
      <c r="B42" t="s">
        <v>3009</v>
      </c>
      <c r="C42" t="s">
        <v>3010</v>
      </c>
    </row>
  </sheetData>
  <pageMargins left="0.7" right="0.7" top="0.75" bottom="0.75" header="0.3" footer="0.3"/>
  <customProperties>
    <customPr name="layoutContexts" r:id="rId1"/>
  </customPropertie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EF0E-5D00-4820-9727-BB0CDFF4C1F0}">
  <dimension ref="A1:A16385"/>
  <sheetViews>
    <sheetView topLeftCell="A832" workbookViewId="0">
      <selection sqref="A1:A1048576"/>
    </sheetView>
  </sheetViews>
  <sheetFormatPr defaultRowHeight="15" x14ac:dyDescent="0.25"/>
  <sheetData>
    <row r="1" spans="1:1" x14ac:dyDescent="0.25">
      <c r="A1" t="s">
        <v>2965</v>
      </c>
    </row>
    <row r="2" spans="1:1" x14ac:dyDescent="0.25">
      <c r="A2" t="s">
        <v>1949</v>
      </c>
    </row>
    <row r="3" spans="1:1" x14ac:dyDescent="0.25">
      <c r="A3" t="s">
        <v>216</v>
      </c>
    </row>
    <row r="4" spans="1:1" x14ac:dyDescent="0.25">
      <c r="A4" t="s">
        <v>218</v>
      </c>
    </row>
    <row r="5" spans="1:1" x14ac:dyDescent="0.25">
      <c r="A5" t="s">
        <v>219</v>
      </c>
    </row>
    <row r="6" spans="1:1" x14ac:dyDescent="0.25">
      <c r="A6" t="s">
        <v>220</v>
      </c>
    </row>
    <row r="7" spans="1:1" x14ac:dyDescent="0.25">
      <c r="A7" t="s">
        <v>221</v>
      </c>
    </row>
    <row r="8" spans="1:1" x14ac:dyDescent="0.25">
      <c r="A8" t="s">
        <v>222</v>
      </c>
    </row>
    <row r="9" spans="1:1" x14ac:dyDescent="0.25">
      <c r="A9" t="s">
        <v>223</v>
      </c>
    </row>
    <row r="10" spans="1:1" x14ac:dyDescent="0.25">
      <c r="A10" t="s">
        <v>224</v>
      </c>
    </row>
    <row r="11" spans="1:1" x14ac:dyDescent="0.25">
      <c r="A11" t="s">
        <v>225</v>
      </c>
    </row>
    <row r="12" spans="1:1" x14ac:dyDescent="0.25">
      <c r="A12" t="s">
        <v>226</v>
      </c>
    </row>
    <row r="13" spans="1:1" x14ac:dyDescent="0.25">
      <c r="A13" t="s">
        <v>227</v>
      </c>
    </row>
    <row r="14" spans="1:1" x14ac:dyDescent="0.25">
      <c r="A14" t="s">
        <v>228</v>
      </c>
    </row>
    <row r="15" spans="1:1" x14ac:dyDescent="0.25">
      <c r="A15" t="s">
        <v>229</v>
      </c>
    </row>
    <row r="16" spans="1:1" x14ac:dyDescent="0.25">
      <c r="A16" t="s">
        <v>230</v>
      </c>
    </row>
    <row r="17" spans="1:1" x14ac:dyDescent="0.25">
      <c r="A17" t="s">
        <v>231</v>
      </c>
    </row>
    <row r="18" spans="1:1" x14ac:dyDescent="0.25">
      <c r="A18" t="s">
        <v>232</v>
      </c>
    </row>
    <row r="19" spans="1:1" x14ac:dyDescent="0.25">
      <c r="A19" t="s">
        <v>233</v>
      </c>
    </row>
    <row r="20" spans="1:1" x14ac:dyDescent="0.25">
      <c r="A20" t="s">
        <v>234</v>
      </c>
    </row>
    <row r="21" spans="1:1" x14ac:dyDescent="0.25">
      <c r="A21" t="s">
        <v>235</v>
      </c>
    </row>
    <row r="22" spans="1:1" x14ac:dyDescent="0.25">
      <c r="A22" t="s">
        <v>236</v>
      </c>
    </row>
    <row r="23" spans="1:1" x14ac:dyDescent="0.25">
      <c r="A23" t="s">
        <v>237</v>
      </c>
    </row>
    <row r="24" spans="1:1" x14ac:dyDescent="0.25">
      <c r="A24" t="s">
        <v>238</v>
      </c>
    </row>
    <row r="25" spans="1:1" x14ac:dyDescent="0.25">
      <c r="A25" t="s">
        <v>239</v>
      </c>
    </row>
    <row r="26" spans="1:1" x14ac:dyDescent="0.25">
      <c r="A26" t="s">
        <v>240</v>
      </c>
    </row>
    <row r="27" spans="1:1" x14ac:dyDescent="0.25">
      <c r="A27" t="s">
        <v>241</v>
      </c>
    </row>
    <row r="28" spans="1:1" x14ac:dyDescent="0.25">
      <c r="A28" t="s">
        <v>242</v>
      </c>
    </row>
    <row r="29" spans="1:1" x14ac:dyDescent="0.25">
      <c r="A29" t="s">
        <v>243</v>
      </c>
    </row>
    <row r="30" spans="1:1" x14ac:dyDescent="0.25">
      <c r="A30" t="s">
        <v>244</v>
      </c>
    </row>
    <row r="31" spans="1:1" x14ac:dyDescent="0.25">
      <c r="A31" t="s">
        <v>245</v>
      </c>
    </row>
    <row r="32" spans="1:1" x14ac:dyDescent="0.25">
      <c r="A32" t="s">
        <v>246</v>
      </c>
    </row>
    <row r="33" spans="1:1" x14ac:dyDescent="0.25">
      <c r="A33" t="s">
        <v>247</v>
      </c>
    </row>
    <row r="34" spans="1:1" x14ac:dyDescent="0.25">
      <c r="A34" t="s">
        <v>248</v>
      </c>
    </row>
    <row r="35" spans="1:1" x14ac:dyDescent="0.25">
      <c r="A35" t="s">
        <v>249</v>
      </c>
    </row>
    <row r="36" spans="1:1" x14ac:dyDescent="0.25">
      <c r="A36" t="s">
        <v>250</v>
      </c>
    </row>
    <row r="37" spans="1:1" x14ac:dyDescent="0.25">
      <c r="A37" t="s">
        <v>251</v>
      </c>
    </row>
    <row r="38" spans="1:1" x14ac:dyDescent="0.25">
      <c r="A38" t="s">
        <v>252</v>
      </c>
    </row>
    <row r="39" spans="1:1" x14ac:dyDescent="0.25">
      <c r="A39" t="s">
        <v>1414</v>
      </c>
    </row>
    <row r="40" spans="1:1" x14ac:dyDescent="0.25">
      <c r="A40" t="s">
        <v>1521</v>
      </c>
    </row>
    <row r="41" spans="1:1" x14ac:dyDescent="0.25">
      <c r="A41" t="s">
        <v>1735</v>
      </c>
    </row>
    <row r="42" spans="1:1" x14ac:dyDescent="0.25">
      <c r="A42" t="s">
        <v>1628</v>
      </c>
    </row>
    <row r="43" spans="1:1" x14ac:dyDescent="0.25">
      <c r="A43" t="s">
        <v>55</v>
      </c>
    </row>
    <row r="44" spans="1:1" x14ac:dyDescent="0.25">
      <c r="A44" t="s">
        <v>1950</v>
      </c>
    </row>
    <row r="45" spans="1:1" x14ac:dyDescent="0.25">
      <c r="A45" t="s">
        <v>1415</v>
      </c>
    </row>
    <row r="46" spans="1:1" x14ac:dyDescent="0.25">
      <c r="A46" t="s">
        <v>1522</v>
      </c>
    </row>
    <row r="47" spans="1:1" x14ac:dyDescent="0.25">
      <c r="A47" t="s">
        <v>1736</v>
      </c>
    </row>
    <row r="48" spans="1:1" x14ac:dyDescent="0.25">
      <c r="A48" t="s">
        <v>1629</v>
      </c>
    </row>
    <row r="49" spans="1:1" x14ac:dyDescent="0.25">
      <c r="A49" t="s">
        <v>1843</v>
      </c>
    </row>
    <row r="50" spans="1:1" x14ac:dyDescent="0.25">
      <c r="A50" t="s">
        <v>1951</v>
      </c>
    </row>
    <row r="51" spans="1:1" x14ac:dyDescent="0.25">
      <c r="A51" t="s">
        <v>1416</v>
      </c>
    </row>
    <row r="52" spans="1:1" x14ac:dyDescent="0.25">
      <c r="A52" t="s">
        <v>1523</v>
      </c>
    </row>
    <row r="53" spans="1:1" x14ac:dyDescent="0.25">
      <c r="A53" t="s">
        <v>1737</v>
      </c>
    </row>
    <row r="54" spans="1:1" x14ac:dyDescent="0.25">
      <c r="A54" t="s">
        <v>1630</v>
      </c>
    </row>
    <row r="55" spans="1:1" x14ac:dyDescent="0.25">
      <c r="A55" t="s">
        <v>1844</v>
      </c>
    </row>
    <row r="56" spans="1:1" x14ac:dyDescent="0.25">
      <c r="A56" t="s">
        <v>1952</v>
      </c>
    </row>
    <row r="57" spans="1:1" x14ac:dyDescent="0.25">
      <c r="A57" t="s">
        <v>1417</v>
      </c>
    </row>
    <row r="58" spans="1:1" x14ac:dyDescent="0.25">
      <c r="A58" t="s">
        <v>1524</v>
      </c>
    </row>
    <row r="59" spans="1:1" x14ac:dyDescent="0.25">
      <c r="A59" t="s">
        <v>1738</v>
      </c>
    </row>
    <row r="60" spans="1:1" x14ac:dyDescent="0.25">
      <c r="A60" t="s">
        <v>1631</v>
      </c>
    </row>
    <row r="61" spans="1:1" x14ac:dyDescent="0.25">
      <c r="A61" t="s">
        <v>1845</v>
      </c>
    </row>
    <row r="62" spans="1:1" x14ac:dyDescent="0.25">
      <c r="A62" t="s">
        <v>1953</v>
      </c>
    </row>
    <row r="63" spans="1:1" x14ac:dyDescent="0.25">
      <c r="A63" t="s">
        <v>1418</v>
      </c>
    </row>
    <row r="64" spans="1:1" x14ac:dyDescent="0.25">
      <c r="A64" t="s">
        <v>1525</v>
      </c>
    </row>
    <row r="65" spans="1:1" x14ac:dyDescent="0.25">
      <c r="A65" t="s">
        <v>1739</v>
      </c>
    </row>
    <row r="66" spans="1:1" x14ac:dyDescent="0.25">
      <c r="A66" t="s">
        <v>1632</v>
      </c>
    </row>
    <row r="67" spans="1:1" x14ac:dyDescent="0.25">
      <c r="A67" t="s">
        <v>1846</v>
      </c>
    </row>
    <row r="68" spans="1:1" x14ac:dyDescent="0.25">
      <c r="A68" t="s">
        <v>1954</v>
      </c>
    </row>
    <row r="69" spans="1:1" x14ac:dyDescent="0.25">
      <c r="A69" t="s">
        <v>1419</v>
      </c>
    </row>
    <row r="70" spans="1:1" x14ac:dyDescent="0.25">
      <c r="A70" t="s">
        <v>1526</v>
      </c>
    </row>
    <row r="71" spans="1:1" x14ac:dyDescent="0.25">
      <c r="A71" t="s">
        <v>1740</v>
      </c>
    </row>
    <row r="72" spans="1:1" x14ac:dyDescent="0.25">
      <c r="A72" t="s">
        <v>1633</v>
      </c>
    </row>
    <row r="73" spans="1:1" x14ac:dyDescent="0.25">
      <c r="A73" t="s">
        <v>1847</v>
      </c>
    </row>
    <row r="74" spans="1:1" x14ac:dyDescent="0.25">
      <c r="A74" t="s">
        <v>1955</v>
      </c>
    </row>
    <row r="75" spans="1:1" x14ac:dyDescent="0.25">
      <c r="A75" t="s">
        <v>1420</v>
      </c>
    </row>
    <row r="76" spans="1:1" x14ac:dyDescent="0.25">
      <c r="A76" t="s">
        <v>1527</v>
      </c>
    </row>
    <row r="77" spans="1:1" x14ac:dyDescent="0.25">
      <c r="A77" t="s">
        <v>1741</v>
      </c>
    </row>
    <row r="78" spans="1:1" x14ac:dyDescent="0.25">
      <c r="A78" t="s">
        <v>1634</v>
      </c>
    </row>
    <row r="79" spans="1:1" x14ac:dyDescent="0.25">
      <c r="A79" t="s">
        <v>1848</v>
      </c>
    </row>
    <row r="80" spans="1:1" x14ac:dyDescent="0.25">
      <c r="A80" t="s">
        <v>1957</v>
      </c>
    </row>
    <row r="81" spans="1:1" x14ac:dyDescent="0.25">
      <c r="A81" t="s">
        <v>1422</v>
      </c>
    </row>
    <row r="82" spans="1:1" x14ac:dyDescent="0.25">
      <c r="A82" t="s">
        <v>1529</v>
      </c>
    </row>
    <row r="83" spans="1:1" x14ac:dyDescent="0.25">
      <c r="A83" t="s">
        <v>1743</v>
      </c>
    </row>
    <row r="84" spans="1:1" x14ac:dyDescent="0.25">
      <c r="A84" t="s">
        <v>1636</v>
      </c>
    </row>
    <row r="85" spans="1:1" x14ac:dyDescent="0.25">
      <c r="A85" t="s">
        <v>1850</v>
      </c>
    </row>
    <row r="86" spans="1:1" x14ac:dyDescent="0.25">
      <c r="A86" t="s">
        <v>1958</v>
      </c>
    </row>
    <row r="87" spans="1:1" x14ac:dyDescent="0.25">
      <c r="A87" t="s">
        <v>1423</v>
      </c>
    </row>
    <row r="88" spans="1:1" x14ac:dyDescent="0.25">
      <c r="A88" t="s">
        <v>1530</v>
      </c>
    </row>
    <row r="89" spans="1:1" x14ac:dyDescent="0.25">
      <c r="A89" t="s">
        <v>1744</v>
      </c>
    </row>
    <row r="90" spans="1:1" x14ac:dyDescent="0.25">
      <c r="A90" t="s">
        <v>1637</v>
      </c>
    </row>
    <row r="91" spans="1:1" x14ac:dyDescent="0.25">
      <c r="A91" t="s">
        <v>1851</v>
      </c>
    </row>
    <row r="92" spans="1:1" x14ac:dyDescent="0.25">
      <c r="A92" t="s">
        <v>1959</v>
      </c>
    </row>
    <row r="93" spans="1:1" x14ac:dyDescent="0.25">
      <c r="A93" t="s">
        <v>1424</v>
      </c>
    </row>
    <row r="94" spans="1:1" x14ac:dyDescent="0.25">
      <c r="A94" t="s">
        <v>1531</v>
      </c>
    </row>
    <row r="95" spans="1:1" x14ac:dyDescent="0.25">
      <c r="A95" t="s">
        <v>1745</v>
      </c>
    </row>
    <row r="96" spans="1:1" x14ac:dyDescent="0.25">
      <c r="A96" t="s">
        <v>1638</v>
      </c>
    </row>
    <row r="97" spans="1:1" x14ac:dyDescent="0.25">
      <c r="A97" t="s">
        <v>1852</v>
      </c>
    </row>
    <row r="98" spans="1:1" x14ac:dyDescent="0.25">
      <c r="A98" t="s">
        <v>1960</v>
      </c>
    </row>
    <row r="99" spans="1:1" x14ac:dyDescent="0.25">
      <c r="A99" t="s">
        <v>1425</v>
      </c>
    </row>
    <row r="100" spans="1:1" x14ac:dyDescent="0.25">
      <c r="A100" t="s">
        <v>1532</v>
      </c>
    </row>
    <row r="101" spans="1:1" x14ac:dyDescent="0.25">
      <c r="A101" t="s">
        <v>1746</v>
      </c>
    </row>
    <row r="102" spans="1:1" x14ac:dyDescent="0.25">
      <c r="A102" t="s">
        <v>1639</v>
      </c>
    </row>
    <row r="103" spans="1:1" x14ac:dyDescent="0.25">
      <c r="A103" t="s">
        <v>1853</v>
      </c>
    </row>
    <row r="104" spans="1:1" x14ac:dyDescent="0.25">
      <c r="A104" t="s">
        <v>1961</v>
      </c>
    </row>
    <row r="105" spans="1:1" x14ac:dyDescent="0.25">
      <c r="A105" t="s">
        <v>1426</v>
      </c>
    </row>
    <row r="106" spans="1:1" x14ac:dyDescent="0.25">
      <c r="A106" t="s">
        <v>1533</v>
      </c>
    </row>
    <row r="107" spans="1:1" x14ac:dyDescent="0.25">
      <c r="A107" t="s">
        <v>1747</v>
      </c>
    </row>
    <row r="108" spans="1:1" x14ac:dyDescent="0.25">
      <c r="A108" t="s">
        <v>1640</v>
      </c>
    </row>
    <row r="109" spans="1:1" x14ac:dyDescent="0.25">
      <c r="A109" t="s">
        <v>1854</v>
      </c>
    </row>
    <row r="110" spans="1:1" x14ac:dyDescent="0.25">
      <c r="A110" t="s">
        <v>1962</v>
      </c>
    </row>
    <row r="111" spans="1:1" x14ac:dyDescent="0.25">
      <c r="A111" t="s">
        <v>1427</v>
      </c>
    </row>
    <row r="112" spans="1:1" x14ac:dyDescent="0.25">
      <c r="A112" t="s">
        <v>1534</v>
      </c>
    </row>
    <row r="113" spans="1:1" x14ac:dyDescent="0.25">
      <c r="A113" t="s">
        <v>1748</v>
      </c>
    </row>
    <row r="114" spans="1:1" x14ac:dyDescent="0.25">
      <c r="A114" t="s">
        <v>1641</v>
      </c>
    </row>
    <row r="115" spans="1:1" x14ac:dyDescent="0.25">
      <c r="A115" t="s">
        <v>1855</v>
      </c>
    </row>
    <row r="116" spans="1:1" x14ac:dyDescent="0.25">
      <c r="A116" t="s">
        <v>1964</v>
      </c>
    </row>
    <row r="117" spans="1:1" x14ac:dyDescent="0.25">
      <c r="A117" t="s">
        <v>1429</v>
      </c>
    </row>
    <row r="118" spans="1:1" x14ac:dyDescent="0.25">
      <c r="A118" t="s">
        <v>1536</v>
      </c>
    </row>
    <row r="119" spans="1:1" x14ac:dyDescent="0.25">
      <c r="A119" t="s">
        <v>1750</v>
      </c>
    </row>
    <row r="120" spans="1:1" x14ac:dyDescent="0.25">
      <c r="A120" t="s">
        <v>1643</v>
      </c>
    </row>
    <row r="121" spans="1:1" x14ac:dyDescent="0.25">
      <c r="A121" t="s">
        <v>1857</v>
      </c>
    </row>
    <row r="122" spans="1:1" x14ac:dyDescent="0.25">
      <c r="A122" t="s">
        <v>1965</v>
      </c>
    </row>
    <row r="123" spans="1:1" x14ac:dyDescent="0.25">
      <c r="A123" t="s">
        <v>1430</v>
      </c>
    </row>
    <row r="124" spans="1:1" x14ac:dyDescent="0.25">
      <c r="A124" t="s">
        <v>1537</v>
      </c>
    </row>
    <row r="125" spans="1:1" x14ac:dyDescent="0.25">
      <c r="A125" t="s">
        <v>1751</v>
      </c>
    </row>
    <row r="126" spans="1:1" x14ac:dyDescent="0.25">
      <c r="A126" t="s">
        <v>1644</v>
      </c>
    </row>
    <row r="127" spans="1:1" x14ac:dyDescent="0.25">
      <c r="A127" t="s">
        <v>1858</v>
      </c>
    </row>
    <row r="128" spans="1:1" x14ac:dyDescent="0.25">
      <c r="A128" t="s">
        <v>1966</v>
      </c>
    </row>
    <row r="129" spans="1:1" x14ac:dyDescent="0.25">
      <c r="A129" t="s">
        <v>1431</v>
      </c>
    </row>
    <row r="130" spans="1:1" x14ac:dyDescent="0.25">
      <c r="A130" t="s">
        <v>1538</v>
      </c>
    </row>
    <row r="131" spans="1:1" x14ac:dyDescent="0.25">
      <c r="A131" t="s">
        <v>1752</v>
      </c>
    </row>
    <row r="132" spans="1:1" x14ac:dyDescent="0.25">
      <c r="A132" t="s">
        <v>1645</v>
      </c>
    </row>
    <row r="133" spans="1:1" x14ac:dyDescent="0.25">
      <c r="A133" t="s">
        <v>1859</v>
      </c>
    </row>
    <row r="134" spans="1:1" x14ac:dyDescent="0.25">
      <c r="A134" t="s">
        <v>1967</v>
      </c>
    </row>
    <row r="135" spans="1:1" x14ac:dyDescent="0.25">
      <c r="A135" t="s">
        <v>1432</v>
      </c>
    </row>
    <row r="136" spans="1:1" x14ac:dyDescent="0.25">
      <c r="A136" t="s">
        <v>1539</v>
      </c>
    </row>
    <row r="137" spans="1:1" x14ac:dyDescent="0.25">
      <c r="A137" t="s">
        <v>1753</v>
      </c>
    </row>
    <row r="138" spans="1:1" x14ac:dyDescent="0.25">
      <c r="A138" t="s">
        <v>1646</v>
      </c>
    </row>
    <row r="139" spans="1:1" x14ac:dyDescent="0.25">
      <c r="A139" t="s">
        <v>1860</v>
      </c>
    </row>
    <row r="140" spans="1:1" x14ac:dyDescent="0.25">
      <c r="A140" t="s">
        <v>1968</v>
      </c>
    </row>
    <row r="141" spans="1:1" x14ac:dyDescent="0.25">
      <c r="A141" t="s">
        <v>1433</v>
      </c>
    </row>
    <row r="142" spans="1:1" x14ac:dyDescent="0.25">
      <c r="A142" t="s">
        <v>1540</v>
      </c>
    </row>
    <row r="143" spans="1:1" x14ac:dyDescent="0.25">
      <c r="A143" t="s">
        <v>1754</v>
      </c>
    </row>
    <row r="144" spans="1:1" x14ac:dyDescent="0.25">
      <c r="A144" t="s">
        <v>1647</v>
      </c>
    </row>
    <row r="145" spans="1:1" x14ac:dyDescent="0.25">
      <c r="A145" t="s">
        <v>1861</v>
      </c>
    </row>
    <row r="146" spans="1:1" x14ac:dyDescent="0.25">
      <c r="A146" t="s">
        <v>1969</v>
      </c>
    </row>
    <row r="147" spans="1:1" x14ac:dyDescent="0.25">
      <c r="A147" t="s">
        <v>1434</v>
      </c>
    </row>
    <row r="148" spans="1:1" x14ac:dyDescent="0.25">
      <c r="A148" t="s">
        <v>1541</v>
      </c>
    </row>
    <row r="149" spans="1:1" x14ac:dyDescent="0.25">
      <c r="A149" t="s">
        <v>1755</v>
      </c>
    </row>
    <row r="150" spans="1:1" x14ac:dyDescent="0.25">
      <c r="A150" t="s">
        <v>1648</v>
      </c>
    </row>
    <row r="151" spans="1:1" x14ac:dyDescent="0.25">
      <c r="A151" t="s">
        <v>1862</v>
      </c>
    </row>
    <row r="152" spans="1:1" x14ac:dyDescent="0.25">
      <c r="A152" t="s">
        <v>1971</v>
      </c>
    </row>
    <row r="153" spans="1:1" x14ac:dyDescent="0.25">
      <c r="A153" t="s">
        <v>1436</v>
      </c>
    </row>
    <row r="154" spans="1:1" x14ac:dyDescent="0.25">
      <c r="A154" t="s">
        <v>1543</v>
      </c>
    </row>
    <row r="155" spans="1:1" x14ac:dyDescent="0.25">
      <c r="A155" t="s">
        <v>1757</v>
      </c>
    </row>
    <row r="156" spans="1:1" x14ac:dyDescent="0.25">
      <c r="A156" t="s">
        <v>1650</v>
      </c>
    </row>
    <row r="157" spans="1:1" x14ac:dyDescent="0.25">
      <c r="A157" t="s">
        <v>1864</v>
      </c>
    </row>
    <row r="158" spans="1:1" x14ac:dyDescent="0.25">
      <c r="A158" t="s">
        <v>1972</v>
      </c>
    </row>
    <row r="159" spans="1:1" x14ac:dyDescent="0.25">
      <c r="A159" t="s">
        <v>1437</v>
      </c>
    </row>
    <row r="160" spans="1:1" x14ac:dyDescent="0.25">
      <c r="A160" t="s">
        <v>1544</v>
      </c>
    </row>
    <row r="161" spans="1:1" x14ac:dyDescent="0.25">
      <c r="A161" t="s">
        <v>1758</v>
      </c>
    </row>
    <row r="162" spans="1:1" x14ac:dyDescent="0.25">
      <c r="A162" t="s">
        <v>1651</v>
      </c>
    </row>
    <row r="163" spans="1:1" x14ac:dyDescent="0.25">
      <c r="A163" t="s">
        <v>1865</v>
      </c>
    </row>
    <row r="164" spans="1:1" x14ac:dyDescent="0.25">
      <c r="A164" t="s">
        <v>1973</v>
      </c>
    </row>
    <row r="165" spans="1:1" x14ac:dyDescent="0.25">
      <c r="A165" t="s">
        <v>1438</v>
      </c>
    </row>
    <row r="166" spans="1:1" x14ac:dyDescent="0.25">
      <c r="A166" t="s">
        <v>1545</v>
      </c>
    </row>
    <row r="167" spans="1:1" x14ac:dyDescent="0.25">
      <c r="A167" t="s">
        <v>1759</v>
      </c>
    </row>
    <row r="168" spans="1:1" x14ac:dyDescent="0.25">
      <c r="A168" t="s">
        <v>1652</v>
      </c>
    </row>
    <row r="169" spans="1:1" x14ac:dyDescent="0.25">
      <c r="A169" t="s">
        <v>1866</v>
      </c>
    </row>
    <row r="170" spans="1:1" x14ac:dyDescent="0.25">
      <c r="A170" t="s">
        <v>1974</v>
      </c>
    </row>
    <row r="171" spans="1:1" x14ac:dyDescent="0.25">
      <c r="A171" t="s">
        <v>1439</v>
      </c>
    </row>
    <row r="172" spans="1:1" x14ac:dyDescent="0.25">
      <c r="A172" t="s">
        <v>1546</v>
      </c>
    </row>
    <row r="173" spans="1:1" x14ac:dyDescent="0.25">
      <c r="A173" t="s">
        <v>1760</v>
      </c>
    </row>
    <row r="174" spans="1:1" x14ac:dyDescent="0.25">
      <c r="A174" t="s">
        <v>1653</v>
      </c>
    </row>
    <row r="175" spans="1:1" x14ac:dyDescent="0.25">
      <c r="A175" t="s">
        <v>1867</v>
      </c>
    </row>
    <row r="176" spans="1:1" x14ac:dyDescent="0.25">
      <c r="A176" t="s">
        <v>1975</v>
      </c>
    </row>
    <row r="177" spans="1:1" x14ac:dyDescent="0.25">
      <c r="A177" t="s">
        <v>1440</v>
      </c>
    </row>
    <row r="178" spans="1:1" x14ac:dyDescent="0.25">
      <c r="A178" t="s">
        <v>1547</v>
      </c>
    </row>
    <row r="179" spans="1:1" x14ac:dyDescent="0.25">
      <c r="A179" t="s">
        <v>1761</v>
      </c>
    </row>
    <row r="180" spans="1:1" x14ac:dyDescent="0.25">
      <c r="A180" t="s">
        <v>1654</v>
      </c>
    </row>
    <row r="181" spans="1:1" x14ac:dyDescent="0.25">
      <c r="A181" t="s">
        <v>1868</v>
      </c>
    </row>
    <row r="182" spans="1:1" x14ac:dyDescent="0.25">
      <c r="A182" t="s">
        <v>1976</v>
      </c>
    </row>
    <row r="183" spans="1:1" x14ac:dyDescent="0.25">
      <c r="A183" t="s">
        <v>1441</v>
      </c>
    </row>
    <row r="184" spans="1:1" x14ac:dyDescent="0.25">
      <c r="A184" t="s">
        <v>1548</v>
      </c>
    </row>
    <row r="185" spans="1:1" x14ac:dyDescent="0.25">
      <c r="A185" t="s">
        <v>1762</v>
      </c>
    </row>
    <row r="186" spans="1:1" x14ac:dyDescent="0.25">
      <c r="A186" t="s">
        <v>1655</v>
      </c>
    </row>
    <row r="187" spans="1:1" x14ac:dyDescent="0.25">
      <c r="A187" t="s">
        <v>1869</v>
      </c>
    </row>
    <row r="188" spans="1:1" x14ac:dyDescent="0.25">
      <c r="A188" t="s">
        <v>1978</v>
      </c>
    </row>
    <row r="189" spans="1:1" x14ac:dyDescent="0.25">
      <c r="A189" t="s">
        <v>1443</v>
      </c>
    </row>
    <row r="190" spans="1:1" x14ac:dyDescent="0.25">
      <c r="A190" t="s">
        <v>1550</v>
      </c>
    </row>
    <row r="191" spans="1:1" x14ac:dyDescent="0.25">
      <c r="A191" t="s">
        <v>1764</v>
      </c>
    </row>
    <row r="192" spans="1:1" x14ac:dyDescent="0.25">
      <c r="A192" t="s">
        <v>1657</v>
      </c>
    </row>
    <row r="193" spans="1:1" x14ac:dyDescent="0.25">
      <c r="A193" t="s">
        <v>1871</v>
      </c>
    </row>
    <row r="194" spans="1:1" x14ac:dyDescent="0.25">
      <c r="A194" t="s">
        <v>1979</v>
      </c>
    </row>
    <row r="195" spans="1:1" x14ac:dyDescent="0.25">
      <c r="A195" t="s">
        <v>1444</v>
      </c>
    </row>
    <row r="196" spans="1:1" x14ac:dyDescent="0.25">
      <c r="A196" t="s">
        <v>1551</v>
      </c>
    </row>
    <row r="197" spans="1:1" x14ac:dyDescent="0.25">
      <c r="A197" t="s">
        <v>1765</v>
      </c>
    </row>
    <row r="198" spans="1:1" x14ac:dyDescent="0.25">
      <c r="A198" t="s">
        <v>1658</v>
      </c>
    </row>
    <row r="199" spans="1:1" x14ac:dyDescent="0.25">
      <c r="A199" t="s">
        <v>1872</v>
      </c>
    </row>
    <row r="200" spans="1:1" x14ac:dyDescent="0.25">
      <c r="A200" t="s">
        <v>1980</v>
      </c>
    </row>
    <row r="201" spans="1:1" x14ac:dyDescent="0.25">
      <c r="A201" t="s">
        <v>1445</v>
      </c>
    </row>
    <row r="202" spans="1:1" x14ac:dyDescent="0.25">
      <c r="A202" t="s">
        <v>1552</v>
      </c>
    </row>
    <row r="203" spans="1:1" x14ac:dyDescent="0.25">
      <c r="A203" t="s">
        <v>1766</v>
      </c>
    </row>
    <row r="204" spans="1:1" x14ac:dyDescent="0.25">
      <c r="A204" t="s">
        <v>1659</v>
      </c>
    </row>
    <row r="205" spans="1:1" x14ac:dyDescent="0.25">
      <c r="A205" t="s">
        <v>1873</v>
      </c>
    </row>
    <row r="206" spans="1:1" x14ac:dyDescent="0.25">
      <c r="A206" t="s">
        <v>1981</v>
      </c>
    </row>
    <row r="207" spans="1:1" x14ac:dyDescent="0.25">
      <c r="A207" t="s">
        <v>1446</v>
      </c>
    </row>
    <row r="208" spans="1:1" x14ac:dyDescent="0.25">
      <c r="A208" t="s">
        <v>1553</v>
      </c>
    </row>
    <row r="209" spans="1:1" x14ac:dyDescent="0.25">
      <c r="A209" t="s">
        <v>1767</v>
      </c>
    </row>
    <row r="210" spans="1:1" x14ac:dyDescent="0.25">
      <c r="A210" t="s">
        <v>1660</v>
      </c>
    </row>
    <row r="211" spans="1:1" x14ac:dyDescent="0.25">
      <c r="A211" t="s">
        <v>1874</v>
      </c>
    </row>
    <row r="212" spans="1:1" x14ac:dyDescent="0.25">
      <c r="A212" t="s">
        <v>1982</v>
      </c>
    </row>
    <row r="213" spans="1:1" x14ac:dyDescent="0.25">
      <c r="A213" t="s">
        <v>1447</v>
      </c>
    </row>
    <row r="214" spans="1:1" x14ac:dyDescent="0.25">
      <c r="A214" t="s">
        <v>1554</v>
      </c>
    </row>
    <row r="215" spans="1:1" x14ac:dyDescent="0.25">
      <c r="A215" t="s">
        <v>1768</v>
      </c>
    </row>
    <row r="216" spans="1:1" x14ac:dyDescent="0.25">
      <c r="A216" t="s">
        <v>1661</v>
      </c>
    </row>
    <row r="217" spans="1:1" x14ac:dyDescent="0.25">
      <c r="A217" t="s">
        <v>1875</v>
      </c>
    </row>
    <row r="218" spans="1:1" x14ac:dyDescent="0.25">
      <c r="A218" t="s">
        <v>1983</v>
      </c>
    </row>
    <row r="219" spans="1:1" x14ac:dyDescent="0.25">
      <c r="A219" t="s">
        <v>1448</v>
      </c>
    </row>
    <row r="220" spans="1:1" x14ac:dyDescent="0.25">
      <c r="A220" t="s">
        <v>1555</v>
      </c>
    </row>
    <row r="221" spans="1:1" x14ac:dyDescent="0.25">
      <c r="A221" t="s">
        <v>1769</v>
      </c>
    </row>
    <row r="222" spans="1:1" x14ac:dyDescent="0.25">
      <c r="A222" t="s">
        <v>1662</v>
      </c>
    </row>
    <row r="223" spans="1:1" x14ac:dyDescent="0.25">
      <c r="A223" t="s">
        <v>1876</v>
      </c>
    </row>
    <row r="224" spans="1:1" x14ac:dyDescent="0.25">
      <c r="A224" t="s">
        <v>1985</v>
      </c>
    </row>
    <row r="225" spans="1:1" x14ac:dyDescent="0.25">
      <c r="A225" t="s">
        <v>1450</v>
      </c>
    </row>
    <row r="226" spans="1:1" x14ac:dyDescent="0.25">
      <c r="A226" t="s">
        <v>1557</v>
      </c>
    </row>
    <row r="227" spans="1:1" x14ac:dyDescent="0.25">
      <c r="A227" t="s">
        <v>1771</v>
      </c>
    </row>
    <row r="228" spans="1:1" x14ac:dyDescent="0.25">
      <c r="A228" t="s">
        <v>1664</v>
      </c>
    </row>
    <row r="229" spans="1:1" x14ac:dyDescent="0.25">
      <c r="A229" t="s">
        <v>1878</v>
      </c>
    </row>
    <row r="230" spans="1:1" x14ac:dyDescent="0.25">
      <c r="A230" t="s">
        <v>1986</v>
      </c>
    </row>
    <row r="231" spans="1:1" x14ac:dyDescent="0.25">
      <c r="A231" t="s">
        <v>1451</v>
      </c>
    </row>
    <row r="232" spans="1:1" x14ac:dyDescent="0.25">
      <c r="A232" t="s">
        <v>1558</v>
      </c>
    </row>
    <row r="233" spans="1:1" x14ac:dyDescent="0.25">
      <c r="A233" t="s">
        <v>1772</v>
      </c>
    </row>
    <row r="234" spans="1:1" x14ac:dyDescent="0.25">
      <c r="A234" t="s">
        <v>1665</v>
      </c>
    </row>
    <row r="235" spans="1:1" x14ac:dyDescent="0.25">
      <c r="A235" t="s">
        <v>1879</v>
      </c>
    </row>
    <row r="236" spans="1:1" x14ac:dyDescent="0.25">
      <c r="A236" t="s">
        <v>1987</v>
      </c>
    </row>
    <row r="237" spans="1:1" x14ac:dyDescent="0.25">
      <c r="A237" t="s">
        <v>1452</v>
      </c>
    </row>
    <row r="238" spans="1:1" x14ac:dyDescent="0.25">
      <c r="A238" t="s">
        <v>1559</v>
      </c>
    </row>
    <row r="239" spans="1:1" x14ac:dyDescent="0.25">
      <c r="A239" t="s">
        <v>1773</v>
      </c>
    </row>
    <row r="240" spans="1:1" x14ac:dyDescent="0.25">
      <c r="A240" t="s">
        <v>1666</v>
      </c>
    </row>
    <row r="241" spans="1:1" x14ac:dyDescent="0.25">
      <c r="A241" t="s">
        <v>1880</v>
      </c>
    </row>
    <row r="242" spans="1:1" x14ac:dyDescent="0.25">
      <c r="A242" t="s">
        <v>1988</v>
      </c>
    </row>
    <row r="243" spans="1:1" x14ac:dyDescent="0.25">
      <c r="A243" t="s">
        <v>1453</v>
      </c>
    </row>
    <row r="244" spans="1:1" x14ac:dyDescent="0.25">
      <c r="A244" t="s">
        <v>1560</v>
      </c>
    </row>
    <row r="245" spans="1:1" x14ac:dyDescent="0.25">
      <c r="A245" t="s">
        <v>1774</v>
      </c>
    </row>
    <row r="246" spans="1:1" x14ac:dyDescent="0.25">
      <c r="A246" t="s">
        <v>1667</v>
      </c>
    </row>
    <row r="247" spans="1:1" x14ac:dyDescent="0.25">
      <c r="A247" t="s">
        <v>1881</v>
      </c>
    </row>
    <row r="248" spans="1:1" x14ac:dyDescent="0.25">
      <c r="A248" t="s">
        <v>1989</v>
      </c>
    </row>
    <row r="249" spans="1:1" x14ac:dyDescent="0.25">
      <c r="A249" t="s">
        <v>1454</v>
      </c>
    </row>
    <row r="250" spans="1:1" x14ac:dyDescent="0.25">
      <c r="A250" t="s">
        <v>1561</v>
      </c>
    </row>
    <row r="251" spans="1:1" x14ac:dyDescent="0.25">
      <c r="A251" t="s">
        <v>1775</v>
      </c>
    </row>
    <row r="252" spans="1:1" x14ac:dyDescent="0.25">
      <c r="A252" t="s">
        <v>1668</v>
      </c>
    </row>
    <row r="253" spans="1:1" x14ac:dyDescent="0.25">
      <c r="A253" t="s">
        <v>1882</v>
      </c>
    </row>
    <row r="254" spans="1:1" x14ac:dyDescent="0.25">
      <c r="A254" t="s">
        <v>1990</v>
      </c>
    </row>
    <row r="255" spans="1:1" x14ac:dyDescent="0.25">
      <c r="A255" t="s">
        <v>1455</v>
      </c>
    </row>
    <row r="256" spans="1:1" x14ac:dyDescent="0.25">
      <c r="A256" t="s">
        <v>1562</v>
      </c>
    </row>
    <row r="257" spans="1:1" x14ac:dyDescent="0.25">
      <c r="A257" t="s">
        <v>1776</v>
      </c>
    </row>
    <row r="258" spans="1:1" x14ac:dyDescent="0.25">
      <c r="A258" t="s">
        <v>1669</v>
      </c>
    </row>
    <row r="259" spans="1:1" x14ac:dyDescent="0.25">
      <c r="A259" t="s">
        <v>1883</v>
      </c>
    </row>
    <row r="260" spans="1:1" x14ac:dyDescent="0.25">
      <c r="A260" t="s">
        <v>1992</v>
      </c>
    </row>
    <row r="261" spans="1:1" x14ac:dyDescent="0.25">
      <c r="A261" t="s">
        <v>1457</v>
      </c>
    </row>
    <row r="262" spans="1:1" x14ac:dyDescent="0.25">
      <c r="A262" t="s">
        <v>1564</v>
      </c>
    </row>
    <row r="263" spans="1:1" x14ac:dyDescent="0.25">
      <c r="A263" t="s">
        <v>1778</v>
      </c>
    </row>
    <row r="264" spans="1:1" x14ac:dyDescent="0.25">
      <c r="A264" t="s">
        <v>1671</v>
      </c>
    </row>
    <row r="265" spans="1:1" x14ac:dyDescent="0.25">
      <c r="A265" t="s">
        <v>1885</v>
      </c>
    </row>
    <row r="266" spans="1:1" x14ac:dyDescent="0.25">
      <c r="A266" t="s">
        <v>1993</v>
      </c>
    </row>
    <row r="267" spans="1:1" x14ac:dyDescent="0.25">
      <c r="A267" t="s">
        <v>1458</v>
      </c>
    </row>
    <row r="268" spans="1:1" x14ac:dyDescent="0.25">
      <c r="A268" t="s">
        <v>1565</v>
      </c>
    </row>
    <row r="269" spans="1:1" x14ac:dyDescent="0.25">
      <c r="A269" t="s">
        <v>1779</v>
      </c>
    </row>
    <row r="270" spans="1:1" x14ac:dyDescent="0.25">
      <c r="A270" t="s">
        <v>1672</v>
      </c>
    </row>
    <row r="271" spans="1:1" x14ac:dyDescent="0.25">
      <c r="A271" t="s">
        <v>1886</v>
      </c>
    </row>
    <row r="272" spans="1:1" x14ac:dyDescent="0.25">
      <c r="A272" t="s">
        <v>1994</v>
      </c>
    </row>
    <row r="273" spans="1:1" x14ac:dyDescent="0.25">
      <c r="A273" t="s">
        <v>1459</v>
      </c>
    </row>
    <row r="274" spans="1:1" x14ac:dyDescent="0.25">
      <c r="A274" t="s">
        <v>1566</v>
      </c>
    </row>
    <row r="275" spans="1:1" x14ac:dyDescent="0.25">
      <c r="A275" t="s">
        <v>1780</v>
      </c>
    </row>
    <row r="276" spans="1:1" x14ac:dyDescent="0.25">
      <c r="A276" t="s">
        <v>1673</v>
      </c>
    </row>
    <row r="277" spans="1:1" x14ac:dyDescent="0.25">
      <c r="A277" t="s">
        <v>1887</v>
      </c>
    </row>
    <row r="278" spans="1:1" x14ac:dyDescent="0.25">
      <c r="A278" t="s">
        <v>1995</v>
      </c>
    </row>
    <row r="279" spans="1:1" x14ac:dyDescent="0.25">
      <c r="A279" t="s">
        <v>1460</v>
      </c>
    </row>
    <row r="280" spans="1:1" x14ac:dyDescent="0.25">
      <c r="A280" t="s">
        <v>1567</v>
      </c>
    </row>
    <row r="281" spans="1:1" x14ac:dyDescent="0.25">
      <c r="A281" t="s">
        <v>1781</v>
      </c>
    </row>
    <row r="282" spans="1:1" x14ac:dyDescent="0.25">
      <c r="A282" t="s">
        <v>1674</v>
      </c>
    </row>
    <row r="283" spans="1:1" x14ac:dyDescent="0.25">
      <c r="A283" t="s">
        <v>1888</v>
      </c>
    </row>
    <row r="284" spans="1:1" x14ac:dyDescent="0.25">
      <c r="A284" t="s">
        <v>1996</v>
      </c>
    </row>
    <row r="285" spans="1:1" x14ac:dyDescent="0.25">
      <c r="A285" t="s">
        <v>1461</v>
      </c>
    </row>
    <row r="286" spans="1:1" x14ac:dyDescent="0.25">
      <c r="A286" t="s">
        <v>1568</v>
      </c>
    </row>
    <row r="287" spans="1:1" x14ac:dyDescent="0.25">
      <c r="A287" t="s">
        <v>1782</v>
      </c>
    </row>
    <row r="288" spans="1:1" x14ac:dyDescent="0.25">
      <c r="A288" t="s">
        <v>1675</v>
      </c>
    </row>
    <row r="289" spans="1:1" x14ac:dyDescent="0.25">
      <c r="A289" t="s">
        <v>1889</v>
      </c>
    </row>
    <row r="290" spans="1:1" x14ac:dyDescent="0.25">
      <c r="A290" t="s">
        <v>1997</v>
      </c>
    </row>
    <row r="291" spans="1:1" x14ac:dyDescent="0.25">
      <c r="A291" t="s">
        <v>1462</v>
      </c>
    </row>
    <row r="292" spans="1:1" x14ac:dyDescent="0.25">
      <c r="A292" t="s">
        <v>1569</v>
      </c>
    </row>
    <row r="293" spans="1:1" x14ac:dyDescent="0.25">
      <c r="A293" t="s">
        <v>1783</v>
      </c>
    </row>
    <row r="294" spans="1:1" x14ac:dyDescent="0.25">
      <c r="A294" t="s">
        <v>1676</v>
      </c>
    </row>
    <row r="295" spans="1:1" x14ac:dyDescent="0.25">
      <c r="A295" t="s">
        <v>1890</v>
      </c>
    </row>
    <row r="296" spans="1:1" x14ac:dyDescent="0.25">
      <c r="A296" t="s">
        <v>2000</v>
      </c>
    </row>
    <row r="297" spans="1:1" x14ac:dyDescent="0.25">
      <c r="A297" t="s">
        <v>1465</v>
      </c>
    </row>
    <row r="298" spans="1:1" x14ac:dyDescent="0.25">
      <c r="A298" t="s">
        <v>1572</v>
      </c>
    </row>
    <row r="299" spans="1:1" x14ac:dyDescent="0.25">
      <c r="A299" t="s">
        <v>1786</v>
      </c>
    </row>
    <row r="300" spans="1:1" x14ac:dyDescent="0.25">
      <c r="A300" t="s">
        <v>1679</v>
      </c>
    </row>
    <row r="301" spans="1:1" x14ac:dyDescent="0.25">
      <c r="A301" t="s">
        <v>1893</v>
      </c>
    </row>
    <row r="302" spans="1:1" x14ac:dyDescent="0.25">
      <c r="A302" t="s">
        <v>2001</v>
      </c>
    </row>
    <row r="303" spans="1:1" x14ac:dyDescent="0.25">
      <c r="A303" t="s">
        <v>1466</v>
      </c>
    </row>
    <row r="304" spans="1:1" x14ac:dyDescent="0.25">
      <c r="A304" t="s">
        <v>1573</v>
      </c>
    </row>
    <row r="305" spans="1:1" x14ac:dyDescent="0.25">
      <c r="A305" t="s">
        <v>1787</v>
      </c>
    </row>
    <row r="306" spans="1:1" x14ac:dyDescent="0.25">
      <c r="A306" t="s">
        <v>1680</v>
      </c>
    </row>
    <row r="307" spans="1:1" x14ac:dyDescent="0.25">
      <c r="A307" t="s">
        <v>1894</v>
      </c>
    </row>
    <row r="308" spans="1:1" x14ac:dyDescent="0.25">
      <c r="A308" t="s">
        <v>2002</v>
      </c>
    </row>
    <row r="309" spans="1:1" x14ac:dyDescent="0.25">
      <c r="A309" t="s">
        <v>1467</v>
      </c>
    </row>
    <row r="310" spans="1:1" x14ac:dyDescent="0.25">
      <c r="A310" t="s">
        <v>1574</v>
      </c>
    </row>
    <row r="311" spans="1:1" x14ac:dyDescent="0.25">
      <c r="A311" t="s">
        <v>1788</v>
      </c>
    </row>
    <row r="312" spans="1:1" x14ac:dyDescent="0.25">
      <c r="A312" t="s">
        <v>1681</v>
      </c>
    </row>
    <row r="313" spans="1:1" x14ac:dyDescent="0.25">
      <c r="A313" t="s">
        <v>1895</v>
      </c>
    </row>
    <row r="314" spans="1:1" x14ac:dyDescent="0.25">
      <c r="A314" t="s">
        <v>2003</v>
      </c>
    </row>
    <row r="315" spans="1:1" x14ac:dyDescent="0.25">
      <c r="A315" t="s">
        <v>1468</v>
      </c>
    </row>
    <row r="316" spans="1:1" x14ac:dyDescent="0.25">
      <c r="A316" t="s">
        <v>1575</v>
      </c>
    </row>
    <row r="317" spans="1:1" x14ac:dyDescent="0.25">
      <c r="A317" t="s">
        <v>1789</v>
      </c>
    </row>
    <row r="318" spans="1:1" x14ac:dyDescent="0.25">
      <c r="A318" t="s">
        <v>1682</v>
      </c>
    </row>
    <row r="319" spans="1:1" x14ac:dyDescent="0.25">
      <c r="A319" t="s">
        <v>1896</v>
      </c>
    </row>
    <row r="320" spans="1:1" x14ac:dyDescent="0.25">
      <c r="A320" t="s">
        <v>2004</v>
      </c>
    </row>
    <row r="321" spans="1:1" x14ac:dyDescent="0.25">
      <c r="A321" t="s">
        <v>1469</v>
      </c>
    </row>
    <row r="322" spans="1:1" x14ac:dyDescent="0.25">
      <c r="A322" t="s">
        <v>1576</v>
      </c>
    </row>
    <row r="323" spans="1:1" x14ac:dyDescent="0.25">
      <c r="A323" t="s">
        <v>1790</v>
      </c>
    </row>
    <row r="324" spans="1:1" x14ac:dyDescent="0.25">
      <c r="A324" t="s">
        <v>1683</v>
      </c>
    </row>
    <row r="325" spans="1:1" x14ac:dyDescent="0.25">
      <c r="A325" t="s">
        <v>1897</v>
      </c>
    </row>
    <row r="326" spans="1:1" x14ac:dyDescent="0.25">
      <c r="A326" t="s">
        <v>2005</v>
      </c>
    </row>
    <row r="327" spans="1:1" x14ac:dyDescent="0.25">
      <c r="A327" t="s">
        <v>1470</v>
      </c>
    </row>
    <row r="328" spans="1:1" x14ac:dyDescent="0.25">
      <c r="A328" t="s">
        <v>1577</v>
      </c>
    </row>
    <row r="329" spans="1:1" x14ac:dyDescent="0.25">
      <c r="A329" t="s">
        <v>1791</v>
      </c>
    </row>
    <row r="330" spans="1:1" x14ac:dyDescent="0.25">
      <c r="A330" t="s">
        <v>1684</v>
      </c>
    </row>
    <row r="331" spans="1:1" x14ac:dyDescent="0.25">
      <c r="A331" t="s">
        <v>1898</v>
      </c>
    </row>
    <row r="332" spans="1:1" x14ac:dyDescent="0.25">
      <c r="A332" t="s">
        <v>2007</v>
      </c>
    </row>
    <row r="333" spans="1:1" x14ac:dyDescent="0.25">
      <c r="A333" t="s">
        <v>1472</v>
      </c>
    </row>
    <row r="334" spans="1:1" x14ac:dyDescent="0.25">
      <c r="A334" t="s">
        <v>1579</v>
      </c>
    </row>
    <row r="335" spans="1:1" x14ac:dyDescent="0.25">
      <c r="A335" t="s">
        <v>1793</v>
      </c>
    </row>
    <row r="336" spans="1:1" x14ac:dyDescent="0.25">
      <c r="A336" t="s">
        <v>1686</v>
      </c>
    </row>
    <row r="337" spans="1:1" x14ac:dyDescent="0.25">
      <c r="A337" t="s">
        <v>1900</v>
      </c>
    </row>
    <row r="338" spans="1:1" x14ac:dyDescent="0.25">
      <c r="A338" t="s">
        <v>2008</v>
      </c>
    </row>
    <row r="339" spans="1:1" x14ac:dyDescent="0.25">
      <c r="A339" t="s">
        <v>1473</v>
      </c>
    </row>
    <row r="340" spans="1:1" x14ac:dyDescent="0.25">
      <c r="A340" t="s">
        <v>1580</v>
      </c>
    </row>
    <row r="341" spans="1:1" x14ac:dyDescent="0.25">
      <c r="A341" t="s">
        <v>1794</v>
      </c>
    </row>
    <row r="342" spans="1:1" x14ac:dyDescent="0.25">
      <c r="A342" t="s">
        <v>1687</v>
      </c>
    </row>
    <row r="343" spans="1:1" x14ac:dyDescent="0.25">
      <c r="A343" t="s">
        <v>1901</v>
      </c>
    </row>
    <row r="344" spans="1:1" x14ac:dyDescent="0.25">
      <c r="A344" t="s">
        <v>2009</v>
      </c>
    </row>
    <row r="345" spans="1:1" x14ac:dyDescent="0.25">
      <c r="A345" t="s">
        <v>1474</v>
      </c>
    </row>
    <row r="346" spans="1:1" x14ac:dyDescent="0.25">
      <c r="A346" t="s">
        <v>1581</v>
      </c>
    </row>
    <row r="347" spans="1:1" x14ac:dyDescent="0.25">
      <c r="A347" t="s">
        <v>1795</v>
      </c>
    </row>
    <row r="348" spans="1:1" x14ac:dyDescent="0.25">
      <c r="A348" t="s">
        <v>1688</v>
      </c>
    </row>
    <row r="349" spans="1:1" x14ac:dyDescent="0.25">
      <c r="A349" t="s">
        <v>1902</v>
      </c>
    </row>
    <row r="350" spans="1:1" x14ac:dyDescent="0.25">
      <c r="A350" t="s">
        <v>2010</v>
      </c>
    </row>
    <row r="351" spans="1:1" x14ac:dyDescent="0.25">
      <c r="A351" t="s">
        <v>1475</v>
      </c>
    </row>
    <row r="352" spans="1:1" x14ac:dyDescent="0.25">
      <c r="A352" t="s">
        <v>1582</v>
      </c>
    </row>
    <row r="353" spans="1:1" x14ac:dyDescent="0.25">
      <c r="A353" t="s">
        <v>1796</v>
      </c>
    </row>
    <row r="354" spans="1:1" x14ac:dyDescent="0.25">
      <c r="A354" t="s">
        <v>1689</v>
      </c>
    </row>
    <row r="355" spans="1:1" x14ac:dyDescent="0.25">
      <c r="A355" t="s">
        <v>1903</v>
      </c>
    </row>
    <row r="356" spans="1:1" x14ac:dyDescent="0.25">
      <c r="A356" t="s">
        <v>2011</v>
      </c>
    </row>
    <row r="357" spans="1:1" x14ac:dyDescent="0.25">
      <c r="A357" t="s">
        <v>1476</v>
      </c>
    </row>
    <row r="358" spans="1:1" x14ac:dyDescent="0.25">
      <c r="A358" t="s">
        <v>1583</v>
      </c>
    </row>
    <row r="359" spans="1:1" x14ac:dyDescent="0.25">
      <c r="A359" t="s">
        <v>1797</v>
      </c>
    </row>
    <row r="360" spans="1:1" x14ac:dyDescent="0.25">
      <c r="A360" t="s">
        <v>1690</v>
      </c>
    </row>
    <row r="361" spans="1:1" x14ac:dyDescent="0.25">
      <c r="A361" t="s">
        <v>1904</v>
      </c>
    </row>
    <row r="362" spans="1:1" x14ac:dyDescent="0.25">
      <c r="A362" t="s">
        <v>2012</v>
      </c>
    </row>
    <row r="363" spans="1:1" x14ac:dyDescent="0.25">
      <c r="A363" t="s">
        <v>1477</v>
      </c>
    </row>
    <row r="364" spans="1:1" x14ac:dyDescent="0.25">
      <c r="A364" t="s">
        <v>1584</v>
      </c>
    </row>
    <row r="365" spans="1:1" x14ac:dyDescent="0.25">
      <c r="A365" t="s">
        <v>1798</v>
      </c>
    </row>
    <row r="366" spans="1:1" x14ac:dyDescent="0.25">
      <c r="A366" t="s">
        <v>1691</v>
      </c>
    </row>
    <row r="367" spans="1:1" x14ac:dyDescent="0.25">
      <c r="A367" t="s">
        <v>1905</v>
      </c>
    </row>
    <row r="368" spans="1:1" x14ac:dyDescent="0.25">
      <c r="A368" t="s">
        <v>2013</v>
      </c>
    </row>
    <row r="369" spans="1:1" x14ac:dyDescent="0.25">
      <c r="A369" t="s">
        <v>1478</v>
      </c>
    </row>
    <row r="370" spans="1:1" x14ac:dyDescent="0.25">
      <c r="A370" t="s">
        <v>1585</v>
      </c>
    </row>
    <row r="371" spans="1:1" x14ac:dyDescent="0.25">
      <c r="A371" t="s">
        <v>1799</v>
      </c>
    </row>
    <row r="372" spans="1:1" x14ac:dyDescent="0.25">
      <c r="A372" t="s">
        <v>1692</v>
      </c>
    </row>
    <row r="373" spans="1:1" x14ac:dyDescent="0.25">
      <c r="A373" t="s">
        <v>1906</v>
      </c>
    </row>
    <row r="374" spans="1:1" x14ac:dyDescent="0.25">
      <c r="A374" t="s">
        <v>1999</v>
      </c>
    </row>
    <row r="375" spans="1:1" x14ac:dyDescent="0.25">
      <c r="A375" t="s">
        <v>1464</v>
      </c>
    </row>
    <row r="376" spans="1:1" x14ac:dyDescent="0.25">
      <c r="A376" t="s">
        <v>1571</v>
      </c>
    </row>
    <row r="377" spans="1:1" x14ac:dyDescent="0.25">
      <c r="A377" t="s">
        <v>1785</v>
      </c>
    </row>
    <row r="378" spans="1:1" x14ac:dyDescent="0.25">
      <c r="A378" t="s">
        <v>1678</v>
      </c>
    </row>
    <row r="379" spans="1:1" x14ac:dyDescent="0.25">
      <c r="A379" t="s">
        <v>1892</v>
      </c>
    </row>
    <row r="380" spans="1:1" x14ac:dyDescent="0.25">
      <c r="A380" t="s">
        <v>1956</v>
      </c>
    </row>
    <row r="381" spans="1:1" x14ac:dyDescent="0.25">
      <c r="A381" t="s">
        <v>1421</v>
      </c>
    </row>
    <row r="382" spans="1:1" x14ac:dyDescent="0.25">
      <c r="A382" t="s">
        <v>1528</v>
      </c>
    </row>
    <row r="383" spans="1:1" x14ac:dyDescent="0.25">
      <c r="A383" t="s">
        <v>1742</v>
      </c>
    </row>
    <row r="384" spans="1:1" x14ac:dyDescent="0.25">
      <c r="A384" t="s">
        <v>1635</v>
      </c>
    </row>
    <row r="385" spans="1:1" x14ac:dyDescent="0.25">
      <c r="A385" t="s">
        <v>1849</v>
      </c>
    </row>
    <row r="386" spans="1:1" x14ac:dyDescent="0.25">
      <c r="A386" t="s">
        <v>1963</v>
      </c>
    </row>
    <row r="387" spans="1:1" x14ac:dyDescent="0.25">
      <c r="A387" t="s">
        <v>1428</v>
      </c>
    </row>
    <row r="388" spans="1:1" x14ac:dyDescent="0.25">
      <c r="A388" t="s">
        <v>1535</v>
      </c>
    </row>
    <row r="389" spans="1:1" x14ac:dyDescent="0.25">
      <c r="A389" t="s">
        <v>1749</v>
      </c>
    </row>
    <row r="390" spans="1:1" x14ac:dyDescent="0.25">
      <c r="A390" t="s">
        <v>1642</v>
      </c>
    </row>
    <row r="391" spans="1:1" x14ac:dyDescent="0.25">
      <c r="A391" t="s">
        <v>1856</v>
      </c>
    </row>
    <row r="392" spans="1:1" x14ac:dyDescent="0.25">
      <c r="A392" t="s">
        <v>1970</v>
      </c>
    </row>
    <row r="393" spans="1:1" x14ac:dyDescent="0.25">
      <c r="A393" t="s">
        <v>1435</v>
      </c>
    </row>
    <row r="394" spans="1:1" x14ac:dyDescent="0.25">
      <c r="A394" t="s">
        <v>1542</v>
      </c>
    </row>
    <row r="395" spans="1:1" x14ac:dyDescent="0.25">
      <c r="A395" t="s">
        <v>1756</v>
      </c>
    </row>
    <row r="396" spans="1:1" x14ac:dyDescent="0.25">
      <c r="A396" t="s">
        <v>1649</v>
      </c>
    </row>
    <row r="397" spans="1:1" x14ac:dyDescent="0.25">
      <c r="A397" t="s">
        <v>1863</v>
      </c>
    </row>
    <row r="398" spans="1:1" x14ac:dyDescent="0.25">
      <c r="A398" t="s">
        <v>1977</v>
      </c>
    </row>
    <row r="399" spans="1:1" x14ac:dyDescent="0.25">
      <c r="A399" t="s">
        <v>1442</v>
      </c>
    </row>
    <row r="400" spans="1:1" x14ac:dyDescent="0.25">
      <c r="A400" t="s">
        <v>1549</v>
      </c>
    </row>
    <row r="401" spans="1:1" x14ac:dyDescent="0.25">
      <c r="A401" t="s">
        <v>1763</v>
      </c>
    </row>
    <row r="402" spans="1:1" x14ac:dyDescent="0.25">
      <c r="A402" t="s">
        <v>1656</v>
      </c>
    </row>
    <row r="403" spans="1:1" x14ac:dyDescent="0.25">
      <c r="A403" t="s">
        <v>1870</v>
      </c>
    </row>
    <row r="404" spans="1:1" x14ac:dyDescent="0.25">
      <c r="A404" t="s">
        <v>1984</v>
      </c>
    </row>
    <row r="405" spans="1:1" x14ac:dyDescent="0.25">
      <c r="A405" t="s">
        <v>1449</v>
      </c>
    </row>
    <row r="406" spans="1:1" x14ac:dyDescent="0.25">
      <c r="A406" t="s">
        <v>1556</v>
      </c>
    </row>
    <row r="407" spans="1:1" x14ac:dyDescent="0.25">
      <c r="A407" t="s">
        <v>1770</v>
      </c>
    </row>
    <row r="408" spans="1:1" x14ac:dyDescent="0.25">
      <c r="A408" t="s">
        <v>1663</v>
      </c>
    </row>
    <row r="409" spans="1:1" x14ac:dyDescent="0.25">
      <c r="A409" t="s">
        <v>1877</v>
      </c>
    </row>
    <row r="410" spans="1:1" x14ac:dyDescent="0.25">
      <c r="A410" t="s">
        <v>1991</v>
      </c>
    </row>
    <row r="411" spans="1:1" x14ac:dyDescent="0.25">
      <c r="A411" t="s">
        <v>1456</v>
      </c>
    </row>
    <row r="412" spans="1:1" x14ac:dyDescent="0.25">
      <c r="A412" t="s">
        <v>1563</v>
      </c>
    </row>
    <row r="413" spans="1:1" x14ac:dyDescent="0.25">
      <c r="A413" t="s">
        <v>1777</v>
      </c>
    </row>
    <row r="414" spans="1:1" x14ac:dyDescent="0.25">
      <c r="A414" t="s">
        <v>1670</v>
      </c>
    </row>
    <row r="415" spans="1:1" x14ac:dyDescent="0.25">
      <c r="A415" t="s">
        <v>1884</v>
      </c>
    </row>
    <row r="416" spans="1:1" x14ac:dyDescent="0.25">
      <c r="A416" t="s">
        <v>1998</v>
      </c>
    </row>
    <row r="417" spans="1:1" x14ac:dyDescent="0.25">
      <c r="A417" t="s">
        <v>1463</v>
      </c>
    </row>
    <row r="418" spans="1:1" x14ac:dyDescent="0.25">
      <c r="A418" t="s">
        <v>1570</v>
      </c>
    </row>
    <row r="419" spans="1:1" x14ac:dyDescent="0.25">
      <c r="A419" t="s">
        <v>1784</v>
      </c>
    </row>
    <row r="420" spans="1:1" x14ac:dyDescent="0.25">
      <c r="A420" t="s">
        <v>1677</v>
      </c>
    </row>
    <row r="421" spans="1:1" x14ac:dyDescent="0.25">
      <c r="A421" t="s">
        <v>1891</v>
      </c>
    </row>
    <row r="422" spans="1:1" x14ac:dyDescent="0.25">
      <c r="A422" t="s">
        <v>2006</v>
      </c>
    </row>
    <row r="423" spans="1:1" x14ac:dyDescent="0.25">
      <c r="A423" t="s">
        <v>1471</v>
      </c>
    </row>
    <row r="424" spans="1:1" x14ac:dyDescent="0.25">
      <c r="A424" t="s">
        <v>1578</v>
      </c>
    </row>
    <row r="425" spans="1:1" x14ac:dyDescent="0.25">
      <c r="A425" t="s">
        <v>1792</v>
      </c>
    </row>
    <row r="426" spans="1:1" x14ac:dyDescent="0.25">
      <c r="A426" t="s">
        <v>1685</v>
      </c>
    </row>
    <row r="427" spans="1:1" x14ac:dyDescent="0.25">
      <c r="A427" t="s">
        <v>1899</v>
      </c>
    </row>
    <row r="428" spans="1:1" x14ac:dyDescent="0.25">
      <c r="A428" t="s">
        <v>2014</v>
      </c>
    </row>
    <row r="429" spans="1:1" x14ac:dyDescent="0.25">
      <c r="A429" t="s">
        <v>1479</v>
      </c>
    </row>
    <row r="430" spans="1:1" x14ac:dyDescent="0.25">
      <c r="A430" t="s">
        <v>1586</v>
      </c>
    </row>
    <row r="431" spans="1:1" x14ac:dyDescent="0.25">
      <c r="A431" t="s">
        <v>1800</v>
      </c>
    </row>
    <row r="432" spans="1:1" x14ac:dyDescent="0.25">
      <c r="A432" t="s">
        <v>1693</v>
      </c>
    </row>
    <row r="433" spans="1:1" x14ac:dyDescent="0.25">
      <c r="A433" t="s">
        <v>1907</v>
      </c>
    </row>
    <row r="434" spans="1:1" x14ac:dyDescent="0.25">
      <c r="A434" t="s">
        <v>2015</v>
      </c>
    </row>
    <row r="435" spans="1:1" x14ac:dyDescent="0.25">
      <c r="A435" t="s">
        <v>1480</v>
      </c>
    </row>
    <row r="436" spans="1:1" x14ac:dyDescent="0.25">
      <c r="A436" t="s">
        <v>1587</v>
      </c>
    </row>
    <row r="437" spans="1:1" x14ac:dyDescent="0.25">
      <c r="A437" t="s">
        <v>1801</v>
      </c>
    </row>
    <row r="438" spans="1:1" x14ac:dyDescent="0.25">
      <c r="A438" t="s">
        <v>1694</v>
      </c>
    </row>
    <row r="439" spans="1:1" x14ac:dyDescent="0.25">
      <c r="A439" t="s">
        <v>1908</v>
      </c>
    </row>
    <row r="440" spans="1:1" x14ac:dyDescent="0.25">
      <c r="A440" t="s">
        <v>2016</v>
      </c>
    </row>
    <row r="441" spans="1:1" x14ac:dyDescent="0.25">
      <c r="A441" t="s">
        <v>1481</v>
      </c>
    </row>
    <row r="442" spans="1:1" x14ac:dyDescent="0.25">
      <c r="A442" t="s">
        <v>1588</v>
      </c>
    </row>
    <row r="443" spans="1:1" x14ac:dyDescent="0.25">
      <c r="A443" t="s">
        <v>1802</v>
      </c>
    </row>
    <row r="444" spans="1:1" x14ac:dyDescent="0.25">
      <c r="A444" t="s">
        <v>1695</v>
      </c>
    </row>
    <row r="445" spans="1:1" x14ac:dyDescent="0.25">
      <c r="A445" t="s">
        <v>1909</v>
      </c>
    </row>
    <row r="446" spans="1:1" x14ac:dyDescent="0.25">
      <c r="A446" t="s">
        <v>2017</v>
      </c>
    </row>
    <row r="447" spans="1:1" x14ac:dyDescent="0.25">
      <c r="A447" t="s">
        <v>1482</v>
      </c>
    </row>
    <row r="448" spans="1:1" x14ac:dyDescent="0.25">
      <c r="A448" t="s">
        <v>1589</v>
      </c>
    </row>
    <row r="449" spans="1:1" x14ac:dyDescent="0.25">
      <c r="A449" t="s">
        <v>1803</v>
      </c>
    </row>
    <row r="450" spans="1:1" x14ac:dyDescent="0.25">
      <c r="A450" t="s">
        <v>1696</v>
      </c>
    </row>
    <row r="451" spans="1:1" x14ac:dyDescent="0.25">
      <c r="A451" t="s">
        <v>1910</v>
      </c>
    </row>
    <row r="452" spans="1:1" x14ac:dyDescent="0.25">
      <c r="A452" t="s">
        <v>2018</v>
      </c>
    </row>
    <row r="453" spans="1:1" x14ac:dyDescent="0.25">
      <c r="A453" t="s">
        <v>1483</v>
      </c>
    </row>
    <row r="454" spans="1:1" x14ac:dyDescent="0.25">
      <c r="A454" t="s">
        <v>1590</v>
      </c>
    </row>
    <row r="455" spans="1:1" x14ac:dyDescent="0.25">
      <c r="A455" t="s">
        <v>1804</v>
      </c>
    </row>
    <row r="456" spans="1:1" x14ac:dyDescent="0.25">
      <c r="A456" t="s">
        <v>1697</v>
      </c>
    </row>
    <row r="457" spans="1:1" x14ac:dyDescent="0.25">
      <c r="A457" t="s">
        <v>1911</v>
      </c>
    </row>
    <row r="458" spans="1:1" x14ac:dyDescent="0.25">
      <c r="A458" t="s">
        <v>2019</v>
      </c>
    </row>
    <row r="459" spans="1:1" x14ac:dyDescent="0.25">
      <c r="A459" t="s">
        <v>1484</v>
      </c>
    </row>
    <row r="460" spans="1:1" x14ac:dyDescent="0.25">
      <c r="A460" t="s">
        <v>1591</v>
      </c>
    </row>
    <row r="461" spans="1:1" x14ac:dyDescent="0.25">
      <c r="A461" t="s">
        <v>1805</v>
      </c>
    </row>
    <row r="462" spans="1:1" x14ac:dyDescent="0.25">
      <c r="A462" t="s">
        <v>1698</v>
      </c>
    </row>
    <row r="463" spans="1:1" x14ac:dyDescent="0.25">
      <c r="A463" t="s">
        <v>1912</v>
      </c>
    </row>
    <row r="464" spans="1:1" x14ac:dyDescent="0.25">
      <c r="A464" t="s">
        <v>2021</v>
      </c>
    </row>
    <row r="465" spans="1:1" x14ac:dyDescent="0.25">
      <c r="A465" t="s">
        <v>1486</v>
      </c>
    </row>
    <row r="466" spans="1:1" x14ac:dyDescent="0.25">
      <c r="A466" t="s">
        <v>1593</v>
      </c>
    </row>
    <row r="467" spans="1:1" x14ac:dyDescent="0.25">
      <c r="A467" t="s">
        <v>1807</v>
      </c>
    </row>
    <row r="468" spans="1:1" x14ac:dyDescent="0.25">
      <c r="A468" t="s">
        <v>1700</v>
      </c>
    </row>
    <row r="469" spans="1:1" x14ac:dyDescent="0.25">
      <c r="A469" t="s">
        <v>1914</v>
      </c>
    </row>
    <row r="470" spans="1:1" x14ac:dyDescent="0.25">
      <c r="A470" t="s">
        <v>2022</v>
      </c>
    </row>
    <row r="471" spans="1:1" x14ac:dyDescent="0.25">
      <c r="A471" t="s">
        <v>1487</v>
      </c>
    </row>
    <row r="472" spans="1:1" x14ac:dyDescent="0.25">
      <c r="A472" t="s">
        <v>1594</v>
      </c>
    </row>
    <row r="473" spans="1:1" x14ac:dyDescent="0.25">
      <c r="A473" t="s">
        <v>1808</v>
      </c>
    </row>
    <row r="474" spans="1:1" x14ac:dyDescent="0.25">
      <c r="A474" t="s">
        <v>1701</v>
      </c>
    </row>
    <row r="475" spans="1:1" x14ac:dyDescent="0.25">
      <c r="A475" t="s">
        <v>1915</v>
      </c>
    </row>
    <row r="476" spans="1:1" x14ac:dyDescent="0.25">
      <c r="A476" t="s">
        <v>2023</v>
      </c>
    </row>
    <row r="477" spans="1:1" x14ac:dyDescent="0.25">
      <c r="A477" t="s">
        <v>1488</v>
      </c>
    </row>
    <row r="478" spans="1:1" x14ac:dyDescent="0.25">
      <c r="A478" t="s">
        <v>1595</v>
      </c>
    </row>
    <row r="479" spans="1:1" x14ac:dyDescent="0.25">
      <c r="A479" t="s">
        <v>1809</v>
      </c>
    </row>
    <row r="480" spans="1:1" x14ac:dyDescent="0.25">
      <c r="A480" t="s">
        <v>1702</v>
      </c>
    </row>
    <row r="481" spans="1:1" x14ac:dyDescent="0.25">
      <c r="A481" t="s">
        <v>1916</v>
      </c>
    </row>
    <row r="482" spans="1:1" x14ac:dyDescent="0.25">
      <c r="A482" t="s">
        <v>2024</v>
      </c>
    </row>
    <row r="483" spans="1:1" x14ac:dyDescent="0.25">
      <c r="A483" t="s">
        <v>1489</v>
      </c>
    </row>
    <row r="484" spans="1:1" x14ac:dyDescent="0.25">
      <c r="A484" t="s">
        <v>1596</v>
      </c>
    </row>
    <row r="485" spans="1:1" x14ac:dyDescent="0.25">
      <c r="A485" t="s">
        <v>1810</v>
      </c>
    </row>
    <row r="486" spans="1:1" x14ac:dyDescent="0.25">
      <c r="A486" t="s">
        <v>1703</v>
      </c>
    </row>
    <row r="487" spans="1:1" x14ac:dyDescent="0.25">
      <c r="A487" t="s">
        <v>1917</v>
      </c>
    </row>
    <row r="488" spans="1:1" x14ac:dyDescent="0.25">
      <c r="A488" t="s">
        <v>2025</v>
      </c>
    </row>
    <row r="489" spans="1:1" x14ac:dyDescent="0.25">
      <c r="A489" t="s">
        <v>1490</v>
      </c>
    </row>
    <row r="490" spans="1:1" x14ac:dyDescent="0.25">
      <c r="A490" t="s">
        <v>1597</v>
      </c>
    </row>
    <row r="491" spans="1:1" x14ac:dyDescent="0.25">
      <c r="A491" t="s">
        <v>1811</v>
      </c>
    </row>
    <row r="492" spans="1:1" x14ac:dyDescent="0.25">
      <c r="A492" t="s">
        <v>1704</v>
      </c>
    </row>
    <row r="493" spans="1:1" x14ac:dyDescent="0.25">
      <c r="A493" t="s">
        <v>1918</v>
      </c>
    </row>
    <row r="494" spans="1:1" x14ac:dyDescent="0.25">
      <c r="A494" t="s">
        <v>2026</v>
      </c>
    </row>
    <row r="495" spans="1:1" x14ac:dyDescent="0.25">
      <c r="A495" t="s">
        <v>1491</v>
      </c>
    </row>
    <row r="496" spans="1:1" x14ac:dyDescent="0.25">
      <c r="A496" t="s">
        <v>1598</v>
      </c>
    </row>
    <row r="497" spans="1:1" x14ac:dyDescent="0.25">
      <c r="A497" t="s">
        <v>1812</v>
      </c>
    </row>
    <row r="498" spans="1:1" x14ac:dyDescent="0.25">
      <c r="A498" t="s">
        <v>1705</v>
      </c>
    </row>
    <row r="499" spans="1:1" x14ac:dyDescent="0.25">
      <c r="A499" t="s">
        <v>1919</v>
      </c>
    </row>
    <row r="500" spans="1:1" x14ac:dyDescent="0.25">
      <c r="A500" t="s">
        <v>2028</v>
      </c>
    </row>
    <row r="501" spans="1:1" x14ac:dyDescent="0.25">
      <c r="A501" t="s">
        <v>1493</v>
      </c>
    </row>
    <row r="502" spans="1:1" x14ac:dyDescent="0.25">
      <c r="A502" t="s">
        <v>1600</v>
      </c>
    </row>
    <row r="503" spans="1:1" x14ac:dyDescent="0.25">
      <c r="A503" t="s">
        <v>1814</v>
      </c>
    </row>
    <row r="504" spans="1:1" x14ac:dyDescent="0.25">
      <c r="A504" t="s">
        <v>1707</v>
      </c>
    </row>
    <row r="505" spans="1:1" x14ac:dyDescent="0.25">
      <c r="A505" t="s">
        <v>1921</v>
      </c>
    </row>
    <row r="506" spans="1:1" x14ac:dyDescent="0.25">
      <c r="A506" t="s">
        <v>2029</v>
      </c>
    </row>
    <row r="507" spans="1:1" x14ac:dyDescent="0.25">
      <c r="A507" t="s">
        <v>1494</v>
      </c>
    </row>
    <row r="508" spans="1:1" x14ac:dyDescent="0.25">
      <c r="A508" t="s">
        <v>1601</v>
      </c>
    </row>
    <row r="509" spans="1:1" x14ac:dyDescent="0.25">
      <c r="A509" t="s">
        <v>1815</v>
      </c>
    </row>
    <row r="510" spans="1:1" x14ac:dyDescent="0.25">
      <c r="A510" t="s">
        <v>1708</v>
      </c>
    </row>
    <row r="511" spans="1:1" x14ac:dyDescent="0.25">
      <c r="A511" t="s">
        <v>1922</v>
      </c>
    </row>
    <row r="512" spans="1:1" x14ac:dyDescent="0.25">
      <c r="A512" t="s">
        <v>2030</v>
      </c>
    </row>
    <row r="513" spans="1:1" x14ac:dyDescent="0.25">
      <c r="A513" t="s">
        <v>1495</v>
      </c>
    </row>
    <row r="514" spans="1:1" x14ac:dyDescent="0.25">
      <c r="A514" t="s">
        <v>1602</v>
      </c>
    </row>
    <row r="515" spans="1:1" x14ac:dyDescent="0.25">
      <c r="A515" t="s">
        <v>1816</v>
      </c>
    </row>
    <row r="516" spans="1:1" x14ac:dyDescent="0.25">
      <c r="A516" t="s">
        <v>1709</v>
      </c>
    </row>
    <row r="517" spans="1:1" x14ac:dyDescent="0.25">
      <c r="A517" t="s">
        <v>1923</v>
      </c>
    </row>
    <row r="518" spans="1:1" x14ac:dyDescent="0.25">
      <c r="A518" t="s">
        <v>2031</v>
      </c>
    </row>
    <row r="519" spans="1:1" x14ac:dyDescent="0.25">
      <c r="A519" t="s">
        <v>1496</v>
      </c>
    </row>
    <row r="520" spans="1:1" x14ac:dyDescent="0.25">
      <c r="A520" t="s">
        <v>1603</v>
      </c>
    </row>
    <row r="521" spans="1:1" x14ac:dyDescent="0.25">
      <c r="A521" t="s">
        <v>1817</v>
      </c>
    </row>
    <row r="522" spans="1:1" x14ac:dyDescent="0.25">
      <c r="A522" t="s">
        <v>1710</v>
      </c>
    </row>
    <row r="523" spans="1:1" x14ac:dyDescent="0.25">
      <c r="A523" t="s">
        <v>1924</v>
      </c>
    </row>
    <row r="524" spans="1:1" x14ac:dyDescent="0.25">
      <c r="A524" t="s">
        <v>2032</v>
      </c>
    </row>
    <row r="525" spans="1:1" x14ac:dyDescent="0.25">
      <c r="A525" t="s">
        <v>1497</v>
      </c>
    </row>
    <row r="526" spans="1:1" x14ac:dyDescent="0.25">
      <c r="A526" t="s">
        <v>1604</v>
      </c>
    </row>
    <row r="527" spans="1:1" x14ac:dyDescent="0.25">
      <c r="A527" t="s">
        <v>1818</v>
      </c>
    </row>
    <row r="528" spans="1:1" x14ac:dyDescent="0.25">
      <c r="A528" t="s">
        <v>1711</v>
      </c>
    </row>
    <row r="529" spans="1:1" x14ac:dyDescent="0.25">
      <c r="A529" t="s">
        <v>1925</v>
      </c>
    </row>
    <row r="530" spans="1:1" x14ac:dyDescent="0.25">
      <c r="A530" t="s">
        <v>2033</v>
      </c>
    </row>
    <row r="531" spans="1:1" x14ac:dyDescent="0.25">
      <c r="A531" t="s">
        <v>1498</v>
      </c>
    </row>
    <row r="532" spans="1:1" x14ac:dyDescent="0.25">
      <c r="A532" t="s">
        <v>1605</v>
      </c>
    </row>
    <row r="533" spans="1:1" x14ac:dyDescent="0.25">
      <c r="A533" t="s">
        <v>1819</v>
      </c>
    </row>
    <row r="534" spans="1:1" x14ac:dyDescent="0.25">
      <c r="A534" t="s">
        <v>1712</v>
      </c>
    </row>
    <row r="535" spans="1:1" x14ac:dyDescent="0.25">
      <c r="A535" t="s">
        <v>1926</v>
      </c>
    </row>
    <row r="536" spans="1:1" x14ac:dyDescent="0.25">
      <c r="A536" t="s">
        <v>2035</v>
      </c>
    </row>
    <row r="537" spans="1:1" x14ac:dyDescent="0.25">
      <c r="A537" t="s">
        <v>1500</v>
      </c>
    </row>
    <row r="538" spans="1:1" x14ac:dyDescent="0.25">
      <c r="A538" t="s">
        <v>1607</v>
      </c>
    </row>
    <row r="539" spans="1:1" x14ac:dyDescent="0.25">
      <c r="A539" t="s">
        <v>1821</v>
      </c>
    </row>
    <row r="540" spans="1:1" x14ac:dyDescent="0.25">
      <c r="A540" t="s">
        <v>1714</v>
      </c>
    </row>
    <row r="541" spans="1:1" x14ac:dyDescent="0.25">
      <c r="A541" t="s">
        <v>1928</v>
      </c>
    </row>
    <row r="542" spans="1:1" x14ac:dyDescent="0.25">
      <c r="A542" t="s">
        <v>2036</v>
      </c>
    </row>
    <row r="543" spans="1:1" x14ac:dyDescent="0.25">
      <c r="A543" t="s">
        <v>1501</v>
      </c>
    </row>
    <row r="544" spans="1:1" x14ac:dyDescent="0.25">
      <c r="A544" t="s">
        <v>1608</v>
      </c>
    </row>
    <row r="545" spans="1:1" x14ac:dyDescent="0.25">
      <c r="A545" t="s">
        <v>1822</v>
      </c>
    </row>
    <row r="546" spans="1:1" x14ac:dyDescent="0.25">
      <c r="A546" t="s">
        <v>1715</v>
      </c>
    </row>
    <row r="547" spans="1:1" x14ac:dyDescent="0.25">
      <c r="A547" t="s">
        <v>1929</v>
      </c>
    </row>
    <row r="548" spans="1:1" x14ac:dyDescent="0.25">
      <c r="A548" t="s">
        <v>2037</v>
      </c>
    </row>
    <row r="549" spans="1:1" x14ac:dyDescent="0.25">
      <c r="A549" t="s">
        <v>1502</v>
      </c>
    </row>
    <row r="550" spans="1:1" x14ac:dyDescent="0.25">
      <c r="A550" t="s">
        <v>1609</v>
      </c>
    </row>
    <row r="551" spans="1:1" x14ac:dyDescent="0.25">
      <c r="A551" t="s">
        <v>1823</v>
      </c>
    </row>
    <row r="552" spans="1:1" x14ac:dyDescent="0.25">
      <c r="A552" t="s">
        <v>1716</v>
      </c>
    </row>
    <row r="553" spans="1:1" x14ac:dyDescent="0.25">
      <c r="A553" t="s">
        <v>1930</v>
      </c>
    </row>
    <row r="554" spans="1:1" x14ac:dyDescent="0.25">
      <c r="A554" t="s">
        <v>2038</v>
      </c>
    </row>
    <row r="555" spans="1:1" x14ac:dyDescent="0.25">
      <c r="A555" t="s">
        <v>1503</v>
      </c>
    </row>
    <row r="556" spans="1:1" x14ac:dyDescent="0.25">
      <c r="A556" t="s">
        <v>1610</v>
      </c>
    </row>
    <row r="557" spans="1:1" x14ac:dyDescent="0.25">
      <c r="A557" t="s">
        <v>1824</v>
      </c>
    </row>
    <row r="558" spans="1:1" x14ac:dyDescent="0.25">
      <c r="A558" t="s">
        <v>1717</v>
      </c>
    </row>
    <row r="559" spans="1:1" x14ac:dyDescent="0.25">
      <c r="A559" t="s">
        <v>1931</v>
      </c>
    </row>
    <row r="560" spans="1:1" x14ac:dyDescent="0.25">
      <c r="A560" t="s">
        <v>2039</v>
      </c>
    </row>
    <row r="561" spans="1:1" x14ac:dyDescent="0.25">
      <c r="A561" t="s">
        <v>1504</v>
      </c>
    </row>
    <row r="562" spans="1:1" x14ac:dyDescent="0.25">
      <c r="A562" t="s">
        <v>1611</v>
      </c>
    </row>
    <row r="563" spans="1:1" x14ac:dyDescent="0.25">
      <c r="A563" t="s">
        <v>1825</v>
      </c>
    </row>
    <row r="564" spans="1:1" x14ac:dyDescent="0.25">
      <c r="A564" t="s">
        <v>1718</v>
      </c>
    </row>
    <row r="565" spans="1:1" x14ac:dyDescent="0.25">
      <c r="A565" t="s">
        <v>1932</v>
      </c>
    </row>
    <row r="566" spans="1:1" x14ac:dyDescent="0.25">
      <c r="A566" t="s">
        <v>2040</v>
      </c>
    </row>
    <row r="567" spans="1:1" x14ac:dyDescent="0.25">
      <c r="A567" t="s">
        <v>1505</v>
      </c>
    </row>
    <row r="568" spans="1:1" x14ac:dyDescent="0.25">
      <c r="A568" t="s">
        <v>1612</v>
      </c>
    </row>
    <row r="569" spans="1:1" x14ac:dyDescent="0.25">
      <c r="A569" t="s">
        <v>1826</v>
      </c>
    </row>
    <row r="570" spans="1:1" x14ac:dyDescent="0.25">
      <c r="A570" t="s">
        <v>1719</v>
      </c>
    </row>
    <row r="571" spans="1:1" x14ac:dyDescent="0.25">
      <c r="A571" t="s">
        <v>1933</v>
      </c>
    </row>
    <row r="572" spans="1:1" x14ac:dyDescent="0.25">
      <c r="A572" t="s">
        <v>2042</v>
      </c>
    </row>
    <row r="573" spans="1:1" x14ac:dyDescent="0.25">
      <c r="A573" t="s">
        <v>1507</v>
      </c>
    </row>
    <row r="574" spans="1:1" x14ac:dyDescent="0.25">
      <c r="A574" t="s">
        <v>1614</v>
      </c>
    </row>
    <row r="575" spans="1:1" x14ac:dyDescent="0.25">
      <c r="A575" t="s">
        <v>1828</v>
      </c>
    </row>
    <row r="576" spans="1:1" x14ac:dyDescent="0.25">
      <c r="A576" t="s">
        <v>1721</v>
      </c>
    </row>
    <row r="577" spans="1:1" x14ac:dyDescent="0.25">
      <c r="A577" t="s">
        <v>1935</v>
      </c>
    </row>
    <row r="578" spans="1:1" x14ac:dyDescent="0.25">
      <c r="A578" t="s">
        <v>2043</v>
      </c>
    </row>
    <row r="579" spans="1:1" x14ac:dyDescent="0.25">
      <c r="A579" t="s">
        <v>1508</v>
      </c>
    </row>
    <row r="580" spans="1:1" x14ac:dyDescent="0.25">
      <c r="A580" t="s">
        <v>1615</v>
      </c>
    </row>
    <row r="581" spans="1:1" x14ac:dyDescent="0.25">
      <c r="A581" t="s">
        <v>1829</v>
      </c>
    </row>
    <row r="582" spans="1:1" x14ac:dyDescent="0.25">
      <c r="A582" t="s">
        <v>1722</v>
      </c>
    </row>
    <row r="583" spans="1:1" x14ac:dyDescent="0.25">
      <c r="A583" t="s">
        <v>1936</v>
      </c>
    </row>
    <row r="584" spans="1:1" x14ac:dyDescent="0.25">
      <c r="A584" t="s">
        <v>2044</v>
      </c>
    </row>
    <row r="585" spans="1:1" x14ac:dyDescent="0.25">
      <c r="A585" t="s">
        <v>1509</v>
      </c>
    </row>
    <row r="586" spans="1:1" x14ac:dyDescent="0.25">
      <c r="A586" t="s">
        <v>1616</v>
      </c>
    </row>
    <row r="587" spans="1:1" x14ac:dyDescent="0.25">
      <c r="A587" t="s">
        <v>1830</v>
      </c>
    </row>
    <row r="588" spans="1:1" x14ac:dyDescent="0.25">
      <c r="A588" t="s">
        <v>1723</v>
      </c>
    </row>
    <row r="589" spans="1:1" x14ac:dyDescent="0.25">
      <c r="A589" t="s">
        <v>1937</v>
      </c>
    </row>
    <row r="590" spans="1:1" x14ac:dyDescent="0.25">
      <c r="A590" t="s">
        <v>2045</v>
      </c>
    </row>
    <row r="591" spans="1:1" x14ac:dyDescent="0.25">
      <c r="A591" t="s">
        <v>1510</v>
      </c>
    </row>
    <row r="592" spans="1:1" x14ac:dyDescent="0.25">
      <c r="A592" t="s">
        <v>1617</v>
      </c>
    </row>
    <row r="593" spans="1:1" x14ac:dyDescent="0.25">
      <c r="A593" t="s">
        <v>1831</v>
      </c>
    </row>
    <row r="594" spans="1:1" x14ac:dyDescent="0.25">
      <c r="A594" t="s">
        <v>1724</v>
      </c>
    </row>
    <row r="595" spans="1:1" x14ac:dyDescent="0.25">
      <c r="A595" t="s">
        <v>1938</v>
      </c>
    </row>
    <row r="596" spans="1:1" x14ac:dyDescent="0.25">
      <c r="A596" t="s">
        <v>2046</v>
      </c>
    </row>
    <row r="597" spans="1:1" x14ac:dyDescent="0.25">
      <c r="A597" t="s">
        <v>1511</v>
      </c>
    </row>
    <row r="598" spans="1:1" x14ac:dyDescent="0.25">
      <c r="A598" t="s">
        <v>1618</v>
      </c>
    </row>
    <row r="599" spans="1:1" x14ac:dyDescent="0.25">
      <c r="A599" t="s">
        <v>1832</v>
      </c>
    </row>
    <row r="600" spans="1:1" x14ac:dyDescent="0.25">
      <c r="A600" t="s">
        <v>1725</v>
      </c>
    </row>
    <row r="601" spans="1:1" x14ac:dyDescent="0.25">
      <c r="A601" t="s">
        <v>1939</v>
      </c>
    </row>
    <row r="602" spans="1:1" x14ac:dyDescent="0.25">
      <c r="A602" t="s">
        <v>2047</v>
      </c>
    </row>
    <row r="603" spans="1:1" x14ac:dyDescent="0.25">
      <c r="A603" t="s">
        <v>1512</v>
      </c>
    </row>
    <row r="604" spans="1:1" x14ac:dyDescent="0.25">
      <c r="A604" t="s">
        <v>1619</v>
      </c>
    </row>
    <row r="605" spans="1:1" x14ac:dyDescent="0.25">
      <c r="A605" t="s">
        <v>1833</v>
      </c>
    </row>
    <row r="606" spans="1:1" x14ac:dyDescent="0.25">
      <c r="A606" t="s">
        <v>1726</v>
      </c>
    </row>
    <row r="607" spans="1:1" x14ac:dyDescent="0.25">
      <c r="A607" t="s">
        <v>1940</v>
      </c>
    </row>
    <row r="608" spans="1:1" x14ac:dyDescent="0.25">
      <c r="A608" t="s">
        <v>2049</v>
      </c>
    </row>
    <row r="609" spans="1:1" x14ac:dyDescent="0.25">
      <c r="A609" t="s">
        <v>1514</v>
      </c>
    </row>
    <row r="610" spans="1:1" x14ac:dyDescent="0.25">
      <c r="A610" t="s">
        <v>1621</v>
      </c>
    </row>
    <row r="611" spans="1:1" x14ac:dyDescent="0.25">
      <c r="A611" t="s">
        <v>1835</v>
      </c>
    </row>
    <row r="612" spans="1:1" x14ac:dyDescent="0.25">
      <c r="A612" t="s">
        <v>1728</v>
      </c>
    </row>
    <row r="613" spans="1:1" x14ac:dyDescent="0.25">
      <c r="A613" t="s">
        <v>1942</v>
      </c>
    </row>
    <row r="614" spans="1:1" x14ac:dyDescent="0.25">
      <c r="A614" t="s">
        <v>2050</v>
      </c>
    </row>
    <row r="615" spans="1:1" x14ac:dyDescent="0.25">
      <c r="A615" t="s">
        <v>1515</v>
      </c>
    </row>
    <row r="616" spans="1:1" x14ac:dyDescent="0.25">
      <c r="A616" t="s">
        <v>1622</v>
      </c>
    </row>
    <row r="617" spans="1:1" x14ac:dyDescent="0.25">
      <c r="A617" t="s">
        <v>1836</v>
      </c>
    </row>
    <row r="618" spans="1:1" x14ac:dyDescent="0.25">
      <c r="A618" t="s">
        <v>1729</v>
      </c>
    </row>
    <row r="619" spans="1:1" x14ac:dyDescent="0.25">
      <c r="A619" t="s">
        <v>1943</v>
      </c>
    </row>
    <row r="620" spans="1:1" x14ac:dyDescent="0.25">
      <c r="A620" t="s">
        <v>2051</v>
      </c>
    </row>
    <row r="621" spans="1:1" x14ac:dyDescent="0.25">
      <c r="A621" t="s">
        <v>1516</v>
      </c>
    </row>
    <row r="622" spans="1:1" x14ac:dyDescent="0.25">
      <c r="A622" t="s">
        <v>1623</v>
      </c>
    </row>
    <row r="623" spans="1:1" x14ac:dyDescent="0.25">
      <c r="A623" t="s">
        <v>1837</v>
      </c>
    </row>
    <row r="624" spans="1:1" x14ac:dyDescent="0.25">
      <c r="A624" t="s">
        <v>1730</v>
      </c>
    </row>
    <row r="625" spans="1:1" x14ac:dyDescent="0.25">
      <c r="A625" t="s">
        <v>1944</v>
      </c>
    </row>
    <row r="626" spans="1:1" x14ac:dyDescent="0.25">
      <c r="A626" t="s">
        <v>2052</v>
      </c>
    </row>
    <row r="627" spans="1:1" x14ac:dyDescent="0.25">
      <c r="A627" t="s">
        <v>1517</v>
      </c>
    </row>
    <row r="628" spans="1:1" x14ac:dyDescent="0.25">
      <c r="A628" t="s">
        <v>1624</v>
      </c>
    </row>
    <row r="629" spans="1:1" x14ac:dyDescent="0.25">
      <c r="A629" t="s">
        <v>1838</v>
      </c>
    </row>
    <row r="630" spans="1:1" x14ac:dyDescent="0.25">
      <c r="A630" t="s">
        <v>1731</v>
      </c>
    </row>
    <row r="631" spans="1:1" x14ac:dyDescent="0.25">
      <c r="A631" t="s">
        <v>1945</v>
      </c>
    </row>
    <row r="632" spans="1:1" x14ac:dyDescent="0.25">
      <c r="A632" t="s">
        <v>2053</v>
      </c>
    </row>
    <row r="633" spans="1:1" x14ac:dyDescent="0.25">
      <c r="A633" t="s">
        <v>1518</v>
      </c>
    </row>
    <row r="634" spans="1:1" x14ac:dyDescent="0.25">
      <c r="A634" t="s">
        <v>1625</v>
      </c>
    </row>
    <row r="635" spans="1:1" x14ac:dyDescent="0.25">
      <c r="A635" t="s">
        <v>1839</v>
      </c>
    </row>
    <row r="636" spans="1:1" x14ac:dyDescent="0.25">
      <c r="A636" t="s">
        <v>1732</v>
      </c>
    </row>
    <row r="637" spans="1:1" x14ac:dyDescent="0.25">
      <c r="A637" t="s">
        <v>1946</v>
      </c>
    </row>
    <row r="638" spans="1:1" x14ac:dyDescent="0.25">
      <c r="A638" t="s">
        <v>2054</v>
      </c>
    </row>
    <row r="639" spans="1:1" x14ac:dyDescent="0.25">
      <c r="A639" t="s">
        <v>1519</v>
      </c>
    </row>
    <row r="640" spans="1:1" x14ac:dyDescent="0.25">
      <c r="A640" t="s">
        <v>1626</v>
      </c>
    </row>
    <row r="641" spans="1:1" x14ac:dyDescent="0.25">
      <c r="A641" t="s">
        <v>1840</v>
      </c>
    </row>
    <row r="642" spans="1:1" x14ac:dyDescent="0.25">
      <c r="A642" t="s">
        <v>1733</v>
      </c>
    </row>
    <row r="643" spans="1:1" x14ac:dyDescent="0.25">
      <c r="A643" t="s">
        <v>1947</v>
      </c>
    </row>
    <row r="644" spans="1:1" x14ac:dyDescent="0.25">
      <c r="A644" t="s">
        <v>2055</v>
      </c>
    </row>
    <row r="645" spans="1:1" x14ac:dyDescent="0.25">
      <c r="A645" t="s">
        <v>1520</v>
      </c>
    </row>
    <row r="646" spans="1:1" x14ac:dyDescent="0.25">
      <c r="A646" t="s">
        <v>1627</v>
      </c>
    </row>
    <row r="647" spans="1:1" x14ac:dyDescent="0.25">
      <c r="A647" t="s">
        <v>1841</v>
      </c>
    </row>
    <row r="648" spans="1:1" x14ac:dyDescent="0.25">
      <c r="A648" t="s">
        <v>1734</v>
      </c>
    </row>
    <row r="649" spans="1:1" x14ac:dyDescent="0.25">
      <c r="A649" t="s">
        <v>1948</v>
      </c>
    </row>
    <row r="650" spans="1:1" x14ac:dyDescent="0.25">
      <c r="A650" t="s">
        <v>2020</v>
      </c>
    </row>
    <row r="651" spans="1:1" x14ac:dyDescent="0.25">
      <c r="A651" t="s">
        <v>1485</v>
      </c>
    </row>
    <row r="652" spans="1:1" x14ac:dyDescent="0.25">
      <c r="A652" t="s">
        <v>1592</v>
      </c>
    </row>
    <row r="653" spans="1:1" x14ac:dyDescent="0.25">
      <c r="A653" t="s">
        <v>1806</v>
      </c>
    </row>
    <row r="654" spans="1:1" x14ac:dyDescent="0.25">
      <c r="A654" t="s">
        <v>1699</v>
      </c>
    </row>
    <row r="655" spans="1:1" x14ac:dyDescent="0.25">
      <c r="A655" t="s">
        <v>1913</v>
      </c>
    </row>
    <row r="656" spans="1:1" x14ac:dyDescent="0.25">
      <c r="A656" t="s">
        <v>2027</v>
      </c>
    </row>
    <row r="657" spans="1:1" x14ac:dyDescent="0.25">
      <c r="A657" t="s">
        <v>1492</v>
      </c>
    </row>
    <row r="658" spans="1:1" x14ac:dyDescent="0.25">
      <c r="A658" t="s">
        <v>1599</v>
      </c>
    </row>
    <row r="659" spans="1:1" x14ac:dyDescent="0.25">
      <c r="A659" t="s">
        <v>1813</v>
      </c>
    </row>
    <row r="660" spans="1:1" x14ac:dyDescent="0.25">
      <c r="A660" t="s">
        <v>1706</v>
      </c>
    </row>
    <row r="661" spans="1:1" x14ac:dyDescent="0.25">
      <c r="A661" t="s">
        <v>1920</v>
      </c>
    </row>
    <row r="662" spans="1:1" x14ac:dyDescent="0.25">
      <c r="A662" t="s">
        <v>2034</v>
      </c>
    </row>
    <row r="663" spans="1:1" x14ac:dyDescent="0.25">
      <c r="A663" t="s">
        <v>1499</v>
      </c>
    </row>
    <row r="664" spans="1:1" x14ac:dyDescent="0.25">
      <c r="A664" t="s">
        <v>1606</v>
      </c>
    </row>
    <row r="665" spans="1:1" x14ac:dyDescent="0.25">
      <c r="A665" t="s">
        <v>1820</v>
      </c>
    </row>
    <row r="666" spans="1:1" x14ac:dyDescent="0.25">
      <c r="A666" t="s">
        <v>1713</v>
      </c>
    </row>
    <row r="667" spans="1:1" x14ac:dyDescent="0.25">
      <c r="A667" t="s">
        <v>1927</v>
      </c>
    </row>
    <row r="668" spans="1:1" x14ac:dyDescent="0.25">
      <c r="A668" t="s">
        <v>2041</v>
      </c>
    </row>
    <row r="669" spans="1:1" x14ac:dyDescent="0.25">
      <c r="A669" t="s">
        <v>1506</v>
      </c>
    </row>
    <row r="670" spans="1:1" x14ac:dyDescent="0.25">
      <c r="A670" t="s">
        <v>1613</v>
      </c>
    </row>
    <row r="671" spans="1:1" x14ac:dyDescent="0.25">
      <c r="A671" t="s">
        <v>1827</v>
      </c>
    </row>
    <row r="672" spans="1:1" x14ac:dyDescent="0.25">
      <c r="A672" t="s">
        <v>1720</v>
      </c>
    </row>
    <row r="673" spans="1:1" x14ac:dyDescent="0.25">
      <c r="A673" t="s">
        <v>1934</v>
      </c>
    </row>
    <row r="674" spans="1:1" x14ac:dyDescent="0.25">
      <c r="A674" t="s">
        <v>2048</v>
      </c>
    </row>
    <row r="675" spans="1:1" x14ac:dyDescent="0.25">
      <c r="A675" t="s">
        <v>1513</v>
      </c>
    </row>
    <row r="676" spans="1:1" x14ac:dyDescent="0.25">
      <c r="A676" t="s">
        <v>1620</v>
      </c>
    </row>
    <row r="677" spans="1:1" x14ac:dyDescent="0.25">
      <c r="A677" t="s">
        <v>1834</v>
      </c>
    </row>
    <row r="678" spans="1:1" x14ac:dyDescent="0.25">
      <c r="A678" t="s">
        <v>1727</v>
      </c>
    </row>
    <row r="679" spans="1:1" x14ac:dyDescent="0.25">
      <c r="A679" t="s">
        <v>1941</v>
      </c>
    </row>
    <row r="680" spans="1:1" x14ac:dyDescent="0.25">
      <c r="A680" t="s">
        <v>57</v>
      </c>
    </row>
    <row r="681" spans="1:1" x14ac:dyDescent="0.25">
      <c r="A681" t="s">
        <v>59</v>
      </c>
    </row>
    <row r="682" spans="1:1" x14ac:dyDescent="0.25">
      <c r="A682" t="s">
        <v>69</v>
      </c>
    </row>
    <row r="683" spans="1:1" x14ac:dyDescent="0.25">
      <c r="A683" t="s">
        <v>71</v>
      </c>
    </row>
    <row r="684" spans="1:1" x14ac:dyDescent="0.25">
      <c r="A684" t="s">
        <v>73</v>
      </c>
    </row>
    <row r="685" spans="1:1" x14ac:dyDescent="0.25">
      <c r="A685" t="s">
        <v>75</v>
      </c>
    </row>
    <row r="686" spans="1:1" x14ac:dyDescent="0.25">
      <c r="A686" t="s">
        <v>77</v>
      </c>
    </row>
    <row r="687" spans="1:1" x14ac:dyDescent="0.25">
      <c r="A687" t="s">
        <v>79</v>
      </c>
    </row>
    <row r="688" spans="1:1" x14ac:dyDescent="0.25">
      <c r="A688" t="s">
        <v>83</v>
      </c>
    </row>
    <row r="689" spans="1:1" x14ac:dyDescent="0.25">
      <c r="A689" t="s">
        <v>85</v>
      </c>
    </row>
    <row r="690" spans="1:1" x14ac:dyDescent="0.25">
      <c r="A690" t="s">
        <v>87</v>
      </c>
    </row>
    <row r="691" spans="1:1" x14ac:dyDescent="0.25">
      <c r="A691" t="s">
        <v>89</v>
      </c>
    </row>
    <row r="692" spans="1:1" x14ac:dyDescent="0.25">
      <c r="A692" t="s">
        <v>91</v>
      </c>
    </row>
    <row r="693" spans="1:1" x14ac:dyDescent="0.25">
      <c r="A693" t="s">
        <v>93</v>
      </c>
    </row>
    <row r="694" spans="1:1" x14ac:dyDescent="0.25">
      <c r="A694" t="s">
        <v>97</v>
      </c>
    </row>
    <row r="695" spans="1:1" x14ac:dyDescent="0.25">
      <c r="A695" t="s">
        <v>99</v>
      </c>
    </row>
    <row r="696" spans="1:1" x14ac:dyDescent="0.25">
      <c r="A696" t="s">
        <v>101</v>
      </c>
    </row>
    <row r="697" spans="1:1" x14ac:dyDescent="0.25">
      <c r="A697" t="s">
        <v>103</v>
      </c>
    </row>
    <row r="698" spans="1:1" x14ac:dyDescent="0.25">
      <c r="A698" t="s">
        <v>105</v>
      </c>
    </row>
    <row r="699" spans="1:1" x14ac:dyDescent="0.25">
      <c r="A699" t="s">
        <v>107</v>
      </c>
    </row>
    <row r="700" spans="1:1" x14ac:dyDescent="0.25">
      <c r="A700" t="s">
        <v>111</v>
      </c>
    </row>
    <row r="701" spans="1:1" x14ac:dyDescent="0.25">
      <c r="A701" t="s">
        <v>113</v>
      </c>
    </row>
    <row r="702" spans="1:1" x14ac:dyDescent="0.25">
      <c r="A702" t="s">
        <v>115</v>
      </c>
    </row>
    <row r="703" spans="1:1" x14ac:dyDescent="0.25">
      <c r="A703" t="s">
        <v>117</v>
      </c>
    </row>
    <row r="704" spans="1:1" x14ac:dyDescent="0.25">
      <c r="A704" t="s">
        <v>119</v>
      </c>
    </row>
    <row r="705" spans="1:1" x14ac:dyDescent="0.25">
      <c r="A705" t="s">
        <v>121</v>
      </c>
    </row>
    <row r="706" spans="1:1" x14ac:dyDescent="0.25">
      <c r="A706" t="s">
        <v>125</v>
      </c>
    </row>
    <row r="707" spans="1:1" x14ac:dyDescent="0.25">
      <c r="A707" t="s">
        <v>127</v>
      </c>
    </row>
    <row r="708" spans="1:1" x14ac:dyDescent="0.25">
      <c r="A708" t="s">
        <v>129</v>
      </c>
    </row>
    <row r="709" spans="1:1" x14ac:dyDescent="0.25">
      <c r="A709" t="s">
        <v>131</v>
      </c>
    </row>
    <row r="710" spans="1:1" x14ac:dyDescent="0.25">
      <c r="A710" t="s">
        <v>133</v>
      </c>
    </row>
    <row r="711" spans="1:1" x14ac:dyDescent="0.25">
      <c r="A711" t="s">
        <v>135</v>
      </c>
    </row>
    <row r="712" spans="1:1" x14ac:dyDescent="0.25">
      <c r="A712" t="s">
        <v>139</v>
      </c>
    </row>
    <row r="713" spans="1:1" x14ac:dyDescent="0.25">
      <c r="A713" t="s">
        <v>141</v>
      </c>
    </row>
    <row r="714" spans="1:1" x14ac:dyDescent="0.25">
      <c r="A714" t="s">
        <v>143</v>
      </c>
    </row>
    <row r="715" spans="1:1" x14ac:dyDescent="0.25">
      <c r="A715" t="s">
        <v>145</v>
      </c>
    </row>
    <row r="716" spans="1:1" x14ac:dyDescent="0.25">
      <c r="A716" t="s">
        <v>147</v>
      </c>
    </row>
    <row r="717" spans="1:1" x14ac:dyDescent="0.25">
      <c r="A717" t="s">
        <v>149</v>
      </c>
    </row>
    <row r="718" spans="1:1" x14ac:dyDescent="0.25">
      <c r="A718" t="s">
        <v>153</v>
      </c>
    </row>
    <row r="719" spans="1:1" x14ac:dyDescent="0.25">
      <c r="A719" t="s">
        <v>155</v>
      </c>
    </row>
    <row r="720" spans="1:1" x14ac:dyDescent="0.25">
      <c r="A720" t="s">
        <v>157</v>
      </c>
    </row>
    <row r="721" spans="1:1" x14ac:dyDescent="0.25">
      <c r="A721" t="s">
        <v>159</v>
      </c>
    </row>
    <row r="722" spans="1:1" x14ac:dyDescent="0.25">
      <c r="A722" t="s">
        <v>161</v>
      </c>
    </row>
    <row r="723" spans="1:1" x14ac:dyDescent="0.25">
      <c r="A723" t="s">
        <v>163</v>
      </c>
    </row>
    <row r="724" spans="1:1" x14ac:dyDescent="0.25">
      <c r="A724" t="s">
        <v>165</v>
      </c>
    </row>
    <row r="725" spans="1:1" x14ac:dyDescent="0.25">
      <c r="A725" t="s">
        <v>81</v>
      </c>
    </row>
    <row r="726" spans="1:1" x14ac:dyDescent="0.25">
      <c r="A726" t="s">
        <v>95</v>
      </c>
    </row>
    <row r="727" spans="1:1" x14ac:dyDescent="0.25">
      <c r="A727" t="s">
        <v>109</v>
      </c>
    </row>
    <row r="728" spans="1:1" x14ac:dyDescent="0.25">
      <c r="A728" t="s">
        <v>123</v>
      </c>
    </row>
    <row r="729" spans="1:1" x14ac:dyDescent="0.25">
      <c r="A729" t="s">
        <v>137</v>
      </c>
    </row>
    <row r="730" spans="1:1" x14ac:dyDescent="0.25">
      <c r="A730" t="s">
        <v>151</v>
      </c>
    </row>
    <row r="731" spans="1:1" x14ac:dyDescent="0.25">
      <c r="A731" t="s">
        <v>166</v>
      </c>
    </row>
    <row r="732" spans="1:1" x14ac:dyDescent="0.25">
      <c r="A732" t="s">
        <v>168</v>
      </c>
    </row>
    <row r="733" spans="1:1" x14ac:dyDescent="0.25">
      <c r="A733" t="s">
        <v>169</v>
      </c>
    </row>
    <row r="734" spans="1:1" x14ac:dyDescent="0.25">
      <c r="A734" t="s">
        <v>170</v>
      </c>
    </row>
    <row r="735" spans="1:1" x14ac:dyDescent="0.25">
      <c r="A735" t="s">
        <v>171</v>
      </c>
    </row>
    <row r="736" spans="1:1" x14ac:dyDescent="0.25">
      <c r="A736" t="s">
        <v>172</v>
      </c>
    </row>
    <row r="737" spans="1:1" x14ac:dyDescent="0.25">
      <c r="A737" t="s">
        <v>174</v>
      </c>
    </row>
    <row r="738" spans="1:1" x14ac:dyDescent="0.25">
      <c r="A738" t="s">
        <v>175</v>
      </c>
    </row>
    <row r="739" spans="1:1" x14ac:dyDescent="0.25">
      <c r="A739" t="s">
        <v>176</v>
      </c>
    </row>
    <row r="740" spans="1:1" x14ac:dyDescent="0.25">
      <c r="A740" t="s">
        <v>177</v>
      </c>
    </row>
    <row r="741" spans="1:1" x14ac:dyDescent="0.25">
      <c r="A741" t="s">
        <v>178</v>
      </c>
    </row>
    <row r="742" spans="1:1" x14ac:dyDescent="0.25">
      <c r="A742" t="s">
        <v>179</v>
      </c>
    </row>
    <row r="743" spans="1:1" x14ac:dyDescent="0.25">
      <c r="A743" t="s">
        <v>181</v>
      </c>
    </row>
    <row r="744" spans="1:1" x14ac:dyDescent="0.25">
      <c r="A744" t="s">
        <v>182</v>
      </c>
    </row>
    <row r="745" spans="1:1" x14ac:dyDescent="0.25">
      <c r="A745" t="s">
        <v>183</v>
      </c>
    </row>
    <row r="746" spans="1:1" x14ac:dyDescent="0.25">
      <c r="A746" t="s">
        <v>184</v>
      </c>
    </row>
    <row r="747" spans="1:1" x14ac:dyDescent="0.25">
      <c r="A747" t="s">
        <v>185</v>
      </c>
    </row>
    <row r="748" spans="1:1" x14ac:dyDescent="0.25">
      <c r="A748" t="s">
        <v>186</v>
      </c>
    </row>
    <row r="749" spans="1:1" x14ac:dyDescent="0.25">
      <c r="A749" t="s">
        <v>188</v>
      </c>
    </row>
    <row r="750" spans="1:1" x14ac:dyDescent="0.25">
      <c r="A750" t="s">
        <v>189</v>
      </c>
    </row>
    <row r="751" spans="1:1" x14ac:dyDescent="0.25">
      <c r="A751" t="s">
        <v>190</v>
      </c>
    </row>
    <row r="752" spans="1:1" x14ac:dyDescent="0.25">
      <c r="A752" t="s">
        <v>191</v>
      </c>
    </row>
    <row r="753" spans="1:1" x14ac:dyDescent="0.25">
      <c r="A753" t="s">
        <v>192</v>
      </c>
    </row>
    <row r="754" spans="1:1" x14ac:dyDescent="0.25">
      <c r="A754" t="s">
        <v>193</v>
      </c>
    </row>
    <row r="755" spans="1:1" x14ac:dyDescent="0.25">
      <c r="A755" t="s">
        <v>195</v>
      </c>
    </row>
    <row r="756" spans="1:1" x14ac:dyDescent="0.25">
      <c r="A756" t="s">
        <v>196</v>
      </c>
    </row>
    <row r="757" spans="1:1" x14ac:dyDescent="0.25">
      <c r="A757" t="s">
        <v>197</v>
      </c>
    </row>
    <row r="758" spans="1:1" x14ac:dyDescent="0.25">
      <c r="A758" t="s">
        <v>198</v>
      </c>
    </row>
    <row r="759" spans="1:1" x14ac:dyDescent="0.25">
      <c r="A759" t="s">
        <v>199</v>
      </c>
    </row>
    <row r="760" spans="1:1" x14ac:dyDescent="0.25">
      <c r="A760" t="s">
        <v>200</v>
      </c>
    </row>
    <row r="761" spans="1:1" x14ac:dyDescent="0.25">
      <c r="A761" t="s">
        <v>202</v>
      </c>
    </row>
    <row r="762" spans="1:1" x14ac:dyDescent="0.25">
      <c r="A762" t="s">
        <v>203</v>
      </c>
    </row>
    <row r="763" spans="1:1" x14ac:dyDescent="0.25">
      <c r="A763" t="s">
        <v>204</v>
      </c>
    </row>
    <row r="764" spans="1:1" x14ac:dyDescent="0.25">
      <c r="A764" t="s">
        <v>205</v>
      </c>
    </row>
    <row r="765" spans="1:1" x14ac:dyDescent="0.25">
      <c r="A765" t="s">
        <v>206</v>
      </c>
    </row>
    <row r="766" spans="1:1" x14ac:dyDescent="0.25">
      <c r="A766" t="s">
        <v>207</v>
      </c>
    </row>
    <row r="767" spans="1:1" x14ac:dyDescent="0.25">
      <c r="A767" t="s">
        <v>209</v>
      </c>
    </row>
    <row r="768" spans="1:1" x14ac:dyDescent="0.25">
      <c r="A768" t="s">
        <v>210</v>
      </c>
    </row>
    <row r="769" spans="1:1" x14ac:dyDescent="0.25">
      <c r="A769" t="s">
        <v>211</v>
      </c>
    </row>
    <row r="770" spans="1:1" x14ac:dyDescent="0.25">
      <c r="A770" t="s">
        <v>212</v>
      </c>
    </row>
    <row r="771" spans="1:1" x14ac:dyDescent="0.25">
      <c r="A771" t="s">
        <v>213</v>
      </c>
    </row>
    <row r="772" spans="1:1" x14ac:dyDescent="0.25">
      <c r="A772" t="s">
        <v>214</v>
      </c>
    </row>
    <row r="773" spans="1:1" x14ac:dyDescent="0.25">
      <c r="A773" t="s">
        <v>215</v>
      </c>
    </row>
    <row r="774" spans="1:1" x14ac:dyDescent="0.25">
      <c r="A774" t="s">
        <v>173</v>
      </c>
    </row>
    <row r="775" spans="1:1" x14ac:dyDescent="0.25">
      <c r="A775" t="s">
        <v>180</v>
      </c>
    </row>
    <row r="776" spans="1:1" x14ac:dyDescent="0.25">
      <c r="A776" t="s">
        <v>187</v>
      </c>
    </row>
    <row r="777" spans="1:1" x14ac:dyDescent="0.25">
      <c r="A777" t="s">
        <v>194</v>
      </c>
    </row>
    <row r="778" spans="1:1" x14ac:dyDescent="0.25">
      <c r="A778" t="s">
        <v>201</v>
      </c>
    </row>
    <row r="779" spans="1:1" x14ac:dyDescent="0.25">
      <c r="A779" t="s">
        <v>208</v>
      </c>
    </row>
    <row r="780" spans="1:1" x14ac:dyDescent="0.25">
      <c r="A780" t="s">
        <v>253</v>
      </c>
    </row>
    <row r="781" spans="1:1" x14ac:dyDescent="0.25">
      <c r="A781" t="s">
        <v>255</v>
      </c>
    </row>
    <row r="782" spans="1:1" x14ac:dyDescent="0.25">
      <c r="A782" t="s">
        <v>257</v>
      </c>
    </row>
    <row r="783" spans="1:1" x14ac:dyDescent="0.25">
      <c r="A783" t="s">
        <v>259</v>
      </c>
    </row>
    <row r="784" spans="1:1" x14ac:dyDescent="0.25">
      <c r="A784" t="s">
        <v>261</v>
      </c>
    </row>
    <row r="785" spans="1:1" x14ac:dyDescent="0.25">
      <c r="A785" t="s">
        <v>263</v>
      </c>
    </row>
    <row r="786" spans="1:1" x14ac:dyDescent="0.25">
      <c r="A786" t="s">
        <v>267</v>
      </c>
    </row>
    <row r="787" spans="1:1" x14ac:dyDescent="0.25">
      <c r="A787" t="s">
        <v>269</v>
      </c>
    </row>
    <row r="788" spans="1:1" x14ac:dyDescent="0.25">
      <c r="A788" t="s">
        <v>271</v>
      </c>
    </row>
    <row r="789" spans="1:1" x14ac:dyDescent="0.25">
      <c r="A789" t="s">
        <v>273</v>
      </c>
    </row>
    <row r="790" spans="1:1" x14ac:dyDescent="0.25">
      <c r="A790" t="s">
        <v>275</v>
      </c>
    </row>
    <row r="791" spans="1:1" x14ac:dyDescent="0.25">
      <c r="A791" t="s">
        <v>277</v>
      </c>
    </row>
    <row r="792" spans="1:1" x14ac:dyDescent="0.25">
      <c r="A792" t="s">
        <v>281</v>
      </c>
    </row>
    <row r="793" spans="1:1" x14ac:dyDescent="0.25">
      <c r="A793" t="s">
        <v>283</v>
      </c>
    </row>
    <row r="794" spans="1:1" x14ac:dyDescent="0.25">
      <c r="A794" t="s">
        <v>285</v>
      </c>
    </row>
    <row r="795" spans="1:1" x14ac:dyDescent="0.25">
      <c r="A795" t="s">
        <v>287</v>
      </c>
    </row>
    <row r="796" spans="1:1" x14ac:dyDescent="0.25">
      <c r="A796" t="s">
        <v>289</v>
      </c>
    </row>
    <row r="797" spans="1:1" x14ac:dyDescent="0.25">
      <c r="A797" t="s">
        <v>291</v>
      </c>
    </row>
    <row r="798" spans="1:1" x14ac:dyDescent="0.25">
      <c r="A798" t="s">
        <v>295</v>
      </c>
    </row>
    <row r="799" spans="1:1" x14ac:dyDescent="0.25">
      <c r="A799" t="s">
        <v>297</v>
      </c>
    </row>
    <row r="800" spans="1:1" x14ac:dyDescent="0.25">
      <c r="A800" t="s">
        <v>299</v>
      </c>
    </row>
    <row r="801" spans="1:1" x14ac:dyDescent="0.25">
      <c r="A801" t="s">
        <v>301</v>
      </c>
    </row>
    <row r="802" spans="1:1" x14ac:dyDescent="0.25">
      <c r="A802" t="s">
        <v>303</v>
      </c>
    </row>
    <row r="803" spans="1:1" x14ac:dyDescent="0.25">
      <c r="A803" t="s">
        <v>305</v>
      </c>
    </row>
    <row r="804" spans="1:1" x14ac:dyDescent="0.25">
      <c r="A804" t="s">
        <v>309</v>
      </c>
    </row>
    <row r="805" spans="1:1" x14ac:dyDescent="0.25">
      <c r="A805" t="s">
        <v>311</v>
      </c>
    </row>
    <row r="806" spans="1:1" x14ac:dyDescent="0.25">
      <c r="A806" t="s">
        <v>313</v>
      </c>
    </row>
    <row r="807" spans="1:1" x14ac:dyDescent="0.25">
      <c r="A807" t="s">
        <v>315</v>
      </c>
    </row>
    <row r="808" spans="1:1" x14ac:dyDescent="0.25">
      <c r="A808" t="s">
        <v>317</v>
      </c>
    </row>
    <row r="809" spans="1:1" x14ac:dyDescent="0.25">
      <c r="A809" t="s">
        <v>319</v>
      </c>
    </row>
    <row r="810" spans="1:1" x14ac:dyDescent="0.25">
      <c r="A810" t="s">
        <v>323</v>
      </c>
    </row>
    <row r="811" spans="1:1" x14ac:dyDescent="0.25">
      <c r="A811" t="s">
        <v>325</v>
      </c>
    </row>
    <row r="812" spans="1:1" x14ac:dyDescent="0.25">
      <c r="A812" t="s">
        <v>327</v>
      </c>
    </row>
    <row r="813" spans="1:1" x14ac:dyDescent="0.25">
      <c r="A813" t="s">
        <v>329</v>
      </c>
    </row>
    <row r="814" spans="1:1" x14ac:dyDescent="0.25">
      <c r="A814" t="s">
        <v>331</v>
      </c>
    </row>
    <row r="815" spans="1:1" x14ac:dyDescent="0.25">
      <c r="A815" t="s">
        <v>333</v>
      </c>
    </row>
    <row r="816" spans="1:1" x14ac:dyDescent="0.25">
      <c r="A816" t="s">
        <v>336</v>
      </c>
    </row>
    <row r="817" spans="1:1" x14ac:dyDescent="0.25">
      <c r="A817" t="s">
        <v>338</v>
      </c>
    </row>
    <row r="818" spans="1:1" x14ac:dyDescent="0.25">
      <c r="A818" t="s">
        <v>340</v>
      </c>
    </row>
    <row r="819" spans="1:1" x14ac:dyDescent="0.25">
      <c r="A819" t="s">
        <v>342</v>
      </c>
    </row>
    <row r="820" spans="1:1" x14ac:dyDescent="0.25">
      <c r="A820" t="s">
        <v>344</v>
      </c>
    </row>
    <row r="821" spans="1:1" x14ac:dyDescent="0.25">
      <c r="A821" t="s">
        <v>346</v>
      </c>
    </row>
    <row r="822" spans="1:1" x14ac:dyDescent="0.25">
      <c r="A822" t="s">
        <v>352</v>
      </c>
    </row>
    <row r="823" spans="1:1" x14ac:dyDescent="0.25">
      <c r="A823" t="s">
        <v>354</v>
      </c>
    </row>
    <row r="824" spans="1:1" x14ac:dyDescent="0.25">
      <c r="A824" t="s">
        <v>356</v>
      </c>
    </row>
    <row r="825" spans="1:1" x14ac:dyDescent="0.25">
      <c r="A825" t="s">
        <v>358</v>
      </c>
    </row>
    <row r="826" spans="1:1" x14ac:dyDescent="0.25">
      <c r="A826" t="s">
        <v>360</v>
      </c>
    </row>
    <row r="827" spans="1:1" x14ac:dyDescent="0.25">
      <c r="A827" t="s">
        <v>362</v>
      </c>
    </row>
    <row r="828" spans="1:1" x14ac:dyDescent="0.25">
      <c r="A828" t="s">
        <v>366</v>
      </c>
    </row>
    <row r="829" spans="1:1" x14ac:dyDescent="0.25">
      <c r="A829" t="s">
        <v>367</v>
      </c>
    </row>
    <row r="830" spans="1:1" x14ac:dyDescent="0.25">
      <c r="A830" t="s">
        <v>368</v>
      </c>
    </row>
    <row r="831" spans="1:1" x14ac:dyDescent="0.25">
      <c r="A831" t="s">
        <v>369</v>
      </c>
    </row>
    <row r="832" spans="1:1" x14ac:dyDescent="0.25">
      <c r="A832" t="s">
        <v>370</v>
      </c>
    </row>
    <row r="833" spans="1:1" x14ac:dyDescent="0.25">
      <c r="A833" t="s">
        <v>371</v>
      </c>
    </row>
    <row r="834" spans="1:1" x14ac:dyDescent="0.25">
      <c r="A834" t="s">
        <v>372</v>
      </c>
    </row>
    <row r="835" spans="1:1" x14ac:dyDescent="0.25">
      <c r="A835" t="s">
        <v>350</v>
      </c>
    </row>
    <row r="836" spans="1:1" x14ac:dyDescent="0.25">
      <c r="A836" t="s">
        <v>265</v>
      </c>
    </row>
    <row r="837" spans="1:1" x14ac:dyDescent="0.25">
      <c r="A837" t="s">
        <v>279</v>
      </c>
    </row>
    <row r="838" spans="1:1" x14ac:dyDescent="0.25">
      <c r="A838" t="s">
        <v>293</v>
      </c>
    </row>
    <row r="839" spans="1:1" x14ac:dyDescent="0.25">
      <c r="A839" t="s">
        <v>307</v>
      </c>
    </row>
    <row r="840" spans="1:1" x14ac:dyDescent="0.25">
      <c r="A840" t="s">
        <v>321</v>
      </c>
    </row>
    <row r="841" spans="1:1" x14ac:dyDescent="0.25">
      <c r="A841" t="s">
        <v>335</v>
      </c>
    </row>
    <row r="842" spans="1:1" x14ac:dyDescent="0.25">
      <c r="A842" t="s">
        <v>348</v>
      </c>
    </row>
    <row r="843" spans="1:1" x14ac:dyDescent="0.25">
      <c r="A843" t="s">
        <v>364</v>
      </c>
    </row>
    <row r="844" spans="1:1" x14ac:dyDescent="0.25">
      <c r="A844" t="s">
        <v>373</v>
      </c>
    </row>
    <row r="845" spans="1:1" x14ac:dyDescent="0.25">
      <c r="A845" t="s">
        <v>375</v>
      </c>
    </row>
    <row r="846" spans="1:1" x14ac:dyDescent="0.25">
      <c r="A846" t="s">
        <v>377</v>
      </c>
    </row>
    <row r="847" spans="1:1" x14ac:dyDescent="0.25">
      <c r="A847" t="s">
        <v>379</v>
      </c>
    </row>
    <row r="848" spans="1:1" x14ac:dyDescent="0.25">
      <c r="A848" t="s">
        <v>381</v>
      </c>
    </row>
    <row r="849" spans="1:1" x14ac:dyDescent="0.25">
      <c r="A849" t="s">
        <v>383</v>
      </c>
    </row>
    <row r="850" spans="1:1" x14ac:dyDescent="0.25">
      <c r="A850" t="s">
        <v>387</v>
      </c>
    </row>
    <row r="851" spans="1:1" x14ac:dyDescent="0.25">
      <c r="A851" t="s">
        <v>389</v>
      </c>
    </row>
    <row r="852" spans="1:1" x14ac:dyDescent="0.25">
      <c r="A852" t="s">
        <v>391</v>
      </c>
    </row>
    <row r="853" spans="1:1" x14ac:dyDescent="0.25">
      <c r="A853" t="s">
        <v>393</v>
      </c>
    </row>
    <row r="854" spans="1:1" x14ac:dyDescent="0.25">
      <c r="A854" t="s">
        <v>395</v>
      </c>
    </row>
    <row r="855" spans="1:1" x14ac:dyDescent="0.25">
      <c r="A855" t="s">
        <v>397</v>
      </c>
    </row>
    <row r="856" spans="1:1" x14ac:dyDescent="0.25">
      <c r="A856" t="s">
        <v>401</v>
      </c>
    </row>
    <row r="857" spans="1:1" x14ac:dyDescent="0.25">
      <c r="A857" t="s">
        <v>403</v>
      </c>
    </row>
    <row r="858" spans="1:1" x14ac:dyDescent="0.25">
      <c r="A858" t="s">
        <v>405</v>
      </c>
    </row>
    <row r="859" spans="1:1" x14ac:dyDescent="0.25">
      <c r="A859" t="s">
        <v>407</v>
      </c>
    </row>
    <row r="860" spans="1:1" x14ac:dyDescent="0.25">
      <c r="A860" t="s">
        <v>409</v>
      </c>
    </row>
    <row r="861" spans="1:1" x14ac:dyDescent="0.25">
      <c r="A861" t="s">
        <v>411</v>
      </c>
    </row>
    <row r="862" spans="1:1" x14ac:dyDescent="0.25">
      <c r="A862" t="s">
        <v>415</v>
      </c>
    </row>
    <row r="863" spans="1:1" x14ac:dyDescent="0.25">
      <c r="A863" t="s">
        <v>417</v>
      </c>
    </row>
    <row r="864" spans="1:1" x14ac:dyDescent="0.25">
      <c r="A864" t="s">
        <v>419</v>
      </c>
    </row>
    <row r="865" spans="1:1" x14ac:dyDescent="0.25">
      <c r="A865" t="s">
        <v>421</v>
      </c>
    </row>
    <row r="866" spans="1:1" x14ac:dyDescent="0.25">
      <c r="A866" t="s">
        <v>423</v>
      </c>
    </row>
    <row r="867" spans="1:1" x14ac:dyDescent="0.25">
      <c r="A867" t="s">
        <v>425</v>
      </c>
    </row>
    <row r="868" spans="1:1" x14ac:dyDescent="0.25">
      <c r="A868" t="s">
        <v>429</v>
      </c>
    </row>
    <row r="869" spans="1:1" x14ac:dyDescent="0.25">
      <c r="A869" t="s">
        <v>431</v>
      </c>
    </row>
    <row r="870" spans="1:1" x14ac:dyDescent="0.25">
      <c r="A870" t="s">
        <v>433</v>
      </c>
    </row>
    <row r="871" spans="1:1" x14ac:dyDescent="0.25">
      <c r="A871" t="s">
        <v>435</v>
      </c>
    </row>
    <row r="872" spans="1:1" x14ac:dyDescent="0.25">
      <c r="A872" t="s">
        <v>437</v>
      </c>
    </row>
    <row r="873" spans="1:1" x14ac:dyDescent="0.25">
      <c r="A873" t="s">
        <v>439</v>
      </c>
    </row>
    <row r="874" spans="1:1" x14ac:dyDescent="0.25">
      <c r="A874" t="s">
        <v>443</v>
      </c>
    </row>
    <row r="875" spans="1:1" x14ac:dyDescent="0.25">
      <c r="A875" t="s">
        <v>444</v>
      </c>
    </row>
    <row r="876" spans="1:1" x14ac:dyDescent="0.25">
      <c r="A876" t="s">
        <v>445</v>
      </c>
    </row>
    <row r="877" spans="1:1" x14ac:dyDescent="0.25">
      <c r="A877" t="s">
        <v>446</v>
      </c>
    </row>
    <row r="878" spans="1:1" x14ac:dyDescent="0.25">
      <c r="A878" t="s">
        <v>447</v>
      </c>
    </row>
    <row r="879" spans="1:1" x14ac:dyDescent="0.25">
      <c r="A879" t="s">
        <v>448</v>
      </c>
    </row>
    <row r="880" spans="1:1" x14ac:dyDescent="0.25">
      <c r="A880" t="s">
        <v>449</v>
      </c>
    </row>
    <row r="881" spans="1:1" x14ac:dyDescent="0.25">
      <c r="A881" t="s">
        <v>385</v>
      </c>
    </row>
    <row r="882" spans="1:1" x14ac:dyDescent="0.25">
      <c r="A882" t="s">
        <v>399</v>
      </c>
    </row>
    <row r="883" spans="1:1" x14ac:dyDescent="0.25">
      <c r="A883" t="s">
        <v>413</v>
      </c>
    </row>
    <row r="884" spans="1:1" x14ac:dyDescent="0.25">
      <c r="A884" t="s">
        <v>427</v>
      </c>
    </row>
    <row r="885" spans="1:1" x14ac:dyDescent="0.25">
      <c r="A885" t="s">
        <v>441</v>
      </c>
    </row>
    <row r="886" spans="1:1" x14ac:dyDescent="0.25">
      <c r="A886" t="s">
        <v>451</v>
      </c>
    </row>
    <row r="887" spans="1:1" x14ac:dyDescent="0.25">
      <c r="A887" t="s">
        <v>454</v>
      </c>
    </row>
    <row r="888" spans="1:1" x14ac:dyDescent="0.25">
      <c r="A888" t="s">
        <v>456</v>
      </c>
    </row>
    <row r="889" spans="1:1" x14ac:dyDescent="0.25">
      <c r="A889" t="s">
        <v>459</v>
      </c>
    </row>
    <row r="890" spans="1:1" x14ac:dyDescent="0.25">
      <c r="A890" t="s">
        <v>458</v>
      </c>
    </row>
    <row r="891" spans="1:1" x14ac:dyDescent="0.25">
      <c r="A891" t="s">
        <v>461</v>
      </c>
    </row>
    <row r="892" spans="1:1" x14ac:dyDescent="0.25">
      <c r="A892" t="s">
        <v>463</v>
      </c>
    </row>
    <row r="893" spans="1:1" x14ac:dyDescent="0.25">
      <c r="A893" t="s">
        <v>465</v>
      </c>
    </row>
    <row r="894" spans="1:1" x14ac:dyDescent="0.25">
      <c r="A894" t="s">
        <v>40</v>
      </c>
    </row>
    <row r="895" spans="1:1" x14ac:dyDescent="0.25">
      <c r="A895" t="s">
        <v>48</v>
      </c>
    </row>
    <row r="896" spans="1:1" x14ac:dyDescent="0.25">
      <c r="A896" t="s">
        <v>50</v>
      </c>
    </row>
    <row r="897" spans="1:1" x14ac:dyDescent="0.25">
      <c r="A897" t="s">
        <v>53</v>
      </c>
    </row>
    <row r="898" spans="1:1" x14ac:dyDescent="0.25">
      <c r="A898" t="s">
        <v>44</v>
      </c>
    </row>
    <row r="899" spans="1:1" x14ac:dyDescent="0.25">
      <c r="A899" t="s">
        <v>42</v>
      </c>
    </row>
    <row r="900" spans="1:1" x14ac:dyDescent="0.25">
      <c r="A900" t="s">
        <v>37</v>
      </c>
    </row>
    <row r="901" spans="1:1" x14ac:dyDescent="0.25">
      <c r="A901" t="s">
        <v>46</v>
      </c>
    </row>
    <row r="902" spans="1:1" x14ac:dyDescent="0.25">
      <c r="A902" t="s">
        <v>26</v>
      </c>
    </row>
    <row r="903" spans="1:1" x14ac:dyDescent="0.25">
      <c r="A903" t="s">
        <v>1842</v>
      </c>
    </row>
    <row r="904" spans="1:1" x14ac:dyDescent="0.25">
      <c r="A904" t="s">
        <v>35</v>
      </c>
    </row>
    <row r="905" spans="1:1" x14ac:dyDescent="0.25">
      <c r="A905" s="13"/>
    </row>
    <row r="906" spans="1:1" x14ac:dyDescent="0.25">
      <c r="A906" s="13"/>
    </row>
    <row r="907" spans="1:1" x14ac:dyDescent="0.25">
      <c r="A907" s="13"/>
    </row>
    <row r="908" spans="1:1" x14ac:dyDescent="0.25">
      <c r="A908" s="13"/>
    </row>
    <row r="909" spans="1:1" x14ac:dyDescent="0.25">
      <c r="A909" s="13"/>
    </row>
    <row r="910" spans="1:1" x14ac:dyDescent="0.25">
      <c r="A910" s="13"/>
    </row>
    <row r="911" spans="1:1" x14ac:dyDescent="0.25">
      <c r="A911" s="13"/>
    </row>
    <row r="912" spans="1:1" x14ac:dyDescent="0.25">
      <c r="A912" s="13"/>
    </row>
    <row r="913" spans="1:1" x14ac:dyDescent="0.25">
      <c r="A913" s="13"/>
    </row>
    <row r="914" spans="1:1" x14ac:dyDescent="0.25">
      <c r="A914" s="13"/>
    </row>
    <row r="915" spans="1:1" x14ac:dyDescent="0.25">
      <c r="A915" s="13"/>
    </row>
    <row r="916" spans="1:1" x14ac:dyDescent="0.25">
      <c r="A916" s="13"/>
    </row>
    <row r="917" spans="1:1" x14ac:dyDescent="0.25">
      <c r="A917" s="13"/>
    </row>
    <row r="918" spans="1:1" x14ac:dyDescent="0.25">
      <c r="A918" s="13"/>
    </row>
    <row r="919" spans="1:1" x14ac:dyDescent="0.25">
      <c r="A919" s="13"/>
    </row>
    <row r="920" spans="1:1" x14ac:dyDescent="0.25">
      <c r="A920" s="13"/>
    </row>
    <row r="921" spans="1:1" x14ac:dyDescent="0.25">
      <c r="A921" s="13"/>
    </row>
    <row r="922" spans="1:1" x14ac:dyDescent="0.25">
      <c r="A922" s="13"/>
    </row>
    <row r="923" spans="1:1" x14ac:dyDescent="0.25">
      <c r="A923" s="13"/>
    </row>
    <row r="924" spans="1:1" x14ac:dyDescent="0.25">
      <c r="A924" s="13"/>
    </row>
    <row r="925" spans="1:1" x14ac:dyDescent="0.25">
      <c r="A925" s="13"/>
    </row>
    <row r="926" spans="1:1" x14ac:dyDescent="0.25">
      <c r="A926" s="13"/>
    </row>
    <row r="927" spans="1:1" x14ac:dyDescent="0.25">
      <c r="A927" s="13"/>
    </row>
    <row r="928" spans="1:1" x14ac:dyDescent="0.25">
      <c r="A928" s="13"/>
    </row>
    <row r="929" spans="1:1" x14ac:dyDescent="0.25">
      <c r="A929" s="13"/>
    </row>
    <row r="930" spans="1:1" x14ac:dyDescent="0.25">
      <c r="A930" s="13"/>
    </row>
    <row r="931" spans="1:1" x14ac:dyDescent="0.25">
      <c r="A931" s="13"/>
    </row>
    <row r="932" spans="1:1" x14ac:dyDescent="0.25">
      <c r="A932" s="13"/>
    </row>
    <row r="933" spans="1:1" x14ac:dyDescent="0.25">
      <c r="A933" s="13"/>
    </row>
    <row r="934" spans="1:1" x14ac:dyDescent="0.25">
      <c r="A934" s="13"/>
    </row>
    <row r="935" spans="1:1" x14ac:dyDescent="0.25">
      <c r="A935" s="13"/>
    </row>
    <row r="936" spans="1:1" x14ac:dyDescent="0.25">
      <c r="A936" s="13"/>
    </row>
    <row r="937" spans="1:1" x14ac:dyDescent="0.25">
      <c r="A937" s="13"/>
    </row>
    <row r="938" spans="1:1" x14ac:dyDescent="0.25">
      <c r="A938" s="13"/>
    </row>
    <row r="939" spans="1:1" x14ac:dyDescent="0.25">
      <c r="A939" s="13"/>
    </row>
    <row r="940" spans="1:1" x14ac:dyDescent="0.25">
      <c r="A940" s="13"/>
    </row>
    <row r="941" spans="1:1" x14ac:dyDescent="0.25">
      <c r="A941" s="13"/>
    </row>
    <row r="942" spans="1:1" x14ac:dyDescent="0.25">
      <c r="A942" s="13"/>
    </row>
    <row r="943" spans="1:1" x14ac:dyDescent="0.25">
      <c r="A943" s="13"/>
    </row>
    <row r="944" spans="1:1" x14ac:dyDescent="0.25">
      <c r="A944" s="13"/>
    </row>
    <row r="945" spans="1:1" x14ac:dyDescent="0.25">
      <c r="A945" s="13"/>
    </row>
    <row r="946" spans="1:1" x14ac:dyDescent="0.25">
      <c r="A946" s="13"/>
    </row>
    <row r="947" spans="1:1" x14ac:dyDescent="0.25">
      <c r="A947" s="13"/>
    </row>
    <row r="948" spans="1:1" x14ac:dyDescent="0.25">
      <c r="A948" s="13"/>
    </row>
    <row r="949" spans="1:1" x14ac:dyDescent="0.25">
      <c r="A949" s="13"/>
    </row>
    <row r="950" spans="1:1" x14ac:dyDescent="0.25">
      <c r="A950" s="13"/>
    </row>
    <row r="951" spans="1:1" x14ac:dyDescent="0.25">
      <c r="A951" s="13"/>
    </row>
    <row r="952" spans="1:1" x14ac:dyDescent="0.25">
      <c r="A952" s="13"/>
    </row>
    <row r="953" spans="1:1" x14ac:dyDescent="0.25">
      <c r="A953" s="13"/>
    </row>
    <row r="954" spans="1:1" x14ac:dyDescent="0.25">
      <c r="A954" s="13"/>
    </row>
    <row r="955" spans="1:1" x14ac:dyDescent="0.25">
      <c r="A955" s="13"/>
    </row>
    <row r="956" spans="1:1" x14ac:dyDescent="0.25">
      <c r="A956" s="13"/>
    </row>
    <row r="957" spans="1:1" x14ac:dyDescent="0.25">
      <c r="A957" s="13"/>
    </row>
    <row r="958" spans="1:1" x14ac:dyDescent="0.25">
      <c r="A958" s="13"/>
    </row>
    <row r="959" spans="1:1" x14ac:dyDescent="0.25">
      <c r="A959" s="13"/>
    </row>
    <row r="960" spans="1:1" x14ac:dyDescent="0.25">
      <c r="A960" s="13"/>
    </row>
    <row r="961" spans="1:1" x14ac:dyDescent="0.25">
      <c r="A961" s="13"/>
    </row>
    <row r="962" spans="1:1" x14ac:dyDescent="0.25">
      <c r="A962" s="13"/>
    </row>
    <row r="963" spans="1:1" x14ac:dyDescent="0.25">
      <c r="A963" s="13"/>
    </row>
    <row r="964" spans="1:1" x14ac:dyDescent="0.25">
      <c r="A964" s="13"/>
    </row>
    <row r="965" spans="1:1" x14ac:dyDescent="0.25">
      <c r="A965" s="13"/>
    </row>
    <row r="966" spans="1:1" x14ac:dyDescent="0.25">
      <c r="A966" s="13"/>
    </row>
    <row r="967" spans="1:1" x14ac:dyDescent="0.25">
      <c r="A967" s="13"/>
    </row>
    <row r="968" spans="1:1" x14ac:dyDescent="0.25">
      <c r="A968" s="13"/>
    </row>
    <row r="969" spans="1:1" x14ac:dyDescent="0.25">
      <c r="A969" s="13"/>
    </row>
    <row r="970" spans="1:1" x14ac:dyDescent="0.25">
      <c r="A970" s="13"/>
    </row>
    <row r="971" spans="1:1" x14ac:dyDescent="0.25">
      <c r="A971" s="13"/>
    </row>
    <row r="972" spans="1:1" x14ac:dyDescent="0.25">
      <c r="A972" s="13"/>
    </row>
    <row r="973" spans="1:1" x14ac:dyDescent="0.25">
      <c r="A973" s="13"/>
    </row>
    <row r="974" spans="1:1" x14ac:dyDescent="0.25">
      <c r="A974" s="13"/>
    </row>
    <row r="975" spans="1:1" x14ac:dyDescent="0.25">
      <c r="A975" s="13"/>
    </row>
    <row r="976" spans="1:1" x14ac:dyDescent="0.25">
      <c r="A976" s="13"/>
    </row>
    <row r="977" spans="1:1" x14ac:dyDescent="0.25">
      <c r="A977" s="13"/>
    </row>
    <row r="978" spans="1:1" x14ac:dyDescent="0.25">
      <c r="A978" s="13"/>
    </row>
    <row r="979" spans="1:1" x14ac:dyDescent="0.25">
      <c r="A979" s="13"/>
    </row>
    <row r="980" spans="1:1" x14ac:dyDescent="0.25">
      <c r="A980" s="13"/>
    </row>
    <row r="981" spans="1:1" x14ac:dyDescent="0.25">
      <c r="A981" s="13"/>
    </row>
    <row r="982" spans="1:1" x14ac:dyDescent="0.25">
      <c r="A982" s="13"/>
    </row>
    <row r="983" spans="1:1" x14ac:dyDescent="0.25">
      <c r="A983" s="13"/>
    </row>
    <row r="984" spans="1:1" x14ac:dyDescent="0.25">
      <c r="A984" s="13"/>
    </row>
    <row r="985" spans="1:1" x14ac:dyDescent="0.25">
      <c r="A985" s="13"/>
    </row>
    <row r="986" spans="1:1" x14ac:dyDescent="0.25">
      <c r="A986" s="13"/>
    </row>
    <row r="987" spans="1:1" x14ac:dyDescent="0.25">
      <c r="A987" s="13"/>
    </row>
    <row r="988" spans="1:1" x14ac:dyDescent="0.25">
      <c r="A988" s="13"/>
    </row>
    <row r="989" spans="1:1" x14ac:dyDescent="0.25">
      <c r="A989" s="13"/>
    </row>
    <row r="990" spans="1:1" x14ac:dyDescent="0.25">
      <c r="A990" s="13"/>
    </row>
    <row r="991" spans="1:1" x14ac:dyDescent="0.25">
      <c r="A991" s="13"/>
    </row>
    <row r="992" spans="1:1" x14ac:dyDescent="0.25">
      <c r="A992" s="13"/>
    </row>
    <row r="993" spans="1:1" x14ac:dyDescent="0.25">
      <c r="A993" s="13"/>
    </row>
    <row r="994" spans="1:1" x14ac:dyDescent="0.25">
      <c r="A994" s="13"/>
    </row>
    <row r="995" spans="1:1" x14ac:dyDescent="0.25">
      <c r="A995" s="13"/>
    </row>
    <row r="996" spans="1:1" x14ac:dyDescent="0.25">
      <c r="A996" s="13"/>
    </row>
    <row r="997" spans="1:1" x14ac:dyDescent="0.25">
      <c r="A997" s="13"/>
    </row>
    <row r="998" spans="1:1" x14ac:dyDescent="0.25">
      <c r="A998" s="13"/>
    </row>
    <row r="999" spans="1:1" x14ac:dyDescent="0.25">
      <c r="A999" s="13"/>
    </row>
    <row r="1000" spans="1:1" x14ac:dyDescent="0.25">
      <c r="A1000" s="13"/>
    </row>
    <row r="1001" spans="1:1" x14ac:dyDescent="0.25">
      <c r="A1001" s="13"/>
    </row>
    <row r="1002" spans="1:1" x14ac:dyDescent="0.25">
      <c r="A1002" s="13"/>
    </row>
    <row r="1003" spans="1:1" x14ac:dyDescent="0.25">
      <c r="A1003" s="13"/>
    </row>
    <row r="1004" spans="1:1" x14ac:dyDescent="0.25">
      <c r="A1004" s="13"/>
    </row>
    <row r="1005" spans="1:1" x14ac:dyDescent="0.25">
      <c r="A1005" s="13"/>
    </row>
    <row r="1006" spans="1:1" x14ac:dyDescent="0.25">
      <c r="A1006" s="13"/>
    </row>
    <row r="1007" spans="1:1" x14ac:dyDescent="0.25">
      <c r="A1007" s="13"/>
    </row>
    <row r="1008" spans="1:1" x14ac:dyDescent="0.25">
      <c r="A1008" s="13"/>
    </row>
    <row r="1009" spans="1:1" x14ac:dyDescent="0.25">
      <c r="A1009" s="13"/>
    </row>
    <row r="1010" spans="1:1" x14ac:dyDescent="0.25">
      <c r="A1010" s="13"/>
    </row>
    <row r="1011" spans="1:1" x14ac:dyDescent="0.25">
      <c r="A1011" s="13"/>
    </row>
    <row r="1012" spans="1:1" x14ac:dyDescent="0.25">
      <c r="A1012" s="13"/>
    </row>
    <row r="1013" spans="1:1" x14ac:dyDescent="0.25">
      <c r="A1013" s="13"/>
    </row>
    <row r="1014" spans="1:1" x14ac:dyDescent="0.25">
      <c r="A1014" s="13"/>
    </row>
    <row r="1015" spans="1:1" x14ac:dyDescent="0.25">
      <c r="A1015" s="13"/>
    </row>
    <row r="1016" spans="1:1" x14ac:dyDescent="0.25">
      <c r="A1016" s="13"/>
    </row>
    <row r="1017" spans="1:1" x14ac:dyDescent="0.25">
      <c r="A1017" s="13"/>
    </row>
    <row r="1018" spans="1:1" x14ac:dyDescent="0.25">
      <c r="A1018" s="13"/>
    </row>
    <row r="1019" spans="1:1" x14ac:dyDescent="0.25">
      <c r="A1019" s="13"/>
    </row>
    <row r="1020" spans="1:1" x14ac:dyDescent="0.25">
      <c r="A1020" s="13"/>
    </row>
    <row r="1021" spans="1:1" x14ac:dyDescent="0.25">
      <c r="A1021" s="13"/>
    </row>
    <row r="1022" spans="1:1" x14ac:dyDescent="0.25">
      <c r="A1022" s="13"/>
    </row>
    <row r="1023" spans="1:1" x14ac:dyDescent="0.25">
      <c r="A1023" s="13"/>
    </row>
    <row r="1024" spans="1:1" x14ac:dyDescent="0.25">
      <c r="A1024" s="13"/>
    </row>
    <row r="1025" spans="1:1" x14ac:dyDescent="0.25">
      <c r="A1025" s="13"/>
    </row>
    <row r="1026" spans="1:1" x14ac:dyDescent="0.25">
      <c r="A1026" s="13"/>
    </row>
    <row r="1027" spans="1:1" x14ac:dyDescent="0.25">
      <c r="A1027" s="13"/>
    </row>
    <row r="1028" spans="1:1" x14ac:dyDescent="0.25">
      <c r="A1028" s="13"/>
    </row>
    <row r="1029" spans="1:1" x14ac:dyDescent="0.25">
      <c r="A1029" s="13"/>
    </row>
    <row r="1030" spans="1:1" x14ac:dyDescent="0.25">
      <c r="A1030" s="13"/>
    </row>
    <row r="1031" spans="1:1" x14ac:dyDescent="0.25">
      <c r="A1031" s="13"/>
    </row>
    <row r="1032" spans="1:1" x14ac:dyDescent="0.25">
      <c r="A1032" s="13"/>
    </row>
    <row r="1033" spans="1:1" x14ac:dyDescent="0.25">
      <c r="A1033" s="13"/>
    </row>
    <row r="1034" spans="1:1" x14ac:dyDescent="0.25">
      <c r="A1034" s="13"/>
    </row>
    <row r="1035" spans="1:1" x14ac:dyDescent="0.25">
      <c r="A1035" s="13"/>
    </row>
    <row r="1036" spans="1:1" x14ac:dyDescent="0.25">
      <c r="A1036" s="13"/>
    </row>
    <row r="1037" spans="1:1" x14ac:dyDescent="0.25">
      <c r="A1037" s="13"/>
    </row>
    <row r="1038" spans="1:1" x14ac:dyDescent="0.25">
      <c r="A1038" s="13"/>
    </row>
    <row r="1039" spans="1:1" x14ac:dyDescent="0.25">
      <c r="A1039" s="13"/>
    </row>
    <row r="1040" spans="1:1" x14ac:dyDescent="0.25">
      <c r="A1040" s="13"/>
    </row>
    <row r="1041" spans="1:1" x14ac:dyDescent="0.25">
      <c r="A1041" s="13"/>
    </row>
    <row r="1042" spans="1:1" x14ac:dyDescent="0.25">
      <c r="A1042" s="13"/>
    </row>
    <row r="1043" spans="1:1" x14ac:dyDescent="0.25">
      <c r="A1043" s="13"/>
    </row>
    <row r="1044" spans="1:1" x14ac:dyDescent="0.25">
      <c r="A1044" s="13"/>
    </row>
    <row r="1045" spans="1:1" x14ac:dyDescent="0.25">
      <c r="A1045" s="13"/>
    </row>
    <row r="1046" spans="1:1" x14ac:dyDescent="0.25">
      <c r="A1046" s="13"/>
    </row>
    <row r="1047" spans="1:1" x14ac:dyDescent="0.25">
      <c r="A1047" s="13"/>
    </row>
    <row r="1048" spans="1:1" x14ac:dyDescent="0.25">
      <c r="A1048" s="13"/>
    </row>
    <row r="1049" spans="1:1" x14ac:dyDescent="0.25">
      <c r="A1049" s="13"/>
    </row>
    <row r="1050" spans="1:1" x14ac:dyDescent="0.25">
      <c r="A1050" s="13"/>
    </row>
    <row r="1051" spans="1:1" x14ac:dyDescent="0.25">
      <c r="A1051" s="13"/>
    </row>
    <row r="1052" spans="1:1" x14ac:dyDescent="0.25">
      <c r="A1052" s="13"/>
    </row>
    <row r="1053" spans="1:1" x14ac:dyDescent="0.25">
      <c r="A1053" s="13"/>
    </row>
    <row r="1054" spans="1:1" x14ac:dyDescent="0.25">
      <c r="A1054" s="13"/>
    </row>
    <row r="1055" spans="1:1" x14ac:dyDescent="0.25">
      <c r="A1055" s="13"/>
    </row>
    <row r="1056" spans="1:1" x14ac:dyDescent="0.25">
      <c r="A1056" s="13"/>
    </row>
    <row r="1057" spans="1:1" x14ac:dyDescent="0.25">
      <c r="A1057" s="13"/>
    </row>
    <row r="1058" spans="1:1" x14ac:dyDescent="0.25">
      <c r="A1058" s="13"/>
    </row>
    <row r="1059" spans="1:1" x14ac:dyDescent="0.25">
      <c r="A1059" s="13"/>
    </row>
    <row r="1060" spans="1:1" x14ac:dyDescent="0.25">
      <c r="A1060" s="13"/>
    </row>
    <row r="1061" spans="1:1" x14ac:dyDescent="0.25">
      <c r="A1061" s="13"/>
    </row>
    <row r="1062" spans="1:1" x14ac:dyDescent="0.25">
      <c r="A1062" s="13"/>
    </row>
    <row r="1063" spans="1:1" x14ac:dyDescent="0.25">
      <c r="A1063" s="13"/>
    </row>
    <row r="1064" spans="1:1" x14ac:dyDescent="0.25">
      <c r="A1064" s="13"/>
    </row>
    <row r="1065" spans="1:1" x14ac:dyDescent="0.25">
      <c r="A1065" s="13"/>
    </row>
    <row r="1066" spans="1:1" x14ac:dyDescent="0.25">
      <c r="A1066" s="13"/>
    </row>
    <row r="1067" spans="1:1" x14ac:dyDescent="0.25">
      <c r="A1067" s="13"/>
    </row>
    <row r="1068" spans="1:1" x14ac:dyDescent="0.25">
      <c r="A1068" s="13"/>
    </row>
    <row r="1069" spans="1:1" x14ac:dyDescent="0.25">
      <c r="A1069" s="13"/>
    </row>
    <row r="1070" spans="1:1" x14ac:dyDescent="0.25">
      <c r="A1070" s="13"/>
    </row>
    <row r="1071" spans="1:1" x14ac:dyDescent="0.25">
      <c r="A1071" s="13"/>
    </row>
    <row r="1072" spans="1:1" x14ac:dyDescent="0.25">
      <c r="A1072" s="13"/>
    </row>
    <row r="1073" spans="1:1" x14ac:dyDescent="0.25">
      <c r="A1073" s="13"/>
    </row>
    <row r="1074" spans="1:1" x14ac:dyDescent="0.25">
      <c r="A1074" s="13"/>
    </row>
    <row r="1075" spans="1:1" x14ac:dyDescent="0.25">
      <c r="A1075" s="13"/>
    </row>
    <row r="1076" spans="1:1" x14ac:dyDescent="0.25">
      <c r="A1076" s="13"/>
    </row>
    <row r="1077" spans="1:1" x14ac:dyDescent="0.25">
      <c r="A1077" s="13"/>
    </row>
    <row r="1078" spans="1:1" x14ac:dyDescent="0.25">
      <c r="A1078" s="13"/>
    </row>
    <row r="1079" spans="1:1" x14ac:dyDescent="0.25">
      <c r="A1079" s="13"/>
    </row>
    <row r="1080" spans="1:1" x14ac:dyDescent="0.25">
      <c r="A1080" s="13"/>
    </row>
    <row r="1081" spans="1:1" x14ac:dyDescent="0.25">
      <c r="A1081" s="13"/>
    </row>
    <row r="1082" spans="1:1" x14ac:dyDescent="0.25">
      <c r="A1082" s="13"/>
    </row>
    <row r="1083" spans="1:1" x14ac:dyDescent="0.25">
      <c r="A1083" s="13"/>
    </row>
    <row r="1084" spans="1:1" x14ac:dyDescent="0.25">
      <c r="A1084" s="13"/>
    </row>
    <row r="1085" spans="1:1" x14ac:dyDescent="0.25">
      <c r="A1085" s="13"/>
    </row>
    <row r="1086" spans="1:1" x14ac:dyDescent="0.25">
      <c r="A1086" s="13"/>
    </row>
    <row r="1087" spans="1:1" x14ac:dyDescent="0.25">
      <c r="A1087" s="13"/>
    </row>
    <row r="1088" spans="1:1" x14ac:dyDescent="0.25">
      <c r="A1088" s="13"/>
    </row>
    <row r="1089" spans="1:1" x14ac:dyDescent="0.25">
      <c r="A1089" s="13"/>
    </row>
    <row r="1090" spans="1:1" x14ac:dyDescent="0.25">
      <c r="A1090" s="13"/>
    </row>
    <row r="1091" spans="1:1" x14ac:dyDescent="0.25">
      <c r="A1091" s="13"/>
    </row>
    <row r="1092" spans="1:1" x14ac:dyDescent="0.25">
      <c r="A1092" s="13"/>
    </row>
    <row r="1093" spans="1:1" x14ac:dyDescent="0.25">
      <c r="A1093" s="13"/>
    </row>
    <row r="1094" spans="1:1" x14ac:dyDescent="0.25">
      <c r="A1094" s="13"/>
    </row>
    <row r="1095" spans="1:1" x14ac:dyDescent="0.25">
      <c r="A1095" s="13"/>
    </row>
    <row r="1096" spans="1:1" x14ac:dyDescent="0.25">
      <c r="A1096" s="13"/>
    </row>
    <row r="1097" spans="1:1" x14ac:dyDescent="0.25">
      <c r="A1097" s="13"/>
    </row>
    <row r="1098" spans="1:1" x14ac:dyDescent="0.25">
      <c r="A1098" s="13"/>
    </row>
    <row r="1099" spans="1:1" x14ac:dyDescent="0.25">
      <c r="A1099" s="13"/>
    </row>
    <row r="1100" spans="1:1" x14ac:dyDescent="0.25">
      <c r="A1100" s="13"/>
    </row>
    <row r="1101" spans="1:1" x14ac:dyDescent="0.25">
      <c r="A1101" s="13"/>
    </row>
    <row r="1102" spans="1:1" x14ac:dyDescent="0.25">
      <c r="A1102" s="13"/>
    </row>
    <row r="1103" spans="1:1" x14ac:dyDescent="0.25">
      <c r="A1103" s="13"/>
    </row>
    <row r="1104" spans="1:1" x14ac:dyDescent="0.25">
      <c r="A1104" s="13"/>
    </row>
    <row r="1105" spans="1:1" x14ac:dyDescent="0.25">
      <c r="A1105" s="13"/>
    </row>
    <row r="1106" spans="1:1" x14ac:dyDescent="0.25">
      <c r="A1106" s="13"/>
    </row>
    <row r="1107" spans="1:1" x14ac:dyDescent="0.25">
      <c r="A1107" s="13"/>
    </row>
    <row r="1108" spans="1:1" x14ac:dyDescent="0.25">
      <c r="A1108" s="13"/>
    </row>
    <row r="1109" spans="1:1" x14ac:dyDescent="0.25">
      <c r="A1109" s="13"/>
    </row>
    <row r="1110" spans="1:1" x14ac:dyDescent="0.25">
      <c r="A1110" s="13"/>
    </row>
    <row r="1111" spans="1:1" x14ac:dyDescent="0.25">
      <c r="A1111" s="13"/>
    </row>
    <row r="1112" spans="1:1" x14ac:dyDescent="0.25">
      <c r="A1112" s="13"/>
    </row>
    <row r="1113" spans="1:1" x14ac:dyDescent="0.25">
      <c r="A1113" s="13"/>
    </row>
    <row r="1114" spans="1:1" x14ac:dyDescent="0.25">
      <c r="A1114" s="13"/>
    </row>
    <row r="1115" spans="1:1" x14ac:dyDescent="0.25">
      <c r="A1115" s="13"/>
    </row>
    <row r="1116" spans="1:1" x14ac:dyDescent="0.25">
      <c r="A1116" s="13"/>
    </row>
    <row r="1117" spans="1:1" x14ac:dyDescent="0.25">
      <c r="A1117" s="13"/>
    </row>
    <row r="1118" spans="1:1" x14ac:dyDescent="0.25">
      <c r="A1118" s="13"/>
    </row>
    <row r="1119" spans="1:1" x14ac:dyDescent="0.25">
      <c r="A1119" s="13"/>
    </row>
    <row r="1120" spans="1:1" x14ac:dyDescent="0.25">
      <c r="A1120" s="13"/>
    </row>
    <row r="1121" spans="1:1" x14ac:dyDescent="0.25">
      <c r="A1121" s="13"/>
    </row>
    <row r="1122" spans="1:1" x14ac:dyDescent="0.25">
      <c r="A1122" s="13"/>
    </row>
    <row r="1123" spans="1:1" x14ac:dyDescent="0.25">
      <c r="A1123" s="13"/>
    </row>
    <row r="1124" spans="1:1" x14ac:dyDescent="0.25">
      <c r="A1124" s="13"/>
    </row>
    <row r="1125" spans="1:1" x14ac:dyDescent="0.25">
      <c r="A1125" s="13"/>
    </row>
    <row r="1126" spans="1:1" x14ac:dyDescent="0.25">
      <c r="A1126" s="13"/>
    </row>
    <row r="1127" spans="1:1" x14ac:dyDescent="0.25">
      <c r="A1127" s="13"/>
    </row>
    <row r="1128" spans="1:1" x14ac:dyDescent="0.25">
      <c r="A1128" s="13"/>
    </row>
    <row r="1129" spans="1:1" x14ac:dyDescent="0.25">
      <c r="A1129" s="13"/>
    </row>
    <row r="1130" spans="1:1" x14ac:dyDescent="0.25">
      <c r="A1130" s="13"/>
    </row>
    <row r="1131" spans="1:1" x14ac:dyDescent="0.25">
      <c r="A1131" s="13"/>
    </row>
    <row r="1132" spans="1:1" x14ac:dyDescent="0.25">
      <c r="A1132" s="13"/>
    </row>
    <row r="1133" spans="1:1" x14ac:dyDescent="0.25">
      <c r="A1133" s="13"/>
    </row>
    <row r="1134" spans="1:1" x14ac:dyDescent="0.25">
      <c r="A1134" s="13"/>
    </row>
    <row r="1135" spans="1:1" x14ac:dyDescent="0.25">
      <c r="A1135" s="13"/>
    </row>
    <row r="1136" spans="1:1" x14ac:dyDescent="0.25">
      <c r="A1136" s="13"/>
    </row>
    <row r="1137" spans="1:1" x14ac:dyDescent="0.25">
      <c r="A1137" s="13"/>
    </row>
    <row r="1138" spans="1:1" x14ac:dyDescent="0.25">
      <c r="A1138" s="13"/>
    </row>
    <row r="1139" spans="1:1" x14ac:dyDescent="0.25">
      <c r="A1139" s="13"/>
    </row>
    <row r="1140" spans="1:1" x14ac:dyDescent="0.25">
      <c r="A1140" s="13"/>
    </row>
    <row r="1141" spans="1:1" x14ac:dyDescent="0.25">
      <c r="A1141" s="13"/>
    </row>
    <row r="1142" spans="1:1" x14ac:dyDescent="0.25">
      <c r="A1142" s="13"/>
    </row>
    <row r="1143" spans="1:1" x14ac:dyDescent="0.25">
      <c r="A1143" s="13"/>
    </row>
    <row r="1144" spans="1:1" x14ac:dyDescent="0.25">
      <c r="A1144" s="13"/>
    </row>
    <row r="1145" spans="1:1" x14ac:dyDescent="0.25">
      <c r="A1145" s="13"/>
    </row>
    <row r="1146" spans="1:1" x14ac:dyDescent="0.25">
      <c r="A1146" s="13"/>
    </row>
    <row r="1147" spans="1:1" x14ac:dyDescent="0.25">
      <c r="A1147" s="13"/>
    </row>
    <row r="1148" spans="1:1" x14ac:dyDescent="0.25">
      <c r="A1148" s="13"/>
    </row>
    <row r="1149" spans="1:1" x14ac:dyDescent="0.25">
      <c r="A1149" s="13"/>
    </row>
    <row r="1150" spans="1:1" x14ac:dyDescent="0.25">
      <c r="A1150" s="13"/>
    </row>
    <row r="1151" spans="1:1" x14ac:dyDescent="0.25">
      <c r="A1151" s="13"/>
    </row>
    <row r="1152" spans="1:1" x14ac:dyDescent="0.25">
      <c r="A1152" s="13"/>
    </row>
    <row r="1153" spans="1:1" x14ac:dyDescent="0.25">
      <c r="A1153" s="13"/>
    </row>
    <row r="1154" spans="1:1" x14ac:dyDescent="0.25">
      <c r="A1154" s="13"/>
    </row>
    <row r="1155" spans="1:1" x14ac:dyDescent="0.25">
      <c r="A1155" s="13"/>
    </row>
    <row r="1156" spans="1:1" x14ac:dyDescent="0.25">
      <c r="A1156" s="13"/>
    </row>
    <row r="1157" spans="1:1" x14ac:dyDescent="0.25">
      <c r="A1157" s="13"/>
    </row>
    <row r="1158" spans="1:1" x14ac:dyDescent="0.25">
      <c r="A1158" s="13"/>
    </row>
    <row r="1159" spans="1:1" x14ac:dyDescent="0.25">
      <c r="A1159" s="13"/>
    </row>
    <row r="1160" spans="1:1" x14ac:dyDescent="0.25">
      <c r="A1160" s="13"/>
    </row>
    <row r="1161" spans="1:1" x14ac:dyDescent="0.25">
      <c r="A1161" s="13"/>
    </row>
    <row r="1162" spans="1:1" x14ac:dyDescent="0.25">
      <c r="A1162" s="13"/>
    </row>
    <row r="1163" spans="1:1" x14ac:dyDescent="0.25">
      <c r="A1163" s="13"/>
    </row>
    <row r="1164" spans="1:1" x14ac:dyDescent="0.25">
      <c r="A1164" s="13"/>
    </row>
    <row r="1165" spans="1:1" x14ac:dyDescent="0.25">
      <c r="A1165" s="13"/>
    </row>
    <row r="1166" spans="1:1" x14ac:dyDescent="0.25">
      <c r="A1166" s="13"/>
    </row>
    <row r="1167" spans="1:1" x14ac:dyDescent="0.25">
      <c r="A1167" s="13"/>
    </row>
    <row r="1168" spans="1:1" x14ac:dyDescent="0.25">
      <c r="A1168" s="13"/>
    </row>
    <row r="1169" spans="1:1" x14ac:dyDescent="0.25">
      <c r="A1169" s="13"/>
    </row>
    <row r="1170" spans="1:1" x14ac:dyDescent="0.25">
      <c r="A1170" s="13"/>
    </row>
    <row r="1171" spans="1:1" x14ac:dyDescent="0.25">
      <c r="A1171" s="13"/>
    </row>
    <row r="1172" spans="1:1" x14ac:dyDescent="0.25">
      <c r="A1172" s="13"/>
    </row>
    <row r="1173" spans="1:1" x14ac:dyDescent="0.25">
      <c r="A1173" s="13"/>
    </row>
    <row r="1174" spans="1:1" x14ac:dyDescent="0.25">
      <c r="A1174" s="13"/>
    </row>
    <row r="1175" spans="1:1" x14ac:dyDescent="0.25">
      <c r="A1175" s="13"/>
    </row>
    <row r="1176" spans="1:1" x14ac:dyDescent="0.25">
      <c r="A1176" s="13"/>
    </row>
    <row r="1177" spans="1:1" x14ac:dyDescent="0.25">
      <c r="A1177" s="13"/>
    </row>
    <row r="1178" spans="1:1" x14ac:dyDescent="0.25">
      <c r="A1178" s="13"/>
    </row>
    <row r="1179" spans="1:1" x14ac:dyDescent="0.25">
      <c r="A1179" s="13"/>
    </row>
    <row r="1180" spans="1:1" x14ac:dyDescent="0.25">
      <c r="A1180" s="13"/>
    </row>
    <row r="1181" spans="1:1" x14ac:dyDescent="0.25">
      <c r="A1181" s="13"/>
    </row>
    <row r="1182" spans="1:1" x14ac:dyDescent="0.25">
      <c r="A1182" s="13"/>
    </row>
    <row r="1183" spans="1:1" x14ac:dyDescent="0.25">
      <c r="A1183" s="13"/>
    </row>
    <row r="1184" spans="1:1" x14ac:dyDescent="0.25">
      <c r="A1184" s="13"/>
    </row>
    <row r="1185" spans="1:1" x14ac:dyDescent="0.25">
      <c r="A1185" s="13"/>
    </row>
    <row r="1186" spans="1:1" x14ac:dyDescent="0.25">
      <c r="A1186" s="13"/>
    </row>
    <row r="1187" spans="1:1" x14ac:dyDescent="0.25">
      <c r="A1187" s="13"/>
    </row>
    <row r="1188" spans="1:1" x14ac:dyDescent="0.25">
      <c r="A1188" s="13"/>
    </row>
    <row r="1189" spans="1:1" x14ac:dyDescent="0.25">
      <c r="A1189" s="13"/>
    </row>
    <row r="1190" spans="1:1" x14ac:dyDescent="0.25">
      <c r="A1190" s="13"/>
    </row>
    <row r="1191" spans="1:1" x14ac:dyDescent="0.25">
      <c r="A1191" s="13"/>
    </row>
    <row r="1192" spans="1:1" x14ac:dyDescent="0.25">
      <c r="A1192" s="13"/>
    </row>
    <row r="1193" spans="1:1" x14ac:dyDescent="0.25">
      <c r="A1193" s="13"/>
    </row>
    <row r="1194" spans="1:1" x14ac:dyDescent="0.25">
      <c r="A1194" s="13"/>
    </row>
    <row r="1195" spans="1:1" x14ac:dyDescent="0.25">
      <c r="A1195" s="13"/>
    </row>
    <row r="1196" spans="1:1" x14ac:dyDescent="0.25">
      <c r="A1196" s="13"/>
    </row>
    <row r="1197" spans="1:1" x14ac:dyDescent="0.25">
      <c r="A1197" s="13"/>
    </row>
    <row r="1198" spans="1:1" x14ac:dyDescent="0.25">
      <c r="A1198" s="13"/>
    </row>
    <row r="1199" spans="1:1" x14ac:dyDescent="0.25">
      <c r="A1199" s="13"/>
    </row>
    <row r="1200" spans="1:1" x14ac:dyDescent="0.25">
      <c r="A1200" s="13"/>
    </row>
    <row r="1201" spans="1:1" x14ac:dyDescent="0.25">
      <c r="A1201" s="13"/>
    </row>
    <row r="1202" spans="1:1" x14ac:dyDescent="0.25">
      <c r="A1202" s="13"/>
    </row>
    <row r="1203" spans="1:1" x14ac:dyDescent="0.25">
      <c r="A1203" s="13"/>
    </row>
    <row r="1204" spans="1:1" x14ac:dyDescent="0.25">
      <c r="A1204" s="13"/>
    </row>
    <row r="1205" spans="1:1" x14ac:dyDescent="0.25">
      <c r="A1205" s="13"/>
    </row>
    <row r="1206" spans="1:1" x14ac:dyDescent="0.25">
      <c r="A1206" s="13"/>
    </row>
    <row r="1207" spans="1:1" x14ac:dyDescent="0.25">
      <c r="A1207" s="13"/>
    </row>
    <row r="1208" spans="1:1" x14ac:dyDescent="0.25">
      <c r="A1208" s="13"/>
    </row>
    <row r="1209" spans="1:1" x14ac:dyDescent="0.25">
      <c r="A1209" s="13"/>
    </row>
    <row r="1210" spans="1:1" x14ac:dyDescent="0.25">
      <c r="A1210" s="13"/>
    </row>
    <row r="1211" spans="1:1" x14ac:dyDescent="0.25">
      <c r="A1211" s="13"/>
    </row>
    <row r="1212" spans="1:1" x14ac:dyDescent="0.25">
      <c r="A1212" s="13"/>
    </row>
    <row r="1213" spans="1:1" x14ac:dyDescent="0.25">
      <c r="A1213" s="13"/>
    </row>
    <row r="1214" spans="1:1" x14ac:dyDescent="0.25">
      <c r="A1214" s="13"/>
    </row>
    <row r="1215" spans="1:1" x14ac:dyDescent="0.25">
      <c r="A1215" s="13"/>
    </row>
    <row r="1216" spans="1:1" x14ac:dyDescent="0.25">
      <c r="A1216" s="13"/>
    </row>
    <row r="1217" spans="1:1" x14ac:dyDescent="0.25">
      <c r="A1217" s="13"/>
    </row>
    <row r="1218" spans="1:1" x14ac:dyDescent="0.25">
      <c r="A1218" s="13"/>
    </row>
    <row r="1219" spans="1:1" x14ac:dyDescent="0.25">
      <c r="A1219" s="13"/>
    </row>
    <row r="1220" spans="1:1" x14ac:dyDescent="0.25">
      <c r="A1220" s="13"/>
    </row>
    <row r="1221" spans="1:1" x14ac:dyDescent="0.25">
      <c r="A1221" s="13"/>
    </row>
    <row r="1222" spans="1:1" x14ac:dyDescent="0.25">
      <c r="A1222" s="13"/>
    </row>
    <row r="1223" spans="1:1" x14ac:dyDescent="0.25">
      <c r="A1223" s="13"/>
    </row>
    <row r="1224" spans="1:1" x14ac:dyDescent="0.25">
      <c r="A1224" s="13"/>
    </row>
    <row r="1225" spans="1:1" x14ac:dyDescent="0.25">
      <c r="A1225" s="13"/>
    </row>
    <row r="1226" spans="1:1" x14ac:dyDescent="0.25">
      <c r="A1226" s="13"/>
    </row>
    <row r="1227" spans="1:1" x14ac:dyDescent="0.25">
      <c r="A1227" s="13"/>
    </row>
    <row r="1228" spans="1:1" x14ac:dyDescent="0.25">
      <c r="A1228" s="13"/>
    </row>
    <row r="1229" spans="1:1" x14ac:dyDescent="0.25">
      <c r="A1229" s="13"/>
    </row>
    <row r="1230" spans="1:1" x14ac:dyDescent="0.25">
      <c r="A1230" s="13"/>
    </row>
    <row r="1231" spans="1:1" x14ac:dyDescent="0.25">
      <c r="A1231" s="13"/>
    </row>
    <row r="1232" spans="1:1" x14ac:dyDescent="0.25">
      <c r="A1232" s="13"/>
    </row>
    <row r="1233" spans="1:1" x14ac:dyDescent="0.25">
      <c r="A1233" s="13"/>
    </row>
    <row r="1234" spans="1:1" x14ac:dyDescent="0.25">
      <c r="A1234" s="13"/>
    </row>
    <row r="1235" spans="1:1" x14ac:dyDescent="0.25">
      <c r="A1235" s="13"/>
    </row>
    <row r="1236" spans="1:1" x14ac:dyDescent="0.25">
      <c r="A1236" s="13"/>
    </row>
    <row r="1237" spans="1:1" x14ac:dyDescent="0.25">
      <c r="A1237" s="13"/>
    </row>
    <row r="1238" spans="1:1" x14ac:dyDescent="0.25">
      <c r="A1238" s="13"/>
    </row>
    <row r="1239" spans="1:1" x14ac:dyDescent="0.25">
      <c r="A1239" s="13"/>
    </row>
    <row r="1240" spans="1:1" x14ac:dyDescent="0.25">
      <c r="A1240" s="13"/>
    </row>
    <row r="1241" spans="1:1" x14ac:dyDescent="0.25">
      <c r="A1241" s="13"/>
    </row>
    <row r="1242" spans="1:1" x14ac:dyDescent="0.25">
      <c r="A1242" s="13"/>
    </row>
    <row r="1243" spans="1:1" x14ac:dyDescent="0.25">
      <c r="A1243" s="13"/>
    </row>
    <row r="1244" spans="1:1" x14ac:dyDescent="0.25">
      <c r="A1244" s="13"/>
    </row>
    <row r="1245" spans="1:1" x14ac:dyDescent="0.25">
      <c r="A1245" s="13"/>
    </row>
    <row r="1246" spans="1:1" x14ac:dyDescent="0.25">
      <c r="A1246" s="13"/>
    </row>
    <row r="1247" spans="1:1" x14ac:dyDescent="0.25">
      <c r="A1247" s="13"/>
    </row>
    <row r="1248" spans="1:1" x14ac:dyDescent="0.25">
      <c r="A1248" s="13"/>
    </row>
    <row r="1249" spans="1:1" x14ac:dyDescent="0.25">
      <c r="A1249" s="13"/>
    </row>
    <row r="1250" spans="1:1" x14ac:dyDescent="0.25">
      <c r="A1250" s="13"/>
    </row>
    <row r="1251" spans="1:1" x14ac:dyDescent="0.25">
      <c r="A1251" s="13"/>
    </row>
    <row r="1252" spans="1:1" x14ac:dyDescent="0.25">
      <c r="A1252" s="13"/>
    </row>
    <row r="1253" spans="1:1" x14ac:dyDescent="0.25">
      <c r="A1253" s="13"/>
    </row>
    <row r="1254" spans="1:1" x14ac:dyDescent="0.25">
      <c r="A1254" s="13"/>
    </row>
    <row r="1255" spans="1:1" x14ac:dyDescent="0.25">
      <c r="A1255" s="13"/>
    </row>
    <row r="1256" spans="1:1" x14ac:dyDescent="0.25">
      <c r="A1256" s="13"/>
    </row>
    <row r="1257" spans="1:1" x14ac:dyDescent="0.25">
      <c r="A1257" s="13"/>
    </row>
    <row r="1258" spans="1:1" x14ac:dyDescent="0.25">
      <c r="A1258" s="13"/>
    </row>
    <row r="1259" spans="1:1" x14ac:dyDescent="0.25">
      <c r="A1259" s="13"/>
    </row>
    <row r="1260" spans="1:1" x14ac:dyDescent="0.25">
      <c r="A1260" s="13"/>
    </row>
    <row r="1261" spans="1:1" x14ac:dyDescent="0.25">
      <c r="A1261" s="13"/>
    </row>
    <row r="1262" spans="1:1" x14ac:dyDescent="0.25">
      <c r="A1262" s="13"/>
    </row>
    <row r="1263" spans="1:1" x14ac:dyDescent="0.25">
      <c r="A1263" s="13"/>
    </row>
    <row r="1264" spans="1:1" x14ac:dyDescent="0.25">
      <c r="A1264" s="13"/>
    </row>
    <row r="1265" spans="1:1" x14ac:dyDescent="0.25">
      <c r="A1265" s="13"/>
    </row>
    <row r="1266" spans="1:1" x14ac:dyDescent="0.25">
      <c r="A1266" s="13"/>
    </row>
    <row r="1267" spans="1:1" x14ac:dyDescent="0.25">
      <c r="A1267" s="13"/>
    </row>
    <row r="1268" spans="1:1" x14ac:dyDescent="0.25">
      <c r="A1268" s="13"/>
    </row>
    <row r="1269" spans="1:1" x14ac:dyDescent="0.25">
      <c r="A1269" s="13"/>
    </row>
    <row r="1270" spans="1:1" x14ac:dyDescent="0.25">
      <c r="A1270" s="13"/>
    </row>
    <row r="1271" spans="1:1" x14ac:dyDescent="0.25">
      <c r="A1271" s="13"/>
    </row>
    <row r="1272" spans="1:1" x14ac:dyDescent="0.25">
      <c r="A1272" s="13"/>
    </row>
    <row r="1273" spans="1:1" x14ac:dyDescent="0.25">
      <c r="A1273" s="13"/>
    </row>
    <row r="1274" spans="1:1" x14ac:dyDescent="0.25">
      <c r="A1274" s="13"/>
    </row>
    <row r="1275" spans="1:1" x14ac:dyDescent="0.25">
      <c r="A1275" s="13"/>
    </row>
    <row r="1276" spans="1:1" x14ac:dyDescent="0.25">
      <c r="A1276" s="13"/>
    </row>
    <row r="1277" spans="1:1" x14ac:dyDescent="0.25">
      <c r="A1277" s="13"/>
    </row>
    <row r="1278" spans="1:1" x14ac:dyDescent="0.25">
      <c r="A1278" s="13"/>
    </row>
    <row r="1279" spans="1:1" x14ac:dyDescent="0.25">
      <c r="A1279" s="13"/>
    </row>
    <row r="1280" spans="1:1" x14ac:dyDescent="0.25">
      <c r="A1280" s="13"/>
    </row>
    <row r="1281" spans="1:1" x14ac:dyDescent="0.25">
      <c r="A1281" s="13"/>
    </row>
    <row r="1282" spans="1:1" x14ac:dyDescent="0.25">
      <c r="A1282" s="13"/>
    </row>
    <row r="1283" spans="1:1" x14ac:dyDescent="0.25">
      <c r="A1283" s="13"/>
    </row>
    <row r="1284" spans="1:1" x14ac:dyDescent="0.25">
      <c r="A1284" s="13"/>
    </row>
    <row r="1285" spans="1:1" x14ac:dyDescent="0.25">
      <c r="A1285" s="13"/>
    </row>
    <row r="1286" spans="1:1" x14ac:dyDescent="0.25">
      <c r="A1286" s="13"/>
    </row>
    <row r="1287" spans="1:1" x14ac:dyDescent="0.25">
      <c r="A1287" s="13"/>
    </row>
    <row r="1288" spans="1:1" x14ac:dyDescent="0.25">
      <c r="A1288" s="13"/>
    </row>
    <row r="1289" spans="1:1" x14ac:dyDescent="0.25">
      <c r="A1289" s="13"/>
    </row>
    <row r="1290" spans="1:1" x14ac:dyDescent="0.25">
      <c r="A1290" s="13"/>
    </row>
    <row r="1291" spans="1:1" x14ac:dyDescent="0.25">
      <c r="A1291" s="13"/>
    </row>
    <row r="1292" spans="1:1" x14ac:dyDescent="0.25">
      <c r="A1292" s="13"/>
    </row>
    <row r="1293" spans="1:1" x14ac:dyDescent="0.25">
      <c r="A1293" s="13"/>
    </row>
    <row r="1294" spans="1:1" x14ac:dyDescent="0.25">
      <c r="A1294" s="13"/>
    </row>
    <row r="1295" spans="1:1" x14ac:dyDescent="0.25">
      <c r="A1295" s="13"/>
    </row>
    <row r="1296" spans="1:1" x14ac:dyDescent="0.25">
      <c r="A1296" s="13"/>
    </row>
    <row r="1297" spans="1:1" x14ac:dyDescent="0.25">
      <c r="A1297" s="13"/>
    </row>
    <row r="1298" spans="1:1" x14ac:dyDescent="0.25">
      <c r="A1298" s="13"/>
    </row>
    <row r="1299" spans="1:1" x14ac:dyDescent="0.25">
      <c r="A1299" s="13"/>
    </row>
    <row r="1300" spans="1:1" x14ac:dyDescent="0.25">
      <c r="A1300" s="13"/>
    </row>
    <row r="1301" spans="1:1" x14ac:dyDescent="0.25">
      <c r="A1301" s="13"/>
    </row>
    <row r="1302" spans="1:1" x14ac:dyDescent="0.25">
      <c r="A1302" s="13"/>
    </row>
    <row r="1303" spans="1:1" x14ac:dyDescent="0.25">
      <c r="A1303" s="13"/>
    </row>
    <row r="1304" spans="1:1" x14ac:dyDescent="0.25">
      <c r="A1304" s="13"/>
    </row>
    <row r="1305" spans="1:1" x14ac:dyDescent="0.25">
      <c r="A1305" s="13"/>
    </row>
    <row r="1306" spans="1:1" x14ac:dyDescent="0.25">
      <c r="A1306" s="13"/>
    </row>
    <row r="1307" spans="1:1" x14ac:dyDescent="0.25">
      <c r="A1307" s="13"/>
    </row>
    <row r="1308" spans="1:1" x14ac:dyDescent="0.25">
      <c r="A1308" s="13"/>
    </row>
    <row r="1309" spans="1:1" x14ac:dyDescent="0.25">
      <c r="A1309" s="13"/>
    </row>
    <row r="1310" spans="1:1" x14ac:dyDescent="0.25">
      <c r="A1310" s="13"/>
    </row>
    <row r="1311" spans="1:1" x14ac:dyDescent="0.25">
      <c r="A1311" s="13"/>
    </row>
    <row r="1312" spans="1:1" x14ac:dyDescent="0.25">
      <c r="A1312" s="13"/>
    </row>
    <row r="1313" spans="1:1" x14ac:dyDescent="0.25">
      <c r="A1313" s="13"/>
    </row>
    <row r="1314" spans="1:1" x14ac:dyDescent="0.25">
      <c r="A1314" s="13"/>
    </row>
    <row r="1315" spans="1:1" x14ac:dyDescent="0.25">
      <c r="A1315" s="13"/>
    </row>
    <row r="1316" spans="1:1" x14ac:dyDescent="0.25">
      <c r="A1316" s="13"/>
    </row>
    <row r="1317" spans="1:1" x14ac:dyDescent="0.25">
      <c r="A1317" s="13"/>
    </row>
    <row r="1318" spans="1:1" x14ac:dyDescent="0.25">
      <c r="A1318" s="13"/>
    </row>
    <row r="1319" spans="1:1" x14ac:dyDescent="0.25">
      <c r="A1319" s="13"/>
    </row>
    <row r="1320" spans="1:1" x14ac:dyDescent="0.25">
      <c r="A1320" s="13"/>
    </row>
    <row r="1321" spans="1:1" x14ac:dyDescent="0.25">
      <c r="A1321" s="13"/>
    </row>
    <row r="1322" spans="1:1" x14ac:dyDescent="0.25">
      <c r="A1322" s="13"/>
    </row>
    <row r="1323" spans="1:1" x14ac:dyDescent="0.25">
      <c r="A1323" s="13"/>
    </row>
    <row r="1324" spans="1:1" x14ac:dyDescent="0.25">
      <c r="A1324" s="13"/>
    </row>
    <row r="1325" spans="1:1" x14ac:dyDescent="0.25">
      <c r="A1325" s="13"/>
    </row>
    <row r="1326" spans="1:1" x14ac:dyDescent="0.25">
      <c r="A1326" s="13"/>
    </row>
    <row r="1327" spans="1:1" x14ac:dyDescent="0.25">
      <c r="A1327" s="13"/>
    </row>
    <row r="1328" spans="1:1" x14ac:dyDescent="0.25">
      <c r="A1328" s="13"/>
    </row>
    <row r="1329" spans="1:1" x14ac:dyDescent="0.25">
      <c r="A1329" s="13"/>
    </row>
    <row r="1330" spans="1:1" x14ac:dyDescent="0.25">
      <c r="A1330" s="13"/>
    </row>
    <row r="1331" spans="1:1" x14ac:dyDescent="0.25">
      <c r="A1331" s="13"/>
    </row>
    <row r="1332" spans="1:1" x14ac:dyDescent="0.25">
      <c r="A1332" s="13"/>
    </row>
    <row r="1333" spans="1:1" x14ac:dyDescent="0.25">
      <c r="A1333" s="13"/>
    </row>
    <row r="1334" spans="1:1" x14ac:dyDescent="0.25">
      <c r="A1334" s="13"/>
    </row>
    <row r="1335" spans="1:1" x14ac:dyDescent="0.25">
      <c r="A1335" s="13"/>
    </row>
    <row r="1336" spans="1:1" x14ac:dyDescent="0.25">
      <c r="A1336" s="13"/>
    </row>
    <row r="1337" spans="1:1" x14ac:dyDescent="0.25">
      <c r="A1337" s="13"/>
    </row>
    <row r="1338" spans="1:1" x14ac:dyDescent="0.25">
      <c r="A1338" s="13"/>
    </row>
    <row r="1339" spans="1:1" x14ac:dyDescent="0.25">
      <c r="A1339" s="13"/>
    </row>
    <row r="1340" spans="1:1" x14ac:dyDescent="0.25">
      <c r="A1340" s="13"/>
    </row>
    <row r="1341" spans="1:1" x14ac:dyDescent="0.25">
      <c r="A1341" s="13"/>
    </row>
    <row r="1342" spans="1:1" x14ac:dyDescent="0.25">
      <c r="A1342" s="13"/>
    </row>
    <row r="1343" spans="1:1" x14ac:dyDescent="0.25">
      <c r="A1343" s="13"/>
    </row>
    <row r="1344" spans="1:1" x14ac:dyDescent="0.25">
      <c r="A1344" s="13"/>
    </row>
    <row r="1345" spans="1:1" x14ac:dyDescent="0.25">
      <c r="A1345" s="13"/>
    </row>
    <row r="1346" spans="1:1" x14ac:dyDescent="0.25">
      <c r="A1346" s="13"/>
    </row>
    <row r="1347" spans="1:1" x14ac:dyDescent="0.25">
      <c r="A1347" s="13"/>
    </row>
    <row r="1348" spans="1:1" x14ac:dyDescent="0.25">
      <c r="A1348" s="13"/>
    </row>
    <row r="1349" spans="1:1" x14ac:dyDescent="0.25">
      <c r="A1349" s="13"/>
    </row>
    <row r="1350" spans="1:1" x14ac:dyDescent="0.25">
      <c r="A1350" s="13"/>
    </row>
    <row r="1351" spans="1:1" x14ac:dyDescent="0.25">
      <c r="A1351" s="13"/>
    </row>
    <row r="1352" spans="1:1" x14ac:dyDescent="0.25">
      <c r="A1352" s="13"/>
    </row>
    <row r="1353" spans="1:1" x14ac:dyDescent="0.25">
      <c r="A1353" s="13"/>
    </row>
    <row r="1354" spans="1:1" x14ac:dyDescent="0.25">
      <c r="A1354" s="13"/>
    </row>
    <row r="1355" spans="1:1" x14ac:dyDescent="0.25">
      <c r="A1355" s="13"/>
    </row>
    <row r="1356" spans="1:1" x14ac:dyDescent="0.25">
      <c r="A1356" s="13"/>
    </row>
    <row r="1357" spans="1:1" x14ac:dyDescent="0.25">
      <c r="A1357" s="13"/>
    </row>
    <row r="1358" spans="1:1" x14ac:dyDescent="0.25">
      <c r="A1358" s="13"/>
    </row>
    <row r="1359" spans="1:1" x14ac:dyDescent="0.25">
      <c r="A1359" s="13"/>
    </row>
    <row r="1360" spans="1:1" x14ac:dyDescent="0.25">
      <c r="A1360" s="13"/>
    </row>
    <row r="1361" spans="1:1" x14ac:dyDescent="0.25">
      <c r="A1361" s="13"/>
    </row>
    <row r="1362" spans="1:1" x14ac:dyDescent="0.25">
      <c r="A1362" s="13"/>
    </row>
    <row r="1363" spans="1:1" x14ac:dyDescent="0.25">
      <c r="A1363" s="13"/>
    </row>
    <row r="1364" spans="1:1" x14ac:dyDescent="0.25">
      <c r="A1364" s="13"/>
    </row>
    <row r="1365" spans="1:1" x14ac:dyDescent="0.25">
      <c r="A1365" s="13"/>
    </row>
    <row r="1366" spans="1:1" x14ac:dyDescent="0.25">
      <c r="A1366" s="13"/>
    </row>
    <row r="1367" spans="1:1" x14ac:dyDescent="0.25">
      <c r="A1367" s="13"/>
    </row>
    <row r="1368" spans="1:1" x14ac:dyDescent="0.25">
      <c r="A1368" s="13"/>
    </row>
    <row r="1369" spans="1:1" x14ac:dyDescent="0.25">
      <c r="A1369" s="13"/>
    </row>
    <row r="1370" spans="1:1" x14ac:dyDescent="0.25">
      <c r="A1370" s="13"/>
    </row>
    <row r="1371" spans="1:1" x14ac:dyDescent="0.25">
      <c r="A1371" s="13"/>
    </row>
    <row r="1372" spans="1:1" x14ac:dyDescent="0.25">
      <c r="A1372" s="13"/>
    </row>
    <row r="1373" spans="1:1" x14ac:dyDescent="0.25">
      <c r="A1373" s="13"/>
    </row>
    <row r="1374" spans="1:1" x14ac:dyDescent="0.25">
      <c r="A1374" s="13"/>
    </row>
    <row r="1375" spans="1:1" x14ac:dyDescent="0.25">
      <c r="A1375" s="13"/>
    </row>
    <row r="1376" spans="1:1" x14ac:dyDescent="0.25">
      <c r="A1376" s="13"/>
    </row>
    <row r="1377" spans="1:1" x14ac:dyDescent="0.25">
      <c r="A1377" s="13"/>
    </row>
    <row r="1378" spans="1:1" x14ac:dyDescent="0.25">
      <c r="A1378" s="13"/>
    </row>
    <row r="1379" spans="1:1" x14ac:dyDescent="0.25">
      <c r="A1379" s="13"/>
    </row>
    <row r="1380" spans="1:1" x14ac:dyDescent="0.25">
      <c r="A1380" s="13"/>
    </row>
    <row r="1381" spans="1:1" x14ac:dyDescent="0.25">
      <c r="A1381" s="13"/>
    </row>
    <row r="1382" spans="1:1" x14ac:dyDescent="0.25">
      <c r="A1382" s="13"/>
    </row>
    <row r="1383" spans="1:1" x14ac:dyDescent="0.25">
      <c r="A1383" s="13"/>
    </row>
    <row r="1384" spans="1:1" x14ac:dyDescent="0.25">
      <c r="A1384" s="13"/>
    </row>
    <row r="1385" spans="1:1" x14ac:dyDescent="0.25">
      <c r="A1385" s="13"/>
    </row>
    <row r="1386" spans="1:1" x14ac:dyDescent="0.25">
      <c r="A1386" s="13"/>
    </row>
    <row r="1387" spans="1:1" x14ac:dyDescent="0.25">
      <c r="A1387" s="13"/>
    </row>
    <row r="1388" spans="1:1" x14ac:dyDescent="0.25">
      <c r="A1388" s="13"/>
    </row>
    <row r="1389" spans="1:1" x14ac:dyDescent="0.25">
      <c r="A1389" s="13"/>
    </row>
    <row r="1390" spans="1:1" x14ac:dyDescent="0.25">
      <c r="A1390" s="13"/>
    </row>
    <row r="1391" spans="1:1" x14ac:dyDescent="0.25">
      <c r="A1391" s="13"/>
    </row>
    <row r="1392" spans="1:1" x14ac:dyDescent="0.25">
      <c r="A1392" s="13"/>
    </row>
    <row r="1393" spans="1:1" x14ac:dyDescent="0.25">
      <c r="A1393" s="13"/>
    </row>
    <row r="1394" spans="1:1" x14ac:dyDescent="0.25">
      <c r="A1394" s="13"/>
    </row>
    <row r="1395" spans="1:1" x14ac:dyDescent="0.25">
      <c r="A1395" s="13"/>
    </row>
    <row r="1396" spans="1:1" x14ac:dyDescent="0.25">
      <c r="A1396" s="13"/>
    </row>
    <row r="1397" spans="1:1" x14ac:dyDescent="0.25">
      <c r="A1397" s="13"/>
    </row>
    <row r="1398" spans="1:1" x14ac:dyDescent="0.25">
      <c r="A1398" s="13"/>
    </row>
    <row r="1399" spans="1:1" x14ac:dyDescent="0.25">
      <c r="A1399" s="13"/>
    </row>
    <row r="1400" spans="1:1" x14ac:dyDescent="0.25">
      <c r="A1400" s="13"/>
    </row>
    <row r="1401" spans="1:1" x14ac:dyDescent="0.25">
      <c r="A1401" s="13"/>
    </row>
    <row r="1402" spans="1:1" x14ac:dyDescent="0.25">
      <c r="A1402" s="13"/>
    </row>
    <row r="1403" spans="1:1" x14ac:dyDescent="0.25">
      <c r="A1403" s="13"/>
    </row>
    <row r="1404" spans="1:1" x14ac:dyDescent="0.25">
      <c r="A1404" s="13"/>
    </row>
    <row r="1405" spans="1:1" x14ac:dyDescent="0.25">
      <c r="A1405" s="13"/>
    </row>
    <row r="1406" spans="1:1" x14ac:dyDescent="0.25">
      <c r="A1406" s="13"/>
    </row>
    <row r="1407" spans="1:1" x14ac:dyDescent="0.25">
      <c r="A1407" s="13"/>
    </row>
    <row r="1408" spans="1:1" x14ac:dyDescent="0.25">
      <c r="A1408" s="13"/>
    </row>
    <row r="1409" spans="1:1" x14ac:dyDescent="0.25">
      <c r="A1409" s="13"/>
    </row>
    <row r="1410" spans="1:1" x14ac:dyDescent="0.25">
      <c r="A1410" s="13"/>
    </row>
    <row r="1411" spans="1:1" x14ac:dyDescent="0.25">
      <c r="A1411" s="13"/>
    </row>
    <row r="1412" spans="1:1" x14ac:dyDescent="0.25">
      <c r="A1412" s="13"/>
    </row>
    <row r="1413" spans="1:1" x14ac:dyDescent="0.25">
      <c r="A1413" s="13"/>
    </row>
    <row r="1414" spans="1:1" x14ac:dyDescent="0.25">
      <c r="A1414" s="13"/>
    </row>
    <row r="1415" spans="1:1" x14ac:dyDescent="0.25">
      <c r="A1415" s="13"/>
    </row>
    <row r="1416" spans="1:1" x14ac:dyDescent="0.25">
      <c r="A1416" s="13"/>
    </row>
    <row r="1417" spans="1:1" x14ac:dyDescent="0.25">
      <c r="A1417" s="13"/>
    </row>
    <row r="1418" spans="1:1" x14ac:dyDescent="0.25">
      <c r="A1418" s="13"/>
    </row>
    <row r="1419" spans="1:1" x14ac:dyDescent="0.25">
      <c r="A1419" s="13"/>
    </row>
    <row r="1420" spans="1:1" x14ac:dyDescent="0.25">
      <c r="A1420" s="13"/>
    </row>
    <row r="1421" spans="1:1" x14ac:dyDescent="0.25">
      <c r="A1421" s="13"/>
    </row>
    <row r="1422" spans="1:1" x14ac:dyDescent="0.25">
      <c r="A1422" s="13"/>
    </row>
    <row r="1423" spans="1:1" x14ac:dyDescent="0.25">
      <c r="A1423" s="13"/>
    </row>
    <row r="1424" spans="1:1" x14ac:dyDescent="0.25">
      <c r="A1424" s="13"/>
    </row>
    <row r="1425" spans="1:1" x14ac:dyDescent="0.25">
      <c r="A1425" s="13"/>
    </row>
    <row r="1426" spans="1:1" x14ac:dyDescent="0.25">
      <c r="A1426" s="13"/>
    </row>
    <row r="1427" spans="1:1" x14ac:dyDescent="0.25">
      <c r="A1427" s="13"/>
    </row>
    <row r="1428" spans="1:1" x14ac:dyDescent="0.25">
      <c r="A1428" s="13"/>
    </row>
    <row r="1429" spans="1:1" x14ac:dyDescent="0.25">
      <c r="A1429" s="13"/>
    </row>
    <row r="1430" spans="1:1" x14ac:dyDescent="0.25">
      <c r="A1430" s="13"/>
    </row>
    <row r="1431" spans="1:1" x14ac:dyDescent="0.25">
      <c r="A1431" s="13"/>
    </row>
    <row r="1432" spans="1:1" x14ac:dyDescent="0.25">
      <c r="A1432" s="13"/>
    </row>
    <row r="1433" spans="1:1" x14ac:dyDescent="0.25">
      <c r="A1433" s="13"/>
    </row>
    <row r="1434" spans="1:1" x14ac:dyDescent="0.25">
      <c r="A1434" s="13"/>
    </row>
    <row r="1435" spans="1:1" x14ac:dyDescent="0.25">
      <c r="A1435" s="13"/>
    </row>
    <row r="1436" spans="1:1" x14ac:dyDescent="0.25">
      <c r="A1436" s="13"/>
    </row>
    <row r="1437" spans="1:1" x14ac:dyDescent="0.25">
      <c r="A1437" s="13"/>
    </row>
    <row r="1438" spans="1:1" x14ac:dyDescent="0.25">
      <c r="A1438" s="13"/>
    </row>
    <row r="1439" spans="1:1" x14ac:dyDescent="0.25">
      <c r="A1439" s="13"/>
    </row>
    <row r="1440" spans="1:1" x14ac:dyDescent="0.25">
      <c r="A1440" s="13"/>
    </row>
    <row r="1441" spans="1:1" x14ac:dyDescent="0.25">
      <c r="A1441" s="13"/>
    </row>
    <row r="1442" spans="1:1" x14ac:dyDescent="0.25">
      <c r="A1442" s="13"/>
    </row>
    <row r="1443" spans="1:1" x14ac:dyDescent="0.25">
      <c r="A1443" s="13"/>
    </row>
    <row r="1444" spans="1:1" x14ac:dyDescent="0.25">
      <c r="A1444" s="13"/>
    </row>
    <row r="1445" spans="1:1" x14ac:dyDescent="0.25">
      <c r="A1445" s="13"/>
    </row>
    <row r="1446" spans="1:1" x14ac:dyDescent="0.25">
      <c r="A1446" s="13"/>
    </row>
    <row r="1447" spans="1:1" x14ac:dyDescent="0.25">
      <c r="A1447" s="13"/>
    </row>
    <row r="1448" spans="1:1" x14ac:dyDescent="0.25">
      <c r="A1448" s="13"/>
    </row>
    <row r="1449" spans="1:1" x14ac:dyDescent="0.25">
      <c r="A1449" s="13"/>
    </row>
    <row r="1450" spans="1:1" x14ac:dyDescent="0.25">
      <c r="A1450" s="13"/>
    </row>
    <row r="1451" spans="1:1" x14ac:dyDescent="0.25">
      <c r="A1451" s="13"/>
    </row>
    <row r="1452" spans="1:1" x14ac:dyDescent="0.25">
      <c r="A1452" s="13"/>
    </row>
    <row r="1453" spans="1:1" x14ac:dyDescent="0.25">
      <c r="A1453" s="13"/>
    </row>
    <row r="1454" spans="1:1" x14ac:dyDescent="0.25">
      <c r="A1454" s="13"/>
    </row>
    <row r="1455" spans="1:1" x14ac:dyDescent="0.25">
      <c r="A1455" s="13"/>
    </row>
    <row r="1456" spans="1:1" x14ac:dyDescent="0.25">
      <c r="A1456" s="13"/>
    </row>
    <row r="1457" spans="1:1" x14ac:dyDescent="0.25">
      <c r="A1457" s="13"/>
    </row>
    <row r="1458" spans="1:1" x14ac:dyDescent="0.25">
      <c r="A1458" s="13"/>
    </row>
    <row r="1459" spans="1:1" x14ac:dyDescent="0.25">
      <c r="A1459" s="13"/>
    </row>
    <row r="1460" spans="1:1" x14ac:dyDescent="0.25">
      <c r="A1460" s="13"/>
    </row>
    <row r="1461" spans="1:1" x14ac:dyDescent="0.25">
      <c r="A1461" s="13"/>
    </row>
    <row r="1462" spans="1:1" x14ac:dyDescent="0.25">
      <c r="A1462" s="13"/>
    </row>
    <row r="1463" spans="1:1" x14ac:dyDescent="0.25">
      <c r="A1463" s="13"/>
    </row>
    <row r="1464" spans="1:1" x14ac:dyDescent="0.25">
      <c r="A1464" s="13"/>
    </row>
    <row r="1465" spans="1:1" x14ac:dyDescent="0.25">
      <c r="A1465" s="13"/>
    </row>
    <row r="1466" spans="1:1" x14ac:dyDescent="0.25">
      <c r="A1466" s="13"/>
    </row>
    <row r="1467" spans="1:1" x14ac:dyDescent="0.25">
      <c r="A1467" s="13"/>
    </row>
    <row r="1468" spans="1:1" x14ac:dyDescent="0.25">
      <c r="A1468" s="13"/>
    </row>
    <row r="1469" spans="1:1" x14ac:dyDescent="0.25">
      <c r="A1469" s="13"/>
    </row>
    <row r="1470" spans="1:1" x14ac:dyDescent="0.25">
      <c r="A1470" s="13"/>
    </row>
    <row r="1471" spans="1:1" x14ac:dyDescent="0.25">
      <c r="A1471" s="13"/>
    </row>
    <row r="1472" spans="1:1" x14ac:dyDescent="0.25">
      <c r="A1472" s="13"/>
    </row>
    <row r="1473" spans="1:1" x14ac:dyDescent="0.25">
      <c r="A1473" s="13"/>
    </row>
    <row r="1474" spans="1:1" x14ac:dyDescent="0.25">
      <c r="A1474" s="13"/>
    </row>
    <row r="1475" spans="1:1" x14ac:dyDescent="0.25">
      <c r="A1475" s="13"/>
    </row>
    <row r="1476" spans="1:1" x14ac:dyDescent="0.25">
      <c r="A1476" s="13"/>
    </row>
    <row r="1477" spans="1:1" x14ac:dyDescent="0.25">
      <c r="A1477" s="13"/>
    </row>
    <row r="1478" spans="1:1" x14ac:dyDescent="0.25">
      <c r="A1478" s="13"/>
    </row>
    <row r="1479" spans="1:1" x14ac:dyDescent="0.25">
      <c r="A1479" s="13"/>
    </row>
    <row r="1480" spans="1:1" x14ac:dyDescent="0.25">
      <c r="A1480" s="13"/>
    </row>
    <row r="1481" spans="1:1" x14ac:dyDescent="0.25">
      <c r="A1481" s="13"/>
    </row>
    <row r="1482" spans="1:1" x14ac:dyDescent="0.25">
      <c r="A1482" s="13"/>
    </row>
    <row r="1483" spans="1:1" x14ac:dyDescent="0.25">
      <c r="A1483" s="13"/>
    </row>
    <row r="1484" spans="1:1" x14ac:dyDescent="0.25">
      <c r="A1484" s="13"/>
    </row>
    <row r="1485" spans="1:1" x14ac:dyDescent="0.25">
      <c r="A1485" s="13"/>
    </row>
    <row r="1486" spans="1:1" x14ac:dyDescent="0.25">
      <c r="A1486" s="13"/>
    </row>
    <row r="1487" spans="1:1" x14ac:dyDescent="0.25">
      <c r="A1487" s="13"/>
    </row>
    <row r="1488" spans="1:1" x14ac:dyDescent="0.25">
      <c r="A1488" s="13"/>
    </row>
    <row r="1489" spans="1:1" x14ac:dyDescent="0.25">
      <c r="A1489" s="13"/>
    </row>
    <row r="1490" spans="1:1" x14ac:dyDescent="0.25">
      <c r="A1490" s="13"/>
    </row>
    <row r="1491" spans="1:1" x14ac:dyDescent="0.25">
      <c r="A1491" s="13"/>
    </row>
    <row r="1492" spans="1:1" x14ac:dyDescent="0.25">
      <c r="A1492" s="13"/>
    </row>
    <row r="1493" spans="1:1" x14ac:dyDescent="0.25">
      <c r="A1493" s="13"/>
    </row>
    <row r="1494" spans="1:1" x14ac:dyDescent="0.25">
      <c r="A1494" s="13"/>
    </row>
    <row r="1495" spans="1:1" x14ac:dyDescent="0.25">
      <c r="A1495" s="13"/>
    </row>
    <row r="1496" spans="1:1" x14ac:dyDescent="0.25">
      <c r="A1496" s="13"/>
    </row>
    <row r="1497" spans="1:1" x14ac:dyDescent="0.25">
      <c r="A1497" s="13"/>
    </row>
    <row r="1498" spans="1:1" x14ac:dyDescent="0.25">
      <c r="A1498" s="13"/>
    </row>
    <row r="1499" spans="1:1" x14ac:dyDescent="0.25">
      <c r="A1499" s="13"/>
    </row>
    <row r="1500" spans="1:1" x14ac:dyDescent="0.25">
      <c r="A1500" s="13"/>
    </row>
    <row r="1501" spans="1:1" x14ac:dyDescent="0.25">
      <c r="A1501" s="13"/>
    </row>
    <row r="1502" spans="1:1" x14ac:dyDescent="0.25">
      <c r="A1502" s="13"/>
    </row>
    <row r="1503" spans="1:1" x14ac:dyDescent="0.25">
      <c r="A1503" s="13"/>
    </row>
    <row r="1504" spans="1:1" x14ac:dyDescent="0.25">
      <c r="A1504" s="13"/>
    </row>
    <row r="1505" spans="1:1" x14ac:dyDescent="0.25">
      <c r="A1505" s="13"/>
    </row>
    <row r="1506" spans="1:1" x14ac:dyDescent="0.25">
      <c r="A1506" s="13"/>
    </row>
    <row r="1507" spans="1:1" x14ac:dyDescent="0.25">
      <c r="A1507" s="13"/>
    </row>
    <row r="1508" spans="1:1" x14ac:dyDescent="0.25">
      <c r="A1508" s="13"/>
    </row>
    <row r="1509" spans="1:1" x14ac:dyDescent="0.25">
      <c r="A1509" s="13"/>
    </row>
    <row r="1510" spans="1:1" x14ac:dyDescent="0.25">
      <c r="A1510" s="13"/>
    </row>
    <row r="1511" spans="1:1" x14ac:dyDescent="0.25">
      <c r="A1511" s="13"/>
    </row>
    <row r="1512" spans="1:1" x14ac:dyDescent="0.25">
      <c r="A1512" s="13"/>
    </row>
    <row r="1513" spans="1:1" x14ac:dyDescent="0.25">
      <c r="A1513" s="13"/>
    </row>
    <row r="1514" spans="1:1" x14ac:dyDescent="0.25">
      <c r="A1514" s="13"/>
    </row>
    <row r="1515" spans="1:1" x14ac:dyDescent="0.25">
      <c r="A1515" s="13"/>
    </row>
    <row r="1516" spans="1:1" x14ac:dyDescent="0.25">
      <c r="A1516" s="13"/>
    </row>
    <row r="1517" spans="1:1" x14ac:dyDescent="0.25">
      <c r="A1517" s="13"/>
    </row>
    <row r="1518" spans="1:1" x14ac:dyDescent="0.25">
      <c r="A1518" s="13"/>
    </row>
    <row r="1519" spans="1:1" x14ac:dyDescent="0.25">
      <c r="A1519" s="13"/>
    </row>
    <row r="1520" spans="1:1" x14ac:dyDescent="0.25">
      <c r="A1520" s="13"/>
    </row>
    <row r="1521" spans="1:1" x14ac:dyDescent="0.25">
      <c r="A1521" s="13"/>
    </row>
    <row r="1522" spans="1:1" x14ac:dyDescent="0.25">
      <c r="A1522" s="13"/>
    </row>
    <row r="1523" spans="1:1" x14ac:dyDescent="0.25">
      <c r="A1523" s="13"/>
    </row>
    <row r="1524" spans="1:1" x14ac:dyDescent="0.25">
      <c r="A1524" s="13"/>
    </row>
    <row r="1525" spans="1:1" x14ac:dyDescent="0.25">
      <c r="A1525" s="13"/>
    </row>
    <row r="1526" spans="1:1" x14ac:dyDescent="0.25">
      <c r="A1526" s="13"/>
    </row>
    <row r="1527" spans="1:1" x14ac:dyDescent="0.25">
      <c r="A1527" s="13"/>
    </row>
    <row r="1528" spans="1:1" x14ac:dyDescent="0.25">
      <c r="A1528" s="13"/>
    </row>
    <row r="1529" spans="1:1" x14ac:dyDescent="0.25">
      <c r="A1529" s="13"/>
    </row>
    <row r="1530" spans="1:1" x14ac:dyDescent="0.25">
      <c r="A1530" s="13"/>
    </row>
    <row r="1531" spans="1:1" x14ac:dyDescent="0.25">
      <c r="A1531" s="13"/>
    </row>
    <row r="1532" spans="1:1" x14ac:dyDescent="0.25">
      <c r="A1532" s="13"/>
    </row>
    <row r="1533" spans="1:1" x14ac:dyDescent="0.25">
      <c r="A1533" s="13"/>
    </row>
    <row r="1534" spans="1:1" x14ac:dyDescent="0.25">
      <c r="A1534" s="13"/>
    </row>
    <row r="1535" spans="1:1" x14ac:dyDescent="0.25">
      <c r="A1535" s="13"/>
    </row>
    <row r="1536" spans="1:1" x14ac:dyDescent="0.25">
      <c r="A1536" s="13"/>
    </row>
    <row r="1537" spans="1:1" x14ac:dyDescent="0.25">
      <c r="A1537" s="13"/>
    </row>
    <row r="1538" spans="1:1" x14ac:dyDescent="0.25">
      <c r="A1538" s="13"/>
    </row>
    <row r="1539" spans="1:1" x14ac:dyDescent="0.25">
      <c r="A1539" s="13"/>
    </row>
    <row r="1540" spans="1:1" x14ac:dyDescent="0.25">
      <c r="A1540" s="13"/>
    </row>
    <row r="1541" spans="1:1" x14ac:dyDescent="0.25">
      <c r="A1541" s="13"/>
    </row>
    <row r="1542" spans="1:1" x14ac:dyDescent="0.25">
      <c r="A1542" s="13"/>
    </row>
    <row r="1543" spans="1:1" x14ac:dyDescent="0.25">
      <c r="A1543" s="13"/>
    </row>
    <row r="1544" spans="1:1" x14ac:dyDescent="0.25">
      <c r="A1544" s="13"/>
    </row>
    <row r="1545" spans="1:1" x14ac:dyDescent="0.25">
      <c r="A1545" s="13"/>
    </row>
    <row r="1546" spans="1:1" x14ac:dyDescent="0.25">
      <c r="A1546" s="13"/>
    </row>
    <row r="1547" spans="1:1" x14ac:dyDescent="0.25">
      <c r="A1547" s="13"/>
    </row>
    <row r="1548" spans="1:1" x14ac:dyDescent="0.25">
      <c r="A1548" s="13"/>
    </row>
    <row r="1549" spans="1:1" x14ac:dyDescent="0.25">
      <c r="A1549" s="13"/>
    </row>
    <row r="1550" spans="1:1" x14ac:dyDescent="0.25">
      <c r="A1550" s="13"/>
    </row>
    <row r="1551" spans="1:1" x14ac:dyDescent="0.25">
      <c r="A1551" s="13"/>
    </row>
    <row r="1552" spans="1:1" x14ac:dyDescent="0.25">
      <c r="A1552" s="13"/>
    </row>
    <row r="1553" spans="1:1" x14ac:dyDescent="0.25">
      <c r="A1553" s="13"/>
    </row>
    <row r="1554" spans="1:1" x14ac:dyDescent="0.25">
      <c r="A1554" s="13"/>
    </row>
    <row r="1555" spans="1:1" x14ac:dyDescent="0.25">
      <c r="A1555" s="13"/>
    </row>
    <row r="1556" spans="1:1" x14ac:dyDescent="0.25">
      <c r="A1556" s="13"/>
    </row>
    <row r="1557" spans="1:1" x14ac:dyDescent="0.25">
      <c r="A1557" s="13"/>
    </row>
    <row r="1558" spans="1:1" x14ac:dyDescent="0.25">
      <c r="A1558" s="13"/>
    </row>
    <row r="1559" spans="1:1" x14ac:dyDescent="0.25">
      <c r="A1559" s="13"/>
    </row>
    <row r="1560" spans="1:1" x14ac:dyDescent="0.25">
      <c r="A1560" s="13"/>
    </row>
    <row r="1561" spans="1:1" x14ac:dyDescent="0.25">
      <c r="A1561" s="13"/>
    </row>
    <row r="1562" spans="1:1" x14ac:dyDescent="0.25">
      <c r="A1562" s="13"/>
    </row>
    <row r="1563" spans="1:1" x14ac:dyDescent="0.25">
      <c r="A1563" s="13"/>
    </row>
    <row r="1564" spans="1:1" x14ac:dyDescent="0.25">
      <c r="A1564" s="13"/>
    </row>
    <row r="1565" spans="1:1" x14ac:dyDescent="0.25">
      <c r="A1565" s="13"/>
    </row>
    <row r="1566" spans="1:1" x14ac:dyDescent="0.25">
      <c r="A1566" s="13"/>
    </row>
    <row r="1567" spans="1:1" x14ac:dyDescent="0.25">
      <c r="A1567" s="13"/>
    </row>
    <row r="1568" spans="1:1" x14ac:dyDescent="0.25">
      <c r="A1568" s="13"/>
    </row>
    <row r="1569" spans="1:1" x14ac:dyDescent="0.25">
      <c r="A1569" s="13"/>
    </row>
    <row r="1570" spans="1:1" x14ac:dyDescent="0.25">
      <c r="A1570" s="13"/>
    </row>
    <row r="1571" spans="1:1" x14ac:dyDescent="0.25">
      <c r="A1571" s="13"/>
    </row>
    <row r="1572" spans="1:1" x14ac:dyDescent="0.25">
      <c r="A1572" s="13"/>
    </row>
    <row r="1573" spans="1:1" x14ac:dyDescent="0.25">
      <c r="A1573" s="13"/>
    </row>
    <row r="1574" spans="1:1" x14ac:dyDescent="0.25">
      <c r="A1574" s="13"/>
    </row>
    <row r="1575" spans="1:1" x14ac:dyDescent="0.25">
      <c r="A1575" s="13"/>
    </row>
    <row r="1576" spans="1:1" x14ac:dyDescent="0.25">
      <c r="A1576" s="13"/>
    </row>
    <row r="1577" spans="1:1" x14ac:dyDescent="0.25">
      <c r="A1577" s="13"/>
    </row>
    <row r="1578" spans="1:1" x14ac:dyDescent="0.25">
      <c r="A1578" s="13"/>
    </row>
    <row r="1579" spans="1:1" x14ac:dyDescent="0.25">
      <c r="A1579" s="13"/>
    </row>
    <row r="1580" spans="1:1" x14ac:dyDescent="0.25">
      <c r="A1580" s="13"/>
    </row>
    <row r="1581" spans="1:1" x14ac:dyDescent="0.25">
      <c r="A1581" s="13"/>
    </row>
    <row r="1582" spans="1:1" x14ac:dyDescent="0.25">
      <c r="A1582" s="13"/>
    </row>
    <row r="1583" spans="1:1" x14ac:dyDescent="0.25">
      <c r="A1583" s="13"/>
    </row>
    <row r="1584" spans="1:1" x14ac:dyDescent="0.25">
      <c r="A1584" s="13"/>
    </row>
    <row r="1585" spans="1:1" x14ac:dyDescent="0.25">
      <c r="A1585" s="13"/>
    </row>
    <row r="1586" spans="1:1" x14ac:dyDescent="0.25">
      <c r="A1586" s="13"/>
    </row>
    <row r="1587" spans="1:1" x14ac:dyDescent="0.25">
      <c r="A1587" s="13"/>
    </row>
    <row r="1588" spans="1:1" x14ac:dyDescent="0.25">
      <c r="A1588" s="13"/>
    </row>
    <row r="1589" spans="1:1" x14ac:dyDescent="0.25">
      <c r="A1589" s="13"/>
    </row>
    <row r="1590" spans="1:1" x14ac:dyDescent="0.25">
      <c r="A1590" s="13"/>
    </row>
    <row r="1591" spans="1:1" x14ac:dyDescent="0.25">
      <c r="A1591" s="13"/>
    </row>
    <row r="1592" spans="1:1" x14ac:dyDescent="0.25">
      <c r="A1592" s="13"/>
    </row>
    <row r="1593" spans="1:1" x14ac:dyDescent="0.25">
      <c r="A1593" s="13"/>
    </row>
    <row r="1594" spans="1:1" x14ac:dyDescent="0.25">
      <c r="A1594" s="13"/>
    </row>
    <row r="1595" spans="1:1" x14ac:dyDescent="0.25">
      <c r="A1595" s="13"/>
    </row>
    <row r="1596" spans="1:1" x14ac:dyDescent="0.25">
      <c r="A1596" s="13"/>
    </row>
    <row r="1597" spans="1:1" x14ac:dyDescent="0.25">
      <c r="A1597" s="13"/>
    </row>
    <row r="1598" spans="1:1" x14ac:dyDescent="0.25">
      <c r="A1598" s="13"/>
    </row>
    <row r="1599" spans="1:1" x14ac:dyDescent="0.25">
      <c r="A1599" s="13"/>
    </row>
    <row r="1600" spans="1:1" x14ac:dyDescent="0.25">
      <c r="A1600" s="13"/>
    </row>
    <row r="1601" spans="1:1" x14ac:dyDescent="0.25">
      <c r="A1601" s="13"/>
    </row>
    <row r="1602" spans="1:1" x14ac:dyDescent="0.25">
      <c r="A1602" s="13"/>
    </row>
    <row r="1603" spans="1:1" x14ac:dyDescent="0.25">
      <c r="A1603" s="13"/>
    </row>
    <row r="1604" spans="1:1" x14ac:dyDescent="0.25">
      <c r="A1604" s="13"/>
    </row>
    <row r="1605" spans="1:1" x14ac:dyDescent="0.25">
      <c r="A1605" s="13"/>
    </row>
    <row r="1606" spans="1:1" x14ac:dyDescent="0.25">
      <c r="A1606" s="13"/>
    </row>
    <row r="1607" spans="1:1" x14ac:dyDescent="0.25">
      <c r="A1607" s="13"/>
    </row>
    <row r="1608" spans="1:1" x14ac:dyDescent="0.25">
      <c r="A1608" s="13"/>
    </row>
    <row r="1609" spans="1:1" x14ac:dyDescent="0.25">
      <c r="A1609" s="13"/>
    </row>
    <row r="1610" spans="1:1" x14ac:dyDescent="0.25">
      <c r="A1610" s="13"/>
    </row>
    <row r="1611" spans="1:1" x14ac:dyDescent="0.25">
      <c r="A1611" s="13"/>
    </row>
    <row r="1612" spans="1:1" x14ac:dyDescent="0.25">
      <c r="A1612" s="13"/>
    </row>
    <row r="1613" spans="1:1" x14ac:dyDescent="0.25">
      <c r="A1613" s="13"/>
    </row>
    <row r="1614" spans="1:1" x14ac:dyDescent="0.25">
      <c r="A1614" s="13"/>
    </row>
    <row r="1615" spans="1:1" x14ac:dyDescent="0.25">
      <c r="A1615" s="13"/>
    </row>
    <row r="1616" spans="1:1" x14ac:dyDescent="0.25">
      <c r="A1616" s="13"/>
    </row>
    <row r="1617" spans="1:1" x14ac:dyDescent="0.25">
      <c r="A1617" s="13"/>
    </row>
    <row r="1618" spans="1:1" x14ac:dyDescent="0.25">
      <c r="A1618" s="13"/>
    </row>
    <row r="1619" spans="1:1" x14ac:dyDescent="0.25">
      <c r="A1619" s="13"/>
    </row>
    <row r="1620" spans="1:1" x14ac:dyDescent="0.25">
      <c r="A1620" s="13"/>
    </row>
    <row r="1621" spans="1:1" x14ac:dyDescent="0.25">
      <c r="A1621" s="13"/>
    </row>
    <row r="1622" spans="1:1" x14ac:dyDescent="0.25">
      <c r="A1622" s="13"/>
    </row>
    <row r="1623" spans="1:1" x14ac:dyDescent="0.25">
      <c r="A1623" s="13"/>
    </row>
    <row r="1624" spans="1:1" x14ac:dyDescent="0.25">
      <c r="A1624" s="13"/>
    </row>
    <row r="1625" spans="1:1" x14ac:dyDescent="0.25">
      <c r="A1625" s="13"/>
    </row>
    <row r="1626" spans="1:1" x14ac:dyDescent="0.25">
      <c r="A1626" s="13"/>
    </row>
    <row r="1627" spans="1:1" x14ac:dyDescent="0.25">
      <c r="A1627" s="13"/>
    </row>
    <row r="1628" spans="1:1" x14ac:dyDescent="0.25">
      <c r="A1628" s="13"/>
    </row>
    <row r="1629" spans="1:1" x14ac:dyDescent="0.25">
      <c r="A1629" s="13"/>
    </row>
    <row r="1630" spans="1:1" x14ac:dyDescent="0.25">
      <c r="A1630" s="13"/>
    </row>
    <row r="1631" spans="1:1" x14ac:dyDescent="0.25">
      <c r="A1631" s="13"/>
    </row>
    <row r="1632" spans="1:1" x14ac:dyDescent="0.25">
      <c r="A1632" s="13"/>
    </row>
    <row r="1633" spans="1:1" x14ac:dyDescent="0.25">
      <c r="A1633" s="13"/>
    </row>
    <row r="1634" spans="1:1" x14ac:dyDescent="0.25">
      <c r="A1634" s="13"/>
    </row>
    <row r="1635" spans="1:1" x14ac:dyDescent="0.25">
      <c r="A1635" s="13"/>
    </row>
    <row r="1636" spans="1:1" x14ac:dyDescent="0.25">
      <c r="A1636" s="13"/>
    </row>
    <row r="1637" spans="1:1" x14ac:dyDescent="0.25">
      <c r="A1637" s="13"/>
    </row>
    <row r="1638" spans="1:1" x14ac:dyDescent="0.25">
      <c r="A1638" s="13"/>
    </row>
    <row r="1639" spans="1:1" x14ac:dyDescent="0.25">
      <c r="A1639" s="13"/>
    </row>
    <row r="1640" spans="1:1" x14ac:dyDescent="0.25">
      <c r="A1640" s="13"/>
    </row>
    <row r="1641" spans="1:1" x14ac:dyDescent="0.25">
      <c r="A1641" s="13"/>
    </row>
    <row r="1642" spans="1:1" x14ac:dyDescent="0.25">
      <c r="A1642" s="13"/>
    </row>
    <row r="1643" spans="1:1" x14ac:dyDescent="0.25">
      <c r="A1643" s="13"/>
    </row>
    <row r="1644" spans="1:1" x14ac:dyDescent="0.25">
      <c r="A1644" s="13"/>
    </row>
    <row r="1645" spans="1:1" x14ac:dyDescent="0.25">
      <c r="A1645" s="13"/>
    </row>
    <row r="1646" spans="1:1" x14ac:dyDescent="0.25">
      <c r="A1646" s="13"/>
    </row>
    <row r="1647" spans="1:1" x14ac:dyDescent="0.25">
      <c r="A1647" s="13"/>
    </row>
    <row r="1648" spans="1:1" x14ac:dyDescent="0.25">
      <c r="A1648" s="13"/>
    </row>
    <row r="1649" spans="1:1" x14ac:dyDescent="0.25">
      <c r="A1649" s="13"/>
    </row>
    <row r="1650" spans="1:1" x14ac:dyDescent="0.25">
      <c r="A1650" s="13"/>
    </row>
    <row r="1651" spans="1:1" x14ac:dyDescent="0.25">
      <c r="A1651" s="13"/>
    </row>
    <row r="1652" spans="1:1" x14ac:dyDescent="0.25">
      <c r="A1652" s="13"/>
    </row>
    <row r="1653" spans="1:1" x14ac:dyDescent="0.25">
      <c r="A1653" s="13"/>
    </row>
    <row r="1654" spans="1:1" x14ac:dyDescent="0.25">
      <c r="A1654" s="13"/>
    </row>
    <row r="1655" spans="1:1" x14ac:dyDescent="0.25">
      <c r="A1655" s="13"/>
    </row>
    <row r="1656" spans="1:1" x14ac:dyDescent="0.25">
      <c r="A1656" s="13"/>
    </row>
    <row r="1657" spans="1:1" x14ac:dyDescent="0.25">
      <c r="A1657" s="13"/>
    </row>
    <row r="1658" spans="1:1" x14ac:dyDescent="0.25">
      <c r="A1658" s="13"/>
    </row>
    <row r="1659" spans="1:1" x14ac:dyDescent="0.25">
      <c r="A1659" s="13"/>
    </row>
    <row r="1660" spans="1:1" x14ac:dyDescent="0.25">
      <c r="A1660" s="13"/>
    </row>
    <row r="1661" spans="1:1" x14ac:dyDescent="0.25">
      <c r="A1661" s="13"/>
    </row>
    <row r="1662" spans="1:1" x14ac:dyDescent="0.25">
      <c r="A1662" s="13"/>
    </row>
    <row r="1663" spans="1:1" x14ac:dyDescent="0.25">
      <c r="A1663" s="13"/>
    </row>
    <row r="1664" spans="1:1" x14ac:dyDescent="0.25">
      <c r="A1664" s="13"/>
    </row>
    <row r="1665" spans="1:1" x14ac:dyDescent="0.25">
      <c r="A1665" s="13"/>
    </row>
    <row r="1666" spans="1:1" x14ac:dyDescent="0.25">
      <c r="A1666" s="13"/>
    </row>
    <row r="1667" spans="1:1" x14ac:dyDescent="0.25">
      <c r="A1667" s="13"/>
    </row>
    <row r="1668" spans="1:1" x14ac:dyDescent="0.25">
      <c r="A1668" s="13"/>
    </row>
    <row r="1669" spans="1:1" x14ac:dyDescent="0.25">
      <c r="A1669" s="13"/>
    </row>
    <row r="1670" spans="1:1" x14ac:dyDescent="0.25">
      <c r="A1670" s="13"/>
    </row>
    <row r="1671" spans="1:1" x14ac:dyDescent="0.25">
      <c r="A1671" s="13"/>
    </row>
    <row r="1672" spans="1:1" x14ac:dyDescent="0.25">
      <c r="A1672" s="13"/>
    </row>
    <row r="1673" spans="1:1" x14ac:dyDescent="0.25">
      <c r="A1673" s="13"/>
    </row>
    <row r="1674" spans="1:1" x14ac:dyDescent="0.25">
      <c r="A1674" s="13"/>
    </row>
    <row r="1675" spans="1:1" x14ac:dyDescent="0.25">
      <c r="A1675" s="13"/>
    </row>
    <row r="1676" spans="1:1" x14ac:dyDescent="0.25">
      <c r="A1676" s="13"/>
    </row>
    <row r="1677" spans="1:1" x14ac:dyDescent="0.25">
      <c r="A1677" s="13"/>
    </row>
    <row r="1678" spans="1:1" x14ac:dyDescent="0.25">
      <c r="A1678" s="13"/>
    </row>
    <row r="1679" spans="1:1" x14ac:dyDescent="0.25">
      <c r="A1679" s="13"/>
    </row>
    <row r="1680" spans="1:1" x14ac:dyDescent="0.25">
      <c r="A1680" s="13"/>
    </row>
    <row r="1681" spans="1:1" x14ac:dyDescent="0.25">
      <c r="A1681" s="13"/>
    </row>
    <row r="1682" spans="1:1" x14ac:dyDescent="0.25">
      <c r="A1682" s="13"/>
    </row>
    <row r="1683" spans="1:1" x14ac:dyDescent="0.25">
      <c r="A1683" s="13"/>
    </row>
    <row r="1684" spans="1:1" x14ac:dyDescent="0.25">
      <c r="A1684" s="13"/>
    </row>
    <row r="1685" spans="1:1" x14ac:dyDescent="0.25">
      <c r="A1685" s="13"/>
    </row>
    <row r="1686" spans="1:1" x14ac:dyDescent="0.25">
      <c r="A1686" s="13"/>
    </row>
    <row r="1687" spans="1:1" x14ac:dyDescent="0.25">
      <c r="A1687" s="13"/>
    </row>
    <row r="1688" spans="1:1" x14ac:dyDescent="0.25">
      <c r="A1688" s="13"/>
    </row>
    <row r="1689" spans="1:1" x14ac:dyDescent="0.25">
      <c r="A1689" s="13"/>
    </row>
    <row r="1690" spans="1:1" x14ac:dyDescent="0.25">
      <c r="A1690" s="13"/>
    </row>
    <row r="1691" spans="1:1" x14ac:dyDescent="0.25">
      <c r="A1691" s="13"/>
    </row>
    <row r="1692" spans="1:1" x14ac:dyDescent="0.25">
      <c r="A1692" s="13"/>
    </row>
    <row r="1693" spans="1:1" x14ac:dyDescent="0.25">
      <c r="A1693" s="13"/>
    </row>
    <row r="1694" spans="1:1" x14ac:dyDescent="0.25">
      <c r="A1694" s="13"/>
    </row>
    <row r="1695" spans="1:1" x14ac:dyDescent="0.25">
      <c r="A1695" s="13"/>
    </row>
    <row r="1696" spans="1:1" x14ac:dyDescent="0.25">
      <c r="A1696" s="13"/>
    </row>
    <row r="1697" spans="1:1" x14ac:dyDescent="0.25">
      <c r="A1697" s="13"/>
    </row>
    <row r="1698" spans="1:1" x14ac:dyDescent="0.25">
      <c r="A1698" s="13"/>
    </row>
    <row r="1699" spans="1:1" x14ac:dyDescent="0.25">
      <c r="A1699" s="13"/>
    </row>
    <row r="1700" spans="1:1" x14ac:dyDescent="0.25">
      <c r="A1700" s="13"/>
    </row>
    <row r="1701" spans="1:1" x14ac:dyDescent="0.25">
      <c r="A1701" s="13"/>
    </row>
    <row r="1702" spans="1:1" x14ac:dyDescent="0.25">
      <c r="A1702" s="13"/>
    </row>
    <row r="1703" spans="1:1" x14ac:dyDescent="0.25">
      <c r="A1703" s="13"/>
    </row>
    <row r="1704" spans="1:1" x14ac:dyDescent="0.25">
      <c r="A1704" s="13"/>
    </row>
    <row r="1705" spans="1:1" x14ac:dyDescent="0.25">
      <c r="A1705" s="13"/>
    </row>
    <row r="1706" spans="1:1" x14ac:dyDescent="0.25">
      <c r="A1706" s="13"/>
    </row>
    <row r="1707" spans="1:1" x14ac:dyDescent="0.25">
      <c r="A1707" s="13"/>
    </row>
    <row r="1708" spans="1:1" x14ac:dyDescent="0.25">
      <c r="A1708" s="13"/>
    </row>
    <row r="1709" spans="1:1" x14ac:dyDescent="0.25">
      <c r="A1709" s="13"/>
    </row>
    <row r="1710" spans="1:1" x14ac:dyDescent="0.25">
      <c r="A1710" s="13"/>
    </row>
    <row r="1711" spans="1:1" x14ac:dyDescent="0.25">
      <c r="A1711" s="13"/>
    </row>
    <row r="1712" spans="1:1" x14ac:dyDescent="0.25">
      <c r="A1712" s="13"/>
    </row>
    <row r="1713" spans="1:1" x14ac:dyDescent="0.25">
      <c r="A1713" s="13"/>
    </row>
    <row r="1714" spans="1:1" x14ac:dyDescent="0.25">
      <c r="A1714" s="13"/>
    </row>
    <row r="1715" spans="1:1" x14ac:dyDescent="0.25">
      <c r="A1715" s="13"/>
    </row>
    <row r="1716" spans="1:1" x14ac:dyDescent="0.25">
      <c r="A1716" s="13"/>
    </row>
    <row r="1717" spans="1:1" x14ac:dyDescent="0.25">
      <c r="A1717" s="13"/>
    </row>
    <row r="1718" spans="1:1" x14ac:dyDescent="0.25">
      <c r="A1718" s="13"/>
    </row>
    <row r="1719" spans="1:1" x14ac:dyDescent="0.25">
      <c r="A1719" s="13"/>
    </row>
    <row r="1720" spans="1:1" x14ac:dyDescent="0.25">
      <c r="A1720" s="13"/>
    </row>
    <row r="1721" spans="1:1" x14ac:dyDescent="0.25">
      <c r="A1721" s="13"/>
    </row>
    <row r="1722" spans="1:1" x14ac:dyDescent="0.25">
      <c r="A1722" s="13"/>
    </row>
    <row r="1723" spans="1:1" x14ac:dyDescent="0.25">
      <c r="A1723" s="13"/>
    </row>
    <row r="1724" spans="1:1" x14ac:dyDescent="0.25">
      <c r="A1724" s="13"/>
    </row>
    <row r="1725" spans="1:1" x14ac:dyDescent="0.25">
      <c r="A1725" s="13"/>
    </row>
    <row r="1726" spans="1:1" x14ac:dyDescent="0.25">
      <c r="A1726" s="13"/>
    </row>
    <row r="1727" spans="1:1" x14ac:dyDescent="0.25">
      <c r="A1727" s="13"/>
    </row>
    <row r="1728" spans="1:1" x14ac:dyDescent="0.25">
      <c r="A1728" s="13"/>
    </row>
    <row r="1729" spans="1:1" x14ac:dyDescent="0.25">
      <c r="A1729" s="13"/>
    </row>
    <row r="1730" spans="1:1" x14ac:dyDescent="0.25">
      <c r="A1730" s="13"/>
    </row>
    <row r="1731" spans="1:1" x14ac:dyDescent="0.25">
      <c r="A1731" s="13"/>
    </row>
    <row r="1732" spans="1:1" x14ac:dyDescent="0.25">
      <c r="A1732" s="13"/>
    </row>
    <row r="1733" spans="1:1" x14ac:dyDescent="0.25">
      <c r="A1733" s="13"/>
    </row>
    <row r="1734" spans="1:1" x14ac:dyDescent="0.25">
      <c r="A1734" s="13"/>
    </row>
    <row r="1735" spans="1:1" x14ac:dyDescent="0.25">
      <c r="A1735" s="13"/>
    </row>
    <row r="1736" spans="1:1" x14ac:dyDescent="0.25">
      <c r="A1736" s="13"/>
    </row>
    <row r="1737" spans="1:1" x14ac:dyDescent="0.25">
      <c r="A1737" s="13"/>
    </row>
    <row r="1738" spans="1:1" x14ac:dyDescent="0.25">
      <c r="A1738" s="13"/>
    </row>
    <row r="1739" spans="1:1" x14ac:dyDescent="0.25">
      <c r="A1739" s="13"/>
    </row>
    <row r="1740" spans="1:1" x14ac:dyDescent="0.25">
      <c r="A1740" s="13"/>
    </row>
    <row r="1741" spans="1:1" x14ac:dyDescent="0.25">
      <c r="A1741" s="13"/>
    </row>
    <row r="1742" spans="1:1" x14ac:dyDescent="0.25">
      <c r="A1742" s="13"/>
    </row>
    <row r="1743" spans="1:1" x14ac:dyDescent="0.25">
      <c r="A1743" s="13"/>
    </row>
    <row r="1744" spans="1:1" x14ac:dyDescent="0.25">
      <c r="A1744" s="13"/>
    </row>
    <row r="1745" spans="1:1" x14ac:dyDescent="0.25">
      <c r="A1745" s="13"/>
    </row>
    <row r="1746" spans="1:1" x14ac:dyDescent="0.25">
      <c r="A1746" s="13"/>
    </row>
    <row r="1747" spans="1:1" x14ac:dyDescent="0.25">
      <c r="A1747" s="13"/>
    </row>
    <row r="1748" spans="1:1" x14ac:dyDescent="0.25">
      <c r="A1748" s="13"/>
    </row>
    <row r="1749" spans="1:1" x14ac:dyDescent="0.25">
      <c r="A1749" s="13"/>
    </row>
    <row r="1750" spans="1:1" x14ac:dyDescent="0.25">
      <c r="A1750" s="13"/>
    </row>
    <row r="1751" spans="1:1" x14ac:dyDescent="0.25">
      <c r="A1751" s="13"/>
    </row>
    <row r="1752" spans="1:1" x14ac:dyDescent="0.25">
      <c r="A1752" s="13"/>
    </row>
    <row r="1753" spans="1:1" x14ac:dyDescent="0.25">
      <c r="A1753" s="13"/>
    </row>
    <row r="1754" spans="1:1" x14ac:dyDescent="0.25">
      <c r="A1754" s="13"/>
    </row>
    <row r="1755" spans="1:1" x14ac:dyDescent="0.25">
      <c r="A1755" s="13"/>
    </row>
    <row r="1756" spans="1:1" x14ac:dyDescent="0.25">
      <c r="A1756" s="13"/>
    </row>
    <row r="1757" spans="1:1" x14ac:dyDescent="0.25">
      <c r="A1757" s="13"/>
    </row>
    <row r="1758" spans="1:1" x14ac:dyDescent="0.25">
      <c r="A1758" s="13"/>
    </row>
    <row r="1759" spans="1:1" x14ac:dyDescent="0.25">
      <c r="A1759" s="13"/>
    </row>
    <row r="1760" spans="1:1" x14ac:dyDescent="0.25">
      <c r="A1760" s="13"/>
    </row>
    <row r="1761" spans="1:1" x14ac:dyDescent="0.25">
      <c r="A1761" s="13"/>
    </row>
    <row r="1762" spans="1:1" x14ac:dyDescent="0.25">
      <c r="A1762" s="13"/>
    </row>
    <row r="1763" spans="1:1" x14ac:dyDescent="0.25">
      <c r="A1763" s="13"/>
    </row>
    <row r="1764" spans="1:1" x14ac:dyDescent="0.25">
      <c r="A1764" s="13"/>
    </row>
    <row r="1765" spans="1:1" x14ac:dyDescent="0.25">
      <c r="A1765" s="13"/>
    </row>
    <row r="1766" spans="1:1" x14ac:dyDescent="0.25">
      <c r="A1766" s="13"/>
    </row>
    <row r="1767" spans="1:1" x14ac:dyDescent="0.25">
      <c r="A1767" s="13"/>
    </row>
    <row r="1768" spans="1:1" x14ac:dyDescent="0.25">
      <c r="A1768" s="13"/>
    </row>
    <row r="1769" spans="1:1" x14ac:dyDescent="0.25">
      <c r="A1769" s="13"/>
    </row>
    <row r="1770" spans="1:1" x14ac:dyDescent="0.25">
      <c r="A1770" s="13"/>
    </row>
    <row r="1771" spans="1:1" x14ac:dyDescent="0.25">
      <c r="A1771" s="13"/>
    </row>
    <row r="1772" spans="1:1" x14ac:dyDescent="0.25">
      <c r="A1772" s="13"/>
    </row>
    <row r="1773" spans="1:1" x14ac:dyDescent="0.25">
      <c r="A1773" s="13"/>
    </row>
    <row r="1774" spans="1:1" x14ac:dyDescent="0.25">
      <c r="A1774" s="13"/>
    </row>
    <row r="1775" spans="1:1" x14ac:dyDescent="0.25">
      <c r="A1775" s="13"/>
    </row>
    <row r="1776" spans="1:1" x14ac:dyDescent="0.25">
      <c r="A1776" s="13"/>
    </row>
    <row r="1777" spans="1:1" x14ac:dyDescent="0.25">
      <c r="A1777" s="13"/>
    </row>
    <row r="1778" spans="1:1" x14ac:dyDescent="0.25">
      <c r="A1778" s="13"/>
    </row>
    <row r="1779" spans="1:1" x14ac:dyDescent="0.25">
      <c r="A1779" s="13"/>
    </row>
    <row r="1780" spans="1:1" x14ac:dyDescent="0.25">
      <c r="A1780" s="13"/>
    </row>
    <row r="1781" spans="1:1" x14ac:dyDescent="0.25">
      <c r="A1781" s="13"/>
    </row>
    <row r="1782" spans="1:1" x14ac:dyDescent="0.25">
      <c r="A1782" s="13"/>
    </row>
    <row r="1783" spans="1:1" x14ac:dyDescent="0.25">
      <c r="A1783" s="13"/>
    </row>
    <row r="1784" spans="1:1" x14ac:dyDescent="0.25">
      <c r="A1784" s="13"/>
    </row>
    <row r="1785" spans="1:1" x14ac:dyDescent="0.25">
      <c r="A1785" s="13"/>
    </row>
    <row r="1786" spans="1:1" x14ac:dyDescent="0.25">
      <c r="A1786" s="13"/>
    </row>
    <row r="1787" spans="1:1" x14ac:dyDescent="0.25">
      <c r="A1787" s="13"/>
    </row>
    <row r="1788" spans="1:1" x14ac:dyDescent="0.25">
      <c r="A1788" s="13"/>
    </row>
    <row r="1789" spans="1:1" x14ac:dyDescent="0.25">
      <c r="A1789" s="13"/>
    </row>
    <row r="1790" spans="1:1" x14ac:dyDescent="0.25">
      <c r="A1790" s="13"/>
    </row>
    <row r="1791" spans="1:1" x14ac:dyDescent="0.25">
      <c r="A1791" s="13"/>
    </row>
    <row r="1792" spans="1:1" x14ac:dyDescent="0.25">
      <c r="A1792" s="13"/>
    </row>
    <row r="1793" spans="1:1" x14ac:dyDescent="0.25">
      <c r="A1793" s="13"/>
    </row>
    <row r="1794" spans="1:1" x14ac:dyDescent="0.25">
      <c r="A1794" s="13"/>
    </row>
    <row r="1795" spans="1:1" x14ac:dyDescent="0.25">
      <c r="A1795" s="13"/>
    </row>
    <row r="1796" spans="1:1" x14ac:dyDescent="0.25">
      <c r="A1796" s="13"/>
    </row>
    <row r="1797" spans="1:1" x14ac:dyDescent="0.25">
      <c r="A1797" s="13"/>
    </row>
    <row r="1798" spans="1:1" x14ac:dyDescent="0.25">
      <c r="A1798" s="13"/>
    </row>
    <row r="1799" spans="1:1" x14ac:dyDescent="0.25">
      <c r="A1799" s="13"/>
    </row>
    <row r="1800" spans="1:1" x14ac:dyDescent="0.25">
      <c r="A1800" s="13"/>
    </row>
    <row r="1801" spans="1:1" x14ac:dyDescent="0.25">
      <c r="A1801" s="13"/>
    </row>
    <row r="1802" spans="1:1" x14ac:dyDescent="0.25">
      <c r="A1802" s="13"/>
    </row>
    <row r="1803" spans="1:1" x14ac:dyDescent="0.25">
      <c r="A1803" s="13"/>
    </row>
    <row r="1804" spans="1:1" x14ac:dyDescent="0.25">
      <c r="A1804" s="13"/>
    </row>
    <row r="1805" spans="1:1" x14ac:dyDescent="0.25">
      <c r="A1805" s="13"/>
    </row>
    <row r="1806" spans="1:1" x14ac:dyDescent="0.25">
      <c r="A1806" s="13"/>
    </row>
    <row r="1807" spans="1:1" x14ac:dyDescent="0.25">
      <c r="A1807" s="13"/>
    </row>
    <row r="1808" spans="1:1" x14ac:dyDescent="0.25">
      <c r="A1808" s="13"/>
    </row>
    <row r="1809" spans="1:1" x14ac:dyDescent="0.25">
      <c r="A1809" s="13"/>
    </row>
    <row r="1810" spans="1:1" x14ac:dyDescent="0.25">
      <c r="A1810" s="13"/>
    </row>
    <row r="1811" spans="1:1" x14ac:dyDescent="0.25">
      <c r="A1811" s="13"/>
    </row>
    <row r="1812" spans="1:1" x14ac:dyDescent="0.25">
      <c r="A1812" s="13"/>
    </row>
    <row r="1813" spans="1:1" x14ac:dyDescent="0.25">
      <c r="A1813" s="13"/>
    </row>
    <row r="1814" spans="1:1" x14ac:dyDescent="0.25">
      <c r="A1814" s="13"/>
    </row>
    <row r="1815" spans="1:1" x14ac:dyDescent="0.25">
      <c r="A1815" s="13"/>
    </row>
    <row r="1816" spans="1:1" x14ac:dyDescent="0.25">
      <c r="A1816" s="13"/>
    </row>
    <row r="1817" spans="1:1" x14ac:dyDescent="0.25">
      <c r="A1817" s="13"/>
    </row>
    <row r="1818" spans="1:1" x14ac:dyDescent="0.25">
      <c r="A1818" s="13"/>
    </row>
    <row r="1819" spans="1:1" x14ac:dyDescent="0.25">
      <c r="A1819" s="13"/>
    </row>
    <row r="1820" spans="1:1" x14ac:dyDescent="0.25">
      <c r="A1820" s="13"/>
    </row>
    <row r="1821" spans="1:1" x14ac:dyDescent="0.25">
      <c r="A1821" s="13"/>
    </row>
    <row r="1822" spans="1:1" x14ac:dyDescent="0.25">
      <c r="A1822" s="13"/>
    </row>
    <row r="1823" spans="1:1" x14ac:dyDescent="0.25">
      <c r="A1823" s="13"/>
    </row>
    <row r="1824" spans="1:1" x14ac:dyDescent="0.25">
      <c r="A1824" s="13"/>
    </row>
    <row r="1825" spans="1:1" x14ac:dyDescent="0.25">
      <c r="A1825" s="13"/>
    </row>
    <row r="1826" spans="1:1" x14ac:dyDescent="0.25">
      <c r="A1826" s="13"/>
    </row>
    <row r="1827" spans="1:1" x14ac:dyDescent="0.25">
      <c r="A1827" s="13"/>
    </row>
    <row r="1828" spans="1:1" x14ac:dyDescent="0.25">
      <c r="A1828" s="13"/>
    </row>
    <row r="1829" spans="1:1" x14ac:dyDescent="0.25">
      <c r="A1829" s="13"/>
    </row>
    <row r="1830" spans="1:1" x14ac:dyDescent="0.25">
      <c r="A1830" s="13"/>
    </row>
    <row r="1831" spans="1:1" x14ac:dyDescent="0.25">
      <c r="A1831" s="13"/>
    </row>
    <row r="1832" spans="1:1" x14ac:dyDescent="0.25">
      <c r="A1832" s="13"/>
    </row>
    <row r="1833" spans="1:1" x14ac:dyDescent="0.25">
      <c r="A1833" s="13"/>
    </row>
    <row r="1834" spans="1:1" x14ac:dyDescent="0.25">
      <c r="A1834" s="13"/>
    </row>
    <row r="1835" spans="1:1" x14ac:dyDescent="0.25">
      <c r="A1835" s="13"/>
    </row>
    <row r="1836" spans="1:1" x14ac:dyDescent="0.25">
      <c r="A1836" s="13"/>
    </row>
    <row r="1837" spans="1:1" x14ac:dyDescent="0.25">
      <c r="A1837" s="13"/>
    </row>
    <row r="1838" spans="1:1" x14ac:dyDescent="0.25">
      <c r="A1838" s="13"/>
    </row>
    <row r="1839" spans="1:1" x14ac:dyDescent="0.25">
      <c r="A1839" s="13"/>
    </row>
    <row r="1840" spans="1:1" x14ac:dyDescent="0.25">
      <c r="A1840" s="13"/>
    </row>
    <row r="1841" spans="1:1" x14ac:dyDescent="0.25">
      <c r="A1841" s="13"/>
    </row>
    <row r="1842" spans="1:1" x14ac:dyDescent="0.25">
      <c r="A1842" s="13"/>
    </row>
    <row r="1843" spans="1:1" x14ac:dyDescent="0.25">
      <c r="A1843" s="13"/>
    </row>
    <row r="1844" spans="1:1" x14ac:dyDescent="0.25">
      <c r="A1844" s="13"/>
    </row>
    <row r="1845" spans="1:1" x14ac:dyDescent="0.25">
      <c r="A1845" s="13"/>
    </row>
    <row r="1846" spans="1:1" x14ac:dyDescent="0.25">
      <c r="A1846" s="13"/>
    </row>
    <row r="1847" spans="1:1" x14ac:dyDescent="0.25">
      <c r="A1847" s="13"/>
    </row>
    <row r="1848" spans="1:1" x14ac:dyDescent="0.25">
      <c r="A1848" s="13"/>
    </row>
    <row r="1849" spans="1:1" x14ac:dyDescent="0.25">
      <c r="A1849" s="13"/>
    </row>
    <row r="1850" spans="1:1" x14ac:dyDescent="0.25">
      <c r="A1850" s="13"/>
    </row>
    <row r="1851" spans="1:1" x14ac:dyDescent="0.25">
      <c r="A1851" s="13"/>
    </row>
    <row r="1852" spans="1:1" x14ac:dyDescent="0.25">
      <c r="A1852" s="13"/>
    </row>
    <row r="1853" spans="1:1" x14ac:dyDescent="0.25">
      <c r="A1853" s="13"/>
    </row>
    <row r="1854" spans="1:1" x14ac:dyDescent="0.25">
      <c r="A1854" s="13"/>
    </row>
    <row r="1855" spans="1:1" x14ac:dyDescent="0.25">
      <c r="A1855" s="13"/>
    </row>
    <row r="1856" spans="1:1" x14ac:dyDescent="0.25">
      <c r="A1856" s="13"/>
    </row>
    <row r="1857" spans="1:1" x14ac:dyDescent="0.25">
      <c r="A1857" s="13"/>
    </row>
    <row r="1858" spans="1:1" x14ac:dyDescent="0.25">
      <c r="A1858" s="13"/>
    </row>
    <row r="1859" spans="1:1" x14ac:dyDescent="0.25">
      <c r="A1859" s="13"/>
    </row>
    <row r="1860" spans="1:1" x14ac:dyDescent="0.25">
      <c r="A1860" s="13"/>
    </row>
    <row r="1861" spans="1:1" x14ac:dyDescent="0.25">
      <c r="A1861" s="13"/>
    </row>
    <row r="1862" spans="1:1" x14ac:dyDescent="0.25">
      <c r="A1862" s="13"/>
    </row>
    <row r="1863" spans="1:1" x14ac:dyDescent="0.25">
      <c r="A1863" s="13"/>
    </row>
    <row r="1864" spans="1:1" x14ac:dyDescent="0.25">
      <c r="A1864" s="13"/>
    </row>
    <row r="1865" spans="1:1" x14ac:dyDescent="0.25">
      <c r="A1865" s="13"/>
    </row>
    <row r="1866" spans="1:1" x14ac:dyDescent="0.25">
      <c r="A1866" s="13"/>
    </row>
    <row r="1867" spans="1:1" x14ac:dyDescent="0.25">
      <c r="A1867" s="13"/>
    </row>
    <row r="1868" spans="1:1" x14ac:dyDescent="0.25">
      <c r="A1868" s="13"/>
    </row>
    <row r="1869" spans="1:1" x14ac:dyDescent="0.25">
      <c r="A1869" s="13"/>
    </row>
    <row r="1870" spans="1:1" x14ac:dyDescent="0.25">
      <c r="A1870" s="13"/>
    </row>
    <row r="1871" spans="1:1" x14ac:dyDescent="0.25">
      <c r="A1871" s="13"/>
    </row>
    <row r="1872" spans="1:1" x14ac:dyDescent="0.25">
      <c r="A1872" s="13"/>
    </row>
    <row r="1873" spans="1:1" x14ac:dyDescent="0.25">
      <c r="A1873" s="13"/>
    </row>
    <row r="1874" spans="1:1" x14ac:dyDescent="0.25">
      <c r="A1874" s="13"/>
    </row>
    <row r="1875" spans="1:1" x14ac:dyDescent="0.25">
      <c r="A1875" s="13"/>
    </row>
    <row r="1876" spans="1:1" x14ac:dyDescent="0.25">
      <c r="A1876" s="13"/>
    </row>
    <row r="1877" spans="1:1" x14ac:dyDescent="0.25">
      <c r="A1877" s="13"/>
    </row>
    <row r="1878" spans="1:1" x14ac:dyDescent="0.25">
      <c r="A1878" s="13"/>
    </row>
    <row r="1879" spans="1:1" x14ac:dyDescent="0.25">
      <c r="A1879" s="13"/>
    </row>
    <row r="1880" spans="1:1" x14ac:dyDescent="0.25">
      <c r="A1880" s="13"/>
    </row>
    <row r="1881" spans="1:1" x14ac:dyDescent="0.25">
      <c r="A1881" s="13"/>
    </row>
    <row r="1882" spans="1:1" x14ac:dyDescent="0.25">
      <c r="A1882" s="13"/>
    </row>
    <row r="1883" spans="1:1" x14ac:dyDescent="0.25">
      <c r="A1883" s="13"/>
    </row>
    <row r="1884" spans="1:1" x14ac:dyDescent="0.25">
      <c r="A1884" s="13"/>
    </row>
    <row r="1885" spans="1:1" x14ac:dyDescent="0.25">
      <c r="A1885" s="13"/>
    </row>
    <row r="1886" spans="1:1" x14ac:dyDescent="0.25">
      <c r="A1886" s="13"/>
    </row>
    <row r="1887" spans="1:1" x14ac:dyDescent="0.25">
      <c r="A1887" s="13"/>
    </row>
    <row r="1888" spans="1:1" x14ac:dyDescent="0.25">
      <c r="A1888" s="13"/>
    </row>
    <row r="1889" spans="1:1" x14ac:dyDescent="0.25">
      <c r="A1889" s="13"/>
    </row>
    <row r="1890" spans="1:1" x14ac:dyDescent="0.25">
      <c r="A1890" s="13"/>
    </row>
    <row r="1891" spans="1:1" x14ac:dyDescent="0.25">
      <c r="A1891" s="13"/>
    </row>
    <row r="1892" spans="1:1" x14ac:dyDescent="0.25">
      <c r="A1892" s="13"/>
    </row>
    <row r="1893" spans="1:1" x14ac:dyDescent="0.25">
      <c r="A1893" s="13"/>
    </row>
    <row r="1894" spans="1:1" x14ac:dyDescent="0.25">
      <c r="A1894" s="13"/>
    </row>
    <row r="1895" spans="1:1" x14ac:dyDescent="0.25">
      <c r="A1895" s="13"/>
    </row>
    <row r="1896" spans="1:1" x14ac:dyDescent="0.25">
      <c r="A1896" s="13"/>
    </row>
    <row r="1897" spans="1:1" x14ac:dyDescent="0.25">
      <c r="A1897" s="13"/>
    </row>
    <row r="1898" spans="1:1" x14ac:dyDescent="0.25">
      <c r="A1898" s="13"/>
    </row>
    <row r="1899" spans="1:1" x14ac:dyDescent="0.25">
      <c r="A1899" s="13"/>
    </row>
    <row r="1900" spans="1:1" x14ac:dyDescent="0.25">
      <c r="A1900" s="13"/>
    </row>
    <row r="1901" spans="1:1" x14ac:dyDescent="0.25">
      <c r="A1901" s="13"/>
    </row>
    <row r="1902" spans="1:1" x14ac:dyDescent="0.25">
      <c r="A1902" s="13"/>
    </row>
    <row r="1903" spans="1:1" x14ac:dyDescent="0.25">
      <c r="A1903" s="13"/>
    </row>
    <row r="1904" spans="1:1" x14ac:dyDescent="0.25">
      <c r="A1904" s="13"/>
    </row>
    <row r="1905" spans="1:1" x14ac:dyDescent="0.25">
      <c r="A1905" s="13"/>
    </row>
    <row r="1906" spans="1:1" x14ac:dyDescent="0.25">
      <c r="A1906" s="13"/>
    </row>
    <row r="1907" spans="1:1" x14ac:dyDescent="0.25">
      <c r="A1907" s="13"/>
    </row>
    <row r="1908" spans="1:1" x14ac:dyDescent="0.25">
      <c r="A1908" s="13"/>
    </row>
    <row r="1909" spans="1:1" x14ac:dyDescent="0.25">
      <c r="A1909" s="13"/>
    </row>
    <row r="1910" spans="1:1" x14ac:dyDescent="0.25">
      <c r="A1910" s="13"/>
    </row>
    <row r="1911" spans="1:1" x14ac:dyDescent="0.25">
      <c r="A1911" s="13"/>
    </row>
    <row r="1912" spans="1:1" x14ac:dyDescent="0.25">
      <c r="A1912" s="13"/>
    </row>
    <row r="1913" spans="1:1" x14ac:dyDescent="0.25">
      <c r="A1913" s="13"/>
    </row>
    <row r="1914" spans="1:1" x14ac:dyDescent="0.25">
      <c r="A1914" s="13"/>
    </row>
    <row r="1915" spans="1:1" x14ac:dyDescent="0.25">
      <c r="A1915" s="13"/>
    </row>
    <row r="1916" spans="1:1" x14ac:dyDescent="0.25">
      <c r="A1916" s="13"/>
    </row>
    <row r="1917" spans="1:1" x14ac:dyDescent="0.25">
      <c r="A1917" s="13"/>
    </row>
    <row r="1918" spans="1:1" x14ac:dyDescent="0.25">
      <c r="A1918" s="13"/>
    </row>
    <row r="1919" spans="1:1" x14ac:dyDescent="0.25">
      <c r="A1919" s="13"/>
    </row>
    <row r="1920" spans="1:1" x14ac:dyDescent="0.25">
      <c r="A1920" s="13"/>
    </row>
    <row r="1921" spans="1:1" x14ac:dyDescent="0.25">
      <c r="A1921" s="13"/>
    </row>
    <row r="1922" spans="1:1" x14ac:dyDescent="0.25">
      <c r="A1922" s="13"/>
    </row>
    <row r="1923" spans="1:1" x14ac:dyDescent="0.25">
      <c r="A1923" s="13"/>
    </row>
    <row r="1924" spans="1:1" x14ac:dyDescent="0.25">
      <c r="A1924" s="13"/>
    </row>
    <row r="1925" spans="1:1" x14ac:dyDescent="0.25">
      <c r="A1925" s="13"/>
    </row>
    <row r="1926" spans="1:1" x14ac:dyDescent="0.25">
      <c r="A1926" s="13"/>
    </row>
    <row r="1927" spans="1:1" x14ac:dyDescent="0.25">
      <c r="A1927" s="13"/>
    </row>
    <row r="1928" spans="1:1" x14ac:dyDescent="0.25">
      <c r="A1928" s="13"/>
    </row>
    <row r="1929" spans="1:1" x14ac:dyDescent="0.25">
      <c r="A1929" s="13"/>
    </row>
    <row r="1930" spans="1:1" x14ac:dyDescent="0.25">
      <c r="A1930" s="13"/>
    </row>
    <row r="1931" spans="1:1" x14ac:dyDescent="0.25">
      <c r="A1931" s="13"/>
    </row>
    <row r="1932" spans="1:1" x14ac:dyDescent="0.25">
      <c r="A1932" s="13"/>
    </row>
    <row r="1933" spans="1:1" x14ac:dyDescent="0.25">
      <c r="A1933" s="13"/>
    </row>
    <row r="1934" spans="1:1" x14ac:dyDescent="0.25">
      <c r="A1934" s="13"/>
    </row>
    <row r="1935" spans="1:1" x14ac:dyDescent="0.25">
      <c r="A1935" s="13"/>
    </row>
    <row r="1936" spans="1:1" x14ac:dyDescent="0.25">
      <c r="A1936" s="13"/>
    </row>
    <row r="1937" spans="1:1" x14ac:dyDescent="0.25">
      <c r="A1937" s="13"/>
    </row>
    <row r="1938" spans="1:1" x14ac:dyDescent="0.25">
      <c r="A1938" s="13"/>
    </row>
    <row r="1939" spans="1:1" x14ac:dyDescent="0.25">
      <c r="A1939" s="13"/>
    </row>
    <row r="1940" spans="1:1" x14ac:dyDescent="0.25">
      <c r="A1940" s="13"/>
    </row>
    <row r="1941" spans="1:1" x14ac:dyDescent="0.25">
      <c r="A1941" s="13"/>
    </row>
    <row r="1942" spans="1:1" x14ac:dyDescent="0.25">
      <c r="A1942" s="13"/>
    </row>
    <row r="1943" spans="1:1" x14ac:dyDescent="0.25">
      <c r="A1943" s="13"/>
    </row>
    <row r="1944" spans="1:1" x14ac:dyDescent="0.25">
      <c r="A1944" s="13"/>
    </row>
    <row r="1945" spans="1:1" x14ac:dyDescent="0.25">
      <c r="A1945" s="13"/>
    </row>
    <row r="1946" spans="1:1" x14ac:dyDescent="0.25">
      <c r="A1946" s="13"/>
    </row>
    <row r="1947" spans="1:1" x14ac:dyDescent="0.25">
      <c r="A1947" s="13"/>
    </row>
    <row r="1948" spans="1:1" x14ac:dyDescent="0.25">
      <c r="A1948" s="13"/>
    </row>
    <row r="1949" spans="1:1" x14ac:dyDescent="0.25">
      <c r="A1949" s="13"/>
    </row>
    <row r="1950" spans="1:1" x14ac:dyDescent="0.25">
      <c r="A1950" s="13"/>
    </row>
    <row r="1951" spans="1:1" x14ac:dyDescent="0.25">
      <c r="A1951" s="13"/>
    </row>
    <row r="1952" spans="1:1" x14ac:dyDescent="0.25">
      <c r="A1952" s="13"/>
    </row>
    <row r="1953" spans="1:1" x14ac:dyDescent="0.25">
      <c r="A1953" s="13"/>
    </row>
    <row r="1954" spans="1:1" x14ac:dyDescent="0.25">
      <c r="A1954" s="13"/>
    </row>
    <row r="1955" spans="1:1" x14ac:dyDescent="0.25">
      <c r="A1955" s="13"/>
    </row>
    <row r="1956" spans="1:1" x14ac:dyDescent="0.25">
      <c r="A1956" s="13"/>
    </row>
    <row r="1957" spans="1:1" x14ac:dyDescent="0.25">
      <c r="A1957" s="13"/>
    </row>
    <row r="1958" spans="1:1" x14ac:dyDescent="0.25">
      <c r="A1958" s="13"/>
    </row>
    <row r="1959" spans="1:1" x14ac:dyDescent="0.25">
      <c r="A1959" s="13"/>
    </row>
    <row r="1960" spans="1:1" x14ac:dyDescent="0.25">
      <c r="A1960" s="13"/>
    </row>
    <row r="1961" spans="1:1" x14ac:dyDescent="0.25">
      <c r="A1961" s="13"/>
    </row>
    <row r="1962" spans="1:1" x14ac:dyDescent="0.25">
      <c r="A1962" s="13"/>
    </row>
    <row r="1963" spans="1:1" x14ac:dyDescent="0.25">
      <c r="A1963" s="13"/>
    </row>
    <row r="1964" spans="1:1" x14ac:dyDescent="0.25">
      <c r="A1964" s="13"/>
    </row>
    <row r="1965" spans="1:1" x14ac:dyDescent="0.25">
      <c r="A1965" s="13"/>
    </row>
    <row r="1966" spans="1:1" x14ac:dyDescent="0.25">
      <c r="A1966" s="13"/>
    </row>
    <row r="1967" spans="1:1" x14ac:dyDescent="0.25">
      <c r="A1967" s="13"/>
    </row>
    <row r="1968" spans="1:1" x14ac:dyDescent="0.25">
      <c r="A1968" s="13"/>
    </row>
    <row r="1969" spans="1:1" x14ac:dyDescent="0.25">
      <c r="A1969" s="13"/>
    </row>
    <row r="1970" spans="1:1" x14ac:dyDescent="0.25">
      <c r="A1970" s="13"/>
    </row>
    <row r="1971" spans="1:1" x14ac:dyDescent="0.25">
      <c r="A1971" s="13"/>
    </row>
    <row r="1972" spans="1:1" x14ac:dyDescent="0.25">
      <c r="A1972" s="13"/>
    </row>
    <row r="1973" spans="1:1" x14ac:dyDescent="0.25">
      <c r="A1973" s="13"/>
    </row>
    <row r="1974" spans="1:1" x14ac:dyDescent="0.25">
      <c r="A1974" s="13"/>
    </row>
    <row r="1975" spans="1:1" x14ac:dyDescent="0.25">
      <c r="A1975" s="13"/>
    </row>
    <row r="1976" spans="1:1" x14ac:dyDescent="0.25">
      <c r="A1976" s="13"/>
    </row>
    <row r="1977" spans="1:1" x14ac:dyDescent="0.25">
      <c r="A1977" s="13"/>
    </row>
    <row r="1978" spans="1:1" x14ac:dyDescent="0.25">
      <c r="A1978" s="13"/>
    </row>
    <row r="1979" spans="1:1" x14ac:dyDescent="0.25">
      <c r="A1979" s="13"/>
    </row>
    <row r="1980" spans="1:1" x14ac:dyDescent="0.25">
      <c r="A1980" s="13"/>
    </row>
    <row r="1981" spans="1:1" x14ac:dyDescent="0.25">
      <c r="A1981" s="13"/>
    </row>
    <row r="1982" spans="1:1" x14ac:dyDescent="0.25">
      <c r="A1982" s="13"/>
    </row>
    <row r="1983" spans="1:1" x14ac:dyDescent="0.25">
      <c r="A1983" s="13"/>
    </row>
    <row r="1984" spans="1:1" x14ac:dyDescent="0.25">
      <c r="A1984" s="13"/>
    </row>
    <row r="1985" spans="1:1" x14ac:dyDescent="0.25">
      <c r="A1985" s="13"/>
    </row>
    <row r="1986" spans="1:1" x14ac:dyDescent="0.25">
      <c r="A1986" s="13"/>
    </row>
    <row r="1987" spans="1:1" x14ac:dyDescent="0.25">
      <c r="A1987" s="13"/>
    </row>
    <row r="1988" spans="1:1" x14ac:dyDescent="0.25">
      <c r="A1988" s="13"/>
    </row>
    <row r="1989" spans="1:1" x14ac:dyDescent="0.25">
      <c r="A1989" s="13"/>
    </row>
    <row r="1990" spans="1:1" x14ac:dyDescent="0.25">
      <c r="A1990" s="13"/>
    </row>
    <row r="1991" spans="1:1" x14ac:dyDescent="0.25">
      <c r="A1991" s="13"/>
    </row>
    <row r="1992" spans="1:1" x14ac:dyDescent="0.25">
      <c r="A1992" s="13"/>
    </row>
    <row r="1993" spans="1:1" x14ac:dyDescent="0.25">
      <c r="A1993" s="13"/>
    </row>
    <row r="1994" spans="1:1" x14ac:dyDescent="0.25">
      <c r="A1994" s="13"/>
    </row>
    <row r="1995" spans="1:1" x14ac:dyDescent="0.25">
      <c r="A1995" s="13"/>
    </row>
    <row r="1996" spans="1:1" x14ac:dyDescent="0.25">
      <c r="A1996" s="13"/>
    </row>
    <row r="1997" spans="1:1" x14ac:dyDescent="0.25">
      <c r="A1997" s="13"/>
    </row>
    <row r="1998" spans="1:1" x14ac:dyDescent="0.25">
      <c r="A1998" s="13"/>
    </row>
    <row r="1999" spans="1:1" x14ac:dyDescent="0.25">
      <c r="A1999" s="13"/>
    </row>
    <row r="2000" spans="1:1" x14ac:dyDescent="0.25">
      <c r="A2000" s="13"/>
    </row>
    <row r="2001" spans="1:1" x14ac:dyDescent="0.25">
      <c r="A2001" s="13"/>
    </row>
    <row r="2002" spans="1:1" x14ac:dyDescent="0.25">
      <c r="A2002" s="13"/>
    </row>
    <row r="2003" spans="1:1" x14ac:dyDescent="0.25">
      <c r="A2003" s="13"/>
    </row>
    <row r="2004" spans="1:1" x14ac:dyDescent="0.25">
      <c r="A2004" s="13"/>
    </row>
    <row r="2005" spans="1:1" x14ac:dyDescent="0.25">
      <c r="A2005" s="13"/>
    </row>
    <row r="2006" spans="1:1" x14ac:dyDescent="0.25">
      <c r="A2006" s="13"/>
    </row>
    <row r="2007" spans="1:1" x14ac:dyDescent="0.25">
      <c r="A2007" s="13"/>
    </row>
    <row r="2008" spans="1:1" x14ac:dyDescent="0.25">
      <c r="A2008" s="13"/>
    </row>
    <row r="2009" spans="1:1" x14ac:dyDescent="0.25">
      <c r="A2009" s="13"/>
    </row>
    <row r="2010" spans="1:1" x14ac:dyDescent="0.25">
      <c r="A2010" s="13"/>
    </row>
    <row r="2011" spans="1:1" x14ac:dyDescent="0.25">
      <c r="A2011" s="13"/>
    </row>
    <row r="2012" spans="1:1" x14ac:dyDescent="0.25">
      <c r="A2012" s="13"/>
    </row>
    <row r="2013" spans="1:1" x14ac:dyDescent="0.25">
      <c r="A2013" s="13"/>
    </row>
    <row r="2014" spans="1:1" x14ac:dyDescent="0.25">
      <c r="A2014" s="13"/>
    </row>
    <row r="2015" spans="1:1" x14ac:dyDescent="0.25">
      <c r="A2015" s="13"/>
    </row>
    <row r="2016" spans="1:1" x14ac:dyDescent="0.25">
      <c r="A2016" s="13"/>
    </row>
    <row r="2017" spans="1:1" x14ac:dyDescent="0.25">
      <c r="A2017" s="13"/>
    </row>
    <row r="2018" spans="1:1" x14ac:dyDescent="0.25">
      <c r="A2018" s="13"/>
    </row>
    <row r="2019" spans="1:1" x14ac:dyDescent="0.25">
      <c r="A2019" s="13"/>
    </row>
    <row r="2020" spans="1:1" x14ac:dyDescent="0.25">
      <c r="A2020" s="13"/>
    </row>
    <row r="2021" spans="1:1" x14ac:dyDescent="0.25">
      <c r="A2021" s="13"/>
    </row>
    <row r="2022" spans="1:1" x14ac:dyDescent="0.25">
      <c r="A2022" s="13"/>
    </row>
    <row r="2023" spans="1:1" x14ac:dyDescent="0.25">
      <c r="A2023" s="13"/>
    </row>
    <row r="2024" spans="1:1" x14ac:dyDescent="0.25">
      <c r="A2024" s="13"/>
    </row>
    <row r="2025" spans="1:1" x14ac:dyDescent="0.25">
      <c r="A2025" s="13"/>
    </row>
    <row r="2026" spans="1:1" x14ac:dyDescent="0.25">
      <c r="A2026" s="13"/>
    </row>
    <row r="2027" spans="1:1" x14ac:dyDescent="0.25">
      <c r="A2027" s="13"/>
    </row>
    <row r="2028" spans="1:1" x14ac:dyDescent="0.25">
      <c r="A2028" s="13"/>
    </row>
    <row r="2029" spans="1:1" x14ac:dyDescent="0.25">
      <c r="A2029" s="13"/>
    </row>
    <row r="2030" spans="1:1" x14ac:dyDescent="0.25">
      <c r="A2030" s="13"/>
    </row>
    <row r="2031" spans="1:1" x14ac:dyDescent="0.25">
      <c r="A2031" s="13"/>
    </row>
    <row r="2032" spans="1:1" x14ac:dyDescent="0.25">
      <c r="A2032" s="13"/>
    </row>
    <row r="2033" spans="1:1" x14ac:dyDescent="0.25">
      <c r="A2033" s="13"/>
    </row>
    <row r="2034" spans="1:1" x14ac:dyDescent="0.25">
      <c r="A2034" s="13"/>
    </row>
    <row r="2035" spans="1:1" x14ac:dyDescent="0.25">
      <c r="A2035" s="13"/>
    </row>
    <row r="2036" spans="1:1" x14ac:dyDescent="0.25">
      <c r="A2036" s="13"/>
    </row>
    <row r="2037" spans="1:1" x14ac:dyDescent="0.25">
      <c r="A2037" s="13"/>
    </row>
    <row r="2038" spans="1:1" x14ac:dyDescent="0.25">
      <c r="A2038" s="13"/>
    </row>
    <row r="2039" spans="1:1" x14ac:dyDescent="0.25">
      <c r="A2039" s="13"/>
    </row>
    <row r="2040" spans="1:1" x14ac:dyDescent="0.25">
      <c r="A2040" s="13"/>
    </row>
    <row r="2041" spans="1:1" x14ac:dyDescent="0.25">
      <c r="A2041" s="13"/>
    </row>
    <row r="2042" spans="1:1" x14ac:dyDescent="0.25">
      <c r="A2042" s="13"/>
    </row>
    <row r="2043" spans="1:1" x14ac:dyDescent="0.25">
      <c r="A2043" s="13"/>
    </row>
    <row r="2044" spans="1:1" x14ac:dyDescent="0.25">
      <c r="A2044" s="13"/>
    </row>
    <row r="2045" spans="1:1" x14ac:dyDescent="0.25">
      <c r="A2045" s="13"/>
    </row>
    <row r="2046" spans="1:1" x14ac:dyDescent="0.25">
      <c r="A2046" s="13"/>
    </row>
    <row r="2047" spans="1:1" x14ac:dyDescent="0.25">
      <c r="A2047" s="13"/>
    </row>
    <row r="2048" spans="1:1" x14ac:dyDescent="0.25">
      <c r="A2048" s="13"/>
    </row>
    <row r="2049" spans="1:1" x14ac:dyDescent="0.25">
      <c r="A2049" s="13"/>
    </row>
    <row r="2050" spans="1:1" x14ac:dyDescent="0.25">
      <c r="A2050" s="13"/>
    </row>
    <row r="2051" spans="1:1" x14ac:dyDescent="0.25">
      <c r="A2051" s="13"/>
    </row>
    <row r="2052" spans="1:1" x14ac:dyDescent="0.25">
      <c r="A2052" s="13"/>
    </row>
    <row r="2053" spans="1:1" x14ac:dyDescent="0.25">
      <c r="A2053" s="13"/>
    </row>
    <row r="2054" spans="1:1" x14ac:dyDescent="0.25">
      <c r="A2054" s="13"/>
    </row>
    <row r="2055" spans="1:1" x14ac:dyDescent="0.25">
      <c r="A2055" s="13"/>
    </row>
    <row r="2056" spans="1:1" x14ac:dyDescent="0.25">
      <c r="A2056" s="13"/>
    </row>
    <row r="2057" spans="1:1" x14ac:dyDescent="0.25">
      <c r="A2057" s="13"/>
    </row>
    <row r="2058" spans="1:1" x14ac:dyDescent="0.25">
      <c r="A2058" s="13"/>
    </row>
    <row r="2059" spans="1:1" x14ac:dyDescent="0.25">
      <c r="A2059" s="13"/>
    </row>
    <row r="2060" spans="1:1" x14ac:dyDescent="0.25">
      <c r="A2060" s="13"/>
    </row>
    <row r="2061" spans="1:1" x14ac:dyDescent="0.25">
      <c r="A2061" s="13"/>
    </row>
    <row r="2062" spans="1:1" x14ac:dyDescent="0.25">
      <c r="A2062" s="13"/>
    </row>
    <row r="2063" spans="1:1" x14ac:dyDescent="0.25">
      <c r="A2063" s="13"/>
    </row>
    <row r="2064" spans="1:1" x14ac:dyDescent="0.25">
      <c r="A2064" s="13"/>
    </row>
    <row r="2065" spans="1:1" x14ac:dyDescent="0.25">
      <c r="A2065" s="13"/>
    </row>
    <row r="2066" spans="1:1" x14ac:dyDescent="0.25">
      <c r="A2066" s="13"/>
    </row>
    <row r="2067" spans="1:1" x14ac:dyDescent="0.25">
      <c r="A2067" s="13"/>
    </row>
    <row r="2068" spans="1:1" x14ac:dyDescent="0.25">
      <c r="A2068" s="13"/>
    </row>
    <row r="2069" spans="1:1" x14ac:dyDescent="0.25">
      <c r="A2069" s="13"/>
    </row>
    <row r="2070" spans="1:1" x14ac:dyDescent="0.25">
      <c r="A2070" s="13"/>
    </row>
    <row r="2071" spans="1:1" x14ac:dyDescent="0.25">
      <c r="A2071" s="13"/>
    </row>
    <row r="2072" spans="1:1" x14ac:dyDescent="0.25">
      <c r="A2072" s="13"/>
    </row>
    <row r="2073" spans="1:1" x14ac:dyDescent="0.25">
      <c r="A2073" s="13"/>
    </row>
    <row r="2074" spans="1:1" x14ac:dyDescent="0.25">
      <c r="A2074" s="13"/>
    </row>
    <row r="2075" spans="1:1" x14ac:dyDescent="0.25">
      <c r="A2075" s="13"/>
    </row>
    <row r="2076" spans="1:1" x14ac:dyDescent="0.25">
      <c r="A2076" s="13"/>
    </row>
    <row r="2077" spans="1:1" x14ac:dyDescent="0.25">
      <c r="A2077" s="13"/>
    </row>
    <row r="2078" spans="1:1" x14ac:dyDescent="0.25">
      <c r="A2078" s="13"/>
    </row>
    <row r="2079" spans="1:1" x14ac:dyDescent="0.25">
      <c r="A2079" s="13"/>
    </row>
    <row r="2080" spans="1:1" x14ac:dyDescent="0.25">
      <c r="A2080" s="13"/>
    </row>
    <row r="2081" spans="1:1" x14ac:dyDescent="0.25">
      <c r="A2081" s="13"/>
    </row>
    <row r="2082" spans="1:1" x14ac:dyDescent="0.25">
      <c r="A2082" s="13"/>
    </row>
    <row r="2083" spans="1:1" x14ac:dyDescent="0.25">
      <c r="A2083" s="13"/>
    </row>
    <row r="2084" spans="1:1" x14ac:dyDescent="0.25">
      <c r="A2084" s="13"/>
    </row>
    <row r="2085" spans="1:1" x14ac:dyDescent="0.25">
      <c r="A2085" s="13"/>
    </row>
    <row r="2086" spans="1:1" x14ac:dyDescent="0.25">
      <c r="A2086" s="13"/>
    </row>
    <row r="2087" spans="1:1" x14ac:dyDescent="0.25">
      <c r="A2087" s="13"/>
    </row>
    <row r="2088" spans="1:1" x14ac:dyDescent="0.25">
      <c r="A2088" s="13"/>
    </row>
    <row r="2089" spans="1:1" x14ac:dyDescent="0.25">
      <c r="A2089" s="13"/>
    </row>
    <row r="2090" spans="1:1" x14ac:dyDescent="0.25">
      <c r="A2090" s="13"/>
    </row>
    <row r="2091" spans="1:1" x14ac:dyDescent="0.25">
      <c r="A2091" s="13"/>
    </row>
    <row r="2092" spans="1:1" x14ac:dyDescent="0.25">
      <c r="A2092" s="13"/>
    </row>
    <row r="2093" spans="1:1" x14ac:dyDescent="0.25">
      <c r="A2093" s="13"/>
    </row>
    <row r="2094" spans="1:1" x14ac:dyDescent="0.25">
      <c r="A2094" s="13"/>
    </row>
    <row r="2095" spans="1:1" x14ac:dyDescent="0.25">
      <c r="A2095" s="13"/>
    </row>
    <row r="2096" spans="1:1" x14ac:dyDescent="0.25">
      <c r="A2096" s="13"/>
    </row>
    <row r="2097" spans="1:1" x14ac:dyDescent="0.25">
      <c r="A2097" s="13"/>
    </row>
    <row r="2098" spans="1:1" x14ac:dyDescent="0.25">
      <c r="A2098" s="13"/>
    </row>
    <row r="2099" spans="1:1" x14ac:dyDescent="0.25">
      <c r="A2099" s="13"/>
    </row>
    <row r="2100" spans="1:1" x14ac:dyDescent="0.25">
      <c r="A2100" s="13"/>
    </row>
    <row r="2101" spans="1:1" x14ac:dyDescent="0.25">
      <c r="A2101" s="13"/>
    </row>
    <row r="2102" spans="1:1" x14ac:dyDescent="0.25">
      <c r="A2102" s="13"/>
    </row>
    <row r="2103" spans="1:1" x14ac:dyDescent="0.25">
      <c r="A2103" s="13"/>
    </row>
    <row r="2104" spans="1:1" x14ac:dyDescent="0.25">
      <c r="A2104" s="13"/>
    </row>
    <row r="2105" spans="1:1" x14ac:dyDescent="0.25">
      <c r="A2105" s="13"/>
    </row>
    <row r="2106" spans="1:1" x14ac:dyDescent="0.25">
      <c r="A2106" s="13"/>
    </row>
    <row r="2107" spans="1:1" x14ac:dyDescent="0.25">
      <c r="A2107" s="13"/>
    </row>
    <row r="2108" spans="1:1" x14ac:dyDescent="0.25">
      <c r="A2108" s="13"/>
    </row>
    <row r="2109" spans="1:1" x14ac:dyDescent="0.25">
      <c r="A2109" s="13"/>
    </row>
    <row r="2110" spans="1:1" x14ac:dyDescent="0.25">
      <c r="A2110" s="13"/>
    </row>
    <row r="2111" spans="1:1" x14ac:dyDescent="0.25">
      <c r="A2111" s="13"/>
    </row>
    <row r="2112" spans="1:1" x14ac:dyDescent="0.25">
      <c r="A2112" s="13"/>
    </row>
    <row r="2113" spans="1:1" x14ac:dyDescent="0.25">
      <c r="A2113" s="13"/>
    </row>
    <row r="2114" spans="1:1" x14ac:dyDescent="0.25">
      <c r="A2114" s="13"/>
    </row>
    <row r="2115" spans="1:1" x14ac:dyDescent="0.25">
      <c r="A2115" s="13"/>
    </row>
    <row r="2116" spans="1:1" x14ac:dyDescent="0.25">
      <c r="A2116" s="13"/>
    </row>
    <row r="2117" spans="1:1" x14ac:dyDescent="0.25">
      <c r="A2117" s="13"/>
    </row>
    <row r="2118" spans="1:1" x14ac:dyDescent="0.25">
      <c r="A2118" s="13"/>
    </row>
    <row r="2119" spans="1:1" x14ac:dyDescent="0.25">
      <c r="A2119" s="13"/>
    </row>
    <row r="2120" spans="1:1" x14ac:dyDescent="0.25">
      <c r="A2120" s="13"/>
    </row>
    <row r="2121" spans="1:1" x14ac:dyDescent="0.25">
      <c r="A2121" s="13"/>
    </row>
    <row r="2122" spans="1:1" x14ac:dyDescent="0.25">
      <c r="A2122" s="13"/>
    </row>
    <row r="2123" spans="1:1" x14ac:dyDescent="0.25">
      <c r="A2123" s="13"/>
    </row>
    <row r="2124" spans="1:1" x14ac:dyDescent="0.25">
      <c r="A2124" s="13"/>
    </row>
    <row r="2125" spans="1:1" x14ac:dyDescent="0.25">
      <c r="A2125" s="13"/>
    </row>
    <row r="2126" spans="1:1" x14ac:dyDescent="0.25">
      <c r="A2126" s="13"/>
    </row>
    <row r="2127" spans="1:1" x14ac:dyDescent="0.25">
      <c r="A2127" s="13"/>
    </row>
    <row r="2128" spans="1:1" x14ac:dyDescent="0.25">
      <c r="A2128" s="13"/>
    </row>
    <row r="2129" spans="1:1" x14ac:dyDescent="0.25">
      <c r="A2129" s="13"/>
    </row>
    <row r="2130" spans="1:1" x14ac:dyDescent="0.25">
      <c r="A2130" s="13"/>
    </row>
    <row r="2131" spans="1:1" x14ac:dyDescent="0.25">
      <c r="A2131" s="13"/>
    </row>
    <row r="2132" spans="1:1" x14ac:dyDescent="0.25">
      <c r="A2132" s="13"/>
    </row>
    <row r="2133" spans="1:1" x14ac:dyDescent="0.25">
      <c r="A2133" s="13"/>
    </row>
    <row r="2134" spans="1:1" x14ac:dyDescent="0.25">
      <c r="A2134" s="13"/>
    </row>
    <row r="2135" spans="1:1" x14ac:dyDescent="0.25">
      <c r="A2135" s="13"/>
    </row>
    <row r="2136" spans="1:1" x14ac:dyDescent="0.25">
      <c r="A2136" s="13"/>
    </row>
    <row r="2137" spans="1:1" x14ac:dyDescent="0.25">
      <c r="A2137" s="13"/>
    </row>
    <row r="2138" spans="1:1" x14ac:dyDescent="0.25">
      <c r="A2138" s="13"/>
    </row>
    <row r="2139" spans="1:1" x14ac:dyDescent="0.25">
      <c r="A2139" s="13"/>
    </row>
    <row r="2140" spans="1:1" x14ac:dyDescent="0.25">
      <c r="A2140" s="13"/>
    </row>
    <row r="2141" spans="1:1" x14ac:dyDescent="0.25">
      <c r="A2141" s="13"/>
    </row>
    <row r="2142" spans="1:1" x14ac:dyDescent="0.25">
      <c r="A2142" s="13"/>
    </row>
    <row r="2143" spans="1:1" x14ac:dyDescent="0.25">
      <c r="A2143" s="13"/>
    </row>
    <row r="2144" spans="1:1" x14ac:dyDescent="0.25">
      <c r="A2144" s="13"/>
    </row>
    <row r="2145" spans="1:1" x14ac:dyDescent="0.25">
      <c r="A2145" s="13"/>
    </row>
    <row r="2146" spans="1:1" x14ac:dyDescent="0.25">
      <c r="A2146" s="13"/>
    </row>
    <row r="2147" spans="1:1" x14ac:dyDescent="0.25">
      <c r="A2147" s="13"/>
    </row>
    <row r="2148" spans="1:1" x14ac:dyDescent="0.25">
      <c r="A2148" s="13"/>
    </row>
    <row r="2149" spans="1:1" x14ac:dyDescent="0.25">
      <c r="A2149" s="13"/>
    </row>
    <row r="2150" spans="1:1" x14ac:dyDescent="0.25">
      <c r="A2150" s="13"/>
    </row>
    <row r="2151" spans="1:1" x14ac:dyDescent="0.25">
      <c r="A2151" s="13"/>
    </row>
    <row r="2152" spans="1:1" x14ac:dyDescent="0.25">
      <c r="A2152" s="13"/>
    </row>
    <row r="2153" spans="1:1" x14ac:dyDescent="0.25">
      <c r="A2153" s="13"/>
    </row>
    <row r="2154" spans="1:1" x14ac:dyDescent="0.25">
      <c r="A2154" s="13"/>
    </row>
    <row r="2155" spans="1:1" x14ac:dyDescent="0.25">
      <c r="A2155" s="13"/>
    </row>
    <row r="2156" spans="1:1" x14ac:dyDescent="0.25">
      <c r="A2156" s="13"/>
    </row>
    <row r="2157" spans="1:1" x14ac:dyDescent="0.25">
      <c r="A2157" s="13"/>
    </row>
    <row r="2158" spans="1:1" x14ac:dyDescent="0.25">
      <c r="A2158" s="13"/>
    </row>
    <row r="2159" spans="1:1" x14ac:dyDescent="0.25">
      <c r="A2159" s="13"/>
    </row>
    <row r="2160" spans="1:1" x14ac:dyDescent="0.25">
      <c r="A2160" s="13"/>
    </row>
    <row r="2161" spans="1:1" x14ac:dyDescent="0.25">
      <c r="A2161" s="13"/>
    </row>
    <row r="2162" spans="1:1" x14ac:dyDescent="0.25">
      <c r="A2162" s="13"/>
    </row>
    <row r="2163" spans="1:1" x14ac:dyDescent="0.25">
      <c r="A2163" s="13"/>
    </row>
    <row r="2164" spans="1:1" x14ac:dyDescent="0.25">
      <c r="A2164" s="13"/>
    </row>
    <row r="2165" spans="1:1" x14ac:dyDescent="0.25">
      <c r="A2165" s="13"/>
    </row>
    <row r="2166" spans="1:1" x14ac:dyDescent="0.25">
      <c r="A2166" s="13"/>
    </row>
    <row r="2167" spans="1:1" x14ac:dyDescent="0.25">
      <c r="A2167" s="13"/>
    </row>
    <row r="2168" spans="1:1" x14ac:dyDescent="0.25">
      <c r="A2168" s="13"/>
    </row>
    <row r="2169" spans="1:1" x14ac:dyDescent="0.25">
      <c r="A2169" s="13"/>
    </row>
    <row r="2170" spans="1:1" x14ac:dyDescent="0.25">
      <c r="A2170" s="13"/>
    </row>
    <row r="2171" spans="1:1" x14ac:dyDescent="0.25">
      <c r="A2171" s="13"/>
    </row>
    <row r="2172" spans="1:1" x14ac:dyDescent="0.25">
      <c r="A2172" s="13"/>
    </row>
    <row r="2173" spans="1:1" x14ac:dyDescent="0.25">
      <c r="A2173" s="13"/>
    </row>
    <row r="2174" spans="1:1" x14ac:dyDescent="0.25">
      <c r="A2174" s="13"/>
    </row>
    <row r="2175" spans="1:1" x14ac:dyDescent="0.25">
      <c r="A2175" s="13"/>
    </row>
    <row r="2176" spans="1:1" x14ac:dyDescent="0.25">
      <c r="A2176" s="13"/>
    </row>
    <row r="2177" spans="1:1" x14ac:dyDescent="0.25">
      <c r="A2177" s="13"/>
    </row>
    <row r="2178" spans="1:1" x14ac:dyDescent="0.25">
      <c r="A2178" s="13"/>
    </row>
    <row r="2179" spans="1:1" x14ac:dyDescent="0.25">
      <c r="A2179" s="13"/>
    </row>
    <row r="2180" spans="1:1" x14ac:dyDescent="0.25">
      <c r="A2180" s="13"/>
    </row>
    <row r="2181" spans="1:1" x14ac:dyDescent="0.25">
      <c r="A2181" s="13"/>
    </row>
    <row r="2182" spans="1:1" x14ac:dyDescent="0.25">
      <c r="A2182" s="13"/>
    </row>
    <row r="2183" spans="1:1" x14ac:dyDescent="0.25">
      <c r="A2183" s="13"/>
    </row>
    <row r="2184" spans="1:1" x14ac:dyDescent="0.25">
      <c r="A2184" s="13"/>
    </row>
    <row r="2185" spans="1:1" x14ac:dyDescent="0.25">
      <c r="A2185" s="13"/>
    </row>
    <row r="2186" spans="1:1" x14ac:dyDescent="0.25">
      <c r="A2186" s="13"/>
    </row>
    <row r="2187" spans="1:1" x14ac:dyDescent="0.25">
      <c r="A2187" s="13"/>
    </row>
    <row r="2188" spans="1:1" x14ac:dyDescent="0.25">
      <c r="A2188" s="13"/>
    </row>
    <row r="2189" spans="1:1" x14ac:dyDescent="0.25">
      <c r="A2189" s="13"/>
    </row>
    <row r="2190" spans="1:1" x14ac:dyDescent="0.25">
      <c r="A2190" s="13"/>
    </row>
    <row r="2191" spans="1:1" x14ac:dyDescent="0.25">
      <c r="A2191" s="13"/>
    </row>
    <row r="2192" spans="1:1" x14ac:dyDescent="0.25">
      <c r="A2192" s="13"/>
    </row>
    <row r="2193" spans="1:1" x14ac:dyDescent="0.25">
      <c r="A2193" s="13"/>
    </row>
    <row r="2194" spans="1:1" x14ac:dyDescent="0.25">
      <c r="A2194" s="13"/>
    </row>
    <row r="2195" spans="1:1" x14ac:dyDescent="0.25">
      <c r="A2195" s="13"/>
    </row>
    <row r="2196" spans="1:1" x14ac:dyDescent="0.25">
      <c r="A2196" s="13"/>
    </row>
    <row r="2197" spans="1:1" x14ac:dyDescent="0.25">
      <c r="A2197" s="13"/>
    </row>
    <row r="2198" spans="1:1" x14ac:dyDescent="0.25">
      <c r="A2198" s="13"/>
    </row>
    <row r="2199" spans="1:1" x14ac:dyDescent="0.25">
      <c r="A2199" s="13"/>
    </row>
    <row r="2200" spans="1:1" x14ac:dyDescent="0.25">
      <c r="A2200" s="13"/>
    </row>
    <row r="2201" spans="1:1" x14ac:dyDescent="0.25">
      <c r="A2201" s="13"/>
    </row>
    <row r="2202" spans="1:1" x14ac:dyDescent="0.25">
      <c r="A2202" s="13"/>
    </row>
    <row r="2203" spans="1:1" x14ac:dyDescent="0.25">
      <c r="A2203" s="13"/>
    </row>
    <row r="2204" spans="1:1" x14ac:dyDescent="0.25">
      <c r="A2204" s="13"/>
    </row>
    <row r="2205" spans="1:1" x14ac:dyDescent="0.25">
      <c r="A2205" s="13"/>
    </row>
    <row r="2206" spans="1:1" x14ac:dyDescent="0.25">
      <c r="A2206" s="13"/>
    </row>
    <row r="2207" spans="1:1" x14ac:dyDescent="0.25">
      <c r="A2207" s="13"/>
    </row>
    <row r="2208" spans="1:1" x14ac:dyDescent="0.25">
      <c r="A2208" s="13"/>
    </row>
    <row r="2209" spans="1:1" x14ac:dyDescent="0.25">
      <c r="A2209" s="13"/>
    </row>
    <row r="2210" spans="1:1" x14ac:dyDescent="0.25">
      <c r="A2210" s="13"/>
    </row>
    <row r="2211" spans="1:1" x14ac:dyDescent="0.25">
      <c r="A2211" s="13"/>
    </row>
    <row r="2212" spans="1:1" x14ac:dyDescent="0.25">
      <c r="A2212" s="13"/>
    </row>
    <row r="2213" spans="1:1" x14ac:dyDescent="0.25">
      <c r="A2213" s="13"/>
    </row>
    <row r="2214" spans="1:1" x14ac:dyDescent="0.25">
      <c r="A2214" s="13"/>
    </row>
    <row r="2215" spans="1:1" x14ac:dyDescent="0.25">
      <c r="A2215" s="13"/>
    </row>
    <row r="2216" spans="1:1" x14ac:dyDescent="0.25">
      <c r="A2216" s="13"/>
    </row>
    <row r="2217" spans="1:1" x14ac:dyDescent="0.25">
      <c r="A2217" s="13"/>
    </row>
    <row r="2218" spans="1:1" x14ac:dyDescent="0.25">
      <c r="A2218" s="13"/>
    </row>
    <row r="2219" spans="1:1" x14ac:dyDescent="0.25">
      <c r="A2219" s="13"/>
    </row>
    <row r="2220" spans="1:1" x14ac:dyDescent="0.25">
      <c r="A2220" s="13"/>
    </row>
    <row r="2221" spans="1:1" x14ac:dyDescent="0.25">
      <c r="A2221" s="13"/>
    </row>
    <row r="2222" spans="1:1" x14ac:dyDescent="0.25">
      <c r="A2222" s="13"/>
    </row>
    <row r="2223" spans="1:1" x14ac:dyDescent="0.25">
      <c r="A2223" s="13"/>
    </row>
    <row r="2224" spans="1:1" x14ac:dyDescent="0.25">
      <c r="A2224" s="13"/>
    </row>
    <row r="2225" spans="1:1" x14ac:dyDescent="0.25">
      <c r="A2225" s="13"/>
    </row>
    <row r="2226" spans="1:1" x14ac:dyDescent="0.25">
      <c r="A2226" s="13"/>
    </row>
    <row r="2227" spans="1:1" x14ac:dyDescent="0.25">
      <c r="A2227" s="13"/>
    </row>
    <row r="2228" spans="1:1" x14ac:dyDescent="0.25">
      <c r="A2228" s="13"/>
    </row>
    <row r="2229" spans="1:1" x14ac:dyDescent="0.25">
      <c r="A2229" s="13"/>
    </row>
    <row r="2230" spans="1:1" x14ac:dyDescent="0.25">
      <c r="A2230" s="13"/>
    </row>
    <row r="2231" spans="1:1" x14ac:dyDescent="0.25">
      <c r="A2231" s="13"/>
    </row>
    <row r="2232" spans="1:1" x14ac:dyDescent="0.25">
      <c r="A2232" s="13"/>
    </row>
    <row r="2233" spans="1:1" x14ac:dyDescent="0.25">
      <c r="A2233" s="13"/>
    </row>
    <row r="2234" spans="1:1" x14ac:dyDescent="0.25">
      <c r="A2234" s="13"/>
    </row>
    <row r="2235" spans="1:1" x14ac:dyDescent="0.25">
      <c r="A2235" s="13"/>
    </row>
    <row r="2236" spans="1:1" x14ac:dyDescent="0.25">
      <c r="A2236" s="13"/>
    </row>
    <row r="2237" spans="1:1" x14ac:dyDescent="0.25">
      <c r="A2237" s="13"/>
    </row>
    <row r="2238" spans="1:1" x14ac:dyDescent="0.25">
      <c r="A2238" s="13"/>
    </row>
    <row r="2239" spans="1:1" x14ac:dyDescent="0.25">
      <c r="A2239" s="13"/>
    </row>
    <row r="2240" spans="1:1" x14ac:dyDescent="0.25">
      <c r="A2240" s="13"/>
    </row>
    <row r="2241" spans="1:1" x14ac:dyDescent="0.25">
      <c r="A2241" s="13"/>
    </row>
    <row r="2242" spans="1:1" x14ac:dyDescent="0.25">
      <c r="A2242" s="13"/>
    </row>
    <row r="2243" spans="1:1" x14ac:dyDescent="0.25">
      <c r="A2243" s="13"/>
    </row>
    <row r="2244" spans="1:1" x14ac:dyDescent="0.25">
      <c r="A2244" s="13"/>
    </row>
    <row r="2245" spans="1:1" x14ac:dyDescent="0.25">
      <c r="A2245" s="13"/>
    </row>
    <row r="2246" spans="1:1" x14ac:dyDescent="0.25">
      <c r="A2246" s="13"/>
    </row>
    <row r="2247" spans="1:1" x14ac:dyDescent="0.25">
      <c r="A2247" s="13"/>
    </row>
    <row r="2248" spans="1:1" x14ac:dyDescent="0.25">
      <c r="A2248" s="13"/>
    </row>
    <row r="2249" spans="1:1" x14ac:dyDescent="0.25">
      <c r="A2249" s="13"/>
    </row>
    <row r="2250" spans="1:1" x14ac:dyDescent="0.25">
      <c r="A2250" s="13"/>
    </row>
    <row r="2251" spans="1:1" x14ac:dyDescent="0.25">
      <c r="A2251" s="13"/>
    </row>
    <row r="2252" spans="1:1" x14ac:dyDescent="0.25">
      <c r="A2252" s="13"/>
    </row>
    <row r="2253" spans="1:1" x14ac:dyDescent="0.25">
      <c r="A2253" s="13"/>
    </row>
    <row r="2254" spans="1:1" x14ac:dyDescent="0.25">
      <c r="A2254" s="13"/>
    </row>
    <row r="2255" spans="1:1" x14ac:dyDescent="0.25">
      <c r="A2255" s="13"/>
    </row>
    <row r="2256" spans="1:1" x14ac:dyDescent="0.25">
      <c r="A2256" s="13"/>
    </row>
    <row r="2257" spans="1:1" x14ac:dyDescent="0.25">
      <c r="A2257" s="13"/>
    </row>
    <row r="2258" spans="1:1" x14ac:dyDescent="0.25">
      <c r="A2258" s="13"/>
    </row>
    <row r="2259" spans="1:1" x14ac:dyDescent="0.25">
      <c r="A2259" s="13"/>
    </row>
    <row r="2260" spans="1:1" x14ac:dyDescent="0.25">
      <c r="A2260" s="13"/>
    </row>
    <row r="2261" spans="1:1" x14ac:dyDescent="0.25">
      <c r="A2261" s="13"/>
    </row>
    <row r="2262" spans="1:1" x14ac:dyDescent="0.25">
      <c r="A2262" s="13"/>
    </row>
    <row r="2263" spans="1:1" x14ac:dyDescent="0.25">
      <c r="A2263" s="13"/>
    </row>
    <row r="2264" spans="1:1" x14ac:dyDescent="0.25">
      <c r="A2264" s="13"/>
    </row>
    <row r="2265" spans="1:1" x14ac:dyDescent="0.25">
      <c r="A2265" s="13"/>
    </row>
    <row r="2266" spans="1:1" x14ac:dyDescent="0.25">
      <c r="A2266" s="13"/>
    </row>
    <row r="2267" spans="1:1" x14ac:dyDescent="0.25">
      <c r="A2267" s="13"/>
    </row>
    <row r="2268" spans="1:1" x14ac:dyDescent="0.25">
      <c r="A2268" s="13"/>
    </row>
    <row r="2269" spans="1:1" x14ac:dyDescent="0.25">
      <c r="A2269" s="13"/>
    </row>
    <row r="2270" spans="1:1" x14ac:dyDescent="0.25">
      <c r="A2270" s="13"/>
    </row>
    <row r="2271" spans="1:1" x14ac:dyDescent="0.25">
      <c r="A2271" s="13"/>
    </row>
    <row r="2272" spans="1:1" x14ac:dyDescent="0.25">
      <c r="A2272" s="13"/>
    </row>
    <row r="2273" spans="1:1" x14ac:dyDescent="0.25">
      <c r="A2273" s="13"/>
    </row>
    <row r="2274" spans="1:1" x14ac:dyDescent="0.25">
      <c r="A2274" s="13"/>
    </row>
    <row r="2275" spans="1:1" x14ac:dyDescent="0.25">
      <c r="A2275" s="13"/>
    </row>
    <row r="2276" spans="1:1" x14ac:dyDescent="0.25">
      <c r="A2276" s="13"/>
    </row>
    <row r="2277" spans="1:1" x14ac:dyDescent="0.25">
      <c r="A2277" s="13"/>
    </row>
    <row r="2278" spans="1:1" x14ac:dyDescent="0.25">
      <c r="A2278" s="13"/>
    </row>
    <row r="2279" spans="1:1" x14ac:dyDescent="0.25">
      <c r="A2279" s="13"/>
    </row>
    <row r="2280" spans="1:1" x14ac:dyDescent="0.25">
      <c r="A2280" s="13"/>
    </row>
    <row r="2281" spans="1:1" x14ac:dyDescent="0.25">
      <c r="A2281" s="13"/>
    </row>
    <row r="2282" spans="1:1" x14ac:dyDescent="0.25">
      <c r="A2282" s="13"/>
    </row>
    <row r="2283" spans="1:1" x14ac:dyDescent="0.25">
      <c r="A2283" s="13"/>
    </row>
    <row r="2284" spans="1:1" x14ac:dyDescent="0.25">
      <c r="A2284" s="13"/>
    </row>
    <row r="2285" spans="1:1" x14ac:dyDescent="0.25">
      <c r="A2285" s="13"/>
    </row>
    <row r="2286" spans="1:1" x14ac:dyDescent="0.25">
      <c r="A2286" s="13"/>
    </row>
    <row r="2287" spans="1:1" x14ac:dyDescent="0.25">
      <c r="A2287" s="13"/>
    </row>
    <row r="2288" spans="1:1" x14ac:dyDescent="0.25">
      <c r="A2288" s="13"/>
    </row>
    <row r="2289" spans="1:1" x14ac:dyDescent="0.25">
      <c r="A2289" s="13"/>
    </row>
    <row r="2290" spans="1:1" x14ac:dyDescent="0.25">
      <c r="A2290" s="13"/>
    </row>
    <row r="2291" spans="1:1" x14ac:dyDescent="0.25">
      <c r="A2291" s="13"/>
    </row>
    <row r="2292" spans="1:1" x14ac:dyDescent="0.25">
      <c r="A2292" s="13"/>
    </row>
    <row r="2293" spans="1:1" x14ac:dyDescent="0.25">
      <c r="A2293" s="13"/>
    </row>
    <row r="2294" spans="1:1" x14ac:dyDescent="0.25">
      <c r="A2294" s="13"/>
    </row>
    <row r="2295" spans="1:1" x14ac:dyDescent="0.25">
      <c r="A2295" s="13"/>
    </row>
    <row r="2296" spans="1:1" x14ac:dyDescent="0.25">
      <c r="A2296" s="13"/>
    </row>
    <row r="2297" spans="1:1" x14ac:dyDescent="0.25">
      <c r="A2297" s="13"/>
    </row>
    <row r="2298" spans="1:1" x14ac:dyDescent="0.25">
      <c r="A2298" s="13"/>
    </row>
    <row r="2299" spans="1:1" x14ac:dyDescent="0.25">
      <c r="A2299" s="13"/>
    </row>
    <row r="2300" spans="1:1" x14ac:dyDescent="0.25">
      <c r="A2300" s="13"/>
    </row>
    <row r="2301" spans="1:1" x14ac:dyDescent="0.25">
      <c r="A2301" s="13"/>
    </row>
    <row r="2302" spans="1:1" x14ac:dyDescent="0.25">
      <c r="A2302" s="13"/>
    </row>
    <row r="2303" spans="1:1" x14ac:dyDescent="0.25">
      <c r="A2303" s="13"/>
    </row>
    <row r="2304" spans="1:1" x14ac:dyDescent="0.25">
      <c r="A2304" s="13"/>
    </row>
    <row r="2305" spans="1:1" x14ac:dyDescent="0.25">
      <c r="A2305" s="13"/>
    </row>
    <row r="2306" spans="1:1" x14ac:dyDescent="0.25">
      <c r="A2306" s="13"/>
    </row>
    <row r="2307" spans="1:1" x14ac:dyDescent="0.25">
      <c r="A2307" s="13"/>
    </row>
    <row r="2308" spans="1:1" x14ac:dyDescent="0.25">
      <c r="A2308" s="13"/>
    </row>
    <row r="2309" spans="1:1" x14ac:dyDescent="0.25">
      <c r="A2309" s="13"/>
    </row>
    <row r="2310" spans="1:1" x14ac:dyDescent="0.25">
      <c r="A2310" s="13"/>
    </row>
    <row r="2311" spans="1:1" x14ac:dyDescent="0.25">
      <c r="A2311" s="13"/>
    </row>
    <row r="2312" spans="1:1" x14ac:dyDescent="0.25">
      <c r="A2312" s="13"/>
    </row>
    <row r="2313" spans="1:1" x14ac:dyDescent="0.25">
      <c r="A2313" s="13"/>
    </row>
    <row r="2314" spans="1:1" x14ac:dyDescent="0.25">
      <c r="A2314" s="13"/>
    </row>
    <row r="2315" spans="1:1" x14ac:dyDescent="0.25">
      <c r="A2315" s="13"/>
    </row>
    <row r="2316" spans="1:1" x14ac:dyDescent="0.25">
      <c r="A2316" s="13"/>
    </row>
    <row r="2317" spans="1:1" x14ac:dyDescent="0.25">
      <c r="A2317" s="13"/>
    </row>
    <row r="2318" spans="1:1" x14ac:dyDescent="0.25">
      <c r="A2318" s="13"/>
    </row>
    <row r="2319" spans="1:1" x14ac:dyDescent="0.25">
      <c r="A2319" s="13"/>
    </row>
    <row r="2320" spans="1:1" x14ac:dyDescent="0.25">
      <c r="A2320" s="13"/>
    </row>
    <row r="2321" spans="1:1" x14ac:dyDescent="0.25">
      <c r="A2321" s="13"/>
    </row>
    <row r="2322" spans="1:1" x14ac:dyDescent="0.25">
      <c r="A2322" s="13"/>
    </row>
    <row r="2323" spans="1:1" x14ac:dyDescent="0.25">
      <c r="A2323" s="13"/>
    </row>
    <row r="2324" spans="1:1" x14ac:dyDescent="0.25">
      <c r="A2324" s="13"/>
    </row>
    <row r="2325" spans="1:1" x14ac:dyDescent="0.25">
      <c r="A2325" s="13"/>
    </row>
    <row r="2326" spans="1:1" x14ac:dyDescent="0.25">
      <c r="A2326" s="13"/>
    </row>
    <row r="2327" spans="1:1" x14ac:dyDescent="0.25">
      <c r="A2327" s="13"/>
    </row>
    <row r="2328" spans="1:1" x14ac:dyDescent="0.25">
      <c r="A2328" s="13"/>
    </row>
    <row r="2329" spans="1:1" x14ac:dyDescent="0.25">
      <c r="A2329" s="13"/>
    </row>
    <row r="2330" spans="1:1" x14ac:dyDescent="0.25">
      <c r="A2330" s="13"/>
    </row>
    <row r="2331" spans="1:1" x14ac:dyDescent="0.25">
      <c r="A2331" s="13"/>
    </row>
    <row r="2332" spans="1:1" x14ac:dyDescent="0.25">
      <c r="A2332" s="13"/>
    </row>
    <row r="2333" spans="1:1" x14ac:dyDescent="0.25">
      <c r="A2333" s="13"/>
    </row>
    <row r="2334" spans="1:1" x14ac:dyDescent="0.25">
      <c r="A2334" s="13"/>
    </row>
    <row r="2335" spans="1:1" x14ac:dyDescent="0.25">
      <c r="A2335" s="13"/>
    </row>
    <row r="2336" spans="1:1" x14ac:dyDescent="0.25">
      <c r="A2336" s="13"/>
    </row>
    <row r="2337" spans="1:1" x14ac:dyDescent="0.25">
      <c r="A2337" s="13"/>
    </row>
    <row r="2338" spans="1:1" x14ac:dyDescent="0.25">
      <c r="A2338" s="13"/>
    </row>
    <row r="2339" spans="1:1" x14ac:dyDescent="0.25">
      <c r="A2339" s="13"/>
    </row>
    <row r="2340" spans="1:1" x14ac:dyDescent="0.25">
      <c r="A2340" s="13"/>
    </row>
    <row r="2341" spans="1:1" x14ac:dyDescent="0.25">
      <c r="A2341" s="13"/>
    </row>
    <row r="2342" spans="1:1" x14ac:dyDescent="0.25">
      <c r="A2342" s="13"/>
    </row>
    <row r="2343" spans="1:1" x14ac:dyDescent="0.25">
      <c r="A2343" s="13"/>
    </row>
    <row r="2344" spans="1:1" x14ac:dyDescent="0.25">
      <c r="A2344" s="13"/>
    </row>
    <row r="2345" spans="1:1" x14ac:dyDescent="0.25">
      <c r="A2345" s="13"/>
    </row>
    <row r="2346" spans="1:1" x14ac:dyDescent="0.25">
      <c r="A2346" s="13"/>
    </row>
    <row r="2347" spans="1:1" x14ac:dyDescent="0.25">
      <c r="A2347" s="13"/>
    </row>
    <row r="2348" spans="1:1" x14ac:dyDescent="0.25">
      <c r="A2348" s="13"/>
    </row>
    <row r="2349" spans="1:1" x14ac:dyDescent="0.25">
      <c r="A2349" s="13"/>
    </row>
    <row r="2350" spans="1:1" x14ac:dyDescent="0.25">
      <c r="A2350" s="13"/>
    </row>
    <row r="2351" spans="1:1" x14ac:dyDescent="0.25">
      <c r="A2351" s="13"/>
    </row>
    <row r="2352" spans="1:1" x14ac:dyDescent="0.25">
      <c r="A2352" s="13"/>
    </row>
    <row r="2353" spans="1:1" x14ac:dyDescent="0.25">
      <c r="A2353" s="13"/>
    </row>
    <row r="2354" spans="1:1" x14ac:dyDescent="0.25">
      <c r="A2354" s="13"/>
    </row>
    <row r="2355" spans="1:1" x14ac:dyDescent="0.25">
      <c r="A2355" s="13"/>
    </row>
    <row r="2356" spans="1:1" x14ac:dyDescent="0.25">
      <c r="A2356" s="13"/>
    </row>
    <row r="2357" spans="1:1" x14ac:dyDescent="0.25">
      <c r="A2357" s="13"/>
    </row>
    <row r="2358" spans="1:1" x14ac:dyDescent="0.25">
      <c r="A2358" s="13"/>
    </row>
    <row r="2359" spans="1:1" x14ac:dyDescent="0.25">
      <c r="A2359" s="13"/>
    </row>
    <row r="2360" spans="1:1" x14ac:dyDescent="0.25">
      <c r="A2360" s="13"/>
    </row>
    <row r="2361" spans="1:1" x14ac:dyDescent="0.25">
      <c r="A2361" s="13"/>
    </row>
    <row r="2362" spans="1:1" x14ac:dyDescent="0.25">
      <c r="A2362" s="13"/>
    </row>
    <row r="2363" spans="1:1" x14ac:dyDescent="0.25">
      <c r="A2363" s="13"/>
    </row>
    <row r="2364" spans="1:1" x14ac:dyDescent="0.25">
      <c r="A2364" s="13"/>
    </row>
    <row r="2365" spans="1:1" x14ac:dyDescent="0.25">
      <c r="A2365" s="13"/>
    </row>
    <row r="2366" spans="1:1" x14ac:dyDescent="0.25">
      <c r="A2366" s="13"/>
    </row>
    <row r="2367" spans="1:1" x14ac:dyDescent="0.25">
      <c r="A2367" s="13"/>
    </row>
    <row r="2368" spans="1:1" x14ac:dyDescent="0.25">
      <c r="A2368" s="13"/>
    </row>
    <row r="2369" spans="1:1" x14ac:dyDescent="0.25">
      <c r="A2369" s="13"/>
    </row>
    <row r="2370" spans="1:1" x14ac:dyDescent="0.25">
      <c r="A2370" s="13"/>
    </row>
    <row r="2371" spans="1:1" x14ac:dyDescent="0.25">
      <c r="A2371" s="13"/>
    </row>
    <row r="2372" spans="1:1" x14ac:dyDescent="0.25">
      <c r="A2372" s="13"/>
    </row>
    <row r="2373" spans="1:1" x14ac:dyDescent="0.25">
      <c r="A2373" s="13"/>
    </row>
    <row r="2374" spans="1:1" x14ac:dyDescent="0.25">
      <c r="A2374" s="13"/>
    </row>
    <row r="2375" spans="1:1" x14ac:dyDescent="0.25">
      <c r="A2375" s="13"/>
    </row>
    <row r="2376" spans="1:1" x14ac:dyDescent="0.25">
      <c r="A2376" s="13"/>
    </row>
    <row r="2377" spans="1:1" x14ac:dyDescent="0.25">
      <c r="A2377" s="13"/>
    </row>
    <row r="2378" spans="1:1" x14ac:dyDescent="0.25">
      <c r="A2378" s="13"/>
    </row>
    <row r="2379" spans="1:1" x14ac:dyDescent="0.25">
      <c r="A2379" s="13"/>
    </row>
    <row r="2380" spans="1:1" x14ac:dyDescent="0.25">
      <c r="A2380" s="13"/>
    </row>
    <row r="2381" spans="1:1" x14ac:dyDescent="0.25">
      <c r="A2381" s="13"/>
    </row>
    <row r="2382" spans="1:1" x14ac:dyDescent="0.25">
      <c r="A2382" s="13"/>
    </row>
    <row r="2383" spans="1:1" x14ac:dyDescent="0.25">
      <c r="A2383" s="13"/>
    </row>
    <row r="2384" spans="1:1" x14ac:dyDescent="0.25">
      <c r="A2384" s="13"/>
    </row>
    <row r="2385" spans="1:1" x14ac:dyDescent="0.25">
      <c r="A2385" s="13"/>
    </row>
    <row r="2386" spans="1:1" x14ac:dyDescent="0.25">
      <c r="A2386" s="13"/>
    </row>
    <row r="2387" spans="1:1" x14ac:dyDescent="0.25">
      <c r="A2387" s="13"/>
    </row>
    <row r="2388" spans="1:1" x14ac:dyDescent="0.25">
      <c r="A2388" s="13"/>
    </row>
    <row r="2389" spans="1:1" x14ac:dyDescent="0.25">
      <c r="A2389" s="13"/>
    </row>
    <row r="2390" spans="1:1" x14ac:dyDescent="0.25">
      <c r="A2390" s="13"/>
    </row>
    <row r="2391" spans="1:1" x14ac:dyDescent="0.25">
      <c r="A2391" s="13"/>
    </row>
    <row r="2392" spans="1:1" x14ac:dyDescent="0.25">
      <c r="A2392" s="13"/>
    </row>
    <row r="2393" spans="1:1" x14ac:dyDescent="0.25">
      <c r="A2393" s="13"/>
    </row>
    <row r="2394" spans="1:1" x14ac:dyDescent="0.25">
      <c r="A2394" s="13"/>
    </row>
    <row r="2395" spans="1:1" x14ac:dyDescent="0.25">
      <c r="A2395" s="13"/>
    </row>
    <row r="2396" spans="1:1" x14ac:dyDescent="0.25">
      <c r="A2396" s="13"/>
    </row>
    <row r="2397" spans="1:1" x14ac:dyDescent="0.25">
      <c r="A2397" s="13"/>
    </row>
    <row r="2398" spans="1:1" x14ac:dyDescent="0.25">
      <c r="A2398" s="13"/>
    </row>
    <row r="2399" spans="1:1" x14ac:dyDescent="0.25">
      <c r="A2399" s="13"/>
    </row>
    <row r="2400" spans="1:1" x14ac:dyDescent="0.25">
      <c r="A2400" s="13"/>
    </row>
    <row r="2401" spans="1:1" x14ac:dyDescent="0.25">
      <c r="A2401" s="13"/>
    </row>
    <row r="2402" spans="1:1" x14ac:dyDescent="0.25">
      <c r="A2402" s="13"/>
    </row>
    <row r="2403" spans="1:1" x14ac:dyDescent="0.25">
      <c r="A2403" s="13"/>
    </row>
    <row r="2404" spans="1:1" x14ac:dyDescent="0.25">
      <c r="A2404" s="13"/>
    </row>
    <row r="2405" spans="1:1" x14ac:dyDescent="0.25">
      <c r="A2405" s="13"/>
    </row>
    <row r="2406" spans="1:1" x14ac:dyDescent="0.25">
      <c r="A2406" s="13"/>
    </row>
    <row r="2407" spans="1:1" x14ac:dyDescent="0.25">
      <c r="A2407" s="13"/>
    </row>
    <row r="2408" spans="1:1" x14ac:dyDescent="0.25">
      <c r="A2408" s="13"/>
    </row>
    <row r="2409" spans="1:1" x14ac:dyDescent="0.25">
      <c r="A2409" s="13"/>
    </row>
    <row r="2410" spans="1:1" x14ac:dyDescent="0.25">
      <c r="A2410" s="13"/>
    </row>
    <row r="2411" spans="1:1" x14ac:dyDescent="0.25">
      <c r="A2411" s="13"/>
    </row>
    <row r="2412" spans="1:1" x14ac:dyDescent="0.25">
      <c r="A2412" s="13"/>
    </row>
    <row r="2413" spans="1:1" x14ac:dyDescent="0.25">
      <c r="A2413" s="13"/>
    </row>
    <row r="2414" spans="1:1" x14ac:dyDescent="0.25">
      <c r="A2414" s="13"/>
    </row>
    <row r="2415" spans="1:1" x14ac:dyDescent="0.25">
      <c r="A2415" s="13"/>
    </row>
    <row r="2416" spans="1:1" x14ac:dyDescent="0.25">
      <c r="A2416" s="13"/>
    </row>
    <row r="2417" spans="1:1" x14ac:dyDescent="0.25">
      <c r="A2417" s="13"/>
    </row>
    <row r="2418" spans="1:1" x14ac:dyDescent="0.25">
      <c r="A2418" s="13"/>
    </row>
    <row r="2419" spans="1:1" x14ac:dyDescent="0.25">
      <c r="A2419" s="13"/>
    </row>
    <row r="2420" spans="1:1" x14ac:dyDescent="0.25">
      <c r="A2420" s="13"/>
    </row>
    <row r="2421" spans="1:1" x14ac:dyDescent="0.25">
      <c r="A2421" s="13"/>
    </row>
    <row r="2422" spans="1:1" x14ac:dyDescent="0.25">
      <c r="A2422" s="13"/>
    </row>
    <row r="2423" spans="1:1" x14ac:dyDescent="0.25">
      <c r="A2423" s="13"/>
    </row>
    <row r="2424" spans="1:1" x14ac:dyDescent="0.25">
      <c r="A2424" s="13"/>
    </row>
    <row r="2425" spans="1:1" x14ac:dyDescent="0.25">
      <c r="A2425" s="13"/>
    </row>
    <row r="2426" spans="1:1" x14ac:dyDescent="0.25">
      <c r="A2426" s="13"/>
    </row>
    <row r="2427" spans="1:1" x14ac:dyDescent="0.25">
      <c r="A2427" s="13"/>
    </row>
    <row r="2428" spans="1:1" x14ac:dyDescent="0.25">
      <c r="A2428" s="13"/>
    </row>
    <row r="2429" spans="1:1" x14ac:dyDescent="0.25">
      <c r="A2429" s="13"/>
    </row>
    <row r="2430" spans="1:1" x14ac:dyDescent="0.25">
      <c r="A2430" s="13"/>
    </row>
    <row r="2431" spans="1:1" x14ac:dyDescent="0.25">
      <c r="A2431" s="13"/>
    </row>
    <row r="2432" spans="1:1" x14ac:dyDescent="0.25">
      <c r="A2432" s="13"/>
    </row>
    <row r="2433" spans="1:1" x14ac:dyDescent="0.25">
      <c r="A2433" s="13"/>
    </row>
    <row r="2434" spans="1:1" x14ac:dyDescent="0.25">
      <c r="A2434" s="13"/>
    </row>
    <row r="2435" spans="1:1" x14ac:dyDescent="0.25">
      <c r="A2435" s="13"/>
    </row>
    <row r="2436" spans="1:1" x14ac:dyDescent="0.25">
      <c r="A2436" s="13"/>
    </row>
    <row r="2437" spans="1:1" x14ac:dyDescent="0.25">
      <c r="A2437" s="13"/>
    </row>
    <row r="2438" spans="1:1" x14ac:dyDescent="0.25">
      <c r="A2438" s="13"/>
    </row>
    <row r="2439" spans="1:1" x14ac:dyDescent="0.25">
      <c r="A2439" s="13"/>
    </row>
    <row r="2440" spans="1:1" x14ac:dyDescent="0.25">
      <c r="A2440" s="13"/>
    </row>
    <row r="2441" spans="1:1" x14ac:dyDescent="0.25">
      <c r="A2441" s="13"/>
    </row>
    <row r="2442" spans="1:1" x14ac:dyDescent="0.25">
      <c r="A2442" s="13"/>
    </row>
    <row r="2443" spans="1:1" x14ac:dyDescent="0.25">
      <c r="A2443" s="13"/>
    </row>
    <row r="2444" spans="1:1" x14ac:dyDescent="0.25">
      <c r="A2444" s="13"/>
    </row>
    <row r="2445" spans="1:1" x14ac:dyDescent="0.25">
      <c r="A2445" s="13"/>
    </row>
    <row r="2446" spans="1:1" x14ac:dyDescent="0.25">
      <c r="A2446" s="13"/>
    </row>
    <row r="2447" spans="1:1" x14ac:dyDescent="0.25">
      <c r="A2447" s="13"/>
    </row>
    <row r="2448" spans="1:1" x14ac:dyDescent="0.25">
      <c r="A2448" s="13"/>
    </row>
    <row r="2449" spans="1:1" x14ac:dyDescent="0.25">
      <c r="A2449" s="13"/>
    </row>
    <row r="2450" spans="1:1" x14ac:dyDescent="0.25">
      <c r="A2450" s="13"/>
    </row>
    <row r="2451" spans="1:1" x14ac:dyDescent="0.25">
      <c r="A2451" s="13"/>
    </row>
    <row r="2452" spans="1:1" x14ac:dyDescent="0.25">
      <c r="A2452" s="13"/>
    </row>
    <row r="2453" spans="1:1" x14ac:dyDescent="0.25">
      <c r="A2453" s="13"/>
    </row>
    <row r="2454" spans="1:1" x14ac:dyDescent="0.25">
      <c r="A2454" s="13"/>
    </row>
    <row r="2455" spans="1:1" x14ac:dyDescent="0.25">
      <c r="A2455" s="13"/>
    </row>
    <row r="2456" spans="1:1" x14ac:dyDescent="0.25">
      <c r="A2456" s="13"/>
    </row>
    <row r="2457" spans="1:1" x14ac:dyDescent="0.25">
      <c r="A2457" s="13"/>
    </row>
    <row r="2458" spans="1:1" x14ac:dyDescent="0.25">
      <c r="A2458" s="13"/>
    </row>
    <row r="2459" spans="1:1" x14ac:dyDescent="0.25">
      <c r="A2459" s="13"/>
    </row>
    <row r="2460" spans="1:1" x14ac:dyDescent="0.25">
      <c r="A2460" s="13"/>
    </row>
    <row r="2461" spans="1:1" x14ac:dyDescent="0.25">
      <c r="A2461" s="13"/>
    </row>
    <row r="2462" spans="1:1" x14ac:dyDescent="0.25">
      <c r="A2462" s="13"/>
    </row>
    <row r="2463" spans="1:1" x14ac:dyDescent="0.25">
      <c r="A2463" s="13"/>
    </row>
    <row r="2464" spans="1:1" x14ac:dyDescent="0.25">
      <c r="A2464" s="13"/>
    </row>
    <row r="2465" spans="1:1" x14ac:dyDescent="0.25">
      <c r="A2465" s="13"/>
    </row>
    <row r="2466" spans="1:1" x14ac:dyDescent="0.25">
      <c r="A2466" s="13"/>
    </row>
    <row r="2467" spans="1:1" x14ac:dyDescent="0.25">
      <c r="A2467" s="13"/>
    </row>
    <row r="2468" spans="1:1" x14ac:dyDescent="0.25">
      <c r="A2468" s="13"/>
    </row>
    <row r="2469" spans="1:1" x14ac:dyDescent="0.25">
      <c r="A2469" s="13"/>
    </row>
    <row r="2470" spans="1:1" x14ac:dyDescent="0.25">
      <c r="A2470" s="13"/>
    </row>
    <row r="2471" spans="1:1" x14ac:dyDescent="0.25">
      <c r="A2471" s="13"/>
    </row>
    <row r="2472" spans="1:1" x14ac:dyDescent="0.25">
      <c r="A2472" s="13"/>
    </row>
    <row r="2473" spans="1:1" x14ac:dyDescent="0.25">
      <c r="A2473" s="13"/>
    </row>
    <row r="2474" spans="1:1" x14ac:dyDescent="0.25">
      <c r="A2474" s="13"/>
    </row>
    <row r="2475" spans="1:1" x14ac:dyDescent="0.25">
      <c r="A2475" s="13"/>
    </row>
    <row r="2476" spans="1:1" x14ac:dyDescent="0.25">
      <c r="A2476" s="13"/>
    </row>
    <row r="2477" spans="1:1" x14ac:dyDescent="0.25">
      <c r="A2477" s="13"/>
    </row>
    <row r="2478" spans="1:1" x14ac:dyDescent="0.25">
      <c r="A2478" s="13"/>
    </row>
    <row r="2479" spans="1:1" x14ac:dyDescent="0.25">
      <c r="A2479" s="13"/>
    </row>
    <row r="2480" spans="1:1" x14ac:dyDescent="0.25">
      <c r="A2480" s="13"/>
    </row>
    <row r="2481" spans="1:1" x14ac:dyDescent="0.25">
      <c r="A2481" s="13"/>
    </row>
    <row r="2482" spans="1:1" x14ac:dyDescent="0.25">
      <c r="A2482" s="13"/>
    </row>
    <row r="2483" spans="1:1" x14ac:dyDescent="0.25">
      <c r="A2483" s="13"/>
    </row>
    <row r="2484" spans="1:1" x14ac:dyDescent="0.25">
      <c r="A2484" s="13"/>
    </row>
    <row r="2485" spans="1:1" x14ac:dyDescent="0.25">
      <c r="A2485" s="13"/>
    </row>
    <row r="2486" spans="1:1" x14ac:dyDescent="0.25">
      <c r="A2486" s="13"/>
    </row>
    <row r="2487" spans="1:1" x14ac:dyDescent="0.25">
      <c r="A2487" s="13"/>
    </row>
    <row r="2488" spans="1:1" x14ac:dyDescent="0.25">
      <c r="A2488" s="13"/>
    </row>
    <row r="2489" spans="1:1" x14ac:dyDescent="0.25">
      <c r="A2489" s="13"/>
    </row>
    <row r="2490" spans="1:1" x14ac:dyDescent="0.25">
      <c r="A2490" s="13"/>
    </row>
    <row r="2491" spans="1:1" x14ac:dyDescent="0.25">
      <c r="A2491" s="13"/>
    </row>
    <row r="2492" spans="1:1" x14ac:dyDescent="0.25">
      <c r="A2492" s="13"/>
    </row>
    <row r="2493" spans="1:1" x14ac:dyDescent="0.25">
      <c r="A2493" s="13"/>
    </row>
    <row r="2494" spans="1:1" x14ac:dyDescent="0.25">
      <c r="A2494" s="13"/>
    </row>
    <row r="2495" spans="1:1" x14ac:dyDescent="0.25">
      <c r="A2495" s="13"/>
    </row>
    <row r="2496" spans="1:1" x14ac:dyDescent="0.25">
      <c r="A2496" s="13"/>
    </row>
    <row r="2497" spans="1:1" x14ac:dyDescent="0.25">
      <c r="A2497" s="13"/>
    </row>
    <row r="2498" spans="1:1" x14ac:dyDescent="0.25">
      <c r="A2498" s="13"/>
    </row>
    <row r="2499" spans="1:1" x14ac:dyDescent="0.25">
      <c r="A2499" s="13"/>
    </row>
    <row r="2500" spans="1:1" x14ac:dyDescent="0.25">
      <c r="A2500" s="13"/>
    </row>
    <row r="2501" spans="1:1" x14ac:dyDescent="0.25">
      <c r="A2501" s="13"/>
    </row>
    <row r="2502" spans="1:1" x14ac:dyDescent="0.25">
      <c r="A2502" s="13"/>
    </row>
    <row r="2503" spans="1:1" x14ac:dyDescent="0.25">
      <c r="A2503" s="13"/>
    </row>
    <row r="2504" spans="1:1" x14ac:dyDescent="0.25">
      <c r="A2504" s="13"/>
    </row>
    <row r="2505" spans="1:1" x14ac:dyDescent="0.25">
      <c r="A2505" s="13"/>
    </row>
    <row r="2506" spans="1:1" x14ac:dyDescent="0.25">
      <c r="A2506" s="13"/>
    </row>
    <row r="2507" spans="1:1" x14ac:dyDescent="0.25">
      <c r="A2507" s="13"/>
    </row>
    <row r="2508" spans="1:1" x14ac:dyDescent="0.25">
      <c r="A2508" s="13"/>
    </row>
    <row r="2509" spans="1:1" x14ac:dyDescent="0.25">
      <c r="A2509" s="13"/>
    </row>
    <row r="2510" spans="1:1" x14ac:dyDescent="0.25">
      <c r="A2510" s="13"/>
    </row>
    <row r="2511" spans="1:1" x14ac:dyDescent="0.25">
      <c r="A2511" s="13"/>
    </row>
    <row r="2512" spans="1:1" x14ac:dyDescent="0.25">
      <c r="A2512" s="13"/>
    </row>
    <row r="2513" spans="1:1" x14ac:dyDescent="0.25">
      <c r="A2513" s="13"/>
    </row>
    <row r="2514" spans="1:1" x14ac:dyDescent="0.25">
      <c r="A2514" s="13"/>
    </row>
    <row r="2515" spans="1:1" x14ac:dyDescent="0.25">
      <c r="A2515" s="13"/>
    </row>
    <row r="2516" spans="1:1" x14ac:dyDescent="0.25">
      <c r="A2516" s="13"/>
    </row>
    <row r="2517" spans="1:1" x14ac:dyDescent="0.25">
      <c r="A2517" s="13"/>
    </row>
    <row r="2518" spans="1:1" x14ac:dyDescent="0.25">
      <c r="A2518" s="13"/>
    </row>
    <row r="2519" spans="1:1" x14ac:dyDescent="0.25">
      <c r="A2519" s="13"/>
    </row>
    <row r="2520" spans="1:1" x14ac:dyDescent="0.25">
      <c r="A2520" s="13"/>
    </row>
    <row r="2521" spans="1:1" x14ac:dyDescent="0.25">
      <c r="A2521" s="13"/>
    </row>
    <row r="2522" spans="1:1" x14ac:dyDescent="0.25">
      <c r="A2522" s="13"/>
    </row>
    <row r="2523" spans="1:1" x14ac:dyDescent="0.25">
      <c r="A2523" s="13"/>
    </row>
    <row r="2524" spans="1:1" x14ac:dyDescent="0.25">
      <c r="A2524" s="13"/>
    </row>
    <row r="2525" spans="1:1" x14ac:dyDescent="0.25">
      <c r="A2525" s="13"/>
    </row>
    <row r="2526" spans="1:1" x14ac:dyDescent="0.25">
      <c r="A2526" s="13"/>
    </row>
    <row r="2527" spans="1:1" x14ac:dyDescent="0.25">
      <c r="A2527" s="13"/>
    </row>
    <row r="2528" spans="1:1" x14ac:dyDescent="0.25">
      <c r="A2528" s="13"/>
    </row>
    <row r="2529" spans="1:1" x14ac:dyDescent="0.25">
      <c r="A2529" s="13"/>
    </row>
    <row r="2530" spans="1:1" x14ac:dyDescent="0.25">
      <c r="A2530" s="13"/>
    </row>
    <row r="2531" spans="1:1" x14ac:dyDescent="0.25">
      <c r="A2531" s="13"/>
    </row>
    <row r="2532" spans="1:1" x14ac:dyDescent="0.25">
      <c r="A2532" s="13"/>
    </row>
    <row r="2533" spans="1:1" x14ac:dyDescent="0.25">
      <c r="A2533" s="13"/>
    </row>
    <row r="2534" spans="1:1" x14ac:dyDescent="0.25">
      <c r="A2534" s="13"/>
    </row>
    <row r="2535" spans="1:1" x14ac:dyDescent="0.25">
      <c r="A2535" s="13"/>
    </row>
    <row r="2536" spans="1:1" x14ac:dyDescent="0.25">
      <c r="A2536" s="13"/>
    </row>
    <row r="2537" spans="1:1" x14ac:dyDescent="0.25">
      <c r="A2537" s="13"/>
    </row>
    <row r="2538" spans="1:1" x14ac:dyDescent="0.25">
      <c r="A2538" s="13"/>
    </row>
    <row r="2539" spans="1:1" x14ac:dyDescent="0.25">
      <c r="A2539" s="13"/>
    </row>
    <row r="2540" spans="1:1" x14ac:dyDescent="0.25">
      <c r="A2540" s="13"/>
    </row>
    <row r="2541" spans="1:1" x14ac:dyDescent="0.25">
      <c r="A2541" s="13"/>
    </row>
    <row r="2542" spans="1:1" x14ac:dyDescent="0.25">
      <c r="A2542" s="13"/>
    </row>
    <row r="2543" spans="1:1" x14ac:dyDescent="0.25">
      <c r="A2543" s="13"/>
    </row>
    <row r="2544" spans="1:1" x14ac:dyDescent="0.25">
      <c r="A2544" s="13"/>
    </row>
    <row r="2545" spans="1:1" x14ac:dyDescent="0.25">
      <c r="A2545" s="13"/>
    </row>
    <row r="2546" spans="1:1" x14ac:dyDescent="0.25">
      <c r="A2546" s="13"/>
    </row>
    <row r="2547" spans="1:1" x14ac:dyDescent="0.25">
      <c r="A2547" s="13"/>
    </row>
    <row r="2548" spans="1:1" x14ac:dyDescent="0.25">
      <c r="A2548" s="13"/>
    </row>
    <row r="2549" spans="1:1" x14ac:dyDescent="0.25">
      <c r="A2549" s="13"/>
    </row>
    <row r="2550" spans="1:1" x14ac:dyDescent="0.25">
      <c r="A2550" s="13"/>
    </row>
    <row r="2551" spans="1:1" x14ac:dyDescent="0.25">
      <c r="A2551" s="13"/>
    </row>
    <row r="2552" spans="1:1" x14ac:dyDescent="0.25">
      <c r="A2552" s="13"/>
    </row>
    <row r="2553" spans="1:1" x14ac:dyDescent="0.25">
      <c r="A2553" s="13"/>
    </row>
    <row r="2554" spans="1:1" x14ac:dyDescent="0.25">
      <c r="A2554" s="13"/>
    </row>
    <row r="2555" spans="1:1" x14ac:dyDescent="0.25">
      <c r="A2555" s="13"/>
    </row>
    <row r="2556" spans="1:1" x14ac:dyDescent="0.25">
      <c r="A2556" s="13"/>
    </row>
    <row r="2557" spans="1:1" x14ac:dyDescent="0.25">
      <c r="A2557" s="13"/>
    </row>
    <row r="2558" spans="1:1" x14ac:dyDescent="0.25">
      <c r="A2558" s="13"/>
    </row>
    <row r="2559" spans="1:1" x14ac:dyDescent="0.25">
      <c r="A2559" s="13"/>
    </row>
    <row r="2560" spans="1:1" x14ac:dyDescent="0.25">
      <c r="A2560" s="13"/>
    </row>
    <row r="2561" spans="1:1" x14ac:dyDescent="0.25">
      <c r="A2561" s="13"/>
    </row>
    <row r="2562" spans="1:1" x14ac:dyDescent="0.25">
      <c r="A2562" s="13"/>
    </row>
    <row r="2563" spans="1:1" x14ac:dyDescent="0.25">
      <c r="A2563" s="13"/>
    </row>
    <row r="2564" spans="1:1" x14ac:dyDescent="0.25">
      <c r="A2564" s="13"/>
    </row>
    <row r="2565" spans="1:1" x14ac:dyDescent="0.25">
      <c r="A2565" s="13"/>
    </row>
    <row r="2566" spans="1:1" x14ac:dyDescent="0.25">
      <c r="A2566" s="13"/>
    </row>
    <row r="2567" spans="1:1" x14ac:dyDescent="0.25">
      <c r="A2567" s="13"/>
    </row>
    <row r="2568" spans="1:1" x14ac:dyDescent="0.25">
      <c r="A2568" s="13"/>
    </row>
    <row r="2569" spans="1:1" x14ac:dyDescent="0.25">
      <c r="A2569" s="13"/>
    </row>
    <row r="2570" spans="1:1" x14ac:dyDescent="0.25">
      <c r="A2570" s="13"/>
    </row>
    <row r="2571" spans="1:1" x14ac:dyDescent="0.25">
      <c r="A2571" s="13"/>
    </row>
    <row r="2572" spans="1:1" x14ac:dyDescent="0.25">
      <c r="A2572" s="13"/>
    </row>
    <row r="2573" spans="1:1" x14ac:dyDescent="0.25">
      <c r="A2573" s="13"/>
    </row>
    <row r="2574" spans="1:1" x14ac:dyDescent="0.25">
      <c r="A2574" s="13"/>
    </row>
    <row r="2575" spans="1:1" x14ac:dyDescent="0.25">
      <c r="A2575" s="13"/>
    </row>
    <row r="2576" spans="1:1" x14ac:dyDescent="0.25">
      <c r="A2576" s="13"/>
    </row>
    <row r="2577" spans="1:1" x14ac:dyDescent="0.25">
      <c r="A2577" s="13"/>
    </row>
    <row r="2578" spans="1:1" x14ac:dyDescent="0.25">
      <c r="A2578" s="13"/>
    </row>
    <row r="2579" spans="1:1" x14ac:dyDescent="0.25">
      <c r="A2579" s="13"/>
    </row>
    <row r="2580" spans="1:1" x14ac:dyDescent="0.25">
      <c r="A2580" s="13"/>
    </row>
    <row r="2581" spans="1:1" x14ac:dyDescent="0.25">
      <c r="A2581" s="13"/>
    </row>
    <row r="2582" spans="1:1" x14ac:dyDescent="0.25">
      <c r="A2582" s="13"/>
    </row>
    <row r="2583" spans="1:1" x14ac:dyDescent="0.25">
      <c r="A2583" s="13"/>
    </row>
    <row r="2584" spans="1:1" x14ac:dyDescent="0.25">
      <c r="A2584" s="13"/>
    </row>
    <row r="2585" spans="1:1" x14ac:dyDescent="0.25">
      <c r="A2585" s="13"/>
    </row>
    <row r="2586" spans="1:1" x14ac:dyDescent="0.25">
      <c r="A2586" s="13"/>
    </row>
    <row r="2587" spans="1:1" x14ac:dyDescent="0.25">
      <c r="A2587" s="13"/>
    </row>
    <row r="2588" spans="1:1" x14ac:dyDescent="0.25">
      <c r="A2588" s="13"/>
    </row>
    <row r="2589" spans="1:1" x14ac:dyDescent="0.25">
      <c r="A2589" s="13"/>
    </row>
    <row r="2590" spans="1:1" x14ac:dyDescent="0.25">
      <c r="A2590" s="13"/>
    </row>
    <row r="2591" spans="1:1" x14ac:dyDescent="0.25">
      <c r="A2591" s="13"/>
    </row>
    <row r="2592" spans="1:1" x14ac:dyDescent="0.25">
      <c r="A2592" s="13"/>
    </row>
    <row r="2593" spans="1:1" x14ac:dyDescent="0.25">
      <c r="A2593" s="13"/>
    </row>
    <row r="2594" spans="1:1" x14ac:dyDescent="0.25">
      <c r="A2594" s="13"/>
    </row>
    <row r="2595" spans="1:1" x14ac:dyDescent="0.25">
      <c r="A2595" s="13"/>
    </row>
    <row r="2596" spans="1:1" x14ac:dyDescent="0.25">
      <c r="A2596" s="13"/>
    </row>
    <row r="2597" spans="1:1" x14ac:dyDescent="0.25">
      <c r="A2597" s="13"/>
    </row>
    <row r="2598" spans="1:1" x14ac:dyDescent="0.25">
      <c r="A2598" s="13"/>
    </row>
    <row r="2599" spans="1:1" x14ac:dyDescent="0.25">
      <c r="A2599" s="13"/>
    </row>
    <row r="2600" spans="1:1" x14ac:dyDescent="0.25">
      <c r="A2600" s="13"/>
    </row>
    <row r="2601" spans="1:1" x14ac:dyDescent="0.25">
      <c r="A2601" s="13"/>
    </row>
    <row r="2602" spans="1:1" x14ac:dyDescent="0.25">
      <c r="A2602" s="13"/>
    </row>
    <row r="2603" spans="1:1" x14ac:dyDescent="0.25">
      <c r="A2603" s="13"/>
    </row>
    <row r="2604" spans="1:1" x14ac:dyDescent="0.25">
      <c r="A2604" s="13"/>
    </row>
    <row r="2605" spans="1:1" x14ac:dyDescent="0.25">
      <c r="A2605" s="13"/>
    </row>
    <row r="2606" spans="1:1" x14ac:dyDescent="0.25">
      <c r="A2606" s="13"/>
    </row>
    <row r="2607" spans="1:1" x14ac:dyDescent="0.25">
      <c r="A2607" s="13"/>
    </row>
    <row r="2608" spans="1:1" x14ac:dyDescent="0.25">
      <c r="A2608" s="13"/>
    </row>
    <row r="2609" spans="1:1" x14ac:dyDescent="0.25">
      <c r="A2609" s="13"/>
    </row>
    <row r="2610" spans="1:1" x14ac:dyDescent="0.25">
      <c r="A2610" s="13"/>
    </row>
    <row r="2611" spans="1:1" x14ac:dyDescent="0.25">
      <c r="A2611" s="13"/>
    </row>
    <row r="2612" spans="1:1" x14ac:dyDescent="0.25">
      <c r="A2612" s="13"/>
    </row>
    <row r="2613" spans="1:1" x14ac:dyDescent="0.25">
      <c r="A2613" s="13"/>
    </row>
    <row r="2614" spans="1:1" x14ac:dyDescent="0.25">
      <c r="A2614" s="13"/>
    </row>
    <row r="2615" spans="1:1" x14ac:dyDescent="0.25">
      <c r="A2615" s="13"/>
    </row>
    <row r="2616" spans="1:1" x14ac:dyDescent="0.25">
      <c r="A2616" s="13"/>
    </row>
    <row r="2617" spans="1:1" x14ac:dyDescent="0.25">
      <c r="A2617" s="13"/>
    </row>
    <row r="2618" spans="1:1" x14ac:dyDescent="0.25">
      <c r="A2618" s="13"/>
    </row>
    <row r="2619" spans="1:1" x14ac:dyDescent="0.25">
      <c r="A2619" s="13"/>
    </row>
    <row r="2620" spans="1:1" x14ac:dyDescent="0.25">
      <c r="A2620" s="13"/>
    </row>
    <row r="2621" spans="1:1" x14ac:dyDescent="0.25">
      <c r="A2621" s="13"/>
    </row>
    <row r="2622" spans="1:1" x14ac:dyDescent="0.25">
      <c r="A2622" s="13"/>
    </row>
    <row r="2623" spans="1:1" x14ac:dyDescent="0.25">
      <c r="A2623" s="13"/>
    </row>
    <row r="2624" spans="1:1" x14ac:dyDescent="0.25">
      <c r="A2624" s="13"/>
    </row>
    <row r="2625" spans="1:1" x14ac:dyDescent="0.25">
      <c r="A2625" s="13"/>
    </row>
    <row r="2626" spans="1:1" x14ac:dyDescent="0.25">
      <c r="A2626" s="13"/>
    </row>
    <row r="2627" spans="1:1" x14ac:dyDescent="0.25">
      <c r="A2627" s="13"/>
    </row>
    <row r="2628" spans="1:1" x14ac:dyDescent="0.25">
      <c r="A2628" s="13"/>
    </row>
    <row r="2629" spans="1:1" x14ac:dyDescent="0.25">
      <c r="A2629" s="13"/>
    </row>
    <row r="2630" spans="1:1" x14ac:dyDescent="0.25">
      <c r="A2630" s="13"/>
    </row>
    <row r="2631" spans="1:1" x14ac:dyDescent="0.25">
      <c r="A2631" s="13"/>
    </row>
    <row r="2632" spans="1:1" x14ac:dyDescent="0.25">
      <c r="A2632" s="13"/>
    </row>
    <row r="2633" spans="1:1" x14ac:dyDescent="0.25">
      <c r="A2633" s="13"/>
    </row>
    <row r="2634" spans="1:1" x14ac:dyDescent="0.25">
      <c r="A2634" s="13"/>
    </row>
    <row r="2635" spans="1:1" x14ac:dyDescent="0.25">
      <c r="A2635" s="13"/>
    </row>
    <row r="2636" spans="1:1" x14ac:dyDescent="0.25">
      <c r="A2636" s="13"/>
    </row>
    <row r="2637" spans="1:1" x14ac:dyDescent="0.25">
      <c r="A2637" s="13"/>
    </row>
    <row r="2638" spans="1:1" x14ac:dyDescent="0.25">
      <c r="A2638" s="13"/>
    </row>
    <row r="2639" spans="1:1" x14ac:dyDescent="0.25">
      <c r="A2639" s="13"/>
    </row>
    <row r="2640" spans="1:1" x14ac:dyDescent="0.25">
      <c r="A2640" s="13"/>
    </row>
    <row r="2641" spans="1:1" x14ac:dyDescent="0.25">
      <c r="A2641" s="13"/>
    </row>
    <row r="2642" spans="1:1" x14ac:dyDescent="0.25">
      <c r="A2642" s="13"/>
    </row>
    <row r="2643" spans="1:1" x14ac:dyDescent="0.25">
      <c r="A2643" s="13"/>
    </row>
    <row r="2644" spans="1:1" x14ac:dyDescent="0.25">
      <c r="A2644" s="13"/>
    </row>
    <row r="2645" spans="1:1" x14ac:dyDescent="0.25">
      <c r="A2645" s="13"/>
    </row>
    <row r="2646" spans="1:1" x14ac:dyDescent="0.25">
      <c r="A2646" s="13"/>
    </row>
    <row r="2647" spans="1:1" x14ac:dyDescent="0.25">
      <c r="A2647" s="13"/>
    </row>
    <row r="2648" spans="1:1" x14ac:dyDescent="0.25">
      <c r="A2648" s="13"/>
    </row>
    <row r="2649" spans="1:1" x14ac:dyDescent="0.25">
      <c r="A2649" s="13"/>
    </row>
    <row r="2650" spans="1:1" x14ac:dyDescent="0.25">
      <c r="A2650" s="13"/>
    </row>
    <row r="2651" spans="1:1" x14ac:dyDescent="0.25">
      <c r="A2651" s="13"/>
    </row>
    <row r="2652" spans="1:1" x14ac:dyDescent="0.25">
      <c r="A2652" s="13"/>
    </row>
    <row r="2653" spans="1:1" x14ac:dyDescent="0.25">
      <c r="A2653" s="13"/>
    </row>
    <row r="2654" spans="1:1" x14ac:dyDescent="0.25">
      <c r="A2654" s="13"/>
    </row>
    <row r="2655" spans="1:1" x14ac:dyDescent="0.25">
      <c r="A2655" s="13"/>
    </row>
    <row r="2656" spans="1:1" x14ac:dyDescent="0.25">
      <c r="A2656" s="13"/>
    </row>
    <row r="2657" spans="1:1" x14ac:dyDescent="0.25">
      <c r="A2657" s="13"/>
    </row>
    <row r="2658" spans="1:1" x14ac:dyDescent="0.25">
      <c r="A2658" s="13"/>
    </row>
    <row r="2659" spans="1:1" x14ac:dyDescent="0.25">
      <c r="A2659" s="13"/>
    </row>
    <row r="2660" spans="1:1" x14ac:dyDescent="0.25">
      <c r="A2660" s="13"/>
    </row>
    <row r="2661" spans="1:1" x14ac:dyDescent="0.25">
      <c r="A2661" s="13"/>
    </row>
    <row r="2662" spans="1:1" x14ac:dyDescent="0.25">
      <c r="A2662" s="13"/>
    </row>
    <row r="2663" spans="1:1" x14ac:dyDescent="0.25">
      <c r="A2663" s="13"/>
    </row>
    <row r="2664" spans="1:1" x14ac:dyDescent="0.25">
      <c r="A2664" s="13"/>
    </row>
    <row r="2665" spans="1:1" x14ac:dyDescent="0.25">
      <c r="A2665" s="13"/>
    </row>
    <row r="2666" spans="1:1" x14ac:dyDescent="0.25">
      <c r="A2666" s="13"/>
    </row>
    <row r="2667" spans="1:1" x14ac:dyDescent="0.25">
      <c r="A2667" s="13"/>
    </row>
    <row r="2668" spans="1:1" x14ac:dyDescent="0.25">
      <c r="A2668" s="13"/>
    </row>
    <row r="2669" spans="1:1" x14ac:dyDescent="0.25">
      <c r="A2669" s="13"/>
    </row>
    <row r="2670" spans="1:1" x14ac:dyDescent="0.25">
      <c r="A2670" s="13"/>
    </row>
    <row r="2671" spans="1:1" x14ac:dyDescent="0.25">
      <c r="A2671" s="13"/>
    </row>
    <row r="2672" spans="1:1" x14ac:dyDescent="0.25">
      <c r="A2672" s="13"/>
    </row>
    <row r="2673" spans="1:1" x14ac:dyDescent="0.25">
      <c r="A2673" s="13"/>
    </row>
    <row r="2674" spans="1:1" x14ac:dyDescent="0.25">
      <c r="A2674" s="13"/>
    </row>
    <row r="2675" spans="1:1" x14ac:dyDescent="0.25">
      <c r="A2675" s="13"/>
    </row>
    <row r="2676" spans="1:1" x14ac:dyDescent="0.25">
      <c r="A2676" s="13"/>
    </row>
    <row r="2677" spans="1:1" x14ac:dyDescent="0.25">
      <c r="A2677" s="13"/>
    </row>
    <row r="2678" spans="1:1" x14ac:dyDescent="0.25">
      <c r="A2678" s="13"/>
    </row>
    <row r="2679" spans="1:1" x14ac:dyDescent="0.25">
      <c r="A2679" s="13"/>
    </row>
    <row r="2680" spans="1:1" x14ac:dyDescent="0.25">
      <c r="A2680" s="13"/>
    </row>
    <row r="2681" spans="1:1" x14ac:dyDescent="0.25">
      <c r="A2681" s="13"/>
    </row>
    <row r="2682" spans="1:1" x14ac:dyDescent="0.25">
      <c r="A2682" s="13"/>
    </row>
    <row r="2683" spans="1:1" x14ac:dyDescent="0.25">
      <c r="A2683" s="13"/>
    </row>
    <row r="2684" spans="1:1" x14ac:dyDescent="0.25">
      <c r="A2684" s="13"/>
    </row>
    <row r="2685" spans="1:1" x14ac:dyDescent="0.25">
      <c r="A2685" s="13"/>
    </row>
    <row r="2686" spans="1:1" x14ac:dyDescent="0.25">
      <c r="A2686" s="13"/>
    </row>
    <row r="2687" spans="1:1" x14ac:dyDescent="0.25">
      <c r="A2687" s="13"/>
    </row>
    <row r="2688" spans="1:1" x14ac:dyDescent="0.25">
      <c r="A2688" s="13"/>
    </row>
    <row r="2689" spans="1:1" x14ac:dyDescent="0.25">
      <c r="A2689" s="13"/>
    </row>
    <row r="2690" spans="1:1" x14ac:dyDescent="0.25">
      <c r="A2690" s="13"/>
    </row>
    <row r="2691" spans="1:1" x14ac:dyDescent="0.25">
      <c r="A2691" s="13"/>
    </row>
    <row r="2692" spans="1:1" x14ac:dyDescent="0.25">
      <c r="A2692" s="13"/>
    </row>
    <row r="2693" spans="1:1" x14ac:dyDescent="0.25">
      <c r="A2693" s="13"/>
    </row>
    <row r="2694" spans="1:1" x14ac:dyDescent="0.25">
      <c r="A2694" s="13"/>
    </row>
    <row r="2695" spans="1:1" x14ac:dyDescent="0.25">
      <c r="A2695" s="13"/>
    </row>
    <row r="2696" spans="1:1" x14ac:dyDescent="0.25">
      <c r="A2696" s="13"/>
    </row>
    <row r="2697" spans="1:1" x14ac:dyDescent="0.25">
      <c r="A2697" s="13"/>
    </row>
    <row r="2698" spans="1:1" x14ac:dyDescent="0.25">
      <c r="A2698" s="13"/>
    </row>
    <row r="2699" spans="1:1" x14ac:dyDescent="0.25">
      <c r="A2699" s="13"/>
    </row>
    <row r="2700" spans="1:1" x14ac:dyDescent="0.25">
      <c r="A2700" s="13"/>
    </row>
    <row r="2701" spans="1:1" x14ac:dyDescent="0.25">
      <c r="A2701" s="13"/>
    </row>
    <row r="2702" spans="1:1" x14ac:dyDescent="0.25">
      <c r="A2702" s="13"/>
    </row>
    <row r="2703" spans="1:1" x14ac:dyDescent="0.25">
      <c r="A2703" s="13"/>
    </row>
    <row r="2704" spans="1:1" x14ac:dyDescent="0.25">
      <c r="A2704" s="13"/>
    </row>
    <row r="2705" spans="1:1" x14ac:dyDescent="0.25">
      <c r="A2705" s="13"/>
    </row>
    <row r="2706" spans="1:1" x14ac:dyDescent="0.25">
      <c r="A2706" s="13"/>
    </row>
    <row r="2707" spans="1:1" x14ac:dyDescent="0.25">
      <c r="A2707" s="13"/>
    </row>
    <row r="2708" spans="1:1" x14ac:dyDescent="0.25">
      <c r="A2708" s="13"/>
    </row>
    <row r="2709" spans="1:1" x14ac:dyDescent="0.25">
      <c r="A2709" s="13"/>
    </row>
    <row r="2710" spans="1:1" x14ac:dyDescent="0.25">
      <c r="A2710" s="13"/>
    </row>
    <row r="2711" spans="1:1" x14ac:dyDescent="0.25">
      <c r="A2711" s="13"/>
    </row>
    <row r="2712" spans="1:1" x14ac:dyDescent="0.25">
      <c r="A2712" s="13"/>
    </row>
    <row r="2713" spans="1:1" x14ac:dyDescent="0.25">
      <c r="A2713" s="13"/>
    </row>
    <row r="2714" spans="1:1" x14ac:dyDescent="0.25">
      <c r="A2714" s="13"/>
    </row>
    <row r="2715" spans="1:1" x14ac:dyDescent="0.25">
      <c r="A2715" s="13"/>
    </row>
    <row r="2716" spans="1:1" x14ac:dyDescent="0.25">
      <c r="A2716" s="13"/>
    </row>
    <row r="2717" spans="1:1" x14ac:dyDescent="0.25">
      <c r="A2717" s="13"/>
    </row>
    <row r="2718" spans="1:1" x14ac:dyDescent="0.25">
      <c r="A2718" s="13"/>
    </row>
    <row r="2719" spans="1:1" x14ac:dyDescent="0.25">
      <c r="A2719" s="13"/>
    </row>
    <row r="2720" spans="1:1" x14ac:dyDescent="0.25">
      <c r="A2720" s="13"/>
    </row>
    <row r="2721" spans="1:1" x14ac:dyDescent="0.25">
      <c r="A2721" s="13"/>
    </row>
    <row r="2722" spans="1:1" x14ac:dyDescent="0.25">
      <c r="A2722" s="13"/>
    </row>
    <row r="2723" spans="1:1" x14ac:dyDescent="0.25">
      <c r="A2723" s="13"/>
    </row>
    <row r="2724" spans="1:1" x14ac:dyDescent="0.25">
      <c r="A2724" s="13"/>
    </row>
    <row r="2725" spans="1:1" x14ac:dyDescent="0.25">
      <c r="A2725" s="13"/>
    </row>
    <row r="2726" spans="1:1" x14ac:dyDescent="0.25">
      <c r="A2726" s="13"/>
    </row>
    <row r="2727" spans="1:1" x14ac:dyDescent="0.25">
      <c r="A2727" s="13"/>
    </row>
    <row r="2728" spans="1:1" x14ac:dyDescent="0.25">
      <c r="A2728" s="13"/>
    </row>
    <row r="2729" spans="1:1" x14ac:dyDescent="0.25">
      <c r="A2729" s="13"/>
    </row>
    <row r="2730" spans="1:1" x14ac:dyDescent="0.25">
      <c r="A2730" s="13"/>
    </row>
    <row r="2731" spans="1:1" x14ac:dyDescent="0.25">
      <c r="A2731" s="13"/>
    </row>
    <row r="2732" spans="1:1" x14ac:dyDescent="0.25">
      <c r="A2732" s="13"/>
    </row>
    <row r="2733" spans="1:1" x14ac:dyDescent="0.25">
      <c r="A2733" s="13"/>
    </row>
    <row r="2734" spans="1:1" x14ac:dyDescent="0.25">
      <c r="A2734" s="13"/>
    </row>
    <row r="2735" spans="1:1" x14ac:dyDescent="0.25">
      <c r="A2735" s="13"/>
    </row>
    <row r="2736" spans="1:1" x14ac:dyDescent="0.25">
      <c r="A2736" s="13"/>
    </row>
    <row r="2737" spans="1:1" x14ac:dyDescent="0.25">
      <c r="A2737" s="13"/>
    </row>
    <row r="2738" spans="1:1" x14ac:dyDescent="0.25">
      <c r="A2738" s="13"/>
    </row>
    <row r="2739" spans="1:1" x14ac:dyDescent="0.25">
      <c r="A2739" s="13"/>
    </row>
    <row r="2740" spans="1:1" x14ac:dyDescent="0.25">
      <c r="A2740" s="13"/>
    </row>
    <row r="2741" spans="1:1" x14ac:dyDescent="0.25">
      <c r="A2741" s="13"/>
    </row>
    <row r="2742" spans="1:1" x14ac:dyDescent="0.25">
      <c r="A2742" s="13"/>
    </row>
    <row r="2743" spans="1:1" x14ac:dyDescent="0.25">
      <c r="A2743" s="13"/>
    </row>
    <row r="2744" spans="1:1" x14ac:dyDescent="0.25">
      <c r="A2744" s="13"/>
    </row>
    <row r="2745" spans="1:1" x14ac:dyDescent="0.25">
      <c r="A2745" s="13"/>
    </row>
    <row r="2746" spans="1:1" x14ac:dyDescent="0.25">
      <c r="A2746" s="13"/>
    </row>
    <row r="2747" spans="1:1" x14ac:dyDescent="0.25">
      <c r="A2747" s="13"/>
    </row>
    <row r="2748" spans="1:1" x14ac:dyDescent="0.25">
      <c r="A2748" s="13"/>
    </row>
    <row r="2749" spans="1:1" x14ac:dyDescent="0.25">
      <c r="A2749" s="13"/>
    </row>
    <row r="2750" spans="1:1" x14ac:dyDescent="0.25">
      <c r="A2750" s="13"/>
    </row>
    <row r="2751" spans="1:1" x14ac:dyDescent="0.25">
      <c r="A2751" s="13"/>
    </row>
    <row r="2752" spans="1:1" x14ac:dyDescent="0.25">
      <c r="A2752" s="13"/>
    </row>
    <row r="2753" spans="1:1" x14ac:dyDescent="0.25">
      <c r="A2753" s="13"/>
    </row>
    <row r="2754" spans="1:1" x14ac:dyDescent="0.25">
      <c r="A2754" s="13"/>
    </row>
    <row r="2755" spans="1:1" x14ac:dyDescent="0.25">
      <c r="A2755" s="13"/>
    </row>
    <row r="2756" spans="1:1" x14ac:dyDescent="0.25">
      <c r="A2756" s="13"/>
    </row>
    <row r="2757" spans="1:1" x14ac:dyDescent="0.25">
      <c r="A2757" s="13"/>
    </row>
    <row r="2758" spans="1:1" x14ac:dyDescent="0.25">
      <c r="A2758" s="13"/>
    </row>
    <row r="2759" spans="1:1" x14ac:dyDescent="0.25">
      <c r="A2759" s="13"/>
    </row>
    <row r="2760" spans="1:1" x14ac:dyDescent="0.25">
      <c r="A2760" s="13"/>
    </row>
    <row r="2761" spans="1:1" x14ac:dyDescent="0.25">
      <c r="A2761" s="13"/>
    </row>
    <row r="2762" spans="1:1" x14ac:dyDescent="0.25">
      <c r="A2762" s="13"/>
    </row>
    <row r="2763" spans="1:1" x14ac:dyDescent="0.25">
      <c r="A2763" s="13"/>
    </row>
    <row r="2764" spans="1:1" x14ac:dyDescent="0.25">
      <c r="A2764" s="13"/>
    </row>
    <row r="2765" spans="1:1" x14ac:dyDescent="0.25">
      <c r="A2765" s="13"/>
    </row>
    <row r="2766" spans="1:1" x14ac:dyDescent="0.25">
      <c r="A2766" s="13"/>
    </row>
    <row r="2767" spans="1:1" x14ac:dyDescent="0.25">
      <c r="A2767" s="13"/>
    </row>
    <row r="2768" spans="1:1" x14ac:dyDescent="0.25">
      <c r="A2768" s="13"/>
    </row>
    <row r="2769" spans="1:1" x14ac:dyDescent="0.25">
      <c r="A2769" s="13"/>
    </row>
    <row r="2770" spans="1:1" x14ac:dyDescent="0.25">
      <c r="A2770" s="13"/>
    </row>
    <row r="2771" spans="1:1" x14ac:dyDescent="0.25">
      <c r="A2771" s="13"/>
    </row>
    <row r="2772" spans="1:1" x14ac:dyDescent="0.25">
      <c r="A2772" s="13"/>
    </row>
    <row r="2773" spans="1:1" x14ac:dyDescent="0.25">
      <c r="A2773" s="13"/>
    </row>
    <row r="2774" spans="1:1" x14ac:dyDescent="0.25">
      <c r="A2774" s="13"/>
    </row>
    <row r="2775" spans="1:1" x14ac:dyDescent="0.25">
      <c r="A2775" s="13"/>
    </row>
    <row r="2776" spans="1:1" x14ac:dyDescent="0.25">
      <c r="A2776" s="13"/>
    </row>
    <row r="2777" spans="1:1" x14ac:dyDescent="0.25">
      <c r="A2777" s="13"/>
    </row>
    <row r="2778" spans="1:1" x14ac:dyDescent="0.25">
      <c r="A2778" s="13"/>
    </row>
    <row r="2779" spans="1:1" x14ac:dyDescent="0.25">
      <c r="A2779" s="13"/>
    </row>
    <row r="2780" spans="1:1" x14ac:dyDescent="0.25">
      <c r="A2780" s="13"/>
    </row>
    <row r="2781" spans="1:1" x14ac:dyDescent="0.25">
      <c r="A2781" s="13"/>
    </row>
    <row r="2782" spans="1:1" x14ac:dyDescent="0.25">
      <c r="A2782" s="13"/>
    </row>
    <row r="2783" spans="1:1" x14ac:dyDescent="0.25">
      <c r="A2783" s="13"/>
    </row>
    <row r="2784" spans="1:1" x14ac:dyDescent="0.25">
      <c r="A2784" s="13"/>
    </row>
    <row r="2785" spans="1:1" x14ac:dyDescent="0.25">
      <c r="A2785" s="13"/>
    </row>
    <row r="2786" spans="1:1" x14ac:dyDescent="0.25">
      <c r="A2786" s="13"/>
    </row>
    <row r="2787" spans="1:1" x14ac:dyDescent="0.25">
      <c r="A2787" s="13"/>
    </row>
    <row r="2788" spans="1:1" x14ac:dyDescent="0.25">
      <c r="A2788" s="13"/>
    </row>
    <row r="2789" spans="1:1" x14ac:dyDescent="0.25">
      <c r="A2789" s="13"/>
    </row>
    <row r="2790" spans="1:1" x14ac:dyDescent="0.25">
      <c r="A2790" s="13"/>
    </row>
    <row r="2791" spans="1:1" x14ac:dyDescent="0.25">
      <c r="A2791" s="13"/>
    </row>
    <row r="2792" spans="1:1" x14ac:dyDescent="0.25">
      <c r="A2792" s="13"/>
    </row>
    <row r="2793" spans="1:1" x14ac:dyDescent="0.25">
      <c r="A2793" s="13"/>
    </row>
    <row r="2794" spans="1:1" x14ac:dyDescent="0.25">
      <c r="A2794" s="13"/>
    </row>
    <row r="2795" spans="1:1" x14ac:dyDescent="0.25">
      <c r="A2795" s="13"/>
    </row>
    <row r="2796" spans="1:1" x14ac:dyDescent="0.25">
      <c r="A2796" s="13"/>
    </row>
    <row r="2797" spans="1:1" x14ac:dyDescent="0.25">
      <c r="A2797" s="13"/>
    </row>
    <row r="2798" spans="1:1" x14ac:dyDescent="0.25">
      <c r="A2798" s="13"/>
    </row>
    <row r="2799" spans="1:1" x14ac:dyDescent="0.25">
      <c r="A2799" s="13"/>
    </row>
    <row r="2800" spans="1:1" x14ac:dyDescent="0.25">
      <c r="A2800" s="13"/>
    </row>
    <row r="2801" spans="1:1" x14ac:dyDescent="0.25">
      <c r="A2801" s="13"/>
    </row>
    <row r="2802" spans="1:1" x14ac:dyDescent="0.25">
      <c r="A2802" s="13"/>
    </row>
    <row r="2803" spans="1:1" x14ac:dyDescent="0.25">
      <c r="A2803" s="13"/>
    </row>
    <row r="2804" spans="1:1" x14ac:dyDescent="0.25">
      <c r="A2804" s="13"/>
    </row>
    <row r="2805" spans="1:1" x14ac:dyDescent="0.25">
      <c r="A2805" s="13"/>
    </row>
    <row r="2806" spans="1:1" x14ac:dyDescent="0.25">
      <c r="A2806" s="13"/>
    </row>
    <row r="2807" spans="1:1" x14ac:dyDescent="0.25">
      <c r="A2807" s="13"/>
    </row>
    <row r="2808" spans="1:1" x14ac:dyDescent="0.25">
      <c r="A2808" s="13"/>
    </row>
    <row r="2809" spans="1:1" x14ac:dyDescent="0.25">
      <c r="A2809" s="13"/>
    </row>
    <row r="2810" spans="1:1" x14ac:dyDescent="0.25">
      <c r="A2810" s="13"/>
    </row>
    <row r="2811" spans="1:1" x14ac:dyDescent="0.25">
      <c r="A2811" s="13"/>
    </row>
    <row r="2812" spans="1:1" x14ac:dyDescent="0.25">
      <c r="A2812" s="13"/>
    </row>
    <row r="2813" spans="1:1" x14ac:dyDescent="0.25">
      <c r="A2813" s="13"/>
    </row>
    <row r="2814" spans="1:1" x14ac:dyDescent="0.25">
      <c r="A2814" s="13"/>
    </row>
    <row r="2815" spans="1:1" x14ac:dyDescent="0.25">
      <c r="A2815" s="13"/>
    </row>
    <row r="2816" spans="1:1" x14ac:dyDescent="0.25">
      <c r="A2816" s="13"/>
    </row>
    <row r="2817" spans="1:1" x14ac:dyDescent="0.25">
      <c r="A2817" s="13"/>
    </row>
    <row r="2818" spans="1:1" x14ac:dyDescent="0.25">
      <c r="A2818" s="13"/>
    </row>
    <row r="2819" spans="1:1" x14ac:dyDescent="0.25">
      <c r="A2819" s="13"/>
    </row>
    <row r="2820" spans="1:1" x14ac:dyDescent="0.25">
      <c r="A2820" s="13"/>
    </row>
    <row r="2821" spans="1:1" x14ac:dyDescent="0.25">
      <c r="A2821" s="13"/>
    </row>
    <row r="2822" spans="1:1" x14ac:dyDescent="0.25">
      <c r="A2822" s="13"/>
    </row>
    <row r="2823" spans="1:1" x14ac:dyDescent="0.25">
      <c r="A2823" s="13"/>
    </row>
    <row r="2824" spans="1:1" x14ac:dyDescent="0.25">
      <c r="A2824" s="13"/>
    </row>
    <row r="2825" spans="1:1" x14ac:dyDescent="0.25">
      <c r="A2825" s="13"/>
    </row>
    <row r="2826" spans="1:1" x14ac:dyDescent="0.25">
      <c r="A2826" s="13"/>
    </row>
    <row r="2827" spans="1:1" x14ac:dyDescent="0.25">
      <c r="A2827" s="13"/>
    </row>
    <row r="2828" spans="1:1" x14ac:dyDescent="0.25">
      <c r="A2828" s="13"/>
    </row>
    <row r="2829" spans="1:1" x14ac:dyDescent="0.25">
      <c r="A2829" s="13"/>
    </row>
    <row r="2830" spans="1:1" x14ac:dyDescent="0.25">
      <c r="A2830" s="13"/>
    </row>
    <row r="2831" spans="1:1" x14ac:dyDescent="0.25">
      <c r="A2831" s="13"/>
    </row>
    <row r="2832" spans="1:1" x14ac:dyDescent="0.25">
      <c r="A2832" s="13"/>
    </row>
    <row r="2833" spans="1:1" x14ac:dyDescent="0.25">
      <c r="A2833" s="13"/>
    </row>
    <row r="2834" spans="1:1" x14ac:dyDescent="0.25">
      <c r="A2834" s="13"/>
    </row>
    <row r="2835" spans="1:1" x14ac:dyDescent="0.25">
      <c r="A2835" s="13"/>
    </row>
    <row r="2836" spans="1:1" x14ac:dyDescent="0.25">
      <c r="A2836" s="13"/>
    </row>
    <row r="2837" spans="1:1" x14ac:dyDescent="0.25">
      <c r="A2837" s="13"/>
    </row>
    <row r="2838" spans="1:1" x14ac:dyDescent="0.25">
      <c r="A2838" s="13"/>
    </row>
    <row r="2839" spans="1:1" x14ac:dyDescent="0.25">
      <c r="A2839" s="13"/>
    </row>
    <row r="2840" spans="1:1" x14ac:dyDescent="0.25">
      <c r="A2840" s="13"/>
    </row>
    <row r="2841" spans="1:1" x14ac:dyDescent="0.25">
      <c r="A2841" s="13"/>
    </row>
    <row r="2842" spans="1:1" x14ac:dyDescent="0.25">
      <c r="A2842" s="13"/>
    </row>
    <row r="2843" spans="1:1" x14ac:dyDescent="0.25">
      <c r="A2843" s="13"/>
    </row>
    <row r="2844" spans="1:1" x14ac:dyDescent="0.25">
      <c r="A2844" s="13"/>
    </row>
    <row r="2845" spans="1:1" x14ac:dyDescent="0.25">
      <c r="A2845" s="13"/>
    </row>
    <row r="2846" spans="1:1" x14ac:dyDescent="0.25">
      <c r="A2846" s="13"/>
    </row>
    <row r="2847" spans="1:1" x14ac:dyDescent="0.25">
      <c r="A2847" s="13"/>
    </row>
    <row r="2848" spans="1:1" x14ac:dyDescent="0.25">
      <c r="A2848" s="13"/>
    </row>
    <row r="2849" spans="1:1" x14ac:dyDescent="0.25">
      <c r="A2849" s="13"/>
    </row>
    <row r="2850" spans="1:1" x14ac:dyDescent="0.25">
      <c r="A2850" s="13"/>
    </row>
    <row r="2851" spans="1:1" x14ac:dyDescent="0.25">
      <c r="A2851" s="13"/>
    </row>
    <row r="2852" spans="1:1" x14ac:dyDescent="0.25">
      <c r="A2852" s="13"/>
    </row>
    <row r="2853" spans="1:1" x14ac:dyDescent="0.25">
      <c r="A2853" s="13"/>
    </row>
    <row r="2854" spans="1:1" x14ac:dyDescent="0.25">
      <c r="A2854" s="13"/>
    </row>
    <row r="2855" spans="1:1" x14ac:dyDescent="0.25">
      <c r="A2855" s="13"/>
    </row>
    <row r="2856" spans="1:1" x14ac:dyDescent="0.25">
      <c r="A2856" s="13"/>
    </row>
    <row r="2857" spans="1:1" x14ac:dyDescent="0.25">
      <c r="A2857" s="13"/>
    </row>
    <row r="2858" spans="1:1" x14ac:dyDescent="0.25">
      <c r="A2858" s="13"/>
    </row>
    <row r="2859" spans="1:1" x14ac:dyDescent="0.25">
      <c r="A2859" s="13"/>
    </row>
    <row r="2860" spans="1:1" x14ac:dyDescent="0.25">
      <c r="A2860" s="13"/>
    </row>
    <row r="2861" spans="1:1" x14ac:dyDescent="0.25">
      <c r="A2861" s="13"/>
    </row>
    <row r="2862" spans="1:1" x14ac:dyDescent="0.25">
      <c r="A2862" s="13"/>
    </row>
    <row r="2863" spans="1:1" x14ac:dyDescent="0.25">
      <c r="A2863" s="13"/>
    </row>
    <row r="2864" spans="1:1" x14ac:dyDescent="0.25">
      <c r="A2864" s="13"/>
    </row>
    <row r="2865" spans="1:1" x14ac:dyDescent="0.25">
      <c r="A2865" s="13"/>
    </row>
    <row r="2866" spans="1:1" x14ac:dyDescent="0.25">
      <c r="A2866" s="13"/>
    </row>
    <row r="2867" spans="1:1" x14ac:dyDescent="0.25">
      <c r="A2867" s="13"/>
    </row>
    <row r="2868" spans="1:1" x14ac:dyDescent="0.25">
      <c r="A2868" s="13"/>
    </row>
    <row r="2869" spans="1:1" x14ac:dyDescent="0.25">
      <c r="A2869" s="13"/>
    </row>
    <row r="2870" spans="1:1" x14ac:dyDescent="0.25">
      <c r="A2870" s="13"/>
    </row>
    <row r="2871" spans="1:1" x14ac:dyDescent="0.25">
      <c r="A2871" s="13"/>
    </row>
    <row r="2872" spans="1:1" x14ac:dyDescent="0.25">
      <c r="A2872" s="13"/>
    </row>
    <row r="2873" spans="1:1" x14ac:dyDescent="0.25">
      <c r="A2873" s="13"/>
    </row>
    <row r="2874" spans="1:1" x14ac:dyDescent="0.25">
      <c r="A2874" s="13"/>
    </row>
    <row r="2875" spans="1:1" x14ac:dyDescent="0.25">
      <c r="A2875" s="13"/>
    </row>
    <row r="2876" spans="1:1" x14ac:dyDescent="0.25">
      <c r="A2876" s="13"/>
    </row>
    <row r="2877" spans="1:1" x14ac:dyDescent="0.25">
      <c r="A2877" s="13"/>
    </row>
    <row r="2878" spans="1:1" x14ac:dyDescent="0.25">
      <c r="A2878" s="13"/>
    </row>
    <row r="2879" spans="1:1" x14ac:dyDescent="0.25">
      <c r="A2879" s="13"/>
    </row>
    <row r="2880" spans="1:1" x14ac:dyDescent="0.25">
      <c r="A2880" s="13"/>
    </row>
    <row r="2881" spans="1:1" x14ac:dyDescent="0.25">
      <c r="A2881" s="13"/>
    </row>
    <row r="2882" spans="1:1" x14ac:dyDescent="0.25">
      <c r="A2882" s="13"/>
    </row>
    <row r="2883" spans="1:1" x14ac:dyDescent="0.25">
      <c r="A2883" s="13"/>
    </row>
    <row r="2884" spans="1:1" x14ac:dyDescent="0.25">
      <c r="A2884" s="13"/>
    </row>
    <row r="2885" spans="1:1" x14ac:dyDescent="0.25">
      <c r="A2885" s="13"/>
    </row>
    <row r="2886" spans="1:1" x14ac:dyDescent="0.25">
      <c r="A2886" s="13"/>
    </row>
    <row r="2887" spans="1:1" x14ac:dyDescent="0.25">
      <c r="A2887" s="13"/>
    </row>
    <row r="2888" spans="1:1" x14ac:dyDescent="0.25">
      <c r="A2888" s="13"/>
    </row>
    <row r="2889" spans="1:1" x14ac:dyDescent="0.25">
      <c r="A2889" s="13"/>
    </row>
    <row r="2890" spans="1:1" x14ac:dyDescent="0.25">
      <c r="A2890" s="13"/>
    </row>
    <row r="2891" spans="1:1" x14ac:dyDescent="0.25">
      <c r="A2891" s="13"/>
    </row>
    <row r="2892" spans="1:1" x14ac:dyDescent="0.25">
      <c r="A2892" s="13"/>
    </row>
    <row r="2893" spans="1:1" x14ac:dyDescent="0.25">
      <c r="A2893" s="13"/>
    </row>
    <row r="2894" spans="1:1" x14ac:dyDescent="0.25">
      <c r="A2894" s="13"/>
    </row>
    <row r="2895" spans="1:1" x14ac:dyDescent="0.25">
      <c r="A2895" s="13"/>
    </row>
    <row r="2896" spans="1:1" x14ac:dyDescent="0.25">
      <c r="A2896" s="13"/>
    </row>
    <row r="2897" spans="1:1" x14ac:dyDescent="0.25">
      <c r="A2897" s="13"/>
    </row>
    <row r="2898" spans="1:1" x14ac:dyDescent="0.25">
      <c r="A2898" s="13"/>
    </row>
    <row r="2899" spans="1:1" x14ac:dyDescent="0.25">
      <c r="A2899" s="13"/>
    </row>
    <row r="2900" spans="1:1" x14ac:dyDescent="0.25">
      <c r="A2900" s="13"/>
    </row>
    <row r="2901" spans="1:1" x14ac:dyDescent="0.25">
      <c r="A2901" s="13"/>
    </row>
    <row r="2902" spans="1:1" x14ac:dyDescent="0.25">
      <c r="A2902" s="13"/>
    </row>
    <row r="2903" spans="1:1" x14ac:dyDescent="0.25">
      <c r="A2903" s="13"/>
    </row>
    <row r="2904" spans="1:1" x14ac:dyDescent="0.25">
      <c r="A2904" s="13"/>
    </row>
    <row r="2905" spans="1:1" x14ac:dyDescent="0.25">
      <c r="A2905" s="13"/>
    </row>
    <row r="2906" spans="1:1" x14ac:dyDescent="0.25">
      <c r="A2906" s="13"/>
    </row>
    <row r="2907" spans="1:1" x14ac:dyDescent="0.25">
      <c r="A2907" s="13"/>
    </row>
    <row r="2908" spans="1:1" x14ac:dyDescent="0.25">
      <c r="A2908" s="13"/>
    </row>
    <row r="2909" spans="1:1" x14ac:dyDescent="0.25">
      <c r="A2909" s="13"/>
    </row>
    <row r="2910" spans="1:1" x14ac:dyDescent="0.25">
      <c r="A2910" s="13"/>
    </row>
    <row r="2911" spans="1:1" x14ac:dyDescent="0.25">
      <c r="A2911" s="13"/>
    </row>
    <row r="2912" spans="1:1" x14ac:dyDescent="0.25">
      <c r="A2912" s="13"/>
    </row>
    <row r="2913" spans="1:1" x14ac:dyDescent="0.25">
      <c r="A2913" s="13"/>
    </row>
    <row r="2914" spans="1:1" x14ac:dyDescent="0.25">
      <c r="A2914" s="13"/>
    </row>
    <row r="2915" spans="1:1" x14ac:dyDescent="0.25">
      <c r="A2915" s="13"/>
    </row>
    <row r="2916" spans="1:1" x14ac:dyDescent="0.25">
      <c r="A2916" s="13"/>
    </row>
    <row r="2917" spans="1:1" x14ac:dyDescent="0.25">
      <c r="A2917" s="13"/>
    </row>
    <row r="2918" spans="1:1" x14ac:dyDescent="0.25">
      <c r="A2918" s="13"/>
    </row>
    <row r="2919" spans="1:1" x14ac:dyDescent="0.25">
      <c r="A2919" s="13"/>
    </row>
    <row r="2920" spans="1:1" x14ac:dyDescent="0.25">
      <c r="A2920" s="13"/>
    </row>
    <row r="2921" spans="1:1" x14ac:dyDescent="0.25">
      <c r="A2921" s="13"/>
    </row>
    <row r="2922" spans="1:1" x14ac:dyDescent="0.25">
      <c r="A2922" s="13"/>
    </row>
    <row r="2923" spans="1:1" x14ac:dyDescent="0.25">
      <c r="A2923" s="13"/>
    </row>
    <row r="2924" spans="1:1" x14ac:dyDescent="0.25">
      <c r="A2924" s="13"/>
    </row>
    <row r="2925" spans="1:1" x14ac:dyDescent="0.25">
      <c r="A2925" s="13"/>
    </row>
    <row r="2926" spans="1:1" x14ac:dyDescent="0.25">
      <c r="A2926" s="13"/>
    </row>
    <row r="2927" spans="1:1" x14ac:dyDescent="0.25">
      <c r="A2927" s="13"/>
    </row>
    <row r="2928" spans="1:1" x14ac:dyDescent="0.25">
      <c r="A2928" s="13"/>
    </row>
    <row r="2929" spans="1:1" x14ac:dyDescent="0.25">
      <c r="A2929" s="13"/>
    </row>
    <row r="2930" spans="1:1" x14ac:dyDescent="0.25">
      <c r="A2930" s="13"/>
    </row>
    <row r="2931" spans="1:1" x14ac:dyDescent="0.25">
      <c r="A2931" s="13"/>
    </row>
    <row r="2932" spans="1:1" x14ac:dyDescent="0.25">
      <c r="A2932" s="13"/>
    </row>
    <row r="2933" spans="1:1" x14ac:dyDescent="0.25">
      <c r="A2933" s="13"/>
    </row>
    <row r="2934" spans="1:1" x14ac:dyDescent="0.25">
      <c r="A2934" s="13"/>
    </row>
    <row r="2935" spans="1:1" x14ac:dyDescent="0.25">
      <c r="A2935" s="13"/>
    </row>
    <row r="2936" spans="1:1" x14ac:dyDescent="0.25">
      <c r="A2936" s="13"/>
    </row>
    <row r="2937" spans="1:1" x14ac:dyDescent="0.25">
      <c r="A2937" s="13"/>
    </row>
    <row r="2938" spans="1:1" x14ac:dyDescent="0.25">
      <c r="A2938" s="13"/>
    </row>
    <row r="2939" spans="1:1" x14ac:dyDescent="0.25">
      <c r="A2939" s="13"/>
    </row>
    <row r="2940" spans="1:1" x14ac:dyDescent="0.25">
      <c r="A2940" s="13"/>
    </row>
    <row r="2941" spans="1:1" x14ac:dyDescent="0.25">
      <c r="A2941" s="13"/>
    </row>
    <row r="2942" spans="1:1" x14ac:dyDescent="0.25">
      <c r="A2942" s="13"/>
    </row>
    <row r="2943" spans="1:1" x14ac:dyDescent="0.25">
      <c r="A2943" s="13"/>
    </row>
    <row r="2944" spans="1:1" x14ac:dyDescent="0.25">
      <c r="A2944" s="13"/>
    </row>
    <row r="2945" spans="1:1" x14ac:dyDescent="0.25">
      <c r="A2945" s="13"/>
    </row>
    <row r="2946" spans="1:1" x14ac:dyDescent="0.25">
      <c r="A2946" s="13"/>
    </row>
    <row r="2947" spans="1:1" x14ac:dyDescent="0.25">
      <c r="A2947" s="13"/>
    </row>
    <row r="2948" spans="1:1" x14ac:dyDescent="0.25">
      <c r="A2948" s="13"/>
    </row>
    <row r="2949" spans="1:1" x14ac:dyDescent="0.25">
      <c r="A2949" s="13"/>
    </row>
    <row r="2950" spans="1:1" x14ac:dyDescent="0.25">
      <c r="A2950" s="13"/>
    </row>
    <row r="2951" spans="1:1" x14ac:dyDescent="0.25">
      <c r="A2951" s="13"/>
    </row>
    <row r="2952" spans="1:1" x14ac:dyDescent="0.25">
      <c r="A2952" s="13"/>
    </row>
    <row r="2953" spans="1:1" x14ac:dyDescent="0.25">
      <c r="A2953" s="13"/>
    </row>
    <row r="2954" spans="1:1" x14ac:dyDescent="0.25">
      <c r="A2954" s="13"/>
    </row>
    <row r="2955" spans="1:1" x14ac:dyDescent="0.25">
      <c r="A2955" s="13"/>
    </row>
    <row r="2956" spans="1:1" x14ac:dyDescent="0.25">
      <c r="A2956" s="13"/>
    </row>
    <row r="2957" spans="1:1" x14ac:dyDescent="0.25">
      <c r="A2957" s="13"/>
    </row>
    <row r="2958" spans="1:1" x14ac:dyDescent="0.25">
      <c r="A2958" s="13"/>
    </row>
    <row r="2959" spans="1:1" x14ac:dyDescent="0.25">
      <c r="A2959" s="13"/>
    </row>
    <row r="2960" spans="1:1" x14ac:dyDescent="0.25">
      <c r="A2960" s="13"/>
    </row>
    <row r="2961" spans="1:1" x14ac:dyDescent="0.25">
      <c r="A2961" s="13"/>
    </row>
    <row r="2962" spans="1:1" x14ac:dyDescent="0.25">
      <c r="A2962" s="13"/>
    </row>
    <row r="2963" spans="1:1" x14ac:dyDescent="0.25">
      <c r="A2963" s="13"/>
    </row>
    <row r="2964" spans="1:1" x14ac:dyDescent="0.25">
      <c r="A2964" s="13"/>
    </row>
    <row r="2965" spans="1:1" x14ac:dyDescent="0.25">
      <c r="A2965" s="13"/>
    </row>
    <row r="2966" spans="1:1" x14ac:dyDescent="0.25">
      <c r="A2966" s="13"/>
    </row>
    <row r="2967" spans="1:1" x14ac:dyDescent="0.25">
      <c r="A2967" s="13"/>
    </row>
    <row r="2968" spans="1:1" x14ac:dyDescent="0.25">
      <c r="A2968" s="13"/>
    </row>
    <row r="2969" spans="1:1" x14ac:dyDescent="0.25">
      <c r="A2969" s="13"/>
    </row>
    <row r="2970" spans="1:1" x14ac:dyDescent="0.25">
      <c r="A2970" s="13"/>
    </row>
    <row r="2971" spans="1:1" x14ac:dyDescent="0.25">
      <c r="A2971" s="13"/>
    </row>
    <row r="2972" spans="1:1" x14ac:dyDescent="0.25">
      <c r="A2972" s="13"/>
    </row>
    <row r="2973" spans="1:1" x14ac:dyDescent="0.25">
      <c r="A2973" s="13"/>
    </row>
    <row r="2974" spans="1:1" x14ac:dyDescent="0.25">
      <c r="A2974" s="13"/>
    </row>
    <row r="2975" spans="1:1" x14ac:dyDescent="0.25">
      <c r="A2975" s="13"/>
    </row>
    <row r="2976" spans="1:1" x14ac:dyDescent="0.25">
      <c r="A2976" s="13"/>
    </row>
    <row r="2977" spans="1:1" x14ac:dyDescent="0.25">
      <c r="A2977" s="13"/>
    </row>
    <row r="2978" spans="1:1" x14ac:dyDescent="0.25">
      <c r="A2978" s="13"/>
    </row>
    <row r="2979" spans="1:1" x14ac:dyDescent="0.25">
      <c r="A2979" s="13"/>
    </row>
    <row r="2980" spans="1:1" x14ac:dyDescent="0.25">
      <c r="A2980" s="13"/>
    </row>
    <row r="2981" spans="1:1" x14ac:dyDescent="0.25">
      <c r="A2981" s="13"/>
    </row>
    <row r="2982" spans="1:1" x14ac:dyDescent="0.25">
      <c r="A2982" s="13"/>
    </row>
    <row r="2983" spans="1:1" x14ac:dyDescent="0.25">
      <c r="A2983" s="13"/>
    </row>
    <row r="2984" spans="1:1" x14ac:dyDescent="0.25">
      <c r="A2984" s="13"/>
    </row>
    <row r="2985" spans="1:1" x14ac:dyDescent="0.25">
      <c r="A2985" s="13"/>
    </row>
    <row r="2986" spans="1:1" x14ac:dyDescent="0.25">
      <c r="A2986" s="13"/>
    </row>
    <row r="2987" spans="1:1" x14ac:dyDescent="0.25">
      <c r="A2987" s="13"/>
    </row>
    <row r="2988" spans="1:1" x14ac:dyDescent="0.25">
      <c r="A2988" s="13"/>
    </row>
    <row r="2989" spans="1:1" x14ac:dyDescent="0.25">
      <c r="A2989" s="13"/>
    </row>
    <row r="2990" spans="1:1" x14ac:dyDescent="0.25">
      <c r="A2990" s="13"/>
    </row>
    <row r="2991" spans="1:1" x14ac:dyDescent="0.25">
      <c r="A2991" s="13"/>
    </row>
    <row r="2992" spans="1:1" x14ac:dyDescent="0.25">
      <c r="A2992" s="13"/>
    </row>
    <row r="2993" spans="1:1" x14ac:dyDescent="0.25">
      <c r="A2993" s="13"/>
    </row>
    <row r="2994" spans="1:1" x14ac:dyDescent="0.25">
      <c r="A2994" s="13"/>
    </row>
    <row r="2995" spans="1:1" x14ac:dyDescent="0.25">
      <c r="A2995" s="13"/>
    </row>
    <row r="2996" spans="1:1" x14ac:dyDescent="0.25">
      <c r="A2996" s="13"/>
    </row>
    <row r="2997" spans="1:1" x14ac:dyDescent="0.25">
      <c r="A2997" s="13"/>
    </row>
    <row r="2998" spans="1:1" x14ac:dyDescent="0.25">
      <c r="A2998" s="13"/>
    </row>
    <row r="2999" spans="1:1" x14ac:dyDescent="0.25">
      <c r="A2999" s="13"/>
    </row>
    <row r="3000" spans="1:1" x14ac:dyDescent="0.25">
      <c r="A3000" s="13"/>
    </row>
    <row r="3001" spans="1:1" x14ac:dyDescent="0.25">
      <c r="A3001" s="13"/>
    </row>
    <row r="3002" spans="1:1" x14ac:dyDescent="0.25">
      <c r="A3002" s="13"/>
    </row>
    <row r="3003" spans="1:1" x14ac:dyDescent="0.25">
      <c r="A3003" s="13"/>
    </row>
    <row r="3004" spans="1:1" x14ac:dyDescent="0.25">
      <c r="A3004" s="13"/>
    </row>
    <row r="3005" spans="1:1" x14ac:dyDescent="0.25">
      <c r="A3005" s="13"/>
    </row>
    <row r="3006" spans="1:1" x14ac:dyDescent="0.25">
      <c r="A3006" s="13"/>
    </row>
    <row r="3007" spans="1:1" x14ac:dyDescent="0.25">
      <c r="A3007" s="13"/>
    </row>
    <row r="3008" spans="1:1" x14ac:dyDescent="0.25">
      <c r="A3008" s="13"/>
    </row>
    <row r="3009" spans="1:1" x14ac:dyDescent="0.25">
      <c r="A3009" s="13"/>
    </row>
    <row r="3010" spans="1:1" x14ac:dyDescent="0.25">
      <c r="A3010" s="13"/>
    </row>
    <row r="3011" spans="1:1" x14ac:dyDescent="0.25">
      <c r="A3011" s="13"/>
    </row>
    <row r="3012" spans="1:1" x14ac:dyDescent="0.25">
      <c r="A3012" s="13"/>
    </row>
    <row r="3013" spans="1:1" x14ac:dyDescent="0.25">
      <c r="A3013" s="13"/>
    </row>
    <row r="3014" spans="1:1" x14ac:dyDescent="0.25">
      <c r="A3014" s="13"/>
    </row>
    <row r="3015" spans="1:1" x14ac:dyDescent="0.25">
      <c r="A3015" s="13"/>
    </row>
    <row r="3016" spans="1:1" x14ac:dyDescent="0.25">
      <c r="A3016" s="13"/>
    </row>
    <row r="3017" spans="1:1" x14ac:dyDescent="0.25">
      <c r="A3017" s="13"/>
    </row>
    <row r="3018" spans="1:1" x14ac:dyDescent="0.25">
      <c r="A3018" s="13"/>
    </row>
    <row r="3019" spans="1:1" x14ac:dyDescent="0.25">
      <c r="A3019" s="13"/>
    </row>
    <row r="3020" spans="1:1" x14ac:dyDescent="0.25">
      <c r="A3020" s="13"/>
    </row>
    <row r="3021" spans="1:1" x14ac:dyDescent="0.25">
      <c r="A3021" s="13"/>
    </row>
    <row r="3022" spans="1:1" x14ac:dyDescent="0.25">
      <c r="A3022" s="13"/>
    </row>
    <row r="3023" spans="1:1" x14ac:dyDescent="0.25">
      <c r="A3023" s="13"/>
    </row>
    <row r="3024" spans="1:1" x14ac:dyDescent="0.25">
      <c r="A3024" s="13"/>
    </row>
    <row r="3025" spans="1:1" x14ac:dyDescent="0.25">
      <c r="A3025" s="13"/>
    </row>
    <row r="3026" spans="1:1" x14ac:dyDescent="0.25">
      <c r="A3026" s="13"/>
    </row>
    <row r="3027" spans="1:1" x14ac:dyDescent="0.25">
      <c r="A3027" s="13"/>
    </row>
    <row r="3028" spans="1:1" x14ac:dyDescent="0.25">
      <c r="A3028" s="13"/>
    </row>
    <row r="3029" spans="1:1" x14ac:dyDescent="0.25">
      <c r="A3029" s="13"/>
    </row>
    <row r="3030" spans="1:1" x14ac:dyDescent="0.25">
      <c r="A3030" s="13"/>
    </row>
    <row r="3031" spans="1:1" x14ac:dyDescent="0.25">
      <c r="A3031" s="13"/>
    </row>
    <row r="3032" spans="1:1" x14ac:dyDescent="0.25">
      <c r="A3032" s="13"/>
    </row>
    <row r="3033" spans="1:1" x14ac:dyDescent="0.25">
      <c r="A3033" s="13"/>
    </row>
    <row r="3034" spans="1:1" x14ac:dyDescent="0.25">
      <c r="A3034" s="13"/>
    </row>
    <row r="3035" spans="1:1" x14ac:dyDescent="0.25">
      <c r="A3035" s="13"/>
    </row>
    <row r="3036" spans="1:1" x14ac:dyDescent="0.25">
      <c r="A3036" s="13"/>
    </row>
    <row r="3037" spans="1:1" x14ac:dyDescent="0.25">
      <c r="A3037" s="13"/>
    </row>
    <row r="3038" spans="1:1" x14ac:dyDescent="0.25">
      <c r="A3038" s="13"/>
    </row>
    <row r="3039" spans="1:1" x14ac:dyDescent="0.25">
      <c r="A3039" s="13"/>
    </row>
    <row r="3040" spans="1:1" x14ac:dyDescent="0.25">
      <c r="A3040" s="13"/>
    </row>
    <row r="3041" spans="1:1" x14ac:dyDescent="0.25">
      <c r="A3041" s="13"/>
    </row>
    <row r="3042" spans="1:1" x14ac:dyDescent="0.25">
      <c r="A3042" s="13"/>
    </row>
    <row r="3043" spans="1:1" x14ac:dyDescent="0.25">
      <c r="A3043" s="13"/>
    </row>
    <row r="3044" spans="1:1" x14ac:dyDescent="0.25">
      <c r="A3044" s="13"/>
    </row>
    <row r="3045" spans="1:1" x14ac:dyDescent="0.25">
      <c r="A3045" s="13"/>
    </row>
    <row r="3046" spans="1:1" x14ac:dyDescent="0.25">
      <c r="A3046" s="13"/>
    </row>
    <row r="3047" spans="1:1" x14ac:dyDescent="0.25">
      <c r="A3047" s="13"/>
    </row>
    <row r="3048" spans="1:1" x14ac:dyDescent="0.25">
      <c r="A3048" s="13"/>
    </row>
    <row r="3049" spans="1:1" x14ac:dyDescent="0.25">
      <c r="A3049" s="13"/>
    </row>
    <row r="3050" spans="1:1" x14ac:dyDescent="0.25">
      <c r="A3050" s="13"/>
    </row>
    <row r="3051" spans="1:1" x14ac:dyDescent="0.25">
      <c r="A3051" s="13"/>
    </row>
    <row r="3052" spans="1:1" x14ac:dyDescent="0.25">
      <c r="A3052" s="13"/>
    </row>
    <row r="3053" spans="1:1" x14ac:dyDescent="0.25">
      <c r="A3053" s="13"/>
    </row>
    <row r="3054" spans="1:1" x14ac:dyDescent="0.25">
      <c r="A3054" s="13"/>
    </row>
    <row r="3055" spans="1:1" x14ac:dyDescent="0.25">
      <c r="A3055" s="13"/>
    </row>
    <row r="3056" spans="1:1" x14ac:dyDescent="0.25">
      <c r="A3056" s="13"/>
    </row>
    <row r="3057" spans="1:1" x14ac:dyDescent="0.25">
      <c r="A3057" s="13"/>
    </row>
    <row r="3058" spans="1:1" x14ac:dyDescent="0.25">
      <c r="A3058" s="13"/>
    </row>
    <row r="3059" spans="1:1" x14ac:dyDescent="0.25">
      <c r="A3059" s="13"/>
    </row>
    <row r="3060" spans="1:1" x14ac:dyDescent="0.25">
      <c r="A3060" s="13"/>
    </row>
    <row r="3061" spans="1:1" x14ac:dyDescent="0.25">
      <c r="A3061" s="13"/>
    </row>
    <row r="3062" spans="1:1" x14ac:dyDescent="0.25">
      <c r="A3062" s="13"/>
    </row>
    <row r="3063" spans="1:1" x14ac:dyDescent="0.25">
      <c r="A3063" s="13"/>
    </row>
    <row r="3064" spans="1:1" x14ac:dyDescent="0.25">
      <c r="A3064" s="13"/>
    </row>
    <row r="3065" spans="1:1" x14ac:dyDescent="0.25">
      <c r="A3065" s="13"/>
    </row>
    <row r="3066" spans="1:1" x14ac:dyDescent="0.25">
      <c r="A3066" s="13"/>
    </row>
    <row r="3067" spans="1:1" x14ac:dyDescent="0.25">
      <c r="A3067" s="13"/>
    </row>
    <row r="3068" spans="1:1" x14ac:dyDescent="0.25">
      <c r="A3068" s="13"/>
    </row>
    <row r="3069" spans="1:1" x14ac:dyDescent="0.25">
      <c r="A3069" s="13"/>
    </row>
    <row r="3070" spans="1:1" x14ac:dyDescent="0.25">
      <c r="A3070" s="13"/>
    </row>
    <row r="3071" spans="1:1" x14ac:dyDescent="0.25">
      <c r="A3071" s="13"/>
    </row>
    <row r="3072" spans="1:1" x14ac:dyDescent="0.25">
      <c r="A3072" s="13"/>
    </row>
    <row r="3073" spans="1:1" x14ac:dyDescent="0.25">
      <c r="A3073" s="13"/>
    </row>
    <row r="3074" spans="1:1" x14ac:dyDescent="0.25">
      <c r="A3074" s="13"/>
    </row>
    <row r="3075" spans="1:1" x14ac:dyDescent="0.25">
      <c r="A3075" s="13"/>
    </row>
    <row r="3076" spans="1:1" x14ac:dyDescent="0.25">
      <c r="A3076" s="13"/>
    </row>
    <row r="3077" spans="1:1" x14ac:dyDescent="0.25">
      <c r="A3077" s="13"/>
    </row>
    <row r="3078" spans="1:1" x14ac:dyDescent="0.25">
      <c r="A3078" s="13"/>
    </row>
    <row r="3079" spans="1:1" x14ac:dyDescent="0.25">
      <c r="A3079" s="13"/>
    </row>
    <row r="3080" spans="1:1" x14ac:dyDescent="0.25">
      <c r="A3080" s="13"/>
    </row>
    <row r="3081" spans="1:1" x14ac:dyDescent="0.25">
      <c r="A3081" s="13"/>
    </row>
    <row r="3082" spans="1:1" x14ac:dyDescent="0.25">
      <c r="A3082" s="13"/>
    </row>
    <row r="3083" spans="1:1" x14ac:dyDescent="0.25">
      <c r="A3083" s="13"/>
    </row>
    <row r="3084" spans="1:1" x14ac:dyDescent="0.25">
      <c r="A3084" s="13"/>
    </row>
    <row r="3085" spans="1:1" x14ac:dyDescent="0.25">
      <c r="A3085" s="13"/>
    </row>
    <row r="3086" spans="1:1" x14ac:dyDescent="0.25">
      <c r="A3086" s="13"/>
    </row>
    <row r="3087" spans="1:1" x14ac:dyDescent="0.25">
      <c r="A3087" s="13"/>
    </row>
    <row r="3088" spans="1:1" x14ac:dyDescent="0.25">
      <c r="A3088" s="13"/>
    </row>
    <row r="3089" spans="1:1" x14ac:dyDescent="0.25">
      <c r="A3089" s="13"/>
    </row>
    <row r="3090" spans="1:1" x14ac:dyDescent="0.25">
      <c r="A3090" s="13"/>
    </row>
    <row r="3091" spans="1:1" x14ac:dyDescent="0.25">
      <c r="A3091" s="13"/>
    </row>
    <row r="3092" spans="1:1" x14ac:dyDescent="0.25">
      <c r="A3092" s="13"/>
    </row>
    <row r="3093" spans="1:1" x14ac:dyDescent="0.25">
      <c r="A3093" s="13"/>
    </row>
    <row r="3094" spans="1:1" x14ac:dyDescent="0.25">
      <c r="A3094" s="13"/>
    </row>
    <row r="3095" spans="1:1" x14ac:dyDescent="0.25">
      <c r="A3095" s="13"/>
    </row>
    <row r="3096" spans="1:1" x14ac:dyDescent="0.25">
      <c r="A3096" s="13"/>
    </row>
    <row r="3097" spans="1:1" x14ac:dyDescent="0.25">
      <c r="A3097" s="13"/>
    </row>
    <row r="3098" spans="1:1" x14ac:dyDescent="0.25">
      <c r="A3098" s="13"/>
    </row>
    <row r="3099" spans="1:1" x14ac:dyDescent="0.25">
      <c r="A3099" s="13"/>
    </row>
    <row r="3100" spans="1:1" x14ac:dyDescent="0.25">
      <c r="A3100" s="13"/>
    </row>
    <row r="3101" spans="1:1" x14ac:dyDescent="0.25">
      <c r="A3101" s="13"/>
    </row>
    <row r="3102" spans="1:1" x14ac:dyDescent="0.25">
      <c r="A3102" s="13"/>
    </row>
    <row r="3103" spans="1:1" x14ac:dyDescent="0.25">
      <c r="A3103" s="13"/>
    </row>
    <row r="3104" spans="1:1" x14ac:dyDescent="0.25">
      <c r="A3104" s="13"/>
    </row>
    <row r="3105" spans="1:1" x14ac:dyDescent="0.25">
      <c r="A3105" s="13"/>
    </row>
    <row r="3106" spans="1:1" x14ac:dyDescent="0.25">
      <c r="A3106" s="13"/>
    </row>
    <row r="3107" spans="1:1" x14ac:dyDescent="0.25">
      <c r="A3107" s="13"/>
    </row>
    <row r="3108" spans="1:1" x14ac:dyDescent="0.25">
      <c r="A3108" s="13"/>
    </row>
    <row r="3109" spans="1:1" x14ac:dyDescent="0.25">
      <c r="A3109" s="13"/>
    </row>
    <row r="3110" spans="1:1" x14ac:dyDescent="0.25">
      <c r="A3110" s="13"/>
    </row>
    <row r="3111" spans="1:1" x14ac:dyDescent="0.25">
      <c r="A3111" s="13"/>
    </row>
    <row r="3112" spans="1:1" x14ac:dyDescent="0.25">
      <c r="A3112" s="13"/>
    </row>
    <row r="3113" spans="1:1" x14ac:dyDescent="0.25">
      <c r="A3113" s="13"/>
    </row>
    <row r="3114" spans="1:1" x14ac:dyDescent="0.25">
      <c r="A3114" s="13"/>
    </row>
    <row r="3115" spans="1:1" x14ac:dyDescent="0.25">
      <c r="A3115" s="13"/>
    </row>
    <row r="3116" spans="1:1" x14ac:dyDescent="0.25">
      <c r="A3116" s="13"/>
    </row>
    <row r="3117" spans="1:1" x14ac:dyDescent="0.25">
      <c r="A3117" s="13"/>
    </row>
    <row r="3118" spans="1:1" x14ac:dyDescent="0.25">
      <c r="A3118" s="13"/>
    </row>
    <row r="3119" spans="1:1" x14ac:dyDescent="0.25">
      <c r="A3119" s="13"/>
    </row>
    <row r="3120" spans="1:1" x14ac:dyDescent="0.25">
      <c r="A3120" s="13"/>
    </row>
    <row r="3121" spans="1:1" x14ac:dyDescent="0.25">
      <c r="A3121" s="13"/>
    </row>
    <row r="3122" spans="1:1" x14ac:dyDescent="0.25">
      <c r="A3122" s="13"/>
    </row>
    <row r="3123" spans="1:1" x14ac:dyDescent="0.25">
      <c r="A3123" s="13"/>
    </row>
    <row r="3124" spans="1:1" x14ac:dyDescent="0.25">
      <c r="A3124" s="13"/>
    </row>
    <row r="3125" spans="1:1" x14ac:dyDescent="0.25">
      <c r="A3125" s="13"/>
    </row>
    <row r="3126" spans="1:1" x14ac:dyDescent="0.25">
      <c r="A3126" s="13"/>
    </row>
    <row r="3127" spans="1:1" x14ac:dyDescent="0.25">
      <c r="A3127" s="13"/>
    </row>
    <row r="3128" spans="1:1" x14ac:dyDescent="0.25">
      <c r="A3128" s="13"/>
    </row>
    <row r="3129" spans="1:1" x14ac:dyDescent="0.25">
      <c r="A3129" s="13"/>
    </row>
    <row r="3130" spans="1:1" x14ac:dyDescent="0.25">
      <c r="A3130" s="13"/>
    </row>
    <row r="3131" spans="1:1" x14ac:dyDescent="0.25">
      <c r="A3131" s="13"/>
    </row>
    <row r="3132" spans="1:1" x14ac:dyDescent="0.25">
      <c r="A3132" s="13"/>
    </row>
    <row r="3133" spans="1:1" x14ac:dyDescent="0.25">
      <c r="A3133" s="13"/>
    </row>
    <row r="3134" spans="1:1" x14ac:dyDescent="0.25">
      <c r="A3134" s="13"/>
    </row>
    <row r="3135" spans="1:1" x14ac:dyDescent="0.25">
      <c r="A3135" s="13"/>
    </row>
    <row r="3136" spans="1:1" x14ac:dyDescent="0.25">
      <c r="A3136" s="13"/>
    </row>
    <row r="3137" spans="1:1" x14ac:dyDescent="0.25">
      <c r="A3137" s="13"/>
    </row>
    <row r="3138" spans="1:1" x14ac:dyDescent="0.25">
      <c r="A3138" s="13"/>
    </row>
    <row r="3139" spans="1:1" x14ac:dyDescent="0.25">
      <c r="A3139" s="13"/>
    </row>
    <row r="3140" spans="1:1" x14ac:dyDescent="0.25">
      <c r="A3140" s="13"/>
    </row>
    <row r="3141" spans="1:1" x14ac:dyDescent="0.25">
      <c r="A3141" s="13"/>
    </row>
    <row r="3142" spans="1:1" x14ac:dyDescent="0.25">
      <c r="A3142" s="13"/>
    </row>
    <row r="3143" spans="1:1" x14ac:dyDescent="0.25">
      <c r="A3143" s="13"/>
    </row>
    <row r="3144" spans="1:1" x14ac:dyDescent="0.25">
      <c r="A3144" s="13"/>
    </row>
    <row r="3145" spans="1:1" x14ac:dyDescent="0.25">
      <c r="A3145" s="13"/>
    </row>
    <row r="3146" spans="1:1" x14ac:dyDescent="0.25">
      <c r="A3146" s="13"/>
    </row>
    <row r="3147" spans="1:1" x14ac:dyDescent="0.25">
      <c r="A3147" s="13"/>
    </row>
    <row r="3148" spans="1:1" x14ac:dyDescent="0.25">
      <c r="A3148" s="13"/>
    </row>
    <row r="3149" spans="1:1" x14ac:dyDescent="0.25">
      <c r="A3149" s="13"/>
    </row>
    <row r="3150" spans="1:1" x14ac:dyDescent="0.25">
      <c r="A3150" s="13"/>
    </row>
    <row r="3151" spans="1:1" x14ac:dyDescent="0.25">
      <c r="A3151" s="13"/>
    </row>
    <row r="3152" spans="1:1" x14ac:dyDescent="0.25">
      <c r="A3152" s="13"/>
    </row>
    <row r="3153" spans="1:1" x14ac:dyDescent="0.25">
      <c r="A3153" s="13"/>
    </row>
    <row r="3154" spans="1:1" x14ac:dyDescent="0.25">
      <c r="A3154" s="13"/>
    </row>
    <row r="3155" spans="1:1" x14ac:dyDescent="0.25">
      <c r="A3155" s="13"/>
    </row>
    <row r="3156" spans="1:1" x14ac:dyDescent="0.25">
      <c r="A3156" s="13"/>
    </row>
    <row r="3157" spans="1:1" x14ac:dyDescent="0.25">
      <c r="A3157" s="13"/>
    </row>
    <row r="3158" spans="1:1" x14ac:dyDescent="0.25">
      <c r="A3158" s="13"/>
    </row>
    <row r="3159" spans="1:1" x14ac:dyDescent="0.25">
      <c r="A3159" s="13"/>
    </row>
    <row r="3160" spans="1:1" x14ac:dyDescent="0.25">
      <c r="A3160" s="13"/>
    </row>
    <row r="3161" spans="1:1" x14ac:dyDescent="0.25">
      <c r="A3161" s="13"/>
    </row>
    <row r="3162" spans="1:1" x14ac:dyDescent="0.25">
      <c r="A3162" s="13"/>
    </row>
    <row r="3163" spans="1:1" x14ac:dyDescent="0.25">
      <c r="A3163" s="13"/>
    </row>
    <row r="3164" spans="1:1" x14ac:dyDescent="0.25">
      <c r="A3164" s="13"/>
    </row>
    <row r="3165" spans="1:1" x14ac:dyDescent="0.25">
      <c r="A3165" s="13"/>
    </row>
    <row r="3166" spans="1:1" x14ac:dyDescent="0.25">
      <c r="A3166" s="13"/>
    </row>
    <row r="3167" spans="1:1" x14ac:dyDescent="0.25">
      <c r="A3167" s="13"/>
    </row>
    <row r="3168" spans="1:1" x14ac:dyDescent="0.25">
      <c r="A3168" s="13"/>
    </row>
    <row r="3169" spans="1:1" x14ac:dyDescent="0.25">
      <c r="A3169" s="13"/>
    </row>
    <row r="3170" spans="1:1" x14ac:dyDescent="0.25">
      <c r="A3170" s="13"/>
    </row>
    <row r="3171" spans="1:1" x14ac:dyDescent="0.25">
      <c r="A3171" s="13"/>
    </row>
    <row r="3172" spans="1:1" x14ac:dyDescent="0.25">
      <c r="A3172" s="13"/>
    </row>
    <row r="3173" spans="1:1" x14ac:dyDescent="0.25">
      <c r="A3173" s="13"/>
    </row>
    <row r="3174" spans="1:1" x14ac:dyDescent="0.25">
      <c r="A3174" s="13"/>
    </row>
    <row r="3175" spans="1:1" x14ac:dyDescent="0.25">
      <c r="A3175" s="13"/>
    </row>
    <row r="3176" spans="1:1" x14ac:dyDescent="0.25">
      <c r="A3176" s="13"/>
    </row>
    <row r="3177" spans="1:1" x14ac:dyDescent="0.25">
      <c r="A3177" s="13"/>
    </row>
    <row r="3178" spans="1:1" x14ac:dyDescent="0.25">
      <c r="A3178" s="13"/>
    </row>
    <row r="3179" spans="1:1" x14ac:dyDescent="0.25">
      <c r="A3179" s="13"/>
    </row>
    <row r="3180" spans="1:1" x14ac:dyDescent="0.25">
      <c r="A3180" s="13"/>
    </row>
    <row r="3181" spans="1:1" x14ac:dyDescent="0.25">
      <c r="A3181" s="13"/>
    </row>
    <row r="3182" spans="1:1" x14ac:dyDescent="0.25">
      <c r="A3182" s="13"/>
    </row>
    <row r="3183" spans="1:1" x14ac:dyDescent="0.25">
      <c r="A3183" s="13"/>
    </row>
    <row r="3184" spans="1:1" x14ac:dyDescent="0.25">
      <c r="A3184" s="13"/>
    </row>
    <row r="3185" spans="1:1" x14ac:dyDescent="0.25">
      <c r="A3185" s="13"/>
    </row>
    <row r="3186" spans="1:1" x14ac:dyDescent="0.25">
      <c r="A3186" s="13"/>
    </row>
    <row r="3187" spans="1:1" x14ac:dyDescent="0.25">
      <c r="A3187" s="13"/>
    </row>
    <row r="3188" spans="1:1" x14ac:dyDescent="0.25">
      <c r="A3188" s="13"/>
    </row>
    <row r="3189" spans="1:1" x14ac:dyDescent="0.25">
      <c r="A3189" s="13"/>
    </row>
    <row r="3190" spans="1:1" x14ac:dyDescent="0.25">
      <c r="A3190" s="13"/>
    </row>
    <row r="3191" spans="1:1" x14ac:dyDescent="0.25">
      <c r="A3191" s="13"/>
    </row>
    <row r="3192" spans="1:1" x14ac:dyDescent="0.25">
      <c r="A3192" s="13"/>
    </row>
    <row r="3193" spans="1:1" x14ac:dyDescent="0.25">
      <c r="A3193" s="13"/>
    </row>
    <row r="3194" spans="1:1" x14ac:dyDescent="0.25">
      <c r="A3194" s="13"/>
    </row>
    <row r="3195" spans="1:1" x14ac:dyDescent="0.25">
      <c r="A3195" s="13"/>
    </row>
    <row r="3196" spans="1:1" x14ac:dyDescent="0.25">
      <c r="A3196" s="13"/>
    </row>
    <row r="3197" spans="1:1" x14ac:dyDescent="0.25">
      <c r="A3197" s="13"/>
    </row>
    <row r="3198" spans="1:1" x14ac:dyDescent="0.25">
      <c r="A3198" s="13"/>
    </row>
    <row r="3199" spans="1:1" x14ac:dyDescent="0.25">
      <c r="A3199" s="13"/>
    </row>
    <row r="3200" spans="1:1" x14ac:dyDescent="0.25">
      <c r="A3200" s="13"/>
    </row>
    <row r="3201" spans="1:1" x14ac:dyDescent="0.25">
      <c r="A3201" s="13"/>
    </row>
    <row r="3202" spans="1:1" x14ac:dyDescent="0.25">
      <c r="A3202" s="13"/>
    </row>
    <row r="3203" spans="1:1" x14ac:dyDescent="0.25">
      <c r="A3203" s="13"/>
    </row>
    <row r="3204" spans="1:1" x14ac:dyDescent="0.25">
      <c r="A3204" s="13"/>
    </row>
    <row r="3205" spans="1:1" x14ac:dyDescent="0.25">
      <c r="A3205" s="13"/>
    </row>
    <row r="3206" spans="1:1" x14ac:dyDescent="0.25">
      <c r="A3206" s="13"/>
    </row>
    <row r="3207" spans="1:1" x14ac:dyDescent="0.25">
      <c r="A3207" s="13"/>
    </row>
    <row r="3208" spans="1:1" x14ac:dyDescent="0.25">
      <c r="A3208" s="13"/>
    </row>
    <row r="3209" spans="1:1" x14ac:dyDescent="0.25">
      <c r="A3209" s="13"/>
    </row>
    <row r="3210" spans="1:1" x14ac:dyDescent="0.25">
      <c r="A3210" s="13"/>
    </row>
    <row r="3211" spans="1:1" x14ac:dyDescent="0.25">
      <c r="A3211" s="13"/>
    </row>
    <row r="3212" spans="1:1" x14ac:dyDescent="0.25">
      <c r="A3212" s="13"/>
    </row>
    <row r="3213" spans="1:1" x14ac:dyDescent="0.25">
      <c r="A3213" s="13"/>
    </row>
    <row r="3214" spans="1:1" x14ac:dyDescent="0.25">
      <c r="A3214" s="13"/>
    </row>
    <row r="3215" spans="1:1" x14ac:dyDescent="0.25">
      <c r="A3215" s="13"/>
    </row>
    <row r="3216" spans="1:1" x14ac:dyDescent="0.25">
      <c r="A3216" s="13"/>
    </row>
    <row r="3217" spans="1:1" x14ac:dyDescent="0.25">
      <c r="A3217" s="13"/>
    </row>
    <row r="3218" spans="1:1" x14ac:dyDescent="0.25">
      <c r="A3218" s="13"/>
    </row>
    <row r="3219" spans="1:1" x14ac:dyDescent="0.25">
      <c r="A3219" s="13"/>
    </row>
    <row r="3220" spans="1:1" x14ac:dyDescent="0.25">
      <c r="A3220" s="13"/>
    </row>
    <row r="3221" spans="1:1" x14ac:dyDescent="0.25">
      <c r="A3221" s="13"/>
    </row>
    <row r="3222" spans="1:1" x14ac:dyDescent="0.25">
      <c r="A3222" s="13"/>
    </row>
    <row r="3223" spans="1:1" x14ac:dyDescent="0.25">
      <c r="A3223" s="13"/>
    </row>
    <row r="3224" spans="1:1" x14ac:dyDescent="0.25">
      <c r="A3224" s="13"/>
    </row>
    <row r="3225" spans="1:1" x14ac:dyDescent="0.25">
      <c r="A3225" s="13"/>
    </row>
    <row r="3226" spans="1:1" x14ac:dyDescent="0.25">
      <c r="A3226" s="13"/>
    </row>
    <row r="3227" spans="1:1" x14ac:dyDescent="0.25">
      <c r="A3227" s="13"/>
    </row>
    <row r="3228" spans="1:1" x14ac:dyDescent="0.25">
      <c r="A3228" s="13"/>
    </row>
    <row r="3229" spans="1:1" x14ac:dyDescent="0.25">
      <c r="A3229" s="13"/>
    </row>
    <row r="3230" spans="1:1" x14ac:dyDescent="0.25">
      <c r="A3230" s="13"/>
    </row>
    <row r="3231" spans="1:1" x14ac:dyDescent="0.25">
      <c r="A3231" s="13"/>
    </row>
    <row r="3232" spans="1:1" x14ac:dyDescent="0.25">
      <c r="A3232" s="13"/>
    </row>
    <row r="3233" spans="1:1" x14ac:dyDescent="0.25">
      <c r="A3233" s="13"/>
    </row>
    <row r="3234" spans="1:1" x14ac:dyDescent="0.25">
      <c r="A3234" s="13"/>
    </row>
    <row r="3235" spans="1:1" x14ac:dyDescent="0.25">
      <c r="A3235" s="13"/>
    </row>
    <row r="3236" spans="1:1" x14ac:dyDescent="0.25">
      <c r="A3236" s="13"/>
    </row>
    <row r="3237" spans="1:1" x14ac:dyDescent="0.25">
      <c r="A3237" s="13"/>
    </row>
    <row r="3238" spans="1:1" x14ac:dyDescent="0.25">
      <c r="A3238" s="13"/>
    </row>
    <row r="3239" spans="1:1" x14ac:dyDescent="0.25">
      <c r="A3239" s="13"/>
    </row>
    <row r="3240" spans="1:1" x14ac:dyDescent="0.25">
      <c r="A3240" s="13"/>
    </row>
    <row r="3241" spans="1:1" x14ac:dyDescent="0.25">
      <c r="A3241" s="13"/>
    </row>
    <row r="3242" spans="1:1" x14ac:dyDescent="0.25">
      <c r="A3242" s="13"/>
    </row>
    <row r="3243" spans="1:1" x14ac:dyDescent="0.25">
      <c r="A3243" s="13"/>
    </row>
    <row r="3244" spans="1:1" x14ac:dyDescent="0.25">
      <c r="A3244" s="13"/>
    </row>
    <row r="3245" spans="1:1" x14ac:dyDescent="0.25">
      <c r="A3245" s="13"/>
    </row>
    <row r="3246" spans="1:1" x14ac:dyDescent="0.25">
      <c r="A3246" s="13"/>
    </row>
    <row r="3247" spans="1:1" x14ac:dyDescent="0.25">
      <c r="A3247" s="13"/>
    </row>
    <row r="3248" spans="1:1" x14ac:dyDescent="0.25">
      <c r="A3248" s="13"/>
    </row>
    <row r="3249" spans="1:1" x14ac:dyDescent="0.25">
      <c r="A3249" s="13"/>
    </row>
    <row r="3250" spans="1:1" x14ac:dyDescent="0.25">
      <c r="A3250" s="13"/>
    </row>
    <row r="3251" spans="1:1" x14ac:dyDescent="0.25">
      <c r="A3251" s="13"/>
    </row>
    <row r="3252" spans="1:1" x14ac:dyDescent="0.25">
      <c r="A3252" s="13"/>
    </row>
    <row r="3253" spans="1:1" x14ac:dyDescent="0.25">
      <c r="A3253" s="13"/>
    </row>
    <row r="3254" spans="1:1" x14ac:dyDescent="0.25">
      <c r="A3254" s="13"/>
    </row>
    <row r="3255" spans="1:1" x14ac:dyDescent="0.25">
      <c r="A3255" s="13"/>
    </row>
    <row r="3256" spans="1:1" x14ac:dyDescent="0.25">
      <c r="A3256" s="13"/>
    </row>
    <row r="3257" spans="1:1" x14ac:dyDescent="0.25">
      <c r="A3257" s="13"/>
    </row>
    <row r="3258" spans="1:1" x14ac:dyDescent="0.25">
      <c r="A3258" s="13"/>
    </row>
    <row r="3259" spans="1:1" x14ac:dyDescent="0.25">
      <c r="A3259" s="13"/>
    </row>
    <row r="3260" spans="1:1" x14ac:dyDescent="0.25">
      <c r="A3260" s="13"/>
    </row>
    <row r="3261" spans="1:1" x14ac:dyDescent="0.25">
      <c r="A3261" s="13"/>
    </row>
    <row r="3262" spans="1:1" x14ac:dyDescent="0.25">
      <c r="A3262" s="13"/>
    </row>
    <row r="3263" spans="1:1" x14ac:dyDescent="0.25">
      <c r="A3263" s="13"/>
    </row>
    <row r="3264" spans="1:1" x14ac:dyDescent="0.25">
      <c r="A3264" s="13"/>
    </row>
    <row r="3265" spans="1:1" x14ac:dyDescent="0.25">
      <c r="A3265" s="13"/>
    </row>
    <row r="3266" spans="1:1" x14ac:dyDescent="0.25">
      <c r="A3266" s="13"/>
    </row>
    <row r="3267" spans="1:1" x14ac:dyDescent="0.25">
      <c r="A3267" s="13"/>
    </row>
    <row r="3268" spans="1:1" x14ac:dyDescent="0.25">
      <c r="A3268" s="13"/>
    </row>
    <row r="3269" spans="1:1" x14ac:dyDescent="0.25">
      <c r="A3269" s="13"/>
    </row>
    <row r="3270" spans="1:1" x14ac:dyDescent="0.25">
      <c r="A3270" s="13"/>
    </row>
    <row r="3271" spans="1:1" x14ac:dyDescent="0.25">
      <c r="A3271" s="13"/>
    </row>
    <row r="3272" spans="1:1" x14ac:dyDescent="0.25">
      <c r="A3272" s="13"/>
    </row>
    <row r="3273" spans="1:1" x14ac:dyDescent="0.25">
      <c r="A3273" s="13"/>
    </row>
    <row r="3274" spans="1:1" x14ac:dyDescent="0.25">
      <c r="A3274" s="13"/>
    </row>
    <row r="3275" spans="1:1" x14ac:dyDescent="0.25">
      <c r="A3275" s="13"/>
    </row>
    <row r="3276" spans="1:1" x14ac:dyDescent="0.25">
      <c r="A3276" s="13"/>
    </row>
    <row r="3277" spans="1:1" x14ac:dyDescent="0.25">
      <c r="A3277" s="13"/>
    </row>
    <row r="3278" spans="1:1" x14ac:dyDescent="0.25">
      <c r="A3278" s="13"/>
    </row>
    <row r="3279" spans="1:1" x14ac:dyDescent="0.25">
      <c r="A3279" s="13"/>
    </row>
    <row r="3280" spans="1:1" x14ac:dyDescent="0.25">
      <c r="A3280" s="13"/>
    </row>
    <row r="3281" spans="1:1" x14ac:dyDescent="0.25">
      <c r="A3281" s="13"/>
    </row>
    <row r="3282" spans="1:1" x14ac:dyDescent="0.25">
      <c r="A3282" s="13"/>
    </row>
    <row r="3283" spans="1:1" x14ac:dyDescent="0.25">
      <c r="A3283" s="13"/>
    </row>
    <row r="3284" spans="1:1" x14ac:dyDescent="0.25">
      <c r="A3284" s="13"/>
    </row>
    <row r="3285" spans="1:1" x14ac:dyDescent="0.25">
      <c r="A3285" s="13"/>
    </row>
    <row r="3286" spans="1:1" x14ac:dyDescent="0.25">
      <c r="A3286" s="13"/>
    </row>
    <row r="3287" spans="1:1" x14ac:dyDescent="0.25">
      <c r="A3287" s="13"/>
    </row>
    <row r="3288" spans="1:1" x14ac:dyDescent="0.25">
      <c r="A3288" s="13"/>
    </row>
    <row r="3289" spans="1:1" x14ac:dyDescent="0.25">
      <c r="A3289" s="13"/>
    </row>
    <row r="3290" spans="1:1" x14ac:dyDescent="0.25">
      <c r="A3290" s="13"/>
    </row>
    <row r="3291" spans="1:1" x14ac:dyDescent="0.25">
      <c r="A3291" s="13"/>
    </row>
    <row r="3292" spans="1:1" x14ac:dyDescent="0.25">
      <c r="A3292" s="13"/>
    </row>
    <row r="3293" spans="1:1" x14ac:dyDescent="0.25">
      <c r="A3293" s="13"/>
    </row>
    <row r="3294" spans="1:1" x14ac:dyDescent="0.25">
      <c r="A3294" s="13"/>
    </row>
    <row r="3295" spans="1:1" x14ac:dyDescent="0.25">
      <c r="A3295" s="13"/>
    </row>
    <row r="3296" spans="1:1" x14ac:dyDescent="0.25">
      <c r="A3296" s="13"/>
    </row>
    <row r="3297" spans="1:1" x14ac:dyDescent="0.25">
      <c r="A3297" s="13"/>
    </row>
    <row r="3298" spans="1:1" x14ac:dyDescent="0.25">
      <c r="A3298" s="13"/>
    </row>
    <row r="3299" spans="1:1" x14ac:dyDescent="0.25">
      <c r="A3299" s="13"/>
    </row>
    <row r="3300" spans="1:1" x14ac:dyDescent="0.25">
      <c r="A3300" s="13"/>
    </row>
    <row r="3301" spans="1:1" x14ac:dyDescent="0.25">
      <c r="A3301" s="13"/>
    </row>
    <row r="3302" spans="1:1" x14ac:dyDescent="0.25">
      <c r="A3302" s="13"/>
    </row>
    <row r="3303" spans="1:1" x14ac:dyDescent="0.25">
      <c r="A3303" s="13"/>
    </row>
    <row r="3304" spans="1:1" x14ac:dyDescent="0.25">
      <c r="A3304" s="13"/>
    </row>
    <row r="3305" spans="1:1" x14ac:dyDescent="0.25">
      <c r="A3305" s="13"/>
    </row>
    <row r="3306" spans="1:1" x14ac:dyDescent="0.25">
      <c r="A3306" s="13"/>
    </row>
    <row r="3307" spans="1:1" x14ac:dyDescent="0.25">
      <c r="A3307" s="13"/>
    </row>
    <row r="3308" spans="1:1" x14ac:dyDescent="0.25">
      <c r="A3308" s="13"/>
    </row>
    <row r="3309" spans="1:1" x14ac:dyDescent="0.25">
      <c r="A3309" s="13"/>
    </row>
    <row r="3310" spans="1:1" x14ac:dyDescent="0.25">
      <c r="A3310" s="13"/>
    </row>
    <row r="3311" spans="1:1" x14ac:dyDescent="0.25">
      <c r="A3311" s="13"/>
    </row>
    <row r="3312" spans="1:1" x14ac:dyDescent="0.25">
      <c r="A3312" s="13"/>
    </row>
    <row r="3313" spans="1:1" x14ac:dyDescent="0.25">
      <c r="A3313" s="13"/>
    </row>
    <row r="3314" spans="1:1" x14ac:dyDescent="0.25">
      <c r="A3314" s="13"/>
    </row>
    <row r="3315" spans="1:1" x14ac:dyDescent="0.25">
      <c r="A3315" s="13"/>
    </row>
    <row r="3316" spans="1:1" x14ac:dyDescent="0.25">
      <c r="A3316" s="13"/>
    </row>
    <row r="3317" spans="1:1" x14ac:dyDescent="0.25">
      <c r="A3317" s="13"/>
    </row>
    <row r="3318" spans="1:1" x14ac:dyDescent="0.25">
      <c r="A3318" s="13"/>
    </row>
    <row r="3319" spans="1:1" x14ac:dyDescent="0.25">
      <c r="A3319" s="13"/>
    </row>
    <row r="3320" spans="1:1" x14ac:dyDescent="0.25">
      <c r="A3320" s="13"/>
    </row>
    <row r="3321" spans="1:1" x14ac:dyDescent="0.25">
      <c r="A3321" s="13"/>
    </row>
    <row r="3322" spans="1:1" x14ac:dyDescent="0.25">
      <c r="A3322" s="13"/>
    </row>
    <row r="3323" spans="1:1" x14ac:dyDescent="0.25">
      <c r="A3323" s="13"/>
    </row>
    <row r="3324" spans="1:1" x14ac:dyDescent="0.25">
      <c r="A3324" s="13"/>
    </row>
    <row r="3325" spans="1:1" x14ac:dyDescent="0.25">
      <c r="A3325" s="13"/>
    </row>
    <row r="3326" spans="1:1" x14ac:dyDescent="0.25">
      <c r="A3326" s="13"/>
    </row>
    <row r="3327" spans="1:1" x14ac:dyDescent="0.25">
      <c r="A3327" s="13"/>
    </row>
    <row r="3328" spans="1:1" x14ac:dyDescent="0.25">
      <c r="A3328" s="13"/>
    </row>
    <row r="3329" spans="1:1" x14ac:dyDescent="0.25">
      <c r="A3329" s="13"/>
    </row>
    <row r="3330" spans="1:1" x14ac:dyDescent="0.25">
      <c r="A3330" s="13"/>
    </row>
    <row r="3331" spans="1:1" x14ac:dyDescent="0.25">
      <c r="A3331" s="13"/>
    </row>
    <row r="3332" spans="1:1" x14ac:dyDescent="0.25">
      <c r="A3332" s="13"/>
    </row>
    <row r="3333" spans="1:1" x14ac:dyDescent="0.25">
      <c r="A3333" s="13"/>
    </row>
    <row r="3334" spans="1:1" x14ac:dyDescent="0.25">
      <c r="A3334" s="13"/>
    </row>
    <row r="3335" spans="1:1" x14ac:dyDescent="0.25">
      <c r="A3335" s="13"/>
    </row>
    <row r="3336" spans="1:1" x14ac:dyDescent="0.25">
      <c r="A3336" s="13"/>
    </row>
    <row r="3337" spans="1:1" x14ac:dyDescent="0.25">
      <c r="A3337" s="13"/>
    </row>
    <row r="3338" spans="1:1" x14ac:dyDescent="0.25">
      <c r="A3338" s="13"/>
    </row>
    <row r="3339" spans="1:1" x14ac:dyDescent="0.25">
      <c r="A3339" s="13"/>
    </row>
    <row r="3340" spans="1:1" x14ac:dyDescent="0.25">
      <c r="A3340" s="13"/>
    </row>
    <row r="3341" spans="1:1" x14ac:dyDescent="0.25">
      <c r="A3341" s="13"/>
    </row>
    <row r="3342" spans="1:1" x14ac:dyDescent="0.25">
      <c r="A3342" s="13"/>
    </row>
    <row r="3343" spans="1:1" x14ac:dyDescent="0.25">
      <c r="A3343" s="13"/>
    </row>
    <row r="3344" spans="1:1" x14ac:dyDescent="0.25">
      <c r="A3344" s="13"/>
    </row>
    <row r="3345" spans="1:1" x14ac:dyDescent="0.25">
      <c r="A3345" s="13"/>
    </row>
    <row r="3346" spans="1:1" x14ac:dyDescent="0.25">
      <c r="A3346" s="13"/>
    </row>
    <row r="3347" spans="1:1" x14ac:dyDescent="0.25">
      <c r="A3347" s="13"/>
    </row>
    <row r="3348" spans="1:1" x14ac:dyDescent="0.25">
      <c r="A3348" s="13"/>
    </row>
    <row r="3349" spans="1:1" x14ac:dyDescent="0.25">
      <c r="A3349" s="13"/>
    </row>
    <row r="3350" spans="1:1" x14ac:dyDescent="0.25">
      <c r="A3350" s="13"/>
    </row>
    <row r="3351" spans="1:1" x14ac:dyDescent="0.25">
      <c r="A3351" s="13"/>
    </row>
    <row r="3352" spans="1:1" x14ac:dyDescent="0.25">
      <c r="A3352" s="13"/>
    </row>
    <row r="3353" spans="1:1" x14ac:dyDescent="0.25">
      <c r="A3353" s="13"/>
    </row>
    <row r="3354" spans="1:1" x14ac:dyDescent="0.25">
      <c r="A3354" s="13"/>
    </row>
    <row r="3355" spans="1:1" x14ac:dyDescent="0.25">
      <c r="A3355" s="13"/>
    </row>
    <row r="3356" spans="1:1" x14ac:dyDescent="0.25">
      <c r="A3356" s="13"/>
    </row>
    <row r="3357" spans="1:1" x14ac:dyDescent="0.25">
      <c r="A3357" s="13"/>
    </row>
    <row r="3358" spans="1:1" x14ac:dyDescent="0.25">
      <c r="A3358" s="13"/>
    </row>
    <row r="3359" spans="1:1" x14ac:dyDescent="0.25">
      <c r="A3359" s="13"/>
    </row>
    <row r="3360" spans="1:1" x14ac:dyDescent="0.25">
      <c r="A3360" s="13"/>
    </row>
    <row r="3361" spans="1:1" x14ac:dyDescent="0.25">
      <c r="A3361" s="13"/>
    </row>
    <row r="3362" spans="1:1" x14ac:dyDescent="0.25">
      <c r="A3362" s="13"/>
    </row>
    <row r="3363" spans="1:1" x14ac:dyDescent="0.25">
      <c r="A3363" s="13"/>
    </row>
    <row r="3364" spans="1:1" x14ac:dyDescent="0.25">
      <c r="A3364" s="13"/>
    </row>
    <row r="3365" spans="1:1" x14ac:dyDescent="0.25">
      <c r="A3365" s="13"/>
    </row>
    <row r="3366" spans="1:1" x14ac:dyDescent="0.25">
      <c r="A3366" s="13"/>
    </row>
    <row r="3367" spans="1:1" x14ac:dyDescent="0.25">
      <c r="A3367" s="13"/>
    </row>
    <row r="3368" spans="1:1" x14ac:dyDescent="0.25">
      <c r="A3368" s="13"/>
    </row>
    <row r="3369" spans="1:1" x14ac:dyDescent="0.25">
      <c r="A3369" s="13"/>
    </row>
    <row r="3370" spans="1:1" x14ac:dyDescent="0.25">
      <c r="A3370" s="13"/>
    </row>
    <row r="3371" spans="1:1" x14ac:dyDescent="0.25">
      <c r="A3371" s="13"/>
    </row>
    <row r="3372" spans="1:1" x14ac:dyDescent="0.25">
      <c r="A3372" s="13"/>
    </row>
    <row r="3373" spans="1:1" x14ac:dyDescent="0.25">
      <c r="A3373" s="13"/>
    </row>
    <row r="3374" spans="1:1" x14ac:dyDescent="0.25">
      <c r="A3374" s="13"/>
    </row>
    <row r="3375" spans="1:1" x14ac:dyDescent="0.25">
      <c r="A3375" s="13"/>
    </row>
    <row r="3376" spans="1:1" x14ac:dyDescent="0.25">
      <c r="A3376" s="13"/>
    </row>
    <row r="3377" spans="1:1" x14ac:dyDescent="0.25">
      <c r="A3377" s="13"/>
    </row>
    <row r="3378" spans="1:1" x14ac:dyDescent="0.25">
      <c r="A3378" s="13"/>
    </row>
    <row r="3379" spans="1:1" x14ac:dyDescent="0.25">
      <c r="A3379" s="13"/>
    </row>
    <row r="3380" spans="1:1" x14ac:dyDescent="0.25">
      <c r="A3380" s="13"/>
    </row>
    <row r="3381" spans="1:1" x14ac:dyDescent="0.25">
      <c r="A3381" s="13"/>
    </row>
    <row r="3382" spans="1:1" x14ac:dyDescent="0.25">
      <c r="A3382" s="13"/>
    </row>
    <row r="3383" spans="1:1" x14ac:dyDescent="0.25">
      <c r="A3383" s="13"/>
    </row>
    <row r="3384" spans="1:1" x14ac:dyDescent="0.25">
      <c r="A3384" s="13"/>
    </row>
    <row r="3385" spans="1:1" x14ac:dyDescent="0.25">
      <c r="A3385" s="13"/>
    </row>
    <row r="3386" spans="1:1" x14ac:dyDescent="0.25">
      <c r="A3386" s="13"/>
    </row>
    <row r="3387" spans="1:1" x14ac:dyDescent="0.25">
      <c r="A3387" s="13"/>
    </row>
    <row r="3388" spans="1:1" x14ac:dyDescent="0.25">
      <c r="A3388" s="13"/>
    </row>
    <row r="3389" spans="1:1" x14ac:dyDescent="0.25">
      <c r="A3389" s="13"/>
    </row>
    <row r="3390" spans="1:1" x14ac:dyDescent="0.25">
      <c r="A3390" s="13"/>
    </row>
    <row r="3391" spans="1:1" x14ac:dyDescent="0.25">
      <c r="A3391" s="13"/>
    </row>
    <row r="3392" spans="1:1" x14ac:dyDescent="0.25">
      <c r="A3392" s="13"/>
    </row>
    <row r="3393" spans="1:1" x14ac:dyDescent="0.25">
      <c r="A3393" s="13"/>
    </row>
    <row r="3394" spans="1:1" x14ac:dyDescent="0.25">
      <c r="A3394" s="13"/>
    </row>
    <row r="3395" spans="1:1" x14ac:dyDescent="0.25">
      <c r="A3395" s="13"/>
    </row>
    <row r="3396" spans="1:1" x14ac:dyDescent="0.25">
      <c r="A3396" s="13"/>
    </row>
    <row r="3397" spans="1:1" x14ac:dyDescent="0.25">
      <c r="A3397" s="13"/>
    </row>
    <row r="3398" spans="1:1" x14ac:dyDescent="0.25">
      <c r="A3398" s="13"/>
    </row>
    <row r="3399" spans="1:1" x14ac:dyDescent="0.25">
      <c r="A3399" s="13"/>
    </row>
    <row r="3400" spans="1:1" x14ac:dyDescent="0.25">
      <c r="A3400" s="13"/>
    </row>
    <row r="3401" spans="1:1" x14ac:dyDescent="0.25">
      <c r="A3401" s="13"/>
    </row>
    <row r="3402" spans="1:1" x14ac:dyDescent="0.25">
      <c r="A3402" s="13"/>
    </row>
    <row r="3403" spans="1:1" x14ac:dyDescent="0.25">
      <c r="A3403" s="13"/>
    </row>
    <row r="3404" spans="1:1" x14ac:dyDescent="0.25">
      <c r="A3404" s="13"/>
    </row>
    <row r="3405" spans="1:1" x14ac:dyDescent="0.25">
      <c r="A3405" s="13"/>
    </row>
    <row r="3406" spans="1:1" x14ac:dyDescent="0.25">
      <c r="A3406" s="13"/>
    </row>
    <row r="3407" spans="1:1" x14ac:dyDescent="0.25">
      <c r="A3407" s="13"/>
    </row>
    <row r="3408" spans="1:1" x14ac:dyDescent="0.25">
      <c r="A3408" s="13"/>
    </row>
    <row r="3409" spans="1:1" x14ac:dyDescent="0.25">
      <c r="A3409" s="13"/>
    </row>
    <row r="3410" spans="1:1" x14ac:dyDescent="0.25">
      <c r="A3410" s="13"/>
    </row>
    <row r="3411" spans="1:1" x14ac:dyDescent="0.25">
      <c r="A3411" s="13"/>
    </row>
    <row r="3412" spans="1:1" x14ac:dyDescent="0.25">
      <c r="A3412" s="13"/>
    </row>
    <row r="3413" spans="1:1" x14ac:dyDescent="0.25">
      <c r="A3413" s="13"/>
    </row>
    <row r="3414" spans="1:1" x14ac:dyDescent="0.25">
      <c r="A3414" s="13"/>
    </row>
    <row r="3415" spans="1:1" x14ac:dyDescent="0.25">
      <c r="A3415" s="13"/>
    </row>
    <row r="3416" spans="1:1" x14ac:dyDescent="0.25">
      <c r="A3416" s="13"/>
    </row>
    <row r="3417" spans="1:1" x14ac:dyDescent="0.25">
      <c r="A3417" s="13"/>
    </row>
    <row r="3418" spans="1:1" x14ac:dyDescent="0.25">
      <c r="A3418" s="13"/>
    </row>
    <row r="3419" spans="1:1" x14ac:dyDescent="0.25">
      <c r="A3419" s="13"/>
    </row>
    <row r="3420" spans="1:1" x14ac:dyDescent="0.25">
      <c r="A3420" s="13"/>
    </row>
    <row r="3421" spans="1:1" x14ac:dyDescent="0.25">
      <c r="A3421" s="13"/>
    </row>
    <row r="3422" spans="1:1" x14ac:dyDescent="0.25">
      <c r="A3422" s="13"/>
    </row>
    <row r="3423" spans="1:1" x14ac:dyDescent="0.25">
      <c r="A3423" s="13"/>
    </row>
    <row r="3424" spans="1:1" x14ac:dyDescent="0.25">
      <c r="A3424" s="13"/>
    </row>
    <row r="3425" spans="1:1" x14ac:dyDescent="0.25">
      <c r="A3425" s="13"/>
    </row>
    <row r="3426" spans="1:1" x14ac:dyDescent="0.25">
      <c r="A3426" s="13"/>
    </row>
    <row r="3427" spans="1:1" x14ac:dyDescent="0.25">
      <c r="A3427" s="13"/>
    </row>
    <row r="3428" spans="1:1" x14ac:dyDescent="0.25">
      <c r="A3428" s="13"/>
    </row>
    <row r="3429" spans="1:1" x14ac:dyDescent="0.25">
      <c r="A3429" s="13"/>
    </row>
    <row r="3430" spans="1:1" x14ac:dyDescent="0.25">
      <c r="A3430" s="13"/>
    </row>
    <row r="3431" spans="1:1" x14ac:dyDescent="0.25">
      <c r="A3431" s="13"/>
    </row>
    <row r="3432" spans="1:1" x14ac:dyDescent="0.25">
      <c r="A3432" s="13"/>
    </row>
    <row r="3433" spans="1:1" x14ac:dyDescent="0.25">
      <c r="A3433" s="13"/>
    </row>
    <row r="3434" spans="1:1" x14ac:dyDescent="0.25">
      <c r="A3434" s="13"/>
    </row>
    <row r="3435" spans="1:1" x14ac:dyDescent="0.25">
      <c r="A3435" s="13"/>
    </row>
    <row r="3436" spans="1:1" x14ac:dyDescent="0.25">
      <c r="A3436" s="13"/>
    </row>
    <row r="3437" spans="1:1" x14ac:dyDescent="0.25">
      <c r="A3437" s="13"/>
    </row>
    <row r="3438" spans="1:1" x14ac:dyDescent="0.25">
      <c r="A3438" s="13"/>
    </row>
    <row r="3439" spans="1:1" x14ac:dyDescent="0.25">
      <c r="A3439" s="13"/>
    </row>
    <row r="3440" spans="1:1" x14ac:dyDescent="0.25">
      <c r="A3440" s="13"/>
    </row>
    <row r="3441" spans="1:1" x14ac:dyDescent="0.25">
      <c r="A3441" s="13"/>
    </row>
    <row r="3442" spans="1:1" x14ac:dyDescent="0.25">
      <c r="A3442" s="13"/>
    </row>
    <row r="3443" spans="1:1" x14ac:dyDescent="0.25">
      <c r="A3443" s="13"/>
    </row>
    <row r="3444" spans="1:1" x14ac:dyDescent="0.25">
      <c r="A3444" s="13"/>
    </row>
    <row r="3445" spans="1:1" x14ac:dyDescent="0.25">
      <c r="A3445" s="13"/>
    </row>
    <row r="3446" spans="1:1" x14ac:dyDescent="0.25">
      <c r="A3446" s="13"/>
    </row>
    <row r="3447" spans="1:1" x14ac:dyDescent="0.25">
      <c r="A3447" s="13"/>
    </row>
    <row r="3448" spans="1:1" x14ac:dyDescent="0.25">
      <c r="A3448" s="13"/>
    </row>
    <row r="3449" spans="1:1" x14ac:dyDescent="0.25">
      <c r="A3449" s="13"/>
    </row>
    <row r="3450" spans="1:1" x14ac:dyDescent="0.25">
      <c r="A3450" s="13"/>
    </row>
    <row r="3451" spans="1:1" x14ac:dyDescent="0.25">
      <c r="A3451" s="13"/>
    </row>
    <row r="3452" spans="1:1" x14ac:dyDescent="0.25">
      <c r="A3452" s="13"/>
    </row>
    <row r="3453" spans="1:1" x14ac:dyDescent="0.25">
      <c r="A3453" s="13"/>
    </row>
    <row r="3454" spans="1:1" x14ac:dyDescent="0.25">
      <c r="A3454" s="13"/>
    </row>
    <row r="3455" spans="1:1" x14ac:dyDescent="0.25">
      <c r="A3455" s="13"/>
    </row>
    <row r="3456" spans="1:1" x14ac:dyDescent="0.25">
      <c r="A3456" s="13"/>
    </row>
    <row r="3457" spans="1:1" x14ac:dyDescent="0.25">
      <c r="A3457" s="13"/>
    </row>
    <row r="3458" spans="1:1" x14ac:dyDescent="0.25">
      <c r="A3458" s="13"/>
    </row>
    <row r="3459" spans="1:1" x14ac:dyDescent="0.25">
      <c r="A3459" s="13"/>
    </row>
    <row r="3460" spans="1:1" x14ac:dyDescent="0.25">
      <c r="A3460" s="13"/>
    </row>
    <row r="3461" spans="1:1" x14ac:dyDescent="0.25">
      <c r="A3461" s="13"/>
    </row>
    <row r="3462" spans="1:1" x14ac:dyDescent="0.25">
      <c r="A3462" s="13"/>
    </row>
    <row r="3463" spans="1:1" x14ac:dyDescent="0.25">
      <c r="A3463" s="13"/>
    </row>
    <row r="3464" spans="1:1" x14ac:dyDescent="0.25">
      <c r="A3464" s="13"/>
    </row>
    <row r="3465" spans="1:1" x14ac:dyDescent="0.25">
      <c r="A3465" s="13"/>
    </row>
    <row r="3466" spans="1:1" x14ac:dyDescent="0.25">
      <c r="A3466" s="13"/>
    </row>
    <row r="3467" spans="1:1" x14ac:dyDescent="0.25">
      <c r="A3467" s="13"/>
    </row>
    <row r="3468" spans="1:1" x14ac:dyDescent="0.25">
      <c r="A3468" s="13"/>
    </row>
    <row r="3469" spans="1:1" x14ac:dyDescent="0.25">
      <c r="A3469" s="13"/>
    </row>
    <row r="3470" spans="1:1" x14ac:dyDescent="0.25">
      <c r="A3470" s="13"/>
    </row>
    <row r="3471" spans="1:1" x14ac:dyDescent="0.25">
      <c r="A3471" s="13"/>
    </row>
    <row r="3472" spans="1:1" x14ac:dyDescent="0.25">
      <c r="A3472" s="13"/>
    </row>
    <row r="3473" spans="1:1" x14ac:dyDescent="0.25">
      <c r="A3473" s="13"/>
    </row>
    <row r="3474" spans="1:1" x14ac:dyDescent="0.25">
      <c r="A3474" s="13"/>
    </row>
    <row r="3475" spans="1:1" x14ac:dyDescent="0.25">
      <c r="A3475" s="13"/>
    </row>
    <row r="3476" spans="1:1" x14ac:dyDescent="0.25">
      <c r="A3476" s="13"/>
    </row>
    <row r="3477" spans="1:1" x14ac:dyDescent="0.25">
      <c r="A3477" s="13"/>
    </row>
    <row r="3478" spans="1:1" x14ac:dyDescent="0.25">
      <c r="A3478" s="13"/>
    </row>
    <row r="3479" spans="1:1" x14ac:dyDescent="0.25">
      <c r="A3479" s="13"/>
    </row>
    <row r="3480" spans="1:1" x14ac:dyDescent="0.25">
      <c r="A3480" s="13"/>
    </row>
    <row r="3481" spans="1:1" x14ac:dyDescent="0.25">
      <c r="A3481" s="13"/>
    </row>
    <row r="3482" spans="1:1" x14ac:dyDescent="0.25">
      <c r="A3482" s="13"/>
    </row>
    <row r="3483" spans="1:1" x14ac:dyDescent="0.25">
      <c r="A3483" s="13"/>
    </row>
    <row r="3484" spans="1:1" x14ac:dyDescent="0.25">
      <c r="A3484" s="13"/>
    </row>
    <row r="3485" spans="1:1" x14ac:dyDescent="0.25">
      <c r="A3485" s="13"/>
    </row>
    <row r="3486" spans="1:1" x14ac:dyDescent="0.25">
      <c r="A3486" s="13"/>
    </row>
    <row r="3487" spans="1:1" x14ac:dyDescent="0.25">
      <c r="A3487" s="13"/>
    </row>
    <row r="3488" spans="1:1" x14ac:dyDescent="0.25">
      <c r="A3488" s="13"/>
    </row>
    <row r="3489" spans="1:1" x14ac:dyDescent="0.25">
      <c r="A3489" s="13"/>
    </row>
    <row r="3490" spans="1:1" x14ac:dyDescent="0.25">
      <c r="A3490" s="13"/>
    </row>
    <row r="3491" spans="1:1" x14ac:dyDescent="0.25">
      <c r="A3491" s="13"/>
    </row>
    <row r="3492" spans="1:1" x14ac:dyDescent="0.25">
      <c r="A3492" s="13"/>
    </row>
    <row r="3493" spans="1:1" x14ac:dyDescent="0.25">
      <c r="A3493" s="13"/>
    </row>
    <row r="3494" spans="1:1" x14ac:dyDescent="0.25">
      <c r="A3494" s="13"/>
    </row>
    <row r="3495" spans="1:1" x14ac:dyDescent="0.25">
      <c r="A3495" s="13"/>
    </row>
    <row r="3496" spans="1:1" x14ac:dyDescent="0.25">
      <c r="A3496" s="13"/>
    </row>
    <row r="3497" spans="1:1" x14ac:dyDescent="0.25">
      <c r="A3497" s="13"/>
    </row>
    <row r="3498" spans="1:1" x14ac:dyDescent="0.25">
      <c r="A3498" s="13"/>
    </row>
    <row r="3499" spans="1:1" x14ac:dyDescent="0.25">
      <c r="A3499" s="13"/>
    </row>
    <row r="3500" spans="1:1" x14ac:dyDescent="0.25">
      <c r="A3500" s="13"/>
    </row>
    <row r="3501" spans="1:1" x14ac:dyDescent="0.25">
      <c r="A3501" s="13"/>
    </row>
    <row r="3502" spans="1:1" x14ac:dyDescent="0.25">
      <c r="A3502" s="13"/>
    </row>
    <row r="3503" spans="1:1" x14ac:dyDescent="0.25">
      <c r="A3503" s="13"/>
    </row>
    <row r="3504" spans="1:1" x14ac:dyDescent="0.25">
      <c r="A3504" s="13"/>
    </row>
    <row r="3505" spans="1:1" x14ac:dyDescent="0.25">
      <c r="A3505" s="13"/>
    </row>
    <row r="3506" spans="1:1" x14ac:dyDescent="0.25">
      <c r="A3506" s="13"/>
    </row>
    <row r="3507" spans="1:1" x14ac:dyDescent="0.25">
      <c r="A3507" s="13"/>
    </row>
    <row r="3508" spans="1:1" x14ac:dyDescent="0.25">
      <c r="A3508" s="13"/>
    </row>
    <row r="3509" spans="1:1" x14ac:dyDescent="0.25">
      <c r="A3509" s="13"/>
    </row>
    <row r="3510" spans="1:1" x14ac:dyDescent="0.25">
      <c r="A3510" s="13"/>
    </row>
    <row r="3511" spans="1:1" x14ac:dyDescent="0.25">
      <c r="A3511" s="13"/>
    </row>
    <row r="3512" spans="1:1" x14ac:dyDescent="0.25">
      <c r="A3512" s="13"/>
    </row>
    <row r="3513" spans="1:1" x14ac:dyDescent="0.25">
      <c r="A3513" s="13"/>
    </row>
    <row r="3514" spans="1:1" x14ac:dyDescent="0.25">
      <c r="A3514" s="13"/>
    </row>
    <row r="3515" spans="1:1" x14ac:dyDescent="0.25">
      <c r="A3515" s="13"/>
    </row>
    <row r="3516" spans="1:1" x14ac:dyDescent="0.25">
      <c r="A3516" s="13"/>
    </row>
    <row r="3517" spans="1:1" x14ac:dyDescent="0.25">
      <c r="A3517" s="13"/>
    </row>
    <row r="3518" spans="1:1" x14ac:dyDescent="0.25">
      <c r="A3518" s="13"/>
    </row>
    <row r="3519" spans="1:1" x14ac:dyDescent="0.25">
      <c r="A3519" s="13"/>
    </row>
    <row r="3520" spans="1:1" x14ac:dyDescent="0.25">
      <c r="A3520" s="13"/>
    </row>
    <row r="3521" spans="1:1" x14ac:dyDescent="0.25">
      <c r="A3521" s="13"/>
    </row>
    <row r="3522" spans="1:1" x14ac:dyDescent="0.25">
      <c r="A3522" s="13"/>
    </row>
    <row r="3523" spans="1:1" x14ac:dyDescent="0.25">
      <c r="A3523" s="13"/>
    </row>
    <row r="3524" spans="1:1" x14ac:dyDescent="0.25">
      <c r="A3524" s="13"/>
    </row>
    <row r="3525" spans="1:1" x14ac:dyDescent="0.25">
      <c r="A3525" s="13"/>
    </row>
    <row r="3526" spans="1:1" x14ac:dyDescent="0.25">
      <c r="A3526" s="13"/>
    </row>
    <row r="3527" spans="1:1" x14ac:dyDescent="0.25">
      <c r="A3527" s="13"/>
    </row>
    <row r="3528" spans="1:1" x14ac:dyDescent="0.25">
      <c r="A3528" s="13"/>
    </row>
    <row r="3529" spans="1:1" x14ac:dyDescent="0.25">
      <c r="A3529" s="13"/>
    </row>
    <row r="3530" spans="1:1" x14ac:dyDescent="0.25">
      <c r="A3530" s="13"/>
    </row>
    <row r="3531" spans="1:1" x14ac:dyDescent="0.25">
      <c r="A3531" s="13"/>
    </row>
    <row r="3532" spans="1:1" x14ac:dyDescent="0.25">
      <c r="A3532" s="13"/>
    </row>
    <row r="3533" spans="1:1" x14ac:dyDescent="0.25">
      <c r="A3533" s="13"/>
    </row>
    <row r="3534" spans="1:1" x14ac:dyDescent="0.25">
      <c r="A3534" s="13"/>
    </row>
    <row r="3535" spans="1:1" x14ac:dyDescent="0.25">
      <c r="A3535" s="13"/>
    </row>
    <row r="3536" spans="1:1" x14ac:dyDescent="0.25">
      <c r="A3536" s="13"/>
    </row>
    <row r="3537" spans="1:1" x14ac:dyDescent="0.25">
      <c r="A3537" s="13"/>
    </row>
    <row r="3538" spans="1:1" x14ac:dyDescent="0.25">
      <c r="A3538" s="13"/>
    </row>
    <row r="3539" spans="1:1" x14ac:dyDescent="0.25">
      <c r="A3539" s="13"/>
    </row>
    <row r="3540" spans="1:1" x14ac:dyDescent="0.25">
      <c r="A3540" s="13"/>
    </row>
    <row r="3541" spans="1:1" x14ac:dyDescent="0.25">
      <c r="A3541" s="13"/>
    </row>
    <row r="3542" spans="1:1" x14ac:dyDescent="0.25">
      <c r="A3542" s="13"/>
    </row>
    <row r="3543" spans="1:1" x14ac:dyDescent="0.25">
      <c r="A3543" s="13"/>
    </row>
    <row r="3544" spans="1:1" x14ac:dyDescent="0.25">
      <c r="A3544" s="13"/>
    </row>
    <row r="3545" spans="1:1" x14ac:dyDescent="0.25">
      <c r="A3545" s="13"/>
    </row>
    <row r="3546" spans="1:1" x14ac:dyDescent="0.25">
      <c r="A3546" s="13"/>
    </row>
    <row r="3547" spans="1:1" x14ac:dyDescent="0.25">
      <c r="A3547" s="13"/>
    </row>
    <row r="3548" spans="1:1" x14ac:dyDescent="0.25">
      <c r="A3548" s="13"/>
    </row>
    <row r="3549" spans="1:1" x14ac:dyDescent="0.25">
      <c r="A3549" s="13"/>
    </row>
    <row r="3550" spans="1:1" x14ac:dyDescent="0.25">
      <c r="A3550" s="13"/>
    </row>
    <row r="3551" spans="1:1" x14ac:dyDescent="0.25">
      <c r="A3551" s="13"/>
    </row>
    <row r="3552" spans="1:1" x14ac:dyDescent="0.25">
      <c r="A3552" s="13"/>
    </row>
    <row r="3553" spans="1:1" x14ac:dyDescent="0.25">
      <c r="A3553" s="13"/>
    </row>
    <row r="3554" spans="1:1" x14ac:dyDescent="0.25">
      <c r="A3554" s="13"/>
    </row>
    <row r="3555" spans="1:1" x14ac:dyDescent="0.25">
      <c r="A3555" s="13"/>
    </row>
    <row r="3556" spans="1:1" x14ac:dyDescent="0.25">
      <c r="A3556" s="13"/>
    </row>
    <row r="3557" spans="1:1" x14ac:dyDescent="0.25">
      <c r="A3557" s="13"/>
    </row>
    <row r="3558" spans="1:1" x14ac:dyDescent="0.25">
      <c r="A3558" s="13"/>
    </row>
    <row r="3559" spans="1:1" x14ac:dyDescent="0.25">
      <c r="A3559" s="13"/>
    </row>
    <row r="3560" spans="1:1" x14ac:dyDescent="0.25">
      <c r="A3560" s="13"/>
    </row>
    <row r="3561" spans="1:1" x14ac:dyDescent="0.25">
      <c r="A3561" s="13"/>
    </row>
    <row r="3562" spans="1:1" x14ac:dyDescent="0.25">
      <c r="A3562" s="13"/>
    </row>
    <row r="3563" spans="1:1" x14ac:dyDescent="0.25">
      <c r="A3563" s="13"/>
    </row>
    <row r="3564" spans="1:1" x14ac:dyDescent="0.25">
      <c r="A3564" s="13"/>
    </row>
    <row r="3565" spans="1:1" x14ac:dyDescent="0.25">
      <c r="A3565" s="13"/>
    </row>
    <row r="3566" spans="1:1" x14ac:dyDescent="0.25">
      <c r="A3566" s="13"/>
    </row>
    <row r="3567" spans="1:1" x14ac:dyDescent="0.25">
      <c r="A3567" s="13"/>
    </row>
    <row r="3568" spans="1:1" x14ac:dyDescent="0.25">
      <c r="A3568" s="13"/>
    </row>
    <row r="3569" spans="1:1" x14ac:dyDescent="0.25">
      <c r="A3569" s="13"/>
    </row>
    <row r="3570" spans="1:1" x14ac:dyDescent="0.25">
      <c r="A3570" s="13"/>
    </row>
    <row r="3571" spans="1:1" x14ac:dyDescent="0.25">
      <c r="A3571" s="13"/>
    </row>
    <row r="3572" spans="1:1" x14ac:dyDescent="0.25">
      <c r="A3572" s="13"/>
    </row>
    <row r="3573" spans="1:1" x14ac:dyDescent="0.25">
      <c r="A3573" s="13"/>
    </row>
    <row r="3574" spans="1:1" x14ac:dyDescent="0.25">
      <c r="A3574" s="13"/>
    </row>
    <row r="3575" spans="1:1" x14ac:dyDescent="0.25">
      <c r="A3575" s="13"/>
    </row>
    <row r="3576" spans="1:1" x14ac:dyDescent="0.25">
      <c r="A3576" s="13"/>
    </row>
    <row r="3577" spans="1:1" x14ac:dyDescent="0.25">
      <c r="A3577" s="13"/>
    </row>
    <row r="3578" spans="1:1" x14ac:dyDescent="0.25">
      <c r="A3578" s="13"/>
    </row>
    <row r="3579" spans="1:1" x14ac:dyDescent="0.25">
      <c r="A3579" s="13"/>
    </row>
    <row r="3580" spans="1:1" x14ac:dyDescent="0.25">
      <c r="A3580" s="13"/>
    </row>
    <row r="3581" spans="1:1" x14ac:dyDescent="0.25">
      <c r="A3581" s="13"/>
    </row>
    <row r="3582" spans="1:1" x14ac:dyDescent="0.25">
      <c r="A3582" s="13"/>
    </row>
    <row r="3583" spans="1:1" x14ac:dyDescent="0.25">
      <c r="A3583" s="13"/>
    </row>
    <row r="3584" spans="1:1" x14ac:dyDescent="0.25">
      <c r="A3584" s="13"/>
    </row>
    <row r="3585" spans="1:1" x14ac:dyDescent="0.25">
      <c r="A3585" s="13"/>
    </row>
    <row r="3586" spans="1:1" x14ac:dyDescent="0.25">
      <c r="A3586" s="13"/>
    </row>
    <row r="3587" spans="1:1" x14ac:dyDescent="0.25">
      <c r="A3587" s="13"/>
    </row>
    <row r="3588" spans="1:1" x14ac:dyDescent="0.25">
      <c r="A3588" s="13"/>
    </row>
    <row r="3589" spans="1:1" x14ac:dyDescent="0.25">
      <c r="A3589" s="13"/>
    </row>
    <row r="3590" spans="1:1" x14ac:dyDescent="0.25">
      <c r="A3590" s="13"/>
    </row>
    <row r="3591" spans="1:1" x14ac:dyDescent="0.25">
      <c r="A3591" s="13"/>
    </row>
    <row r="3592" spans="1:1" x14ac:dyDescent="0.25">
      <c r="A3592" s="13"/>
    </row>
    <row r="3593" spans="1:1" x14ac:dyDescent="0.25">
      <c r="A3593" s="13"/>
    </row>
    <row r="3594" spans="1:1" x14ac:dyDescent="0.25">
      <c r="A3594" s="13"/>
    </row>
    <row r="3595" spans="1:1" x14ac:dyDescent="0.25">
      <c r="A3595" s="13"/>
    </row>
    <row r="3596" spans="1:1" x14ac:dyDescent="0.25">
      <c r="A3596" s="13"/>
    </row>
    <row r="3597" spans="1:1" x14ac:dyDescent="0.25">
      <c r="A3597" s="13"/>
    </row>
    <row r="3598" spans="1:1" x14ac:dyDescent="0.25">
      <c r="A3598" s="13"/>
    </row>
    <row r="3599" spans="1:1" x14ac:dyDescent="0.25">
      <c r="A3599" s="13"/>
    </row>
    <row r="3600" spans="1:1" x14ac:dyDescent="0.25">
      <c r="A3600" s="13"/>
    </row>
    <row r="3601" spans="1:1" x14ac:dyDescent="0.25">
      <c r="A3601" s="13"/>
    </row>
    <row r="3602" spans="1:1" x14ac:dyDescent="0.25">
      <c r="A3602" s="13"/>
    </row>
    <row r="3603" spans="1:1" x14ac:dyDescent="0.25">
      <c r="A3603" s="13"/>
    </row>
    <row r="3604" spans="1:1" x14ac:dyDescent="0.25">
      <c r="A3604" s="13"/>
    </row>
    <row r="3605" spans="1:1" x14ac:dyDescent="0.25">
      <c r="A3605" s="13"/>
    </row>
    <row r="3606" spans="1:1" x14ac:dyDescent="0.25">
      <c r="A3606" s="13"/>
    </row>
    <row r="3607" spans="1:1" x14ac:dyDescent="0.25">
      <c r="A3607" s="13"/>
    </row>
    <row r="3608" spans="1:1" x14ac:dyDescent="0.25">
      <c r="A3608" s="13"/>
    </row>
    <row r="3609" spans="1:1" x14ac:dyDescent="0.25">
      <c r="A3609" s="13"/>
    </row>
    <row r="3610" spans="1:1" x14ac:dyDescent="0.25">
      <c r="A3610" s="13"/>
    </row>
    <row r="3611" spans="1:1" x14ac:dyDescent="0.25">
      <c r="A3611" s="13"/>
    </row>
    <row r="3612" spans="1:1" x14ac:dyDescent="0.25">
      <c r="A3612" s="13"/>
    </row>
    <row r="3613" spans="1:1" x14ac:dyDescent="0.25">
      <c r="A3613" s="13"/>
    </row>
    <row r="3614" spans="1:1" x14ac:dyDescent="0.25">
      <c r="A3614" s="13"/>
    </row>
    <row r="3615" spans="1:1" x14ac:dyDescent="0.25">
      <c r="A3615" s="13"/>
    </row>
    <row r="3616" spans="1:1" x14ac:dyDescent="0.25">
      <c r="A3616" s="13"/>
    </row>
    <row r="3617" spans="1:1" x14ac:dyDescent="0.25">
      <c r="A3617" s="13"/>
    </row>
    <row r="3618" spans="1:1" x14ac:dyDescent="0.25">
      <c r="A3618" s="13"/>
    </row>
    <row r="3619" spans="1:1" x14ac:dyDescent="0.25">
      <c r="A3619" s="13"/>
    </row>
    <row r="3620" spans="1:1" x14ac:dyDescent="0.25">
      <c r="A3620" s="13"/>
    </row>
    <row r="3621" spans="1:1" x14ac:dyDescent="0.25">
      <c r="A3621" s="13"/>
    </row>
    <row r="3622" spans="1:1" x14ac:dyDescent="0.25">
      <c r="A3622" s="13"/>
    </row>
    <row r="3623" spans="1:1" x14ac:dyDescent="0.25">
      <c r="A3623" s="13"/>
    </row>
    <row r="3624" spans="1:1" x14ac:dyDescent="0.25">
      <c r="A3624" s="13"/>
    </row>
    <row r="3625" spans="1:1" x14ac:dyDescent="0.25">
      <c r="A3625" s="13"/>
    </row>
    <row r="3626" spans="1:1" x14ac:dyDescent="0.25">
      <c r="A3626" s="13"/>
    </row>
    <row r="3627" spans="1:1" x14ac:dyDescent="0.25">
      <c r="A3627" s="13"/>
    </row>
    <row r="3628" spans="1:1" x14ac:dyDescent="0.25">
      <c r="A3628" s="13"/>
    </row>
    <row r="3629" spans="1:1" x14ac:dyDescent="0.25">
      <c r="A3629" s="13"/>
    </row>
    <row r="3630" spans="1:1" x14ac:dyDescent="0.25">
      <c r="A3630" s="13"/>
    </row>
    <row r="3631" spans="1:1" x14ac:dyDescent="0.25">
      <c r="A3631" s="13"/>
    </row>
    <row r="3632" spans="1:1" x14ac:dyDescent="0.25">
      <c r="A3632" s="13"/>
    </row>
    <row r="3633" spans="1:1" x14ac:dyDescent="0.25">
      <c r="A3633" s="13"/>
    </row>
    <row r="3634" spans="1:1" x14ac:dyDescent="0.25">
      <c r="A3634" s="13"/>
    </row>
    <row r="3635" spans="1:1" x14ac:dyDescent="0.25">
      <c r="A3635" s="13"/>
    </row>
    <row r="3636" spans="1:1" x14ac:dyDescent="0.25">
      <c r="A3636" s="13"/>
    </row>
    <row r="3637" spans="1:1" x14ac:dyDescent="0.25">
      <c r="A3637" s="13"/>
    </row>
    <row r="3638" spans="1:1" x14ac:dyDescent="0.25">
      <c r="A3638" s="13"/>
    </row>
    <row r="3639" spans="1:1" x14ac:dyDescent="0.25">
      <c r="A3639" s="13"/>
    </row>
    <row r="3640" spans="1:1" x14ac:dyDescent="0.25">
      <c r="A3640" s="13"/>
    </row>
    <row r="3641" spans="1:1" x14ac:dyDescent="0.25">
      <c r="A3641" s="13"/>
    </row>
    <row r="3642" spans="1:1" x14ac:dyDescent="0.25">
      <c r="A3642" s="13"/>
    </row>
    <row r="3643" spans="1:1" x14ac:dyDescent="0.25">
      <c r="A3643" s="13"/>
    </row>
    <row r="3644" spans="1:1" x14ac:dyDescent="0.25">
      <c r="A3644" s="13"/>
    </row>
    <row r="3645" spans="1:1" x14ac:dyDescent="0.25">
      <c r="A3645" s="13"/>
    </row>
    <row r="3646" spans="1:1" x14ac:dyDescent="0.25">
      <c r="A3646" s="13"/>
    </row>
    <row r="3647" spans="1:1" x14ac:dyDescent="0.25">
      <c r="A3647" s="13"/>
    </row>
    <row r="3648" spans="1:1" x14ac:dyDescent="0.25">
      <c r="A3648" s="13"/>
    </row>
    <row r="3649" spans="1:1" x14ac:dyDescent="0.25">
      <c r="A3649" s="13"/>
    </row>
    <row r="3650" spans="1:1" x14ac:dyDescent="0.25">
      <c r="A3650" s="13"/>
    </row>
    <row r="3651" spans="1:1" x14ac:dyDescent="0.25">
      <c r="A3651" s="13"/>
    </row>
    <row r="3652" spans="1:1" x14ac:dyDescent="0.25">
      <c r="A3652" s="13"/>
    </row>
    <row r="3653" spans="1:1" x14ac:dyDescent="0.25">
      <c r="A3653" s="13"/>
    </row>
    <row r="3654" spans="1:1" x14ac:dyDescent="0.25">
      <c r="A3654" s="13"/>
    </row>
    <row r="3655" spans="1:1" x14ac:dyDescent="0.25">
      <c r="A3655" s="13"/>
    </row>
    <row r="3656" spans="1:1" x14ac:dyDescent="0.25">
      <c r="A3656" s="13"/>
    </row>
    <row r="3657" spans="1:1" x14ac:dyDescent="0.25">
      <c r="A3657" s="13"/>
    </row>
    <row r="3658" spans="1:1" x14ac:dyDescent="0.25">
      <c r="A3658" s="13"/>
    </row>
    <row r="3659" spans="1:1" x14ac:dyDescent="0.25">
      <c r="A3659" s="13"/>
    </row>
    <row r="3660" spans="1:1" x14ac:dyDescent="0.25">
      <c r="A3660" s="13"/>
    </row>
    <row r="3661" spans="1:1" x14ac:dyDescent="0.25">
      <c r="A3661" s="13"/>
    </row>
    <row r="3662" spans="1:1" x14ac:dyDescent="0.25">
      <c r="A3662" s="13"/>
    </row>
    <row r="3663" spans="1:1" x14ac:dyDescent="0.25">
      <c r="A3663" s="13"/>
    </row>
    <row r="3664" spans="1:1" x14ac:dyDescent="0.25">
      <c r="A3664" s="13"/>
    </row>
    <row r="3665" spans="1:1" x14ac:dyDescent="0.25">
      <c r="A3665" s="13"/>
    </row>
    <row r="3666" spans="1:1" x14ac:dyDescent="0.25">
      <c r="A3666" s="13"/>
    </row>
    <row r="3667" spans="1:1" x14ac:dyDescent="0.25">
      <c r="A3667" s="13"/>
    </row>
    <row r="3668" spans="1:1" x14ac:dyDescent="0.25">
      <c r="A3668" s="13"/>
    </row>
    <row r="3669" spans="1:1" x14ac:dyDescent="0.25">
      <c r="A3669" s="13"/>
    </row>
    <row r="3670" spans="1:1" x14ac:dyDescent="0.25">
      <c r="A3670" s="13"/>
    </row>
    <row r="3671" spans="1:1" x14ac:dyDescent="0.25">
      <c r="A3671" s="13"/>
    </row>
    <row r="3672" spans="1:1" x14ac:dyDescent="0.25">
      <c r="A3672" s="13"/>
    </row>
    <row r="3673" spans="1:1" x14ac:dyDescent="0.25">
      <c r="A3673" s="13"/>
    </row>
    <row r="3674" spans="1:1" x14ac:dyDescent="0.25">
      <c r="A3674" s="13"/>
    </row>
    <row r="3675" spans="1:1" x14ac:dyDescent="0.25">
      <c r="A3675" s="13"/>
    </row>
    <row r="3676" spans="1:1" x14ac:dyDescent="0.25">
      <c r="A3676" s="13"/>
    </row>
    <row r="3677" spans="1:1" x14ac:dyDescent="0.25">
      <c r="A3677" s="13"/>
    </row>
    <row r="3678" spans="1:1" x14ac:dyDescent="0.25">
      <c r="A3678" s="13"/>
    </row>
    <row r="3679" spans="1:1" x14ac:dyDescent="0.25">
      <c r="A3679" s="13"/>
    </row>
    <row r="3680" spans="1:1" x14ac:dyDescent="0.25">
      <c r="A3680" s="13"/>
    </row>
    <row r="3681" spans="1:1" x14ac:dyDescent="0.25">
      <c r="A3681" s="13"/>
    </row>
    <row r="3682" spans="1:1" x14ac:dyDescent="0.25">
      <c r="A3682" s="13"/>
    </row>
    <row r="3683" spans="1:1" x14ac:dyDescent="0.25">
      <c r="A3683" s="13"/>
    </row>
    <row r="3684" spans="1:1" x14ac:dyDescent="0.25">
      <c r="A3684" s="13"/>
    </row>
    <row r="3685" spans="1:1" x14ac:dyDescent="0.25">
      <c r="A3685" s="13"/>
    </row>
    <row r="3686" spans="1:1" x14ac:dyDescent="0.25">
      <c r="A3686" s="13"/>
    </row>
    <row r="3687" spans="1:1" x14ac:dyDescent="0.25">
      <c r="A3687" s="13"/>
    </row>
    <row r="3688" spans="1:1" x14ac:dyDescent="0.25">
      <c r="A3688" s="13"/>
    </row>
    <row r="3689" spans="1:1" x14ac:dyDescent="0.25">
      <c r="A3689" s="13"/>
    </row>
    <row r="3690" spans="1:1" x14ac:dyDescent="0.25">
      <c r="A3690" s="13"/>
    </row>
    <row r="3691" spans="1:1" x14ac:dyDescent="0.25">
      <c r="A3691" s="13"/>
    </row>
    <row r="3692" spans="1:1" x14ac:dyDescent="0.25">
      <c r="A3692" s="13"/>
    </row>
    <row r="3693" spans="1:1" x14ac:dyDescent="0.25">
      <c r="A3693" s="13"/>
    </row>
    <row r="3694" spans="1:1" x14ac:dyDescent="0.25">
      <c r="A3694" s="13"/>
    </row>
    <row r="3695" spans="1:1" x14ac:dyDescent="0.25">
      <c r="A3695" s="13"/>
    </row>
    <row r="3696" spans="1:1" x14ac:dyDescent="0.25">
      <c r="A3696" s="13"/>
    </row>
    <row r="3697" spans="1:1" x14ac:dyDescent="0.25">
      <c r="A3697" s="13"/>
    </row>
    <row r="3698" spans="1:1" x14ac:dyDescent="0.25">
      <c r="A3698" s="13"/>
    </row>
    <row r="3699" spans="1:1" x14ac:dyDescent="0.25">
      <c r="A3699" s="13"/>
    </row>
    <row r="3700" spans="1:1" x14ac:dyDescent="0.25">
      <c r="A3700" s="13"/>
    </row>
    <row r="3701" spans="1:1" x14ac:dyDescent="0.25">
      <c r="A3701" s="13"/>
    </row>
    <row r="3702" spans="1:1" x14ac:dyDescent="0.25">
      <c r="A3702" s="13"/>
    </row>
    <row r="3703" spans="1:1" x14ac:dyDescent="0.25">
      <c r="A3703" s="13"/>
    </row>
    <row r="3704" spans="1:1" x14ac:dyDescent="0.25">
      <c r="A3704" s="13"/>
    </row>
    <row r="3705" spans="1:1" x14ac:dyDescent="0.25">
      <c r="A3705" s="13"/>
    </row>
    <row r="3706" spans="1:1" x14ac:dyDescent="0.25">
      <c r="A3706" s="13"/>
    </row>
    <row r="3707" spans="1:1" x14ac:dyDescent="0.25">
      <c r="A3707" s="13"/>
    </row>
    <row r="3708" spans="1:1" x14ac:dyDescent="0.25">
      <c r="A3708" s="13"/>
    </row>
    <row r="3709" spans="1:1" x14ac:dyDescent="0.25">
      <c r="A3709" s="13"/>
    </row>
    <row r="3710" spans="1:1" x14ac:dyDescent="0.25">
      <c r="A3710" s="13"/>
    </row>
    <row r="3711" spans="1:1" x14ac:dyDescent="0.25">
      <c r="A3711" s="13"/>
    </row>
    <row r="3712" spans="1:1" x14ac:dyDescent="0.25">
      <c r="A3712" s="13"/>
    </row>
    <row r="3713" spans="1:1" x14ac:dyDescent="0.25">
      <c r="A3713" s="13"/>
    </row>
    <row r="3714" spans="1:1" x14ac:dyDescent="0.25">
      <c r="A3714" s="13"/>
    </row>
    <row r="3715" spans="1:1" x14ac:dyDescent="0.25">
      <c r="A3715" s="13"/>
    </row>
    <row r="3716" spans="1:1" x14ac:dyDescent="0.25">
      <c r="A3716" s="13"/>
    </row>
    <row r="3717" spans="1:1" x14ac:dyDescent="0.25">
      <c r="A3717" s="13"/>
    </row>
    <row r="3718" spans="1:1" x14ac:dyDescent="0.25">
      <c r="A3718" s="13"/>
    </row>
    <row r="3719" spans="1:1" x14ac:dyDescent="0.25">
      <c r="A3719" s="13"/>
    </row>
    <row r="3720" spans="1:1" x14ac:dyDescent="0.25">
      <c r="A3720" s="13"/>
    </row>
    <row r="3721" spans="1:1" x14ac:dyDescent="0.25">
      <c r="A3721" s="13"/>
    </row>
    <row r="3722" spans="1:1" x14ac:dyDescent="0.25">
      <c r="A3722" s="13"/>
    </row>
    <row r="3723" spans="1:1" x14ac:dyDescent="0.25">
      <c r="A3723" s="13"/>
    </row>
    <row r="3724" spans="1:1" x14ac:dyDescent="0.25">
      <c r="A3724" s="13"/>
    </row>
    <row r="3725" spans="1:1" x14ac:dyDescent="0.25">
      <c r="A3725" s="13"/>
    </row>
    <row r="3726" spans="1:1" x14ac:dyDescent="0.25">
      <c r="A3726" s="13"/>
    </row>
    <row r="3727" spans="1:1" x14ac:dyDescent="0.25">
      <c r="A3727" s="13"/>
    </row>
    <row r="3728" spans="1:1" x14ac:dyDescent="0.25">
      <c r="A3728" s="13"/>
    </row>
    <row r="3729" spans="1:1" x14ac:dyDescent="0.25">
      <c r="A3729" s="13"/>
    </row>
    <row r="3730" spans="1:1" x14ac:dyDescent="0.25">
      <c r="A3730" s="13"/>
    </row>
    <row r="3731" spans="1:1" x14ac:dyDescent="0.25">
      <c r="A3731" s="13"/>
    </row>
    <row r="3732" spans="1:1" x14ac:dyDescent="0.25">
      <c r="A3732" s="13"/>
    </row>
    <row r="3733" spans="1:1" x14ac:dyDescent="0.25">
      <c r="A3733" s="13"/>
    </row>
    <row r="3734" spans="1:1" x14ac:dyDescent="0.25">
      <c r="A3734" s="13"/>
    </row>
    <row r="3735" spans="1:1" x14ac:dyDescent="0.25">
      <c r="A3735" s="13"/>
    </row>
    <row r="3736" spans="1:1" x14ac:dyDescent="0.25">
      <c r="A3736" s="13"/>
    </row>
    <row r="3737" spans="1:1" x14ac:dyDescent="0.25">
      <c r="A3737" s="13"/>
    </row>
    <row r="3738" spans="1:1" x14ac:dyDescent="0.25">
      <c r="A3738" s="13"/>
    </row>
    <row r="3739" spans="1:1" x14ac:dyDescent="0.25">
      <c r="A3739" s="13"/>
    </row>
    <row r="3740" spans="1:1" x14ac:dyDescent="0.25">
      <c r="A3740" s="13"/>
    </row>
    <row r="3741" spans="1:1" x14ac:dyDescent="0.25">
      <c r="A3741" s="13"/>
    </row>
    <row r="3742" spans="1:1" x14ac:dyDescent="0.25">
      <c r="A3742" s="13"/>
    </row>
    <row r="3743" spans="1:1" x14ac:dyDescent="0.25">
      <c r="A3743" s="13"/>
    </row>
    <row r="3744" spans="1:1" x14ac:dyDescent="0.25">
      <c r="A3744" s="13"/>
    </row>
    <row r="3745" spans="1:1" x14ac:dyDescent="0.25">
      <c r="A3745" s="13"/>
    </row>
    <row r="3746" spans="1:1" x14ac:dyDescent="0.25">
      <c r="A3746" s="13"/>
    </row>
    <row r="3747" spans="1:1" x14ac:dyDescent="0.25">
      <c r="A3747" s="13"/>
    </row>
    <row r="3748" spans="1:1" x14ac:dyDescent="0.25">
      <c r="A3748" s="13"/>
    </row>
    <row r="3749" spans="1:1" x14ac:dyDescent="0.25">
      <c r="A3749" s="13"/>
    </row>
    <row r="3750" spans="1:1" x14ac:dyDescent="0.25">
      <c r="A3750" s="13"/>
    </row>
    <row r="3751" spans="1:1" x14ac:dyDescent="0.25">
      <c r="A3751" s="13"/>
    </row>
    <row r="3752" spans="1:1" x14ac:dyDescent="0.25">
      <c r="A3752" s="13"/>
    </row>
    <row r="3753" spans="1:1" x14ac:dyDescent="0.25">
      <c r="A3753" s="13"/>
    </row>
    <row r="3754" spans="1:1" x14ac:dyDescent="0.25">
      <c r="A3754" s="13"/>
    </row>
    <row r="3755" spans="1:1" x14ac:dyDescent="0.25">
      <c r="A3755" s="13"/>
    </row>
    <row r="3756" spans="1:1" x14ac:dyDescent="0.25">
      <c r="A3756" s="13"/>
    </row>
    <row r="3757" spans="1:1" x14ac:dyDescent="0.25">
      <c r="A3757" s="13"/>
    </row>
    <row r="3758" spans="1:1" x14ac:dyDescent="0.25">
      <c r="A3758" s="13"/>
    </row>
    <row r="3759" spans="1:1" x14ac:dyDescent="0.25">
      <c r="A3759" s="13"/>
    </row>
    <row r="3760" spans="1:1" x14ac:dyDescent="0.25">
      <c r="A3760" s="13"/>
    </row>
    <row r="3761" spans="1:1" x14ac:dyDescent="0.25">
      <c r="A3761" s="13"/>
    </row>
    <row r="3762" spans="1:1" x14ac:dyDescent="0.25">
      <c r="A3762" s="13"/>
    </row>
    <row r="3763" spans="1:1" x14ac:dyDescent="0.25">
      <c r="A3763" s="13"/>
    </row>
    <row r="3764" spans="1:1" x14ac:dyDescent="0.25">
      <c r="A3764" s="13"/>
    </row>
    <row r="3765" spans="1:1" x14ac:dyDescent="0.25">
      <c r="A3765" s="13"/>
    </row>
    <row r="3766" spans="1:1" x14ac:dyDescent="0.25">
      <c r="A3766" s="13"/>
    </row>
    <row r="3767" spans="1:1" x14ac:dyDescent="0.25">
      <c r="A3767" s="13"/>
    </row>
    <row r="3768" spans="1:1" x14ac:dyDescent="0.25">
      <c r="A3768" s="13"/>
    </row>
    <row r="3769" spans="1:1" x14ac:dyDescent="0.25">
      <c r="A3769" s="13"/>
    </row>
    <row r="3770" spans="1:1" x14ac:dyDescent="0.25">
      <c r="A3770" s="13"/>
    </row>
    <row r="3771" spans="1:1" x14ac:dyDescent="0.25">
      <c r="A3771" s="13"/>
    </row>
    <row r="3772" spans="1:1" x14ac:dyDescent="0.25">
      <c r="A3772" s="13"/>
    </row>
    <row r="3773" spans="1:1" x14ac:dyDescent="0.25">
      <c r="A3773" s="13"/>
    </row>
    <row r="3774" spans="1:1" x14ac:dyDescent="0.25">
      <c r="A3774" s="13"/>
    </row>
    <row r="3775" spans="1:1" x14ac:dyDescent="0.25">
      <c r="A3775" s="13"/>
    </row>
    <row r="3776" spans="1:1" x14ac:dyDescent="0.25">
      <c r="A3776" s="13"/>
    </row>
    <row r="3777" spans="1:1" x14ac:dyDescent="0.25">
      <c r="A3777" s="13"/>
    </row>
    <row r="3778" spans="1:1" x14ac:dyDescent="0.25">
      <c r="A3778" s="13"/>
    </row>
    <row r="3779" spans="1:1" x14ac:dyDescent="0.25">
      <c r="A3779" s="13"/>
    </row>
    <row r="3780" spans="1:1" x14ac:dyDescent="0.25">
      <c r="A3780" s="13"/>
    </row>
    <row r="3781" spans="1:1" x14ac:dyDescent="0.25">
      <c r="A3781" s="13"/>
    </row>
    <row r="3782" spans="1:1" x14ac:dyDescent="0.25">
      <c r="A3782" s="13"/>
    </row>
    <row r="3783" spans="1:1" x14ac:dyDescent="0.25">
      <c r="A3783" s="13"/>
    </row>
    <row r="3784" spans="1:1" x14ac:dyDescent="0.25">
      <c r="A3784" s="13"/>
    </row>
    <row r="3785" spans="1:1" x14ac:dyDescent="0.25">
      <c r="A3785" s="13"/>
    </row>
    <row r="3786" spans="1:1" x14ac:dyDescent="0.25">
      <c r="A3786" s="13"/>
    </row>
    <row r="3787" spans="1:1" x14ac:dyDescent="0.25">
      <c r="A3787" s="13"/>
    </row>
    <row r="3788" spans="1:1" x14ac:dyDescent="0.25">
      <c r="A3788" s="13"/>
    </row>
    <row r="3789" spans="1:1" x14ac:dyDescent="0.25">
      <c r="A3789" s="13"/>
    </row>
    <row r="3790" spans="1:1" x14ac:dyDescent="0.25">
      <c r="A3790" s="13"/>
    </row>
    <row r="3791" spans="1:1" x14ac:dyDescent="0.25">
      <c r="A3791" s="13"/>
    </row>
    <row r="3792" spans="1:1" x14ac:dyDescent="0.25">
      <c r="A3792" s="13"/>
    </row>
    <row r="3793" spans="1:1" x14ac:dyDescent="0.25">
      <c r="A3793" s="13"/>
    </row>
    <row r="3794" spans="1:1" x14ac:dyDescent="0.25">
      <c r="A3794" s="13"/>
    </row>
    <row r="3795" spans="1:1" x14ac:dyDescent="0.25">
      <c r="A3795" s="13"/>
    </row>
    <row r="3796" spans="1:1" x14ac:dyDescent="0.25">
      <c r="A3796" s="13"/>
    </row>
    <row r="3797" spans="1:1" x14ac:dyDescent="0.25">
      <c r="A3797" s="13"/>
    </row>
    <row r="3798" spans="1:1" x14ac:dyDescent="0.25">
      <c r="A3798" s="13"/>
    </row>
    <row r="3799" spans="1:1" x14ac:dyDescent="0.25">
      <c r="A3799" s="13"/>
    </row>
    <row r="3800" spans="1:1" x14ac:dyDescent="0.25">
      <c r="A3800" s="13"/>
    </row>
    <row r="3801" spans="1:1" x14ac:dyDescent="0.25">
      <c r="A3801" s="13"/>
    </row>
    <row r="3802" spans="1:1" x14ac:dyDescent="0.25">
      <c r="A3802" s="13"/>
    </row>
    <row r="3803" spans="1:1" x14ac:dyDescent="0.25">
      <c r="A3803" s="13"/>
    </row>
    <row r="3804" spans="1:1" x14ac:dyDescent="0.25">
      <c r="A3804" s="13"/>
    </row>
    <row r="3805" spans="1:1" x14ac:dyDescent="0.25">
      <c r="A3805" s="13"/>
    </row>
    <row r="3806" spans="1:1" x14ac:dyDescent="0.25">
      <c r="A3806" s="13"/>
    </row>
    <row r="3807" spans="1:1" x14ac:dyDescent="0.25">
      <c r="A3807" s="13"/>
    </row>
    <row r="3808" spans="1:1" x14ac:dyDescent="0.25">
      <c r="A3808" s="13"/>
    </row>
    <row r="3809" spans="1:1" x14ac:dyDescent="0.25">
      <c r="A3809" s="13"/>
    </row>
    <row r="3810" spans="1:1" x14ac:dyDescent="0.25">
      <c r="A3810" s="13"/>
    </row>
    <row r="3811" spans="1:1" x14ac:dyDescent="0.25">
      <c r="A3811" s="13"/>
    </row>
    <row r="3812" spans="1:1" x14ac:dyDescent="0.25">
      <c r="A3812" s="13"/>
    </row>
    <row r="3813" spans="1:1" x14ac:dyDescent="0.25">
      <c r="A3813" s="13"/>
    </row>
    <row r="3814" spans="1:1" x14ac:dyDescent="0.25">
      <c r="A3814" s="13"/>
    </row>
    <row r="3815" spans="1:1" x14ac:dyDescent="0.25">
      <c r="A3815" s="13"/>
    </row>
    <row r="3816" spans="1:1" x14ac:dyDescent="0.25">
      <c r="A3816" s="13"/>
    </row>
    <row r="3817" spans="1:1" x14ac:dyDescent="0.25">
      <c r="A3817" s="13"/>
    </row>
    <row r="3818" spans="1:1" x14ac:dyDescent="0.25">
      <c r="A3818" s="13"/>
    </row>
    <row r="3819" spans="1:1" x14ac:dyDescent="0.25">
      <c r="A3819" s="13"/>
    </row>
    <row r="3820" spans="1:1" x14ac:dyDescent="0.25">
      <c r="A3820" s="13"/>
    </row>
    <row r="3821" spans="1:1" x14ac:dyDescent="0.25">
      <c r="A3821" s="13"/>
    </row>
    <row r="3822" spans="1:1" x14ac:dyDescent="0.25">
      <c r="A3822" s="13"/>
    </row>
    <row r="3823" spans="1:1" x14ac:dyDescent="0.25">
      <c r="A3823" s="13"/>
    </row>
    <row r="3824" spans="1:1" x14ac:dyDescent="0.25">
      <c r="A3824" s="13"/>
    </row>
    <row r="3825" spans="1:1" x14ac:dyDescent="0.25">
      <c r="A3825" s="13"/>
    </row>
    <row r="3826" spans="1:1" x14ac:dyDescent="0.25">
      <c r="A3826" s="13"/>
    </row>
    <row r="3827" spans="1:1" x14ac:dyDescent="0.25">
      <c r="A3827" s="13"/>
    </row>
    <row r="3828" spans="1:1" x14ac:dyDescent="0.25">
      <c r="A3828" s="13"/>
    </row>
    <row r="3829" spans="1:1" x14ac:dyDescent="0.25">
      <c r="A3829" s="13"/>
    </row>
    <row r="3830" spans="1:1" x14ac:dyDescent="0.25">
      <c r="A3830" s="13"/>
    </row>
    <row r="3831" spans="1:1" x14ac:dyDescent="0.25">
      <c r="A3831" s="13"/>
    </row>
    <row r="3832" spans="1:1" x14ac:dyDescent="0.25">
      <c r="A3832" s="13"/>
    </row>
    <row r="3833" spans="1:1" x14ac:dyDescent="0.25">
      <c r="A3833" s="13"/>
    </row>
    <row r="3834" spans="1:1" x14ac:dyDescent="0.25">
      <c r="A3834" s="13"/>
    </row>
    <row r="3835" spans="1:1" x14ac:dyDescent="0.25">
      <c r="A3835" s="13"/>
    </row>
    <row r="3836" spans="1:1" x14ac:dyDescent="0.25">
      <c r="A3836" s="13"/>
    </row>
    <row r="3837" spans="1:1" x14ac:dyDescent="0.25">
      <c r="A3837" s="13"/>
    </row>
    <row r="3838" spans="1:1" x14ac:dyDescent="0.25">
      <c r="A3838" s="13"/>
    </row>
    <row r="3839" spans="1:1" x14ac:dyDescent="0.25">
      <c r="A3839" s="13"/>
    </row>
    <row r="3840" spans="1:1" x14ac:dyDescent="0.25">
      <c r="A3840" s="13"/>
    </row>
    <row r="3841" spans="1:1" x14ac:dyDescent="0.25">
      <c r="A3841" s="13"/>
    </row>
    <row r="3842" spans="1:1" x14ac:dyDescent="0.25">
      <c r="A3842" s="13"/>
    </row>
    <row r="3843" spans="1:1" x14ac:dyDescent="0.25">
      <c r="A3843" s="13"/>
    </row>
    <row r="3844" spans="1:1" x14ac:dyDescent="0.25">
      <c r="A3844" s="13"/>
    </row>
    <row r="3845" spans="1:1" x14ac:dyDescent="0.25">
      <c r="A3845" s="13"/>
    </row>
    <row r="3846" spans="1:1" x14ac:dyDescent="0.25">
      <c r="A3846" s="13"/>
    </row>
    <row r="3847" spans="1:1" x14ac:dyDescent="0.25">
      <c r="A3847" s="13"/>
    </row>
    <row r="3848" spans="1:1" x14ac:dyDescent="0.25">
      <c r="A3848" s="13"/>
    </row>
    <row r="3849" spans="1:1" x14ac:dyDescent="0.25">
      <c r="A3849" s="13"/>
    </row>
    <row r="3850" spans="1:1" x14ac:dyDescent="0.25">
      <c r="A3850" s="13"/>
    </row>
    <row r="3851" spans="1:1" x14ac:dyDescent="0.25">
      <c r="A3851" s="13"/>
    </row>
    <row r="3852" spans="1:1" x14ac:dyDescent="0.25">
      <c r="A3852" s="13"/>
    </row>
    <row r="3853" spans="1:1" x14ac:dyDescent="0.25">
      <c r="A3853" s="13"/>
    </row>
    <row r="3854" spans="1:1" x14ac:dyDescent="0.25">
      <c r="A3854" s="13"/>
    </row>
    <row r="3855" spans="1:1" x14ac:dyDescent="0.25">
      <c r="A3855" s="13"/>
    </row>
    <row r="3856" spans="1:1" x14ac:dyDescent="0.25">
      <c r="A3856" s="13"/>
    </row>
    <row r="3857" spans="1:1" x14ac:dyDescent="0.25">
      <c r="A3857" s="13"/>
    </row>
    <row r="3858" spans="1:1" x14ac:dyDescent="0.25">
      <c r="A3858" s="13"/>
    </row>
    <row r="3859" spans="1:1" x14ac:dyDescent="0.25">
      <c r="A3859" s="13"/>
    </row>
    <row r="3860" spans="1:1" x14ac:dyDescent="0.25">
      <c r="A3860" s="13"/>
    </row>
    <row r="3861" spans="1:1" x14ac:dyDescent="0.25">
      <c r="A3861" s="13"/>
    </row>
    <row r="3862" spans="1:1" x14ac:dyDescent="0.25">
      <c r="A3862" s="13"/>
    </row>
    <row r="3863" spans="1:1" x14ac:dyDescent="0.25">
      <c r="A3863" s="13"/>
    </row>
    <row r="3864" spans="1:1" x14ac:dyDescent="0.25">
      <c r="A3864" s="13"/>
    </row>
    <row r="3865" spans="1:1" x14ac:dyDescent="0.25">
      <c r="A3865" s="13"/>
    </row>
    <row r="3866" spans="1:1" x14ac:dyDescent="0.25">
      <c r="A3866" s="13"/>
    </row>
    <row r="3867" spans="1:1" x14ac:dyDescent="0.25">
      <c r="A3867" s="13"/>
    </row>
    <row r="3868" spans="1:1" x14ac:dyDescent="0.25">
      <c r="A3868" s="13"/>
    </row>
    <row r="3869" spans="1:1" x14ac:dyDescent="0.25">
      <c r="A3869" s="13"/>
    </row>
    <row r="3870" spans="1:1" x14ac:dyDescent="0.25">
      <c r="A3870" s="13"/>
    </row>
    <row r="3871" spans="1:1" x14ac:dyDescent="0.25">
      <c r="A3871" s="13"/>
    </row>
    <row r="3872" spans="1:1" x14ac:dyDescent="0.25">
      <c r="A3872" s="13"/>
    </row>
    <row r="3873" spans="1:1" x14ac:dyDescent="0.25">
      <c r="A3873" s="13"/>
    </row>
    <row r="3874" spans="1:1" x14ac:dyDescent="0.25">
      <c r="A3874" s="13"/>
    </row>
    <row r="3875" spans="1:1" x14ac:dyDescent="0.25">
      <c r="A3875" s="13"/>
    </row>
    <row r="3876" spans="1:1" x14ac:dyDescent="0.25">
      <c r="A3876" s="13"/>
    </row>
    <row r="3877" spans="1:1" x14ac:dyDescent="0.25">
      <c r="A3877" s="13"/>
    </row>
    <row r="3878" spans="1:1" x14ac:dyDescent="0.25">
      <c r="A3878" s="13"/>
    </row>
    <row r="3879" spans="1:1" x14ac:dyDescent="0.25">
      <c r="A3879" s="13"/>
    </row>
    <row r="3880" spans="1:1" x14ac:dyDescent="0.25">
      <c r="A3880" s="13"/>
    </row>
    <row r="3881" spans="1:1" x14ac:dyDescent="0.25">
      <c r="A3881" s="13"/>
    </row>
    <row r="3882" spans="1:1" x14ac:dyDescent="0.25">
      <c r="A3882" s="13"/>
    </row>
    <row r="3883" spans="1:1" x14ac:dyDescent="0.25">
      <c r="A3883" s="13"/>
    </row>
    <row r="3884" spans="1:1" x14ac:dyDescent="0.25">
      <c r="A3884" s="13"/>
    </row>
    <row r="3885" spans="1:1" x14ac:dyDescent="0.25">
      <c r="A3885" s="13"/>
    </row>
    <row r="3886" spans="1:1" x14ac:dyDescent="0.25">
      <c r="A3886" s="13"/>
    </row>
    <row r="3887" spans="1:1" x14ac:dyDescent="0.25">
      <c r="A3887" s="13"/>
    </row>
    <row r="3888" spans="1:1" x14ac:dyDescent="0.25">
      <c r="A3888" s="13"/>
    </row>
    <row r="3889" spans="1:1" x14ac:dyDescent="0.25">
      <c r="A3889" s="13"/>
    </row>
    <row r="3890" spans="1:1" x14ac:dyDescent="0.25">
      <c r="A3890" s="13"/>
    </row>
    <row r="3891" spans="1:1" x14ac:dyDescent="0.25">
      <c r="A3891" s="13"/>
    </row>
    <row r="3892" spans="1:1" x14ac:dyDescent="0.25">
      <c r="A3892" s="13"/>
    </row>
    <row r="3893" spans="1:1" x14ac:dyDescent="0.25">
      <c r="A3893" s="13"/>
    </row>
    <row r="3894" spans="1:1" x14ac:dyDescent="0.25">
      <c r="A3894" s="13"/>
    </row>
    <row r="3895" spans="1:1" x14ac:dyDescent="0.25">
      <c r="A3895" s="13"/>
    </row>
    <row r="3896" spans="1:1" x14ac:dyDescent="0.25">
      <c r="A3896" s="13"/>
    </row>
    <row r="3897" spans="1:1" x14ac:dyDescent="0.25">
      <c r="A3897" s="13"/>
    </row>
    <row r="3898" spans="1:1" x14ac:dyDescent="0.25">
      <c r="A3898" s="13"/>
    </row>
    <row r="3899" spans="1:1" x14ac:dyDescent="0.25">
      <c r="A3899" s="13"/>
    </row>
    <row r="3900" spans="1:1" x14ac:dyDescent="0.25">
      <c r="A3900" s="13"/>
    </row>
    <row r="3901" spans="1:1" x14ac:dyDescent="0.25">
      <c r="A3901" s="13"/>
    </row>
    <row r="3902" spans="1:1" x14ac:dyDescent="0.25">
      <c r="A3902" s="13"/>
    </row>
    <row r="3903" spans="1:1" x14ac:dyDescent="0.25">
      <c r="A3903" s="13"/>
    </row>
    <row r="3904" spans="1:1" x14ac:dyDescent="0.25">
      <c r="A3904" s="13"/>
    </row>
    <row r="3905" spans="1:1" x14ac:dyDescent="0.25">
      <c r="A3905" s="13"/>
    </row>
    <row r="3906" spans="1:1" x14ac:dyDescent="0.25">
      <c r="A3906" s="13"/>
    </row>
    <row r="3907" spans="1:1" x14ac:dyDescent="0.25">
      <c r="A3907" s="13"/>
    </row>
    <row r="3908" spans="1:1" x14ac:dyDescent="0.25">
      <c r="A3908" s="13"/>
    </row>
    <row r="3909" spans="1:1" x14ac:dyDescent="0.25">
      <c r="A3909" s="13"/>
    </row>
    <row r="3910" spans="1:1" x14ac:dyDescent="0.25">
      <c r="A3910" s="13"/>
    </row>
    <row r="3911" spans="1:1" x14ac:dyDescent="0.25">
      <c r="A3911" s="13"/>
    </row>
    <row r="3912" spans="1:1" x14ac:dyDescent="0.25">
      <c r="A3912" s="13"/>
    </row>
    <row r="3913" spans="1:1" x14ac:dyDescent="0.25">
      <c r="A3913" s="13"/>
    </row>
    <row r="3914" spans="1:1" x14ac:dyDescent="0.25">
      <c r="A3914" s="13"/>
    </row>
    <row r="3915" spans="1:1" x14ac:dyDescent="0.25">
      <c r="A3915" s="13"/>
    </row>
    <row r="3916" spans="1:1" x14ac:dyDescent="0.25">
      <c r="A3916" s="13"/>
    </row>
    <row r="3917" spans="1:1" x14ac:dyDescent="0.25">
      <c r="A3917" s="13"/>
    </row>
    <row r="3918" spans="1:1" x14ac:dyDescent="0.25">
      <c r="A3918" s="13"/>
    </row>
    <row r="3919" spans="1:1" x14ac:dyDescent="0.25">
      <c r="A3919" s="13"/>
    </row>
    <row r="3920" spans="1:1" x14ac:dyDescent="0.25">
      <c r="A3920" s="13"/>
    </row>
    <row r="3921" spans="1:1" x14ac:dyDescent="0.25">
      <c r="A3921" s="13"/>
    </row>
    <row r="3922" spans="1:1" x14ac:dyDescent="0.25">
      <c r="A3922" s="13"/>
    </row>
    <row r="3923" spans="1:1" x14ac:dyDescent="0.25">
      <c r="A3923" s="13"/>
    </row>
    <row r="3924" spans="1:1" x14ac:dyDescent="0.25">
      <c r="A3924" s="13"/>
    </row>
    <row r="3925" spans="1:1" x14ac:dyDescent="0.25">
      <c r="A3925" s="13"/>
    </row>
    <row r="3926" spans="1:1" x14ac:dyDescent="0.25">
      <c r="A3926" s="13"/>
    </row>
    <row r="3927" spans="1:1" x14ac:dyDescent="0.25">
      <c r="A3927" s="13"/>
    </row>
    <row r="3928" spans="1:1" x14ac:dyDescent="0.25">
      <c r="A3928" s="13"/>
    </row>
    <row r="3929" spans="1:1" x14ac:dyDescent="0.25">
      <c r="A3929" s="13"/>
    </row>
    <row r="3930" spans="1:1" x14ac:dyDescent="0.25">
      <c r="A3930" s="13"/>
    </row>
    <row r="3931" spans="1:1" x14ac:dyDescent="0.25">
      <c r="A3931" s="13"/>
    </row>
    <row r="3932" spans="1:1" x14ac:dyDescent="0.25">
      <c r="A3932" s="13"/>
    </row>
    <row r="3933" spans="1:1" x14ac:dyDescent="0.25">
      <c r="A3933" s="13"/>
    </row>
    <row r="3934" spans="1:1" x14ac:dyDescent="0.25">
      <c r="A3934" s="13"/>
    </row>
    <row r="3935" spans="1:1" x14ac:dyDescent="0.25">
      <c r="A3935" s="13"/>
    </row>
    <row r="3936" spans="1:1" x14ac:dyDescent="0.25">
      <c r="A3936" s="13"/>
    </row>
    <row r="3937" spans="1:1" x14ac:dyDescent="0.25">
      <c r="A3937" s="13"/>
    </row>
    <row r="3938" spans="1:1" x14ac:dyDescent="0.25">
      <c r="A3938" s="13"/>
    </row>
    <row r="3939" spans="1:1" x14ac:dyDescent="0.25">
      <c r="A3939" s="13"/>
    </row>
    <row r="3940" spans="1:1" x14ac:dyDescent="0.25">
      <c r="A3940" s="13"/>
    </row>
    <row r="3941" spans="1:1" x14ac:dyDescent="0.25">
      <c r="A3941" s="13"/>
    </row>
    <row r="3942" spans="1:1" x14ac:dyDescent="0.25">
      <c r="A3942" s="13"/>
    </row>
    <row r="3943" spans="1:1" x14ac:dyDescent="0.25">
      <c r="A3943" s="13"/>
    </row>
    <row r="3944" spans="1:1" x14ac:dyDescent="0.25">
      <c r="A3944" s="13"/>
    </row>
    <row r="3945" spans="1:1" x14ac:dyDescent="0.25">
      <c r="A3945" s="13"/>
    </row>
    <row r="3946" spans="1:1" x14ac:dyDescent="0.25">
      <c r="A3946" s="13"/>
    </row>
    <row r="3947" spans="1:1" x14ac:dyDescent="0.25">
      <c r="A3947" s="13"/>
    </row>
    <row r="3948" spans="1:1" x14ac:dyDescent="0.25">
      <c r="A3948" s="13"/>
    </row>
    <row r="3949" spans="1:1" x14ac:dyDescent="0.25">
      <c r="A3949" s="13"/>
    </row>
    <row r="3950" spans="1:1" x14ac:dyDescent="0.25">
      <c r="A3950" s="13"/>
    </row>
    <row r="3951" spans="1:1" x14ac:dyDescent="0.25">
      <c r="A3951" s="13"/>
    </row>
    <row r="3952" spans="1:1" x14ac:dyDescent="0.25">
      <c r="A3952" s="13"/>
    </row>
    <row r="3953" spans="1:1" x14ac:dyDescent="0.25">
      <c r="A3953" s="13"/>
    </row>
    <row r="3954" spans="1:1" x14ac:dyDescent="0.25">
      <c r="A3954" s="13"/>
    </row>
    <row r="3955" spans="1:1" x14ac:dyDescent="0.25">
      <c r="A3955" s="13"/>
    </row>
    <row r="3956" spans="1:1" x14ac:dyDescent="0.25">
      <c r="A3956" s="13"/>
    </row>
    <row r="3957" spans="1:1" x14ac:dyDescent="0.25">
      <c r="A3957" s="13"/>
    </row>
    <row r="3958" spans="1:1" x14ac:dyDescent="0.25">
      <c r="A3958" s="13"/>
    </row>
    <row r="3959" spans="1:1" x14ac:dyDescent="0.25">
      <c r="A3959" s="13"/>
    </row>
    <row r="3960" spans="1:1" x14ac:dyDescent="0.25">
      <c r="A3960" s="13"/>
    </row>
    <row r="3961" spans="1:1" x14ac:dyDescent="0.25">
      <c r="A3961" s="13"/>
    </row>
    <row r="3962" spans="1:1" x14ac:dyDescent="0.25">
      <c r="A3962" s="13"/>
    </row>
    <row r="3963" spans="1:1" x14ac:dyDescent="0.25">
      <c r="A3963" s="13"/>
    </row>
    <row r="3964" spans="1:1" x14ac:dyDescent="0.25">
      <c r="A3964" s="13"/>
    </row>
    <row r="3965" spans="1:1" x14ac:dyDescent="0.25">
      <c r="A3965" s="13"/>
    </row>
    <row r="3966" spans="1:1" x14ac:dyDescent="0.25">
      <c r="A3966" s="13"/>
    </row>
    <row r="3967" spans="1:1" x14ac:dyDescent="0.25">
      <c r="A3967" s="13"/>
    </row>
    <row r="3968" spans="1:1" x14ac:dyDescent="0.25">
      <c r="A3968" s="13"/>
    </row>
    <row r="3969" spans="1:1" x14ac:dyDescent="0.25">
      <c r="A3969" s="13"/>
    </row>
    <row r="3970" spans="1:1" x14ac:dyDescent="0.25">
      <c r="A3970" s="13"/>
    </row>
    <row r="3971" spans="1:1" x14ac:dyDescent="0.25">
      <c r="A3971" s="13"/>
    </row>
    <row r="3972" spans="1:1" x14ac:dyDescent="0.25">
      <c r="A3972" s="13"/>
    </row>
    <row r="3973" spans="1:1" x14ac:dyDescent="0.25">
      <c r="A3973" s="13"/>
    </row>
    <row r="3974" spans="1:1" x14ac:dyDescent="0.25">
      <c r="A3974" s="13"/>
    </row>
    <row r="3975" spans="1:1" x14ac:dyDescent="0.25">
      <c r="A3975" s="13"/>
    </row>
    <row r="3976" spans="1:1" x14ac:dyDescent="0.25">
      <c r="A3976" s="13"/>
    </row>
    <row r="3977" spans="1:1" x14ac:dyDescent="0.25">
      <c r="A3977" s="13"/>
    </row>
    <row r="3978" spans="1:1" x14ac:dyDescent="0.25">
      <c r="A3978" s="13"/>
    </row>
    <row r="3979" spans="1:1" x14ac:dyDescent="0.25">
      <c r="A3979" s="13"/>
    </row>
    <row r="3980" spans="1:1" x14ac:dyDescent="0.25">
      <c r="A3980" s="13"/>
    </row>
    <row r="3981" spans="1:1" x14ac:dyDescent="0.25">
      <c r="A3981" s="13"/>
    </row>
    <row r="3982" spans="1:1" x14ac:dyDescent="0.25">
      <c r="A3982" s="13"/>
    </row>
    <row r="3983" spans="1:1" x14ac:dyDescent="0.25">
      <c r="A3983" s="13"/>
    </row>
    <row r="3984" spans="1:1" x14ac:dyDescent="0.25">
      <c r="A3984" s="13"/>
    </row>
    <row r="3985" spans="1:1" x14ac:dyDescent="0.25">
      <c r="A3985" s="13"/>
    </row>
    <row r="3986" spans="1:1" x14ac:dyDescent="0.25">
      <c r="A3986" s="13"/>
    </row>
    <row r="3987" spans="1:1" x14ac:dyDescent="0.25">
      <c r="A3987" s="13"/>
    </row>
    <row r="3988" spans="1:1" x14ac:dyDescent="0.25">
      <c r="A3988" s="13"/>
    </row>
    <row r="3989" spans="1:1" x14ac:dyDescent="0.25">
      <c r="A3989" s="13"/>
    </row>
    <row r="3990" spans="1:1" x14ac:dyDescent="0.25">
      <c r="A3990" s="13"/>
    </row>
    <row r="3991" spans="1:1" x14ac:dyDescent="0.25">
      <c r="A3991" s="13"/>
    </row>
    <row r="3992" spans="1:1" x14ac:dyDescent="0.25">
      <c r="A3992" s="13"/>
    </row>
    <row r="3993" spans="1:1" x14ac:dyDescent="0.25">
      <c r="A3993" s="13"/>
    </row>
    <row r="3994" spans="1:1" x14ac:dyDescent="0.25">
      <c r="A3994" s="13"/>
    </row>
    <row r="3995" spans="1:1" x14ac:dyDescent="0.25">
      <c r="A3995" s="13"/>
    </row>
    <row r="3996" spans="1:1" x14ac:dyDescent="0.25">
      <c r="A3996" s="13"/>
    </row>
    <row r="3997" spans="1:1" x14ac:dyDescent="0.25">
      <c r="A3997" s="13"/>
    </row>
    <row r="3998" spans="1:1" x14ac:dyDescent="0.25">
      <c r="A3998" s="13"/>
    </row>
    <row r="3999" spans="1:1" x14ac:dyDescent="0.25">
      <c r="A3999" s="13"/>
    </row>
    <row r="4000" spans="1:1" x14ac:dyDescent="0.25">
      <c r="A4000" s="13"/>
    </row>
    <row r="4001" spans="1:1" x14ac:dyDescent="0.25">
      <c r="A4001" s="13"/>
    </row>
    <row r="4002" spans="1:1" x14ac:dyDescent="0.25">
      <c r="A4002" s="13"/>
    </row>
    <row r="4003" spans="1:1" x14ac:dyDescent="0.25">
      <c r="A4003" s="13"/>
    </row>
    <row r="4004" spans="1:1" x14ac:dyDescent="0.25">
      <c r="A4004" s="13"/>
    </row>
    <row r="4005" spans="1:1" x14ac:dyDescent="0.25">
      <c r="A4005" s="13"/>
    </row>
    <row r="4006" spans="1:1" x14ac:dyDescent="0.25">
      <c r="A4006" s="13"/>
    </row>
    <row r="4007" spans="1:1" x14ac:dyDescent="0.25">
      <c r="A4007" s="13"/>
    </row>
    <row r="4008" spans="1:1" x14ac:dyDescent="0.25">
      <c r="A4008" s="13"/>
    </row>
    <row r="4009" spans="1:1" x14ac:dyDescent="0.25">
      <c r="A4009" s="13"/>
    </row>
    <row r="4010" spans="1:1" x14ac:dyDescent="0.25">
      <c r="A4010" s="13"/>
    </row>
    <row r="4011" spans="1:1" x14ac:dyDescent="0.25">
      <c r="A4011" s="13"/>
    </row>
    <row r="4012" spans="1:1" x14ac:dyDescent="0.25">
      <c r="A4012" s="13"/>
    </row>
    <row r="4013" spans="1:1" x14ac:dyDescent="0.25">
      <c r="A4013" s="13"/>
    </row>
    <row r="4014" spans="1:1" x14ac:dyDescent="0.25">
      <c r="A4014" s="13"/>
    </row>
    <row r="4015" spans="1:1" x14ac:dyDescent="0.25">
      <c r="A4015" s="13"/>
    </row>
    <row r="4016" spans="1:1" x14ac:dyDescent="0.25">
      <c r="A4016" s="13"/>
    </row>
    <row r="4017" spans="1:1" x14ac:dyDescent="0.25">
      <c r="A4017" s="13"/>
    </row>
    <row r="4018" spans="1:1" x14ac:dyDescent="0.25">
      <c r="A4018" s="13"/>
    </row>
    <row r="4019" spans="1:1" x14ac:dyDescent="0.25">
      <c r="A4019" s="13"/>
    </row>
    <row r="4020" spans="1:1" x14ac:dyDescent="0.25">
      <c r="A4020" s="13"/>
    </row>
    <row r="4021" spans="1:1" x14ac:dyDescent="0.25">
      <c r="A4021" s="13"/>
    </row>
    <row r="4022" spans="1:1" x14ac:dyDescent="0.25">
      <c r="A4022" s="13"/>
    </row>
    <row r="4023" spans="1:1" x14ac:dyDescent="0.25">
      <c r="A4023" s="13"/>
    </row>
    <row r="4024" spans="1:1" x14ac:dyDescent="0.25">
      <c r="A4024" s="13"/>
    </row>
    <row r="4025" spans="1:1" x14ac:dyDescent="0.25">
      <c r="A4025" s="13"/>
    </row>
    <row r="4026" spans="1:1" x14ac:dyDescent="0.25">
      <c r="A4026" s="13"/>
    </row>
    <row r="4027" spans="1:1" x14ac:dyDescent="0.25">
      <c r="A4027" s="13"/>
    </row>
    <row r="4028" spans="1:1" x14ac:dyDescent="0.25">
      <c r="A4028" s="13"/>
    </row>
    <row r="4029" spans="1:1" x14ac:dyDescent="0.25">
      <c r="A4029" s="13"/>
    </row>
    <row r="4030" spans="1:1" x14ac:dyDescent="0.25">
      <c r="A4030" s="13"/>
    </row>
    <row r="4031" spans="1:1" x14ac:dyDescent="0.25">
      <c r="A4031" s="13"/>
    </row>
    <row r="4032" spans="1:1" x14ac:dyDescent="0.25">
      <c r="A4032" s="13"/>
    </row>
    <row r="4033" spans="1:1" x14ac:dyDescent="0.25">
      <c r="A4033" s="13"/>
    </row>
    <row r="4034" spans="1:1" x14ac:dyDescent="0.25">
      <c r="A4034" s="13"/>
    </row>
    <row r="4035" spans="1:1" x14ac:dyDescent="0.25">
      <c r="A4035" s="13"/>
    </row>
    <row r="4036" spans="1:1" x14ac:dyDescent="0.25">
      <c r="A4036" s="13"/>
    </row>
    <row r="4037" spans="1:1" x14ac:dyDescent="0.25">
      <c r="A4037" s="13"/>
    </row>
    <row r="4038" spans="1:1" x14ac:dyDescent="0.25">
      <c r="A4038" s="13"/>
    </row>
    <row r="4039" spans="1:1" x14ac:dyDescent="0.25">
      <c r="A4039" s="13"/>
    </row>
    <row r="4040" spans="1:1" x14ac:dyDescent="0.25">
      <c r="A4040" s="13"/>
    </row>
    <row r="4041" spans="1:1" x14ac:dyDescent="0.25">
      <c r="A4041" s="13"/>
    </row>
    <row r="4042" spans="1:1" x14ac:dyDescent="0.25">
      <c r="A4042" s="13"/>
    </row>
    <row r="4043" spans="1:1" x14ac:dyDescent="0.25">
      <c r="A4043" s="13"/>
    </row>
    <row r="4044" spans="1:1" x14ac:dyDescent="0.25">
      <c r="A4044" s="13"/>
    </row>
    <row r="4045" spans="1:1" x14ac:dyDescent="0.25">
      <c r="A4045" s="13"/>
    </row>
    <row r="4046" spans="1:1" x14ac:dyDescent="0.25">
      <c r="A4046" s="13"/>
    </row>
    <row r="4047" spans="1:1" x14ac:dyDescent="0.25">
      <c r="A4047" s="13"/>
    </row>
    <row r="4048" spans="1:1" x14ac:dyDescent="0.25">
      <c r="A4048" s="13"/>
    </row>
    <row r="4049" spans="1:1" x14ac:dyDescent="0.25">
      <c r="A4049" s="13"/>
    </row>
    <row r="4050" spans="1:1" x14ac:dyDescent="0.25">
      <c r="A4050" s="13"/>
    </row>
    <row r="4051" spans="1:1" x14ac:dyDescent="0.25">
      <c r="A4051" s="13"/>
    </row>
    <row r="4052" spans="1:1" x14ac:dyDescent="0.25">
      <c r="A4052" s="13"/>
    </row>
    <row r="4053" spans="1:1" x14ac:dyDescent="0.25">
      <c r="A4053" s="13"/>
    </row>
    <row r="4054" spans="1:1" x14ac:dyDescent="0.25">
      <c r="A4054" s="13"/>
    </row>
    <row r="4055" spans="1:1" x14ac:dyDescent="0.25">
      <c r="A4055" s="13"/>
    </row>
    <row r="4056" spans="1:1" x14ac:dyDescent="0.25">
      <c r="A4056" s="13"/>
    </row>
    <row r="4057" spans="1:1" x14ac:dyDescent="0.25">
      <c r="A4057" s="13"/>
    </row>
    <row r="4058" spans="1:1" x14ac:dyDescent="0.25">
      <c r="A4058" s="13"/>
    </row>
    <row r="4059" spans="1:1" x14ac:dyDescent="0.25">
      <c r="A4059" s="13"/>
    </row>
    <row r="4060" spans="1:1" x14ac:dyDescent="0.25">
      <c r="A4060" s="13"/>
    </row>
    <row r="4061" spans="1:1" x14ac:dyDescent="0.25">
      <c r="A4061" s="13"/>
    </row>
    <row r="4062" spans="1:1" x14ac:dyDescent="0.25">
      <c r="A4062" s="13"/>
    </row>
    <row r="4063" spans="1:1" x14ac:dyDescent="0.25">
      <c r="A4063" s="13"/>
    </row>
    <row r="4064" spans="1:1" x14ac:dyDescent="0.25">
      <c r="A4064" s="13"/>
    </row>
    <row r="4065" spans="1:1" x14ac:dyDescent="0.25">
      <c r="A4065" s="13"/>
    </row>
    <row r="4066" spans="1:1" x14ac:dyDescent="0.25">
      <c r="A4066" s="13"/>
    </row>
    <row r="4067" spans="1:1" x14ac:dyDescent="0.25">
      <c r="A4067" s="13"/>
    </row>
    <row r="4068" spans="1:1" x14ac:dyDescent="0.25">
      <c r="A4068" s="13"/>
    </row>
    <row r="4069" spans="1:1" x14ac:dyDescent="0.25">
      <c r="A4069" s="13"/>
    </row>
    <row r="4070" spans="1:1" x14ac:dyDescent="0.25">
      <c r="A4070" s="13"/>
    </row>
    <row r="4071" spans="1:1" x14ac:dyDescent="0.25">
      <c r="A4071" s="13"/>
    </row>
    <row r="4072" spans="1:1" x14ac:dyDescent="0.25">
      <c r="A4072" s="13"/>
    </row>
    <row r="4073" spans="1:1" x14ac:dyDescent="0.25">
      <c r="A4073" s="13"/>
    </row>
    <row r="4074" spans="1:1" x14ac:dyDescent="0.25">
      <c r="A4074" s="13"/>
    </row>
    <row r="4075" spans="1:1" x14ac:dyDescent="0.25">
      <c r="A4075" s="13"/>
    </row>
    <row r="4076" spans="1:1" x14ac:dyDescent="0.25">
      <c r="A4076" s="13"/>
    </row>
    <row r="4077" spans="1:1" x14ac:dyDescent="0.25">
      <c r="A4077" s="13"/>
    </row>
    <row r="4078" spans="1:1" x14ac:dyDescent="0.25">
      <c r="A4078" s="13"/>
    </row>
    <row r="4079" spans="1:1" x14ac:dyDescent="0.25">
      <c r="A4079" s="13"/>
    </row>
    <row r="4080" spans="1:1" x14ac:dyDescent="0.25">
      <c r="A4080" s="13"/>
    </row>
    <row r="4081" spans="1:1" x14ac:dyDescent="0.25">
      <c r="A4081" s="13"/>
    </row>
    <row r="4082" spans="1:1" x14ac:dyDescent="0.25">
      <c r="A4082" s="13"/>
    </row>
    <row r="4083" spans="1:1" x14ac:dyDescent="0.25">
      <c r="A4083" s="13"/>
    </row>
    <row r="4084" spans="1:1" x14ac:dyDescent="0.25">
      <c r="A4084" s="13"/>
    </row>
    <row r="4085" spans="1:1" x14ac:dyDescent="0.25">
      <c r="A4085" s="13"/>
    </row>
    <row r="4086" spans="1:1" x14ac:dyDescent="0.25">
      <c r="A4086" s="13"/>
    </row>
    <row r="4087" spans="1:1" x14ac:dyDescent="0.25">
      <c r="A4087" s="13"/>
    </row>
    <row r="4088" spans="1:1" x14ac:dyDescent="0.25">
      <c r="A4088" s="13"/>
    </row>
    <row r="4089" spans="1:1" x14ac:dyDescent="0.25">
      <c r="A4089" s="13"/>
    </row>
    <row r="4090" spans="1:1" x14ac:dyDescent="0.25">
      <c r="A4090" s="13"/>
    </row>
    <row r="4091" spans="1:1" x14ac:dyDescent="0.25">
      <c r="A4091" s="13"/>
    </row>
    <row r="4092" spans="1:1" x14ac:dyDescent="0.25">
      <c r="A4092" s="13"/>
    </row>
    <row r="4093" spans="1:1" x14ac:dyDescent="0.25">
      <c r="A4093" s="13"/>
    </row>
    <row r="4094" spans="1:1" x14ac:dyDescent="0.25">
      <c r="A4094" s="13"/>
    </row>
    <row r="4095" spans="1:1" x14ac:dyDescent="0.25">
      <c r="A4095" s="13"/>
    </row>
    <row r="4096" spans="1:1" x14ac:dyDescent="0.25">
      <c r="A4096" s="13"/>
    </row>
    <row r="4097" spans="1:1" x14ac:dyDescent="0.25">
      <c r="A4097" s="13"/>
    </row>
    <row r="4098" spans="1:1" x14ac:dyDescent="0.25">
      <c r="A4098" s="13"/>
    </row>
    <row r="4099" spans="1:1" x14ac:dyDescent="0.25">
      <c r="A4099" s="13"/>
    </row>
    <row r="4100" spans="1:1" x14ac:dyDescent="0.25">
      <c r="A4100" s="13"/>
    </row>
    <row r="4101" spans="1:1" x14ac:dyDescent="0.25">
      <c r="A4101" s="13"/>
    </row>
    <row r="4102" spans="1:1" x14ac:dyDescent="0.25">
      <c r="A4102" s="13"/>
    </row>
    <row r="4103" spans="1:1" x14ac:dyDescent="0.25">
      <c r="A4103" s="13"/>
    </row>
    <row r="4104" spans="1:1" x14ac:dyDescent="0.25">
      <c r="A4104" s="13"/>
    </row>
    <row r="4105" spans="1:1" x14ac:dyDescent="0.25">
      <c r="A4105" s="13"/>
    </row>
    <row r="4106" spans="1:1" x14ac:dyDescent="0.25">
      <c r="A4106" s="13"/>
    </row>
    <row r="4107" spans="1:1" x14ac:dyDescent="0.25">
      <c r="A4107" s="13"/>
    </row>
    <row r="4108" spans="1:1" x14ac:dyDescent="0.25">
      <c r="A4108" s="13"/>
    </row>
    <row r="4109" spans="1:1" x14ac:dyDescent="0.25">
      <c r="A4109" s="13"/>
    </row>
    <row r="4110" spans="1:1" x14ac:dyDescent="0.25">
      <c r="A4110" s="13"/>
    </row>
    <row r="4111" spans="1:1" x14ac:dyDescent="0.25">
      <c r="A4111" s="13"/>
    </row>
    <row r="4112" spans="1:1" x14ac:dyDescent="0.25">
      <c r="A4112" s="13"/>
    </row>
    <row r="4113" spans="1:1" x14ac:dyDescent="0.25">
      <c r="A4113" s="13"/>
    </row>
    <row r="4114" spans="1:1" x14ac:dyDescent="0.25">
      <c r="A4114" s="13"/>
    </row>
    <row r="4115" spans="1:1" x14ac:dyDescent="0.25">
      <c r="A4115" s="13"/>
    </row>
    <row r="4116" spans="1:1" x14ac:dyDescent="0.25">
      <c r="A4116" s="13"/>
    </row>
    <row r="4117" spans="1:1" x14ac:dyDescent="0.25">
      <c r="A4117" s="13"/>
    </row>
    <row r="4118" spans="1:1" x14ac:dyDescent="0.25">
      <c r="A4118" s="13"/>
    </row>
    <row r="4119" spans="1:1" x14ac:dyDescent="0.25">
      <c r="A4119" s="13"/>
    </row>
    <row r="4120" spans="1:1" x14ac:dyDescent="0.25">
      <c r="A4120" s="13"/>
    </row>
    <row r="4121" spans="1:1" x14ac:dyDescent="0.25">
      <c r="A4121" s="13"/>
    </row>
    <row r="4122" spans="1:1" x14ac:dyDescent="0.25">
      <c r="A4122" s="13"/>
    </row>
    <row r="4123" spans="1:1" x14ac:dyDescent="0.25">
      <c r="A4123" s="13"/>
    </row>
    <row r="4124" spans="1:1" x14ac:dyDescent="0.25">
      <c r="A4124" s="13"/>
    </row>
    <row r="4125" spans="1:1" x14ac:dyDescent="0.25">
      <c r="A4125" s="13"/>
    </row>
    <row r="4126" spans="1:1" x14ac:dyDescent="0.25">
      <c r="A4126" s="13"/>
    </row>
    <row r="4127" spans="1:1" x14ac:dyDescent="0.25">
      <c r="A4127" s="13"/>
    </row>
    <row r="4128" spans="1:1" x14ac:dyDescent="0.25">
      <c r="A4128" s="13"/>
    </row>
    <row r="4129" spans="1:1" x14ac:dyDescent="0.25">
      <c r="A4129" s="13"/>
    </row>
    <row r="4130" spans="1:1" x14ac:dyDescent="0.25">
      <c r="A4130" s="13"/>
    </row>
    <row r="4131" spans="1:1" x14ac:dyDescent="0.25">
      <c r="A4131" s="13"/>
    </row>
    <row r="4132" spans="1:1" x14ac:dyDescent="0.25">
      <c r="A4132" s="13"/>
    </row>
    <row r="4133" spans="1:1" x14ac:dyDescent="0.25">
      <c r="A4133" s="13"/>
    </row>
    <row r="4134" spans="1:1" x14ac:dyDescent="0.25">
      <c r="A4134" s="13"/>
    </row>
    <row r="4135" spans="1:1" x14ac:dyDescent="0.25">
      <c r="A4135" s="13"/>
    </row>
    <row r="4136" spans="1:1" x14ac:dyDescent="0.25">
      <c r="A4136" s="13"/>
    </row>
    <row r="4137" spans="1:1" x14ac:dyDescent="0.25">
      <c r="A4137" s="13"/>
    </row>
    <row r="4138" spans="1:1" x14ac:dyDescent="0.25">
      <c r="A4138" s="13"/>
    </row>
    <row r="4139" spans="1:1" x14ac:dyDescent="0.25">
      <c r="A4139" s="13"/>
    </row>
    <row r="4140" spans="1:1" x14ac:dyDescent="0.25">
      <c r="A4140" s="13"/>
    </row>
    <row r="4141" spans="1:1" x14ac:dyDescent="0.25">
      <c r="A4141" s="13"/>
    </row>
    <row r="4142" spans="1:1" x14ac:dyDescent="0.25">
      <c r="A4142" s="13"/>
    </row>
    <row r="4143" spans="1:1" x14ac:dyDescent="0.25">
      <c r="A4143" s="13"/>
    </row>
    <row r="4144" spans="1:1" x14ac:dyDescent="0.25">
      <c r="A4144" s="13"/>
    </row>
    <row r="4145" spans="1:1" x14ac:dyDescent="0.25">
      <c r="A4145" s="13"/>
    </row>
    <row r="4146" spans="1:1" x14ac:dyDescent="0.25">
      <c r="A4146" s="13"/>
    </row>
    <row r="4147" spans="1:1" x14ac:dyDescent="0.25">
      <c r="A4147" s="13"/>
    </row>
    <row r="4148" spans="1:1" x14ac:dyDescent="0.25">
      <c r="A4148" s="13"/>
    </row>
    <row r="4149" spans="1:1" x14ac:dyDescent="0.25">
      <c r="A4149" s="13"/>
    </row>
    <row r="4150" spans="1:1" x14ac:dyDescent="0.25">
      <c r="A4150" s="13"/>
    </row>
    <row r="4151" spans="1:1" x14ac:dyDescent="0.25">
      <c r="A4151" s="13"/>
    </row>
    <row r="4152" spans="1:1" x14ac:dyDescent="0.25">
      <c r="A4152" s="13"/>
    </row>
    <row r="4153" spans="1:1" x14ac:dyDescent="0.25">
      <c r="A4153" s="13"/>
    </row>
    <row r="4154" spans="1:1" x14ac:dyDescent="0.25">
      <c r="A4154" s="13"/>
    </row>
    <row r="4155" spans="1:1" x14ac:dyDescent="0.25">
      <c r="A4155" s="13"/>
    </row>
    <row r="4156" spans="1:1" x14ac:dyDescent="0.25">
      <c r="A4156" s="13"/>
    </row>
    <row r="4157" spans="1:1" x14ac:dyDescent="0.25">
      <c r="A4157" s="13"/>
    </row>
    <row r="4158" spans="1:1" x14ac:dyDescent="0.25">
      <c r="A4158" s="13"/>
    </row>
    <row r="4159" spans="1:1" x14ac:dyDescent="0.25">
      <c r="A4159" s="13"/>
    </row>
    <row r="4160" spans="1:1" x14ac:dyDescent="0.25">
      <c r="A4160" s="13"/>
    </row>
    <row r="4161" spans="1:1" x14ac:dyDescent="0.25">
      <c r="A4161" s="13"/>
    </row>
    <row r="4162" spans="1:1" x14ac:dyDescent="0.25">
      <c r="A4162" s="13"/>
    </row>
    <row r="4163" spans="1:1" x14ac:dyDescent="0.25">
      <c r="A4163" s="13"/>
    </row>
    <row r="4164" spans="1:1" x14ac:dyDescent="0.25">
      <c r="A4164" s="13"/>
    </row>
    <row r="4165" spans="1:1" x14ac:dyDescent="0.25">
      <c r="A4165" s="13"/>
    </row>
    <row r="4166" spans="1:1" x14ac:dyDescent="0.25">
      <c r="A4166" s="13"/>
    </row>
    <row r="4167" spans="1:1" x14ac:dyDescent="0.25">
      <c r="A4167" s="13"/>
    </row>
    <row r="4168" spans="1:1" x14ac:dyDescent="0.25">
      <c r="A4168" s="13"/>
    </row>
    <row r="4169" spans="1:1" x14ac:dyDescent="0.25">
      <c r="A4169" s="13"/>
    </row>
    <row r="4170" spans="1:1" x14ac:dyDescent="0.25">
      <c r="A4170" s="13"/>
    </row>
    <row r="4171" spans="1:1" x14ac:dyDescent="0.25">
      <c r="A4171" s="13"/>
    </row>
    <row r="4172" spans="1:1" x14ac:dyDescent="0.25">
      <c r="A4172" s="13"/>
    </row>
    <row r="4173" spans="1:1" x14ac:dyDescent="0.25">
      <c r="A4173" s="13"/>
    </row>
    <row r="4174" spans="1:1" x14ac:dyDescent="0.25">
      <c r="A4174" s="13"/>
    </row>
    <row r="4175" spans="1:1" x14ac:dyDescent="0.25">
      <c r="A4175" s="13"/>
    </row>
    <row r="4176" spans="1:1" x14ac:dyDescent="0.25">
      <c r="A4176" s="13"/>
    </row>
    <row r="4177" spans="1:1" x14ac:dyDescent="0.25">
      <c r="A4177" s="13"/>
    </row>
    <row r="4178" spans="1:1" x14ac:dyDescent="0.25">
      <c r="A4178" s="13"/>
    </row>
    <row r="4179" spans="1:1" x14ac:dyDescent="0.25">
      <c r="A4179" s="13"/>
    </row>
    <row r="4180" spans="1:1" x14ac:dyDescent="0.25">
      <c r="A4180" s="13"/>
    </row>
    <row r="4181" spans="1:1" x14ac:dyDescent="0.25">
      <c r="A4181" s="13"/>
    </row>
    <row r="4182" spans="1:1" x14ac:dyDescent="0.25">
      <c r="A4182" s="13"/>
    </row>
    <row r="4183" spans="1:1" x14ac:dyDescent="0.25">
      <c r="A4183" s="13"/>
    </row>
    <row r="4184" spans="1:1" x14ac:dyDescent="0.25">
      <c r="A4184" s="13"/>
    </row>
    <row r="4185" spans="1:1" x14ac:dyDescent="0.25">
      <c r="A4185" s="13"/>
    </row>
    <row r="4186" spans="1:1" x14ac:dyDescent="0.25">
      <c r="A4186" s="13"/>
    </row>
    <row r="4187" spans="1:1" x14ac:dyDescent="0.25">
      <c r="A4187" s="13"/>
    </row>
    <row r="4188" spans="1:1" x14ac:dyDescent="0.25">
      <c r="A4188" s="13"/>
    </row>
    <row r="4189" spans="1:1" x14ac:dyDescent="0.25">
      <c r="A4189" s="13"/>
    </row>
    <row r="4190" spans="1:1" x14ac:dyDescent="0.25">
      <c r="A4190" s="13"/>
    </row>
    <row r="4191" spans="1:1" x14ac:dyDescent="0.25">
      <c r="A4191" s="13"/>
    </row>
    <row r="4192" spans="1:1" x14ac:dyDescent="0.25">
      <c r="A4192" s="13"/>
    </row>
    <row r="4193" spans="1:1" x14ac:dyDescent="0.25">
      <c r="A4193" s="13"/>
    </row>
    <row r="4194" spans="1:1" x14ac:dyDescent="0.25">
      <c r="A4194" s="13"/>
    </row>
    <row r="4195" spans="1:1" x14ac:dyDescent="0.25">
      <c r="A4195" s="13"/>
    </row>
    <row r="4196" spans="1:1" x14ac:dyDescent="0.25">
      <c r="A4196" s="13"/>
    </row>
    <row r="4197" spans="1:1" x14ac:dyDescent="0.25">
      <c r="A4197" s="13"/>
    </row>
    <row r="4198" spans="1:1" x14ac:dyDescent="0.25">
      <c r="A4198" s="13"/>
    </row>
    <row r="4199" spans="1:1" x14ac:dyDescent="0.25">
      <c r="A4199" s="13"/>
    </row>
    <row r="4200" spans="1:1" x14ac:dyDescent="0.25">
      <c r="A4200" s="13"/>
    </row>
    <row r="4201" spans="1:1" x14ac:dyDescent="0.25">
      <c r="A4201" s="13"/>
    </row>
    <row r="4202" spans="1:1" x14ac:dyDescent="0.25">
      <c r="A4202" s="13"/>
    </row>
    <row r="4203" spans="1:1" x14ac:dyDescent="0.25">
      <c r="A4203" s="13"/>
    </row>
    <row r="4204" spans="1:1" x14ac:dyDescent="0.25">
      <c r="A4204" s="13"/>
    </row>
    <row r="4205" spans="1:1" x14ac:dyDescent="0.25">
      <c r="A4205" s="13"/>
    </row>
    <row r="4206" spans="1:1" x14ac:dyDescent="0.25">
      <c r="A4206" s="13"/>
    </row>
    <row r="4207" spans="1:1" x14ac:dyDescent="0.25">
      <c r="A4207" s="13"/>
    </row>
    <row r="4208" spans="1:1" x14ac:dyDescent="0.25">
      <c r="A4208" s="13"/>
    </row>
    <row r="4209" spans="1:1" x14ac:dyDescent="0.25">
      <c r="A4209" s="13"/>
    </row>
    <row r="4210" spans="1:1" x14ac:dyDescent="0.25">
      <c r="A4210" s="13"/>
    </row>
    <row r="4211" spans="1:1" x14ac:dyDescent="0.25">
      <c r="A4211" s="13"/>
    </row>
    <row r="4212" spans="1:1" x14ac:dyDescent="0.25">
      <c r="A4212" s="13"/>
    </row>
    <row r="4213" spans="1:1" x14ac:dyDescent="0.25">
      <c r="A4213" s="13"/>
    </row>
    <row r="4214" spans="1:1" x14ac:dyDescent="0.25">
      <c r="A4214" s="13"/>
    </row>
    <row r="4215" spans="1:1" x14ac:dyDescent="0.25">
      <c r="A4215" s="13"/>
    </row>
    <row r="4216" spans="1:1" x14ac:dyDescent="0.25">
      <c r="A4216" s="13"/>
    </row>
    <row r="4217" spans="1:1" x14ac:dyDescent="0.25">
      <c r="A4217" s="13"/>
    </row>
    <row r="4218" spans="1:1" x14ac:dyDescent="0.25">
      <c r="A4218" s="13"/>
    </row>
    <row r="4219" spans="1:1" x14ac:dyDescent="0.25">
      <c r="A4219" s="13"/>
    </row>
    <row r="4220" spans="1:1" x14ac:dyDescent="0.25">
      <c r="A4220" s="13"/>
    </row>
    <row r="4221" spans="1:1" x14ac:dyDescent="0.25">
      <c r="A4221" s="13"/>
    </row>
    <row r="4222" spans="1:1" x14ac:dyDescent="0.25">
      <c r="A4222" s="13"/>
    </row>
    <row r="4223" spans="1:1" x14ac:dyDescent="0.25">
      <c r="A4223" s="13"/>
    </row>
    <row r="4224" spans="1:1" x14ac:dyDescent="0.25">
      <c r="A4224" s="13"/>
    </row>
    <row r="4225" spans="1:1" x14ac:dyDescent="0.25">
      <c r="A4225" s="13"/>
    </row>
    <row r="4226" spans="1:1" x14ac:dyDescent="0.25">
      <c r="A4226" s="13"/>
    </row>
    <row r="4227" spans="1:1" x14ac:dyDescent="0.25">
      <c r="A4227" s="13"/>
    </row>
    <row r="4228" spans="1:1" x14ac:dyDescent="0.25">
      <c r="A4228" s="13"/>
    </row>
    <row r="4229" spans="1:1" x14ac:dyDescent="0.25">
      <c r="A4229" s="13"/>
    </row>
    <row r="4230" spans="1:1" x14ac:dyDescent="0.25">
      <c r="A4230" s="13"/>
    </row>
    <row r="4231" spans="1:1" x14ac:dyDescent="0.25">
      <c r="A4231" s="13"/>
    </row>
    <row r="4232" spans="1:1" x14ac:dyDescent="0.25">
      <c r="A4232" s="13"/>
    </row>
    <row r="4233" spans="1:1" x14ac:dyDescent="0.25">
      <c r="A4233" s="13"/>
    </row>
    <row r="4234" spans="1:1" x14ac:dyDescent="0.25">
      <c r="A4234" s="13"/>
    </row>
    <row r="4235" spans="1:1" x14ac:dyDescent="0.25">
      <c r="A4235" s="13"/>
    </row>
    <row r="4236" spans="1:1" x14ac:dyDescent="0.25">
      <c r="A4236" s="13"/>
    </row>
    <row r="4237" spans="1:1" x14ac:dyDescent="0.25">
      <c r="A4237" s="13"/>
    </row>
    <row r="4238" spans="1:1" x14ac:dyDescent="0.25">
      <c r="A4238" s="13"/>
    </row>
    <row r="4239" spans="1:1" x14ac:dyDescent="0.25">
      <c r="A4239" s="13"/>
    </row>
    <row r="4240" spans="1:1" x14ac:dyDescent="0.25">
      <c r="A4240" s="13"/>
    </row>
    <row r="4241" spans="1:1" x14ac:dyDescent="0.25">
      <c r="A4241" s="13"/>
    </row>
    <row r="4242" spans="1:1" x14ac:dyDescent="0.25">
      <c r="A4242" s="13"/>
    </row>
    <row r="4243" spans="1:1" x14ac:dyDescent="0.25">
      <c r="A4243" s="13"/>
    </row>
    <row r="4244" spans="1:1" x14ac:dyDescent="0.25">
      <c r="A4244" s="13"/>
    </row>
    <row r="4245" spans="1:1" x14ac:dyDescent="0.25">
      <c r="A4245" s="13"/>
    </row>
    <row r="4246" spans="1:1" x14ac:dyDescent="0.25">
      <c r="A4246" s="13"/>
    </row>
    <row r="4247" spans="1:1" x14ac:dyDescent="0.25">
      <c r="A4247" s="13"/>
    </row>
    <row r="4248" spans="1:1" x14ac:dyDescent="0.25">
      <c r="A4248" s="13"/>
    </row>
    <row r="4249" spans="1:1" x14ac:dyDescent="0.25">
      <c r="A4249" s="13"/>
    </row>
    <row r="4250" spans="1:1" x14ac:dyDescent="0.25">
      <c r="A4250" s="13"/>
    </row>
    <row r="4251" spans="1:1" x14ac:dyDescent="0.25">
      <c r="A4251" s="13"/>
    </row>
    <row r="4252" spans="1:1" x14ac:dyDescent="0.25">
      <c r="A4252" s="13"/>
    </row>
    <row r="4253" spans="1:1" x14ac:dyDescent="0.25">
      <c r="A4253" s="13"/>
    </row>
    <row r="4254" spans="1:1" x14ac:dyDescent="0.25">
      <c r="A4254" s="13"/>
    </row>
    <row r="4255" spans="1:1" x14ac:dyDescent="0.25">
      <c r="A4255" s="13"/>
    </row>
    <row r="4256" spans="1:1" x14ac:dyDescent="0.25">
      <c r="A4256" s="13"/>
    </row>
    <row r="4257" spans="1:1" x14ac:dyDescent="0.25">
      <c r="A4257" s="13"/>
    </row>
    <row r="4258" spans="1:1" x14ac:dyDescent="0.25">
      <c r="A4258" s="13"/>
    </row>
    <row r="4259" spans="1:1" x14ac:dyDescent="0.25">
      <c r="A4259" s="13"/>
    </row>
    <row r="4260" spans="1:1" x14ac:dyDescent="0.25">
      <c r="A4260" s="13"/>
    </row>
    <row r="4261" spans="1:1" x14ac:dyDescent="0.25">
      <c r="A4261" s="13"/>
    </row>
    <row r="4262" spans="1:1" x14ac:dyDescent="0.25">
      <c r="A4262" s="13"/>
    </row>
    <row r="4263" spans="1:1" x14ac:dyDescent="0.25">
      <c r="A4263" s="13"/>
    </row>
    <row r="4264" spans="1:1" x14ac:dyDescent="0.25">
      <c r="A4264" s="13"/>
    </row>
    <row r="4265" spans="1:1" x14ac:dyDescent="0.25">
      <c r="A4265" s="13"/>
    </row>
    <row r="4266" spans="1:1" x14ac:dyDescent="0.25">
      <c r="A4266" s="13"/>
    </row>
    <row r="4267" spans="1:1" x14ac:dyDescent="0.25">
      <c r="A4267" s="13"/>
    </row>
    <row r="4268" spans="1:1" x14ac:dyDescent="0.25">
      <c r="A4268" s="13"/>
    </row>
    <row r="4269" spans="1:1" x14ac:dyDescent="0.25">
      <c r="A4269" s="13"/>
    </row>
    <row r="4270" spans="1:1" x14ac:dyDescent="0.25">
      <c r="A4270" s="13"/>
    </row>
    <row r="4271" spans="1:1" x14ac:dyDescent="0.25">
      <c r="A4271" s="13"/>
    </row>
    <row r="4272" spans="1:1" x14ac:dyDescent="0.25">
      <c r="A4272" s="13"/>
    </row>
    <row r="4273" spans="1:1" x14ac:dyDescent="0.25">
      <c r="A4273" s="13"/>
    </row>
    <row r="4274" spans="1:1" x14ac:dyDescent="0.25">
      <c r="A4274" s="13"/>
    </row>
    <row r="4275" spans="1:1" x14ac:dyDescent="0.25">
      <c r="A4275" s="13"/>
    </row>
    <row r="4276" spans="1:1" x14ac:dyDescent="0.25">
      <c r="A4276" s="13"/>
    </row>
    <row r="4277" spans="1:1" x14ac:dyDescent="0.25">
      <c r="A4277" s="13"/>
    </row>
    <row r="4278" spans="1:1" x14ac:dyDescent="0.25">
      <c r="A4278" s="13"/>
    </row>
    <row r="4279" spans="1:1" x14ac:dyDescent="0.25">
      <c r="A4279" s="13"/>
    </row>
    <row r="4280" spans="1:1" x14ac:dyDescent="0.25">
      <c r="A4280" s="13"/>
    </row>
    <row r="4281" spans="1:1" x14ac:dyDescent="0.25">
      <c r="A4281" s="13"/>
    </row>
    <row r="4282" spans="1:1" x14ac:dyDescent="0.25">
      <c r="A4282" s="13"/>
    </row>
    <row r="4283" spans="1:1" x14ac:dyDescent="0.25">
      <c r="A4283" s="13"/>
    </row>
    <row r="4284" spans="1:1" x14ac:dyDescent="0.25">
      <c r="A4284" s="13"/>
    </row>
    <row r="4285" spans="1:1" x14ac:dyDescent="0.25">
      <c r="A4285" s="13"/>
    </row>
    <row r="4286" spans="1:1" x14ac:dyDescent="0.25">
      <c r="A4286" s="13"/>
    </row>
    <row r="4287" spans="1:1" x14ac:dyDescent="0.25">
      <c r="A4287" s="13"/>
    </row>
    <row r="4288" spans="1:1" x14ac:dyDescent="0.25">
      <c r="A4288" s="13"/>
    </row>
    <row r="4289" spans="1:1" x14ac:dyDescent="0.25">
      <c r="A4289" s="13"/>
    </row>
    <row r="4290" spans="1:1" x14ac:dyDescent="0.25">
      <c r="A4290" s="13"/>
    </row>
    <row r="4291" spans="1:1" x14ac:dyDescent="0.25">
      <c r="A4291" s="13"/>
    </row>
    <row r="4292" spans="1:1" x14ac:dyDescent="0.25">
      <c r="A4292" s="13"/>
    </row>
    <row r="4293" spans="1:1" x14ac:dyDescent="0.25">
      <c r="A4293" s="13"/>
    </row>
    <row r="4294" spans="1:1" x14ac:dyDescent="0.25">
      <c r="A4294" s="13"/>
    </row>
    <row r="4295" spans="1:1" x14ac:dyDescent="0.25">
      <c r="A4295" s="13"/>
    </row>
    <row r="4296" spans="1:1" x14ac:dyDescent="0.25">
      <c r="A4296" s="13"/>
    </row>
    <row r="4297" spans="1:1" x14ac:dyDescent="0.25">
      <c r="A4297" s="13"/>
    </row>
    <row r="4298" spans="1:1" x14ac:dyDescent="0.25">
      <c r="A4298" s="13"/>
    </row>
    <row r="4299" spans="1:1" x14ac:dyDescent="0.25">
      <c r="A4299" s="13"/>
    </row>
    <row r="4300" spans="1:1" x14ac:dyDescent="0.25">
      <c r="A4300" s="13"/>
    </row>
    <row r="4301" spans="1:1" x14ac:dyDescent="0.25">
      <c r="A4301" s="13"/>
    </row>
    <row r="4302" spans="1:1" x14ac:dyDescent="0.25">
      <c r="A4302" s="13"/>
    </row>
    <row r="4303" spans="1:1" x14ac:dyDescent="0.25">
      <c r="A4303" s="13"/>
    </row>
    <row r="4304" spans="1:1" x14ac:dyDescent="0.25">
      <c r="A4304" s="13"/>
    </row>
    <row r="4305" spans="1:1" x14ac:dyDescent="0.25">
      <c r="A4305" s="13"/>
    </row>
    <row r="4306" spans="1:1" x14ac:dyDescent="0.25">
      <c r="A4306" s="13"/>
    </row>
    <row r="4307" spans="1:1" x14ac:dyDescent="0.25">
      <c r="A4307" s="13"/>
    </row>
    <row r="4308" spans="1:1" x14ac:dyDescent="0.25">
      <c r="A4308" s="13"/>
    </row>
    <row r="4309" spans="1:1" x14ac:dyDescent="0.25">
      <c r="A4309" s="13"/>
    </row>
    <row r="4310" spans="1:1" x14ac:dyDescent="0.25">
      <c r="A4310" s="13"/>
    </row>
    <row r="4311" spans="1:1" x14ac:dyDescent="0.25">
      <c r="A4311" s="13"/>
    </row>
    <row r="4312" spans="1:1" x14ac:dyDescent="0.25">
      <c r="A4312" s="13"/>
    </row>
    <row r="4313" spans="1:1" x14ac:dyDescent="0.25">
      <c r="A4313" s="13"/>
    </row>
    <row r="4314" spans="1:1" x14ac:dyDescent="0.25">
      <c r="A4314" s="13"/>
    </row>
    <row r="4315" spans="1:1" x14ac:dyDescent="0.25">
      <c r="A4315" s="13"/>
    </row>
    <row r="4316" spans="1:1" x14ac:dyDescent="0.25">
      <c r="A4316" s="13"/>
    </row>
    <row r="4317" spans="1:1" x14ac:dyDescent="0.25">
      <c r="A4317" s="13"/>
    </row>
    <row r="4318" spans="1:1" x14ac:dyDescent="0.25">
      <c r="A4318" s="13"/>
    </row>
    <row r="4319" spans="1:1" x14ac:dyDescent="0.25">
      <c r="A4319" s="13"/>
    </row>
    <row r="4320" spans="1:1" x14ac:dyDescent="0.25">
      <c r="A4320" s="13"/>
    </row>
    <row r="4321" spans="1:1" x14ac:dyDescent="0.25">
      <c r="A4321" s="13"/>
    </row>
    <row r="4322" spans="1:1" x14ac:dyDescent="0.25">
      <c r="A4322" s="13"/>
    </row>
    <row r="4323" spans="1:1" x14ac:dyDescent="0.25">
      <c r="A4323" s="13"/>
    </row>
    <row r="4324" spans="1:1" x14ac:dyDescent="0.25">
      <c r="A4324" s="13"/>
    </row>
    <row r="4325" spans="1:1" x14ac:dyDescent="0.25">
      <c r="A4325" s="13"/>
    </row>
    <row r="4326" spans="1:1" x14ac:dyDescent="0.25">
      <c r="A4326" s="13"/>
    </row>
    <row r="4327" spans="1:1" x14ac:dyDescent="0.25">
      <c r="A4327" s="13"/>
    </row>
    <row r="4328" spans="1:1" x14ac:dyDescent="0.25">
      <c r="A4328" s="13"/>
    </row>
    <row r="4329" spans="1:1" x14ac:dyDescent="0.25">
      <c r="A4329" s="13"/>
    </row>
    <row r="4330" spans="1:1" x14ac:dyDescent="0.25">
      <c r="A4330" s="13"/>
    </row>
    <row r="4331" spans="1:1" x14ac:dyDescent="0.25">
      <c r="A4331" s="13"/>
    </row>
    <row r="4332" spans="1:1" x14ac:dyDescent="0.25">
      <c r="A4332" s="13"/>
    </row>
    <row r="4333" spans="1:1" x14ac:dyDescent="0.25">
      <c r="A4333" s="13"/>
    </row>
    <row r="4334" spans="1:1" x14ac:dyDescent="0.25">
      <c r="A4334" s="13"/>
    </row>
    <row r="4335" spans="1:1" x14ac:dyDescent="0.25">
      <c r="A4335" s="13"/>
    </row>
    <row r="4336" spans="1:1" x14ac:dyDescent="0.25">
      <c r="A4336" s="13"/>
    </row>
    <row r="4337" spans="1:1" x14ac:dyDescent="0.25">
      <c r="A4337" s="13"/>
    </row>
    <row r="4338" spans="1:1" x14ac:dyDescent="0.25">
      <c r="A4338" s="13"/>
    </row>
    <row r="4339" spans="1:1" x14ac:dyDescent="0.25">
      <c r="A4339" s="13"/>
    </row>
    <row r="4340" spans="1:1" x14ac:dyDescent="0.25">
      <c r="A4340" s="13"/>
    </row>
    <row r="4341" spans="1:1" x14ac:dyDescent="0.25">
      <c r="A4341" s="13"/>
    </row>
    <row r="4342" spans="1:1" x14ac:dyDescent="0.25">
      <c r="A4342" s="13"/>
    </row>
    <row r="4343" spans="1:1" x14ac:dyDescent="0.25">
      <c r="A4343" s="13"/>
    </row>
    <row r="4344" spans="1:1" x14ac:dyDescent="0.25">
      <c r="A4344" s="13"/>
    </row>
    <row r="4345" spans="1:1" x14ac:dyDescent="0.25">
      <c r="A4345" s="13"/>
    </row>
    <row r="4346" spans="1:1" x14ac:dyDescent="0.25">
      <c r="A4346" s="13"/>
    </row>
    <row r="4347" spans="1:1" x14ac:dyDescent="0.25">
      <c r="A4347" s="13"/>
    </row>
    <row r="4348" spans="1:1" x14ac:dyDescent="0.25">
      <c r="A4348" s="13"/>
    </row>
    <row r="4349" spans="1:1" x14ac:dyDescent="0.25">
      <c r="A4349" s="13"/>
    </row>
    <row r="4350" spans="1:1" x14ac:dyDescent="0.25">
      <c r="A4350" s="13"/>
    </row>
    <row r="4351" spans="1:1" x14ac:dyDescent="0.25">
      <c r="A4351" s="13"/>
    </row>
    <row r="4352" spans="1:1" x14ac:dyDescent="0.25">
      <c r="A4352" s="13"/>
    </row>
    <row r="4353" spans="1:1" x14ac:dyDescent="0.25">
      <c r="A4353" s="13"/>
    </row>
    <row r="4354" spans="1:1" x14ac:dyDescent="0.25">
      <c r="A4354" s="13"/>
    </row>
    <row r="4355" spans="1:1" x14ac:dyDescent="0.25">
      <c r="A4355" s="13"/>
    </row>
    <row r="4356" spans="1:1" x14ac:dyDescent="0.25">
      <c r="A4356" s="13"/>
    </row>
    <row r="4357" spans="1:1" x14ac:dyDescent="0.25">
      <c r="A4357" s="13"/>
    </row>
    <row r="4358" spans="1:1" x14ac:dyDescent="0.25">
      <c r="A4358" s="13"/>
    </row>
    <row r="4359" spans="1:1" x14ac:dyDescent="0.25">
      <c r="A4359" s="13"/>
    </row>
    <row r="4360" spans="1:1" x14ac:dyDescent="0.25">
      <c r="A4360" s="13"/>
    </row>
    <row r="4361" spans="1:1" x14ac:dyDescent="0.25">
      <c r="A4361" s="13"/>
    </row>
    <row r="4362" spans="1:1" x14ac:dyDescent="0.25">
      <c r="A4362" s="13"/>
    </row>
    <row r="4363" spans="1:1" x14ac:dyDescent="0.25">
      <c r="A4363" s="13"/>
    </row>
    <row r="4364" spans="1:1" x14ac:dyDescent="0.25">
      <c r="A4364" s="13"/>
    </row>
    <row r="4365" spans="1:1" x14ac:dyDescent="0.25">
      <c r="A4365" s="13"/>
    </row>
    <row r="4366" spans="1:1" x14ac:dyDescent="0.25">
      <c r="A4366" s="13"/>
    </row>
    <row r="4367" spans="1:1" x14ac:dyDescent="0.25">
      <c r="A4367" s="13"/>
    </row>
    <row r="4368" spans="1:1" x14ac:dyDescent="0.25">
      <c r="A4368" s="13"/>
    </row>
    <row r="4369" spans="1:1" x14ac:dyDescent="0.25">
      <c r="A4369" s="13"/>
    </row>
    <row r="4370" spans="1:1" x14ac:dyDescent="0.25">
      <c r="A4370" s="13"/>
    </row>
    <row r="4371" spans="1:1" x14ac:dyDescent="0.25">
      <c r="A4371" s="13"/>
    </row>
    <row r="4372" spans="1:1" x14ac:dyDescent="0.25">
      <c r="A4372" s="13"/>
    </row>
    <row r="4373" spans="1:1" x14ac:dyDescent="0.25">
      <c r="A4373" s="13"/>
    </row>
    <row r="4374" spans="1:1" x14ac:dyDescent="0.25">
      <c r="A4374" s="13"/>
    </row>
    <row r="4375" spans="1:1" x14ac:dyDescent="0.25">
      <c r="A4375" s="13"/>
    </row>
    <row r="4376" spans="1:1" x14ac:dyDescent="0.25">
      <c r="A4376" s="13"/>
    </row>
    <row r="4377" spans="1:1" x14ac:dyDescent="0.25">
      <c r="A4377" s="13"/>
    </row>
    <row r="4378" spans="1:1" x14ac:dyDescent="0.25">
      <c r="A4378" s="13"/>
    </row>
    <row r="4379" spans="1:1" x14ac:dyDescent="0.25">
      <c r="A4379" s="13"/>
    </row>
    <row r="4380" spans="1:1" x14ac:dyDescent="0.25">
      <c r="A4380" s="13"/>
    </row>
    <row r="4381" spans="1:1" x14ac:dyDescent="0.25">
      <c r="A4381" s="13"/>
    </row>
    <row r="4382" spans="1:1" x14ac:dyDescent="0.25">
      <c r="A4382" s="13"/>
    </row>
    <row r="4383" spans="1:1" x14ac:dyDescent="0.25">
      <c r="A4383" s="13"/>
    </row>
    <row r="4384" spans="1:1" x14ac:dyDescent="0.25">
      <c r="A4384" s="13"/>
    </row>
    <row r="4385" spans="1:1" x14ac:dyDescent="0.25">
      <c r="A4385" s="13"/>
    </row>
    <row r="4386" spans="1:1" x14ac:dyDescent="0.25">
      <c r="A4386" s="13"/>
    </row>
    <row r="4387" spans="1:1" x14ac:dyDescent="0.25">
      <c r="A4387" s="13"/>
    </row>
    <row r="4388" spans="1:1" x14ac:dyDescent="0.25">
      <c r="A4388" s="13"/>
    </row>
    <row r="4389" spans="1:1" x14ac:dyDescent="0.25">
      <c r="A4389" s="13"/>
    </row>
    <row r="4390" spans="1:1" x14ac:dyDescent="0.25">
      <c r="A4390" s="13"/>
    </row>
    <row r="4391" spans="1:1" x14ac:dyDescent="0.25">
      <c r="A4391" s="13"/>
    </row>
    <row r="4392" spans="1:1" x14ac:dyDescent="0.25">
      <c r="A4392" s="13"/>
    </row>
    <row r="4393" spans="1:1" x14ac:dyDescent="0.25">
      <c r="A4393" s="13"/>
    </row>
    <row r="4394" spans="1:1" x14ac:dyDescent="0.25">
      <c r="A4394" s="13"/>
    </row>
    <row r="4395" spans="1:1" x14ac:dyDescent="0.25">
      <c r="A4395" s="13"/>
    </row>
    <row r="4396" spans="1:1" x14ac:dyDescent="0.25">
      <c r="A4396" s="13"/>
    </row>
    <row r="4397" spans="1:1" x14ac:dyDescent="0.25">
      <c r="A4397" s="13"/>
    </row>
    <row r="4398" spans="1:1" x14ac:dyDescent="0.25">
      <c r="A4398" s="13"/>
    </row>
    <row r="4399" spans="1:1" x14ac:dyDescent="0.25">
      <c r="A4399" s="13"/>
    </row>
    <row r="4400" spans="1:1" x14ac:dyDescent="0.25">
      <c r="A4400" s="13"/>
    </row>
    <row r="4401" spans="1:1" x14ac:dyDescent="0.25">
      <c r="A4401" s="13"/>
    </row>
    <row r="4402" spans="1:1" x14ac:dyDescent="0.25">
      <c r="A4402" s="13"/>
    </row>
    <row r="4403" spans="1:1" x14ac:dyDescent="0.25">
      <c r="A4403" s="13"/>
    </row>
    <row r="4404" spans="1:1" x14ac:dyDescent="0.25">
      <c r="A4404" s="13"/>
    </row>
    <row r="4405" spans="1:1" x14ac:dyDescent="0.25">
      <c r="A4405" s="13"/>
    </row>
    <row r="4406" spans="1:1" x14ac:dyDescent="0.25">
      <c r="A4406" s="13"/>
    </row>
    <row r="4407" spans="1:1" x14ac:dyDescent="0.25">
      <c r="A4407" s="13"/>
    </row>
    <row r="4408" spans="1:1" x14ac:dyDescent="0.25">
      <c r="A4408" s="13"/>
    </row>
    <row r="4409" spans="1:1" x14ac:dyDescent="0.25">
      <c r="A4409" s="13"/>
    </row>
    <row r="4410" spans="1:1" x14ac:dyDescent="0.25">
      <c r="A4410" s="13"/>
    </row>
    <row r="4411" spans="1:1" x14ac:dyDescent="0.25">
      <c r="A4411" s="13"/>
    </row>
    <row r="4412" spans="1:1" x14ac:dyDescent="0.25">
      <c r="A4412" s="13"/>
    </row>
    <row r="4413" spans="1:1" x14ac:dyDescent="0.25">
      <c r="A4413" s="13"/>
    </row>
    <row r="4414" spans="1:1" x14ac:dyDescent="0.25">
      <c r="A4414" s="13"/>
    </row>
    <row r="4415" spans="1:1" x14ac:dyDescent="0.25">
      <c r="A4415" s="13"/>
    </row>
    <row r="4416" spans="1:1" x14ac:dyDescent="0.25">
      <c r="A4416" s="13"/>
    </row>
    <row r="4417" spans="1:1" x14ac:dyDescent="0.25">
      <c r="A4417" s="13"/>
    </row>
    <row r="4418" spans="1:1" x14ac:dyDescent="0.25">
      <c r="A4418" s="13"/>
    </row>
    <row r="4419" spans="1:1" x14ac:dyDescent="0.25">
      <c r="A4419" s="13"/>
    </row>
    <row r="4420" spans="1:1" x14ac:dyDescent="0.25">
      <c r="A4420" s="13"/>
    </row>
    <row r="4421" spans="1:1" x14ac:dyDescent="0.25">
      <c r="A4421" s="13"/>
    </row>
    <row r="4422" spans="1:1" x14ac:dyDescent="0.25">
      <c r="A4422" s="13"/>
    </row>
    <row r="4423" spans="1:1" x14ac:dyDescent="0.25">
      <c r="A4423" s="13"/>
    </row>
    <row r="4424" spans="1:1" x14ac:dyDescent="0.25">
      <c r="A4424" s="13"/>
    </row>
    <row r="4425" spans="1:1" x14ac:dyDescent="0.25">
      <c r="A4425" s="13"/>
    </row>
    <row r="4426" spans="1:1" x14ac:dyDescent="0.25">
      <c r="A4426" s="13"/>
    </row>
    <row r="4427" spans="1:1" x14ac:dyDescent="0.25">
      <c r="A4427" s="13"/>
    </row>
    <row r="4428" spans="1:1" x14ac:dyDescent="0.25">
      <c r="A4428" s="13"/>
    </row>
    <row r="4429" spans="1:1" x14ac:dyDescent="0.25">
      <c r="A4429" s="13"/>
    </row>
    <row r="4430" spans="1:1" x14ac:dyDescent="0.25">
      <c r="A4430" s="13"/>
    </row>
    <row r="4431" spans="1:1" x14ac:dyDescent="0.25">
      <c r="A4431" s="13"/>
    </row>
    <row r="4432" spans="1:1" x14ac:dyDescent="0.25">
      <c r="A4432" s="13"/>
    </row>
    <row r="4433" spans="1:1" x14ac:dyDescent="0.25">
      <c r="A4433" s="13"/>
    </row>
    <row r="4434" spans="1:1" x14ac:dyDescent="0.25">
      <c r="A4434" s="13"/>
    </row>
    <row r="4435" spans="1:1" x14ac:dyDescent="0.25">
      <c r="A4435" s="13"/>
    </row>
    <row r="4436" spans="1:1" x14ac:dyDescent="0.25">
      <c r="A4436" s="13"/>
    </row>
    <row r="4437" spans="1:1" x14ac:dyDescent="0.25">
      <c r="A4437" s="13"/>
    </row>
    <row r="4438" spans="1:1" x14ac:dyDescent="0.25">
      <c r="A4438" s="13"/>
    </row>
    <row r="4439" spans="1:1" x14ac:dyDescent="0.25">
      <c r="A4439" s="13"/>
    </row>
    <row r="4440" spans="1:1" x14ac:dyDescent="0.25">
      <c r="A4440" s="13"/>
    </row>
    <row r="4441" spans="1:1" x14ac:dyDescent="0.25">
      <c r="A4441" s="13"/>
    </row>
    <row r="4442" spans="1:1" x14ac:dyDescent="0.25">
      <c r="A4442" s="13"/>
    </row>
    <row r="4443" spans="1:1" x14ac:dyDescent="0.25">
      <c r="A4443" s="13"/>
    </row>
    <row r="4444" spans="1:1" x14ac:dyDescent="0.25">
      <c r="A4444" s="13"/>
    </row>
    <row r="4445" spans="1:1" x14ac:dyDescent="0.25">
      <c r="A4445" s="13"/>
    </row>
    <row r="4446" spans="1:1" x14ac:dyDescent="0.25">
      <c r="A4446" s="13"/>
    </row>
    <row r="4447" spans="1:1" x14ac:dyDescent="0.25">
      <c r="A4447" s="13"/>
    </row>
    <row r="4448" spans="1:1" x14ac:dyDescent="0.25">
      <c r="A4448" s="13"/>
    </row>
    <row r="4449" spans="1:1" x14ac:dyDescent="0.25">
      <c r="A4449" s="13"/>
    </row>
    <row r="4450" spans="1:1" x14ac:dyDescent="0.25">
      <c r="A4450" s="13"/>
    </row>
    <row r="4451" spans="1:1" x14ac:dyDescent="0.25">
      <c r="A4451" s="13"/>
    </row>
    <row r="4452" spans="1:1" x14ac:dyDescent="0.25">
      <c r="A4452" s="13"/>
    </row>
    <row r="4453" spans="1:1" x14ac:dyDescent="0.25">
      <c r="A4453" s="13"/>
    </row>
    <row r="4454" spans="1:1" x14ac:dyDescent="0.25">
      <c r="A4454" s="13"/>
    </row>
    <row r="4455" spans="1:1" x14ac:dyDescent="0.25">
      <c r="A4455" s="13"/>
    </row>
    <row r="4456" spans="1:1" x14ac:dyDescent="0.25">
      <c r="A4456" s="13"/>
    </row>
    <row r="4457" spans="1:1" x14ac:dyDescent="0.25">
      <c r="A4457" s="13"/>
    </row>
    <row r="4458" spans="1:1" x14ac:dyDescent="0.25">
      <c r="A4458" s="13"/>
    </row>
    <row r="4459" spans="1:1" x14ac:dyDescent="0.25">
      <c r="A4459" s="13"/>
    </row>
    <row r="4460" spans="1:1" x14ac:dyDescent="0.25">
      <c r="A4460" s="13"/>
    </row>
    <row r="4461" spans="1:1" x14ac:dyDescent="0.25">
      <c r="A4461" s="13"/>
    </row>
    <row r="4462" spans="1:1" x14ac:dyDescent="0.25">
      <c r="A4462" s="13"/>
    </row>
    <row r="4463" spans="1:1" x14ac:dyDescent="0.25">
      <c r="A4463" s="13"/>
    </row>
    <row r="4464" spans="1:1" x14ac:dyDescent="0.25">
      <c r="A4464" s="13"/>
    </row>
    <row r="4465" spans="1:1" x14ac:dyDescent="0.25">
      <c r="A4465" s="13"/>
    </row>
    <row r="4466" spans="1:1" x14ac:dyDescent="0.25">
      <c r="A4466" s="13"/>
    </row>
    <row r="4467" spans="1:1" x14ac:dyDescent="0.25">
      <c r="A4467" s="13"/>
    </row>
    <row r="4468" spans="1:1" x14ac:dyDescent="0.25">
      <c r="A4468" s="13"/>
    </row>
    <row r="4469" spans="1:1" x14ac:dyDescent="0.25">
      <c r="A4469" s="13"/>
    </row>
    <row r="4470" spans="1:1" x14ac:dyDescent="0.25">
      <c r="A4470" s="13"/>
    </row>
    <row r="4471" spans="1:1" x14ac:dyDescent="0.25">
      <c r="A4471" s="13"/>
    </row>
    <row r="4472" spans="1:1" x14ac:dyDescent="0.25">
      <c r="A4472" s="13"/>
    </row>
    <row r="4473" spans="1:1" x14ac:dyDescent="0.25">
      <c r="A4473" s="13"/>
    </row>
    <row r="4474" spans="1:1" x14ac:dyDescent="0.25">
      <c r="A4474" s="13"/>
    </row>
    <row r="4475" spans="1:1" x14ac:dyDescent="0.25">
      <c r="A4475" s="13"/>
    </row>
    <row r="4476" spans="1:1" x14ac:dyDescent="0.25">
      <c r="A4476" s="13"/>
    </row>
    <row r="4477" spans="1:1" x14ac:dyDescent="0.25">
      <c r="A4477" s="13"/>
    </row>
    <row r="4478" spans="1:1" x14ac:dyDescent="0.25">
      <c r="A4478" s="13"/>
    </row>
    <row r="4479" spans="1:1" x14ac:dyDescent="0.25">
      <c r="A4479" s="13"/>
    </row>
    <row r="4480" spans="1:1" x14ac:dyDescent="0.25">
      <c r="A4480" s="13"/>
    </row>
    <row r="4481" spans="1:1" x14ac:dyDescent="0.25">
      <c r="A4481" s="13"/>
    </row>
    <row r="4482" spans="1:1" x14ac:dyDescent="0.25">
      <c r="A4482" s="13"/>
    </row>
    <row r="4483" spans="1:1" x14ac:dyDescent="0.25">
      <c r="A4483" s="13"/>
    </row>
    <row r="4484" spans="1:1" x14ac:dyDescent="0.25">
      <c r="A4484" s="13"/>
    </row>
    <row r="4485" spans="1:1" x14ac:dyDescent="0.25">
      <c r="A4485" s="13"/>
    </row>
    <row r="4486" spans="1:1" x14ac:dyDescent="0.25">
      <c r="A4486" s="13"/>
    </row>
    <row r="4487" spans="1:1" x14ac:dyDescent="0.25">
      <c r="A4487" s="13"/>
    </row>
    <row r="4488" spans="1:1" x14ac:dyDescent="0.25">
      <c r="A4488" s="13"/>
    </row>
    <row r="4489" spans="1:1" x14ac:dyDescent="0.25">
      <c r="A4489" s="13"/>
    </row>
    <row r="4490" spans="1:1" x14ac:dyDescent="0.25">
      <c r="A4490" s="13"/>
    </row>
    <row r="4491" spans="1:1" x14ac:dyDescent="0.25">
      <c r="A4491" s="13"/>
    </row>
    <row r="4492" spans="1:1" x14ac:dyDescent="0.25">
      <c r="A4492" s="13"/>
    </row>
    <row r="4493" spans="1:1" x14ac:dyDescent="0.25">
      <c r="A4493" s="13"/>
    </row>
    <row r="4494" spans="1:1" x14ac:dyDescent="0.25">
      <c r="A4494" s="13"/>
    </row>
    <row r="4495" spans="1:1" x14ac:dyDescent="0.25">
      <c r="A4495" s="13"/>
    </row>
    <row r="4496" spans="1:1" x14ac:dyDescent="0.25">
      <c r="A4496" s="13"/>
    </row>
    <row r="4497" spans="1:1" x14ac:dyDescent="0.25">
      <c r="A4497" s="13"/>
    </row>
    <row r="4498" spans="1:1" x14ac:dyDescent="0.25">
      <c r="A4498" s="13"/>
    </row>
    <row r="4499" spans="1:1" x14ac:dyDescent="0.25">
      <c r="A4499" s="13"/>
    </row>
    <row r="4500" spans="1:1" x14ac:dyDescent="0.25">
      <c r="A4500" s="13"/>
    </row>
    <row r="4501" spans="1:1" x14ac:dyDescent="0.25">
      <c r="A4501" s="13"/>
    </row>
    <row r="4502" spans="1:1" x14ac:dyDescent="0.25">
      <c r="A4502" s="13"/>
    </row>
    <row r="4503" spans="1:1" x14ac:dyDescent="0.25">
      <c r="A4503" s="13"/>
    </row>
    <row r="4504" spans="1:1" x14ac:dyDescent="0.25">
      <c r="A4504" s="13"/>
    </row>
    <row r="4505" spans="1:1" x14ac:dyDescent="0.25">
      <c r="A4505" s="13"/>
    </row>
    <row r="4506" spans="1:1" x14ac:dyDescent="0.25">
      <c r="A4506" s="13"/>
    </row>
    <row r="4507" spans="1:1" x14ac:dyDescent="0.25">
      <c r="A4507" s="13"/>
    </row>
    <row r="4508" spans="1:1" x14ac:dyDescent="0.25">
      <c r="A4508" s="13"/>
    </row>
    <row r="4509" spans="1:1" x14ac:dyDescent="0.25">
      <c r="A4509" s="13"/>
    </row>
    <row r="4510" spans="1:1" x14ac:dyDescent="0.25">
      <c r="A4510" s="13"/>
    </row>
    <row r="4511" spans="1:1" x14ac:dyDescent="0.25">
      <c r="A4511" s="13"/>
    </row>
    <row r="4512" spans="1:1" x14ac:dyDescent="0.25">
      <c r="A4512" s="13"/>
    </row>
    <row r="4513" spans="1:1" x14ac:dyDescent="0.25">
      <c r="A4513" s="13"/>
    </row>
    <row r="4514" spans="1:1" x14ac:dyDescent="0.25">
      <c r="A4514" s="13"/>
    </row>
    <row r="4515" spans="1:1" x14ac:dyDescent="0.25">
      <c r="A4515" s="13"/>
    </row>
    <row r="4516" spans="1:1" x14ac:dyDescent="0.25">
      <c r="A4516" s="13"/>
    </row>
    <row r="4517" spans="1:1" x14ac:dyDescent="0.25">
      <c r="A4517" s="13"/>
    </row>
    <row r="4518" spans="1:1" x14ac:dyDescent="0.25">
      <c r="A4518" s="13"/>
    </row>
    <row r="4519" spans="1:1" x14ac:dyDescent="0.25">
      <c r="A4519" s="13"/>
    </row>
    <row r="4520" spans="1:1" x14ac:dyDescent="0.25">
      <c r="A4520" s="13"/>
    </row>
    <row r="4521" spans="1:1" x14ac:dyDescent="0.25">
      <c r="A4521" s="13"/>
    </row>
    <row r="4522" spans="1:1" x14ac:dyDescent="0.25">
      <c r="A4522" s="13"/>
    </row>
    <row r="4523" spans="1:1" x14ac:dyDescent="0.25">
      <c r="A4523" s="13"/>
    </row>
    <row r="4524" spans="1:1" x14ac:dyDescent="0.25">
      <c r="A4524" s="13"/>
    </row>
    <row r="4525" spans="1:1" x14ac:dyDescent="0.25">
      <c r="A4525" s="13"/>
    </row>
    <row r="4526" spans="1:1" x14ac:dyDescent="0.25">
      <c r="A4526" s="13"/>
    </row>
    <row r="4527" spans="1:1" x14ac:dyDescent="0.25">
      <c r="A4527" s="13"/>
    </row>
    <row r="4528" spans="1:1" x14ac:dyDescent="0.25">
      <c r="A4528" s="13"/>
    </row>
    <row r="4529" spans="1:1" x14ac:dyDescent="0.25">
      <c r="A4529" s="13"/>
    </row>
    <row r="4530" spans="1:1" x14ac:dyDescent="0.25">
      <c r="A4530" s="13"/>
    </row>
    <row r="4531" spans="1:1" x14ac:dyDescent="0.25">
      <c r="A4531" s="13"/>
    </row>
    <row r="4532" spans="1:1" x14ac:dyDescent="0.25">
      <c r="A4532" s="13"/>
    </row>
    <row r="4533" spans="1:1" x14ac:dyDescent="0.25">
      <c r="A4533" s="13"/>
    </row>
    <row r="4534" spans="1:1" x14ac:dyDescent="0.25">
      <c r="A4534" s="13"/>
    </row>
    <row r="4535" spans="1:1" x14ac:dyDescent="0.25">
      <c r="A4535" s="13"/>
    </row>
    <row r="4536" spans="1:1" x14ac:dyDescent="0.25">
      <c r="A4536" s="13"/>
    </row>
    <row r="4537" spans="1:1" x14ac:dyDescent="0.25">
      <c r="A4537" s="13"/>
    </row>
    <row r="4538" spans="1:1" x14ac:dyDescent="0.25">
      <c r="A4538" s="13"/>
    </row>
    <row r="4539" spans="1:1" x14ac:dyDescent="0.25">
      <c r="A4539" s="13"/>
    </row>
    <row r="4540" spans="1:1" x14ac:dyDescent="0.25">
      <c r="A4540" s="13"/>
    </row>
    <row r="4541" spans="1:1" x14ac:dyDescent="0.25">
      <c r="A4541" s="13"/>
    </row>
    <row r="4542" spans="1:1" x14ac:dyDescent="0.25">
      <c r="A4542" s="13"/>
    </row>
    <row r="4543" spans="1:1" x14ac:dyDescent="0.25">
      <c r="A4543" s="13"/>
    </row>
    <row r="4544" spans="1:1" x14ac:dyDescent="0.25">
      <c r="A4544" s="13"/>
    </row>
    <row r="4545" spans="1:1" x14ac:dyDescent="0.25">
      <c r="A4545" s="13"/>
    </row>
    <row r="4546" spans="1:1" x14ac:dyDescent="0.25">
      <c r="A4546" s="13"/>
    </row>
    <row r="4547" spans="1:1" x14ac:dyDescent="0.25">
      <c r="A4547" s="13"/>
    </row>
    <row r="4548" spans="1:1" x14ac:dyDescent="0.25">
      <c r="A4548" s="13"/>
    </row>
    <row r="4549" spans="1:1" x14ac:dyDescent="0.25">
      <c r="A4549" s="13"/>
    </row>
    <row r="4550" spans="1:1" x14ac:dyDescent="0.25">
      <c r="A4550" s="13"/>
    </row>
    <row r="4551" spans="1:1" x14ac:dyDescent="0.25">
      <c r="A4551" s="13"/>
    </row>
    <row r="4552" spans="1:1" x14ac:dyDescent="0.25">
      <c r="A4552" s="13"/>
    </row>
    <row r="4553" spans="1:1" x14ac:dyDescent="0.25">
      <c r="A4553" s="13"/>
    </row>
    <row r="4554" spans="1:1" x14ac:dyDescent="0.25">
      <c r="A4554" s="13"/>
    </row>
    <row r="4555" spans="1:1" x14ac:dyDescent="0.25">
      <c r="A4555" s="13"/>
    </row>
    <row r="4556" spans="1:1" x14ac:dyDescent="0.25">
      <c r="A4556" s="13"/>
    </row>
    <row r="4557" spans="1:1" x14ac:dyDescent="0.25">
      <c r="A4557" s="13"/>
    </row>
    <row r="4558" spans="1:1" x14ac:dyDescent="0.25">
      <c r="A4558" s="13"/>
    </row>
    <row r="4559" spans="1:1" x14ac:dyDescent="0.25">
      <c r="A4559" s="13"/>
    </row>
    <row r="4560" spans="1:1" x14ac:dyDescent="0.25">
      <c r="A4560" s="13"/>
    </row>
    <row r="4561" spans="1:1" x14ac:dyDescent="0.25">
      <c r="A4561" s="13"/>
    </row>
    <row r="4562" spans="1:1" x14ac:dyDescent="0.25">
      <c r="A4562" s="13"/>
    </row>
    <row r="4563" spans="1:1" x14ac:dyDescent="0.25">
      <c r="A4563" s="13"/>
    </row>
    <row r="4564" spans="1:1" x14ac:dyDescent="0.25">
      <c r="A4564" s="13"/>
    </row>
    <row r="4565" spans="1:1" x14ac:dyDescent="0.25">
      <c r="A4565" s="13"/>
    </row>
    <row r="4566" spans="1:1" x14ac:dyDescent="0.25">
      <c r="A4566" s="13"/>
    </row>
    <row r="4567" spans="1:1" x14ac:dyDescent="0.25">
      <c r="A4567" s="13"/>
    </row>
    <row r="4568" spans="1:1" x14ac:dyDescent="0.25">
      <c r="A4568" s="13"/>
    </row>
    <row r="4569" spans="1:1" x14ac:dyDescent="0.25">
      <c r="A4569" s="13"/>
    </row>
    <row r="4570" spans="1:1" x14ac:dyDescent="0.25">
      <c r="A4570" s="13"/>
    </row>
    <row r="4571" spans="1:1" x14ac:dyDescent="0.25">
      <c r="A4571" s="13"/>
    </row>
    <row r="4572" spans="1:1" x14ac:dyDescent="0.25">
      <c r="A4572" s="13"/>
    </row>
    <row r="4573" spans="1:1" x14ac:dyDescent="0.25">
      <c r="A4573" s="13"/>
    </row>
    <row r="4574" spans="1:1" x14ac:dyDescent="0.25">
      <c r="A4574" s="13"/>
    </row>
    <row r="4575" spans="1:1" x14ac:dyDescent="0.25">
      <c r="A4575" s="13"/>
    </row>
    <row r="4576" spans="1:1" x14ac:dyDescent="0.25">
      <c r="A4576" s="13"/>
    </row>
    <row r="4577" spans="1:1" x14ac:dyDescent="0.25">
      <c r="A4577" s="13"/>
    </row>
    <row r="4578" spans="1:1" x14ac:dyDescent="0.25">
      <c r="A4578" s="13"/>
    </row>
    <row r="4579" spans="1:1" x14ac:dyDescent="0.25">
      <c r="A4579" s="13"/>
    </row>
    <row r="4580" spans="1:1" x14ac:dyDescent="0.25">
      <c r="A4580" s="13"/>
    </row>
    <row r="4581" spans="1:1" x14ac:dyDescent="0.25">
      <c r="A4581" s="13"/>
    </row>
    <row r="4582" spans="1:1" x14ac:dyDescent="0.25">
      <c r="A4582" s="13"/>
    </row>
    <row r="4583" spans="1:1" x14ac:dyDescent="0.25">
      <c r="A4583" s="13"/>
    </row>
    <row r="4584" spans="1:1" x14ac:dyDescent="0.25">
      <c r="A4584" s="13"/>
    </row>
    <row r="4585" spans="1:1" x14ac:dyDescent="0.25">
      <c r="A4585" s="13"/>
    </row>
    <row r="4586" spans="1:1" x14ac:dyDescent="0.25">
      <c r="A4586" s="13"/>
    </row>
    <row r="4587" spans="1:1" x14ac:dyDescent="0.25">
      <c r="A4587" s="13"/>
    </row>
    <row r="4588" spans="1:1" x14ac:dyDescent="0.25">
      <c r="A4588" s="13"/>
    </row>
    <row r="4589" spans="1:1" x14ac:dyDescent="0.25">
      <c r="A4589" s="13"/>
    </row>
    <row r="4590" spans="1:1" x14ac:dyDescent="0.25">
      <c r="A4590" s="13"/>
    </row>
    <row r="4591" spans="1:1" x14ac:dyDescent="0.25">
      <c r="A4591" s="13"/>
    </row>
    <row r="4592" spans="1:1" x14ac:dyDescent="0.25">
      <c r="A4592" s="13"/>
    </row>
    <row r="4593" spans="1:1" x14ac:dyDescent="0.25">
      <c r="A4593" s="13"/>
    </row>
    <row r="4594" spans="1:1" x14ac:dyDescent="0.25">
      <c r="A4594" s="13"/>
    </row>
    <row r="4595" spans="1:1" x14ac:dyDescent="0.25">
      <c r="A4595" s="13"/>
    </row>
    <row r="4596" spans="1:1" x14ac:dyDescent="0.25">
      <c r="A4596" s="13"/>
    </row>
    <row r="4597" spans="1:1" x14ac:dyDescent="0.25">
      <c r="A4597" s="13"/>
    </row>
    <row r="4598" spans="1:1" x14ac:dyDescent="0.25">
      <c r="A4598" s="13"/>
    </row>
    <row r="4599" spans="1:1" x14ac:dyDescent="0.25">
      <c r="A4599" s="13"/>
    </row>
    <row r="4600" spans="1:1" x14ac:dyDescent="0.25">
      <c r="A4600" s="13"/>
    </row>
    <row r="4601" spans="1:1" x14ac:dyDescent="0.25">
      <c r="A4601" s="13"/>
    </row>
    <row r="4602" spans="1:1" x14ac:dyDescent="0.25">
      <c r="A4602" s="13"/>
    </row>
    <row r="4603" spans="1:1" x14ac:dyDescent="0.25">
      <c r="A4603" s="13"/>
    </row>
    <row r="4604" spans="1:1" x14ac:dyDescent="0.25">
      <c r="A4604" s="13"/>
    </row>
    <row r="4605" spans="1:1" x14ac:dyDescent="0.25">
      <c r="A4605" s="13"/>
    </row>
    <row r="4606" spans="1:1" x14ac:dyDescent="0.25">
      <c r="A4606" s="13"/>
    </row>
    <row r="4607" spans="1:1" x14ac:dyDescent="0.25">
      <c r="A4607" s="13"/>
    </row>
    <row r="4608" spans="1:1" x14ac:dyDescent="0.25">
      <c r="A4608" s="13"/>
    </row>
    <row r="4609" spans="1:1" x14ac:dyDescent="0.25">
      <c r="A4609" s="13"/>
    </row>
    <row r="4610" spans="1:1" x14ac:dyDescent="0.25">
      <c r="A4610" s="13"/>
    </row>
    <row r="4611" spans="1:1" x14ac:dyDescent="0.25">
      <c r="A4611" s="13"/>
    </row>
    <row r="4612" spans="1:1" x14ac:dyDescent="0.25">
      <c r="A4612" s="13"/>
    </row>
    <row r="4613" spans="1:1" x14ac:dyDescent="0.25">
      <c r="A4613" s="13"/>
    </row>
    <row r="4614" spans="1:1" x14ac:dyDescent="0.25">
      <c r="A4614" s="13"/>
    </row>
    <row r="4615" spans="1:1" x14ac:dyDescent="0.25">
      <c r="A4615" s="13"/>
    </row>
    <row r="4616" spans="1:1" x14ac:dyDescent="0.25">
      <c r="A4616" s="13"/>
    </row>
    <row r="4617" spans="1:1" x14ac:dyDescent="0.25">
      <c r="A4617" s="13"/>
    </row>
    <row r="4618" spans="1:1" x14ac:dyDescent="0.25">
      <c r="A4618" s="13"/>
    </row>
    <row r="4619" spans="1:1" x14ac:dyDescent="0.25">
      <c r="A4619" s="13"/>
    </row>
    <row r="4620" spans="1:1" x14ac:dyDescent="0.25">
      <c r="A4620" s="13"/>
    </row>
    <row r="4621" spans="1:1" x14ac:dyDescent="0.25">
      <c r="A4621" s="13"/>
    </row>
    <row r="4622" spans="1:1" x14ac:dyDescent="0.25">
      <c r="A4622" s="13"/>
    </row>
    <row r="4623" spans="1:1" x14ac:dyDescent="0.25">
      <c r="A4623" s="13"/>
    </row>
    <row r="4624" spans="1:1" x14ac:dyDescent="0.25">
      <c r="A4624" s="13"/>
    </row>
    <row r="4625" spans="1:1" x14ac:dyDescent="0.25">
      <c r="A4625" s="13"/>
    </row>
    <row r="4626" spans="1:1" x14ac:dyDescent="0.25">
      <c r="A4626" s="13"/>
    </row>
    <row r="4627" spans="1:1" x14ac:dyDescent="0.25">
      <c r="A4627" s="13"/>
    </row>
    <row r="4628" spans="1:1" x14ac:dyDescent="0.25">
      <c r="A4628" s="13"/>
    </row>
    <row r="4629" spans="1:1" x14ac:dyDescent="0.25">
      <c r="A4629" s="13"/>
    </row>
    <row r="4630" spans="1:1" x14ac:dyDescent="0.25">
      <c r="A4630" s="13"/>
    </row>
    <row r="4631" spans="1:1" x14ac:dyDescent="0.25">
      <c r="A4631" s="13"/>
    </row>
    <row r="4632" spans="1:1" x14ac:dyDescent="0.25">
      <c r="A4632" s="13"/>
    </row>
    <row r="4633" spans="1:1" x14ac:dyDescent="0.25">
      <c r="A4633" s="13"/>
    </row>
    <row r="4634" spans="1:1" x14ac:dyDescent="0.25">
      <c r="A4634" s="13"/>
    </row>
    <row r="4635" spans="1:1" x14ac:dyDescent="0.25">
      <c r="A4635" s="13"/>
    </row>
    <row r="4636" spans="1:1" x14ac:dyDescent="0.25">
      <c r="A4636" s="13"/>
    </row>
    <row r="4637" spans="1:1" x14ac:dyDescent="0.25">
      <c r="A4637" s="13"/>
    </row>
    <row r="4638" spans="1:1" x14ac:dyDescent="0.25">
      <c r="A4638" s="13"/>
    </row>
    <row r="4639" spans="1:1" x14ac:dyDescent="0.25">
      <c r="A4639" s="13"/>
    </row>
    <row r="4640" spans="1:1" x14ac:dyDescent="0.25">
      <c r="A4640" s="13"/>
    </row>
    <row r="4641" spans="1:1" x14ac:dyDescent="0.25">
      <c r="A4641" s="13"/>
    </row>
    <row r="4642" spans="1:1" x14ac:dyDescent="0.25">
      <c r="A4642" s="13"/>
    </row>
    <row r="4643" spans="1:1" x14ac:dyDescent="0.25">
      <c r="A4643" s="13"/>
    </row>
    <row r="4644" spans="1:1" x14ac:dyDescent="0.25">
      <c r="A4644" s="13"/>
    </row>
    <row r="4645" spans="1:1" x14ac:dyDescent="0.25">
      <c r="A4645" s="13"/>
    </row>
    <row r="4646" spans="1:1" x14ac:dyDescent="0.25">
      <c r="A4646" s="13"/>
    </row>
    <row r="4647" spans="1:1" x14ac:dyDescent="0.25">
      <c r="A4647" s="13"/>
    </row>
    <row r="4648" spans="1:1" x14ac:dyDescent="0.25">
      <c r="A4648" s="13"/>
    </row>
    <row r="4649" spans="1:1" x14ac:dyDescent="0.25">
      <c r="A4649" s="13"/>
    </row>
    <row r="4650" spans="1:1" x14ac:dyDescent="0.25">
      <c r="A4650" s="13"/>
    </row>
    <row r="4651" spans="1:1" x14ac:dyDescent="0.25">
      <c r="A4651" s="13"/>
    </row>
    <row r="4652" spans="1:1" x14ac:dyDescent="0.25">
      <c r="A4652" s="13"/>
    </row>
    <row r="4653" spans="1:1" x14ac:dyDescent="0.25">
      <c r="A4653" s="13"/>
    </row>
    <row r="4654" spans="1:1" x14ac:dyDescent="0.25">
      <c r="A4654" s="13"/>
    </row>
    <row r="4655" spans="1:1" x14ac:dyDescent="0.25">
      <c r="A4655" s="13"/>
    </row>
    <row r="4656" spans="1:1" x14ac:dyDescent="0.25">
      <c r="A4656" s="13"/>
    </row>
    <row r="4657" spans="1:1" x14ac:dyDescent="0.25">
      <c r="A4657" s="13"/>
    </row>
    <row r="4658" spans="1:1" x14ac:dyDescent="0.25">
      <c r="A4658" s="13"/>
    </row>
    <row r="4659" spans="1:1" x14ac:dyDescent="0.25">
      <c r="A4659" s="13"/>
    </row>
    <row r="4660" spans="1:1" x14ac:dyDescent="0.25">
      <c r="A4660" s="13"/>
    </row>
    <row r="4661" spans="1:1" x14ac:dyDescent="0.25">
      <c r="A4661" s="13"/>
    </row>
    <row r="4662" spans="1:1" x14ac:dyDescent="0.25">
      <c r="A4662" s="13"/>
    </row>
    <row r="4663" spans="1:1" x14ac:dyDescent="0.25">
      <c r="A4663" s="13"/>
    </row>
    <row r="4664" spans="1:1" x14ac:dyDescent="0.25">
      <c r="A4664" s="13"/>
    </row>
    <row r="4665" spans="1:1" x14ac:dyDescent="0.25">
      <c r="A4665" s="13"/>
    </row>
    <row r="4666" spans="1:1" x14ac:dyDescent="0.25">
      <c r="A4666" s="13"/>
    </row>
    <row r="4667" spans="1:1" x14ac:dyDescent="0.25">
      <c r="A4667" s="13"/>
    </row>
    <row r="4668" spans="1:1" x14ac:dyDescent="0.25">
      <c r="A4668" s="13"/>
    </row>
    <row r="4669" spans="1:1" x14ac:dyDescent="0.25">
      <c r="A4669" s="13"/>
    </row>
    <row r="4670" spans="1:1" x14ac:dyDescent="0.25">
      <c r="A4670" s="13"/>
    </row>
    <row r="4671" spans="1:1" x14ac:dyDescent="0.25">
      <c r="A4671" s="13"/>
    </row>
    <row r="4672" spans="1:1" x14ac:dyDescent="0.25">
      <c r="A4672" s="13"/>
    </row>
    <row r="4673" spans="1:1" x14ac:dyDescent="0.25">
      <c r="A4673" s="13"/>
    </row>
    <row r="4674" spans="1:1" x14ac:dyDescent="0.25">
      <c r="A4674" s="13"/>
    </row>
    <row r="4675" spans="1:1" x14ac:dyDescent="0.25">
      <c r="A4675" s="13"/>
    </row>
    <row r="4676" spans="1:1" x14ac:dyDescent="0.25">
      <c r="A4676" s="13"/>
    </row>
    <row r="4677" spans="1:1" x14ac:dyDescent="0.25">
      <c r="A4677" s="13"/>
    </row>
    <row r="4678" spans="1:1" x14ac:dyDescent="0.25">
      <c r="A4678" s="13"/>
    </row>
    <row r="4679" spans="1:1" x14ac:dyDescent="0.25">
      <c r="A4679" s="13"/>
    </row>
    <row r="4680" spans="1:1" x14ac:dyDescent="0.25">
      <c r="A4680" s="13"/>
    </row>
    <row r="4681" spans="1:1" x14ac:dyDescent="0.25">
      <c r="A4681" s="13"/>
    </row>
    <row r="4682" spans="1:1" x14ac:dyDescent="0.25">
      <c r="A4682" s="13"/>
    </row>
    <row r="4683" spans="1:1" x14ac:dyDescent="0.25">
      <c r="A4683" s="13"/>
    </row>
    <row r="4684" spans="1:1" x14ac:dyDescent="0.25">
      <c r="A4684" s="13"/>
    </row>
    <row r="4685" spans="1:1" x14ac:dyDescent="0.25">
      <c r="A4685" s="13"/>
    </row>
    <row r="4686" spans="1:1" x14ac:dyDescent="0.25">
      <c r="A4686" s="13"/>
    </row>
    <row r="4687" spans="1:1" x14ac:dyDescent="0.25">
      <c r="A4687" s="13"/>
    </row>
    <row r="4688" spans="1:1" x14ac:dyDescent="0.25">
      <c r="A4688" s="13"/>
    </row>
    <row r="4689" spans="1:1" x14ac:dyDescent="0.25">
      <c r="A4689" s="13"/>
    </row>
    <row r="4690" spans="1:1" x14ac:dyDescent="0.25">
      <c r="A4690" s="13"/>
    </row>
    <row r="4691" spans="1:1" x14ac:dyDescent="0.25">
      <c r="A4691" s="13"/>
    </row>
    <row r="4692" spans="1:1" x14ac:dyDescent="0.25">
      <c r="A4692" s="13"/>
    </row>
    <row r="4693" spans="1:1" x14ac:dyDescent="0.25">
      <c r="A4693" s="13"/>
    </row>
    <row r="4694" spans="1:1" x14ac:dyDescent="0.25">
      <c r="A4694" s="13"/>
    </row>
    <row r="4695" spans="1:1" x14ac:dyDescent="0.25">
      <c r="A4695" s="13"/>
    </row>
    <row r="4696" spans="1:1" x14ac:dyDescent="0.25">
      <c r="A4696" s="13"/>
    </row>
    <row r="4697" spans="1:1" x14ac:dyDescent="0.25">
      <c r="A4697" s="13"/>
    </row>
    <row r="4698" spans="1:1" x14ac:dyDescent="0.25">
      <c r="A4698" s="13"/>
    </row>
    <row r="4699" spans="1:1" x14ac:dyDescent="0.25">
      <c r="A4699" s="13"/>
    </row>
    <row r="4700" spans="1:1" x14ac:dyDescent="0.25">
      <c r="A4700" s="13"/>
    </row>
    <row r="4701" spans="1:1" x14ac:dyDescent="0.25">
      <c r="A4701" s="13"/>
    </row>
    <row r="4702" spans="1:1" x14ac:dyDescent="0.25">
      <c r="A4702" s="13"/>
    </row>
    <row r="4703" spans="1:1" x14ac:dyDescent="0.25">
      <c r="A4703" s="13"/>
    </row>
    <row r="4704" spans="1:1" x14ac:dyDescent="0.25">
      <c r="A4704" s="13"/>
    </row>
    <row r="4705" spans="1:1" x14ac:dyDescent="0.25">
      <c r="A4705" s="13"/>
    </row>
    <row r="4706" spans="1:1" x14ac:dyDescent="0.25">
      <c r="A4706" s="13"/>
    </row>
    <row r="4707" spans="1:1" x14ac:dyDescent="0.25">
      <c r="A4707" s="13"/>
    </row>
    <row r="4708" spans="1:1" x14ac:dyDescent="0.25">
      <c r="A4708" s="13"/>
    </row>
    <row r="4709" spans="1:1" x14ac:dyDescent="0.25">
      <c r="A4709" s="13"/>
    </row>
    <row r="4710" spans="1:1" x14ac:dyDescent="0.25">
      <c r="A4710" s="13"/>
    </row>
    <row r="4711" spans="1:1" x14ac:dyDescent="0.25">
      <c r="A4711" s="13"/>
    </row>
    <row r="4712" spans="1:1" x14ac:dyDescent="0.25">
      <c r="A4712" s="13"/>
    </row>
    <row r="4713" spans="1:1" x14ac:dyDescent="0.25">
      <c r="A4713" s="13"/>
    </row>
    <row r="4714" spans="1:1" x14ac:dyDescent="0.25">
      <c r="A4714" s="13"/>
    </row>
    <row r="4715" spans="1:1" x14ac:dyDescent="0.25">
      <c r="A4715" s="13"/>
    </row>
    <row r="4716" spans="1:1" x14ac:dyDescent="0.25">
      <c r="A4716" s="13"/>
    </row>
    <row r="4717" spans="1:1" x14ac:dyDescent="0.25">
      <c r="A4717" s="13"/>
    </row>
    <row r="4718" spans="1:1" x14ac:dyDescent="0.25">
      <c r="A4718" s="13"/>
    </row>
    <row r="4719" spans="1:1" x14ac:dyDescent="0.25">
      <c r="A4719" s="13"/>
    </row>
    <row r="4720" spans="1:1" x14ac:dyDescent="0.25">
      <c r="A4720" s="13"/>
    </row>
    <row r="4721" spans="1:1" x14ac:dyDescent="0.25">
      <c r="A4721" s="13"/>
    </row>
    <row r="4722" spans="1:1" x14ac:dyDescent="0.25">
      <c r="A4722" s="13"/>
    </row>
    <row r="4723" spans="1:1" x14ac:dyDescent="0.25">
      <c r="A4723" s="13"/>
    </row>
    <row r="4724" spans="1:1" x14ac:dyDescent="0.25">
      <c r="A4724" s="13"/>
    </row>
    <row r="4725" spans="1:1" x14ac:dyDescent="0.25">
      <c r="A4725" s="13"/>
    </row>
    <row r="4726" spans="1:1" x14ac:dyDescent="0.25">
      <c r="A4726" s="13"/>
    </row>
    <row r="4727" spans="1:1" x14ac:dyDescent="0.25">
      <c r="A4727" s="13"/>
    </row>
    <row r="4728" spans="1:1" x14ac:dyDescent="0.25">
      <c r="A4728" s="13"/>
    </row>
    <row r="4729" spans="1:1" x14ac:dyDescent="0.25">
      <c r="A4729" s="13"/>
    </row>
    <row r="4730" spans="1:1" x14ac:dyDescent="0.25">
      <c r="A4730" s="13"/>
    </row>
    <row r="4731" spans="1:1" x14ac:dyDescent="0.25">
      <c r="A4731" s="13"/>
    </row>
    <row r="4732" spans="1:1" x14ac:dyDescent="0.25">
      <c r="A4732" s="13"/>
    </row>
    <row r="4733" spans="1:1" x14ac:dyDescent="0.25">
      <c r="A4733" s="13"/>
    </row>
    <row r="4734" spans="1:1" x14ac:dyDescent="0.25">
      <c r="A4734" s="13"/>
    </row>
    <row r="4735" spans="1:1" x14ac:dyDescent="0.25">
      <c r="A4735" s="13"/>
    </row>
    <row r="4736" spans="1:1" x14ac:dyDescent="0.25">
      <c r="A4736" s="13"/>
    </row>
    <row r="4737" spans="1:1" x14ac:dyDescent="0.25">
      <c r="A4737" s="13"/>
    </row>
    <row r="4738" spans="1:1" x14ac:dyDescent="0.25">
      <c r="A4738" s="13"/>
    </row>
    <row r="4739" spans="1:1" x14ac:dyDescent="0.25">
      <c r="A4739" s="13"/>
    </row>
    <row r="4740" spans="1:1" x14ac:dyDescent="0.25">
      <c r="A4740" s="13"/>
    </row>
    <row r="4741" spans="1:1" x14ac:dyDescent="0.25">
      <c r="A4741" s="13"/>
    </row>
    <row r="4742" spans="1:1" x14ac:dyDescent="0.25">
      <c r="A4742" s="13"/>
    </row>
    <row r="4743" spans="1:1" x14ac:dyDescent="0.25">
      <c r="A4743" s="13"/>
    </row>
    <row r="4744" spans="1:1" x14ac:dyDescent="0.25">
      <c r="A4744" s="13"/>
    </row>
    <row r="4745" spans="1:1" x14ac:dyDescent="0.25">
      <c r="A4745" s="13"/>
    </row>
    <row r="4746" spans="1:1" x14ac:dyDescent="0.25">
      <c r="A4746" s="13"/>
    </row>
    <row r="4747" spans="1:1" x14ac:dyDescent="0.25">
      <c r="A4747" s="13"/>
    </row>
    <row r="4748" spans="1:1" x14ac:dyDescent="0.25">
      <c r="A4748" s="13"/>
    </row>
    <row r="4749" spans="1:1" x14ac:dyDescent="0.25">
      <c r="A4749" s="13"/>
    </row>
    <row r="4750" spans="1:1" x14ac:dyDescent="0.25">
      <c r="A4750" s="13"/>
    </row>
    <row r="4751" spans="1:1" x14ac:dyDescent="0.25">
      <c r="A4751" s="13"/>
    </row>
    <row r="4752" spans="1:1" x14ac:dyDescent="0.25">
      <c r="A4752" s="13"/>
    </row>
    <row r="4753" spans="1:1" x14ac:dyDescent="0.25">
      <c r="A4753" s="13"/>
    </row>
    <row r="4754" spans="1:1" x14ac:dyDescent="0.25">
      <c r="A4754" s="13"/>
    </row>
    <row r="4755" spans="1:1" x14ac:dyDescent="0.25">
      <c r="A4755" s="13"/>
    </row>
    <row r="4756" spans="1:1" x14ac:dyDescent="0.25">
      <c r="A4756" s="13"/>
    </row>
    <row r="4757" spans="1:1" x14ac:dyDescent="0.25">
      <c r="A4757" s="13"/>
    </row>
    <row r="4758" spans="1:1" x14ac:dyDescent="0.25">
      <c r="A4758" s="13"/>
    </row>
    <row r="4759" spans="1:1" x14ac:dyDescent="0.25">
      <c r="A4759" s="13"/>
    </row>
    <row r="4760" spans="1:1" x14ac:dyDescent="0.25">
      <c r="A4760" s="13"/>
    </row>
    <row r="4761" spans="1:1" x14ac:dyDescent="0.25">
      <c r="A4761" s="13"/>
    </row>
    <row r="4762" spans="1:1" x14ac:dyDescent="0.25">
      <c r="A4762" s="13"/>
    </row>
    <row r="4763" spans="1:1" x14ac:dyDescent="0.25">
      <c r="A4763" s="13"/>
    </row>
    <row r="4764" spans="1:1" x14ac:dyDescent="0.25">
      <c r="A4764" s="13"/>
    </row>
    <row r="4765" spans="1:1" x14ac:dyDescent="0.25">
      <c r="A4765" s="13"/>
    </row>
    <row r="4766" spans="1:1" x14ac:dyDescent="0.25">
      <c r="A4766" s="13"/>
    </row>
    <row r="4767" spans="1:1" x14ac:dyDescent="0.25">
      <c r="A4767" s="13"/>
    </row>
    <row r="4768" spans="1:1" x14ac:dyDescent="0.25">
      <c r="A4768" s="13"/>
    </row>
    <row r="4769" spans="1:1" x14ac:dyDescent="0.25">
      <c r="A4769" s="13"/>
    </row>
    <row r="4770" spans="1:1" x14ac:dyDescent="0.25">
      <c r="A4770" s="13"/>
    </row>
    <row r="4771" spans="1:1" x14ac:dyDescent="0.25">
      <c r="A4771" s="13"/>
    </row>
    <row r="4772" spans="1:1" x14ac:dyDescent="0.25">
      <c r="A4772" s="13"/>
    </row>
    <row r="4773" spans="1:1" x14ac:dyDescent="0.25">
      <c r="A4773" s="13"/>
    </row>
    <row r="4774" spans="1:1" x14ac:dyDescent="0.25">
      <c r="A4774" s="13"/>
    </row>
    <row r="4775" spans="1:1" x14ac:dyDescent="0.25">
      <c r="A4775" s="13"/>
    </row>
    <row r="4776" spans="1:1" x14ac:dyDescent="0.25">
      <c r="A4776" s="13"/>
    </row>
    <row r="4777" spans="1:1" x14ac:dyDescent="0.25">
      <c r="A4777" s="13"/>
    </row>
    <row r="4778" spans="1:1" x14ac:dyDescent="0.25">
      <c r="A4778" s="13"/>
    </row>
    <row r="4779" spans="1:1" x14ac:dyDescent="0.25">
      <c r="A4779" s="13"/>
    </row>
    <row r="4780" spans="1:1" x14ac:dyDescent="0.25">
      <c r="A4780" s="13"/>
    </row>
    <row r="4781" spans="1:1" x14ac:dyDescent="0.25">
      <c r="A4781" s="13"/>
    </row>
    <row r="4782" spans="1:1" x14ac:dyDescent="0.25">
      <c r="A4782" s="13"/>
    </row>
    <row r="4783" spans="1:1" x14ac:dyDescent="0.25">
      <c r="A4783" s="13"/>
    </row>
    <row r="4784" spans="1:1" x14ac:dyDescent="0.25">
      <c r="A4784" s="13"/>
    </row>
    <row r="4785" spans="1:1" x14ac:dyDescent="0.25">
      <c r="A4785" s="13"/>
    </row>
    <row r="4786" spans="1:1" x14ac:dyDescent="0.25">
      <c r="A4786" s="13"/>
    </row>
    <row r="4787" spans="1:1" x14ac:dyDescent="0.25">
      <c r="A4787" s="13"/>
    </row>
    <row r="4788" spans="1:1" x14ac:dyDescent="0.25">
      <c r="A4788" s="13"/>
    </row>
    <row r="4789" spans="1:1" x14ac:dyDescent="0.25">
      <c r="A4789" s="13"/>
    </row>
    <row r="4790" spans="1:1" x14ac:dyDescent="0.25">
      <c r="A4790" s="13"/>
    </row>
    <row r="4791" spans="1:1" x14ac:dyDescent="0.25">
      <c r="A4791" s="13"/>
    </row>
    <row r="4792" spans="1:1" x14ac:dyDescent="0.25">
      <c r="A4792" s="13"/>
    </row>
    <row r="4793" spans="1:1" x14ac:dyDescent="0.25">
      <c r="A4793" s="13"/>
    </row>
    <row r="4794" spans="1:1" x14ac:dyDescent="0.25">
      <c r="A4794" s="13"/>
    </row>
    <row r="4795" spans="1:1" x14ac:dyDescent="0.25">
      <c r="A4795" s="13"/>
    </row>
    <row r="4796" spans="1:1" x14ac:dyDescent="0.25">
      <c r="A4796" s="13"/>
    </row>
    <row r="4797" spans="1:1" x14ac:dyDescent="0.25">
      <c r="A4797" s="13"/>
    </row>
    <row r="4798" spans="1:1" x14ac:dyDescent="0.25">
      <c r="A4798" s="13"/>
    </row>
    <row r="4799" spans="1:1" x14ac:dyDescent="0.25">
      <c r="A4799" s="13"/>
    </row>
    <row r="4800" spans="1:1" x14ac:dyDescent="0.25">
      <c r="A4800" s="13"/>
    </row>
    <row r="4801" spans="1:1" x14ac:dyDescent="0.25">
      <c r="A4801" s="13"/>
    </row>
    <row r="4802" spans="1:1" x14ac:dyDescent="0.25">
      <c r="A4802" s="13"/>
    </row>
    <row r="4803" spans="1:1" x14ac:dyDescent="0.25">
      <c r="A4803" s="13"/>
    </row>
    <row r="4804" spans="1:1" x14ac:dyDescent="0.25">
      <c r="A4804" s="13"/>
    </row>
    <row r="4805" spans="1:1" x14ac:dyDescent="0.25">
      <c r="A4805" s="13"/>
    </row>
    <row r="4806" spans="1:1" x14ac:dyDescent="0.25">
      <c r="A4806" s="13"/>
    </row>
    <row r="4807" spans="1:1" x14ac:dyDescent="0.25">
      <c r="A4807" s="13"/>
    </row>
    <row r="4808" spans="1:1" x14ac:dyDescent="0.25">
      <c r="A4808" s="13"/>
    </row>
    <row r="4809" spans="1:1" x14ac:dyDescent="0.25">
      <c r="A4809" s="13"/>
    </row>
    <row r="4810" spans="1:1" x14ac:dyDescent="0.25">
      <c r="A4810" s="13"/>
    </row>
    <row r="4811" spans="1:1" x14ac:dyDescent="0.25">
      <c r="A4811" s="13"/>
    </row>
    <row r="4812" spans="1:1" x14ac:dyDescent="0.25">
      <c r="A4812" s="13"/>
    </row>
    <row r="4813" spans="1:1" x14ac:dyDescent="0.25">
      <c r="A4813" s="13"/>
    </row>
    <row r="4814" spans="1:1" x14ac:dyDescent="0.25">
      <c r="A4814" s="13"/>
    </row>
    <row r="4815" spans="1:1" x14ac:dyDescent="0.25">
      <c r="A4815" s="13"/>
    </row>
    <row r="4816" spans="1:1" x14ac:dyDescent="0.25">
      <c r="A4816" s="13"/>
    </row>
    <row r="4817" spans="1:1" x14ac:dyDescent="0.25">
      <c r="A4817" s="13"/>
    </row>
    <row r="4818" spans="1:1" x14ac:dyDescent="0.25">
      <c r="A4818" s="13"/>
    </row>
    <row r="4819" spans="1:1" x14ac:dyDescent="0.25">
      <c r="A4819" s="13"/>
    </row>
    <row r="4820" spans="1:1" x14ac:dyDescent="0.25">
      <c r="A4820" s="13"/>
    </row>
    <row r="4821" spans="1:1" x14ac:dyDescent="0.25">
      <c r="A4821" s="13"/>
    </row>
    <row r="4822" spans="1:1" x14ac:dyDescent="0.25">
      <c r="A4822" s="13"/>
    </row>
    <row r="4823" spans="1:1" x14ac:dyDescent="0.25">
      <c r="A4823" s="13"/>
    </row>
    <row r="4824" spans="1:1" x14ac:dyDescent="0.25">
      <c r="A4824" s="13"/>
    </row>
    <row r="4825" spans="1:1" x14ac:dyDescent="0.25">
      <c r="A4825" s="13"/>
    </row>
    <row r="4826" spans="1:1" x14ac:dyDescent="0.25">
      <c r="A4826" s="13"/>
    </row>
    <row r="4827" spans="1:1" x14ac:dyDescent="0.25">
      <c r="A4827" s="13"/>
    </row>
    <row r="4828" spans="1:1" x14ac:dyDescent="0.25">
      <c r="A4828" s="13"/>
    </row>
    <row r="4829" spans="1:1" x14ac:dyDescent="0.25">
      <c r="A4829" s="13"/>
    </row>
    <row r="4830" spans="1:1" x14ac:dyDescent="0.25">
      <c r="A4830" s="13"/>
    </row>
    <row r="4831" spans="1:1" x14ac:dyDescent="0.25">
      <c r="A4831" s="13"/>
    </row>
    <row r="4832" spans="1:1" x14ac:dyDescent="0.25">
      <c r="A4832" s="13"/>
    </row>
    <row r="4833" spans="1:1" x14ac:dyDescent="0.25">
      <c r="A4833" s="13"/>
    </row>
    <row r="4834" spans="1:1" x14ac:dyDescent="0.25">
      <c r="A4834" s="13"/>
    </row>
    <row r="4835" spans="1:1" x14ac:dyDescent="0.25">
      <c r="A4835" s="13"/>
    </row>
    <row r="4836" spans="1:1" x14ac:dyDescent="0.25">
      <c r="A4836" s="13"/>
    </row>
    <row r="4837" spans="1:1" x14ac:dyDescent="0.25">
      <c r="A4837" s="13"/>
    </row>
    <row r="4838" spans="1:1" x14ac:dyDescent="0.25">
      <c r="A4838" s="13"/>
    </row>
    <row r="4839" spans="1:1" x14ac:dyDescent="0.25">
      <c r="A4839" s="13"/>
    </row>
    <row r="4840" spans="1:1" x14ac:dyDescent="0.25">
      <c r="A4840" s="13"/>
    </row>
    <row r="4841" spans="1:1" x14ac:dyDescent="0.25">
      <c r="A4841" s="13"/>
    </row>
    <row r="4842" spans="1:1" x14ac:dyDescent="0.25">
      <c r="A4842" s="13"/>
    </row>
    <row r="4843" spans="1:1" x14ac:dyDescent="0.25">
      <c r="A4843" s="13"/>
    </row>
    <row r="4844" spans="1:1" x14ac:dyDescent="0.25">
      <c r="A4844" s="13"/>
    </row>
    <row r="4845" spans="1:1" x14ac:dyDescent="0.25">
      <c r="A4845" s="13"/>
    </row>
    <row r="4846" spans="1:1" x14ac:dyDescent="0.25">
      <c r="A4846" s="13"/>
    </row>
    <row r="4847" spans="1:1" x14ac:dyDescent="0.25">
      <c r="A4847" s="13"/>
    </row>
    <row r="4848" spans="1:1" x14ac:dyDescent="0.25">
      <c r="A4848" s="13"/>
    </row>
    <row r="4849" spans="1:1" x14ac:dyDescent="0.25">
      <c r="A4849" s="13"/>
    </row>
    <row r="4850" spans="1:1" x14ac:dyDescent="0.25">
      <c r="A4850" s="13"/>
    </row>
    <row r="4851" spans="1:1" x14ac:dyDescent="0.25">
      <c r="A4851" s="13"/>
    </row>
    <row r="4852" spans="1:1" x14ac:dyDescent="0.25">
      <c r="A4852" s="13"/>
    </row>
    <row r="4853" spans="1:1" x14ac:dyDescent="0.25">
      <c r="A4853" s="13"/>
    </row>
    <row r="4854" spans="1:1" x14ac:dyDescent="0.25">
      <c r="A4854" s="13"/>
    </row>
    <row r="4855" spans="1:1" x14ac:dyDescent="0.25">
      <c r="A4855" s="13"/>
    </row>
    <row r="4856" spans="1:1" x14ac:dyDescent="0.25">
      <c r="A4856" s="13"/>
    </row>
    <row r="4857" spans="1:1" x14ac:dyDescent="0.25">
      <c r="A4857" s="13"/>
    </row>
    <row r="4858" spans="1:1" x14ac:dyDescent="0.25">
      <c r="A4858" s="13"/>
    </row>
    <row r="4859" spans="1:1" x14ac:dyDescent="0.25">
      <c r="A4859" s="13"/>
    </row>
    <row r="4860" spans="1:1" x14ac:dyDescent="0.25">
      <c r="A4860" s="13"/>
    </row>
    <row r="4861" spans="1:1" x14ac:dyDescent="0.25">
      <c r="A4861" s="13"/>
    </row>
    <row r="4862" spans="1:1" x14ac:dyDescent="0.25">
      <c r="A4862" s="13"/>
    </row>
    <row r="4863" spans="1:1" x14ac:dyDescent="0.25">
      <c r="A4863" s="13"/>
    </row>
    <row r="4864" spans="1:1" x14ac:dyDescent="0.25">
      <c r="A4864" s="13"/>
    </row>
    <row r="4865" spans="1:1" x14ac:dyDescent="0.25">
      <c r="A4865" s="13"/>
    </row>
    <row r="4866" spans="1:1" x14ac:dyDescent="0.25">
      <c r="A4866" s="13"/>
    </row>
    <row r="4867" spans="1:1" x14ac:dyDescent="0.25">
      <c r="A4867" s="13"/>
    </row>
    <row r="4868" spans="1:1" x14ac:dyDescent="0.25">
      <c r="A4868" s="13"/>
    </row>
    <row r="4869" spans="1:1" x14ac:dyDescent="0.25">
      <c r="A4869" s="13"/>
    </row>
    <row r="4870" spans="1:1" x14ac:dyDescent="0.25">
      <c r="A4870" s="13"/>
    </row>
    <row r="4871" spans="1:1" x14ac:dyDescent="0.25">
      <c r="A4871" s="13"/>
    </row>
    <row r="4872" spans="1:1" x14ac:dyDescent="0.25">
      <c r="A4872" s="13"/>
    </row>
    <row r="4873" spans="1:1" x14ac:dyDescent="0.25">
      <c r="A4873" s="13"/>
    </row>
    <row r="4874" spans="1:1" x14ac:dyDescent="0.25">
      <c r="A4874" s="13"/>
    </row>
    <row r="4875" spans="1:1" x14ac:dyDescent="0.25">
      <c r="A4875" s="13"/>
    </row>
    <row r="4876" spans="1:1" x14ac:dyDescent="0.25">
      <c r="A4876" s="13"/>
    </row>
    <row r="4877" spans="1:1" x14ac:dyDescent="0.25">
      <c r="A4877" s="13"/>
    </row>
    <row r="4878" spans="1:1" x14ac:dyDescent="0.25">
      <c r="A4878" s="13"/>
    </row>
    <row r="4879" spans="1:1" x14ac:dyDescent="0.25">
      <c r="A4879" s="13"/>
    </row>
    <row r="4880" spans="1:1" x14ac:dyDescent="0.25">
      <c r="A4880" s="13"/>
    </row>
    <row r="4881" spans="1:1" x14ac:dyDescent="0.25">
      <c r="A4881" s="13"/>
    </row>
    <row r="4882" spans="1:1" x14ac:dyDescent="0.25">
      <c r="A4882" s="13"/>
    </row>
    <row r="4883" spans="1:1" x14ac:dyDescent="0.25">
      <c r="A4883" s="13"/>
    </row>
    <row r="4884" spans="1:1" x14ac:dyDescent="0.25">
      <c r="A4884" s="13"/>
    </row>
    <row r="4885" spans="1:1" x14ac:dyDescent="0.25">
      <c r="A4885" s="13"/>
    </row>
    <row r="4886" spans="1:1" x14ac:dyDescent="0.25">
      <c r="A4886" s="13"/>
    </row>
    <row r="4887" spans="1:1" x14ac:dyDescent="0.25">
      <c r="A4887" s="13"/>
    </row>
    <row r="4888" spans="1:1" x14ac:dyDescent="0.25">
      <c r="A4888" s="13"/>
    </row>
    <row r="4889" spans="1:1" x14ac:dyDescent="0.25">
      <c r="A4889" s="13"/>
    </row>
    <row r="4890" spans="1:1" x14ac:dyDescent="0.25">
      <c r="A4890" s="13"/>
    </row>
    <row r="4891" spans="1:1" x14ac:dyDescent="0.25">
      <c r="A4891" s="13"/>
    </row>
    <row r="4892" spans="1:1" x14ac:dyDescent="0.25">
      <c r="A4892" s="13"/>
    </row>
    <row r="4893" spans="1:1" x14ac:dyDescent="0.25">
      <c r="A4893" s="13"/>
    </row>
    <row r="4894" spans="1:1" x14ac:dyDescent="0.25">
      <c r="A4894" s="13"/>
    </row>
    <row r="4895" spans="1:1" x14ac:dyDescent="0.25">
      <c r="A4895" s="13"/>
    </row>
    <row r="4896" spans="1:1" x14ac:dyDescent="0.25">
      <c r="A4896" s="13"/>
    </row>
    <row r="4897" spans="1:1" x14ac:dyDescent="0.25">
      <c r="A4897" s="13"/>
    </row>
    <row r="4898" spans="1:1" x14ac:dyDescent="0.25">
      <c r="A4898" s="13"/>
    </row>
    <row r="4899" spans="1:1" x14ac:dyDescent="0.25">
      <c r="A4899" s="13"/>
    </row>
    <row r="4900" spans="1:1" x14ac:dyDescent="0.25">
      <c r="A4900" s="13"/>
    </row>
    <row r="4901" spans="1:1" x14ac:dyDescent="0.25">
      <c r="A4901" s="13"/>
    </row>
    <row r="4902" spans="1:1" x14ac:dyDescent="0.25">
      <c r="A4902" s="13"/>
    </row>
    <row r="4903" spans="1:1" x14ac:dyDescent="0.25">
      <c r="A4903" s="13"/>
    </row>
    <row r="4904" spans="1:1" x14ac:dyDescent="0.25">
      <c r="A4904" s="13"/>
    </row>
    <row r="4905" spans="1:1" x14ac:dyDescent="0.25">
      <c r="A4905" s="13"/>
    </row>
    <row r="4906" spans="1:1" x14ac:dyDescent="0.25">
      <c r="A4906" s="13"/>
    </row>
    <row r="4907" spans="1:1" x14ac:dyDescent="0.25">
      <c r="A4907" s="13"/>
    </row>
    <row r="4908" spans="1:1" x14ac:dyDescent="0.25">
      <c r="A4908" s="13"/>
    </row>
    <row r="4909" spans="1:1" x14ac:dyDescent="0.25">
      <c r="A4909" s="13"/>
    </row>
    <row r="4910" spans="1:1" x14ac:dyDescent="0.25">
      <c r="A4910" s="13"/>
    </row>
    <row r="4911" spans="1:1" x14ac:dyDescent="0.25">
      <c r="A4911" s="13"/>
    </row>
    <row r="4912" spans="1:1" x14ac:dyDescent="0.25">
      <c r="A4912" s="13"/>
    </row>
    <row r="4913" spans="1:1" x14ac:dyDescent="0.25">
      <c r="A4913" s="13"/>
    </row>
    <row r="4914" spans="1:1" x14ac:dyDescent="0.25">
      <c r="A4914" s="13"/>
    </row>
    <row r="4915" spans="1:1" x14ac:dyDescent="0.25">
      <c r="A4915" s="13"/>
    </row>
    <row r="4916" spans="1:1" x14ac:dyDescent="0.25">
      <c r="A4916" s="13"/>
    </row>
    <row r="4917" spans="1:1" x14ac:dyDescent="0.25">
      <c r="A4917" s="13"/>
    </row>
    <row r="4918" spans="1:1" x14ac:dyDescent="0.25">
      <c r="A4918" s="13"/>
    </row>
    <row r="4919" spans="1:1" x14ac:dyDescent="0.25">
      <c r="A4919" s="13"/>
    </row>
    <row r="4920" spans="1:1" x14ac:dyDescent="0.25">
      <c r="A4920" s="13"/>
    </row>
    <row r="4921" spans="1:1" x14ac:dyDescent="0.25">
      <c r="A4921" s="13"/>
    </row>
    <row r="4922" spans="1:1" x14ac:dyDescent="0.25">
      <c r="A4922" s="13"/>
    </row>
    <row r="4923" spans="1:1" x14ac:dyDescent="0.25">
      <c r="A4923" s="13"/>
    </row>
    <row r="4924" spans="1:1" x14ac:dyDescent="0.25">
      <c r="A4924" s="13"/>
    </row>
    <row r="4925" spans="1:1" x14ac:dyDescent="0.25">
      <c r="A4925" s="13"/>
    </row>
    <row r="4926" spans="1:1" x14ac:dyDescent="0.25">
      <c r="A4926" s="13"/>
    </row>
    <row r="4927" spans="1:1" x14ac:dyDescent="0.25">
      <c r="A4927" s="13"/>
    </row>
    <row r="4928" spans="1:1" x14ac:dyDescent="0.25">
      <c r="A4928" s="13"/>
    </row>
    <row r="4929" spans="1:1" x14ac:dyDescent="0.25">
      <c r="A4929" s="13"/>
    </row>
    <row r="4930" spans="1:1" x14ac:dyDescent="0.25">
      <c r="A4930" s="13"/>
    </row>
    <row r="4931" spans="1:1" x14ac:dyDescent="0.25">
      <c r="A4931" s="13"/>
    </row>
    <row r="4932" spans="1:1" x14ac:dyDescent="0.25">
      <c r="A4932" s="13"/>
    </row>
    <row r="4933" spans="1:1" x14ac:dyDescent="0.25">
      <c r="A4933" s="13"/>
    </row>
    <row r="4934" spans="1:1" x14ac:dyDescent="0.25">
      <c r="A4934" s="13"/>
    </row>
    <row r="4935" spans="1:1" x14ac:dyDescent="0.25">
      <c r="A4935" s="13"/>
    </row>
    <row r="4936" spans="1:1" x14ac:dyDescent="0.25">
      <c r="A4936" s="13"/>
    </row>
    <row r="4937" spans="1:1" x14ac:dyDescent="0.25">
      <c r="A4937" s="13"/>
    </row>
    <row r="4938" spans="1:1" x14ac:dyDescent="0.25">
      <c r="A4938" s="13"/>
    </row>
    <row r="4939" spans="1:1" x14ac:dyDescent="0.25">
      <c r="A4939" s="13"/>
    </row>
    <row r="4940" spans="1:1" x14ac:dyDescent="0.25">
      <c r="A4940" s="13"/>
    </row>
    <row r="4941" spans="1:1" x14ac:dyDescent="0.25">
      <c r="A4941" s="13"/>
    </row>
    <row r="4942" spans="1:1" x14ac:dyDescent="0.25">
      <c r="A4942" s="13"/>
    </row>
    <row r="4943" spans="1:1" x14ac:dyDescent="0.25">
      <c r="A4943" s="13"/>
    </row>
    <row r="4944" spans="1:1" x14ac:dyDescent="0.25">
      <c r="A4944" s="13"/>
    </row>
    <row r="4945" spans="1:1" x14ac:dyDescent="0.25">
      <c r="A4945" s="13"/>
    </row>
    <row r="4946" spans="1:1" x14ac:dyDescent="0.25">
      <c r="A4946" s="13"/>
    </row>
    <row r="4947" spans="1:1" x14ac:dyDescent="0.25">
      <c r="A4947" s="13"/>
    </row>
    <row r="4948" spans="1:1" x14ac:dyDescent="0.25">
      <c r="A4948" s="13"/>
    </row>
    <row r="4949" spans="1:1" x14ac:dyDescent="0.25">
      <c r="A4949" s="13"/>
    </row>
    <row r="4950" spans="1:1" x14ac:dyDescent="0.25">
      <c r="A4950" s="13"/>
    </row>
    <row r="4951" spans="1:1" x14ac:dyDescent="0.25">
      <c r="A4951" s="13"/>
    </row>
    <row r="4952" spans="1:1" x14ac:dyDescent="0.25">
      <c r="A4952" s="13"/>
    </row>
    <row r="4953" spans="1:1" x14ac:dyDescent="0.25">
      <c r="A4953" s="13"/>
    </row>
    <row r="4954" spans="1:1" x14ac:dyDescent="0.25">
      <c r="A4954" s="13"/>
    </row>
    <row r="4955" spans="1:1" x14ac:dyDescent="0.25">
      <c r="A4955" s="13"/>
    </row>
    <row r="4956" spans="1:1" x14ac:dyDescent="0.25">
      <c r="A4956" s="13"/>
    </row>
    <row r="4957" spans="1:1" x14ac:dyDescent="0.25">
      <c r="A4957" s="13"/>
    </row>
    <row r="4958" spans="1:1" x14ac:dyDescent="0.25">
      <c r="A4958" s="13"/>
    </row>
    <row r="4959" spans="1:1" x14ac:dyDescent="0.25">
      <c r="A4959" s="13"/>
    </row>
    <row r="4960" spans="1:1" x14ac:dyDescent="0.25">
      <c r="A4960" s="13"/>
    </row>
    <row r="4961" spans="1:1" x14ac:dyDescent="0.25">
      <c r="A4961" s="13"/>
    </row>
    <row r="4962" spans="1:1" x14ac:dyDescent="0.25">
      <c r="A4962" s="13"/>
    </row>
    <row r="4963" spans="1:1" x14ac:dyDescent="0.25">
      <c r="A4963" s="13"/>
    </row>
    <row r="4964" spans="1:1" x14ac:dyDescent="0.25">
      <c r="A4964" s="13"/>
    </row>
    <row r="4965" spans="1:1" x14ac:dyDescent="0.25">
      <c r="A4965" s="13"/>
    </row>
    <row r="4966" spans="1:1" x14ac:dyDescent="0.25">
      <c r="A4966" s="13"/>
    </row>
    <row r="4967" spans="1:1" x14ac:dyDescent="0.25">
      <c r="A4967" s="13"/>
    </row>
    <row r="4968" spans="1:1" x14ac:dyDescent="0.25">
      <c r="A4968" s="13"/>
    </row>
    <row r="4969" spans="1:1" x14ac:dyDescent="0.25">
      <c r="A4969" s="13"/>
    </row>
    <row r="4970" spans="1:1" x14ac:dyDescent="0.25">
      <c r="A4970" s="13"/>
    </row>
    <row r="4971" spans="1:1" x14ac:dyDescent="0.25">
      <c r="A4971" s="13"/>
    </row>
    <row r="4972" spans="1:1" x14ac:dyDescent="0.25">
      <c r="A4972" s="13"/>
    </row>
    <row r="4973" spans="1:1" x14ac:dyDescent="0.25">
      <c r="A4973" s="13"/>
    </row>
    <row r="4974" spans="1:1" x14ac:dyDescent="0.25">
      <c r="A4974" s="13"/>
    </row>
    <row r="4975" spans="1:1" x14ac:dyDescent="0.25">
      <c r="A4975" s="13"/>
    </row>
    <row r="4976" spans="1:1" x14ac:dyDescent="0.25">
      <c r="A4976" s="13"/>
    </row>
    <row r="4977" spans="1:1" x14ac:dyDescent="0.25">
      <c r="A4977" s="13"/>
    </row>
    <row r="4978" spans="1:1" x14ac:dyDescent="0.25">
      <c r="A4978" s="13"/>
    </row>
    <row r="4979" spans="1:1" x14ac:dyDescent="0.25">
      <c r="A4979" s="13"/>
    </row>
    <row r="4980" spans="1:1" x14ac:dyDescent="0.25">
      <c r="A4980" s="13"/>
    </row>
    <row r="4981" spans="1:1" x14ac:dyDescent="0.25">
      <c r="A4981" s="13"/>
    </row>
    <row r="4982" spans="1:1" x14ac:dyDescent="0.25">
      <c r="A4982" s="13"/>
    </row>
    <row r="4983" spans="1:1" x14ac:dyDescent="0.25">
      <c r="A4983" s="13"/>
    </row>
    <row r="4984" spans="1:1" x14ac:dyDescent="0.25">
      <c r="A4984" s="13"/>
    </row>
    <row r="4985" spans="1:1" x14ac:dyDescent="0.25">
      <c r="A4985" s="13"/>
    </row>
    <row r="4986" spans="1:1" x14ac:dyDescent="0.25">
      <c r="A4986" s="13"/>
    </row>
    <row r="4987" spans="1:1" x14ac:dyDescent="0.25">
      <c r="A4987" s="13"/>
    </row>
    <row r="4988" spans="1:1" x14ac:dyDescent="0.25">
      <c r="A4988" s="13"/>
    </row>
    <row r="4989" spans="1:1" x14ac:dyDescent="0.25">
      <c r="A4989" s="13"/>
    </row>
    <row r="4990" spans="1:1" x14ac:dyDescent="0.25">
      <c r="A4990" s="13"/>
    </row>
    <row r="4991" spans="1:1" x14ac:dyDescent="0.25">
      <c r="A4991" s="13"/>
    </row>
    <row r="4992" spans="1:1" x14ac:dyDescent="0.25">
      <c r="A4992" s="13"/>
    </row>
    <row r="4993" spans="1:1" x14ac:dyDescent="0.25">
      <c r="A4993" s="13"/>
    </row>
    <row r="4994" spans="1:1" x14ac:dyDescent="0.25">
      <c r="A4994" s="13"/>
    </row>
    <row r="4995" spans="1:1" x14ac:dyDescent="0.25">
      <c r="A4995" s="13"/>
    </row>
    <row r="4996" spans="1:1" x14ac:dyDescent="0.25">
      <c r="A4996" s="13"/>
    </row>
    <row r="4997" spans="1:1" x14ac:dyDescent="0.25">
      <c r="A4997" s="13"/>
    </row>
    <row r="4998" spans="1:1" x14ac:dyDescent="0.25">
      <c r="A4998" s="13"/>
    </row>
    <row r="4999" spans="1:1" x14ac:dyDescent="0.25">
      <c r="A4999" s="13"/>
    </row>
    <row r="5000" spans="1:1" x14ac:dyDescent="0.25">
      <c r="A5000" s="13"/>
    </row>
    <row r="5001" spans="1:1" x14ac:dyDescent="0.25">
      <c r="A5001" s="13"/>
    </row>
    <row r="5002" spans="1:1" x14ac:dyDescent="0.25">
      <c r="A5002" s="13"/>
    </row>
    <row r="5003" spans="1:1" x14ac:dyDescent="0.25">
      <c r="A5003" s="13"/>
    </row>
    <row r="5004" spans="1:1" x14ac:dyDescent="0.25">
      <c r="A5004" s="13"/>
    </row>
    <row r="5005" spans="1:1" x14ac:dyDescent="0.25">
      <c r="A5005" s="13"/>
    </row>
    <row r="5006" spans="1:1" x14ac:dyDescent="0.25">
      <c r="A5006" s="13"/>
    </row>
    <row r="5007" spans="1:1" x14ac:dyDescent="0.25">
      <c r="A5007" s="13"/>
    </row>
    <row r="5008" spans="1:1" x14ac:dyDescent="0.25">
      <c r="A5008" s="13"/>
    </row>
    <row r="5009" spans="1:1" x14ac:dyDescent="0.25">
      <c r="A5009" s="13"/>
    </row>
    <row r="5010" spans="1:1" x14ac:dyDescent="0.25">
      <c r="A5010" s="13"/>
    </row>
    <row r="5011" spans="1:1" x14ac:dyDescent="0.25">
      <c r="A5011" s="13"/>
    </row>
    <row r="5012" spans="1:1" x14ac:dyDescent="0.25">
      <c r="A5012" s="13"/>
    </row>
    <row r="5013" spans="1:1" x14ac:dyDescent="0.25">
      <c r="A5013" s="13"/>
    </row>
    <row r="5014" spans="1:1" x14ac:dyDescent="0.25">
      <c r="A5014" s="13"/>
    </row>
    <row r="5015" spans="1:1" x14ac:dyDescent="0.25">
      <c r="A5015" s="13"/>
    </row>
    <row r="5016" spans="1:1" x14ac:dyDescent="0.25">
      <c r="A5016" s="13"/>
    </row>
    <row r="5017" spans="1:1" x14ac:dyDescent="0.25">
      <c r="A5017" s="13"/>
    </row>
    <row r="5018" spans="1:1" x14ac:dyDescent="0.25">
      <c r="A5018" s="13"/>
    </row>
    <row r="5019" spans="1:1" x14ac:dyDescent="0.25">
      <c r="A5019" s="13"/>
    </row>
    <row r="5020" spans="1:1" x14ac:dyDescent="0.25">
      <c r="A5020" s="13"/>
    </row>
    <row r="5021" spans="1:1" x14ac:dyDescent="0.25">
      <c r="A5021" s="13"/>
    </row>
    <row r="5022" spans="1:1" x14ac:dyDescent="0.25">
      <c r="A5022" s="13"/>
    </row>
    <row r="5023" spans="1:1" x14ac:dyDescent="0.25">
      <c r="A5023" s="13"/>
    </row>
    <row r="5024" spans="1:1" x14ac:dyDescent="0.25">
      <c r="A5024" s="13"/>
    </row>
    <row r="5025" spans="1:1" x14ac:dyDescent="0.25">
      <c r="A5025" s="13"/>
    </row>
    <row r="5026" spans="1:1" x14ac:dyDescent="0.25">
      <c r="A5026" s="13"/>
    </row>
    <row r="5027" spans="1:1" x14ac:dyDescent="0.25">
      <c r="A5027" s="13"/>
    </row>
    <row r="5028" spans="1:1" x14ac:dyDescent="0.25">
      <c r="A5028" s="13"/>
    </row>
    <row r="5029" spans="1:1" x14ac:dyDescent="0.25">
      <c r="A5029" s="13"/>
    </row>
    <row r="5030" spans="1:1" x14ac:dyDescent="0.25">
      <c r="A5030" s="13"/>
    </row>
    <row r="5031" spans="1:1" x14ac:dyDescent="0.25">
      <c r="A5031" s="13"/>
    </row>
    <row r="5032" spans="1:1" x14ac:dyDescent="0.25">
      <c r="A5032" s="13"/>
    </row>
    <row r="5033" spans="1:1" x14ac:dyDescent="0.25">
      <c r="A5033" s="13"/>
    </row>
    <row r="5034" spans="1:1" x14ac:dyDescent="0.25">
      <c r="A5034" s="13"/>
    </row>
    <row r="5035" spans="1:1" x14ac:dyDescent="0.25">
      <c r="A5035" s="13"/>
    </row>
    <row r="5036" spans="1:1" x14ac:dyDescent="0.25">
      <c r="A5036" s="13"/>
    </row>
    <row r="5037" spans="1:1" x14ac:dyDescent="0.25">
      <c r="A5037" s="13"/>
    </row>
    <row r="5038" spans="1:1" x14ac:dyDescent="0.25">
      <c r="A5038" s="13"/>
    </row>
    <row r="5039" spans="1:1" x14ac:dyDescent="0.25">
      <c r="A5039" s="13"/>
    </row>
    <row r="5040" spans="1:1" x14ac:dyDescent="0.25">
      <c r="A5040" s="13"/>
    </row>
    <row r="5041" spans="1:1" x14ac:dyDescent="0.25">
      <c r="A5041" s="13"/>
    </row>
    <row r="5042" spans="1:1" x14ac:dyDescent="0.25">
      <c r="A5042" s="13"/>
    </row>
    <row r="5043" spans="1:1" x14ac:dyDescent="0.25">
      <c r="A5043" s="13"/>
    </row>
    <row r="5044" spans="1:1" x14ac:dyDescent="0.25">
      <c r="A5044" s="13"/>
    </row>
    <row r="5045" spans="1:1" x14ac:dyDescent="0.25">
      <c r="A5045" s="13"/>
    </row>
    <row r="5046" spans="1:1" x14ac:dyDescent="0.25">
      <c r="A5046" s="13"/>
    </row>
    <row r="5047" spans="1:1" x14ac:dyDescent="0.25">
      <c r="A5047" s="13"/>
    </row>
    <row r="5048" spans="1:1" x14ac:dyDescent="0.25">
      <c r="A5048" s="13"/>
    </row>
    <row r="5049" spans="1:1" x14ac:dyDescent="0.25">
      <c r="A5049" s="13"/>
    </row>
    <row r="5050" spans="1:1" x14ac:dyDescent="0.25">
      <c r="A5050" s="13"/>
    </row>
    <row r="5051" spans="1:1" x14ac:dyDescent="0.25">
      <c r="A5051" s="13"/>
    </row>
    <row r="5052" spans="1:1" x14ac:dyDescent="0.25">
      <c r="A5052" s="13"/>
    </row>
    <row r="5053" spans="1:1" x14ac:dyDescent="0.25">
      <c r="A5053" s="13"/>
    </row>
    <row r="5054" spans="1:1" x14ac:dyDescent="0.25">
      <c r="A5054" s="13"/>
    </row>
    <row r="5055" spans="1:1" x14ac:dyDescent="0.25">
      <c r="A5055" s="13"/>
    </row>
    <row r="5056" spans="1:1" x14ac:dyDescent="0.25">
      <c r="A5056" s="13"/>
    </row>
    <row r="5057" spans="1:1" x14ac:dyDescent="0.25">
      <c r="A5057" s="13"/>
    </row>
    <row r="5058" spans="1:1" x14ac:dyDescent="0.25">
      <c r="A5058" s="13"/>
    </row>
    <row r="5059" spans="1:1" x14ac:dyDescent="0.25">
      <c r="A5059" s="13"/>
    </row>
    <row r="5060" spans="1:1" x14ac:dyDescent="0.25">
      <c r="A5060" s="13"/>
    </row>
    <row r="5061" spans="1:1" x14ac:dyDescent="0.25">
      <c r="A5061" s="13"/>
    </row>
    <row r="5062" spans="1:1" x14ac:dyDescent="0.25">
      <c r="A5062" s="13"/>
    </row>
    <row r="5063" spans="1:1" x14ac:dyDescent="0.25">
      <c r="A5063" s="13"/>
    </row>
    <row r="5064" spans="1:1" x14ac:dyDescent="0.25">
      <c r="A5064" s="13"/>
    </row>
    <row r="5065" spans="1:1" x14ac:dyDescent="0.25">
      <c r="A5065" s="13"/>
    </row>
    <row r="5066" spans="1:1" x14ac:dyDescent="0.25">
      <c r="A5066" s="13"/>
    </row>
    <row r="5067" spans="1:1" x14ac:dyDescent="0.25">
      <c r="A5067" s="13"/>
    </row>
    <row r="5068" spans="1:1" x14ac:dyDescent="0.25">
      <c r="A5068" s="13"/>
    </row>
    <row r="5069" spans="1:1" x14ac:dyDescent="0.25">
      <c r="A5069" s="13"/>
    </row>
    <row r="5070" spans="1:1" x14ac:dyDescent="0.25">
      <c r="A5070" s="13"/>
    </row>
    <row r="5071" spans="1:1" x14ac:dyDescent="0.25">
      <c r="A5071" s="13"/>
    </row>
    <row r="5072" spans="1:1" x14ac:dyDescent="0.25">
      <c r="A5072" s="13"/>
    </row>
    <row r="5073" spans="1:1" x14ac:dyDescent="0.25">
      <c r="A5073" s="13"/>
    </row>
    <row r="5074" spans="1:1" x14ac:dyDescent="0.25">
      <c r="A5074" s="13"/>
    </row>
    <row r="5075" spans="1:1" x14ac:dyDescent="0.25">
      <c r="A5075" s="13"/>
    </row>
    <row r="5076" spans="1:1" x14ac:dyDescent="0.25">
      <c r="A5076" s="13"/>
    </row>
    <row r="5077" spans="1:1" x14ac:dyDescent="0.25">
      <c r="A5077" s="13"/>
    </row>
    <row r="5078" spans="1:1" x14ac:dyDescent="0.25">
      <c r="A5078" s="13"/>
    </row>
    <row r="5079" spans="1:1" x14ac:dyDescent="0.25">
      <c r="A5079" s="13"/>
    </row>
    <row r="5080" spans="1:1" x14ac:dyDescent="0.25">
      <c r="A5080" s="13"/>
    </row>
    <row r="5081" spans="1:1" x14ac:dyDescent="0.25">
      <c r="A5081" s="13"/>
    </row>
    <row r="5082" spans="1:1" x14ac:dyDescent="0.25">
      <c r="A5082" s="13"/>
    </row>
    <row r="5083" spans="1:1" x14ac:dyDescent="0.25">
      <c r="A5083" s="13"/>
    </row>
    <row r="5084" spans="1:1" x14ac:dyDescent="0.25">
      <c r="A5084" s="13"/>
    </row>
    <row r="5085" spans="1:1" x14ac:dyDescent="0.25">
      <c r="A5085" s="13"/>
    </row>
    <row r="5086" spans="1:1" x14ac:dyDescent="0.25">
      <c r="A5086" s="13"/>
    </row>
    <row r="5087" spans="1:1" x14ac:dyDescent="0.25">
      <c r="A5087" s="13"/>
    </row>
    <row r="5088" spans="1:1" x14ac:dyDescent="0.25">
      <c r="A5088" s="13"/>
    </row>
    <row r="5089" spans="1:1" x14ac:dyDescent="0.25">
      <c r="A5089" s="13"/>
    </row>
    <row r="5090" spans="1:1" x14ac:dyDescent="0.25">
      <c r="A5090" s="13"/>
    </row>
    <row r="5091" spans="1:1" x14ac:dyDescent="0.25">
      <c r="A5091" s="13"/>
    </row>
    <row r="5092" spans="1:1" x14ac:dyDescent="0.25">
      <c r="A5092" s="13"/>
    </row>
    <row r="5093" spans="1:1" x14ac:dyDescent="0.25">
      <c r="A5093" s="13"/>
    </row>
    <row r="5094" spans="1:1" x14ac:dyDescent="0.25">
      <c r="A5094" s="13"/>
    </row>
    <row r="5095" spans="1:1" x14ac:dyDescent="0.25">
      <c r="A5095" s="13"/>
    </row>
    <row r="5096" spans="1:1" x14ac:dyDescent="0.25">
      <c r="A5096" s="13"/>
    </row>
    <row r="5097" spans="1:1" x14ac:dyDescent="0.25">
      <c r="A5097" s="13"/>
    </row>
    <row r="5098" spans="1:1" x14ac:dyDescent="0.25">
      <c r="A5098" s="13"/>
    </row>
    <row r="5099" spans="1:1" x14ac:dyDescent="0.25">
      <c r="A5099" s="13"/>
    </row>
    <row r="5100" spans="1:1" x14ac:dyDescent="0.25">
      <c r="A5100" s="13"/>
    </row>
    <row r="5101" spans="1:1" x14ac:dyDescent="0.25">
      <c r="A5101" s="13"/>
    </row>
    <row r="5102" spans="1:1" x14ac:dyDescent="0.25">
      <c r="A5102" s="13"/>
    </row>
    <row r="5103" spans="1:1" x14ac:dyDescent="0.25">
      <c r="A5103" s="13"/>
    </row>
    <row r="5104" spans="1:1" x14ac:dyDescent="0.25">
      <c r="A5104" s="13"/>
    </row>
    <row r="5105" spans="1:1" x14ac:dyDescent="0.25">
      <c r="A5105" s="13"/>
    </row>
    <row r="5106" spans="1:1" x14ac:dyDescent="0.25">
      <c r="A5106" s="13"/>
    </row>
    <row r="5107" spans="1:1" x14ac:dyDescent="0.25">
      <c r="A5107" s="13"/>
    </row>
    <row r="5108" spans="1:1" x14ac:dyDescent="0.25">
      <c r="A5108" s="13"/>
    </row>
    <row r="5109" spans="1:1" x14ac:dyDescent="0.25">
      <c r="A5109" s="13"/>
    </row>
    <row r="5110" spans="1:1" x14ac:dyDescent="0.25">
      <c r="A5110" s="13"/>
    </row>
    <row r="5111" spans="1:1" x14ac:dyDescent="0.25">
      <c r="A5111" s="13"/>
    </row>
    <row r="5112" spans="1:1" x14ac:dyDescent="0.25">
      <c r="A5112" s="13"/>
    </row>
    <row r="5113" spans="1:1" x14ac:dyDescent="0.25">
      <c r="A5113" s="13"/>
    </row>
    <row r="5114" spans="1:1" x14ac:dyDescent="0.25">
      <c r="A5114" s="13"/>
    </row>
    <row r="5115" spans="1:1" x14ac:dyDescent="0.25">
      <c r="A5115" s="13"/>
    </row>
    <row r="5116" spans="1:1" x14ac:dyDescent="0.25">
      <c r="A5116" s="13"/>
    </row>
    <row r="5117" spans="1:1" x14ac:dyDescent="0.25">
      <c r="A5117" s="13"/>
    </row>
    <row r="5118" spans="1:1" x14ac:dyDescent="0.25">
      <c r="A5118" s="13"/>
    </row>
    <row r="5119" spans="1:1" x14ac:dyDescent="0.25">
      <c r="A5119" s="13"/>
    </row>
    <row r="5120" spans="1:1" x14ac:dyDescent="0.25">
      <c r="A5120" s="13"/>
    </row>
    <row r="5121" spans="1:1" x14ac:dyDescent="0.25">
      <c r="A5121" s="13"/>
    </row>
    <row r="5122" spans="1:1" x14ac:dyDescent="0.25">
      <c r="A5122" s="13"/>
    </row>
    <row r="5123" spans="1:1" x14ac:dyDescent="0.25">
      <c r="A5123" s="13"/>
    </row>
    <row r="5124" spans="1:1" x14ac:dyDescent="0.25">
      <c r="A5124" s="13"/>
    </row>
    <row r="5125" spans="1:1" x14ac:dyDescent="0.25">
      <c r="A5125" s="13"/>
    </row>
    <row r="5126" spans="1:1" x14ac:dyDescent="0.25">
      <c r="A5126" s="13"/>
    </row>
    <row r="5127" spans="1:1" x14ac:dyDescent="0.25">
      <c r="A5127" s="13"/>
    </row>
    <row r="5128" spans="1:1" x14ac:dyDescent="0.25">
      <c r="A5128" s="13"/>
    </row>
    <row r="5129" spans="1:1" x14ac:dyDescent="0.25">
      <c r="A5129" s="13"/>
    </row>
    <row r="5130" spans="1:1" x14ac:dyDescent="0.25">
      <c r="A5130" s="13"/>
    </row>
    <row r="5131" spans="1:1" x14ac:dyDescent="0.25">
      <c r="A5131" s="13"/>
    </row>
    <row r="5132" spans="1:1" x14ac:dyDescent="0.25">
      <c r="A5132" s="13"/>
    </row>
    <row r="5133" spans="1:1" x14ac:dyDescent="0.25">
      <c r="A5133" s="13"/>
    </row>
    <row r="5134" spans="1:1" x14ac:dyDescent="0.25">
      <c r="A5134" s="13"/>
    </row>
    <row r="5135" spans="1:1" x14ac:dyDescent="0.25">
      <c r="A5135" s="13"/>
    </row>
    <row r="5136" spans="1:1" x14ac:dyDescent="0.25">
      <c r="A5136" s="13"/>
    </row>
    <row r="5137" spans="1:1" x14ac:dyDescent="0.25">
      <c r="A5137" s="13"/>
    </row>
    <row r="5138" spans="1:1" x14ac:dyDescent="0.25">
      <c r="A5138" s="13"/>
    </row>
    <row r="5139" spans="1:1" x14ac:dyDescent="0.25">
      <c r="A5139" s="13"/>
    </row>
    <row r="5140" spans="1:1" x14ac:dyDescent="0.25">
      <c r="A5140" s="13"/>
    </row>
    <row r="5141" spans="1:1" x14ac:dyDescent="0.25">
      <c r="A5141" s="13"/>
    </row>
    <row r="5142" spans="1:1" x14ac:dyDescent="0.25">
      <c r="A5142" s="13"/>
    </row>
    <row r="5143" spans="1:1" x14ac:dyDescent="0.25">
      <c r="A5143" s="13"/>
    </row>
    <row r="5144" spans="1:1" x14ac:dyDescent="0.25">
      <c r="A5144" s="13"/>
    </row>
    <row r="5145" spans="1:1" x14ac:dyDescent="0.25">
      <c r="A5145" s="13"/>
    </row>
    <row r="5146" spans="1:1" x14ac:dyDescent="0.25">
      <c r="A5146" s="13"/>
    </row>
    <row r="5147" spans="1:1" x14ac:dyDescent="0.25">
      <c r="A5147" s="13"/>
    </row>
    <row r="5148" spans="1:1" x14ac:dyDescent="0.25">
      <c r="A5148" s="13"/>
    </row>
    <row r="5149" spans="1:1" x14ac:dyDescent="0.25">
      <c r="A5149" s="13"/>
    </row>
    <row r="5150" spans="1:1" x14ac:dyDescent="0.25">
      <c r="A5150" s="13"/>
    </row>
    <row r="5151" spans="1:1" x14ac:dyDescent="0.25">
      <c r="A5151" s="13"/>
    </row>
    <row r="5152" spans="1:1" x14ac:dyDescent="0.25">
      <c r="A5152" s="13"/>
    </row>
    <row r="5153" spans="1:1" x14ac:dyDescent="0.25">
      <c r="A5153" s="13"/>
    </row>
    <row r="5154" spans="1:1" x14ac:dyDescent="0.25">
      <c r="A5154" s="13"/>
    </row>
    <row r="5155" spans="1:1" x14ac:dyDescent="0.25">
      <c r="A5155" s="13"/>
    </row>
    <row r="5156" spans="1:1" x14ac:dyDescent="0.25">
      <c r="A5156" s="13"/>
    </row>
    <row r="5157" spans="1:1" x14ac:dyDescent="0.25">
      <c r="A5157" s="13"/>
    </row>
    <row r="5158" spans="1:1" x14ac:dyDescent="0.25">
      <c r="A5158" s="13"/>
    </row>
    <row r="5159" spans="1:1" x14ac:dyDescent="0.25">
      <c r="A5159" s="13"/>
    </row>
    <row r="5160" spans="1:1" x14ac:dyDescent="0.25">
      <c r="A5160" s="13"/>
    </row>
    <row r="5161" spans="1:1" x14ac:dyDescent="0.25">
      <c r="A5161" s="13"/>
    </row>
    <row r="5162" spans="1:1" x14ac:dyDescent="0.25">
      <c r="A5162" s="13"/>
    </row>
    <row r="5163" spans="1:1" x14ac:dyDescent="0.25">
      <c r="A5163" s="13"/>
    </row>
    <row r="5164" spans="1:1" x14ac:dyDescent="0.25">
      <c r="A5164" s="13"/>
    </row>
    <row r="5165" spans="1:1" x14ac:dyDescent="0.25">
      <c r="A5165" s="13"/>
    </row>
    <row r="5166" spans="1:1" x14ac:dyDescent="0.25">
      <c r="A5166" s="13"/>
    </row>
    <row r="5167" spans="1:1" x14ac:dyDescent="0.25">
      <c r="A5167" s="13"/>
    </row>
    <row r="5168" spans="1:1" x14ac:dyDescent="0.25">
      <c r="A5168" s="13"/>
    </row>
    <row r="5169" spans="1:1" x14ac:dyDescent="0.25">
      <c r="A5169" s="13"/>
    </row>
    <row r="5170" spans="1:1" x14ac:dyDescent="0.25">
      <c r="A5170" s="13"/>
    </row>
    <row r="5171" spans="1:1" x14ac:dyDescent="0.25">
      <c r="A5171" s="13"/>
    </row>
    <row r="5172" spans="1:1" x14ac:dyDescent="0.25">
      <c r="A5172" s="13"/>
    </row>
    <row r="5173" spans="1:1" x14ac:dyDescent="0.25">
      <c r="A5173" s="13"/>
    </row>
    <row r="5174" spans="1:1" x14ac:dyDescent="0.25">
      <c r="A5174" s="13"/>
    </row>
    <row r="5175" spans="1:1" x14ac:dyDescent="0.25">
      <c r="A5175" s="13"/>
    </row>
    <row r="5176" spans="1:1" x14ac:dyDescent="0.25">
      <c r="A5176" s="13"/>
    </row>
    <row r="5177" spans="1:1" x14ac:dyDescent="0.25">
      <c r="A5177" s="13"/>
    </row>
    <row r="5178" spans="1:1" x14ac:dyDescent="0.25">
      <c r="A5178" s="13"/>
    </row>
    <row r="5179" spans="1:1" x14ac:dyDescent="0.25">
      <c r="A5179" s="13"/>
    </row>
    <row r="5180" spans="1:1" x14ac:dyDescent="0.25">
      <c r="A5180" s="13"/>
    </row>
    <row r="5181" spans="1:1" x14ac:dyDescent="0.25">
      <c r="A5181" s="13"/>
    </row>
    <row r="5182" spans="1:1" x14ac:dyDescent="0.25">
      <c r="A5182" s="13"/>
    </row>
    <row r="5183" spans="1:1" x14ac:dyDescent="0.25">
      <c r="A5183" s="13"/>
    </row>
    <row r="5184" spans="1:1" x14ac:dyDescent="0.25">
      <c r="A5184" s="13"/>
    </row>
    <row r="5185" spans="1:1" x14ac:dyDescent="0.25">
      <c r="A5185" s="13"/>
    </row>
    <row r="5186" spans="1:1" x14ac:dyDescent="0.25">
      <c r="A5186" s="13"/>
    </row>
    <row r="5187" spans="1:1" x14ac:dyDescent="0.25">
      <c r="A5187" s="13"/>
    </row>
    <row r="5188" spans="1:1" x14ac:dyDescent="0.25">
      <c r="A5188" s="13"/>
    </row>
    <row r="5189" spans="1:1" x14ac:dyDescent="0.25">
      <c r="A5189" s="13"/>
    </row>
    <row r="5190" spans="1:1" x14ac:dyDescent="0.25">
      <c r="A5190" s="13"/>
    </row>
    <row r="5191" spans="1:1" x14ac:dyDescent="0.25">
      <c r="A5191" s="13"/>
    </row>
    <row r="5192" spans="1:1" x14ac:dyDescent="0.25">
      <c r="A5192" s="13"/>
    </row>
    <row r="5193" spans="1:1" x14ac:dyDescent="0.25">
      <c r="A5193" s="13"/>
    </row>
    <row r="5194" spans="1:1" x14ac:dyDescent="0.25">
      <c r="A5194" s="13"/>
    </row>
    <row r="5195" spans="1:1" x14ac:dyDescent="0.25">
      <c r="A5195" s="13"/>
    </row>
    <row r="5196" spans="1:1" x14ac:dyDescent="0.25">
      <c r="A5196" s="13"/>
    </row>
    <row r="5197" spans="1:1" x14ac:dyDescent="0.25">
      <c r="A5197" s="13"/>
    </row>
    <row r="5198" spans="1:1" x14ac:dyDescent="0.25">
      <c r="A5198" s="13"/>
    </row>
    <row r="5199" spans="1:1" x14ac:dyDescent="0.25">
      <c r="A5199" s="13"/>
    </row>
    <row r="5200" spans="1:1" x14ac:dyDescent="0.25">
      <c r="A5200" s="13"/>
    </row>
    <row r="5201" spans="1:1" x14ac:dyDescent="0.25">
      <c r="A5201" s="13"/>
    </row>
    <row r="5202" spans="1:1" x14ac:dyDescent="0.25">
      <c r="A5202" s="13"/>
    </row>
    <row r="5203" spans="1:1" x14ac:dyDescent="0.25">
      <c r="A5203" s="13"/>
    </row>
    <row r="5204" spans="1:1" x14ac:dyDescent="0.25">
      <c r="A5204" s="13"/>
    </row>
    <row r="5205" spans="1:1" x14ac:dyDescent="0.25">
      <c r="A5205" s="13"/>
    </row>
    <row r="5206" spans="1:1" x14ac:dyDescent="0.25">
      <c r="A5206" s="13"/>
    </row>
    <row r="5207" spans="1:1" x14ac:dyDescent="0.25">
      <c r="A5207" s="13"/>
    </row>
    <row r="5208" spans="1:1" x14ac:dyDescent="0.25">
      <c r="A5208" s="13"/>
    </row>
    <row r="5209" spans="1:1" x14ac:dyDescent="0.25">
      <c r="A5209" s="13"/>
    </row>
    <row r="5210" spans="1:1" x14ac:dyDescent="0.25">
      <c r="A5210" s="13"/>
    </row>
    <row r="5211" spans="1:1" x14ac:dyDescent="0.25">
      <c r="A5211" s="13"/>
    </row>
    <row r="5212" spans="1:1" x14ac:dyDescent="0.25">
      <c r="A5212" s="13"/>
    </row>
    <row r="5213" spans="1:1" x14ac:dyDescent="0.25">
      <c r="A5213" s="13"/>
    </row>
    <row r="5214" spans="1:1" x14ac:dyDescent="0.25">
      <c r="A5214" s="13"/>
    </row>
    <row r="5215" spans="1:1" x14ac:dyDescent="0.25">
      <c r="A5215" s="13"/>
    </row>
    <row r="5216" spans="1:1" x14ac:dyDescent="0.25">
      <c r="A5216" s="13"/>
    </row>
    <row r="5217" spans="1:1" x14ac:dyDescent="0.25">
      <c r="A5217" s="13"/>
    </row>
    <row r="5218" spans="1:1" x14ac:dyDescent="0.25">
      <c r="A5218" s="13"/>
    </row>
    <row r="5219" spans="1:1" x14ac:dyDescent="0.25">
      <c r="A5219" s="13"/>
    </row>
    <row r="5220" spans="1:1" x14ac:dyDescent="0.25">
      <c r="A5220" s="13"/>
    </row>
    <row r="5221" spans="1:1" x14ac:dyDescent="0.25">
      <c r="A5221" s="13"/>
    </row>
    <row r="5222" spans="1:1" x14ac:dyDescent="0.25">
      <c r="A5222" s="13"/>
    </row>
    <row r="5223" spans="1:1" x14ac:dyDescent="0.25">
      <c r="A5223" s="13"/>
    </row>
    <row r="5224" spans="1:1" x14ac:dyDescent="0.25">
      <c r="A5224" s="13"/>
    </row>
    <row r="5225" spans="1:1" x14ac:dyDescent="0.25">
      <c r="A5225" s="13"/>
    </row>
    <row r="5226" spans="1:1" x14ac:dyDescent="0.25">
      <c r="A5226" s="13"/>
    </row>
    <row r="5227" spans="1:1" x14ac:dyDescent="0.25">
      <c r="A5227" s="13"/>
    </row>
    <row r="5228" spans="1:1" x14ac:dyDescent="0.25">
      <c r="A5228" s="13"/>
    </row>
    <row r="5229" spans="1:1" x14ac:dyDescent="0.25">
      <c r="A5229" s="13"/>
    </row>
    <row r="5230" spans="1:1" x14ac:dyDescent="0.25">
      <c r="A5230" s="13"/>
    </row>
    <row r="5231" spans="1:1" x14ac:dyDescent="0.25">
      <c r="A5231" s="13"/>
    </row>
    <row r="5232" spans="1:1" x14ac:dyDescent="0.25">
      <c r="A5232" s="13"/>
    </row>
    <row r="5233" spans="1:1" x14ac:dyDescent="0.25">
      <c r="A5233" s="13"/>
    </row>
    <row r="5234" spans="1:1" x14ac:dyDescent="0.25">
      <c r="A5234" s="13"/>
    </row>
    <row r="5235" spans="1:1" x14ac:dyDescent="0.25">
      <c r="A5235" s="13"/>
    </row>
    <row r="5236" spans="1:1" x14ac:dyDescent="0.25">
      <c r="A5236" s="13"/>
    </row>
    <row r="5237" spans="1:1" x14ac:dyDescent="0.25">
      <c r="A5237" s="13"/>
    </row>
    <row r="5238" spans="1:1" x14ac:dyDescent="0.25">
      <c r="A5238" s="13"/>
    </row>
    <row r="5239" spans="1:1" x14ac:dyDescent="0.25">
      <c r="A5239" s="13"/>
    </row>
    <row r="5240" spans="1:1" x14ac:dyDescent="0.25">
      <c r="A5240" s="13"/>
    </row>
    <row r="5241" spans="1:1" x14ac:dyDescent="0.25">
      <c r="A5241" s="13"/>
    </row>
    <row r="5242" spans="1:1" x14ac:dyDescent="0.25">
      <c r="A5242" s="13"/>
    </row>
    <row r="5243" spans="1:1" x14ac:dyDescent="0.25">
      <c r="A5243" s="13"/>
    </row>
    <row r="5244" spans="1:1" x14ac:dyDescent="0.25">
      <c r="A5244" s="13"/>
    </row>
    <row r="5245" spans="1:1" x14ac:dyDescent="0.25">
      <c r="A5245" s="13"/>
    </row>
    <row r="5246" spans="1:1" x14ac:dyDescent="0.25">
      <c r="A5246" s="13"/>
    </row>
    <row r="5247" spans="1:1" x14ac:dyDescent="0.25">
      <c r="A5247" s="13"/>
    </row>
    <row r="5248" spans="1:1" x14ac:dyDescent="0.25">
      <c r="A5248" s="13"/>
    </row>
    <row r="5249" spans="1:1" x14ac:dyDescent="0.25">
      <c r="A5249" s="13"/>
    </row>
    <row r="5250" spans="1:1" x14ac:dyDescent="0.25">
      <c r="A5250" s="13"/>
    </row>
    <row r="5251" spans="1:1" x14ac:dyDescent="0.25">
      <c r="A5251" s="13"/>
    </row>
    <row r="5252" spans="1:1" x14ac:dyDescent="0.25">
      <c r="A5252" s="13"/>
    </row>
    <row r="5253" spans="1:1" x14ac:dyDescent="0.25">
      <c r="A5253" s="13"/>
    </row>
    <row r="5254" spans="1:1" x14ac:dyDescent="0.25">
      <c r="A5254" s="13"/>
    </row>
    <row r="5255" spans="1:1" x14ac:dyDescent="0.25">
      <c r="A5255" s="13"/>
    </row>
    <row r="5256" spans="1:1" x14ac:dyDescent="0.25">
      <c r="A5256" s="13"/>
    </row>
    <row r="5257" spans="1:1" x14ac:dyDescent="0.25">
      <c r="A5257" s="13"/>
    </row>
    <row r="5258" spans="1:1" x14ac:dyDescent="0.25">
      <c r="A5258" s="13"/>
    </row>
    <row r="5259" spans="1:1" x14ac:dyDescent="0.25">
      <c r="A5259" s="13"/>
    </row>
    <row r="5260" spans="1:1" x14ac:dyDescent="0.25">
      <c r="A5260" s="13"/>
    </row>
    <row r="5261" spans="1:1" x14ac:dyDescent="0.25">
      <c r="A5261" s="13"/>
    </row>
    <row r="5262" spans="1:1" x14ac:dyDescent="0.25">
      <c r="A5262" s="13"/>
    </row>
    <row r="5263" spans="1:1" x14ac:dyDescent="0.25">
      <c r="A5263" s="13"/>
    </row>
    <row r="5264" spans="1:1" x14ac:dyDescent="0.25">
      <c r="A5264" s="13"/>
    </row>
    <row r="5265" spans="1:1" x14ac:dyDescent="0.25">
      <c r="A5265" s="13"/>
    </row>
    <row r="5266" spans="1:1" x14ac:dyDescent="0.25">
      <c r="A5266" s="13"/>
    </row>
    <row r="5267" spans="1:1" x14ac:dyDescent="0.25">
      <c r="A5267" s="13"/>
    </row>
    <row r="5268" spans="1:1" x14ac:dyDescent="0.25">
      <c r="A5268" s="13"/>
    </row>
    <row r="5269" spans="1:1" x14ac:dyDescent="0.25">
      <c r="A5269" s="13"/>
    </row>
    <row r="5270" spans="1:1" x14ac:dyDescent="0.25">
      <c r="A5270" s="13"/>
    </row>
    <row r="5271" spans="1:1" x14ac:dyDescent="0.25">
      <c r="A5271" s="13"/>
    </row>
    <row r="5272" spans="1:1" x14ac:dyDescent="0.25">
      <c r="A5272" s="13"/>
    </row>
    <row r="5273" spans="1:1" x14ac:dyDescent="0.25">
      <c r="A5273" s="13"/>
    </row>
    <row r="5274" spans="1:1" x14ac:dyDescent="0.25">
      <c r="A5274" s="13"/>
    </row>
    <row r="5275" spans="1:1" x14ac:dyDescent="0.25">
      <c r="A5275" s="13"/>
    </row>
    <row r="5276" spans="1:1" x14ac:dyDescent="0.25">
      <c r="A5276" s="13"/>
    </row>
    <row r="5277" spans="1:1" x14ac:dyDescent="0.25">
      <c r="A5277" s="13"/>
    </row>
    <row r="5278" spans="1:1" x14ac:dyDescent="0.25">
      <c r="A5278" s="13"/>
    </row>
    <row r="5279" spans="1:1" x14ac:dyDescent="0.25">
      <c r="A5279" s="13"/>
    </row>
    <row r="5280" spans="1:1" x14ac:dyDescent="0.25">
      <c r="A5280" s="13"/>
    </row>
    <row r="5281" spans="1:1" x14ac:dyDescent="0.25">
      <c r="A5281" s="13"/>
    </row>
    <row r="5282" spans="1:1" x14ac:dyDescent="0.25">
      <c r="A5282" s="13"/>
    </row>
    <row r="5283" spans="1:1" x14ac:dyDescent="0.25">
      <c r="A5283" s="13"/>
    </row>
    <row r="5284" spans="1:1" x14ac:dyDescent="0.25">
      <c r="A5284" s="13"/>
    </row>
    <row r="5285" spans="1:1" x14ac:dyDescent="0.25">
      <c r="A5285" s="13"/>
    </row>
    <row r="5286" spans="1:1" x14ac:dyDescent="0.25">
      <c r="A5286" s="13"/>
    </row>
    <row r="5287" spans="1:1" x14ac:dyDescent="0.25">
      <c r="A5287" s="13"/>
    </row>
    <row r="5288" spans="1:1" x14ac:dyDescent="0.25">
      <c r="A5288" s="13"/>
    </row>
    <row r="5289" spans="1:1" x14ac:dyDescent="0.25">
      <c r="A5289" s="13"/>
    </row>
    <row r="5290" spans="1:1" x14ac:dyDescent="0.25">
      <c r="A5290" s="13"/>
    </row>
    <row r="5291" spans="1:1" x14ac:dyDescent="0.25">
      <c r="A5291" s="13"/>
    </row>
    <row r="5292" spans="1:1" x14ac:dyDescent="0.25">
      <c r="A5292" s="13"/>
    </row>
    <row r="5293" spans="1:1" x14ac:dyDescent="0.25">
      <c r="A5293" s="13"/>
    </row>
    <row r="5294" spans="1:1" x14ac:dyDescent="0.25">
      <c r="A5294" s="13"/>
    </row>
    <row r="5295" spans="1:1" x14ac:dyDescent="0.25">
      <c r="A5295" s="13"/>
    </row>
    <row r="5296" spans="1:1" x14ac:dyDescent="0.25">
      <c r="A5296" s="13"/>
    </row>
    <row r="5297" spans="1:1" x14ac:dyDescent="0.25">
      <c r="A5297" s="13"/>
    </row>
    <row r="5298" spans="1:1" x14ac:dyDescent="0.25">
      <c r="A5298" s="13"/>
    </row>
    <row r="5299" spans="1:1" x14ac:dyDescent="0.25">
      <c r="A5299" s="13"/>
    </row>
    <row r="5300" spans="1:1" x14ac:dyDescent="0.25">
      <c r="A5300" s="13"/>
    </row>
    <row r="5301" spans="1:1" x14ac:dyDescent="0.25">
      <c r="A5301" s="13"/>
    </row>
    <row r="5302" spans="1:1" x14ac:dyDescent="0.25">
      <c r="A5302" s="13"/>
    </row>
    <row r="5303" spans="1:1" x14ac:dyDescent="0.25">
      <c r="A5303" s="13"/>
    </row>
    <row r="5304" spans="1:1" x14ac:dyDescent="0.25">
      <c r="A5304" s="13"/>
    </row>
    <row r="5305" spans="1:1" x14ac:dyDescent="0.25">
      <c r="A5305" s="13"/>
    </row>
    <row r="5306" spans="1:1" x14ac:dyDescent="0.25">
      <c r="A5306" s="13"/>
    </row>
    <row r="5307" spans="1:1" x14ac:dyDescent="0.25">
      <c r="A5307" s="13"/>
    </row>
    <row r="5308" spans="1:1" x14ac:dyDescent="0.25">
      <c r="A5308" s="13"/>
    </row>
    <row r="5309" spans="1:1" x14ac:dyDescent="0.25">
      <c r="A5309" s="13"/>
    </row>
    <row r="5310" spans="1:1" x14ac:dyDescent="0.25">
      <c r="A5310" s="13"/>
    </row>
    <row r="5311" spans="1:1" x14ac:dyDescent="0.25">
      <c r="A5311" s="13"/>
    </row>
    <row r="5312" spans="1:1" x14ac:dyDescent="0.25">
      <c r="A5312" s="13"/>
    </row>
    <row r="5313" spans="1:1" x14ac:dyDescent="0.25">
      <c r="A5313" s="13"/>
    </row>
    <row r="5314" spans="1:1" x14ac:dyDescent="0.25">
      <c r="A5314" s="13"/>
    </row>
    <row r="5315" spans="1:1" x14ac:dyDescent="0.25">
      <c r="A5315" s="13"/>
    </row>
    <row r="5316" spans="1:1" x14ac:dyDescent="0.25">
      <c r="A5316" s="13"/>
    </row>
    <row r="5317" spans="1:1" x14ac:dyDescent="0.25">
      <c r="A5317" s="13"/>
    </row>
    <row r="5318" spans="1:1" x14ac:dyDescent="0.25">
      <c r="A5318" s="13"/>
    </row>
    <row r="5319" spans="1:1" x14ac:dyDescent="0.25">
      <c r="A5319" s="13"/>
    </row>
    <row r="5320" spans="1:1" x14ac:dyDescent="0.25">
      <c r="A5320" s="13"/>
    </row>
    <row r="5321" spans="1:1" x14ac:dyDescent="0.25">
      <c r="A5321" s="13"/>
    </row>
    <row r="5322" spans="1:1" x14ac:dyDescent="0.25">
      <c r="A5322" s="13"/>
    </row>
    <row r="5323" spans="1:1" x14ac:dyDescent="0.25">
      <c r="A5323" s="13"/>
    </row>
    <row r="5324" spans="1:1" x14ac:dyDescent="0.25">
      <c r="A5324" s="13"/>
    </row>
    <row r="5325" spans="1:1" x14ac:dyDescent="0.25">
      <c r="A5325" s="13"/>
    </row>
    <row r="5326" spans="1:1" x14ac:dyDescent="0.25">
      <c r="A5326" s="13"/>
    </row>
    <row r="5327" spans="1:1" x14ac:dyDescent="0.25">
      <c r="A5327" s="13"/>
    </row>
    <row r="5328" spans="1:1" x14ac:dyDescent="0.25">
      <c r="A5328" s="13"/>
    </row>
    <row r="5329" spans="1:1" x14ac:dyDescent="0.25">
      <c r="A5329" s="13"/>
    </row>
    <row r="5330" spans="1:1" x14ac:dyDescent="0.25">
      <c r="A5330" s="13"/>
    </row>
    <row r="5331" spans="1:1" x14ac:dyDescent="0.25">
      <c r="A5331" s="13"/>
    </row>
    <row r="5332" spans="1:1" x14ac:dyDescent="0.25">
      <c r="A5332" s="13"/>
    </row>
    <row r="5333" spans="1:1" x14ac:dyDescent="0.25">
      <c r="A5333" s="13"/>
    </row>
    <row r="5334" spans="1:1" x14ac:dyDescent="0.25">
      <c r="A5334" s="13"/>
    </row>
    <row r="5335" spans="1:1" x14ac:dyDescent="0.25">
      <c r="A5335" s="13"/>
    </row>
    <row r="5336" spans="1:1" x14ac:dyDescent="0.25">
      <c r="A5336" s="13"/>
    </row>
    <row r="5337" spans="1:1" x14ac:dyDescent="0.25">
      <c r="A5337" s="13"/>
    </row>
    <row r="5338" spans="1:1" x14ac:dyDescent="0.25">
      <c r="A5338" s="13"/>
    </row>
    <row r="5339" spans="1:1" x14ac:dyDescent="0.25">
      <c r="A5339" s="13"/>
    </row>
    <row r="5340" spans="1:1" x14ac:dyDescent="0.25">
      <c r="A5340" s="13"/>
    </row>
    <row r="5341" spans="1:1" x14ac:dyDescent="0.25">
      <c r="A5341" s="13"/>
    </row>
    <row r="5342" spans="1:1" x14ac:dyDescent="0.25">
      <c r="A5342" s="13"/>
    </row>
    <row r="5343" spans="1:1" x14ac:dyDescent="0.25">
      <c r="A5343" s="13"/>
    </row>
    <row r="5344" spans="1:1" x14ac:dyDescent="0.25">
      <c r="A5344" s="13"/>
    </row>
    <row r="5345" spans="1:1" x14ac:dyDescent="0.25">
      <c r="A5345" s="13"/>
    </row>
    <row r="5346" spans="1:1" x14ac:dyDescent="0.25">
      <c r="A5346" s="13"/>
    </row>
    <row r="5347" spans="1:1" x14ac:dyDescent="0.25">
      <c r="A5347" s="13"/>
    </row>
    <row r="5348" spans="1:1" x14ac:dyDescent="0.25">
      <c r="A5348" s="13"/>
    </row>
    <row r="5349" spans="1:1" x14ac:dyDescent="0.25">
      <c r="A5349" s="13"/>
    </row>
    <row r="5350" spans="1:1" x14ac:dyDescent="0.25">
      <c r="A5350" s="13"/>
    </row>
    <row r="5351" spans="1:1" x14ac:dyDescent="0.25">
      <c r="A5351" s="13"/>
    </row>
    <row r="5352" spans="1:1" x14ac:dyDescent="0.25">
      <c r="A5352" s="13"/>
    </row>
    <row r="5353" spans="1:1" x14ac:dyDescent="0.25">
      <c r="A5353" s="13"/>
    </row>
    <row r="5354" spans="1:1" x14ac:dyDescent="0.25">
      <c r="A5354" s="13"/>
    </row>
    <row r="5355" spans="1:1" x14ac:dyDescent="0.25">
      <c r="A5355" s="13"/>
    </row>
    <row r="5356" spans="1:1" x14ac:dyDescent="0.25">
      <c r="A5356" s="13"/>
    </row>
    <row r="5357" spans="1:1" x14ac:dyDescent="0.25">
      <c r="A5357" s="13"/>
    </row>
    <row r="5358" spans="1:1" x14ac:dyDescent="0.25">
      <c r="A5358" s="13"/>
    </row>
    <row r="5359" spans="1:1" x14ac:dyDescent="0.25">
      <c r="A5359" s="13"/>
    </row>
    <row r="5360" spans="1:1" x14ac:dyDescent="0.25">
      <c r="A5360" s="13"/>
    </row>
    <row r="5361" spans="1:1" x14ac:dyDescent="0.25">
      <c r="A5361" s="13"/>
    </row>
    <row r="5362" spans="1:1" x14ac:dyDescent="0.25">
      <c r="A5362" s="13"/>
    </row>
    <row r="5363" spans="1:1" x14ac:dyDescent="0.25">
      <c r="A5363" s="13"/>
    </row>
    <row r="5364" spans="1:1" x14ac:dyDescent="0.25">
      <c r="A5364" s="13"/>
    </row>
    <row r="5365" spans="1:1" x14ac:dyDescent="0.25">
      <c r="A5365" s="13"/>
    </row>
    <row r="5366" spans="1:1" x14ac:dyDescent="0.25">
      <c r="A5366" s="13"/>
    </row>
    <row r="5367" spans="1:1" x14ac:dyDescent="0.25">
      <c r="A5367" s="13"/>
    </row>
    <row r="5368" spans="1:1" x14ac:dyDescent="0.25">
      <c r="A5368" s="13"/>
    </row>
    <row r="5369" spans="1:1" x14ac:dyDescent="0.25">
      <c r="A5369" s="13"/>
    </row>
    <row r="5370" spans="1:1" x14ac:dyDescent="0.25">
      <c r="A5370" s="13"/>
    </row>
    <row r="5371" spans="1:1" x14ac:dyDescent="0.25">
      <c r="A5371" s="13"/>
    </row>
    <row r="5372" spans="1:1" x14ac:dyDescent="0.25">
      <c r="A5372" s="13"/>
    </row>
    <row r="5373" spans="1:1" x14ac:dyDescent="0.25">
      <c r="A5373" s="13"/>
    </row>
    <row r="5374" spans="1:1" x14ac:dyDescent="0.25">
      <c r="A5374" s="13"/>
    </row>
    <row r="5375" spans="1:1" x14ac:dyDescent="0.25">
      <c r="A5375" s="13"/>
    </row>
    <row r="5376" spans="1:1" x14ac:dyDescent="0.25">
      <c r="A5376" s="13"/>
    </row>
    <row r="5377" spans="1:1" x14ac:dyDescent="0.25">
      <c r="A5377" s="13"/>
    </row>
    <row r="5378" spans="1:1" x14ac:dyDescent="0.25">
      <c r="A5378" s="13"/>
    </row>
    <row r="5379" spans="1:1" x14ac:dyDescent="0.25">
      <c r="A5379" s="13"/>
    </row>
    <row r="5380" spans="1:1" x14ac:dyDescent="0.25">
      <c r="A5380" s="13"/>
    </row>
    <row r="5381" spans="1:1" x14ac:dyDescent="0.25">
      <c r="A5381" s="13"/>
    </row>
    <row r="5382" spans="1:1" x14ac:dyDescent="0.25">
      <c r="A5382" s="13"/>
    </row>
    <row r="5383" spans="1:1" x14ac:dyDescent="0.25">
      <c r="A5383" s="13"/>
    </row>
    <row r="5384" spans="1:1" x14ac:dyDescent="0.25">
      <c r="A5384" s="13"/>
    </row>
    <row r="5385" spans="1:1" x14ac:dyDescent="0.25">
      <c r="A5385" s="13"/>
    </row>
    <row r="5386" spans="1:1" x14ac:dyDescent="0.25">
      <c r="A5386" s="13"/>
    </row>
    <row r="5387" spans="1:1" x14ac:dyDescent="0.25">
      <c r="A5387" s="13"/>
    </row>
    <row r="5388" spans="1:1" x14ac:dyDescent="0.25">
      <c r="A5388" s="13"/>
    </row>
    <row r="5389" spans="1:1" x14ac:dyDescent="0.25">
      <c r="A5389" s="13"/>
    </row>
    <row r="5390" spans="1:1" x14ac:dyDescent="0.25">
      <c r="A5390" s="13"/>
    </row>
    <row r="5391" spans="1:1" x14ac:dyDescent="0.25">
      <c r="A5391" s="13"/>
    </row>
    <row r="5392" spans="1:1" x14ac:dyDescent="0.25">
      <c r="A5392" s="13"/>
    </row>
    <row r="5393" spans="1:1" x14ac:dyDescent="0.25">
      <c r="A5393" s="13"/>
    </row>
    <row r="5394" spans="1:1" x14ac:dyDescent="0.25">
      <c r="A5394" s="13"/>
    </row>
    <row r="5395" spans="1:1" x14ac:dyDescent="0.25">
      <c r="A5395" s="13"/>
    </row>
    <row r="5396" spans="1:1" x14ac:dyDescent="0.25">
      <c r="A5396" s="13"/>
    </row>
    <row r="5397" spans="1:1" x14ac:dyDescent="0.25">
      <c r="A5397" s="13"/>
    </row>
    <row r="5398" spans="1:1" x14ac:dyDescent="0.25">
      <c r="A5398" s="13"/>
    </row>
    <row r="5399" spans="1:1" x14ac:dyDescent="0.25">
      <c r="A5399" s="13"/>
    </row>
    <row r="5400" spans="1:1" x14ac:dyDescent="0.25">
      <c r="A5400" s="13"/>
    </row>
    <row r="5401" spans="1:1" x14ac:dyDescent="0.25">
      <c r="A5401" s="13"/>
    </row>
    <row r="5402" spans="1:1" x14ac:dyDescent="0.25">
      <c r="A5402" s="13"/>
    </row>
    <row r="5403" spans="1:1" x14ac:dyDescent="0.25">
      <c r="A5403" s="13"/>
    </row>
    <row r="5404" spans="1:1" x14ac:dyDescent="0.25">
      <c r="A5404" s="13"/>
    </row>
    <row r="5405" spans="1:1" x14ac:dyDescent="0.25">
      <c r="A5405" s="13"/>
    </row>
    <row r="5406" spans="1:1" x14ac:dyDescent="0.25">
      <c r="A5406" s="13"/>
    </row>
    <row r="5407" spans="1:1" x14ac:dyDescent="0.25">
      <c r="A5407" s="13"/>
    </row>
    <row r="5408" spans="1:1" x14ac:dyDescent="0.25">
      <c r="A5408" s="13"/>
    </row>
    <row r="5409" spans="1:1" x14ac:dyDescent="0.25">
      <c r="A5409" s="13"/>
    </row>
    <row r="5410" spans="1:1" x14ac:dyDescent="0.25">
      <c r="A5410" s="13"/>
    </row>
    <row r="5411" spans="1:1" x14ac:dyDescent="0.25">
      <c r="A5411" s="13"/>
    </row>
    <row r="5412" spans="1:1" x14ac:dyDescent="0.25">
      <c r="A5412" s="13"/>
    </row>
    <row r="5413" spans="1:1" x14ac:dyDescent="0.25">
      <c r="A5413" s="13"/>
    </row>
    <row r="5414" spans="1:1" x14ac:dyDescent="0.25">
      <c r="A5414" s="13"/>
    </row>
    <row r="5415" spans="1:1" x14ac:dyDescent="0.25">
      <c r="A5415" s="13"/>
    </row>
    <row r="5416" spans="1:1" x14ac:dyDescent="0.25">
      <c r="A5416" s="13"/>
    </row>
    <row r="5417" spans="1:1" x14ac:dyDescent="0.25">
      <c r="A5417" s="13"/>
    </row>
    <row r="5418" spans="1:1" x14ac:dyDescent="0.25">
      <c r="A5418" s="13"/>
    </row>
    <row r="5419" spans="1:1" x14ac:dyDescent="0.25">
      <c r="A5419" s="13"/>
    </row>
    <row r="5420" spans="1:1" x14ac:dyDescent="0.25">
      <c r="A5420" s="13"/>
    </row>
    <row r="5421" spans="1:1" x14ac:dyDescent="0.25">
      <c r="A5421" s="13"/>
    </row>
    <row r="5422" spans="1:1" x14ac:dyDescent="0.25">
      <c r="A5422" s="13"/>
    </row>
    <row r="5423" spans="1:1" x14ac:dyDescent="0.25">
      <c r="A5423" s="13"/>
    </row>
    <row r="5424" spans="1:1" x14ac:dyDescent="0.25">
      <c r="A5424" s="13"/>
    </row>
    <row r="5425" spans="1:1" x14ac:dyDescent="0.25">
      <c r="A5425" s="13"/>
    </row>
    <row r="5426" spans="1:1" x14ac:dyDescent="0.25">
      <c r="A5426" s="13"/>
    </row>
    <row r="5427" spans="1:1" x14ac:dyDescent="0.25">
      <c r="A5427" s="13"/>
    </row>
    <row r="5428" spans="1:1" x14ac:dyDescent="0.25">
      <c r="A5428" s="13"/>
    </row>
    <row r="5429" spans="1:1" x14ac:dyDescent="0.25">
      <c r="A5429" s="13"/>
    </row>
    <row r="5430" spans="1:1" x14ac:dyDescent="0.25">
      <c r="A5430" s="13"/>
    </row>
    <row r="5431" spans="1:1" x14ac:dyDescent="0.25">
      <c r="A5431" s="13"/>
    </row>
    <row r="5432" spans="1:1" x14ac:dyDescent="0.25">
      <c r="A5432" s="13"/>
    </row>
    <row r="5433" spans="1:1" x14ac:dyDescent="0.25">
      <c r="A5433" s="13"/>
    </row>
    <row r="5434" spans="1:1" x14ac:dyDescent="0.25">
      <c r="A5434" s="13"/>
    </row>
    <row r="5435" spans="1:1" x14ac:dyDescent="0.25">
      <c r="A5435" s="13"/>
    </row>
    <row r="5436" spans="1:1" x14ac:dyDescent="0.25">
      <c r="A5436" s="13"/>
    </row>
    <row r="5437" spans="1:1" x14ac:dyDescent="0.25">
      <c r="A5437" s="13"/>
    </row>
    <row r="5438" spans="1:1" x14ac:dyDescent="0.25">
      <c r="A5438" s="13"/>
    </row>
    <row r="5439" spans="1:1" x14ac:dyDescent="0.25">
      <c r="A5439" s="13"/>
    </row>
    <row r="5440" spans="1:1" x14ac:dyDescent="0.25">
      <c r="A5440" s="13"/>
    </row>
    <row r="5441" spans="1:1" x14ac:dyDescent="0.25">
      <c r="A5441" s="13"/>
    </row>
    <row r="5442" spans="1:1" x14ac:dyDescent="0.25">
      <c r="A5442" s="13"/>
    </row>
    <row r="5443" spans="1:1" x14ac:dyDescent="0.25">
      <c r="A5443" s="13"/>
    </row>
    <row r="5444" spans="1:1" x14ac:dyDescent="0.25">
      <c r="A5444" s="13"/>
    </row>
    <row r="5445" spans="1:1" x14ac:dyDescent="0.25">
      <c r="A5445" s="13"/>
    </row>
    <row r="5446" spans="1:1" x14ac:dyDescent="0.25">
      <c r="A5446" s="13"/>
    </row>
    <row r="5447" spans="1:1" x14ac:dyDescent="0.25">
      <c r="A5447" s="13"/>
    </row>
    <row r="5448" spans="1:1" x14ac:dyDescent="0.25">
      <c r="A5448" s="13"/>
    </row>
    <row r="5449" spans="1:1" x14ac:dyDescent="0.25">
      <c r="A5449" s="13"/>
    </row>
    <row r="5450" spans="1:1" x14ac:dyDescent="0.25">
      <c r="A5450" s="13"/>
    </row>
    <row r="5451" spans="1:1" x14ac:dyDescent="0.25">
      <c r="A5451" s="13"/>
    </row>
    <row r="5452" spans="1:1" x14ac:dyDescent="0.25">
      <c r="A5452" s="13"/>
    </row>
    <row r="5453" spans="1:1" x14ac:dyDescent="0.25">
      <c r="A5453" s="13"/>
    </row>
    <row r="5454" spans="1:1" x14ac:dyDescent="0.25">
      <c r="A5454" s="13"/>
    </row>
    <row r="5455" spans="1:1" x14ac:dyDescent="0.25">
      <c r="A5455" s="13"/>
    </row>
    <row r="5456" spans="1:1" x14ac:dyDescent="0.25">
      <c r="A5456" s="13"/>
    </row>
    <row r="5457" spans="1:1" x14ac:dyDescent="0.25">
      <c r="A5457" s="13"/>
    </row>
    <row r="5458" spans="1:1" x14ac:dyDescent="0.25">
      <c r="A5458" s="13"/>
    </row>
    <row r="5459" spans="1:1" x14ac:dyDescent="0.25">
      <c r="A5459" s="13"/>
    </row>
    <row r="5460" spans="1:1" x14ac:dyDescent="0.25">
      <c r="A5460" s="13"/>
    </row>
    <row r="5461" spans="1:1" x14ac:dyDescent="0.25">
      <c r="A5461" s="13"/>
    </row>
    <row r="5462" spans="1:1" x14ac:dyDescent="0.25">
      <c r="A5462" s="13"/>
    </row>
    <row r="5463" spans="1:1" x14ac:dyDescent="0.25">
      <c r="A5463" s="13"/>
    </row>
    <row r="5464" spans="1:1" x14ac:dyDescent="0.25">
      <c r="A5464" s="13"/>
    </row>
    <row r="5465" spans="1:1" x14ac:dyDescent="0.25">
      <c r="A5465" s="13"/>
    </row>
    <row r="5466" spans="1:1" x14ac:dyDescent="0.25">
      <c r="A5466" s="13"/>
    </row>
    <row r="5467" spans="1:1" x14ac:dyDescent="0.25">
      <c r="A5467" s="13"/>
    </row>
    <row r="5468" spans="1:1" x14ac:dyDescent="0.25">
      <c r="A5468" s="13"/>
    </row>
    <row r="5469" spans="1:1" x14ac:dyDescent="0.25">
      <c r="A5469" s="13"/>
    </row>
    <row r="5470" spans="1:1" x14ac:dyDescent="0.25">
      <c r="A5470" s="13"/>
    </row>
    <row r="5471" spans="1:1" x14ac:dyDescent="0.25">
      <c r="A5471" s="13"/>
    </row>
    <row r="5472" spans="1:1" x14ac:dyDescent="0.25">
      <c r="A5472" s="13"/>
    </row>
    <row r="5473" spans="1:1" x14ac:dyDescent="0.25">
      <c r="A5473" s="13"/>
    </row>
    <row r="5474" spans="1:1" x14ac:dyDescent="0.25">
      <c r="A5474" s="13"/>
    </row>
    <row r="5475" spans="1:1" x14ac:dyDescent="0.25">
      <c r="A5475" s="13"/>
    </row>
    <row r="5476" spans="1:1" x14ac:dyDescent="0.25">
      <c r="A5476" s="13"/>
    </row>
    <row r="5477" spans="1:1" x14ac:dyDescent="0.25">
      <c r="A5477" s="13"/>
    </row>
    <row r="5478" spans="1:1" x14ac:dyDescent="0.25">
      <c r="A5478" s="13"/>
    </row>
    <row r="5479" spans="1:1" x14ac:dyDescent="0.25">
      <c r="A5479" s="13"/>
    </row>
    <row r="5480" spans="1:1" x14ac:dyDescent="0.25">
      <c r="A5480" s="13"/>
    </row>
    <row r="5481" spans="1:1" x14ac:dyDescent="0.25">
      <c r="A5481" s="13"/>
    </row>
    <row r="5482" spans="1:1" x14ac:dyDescent="0.25">
      <c r="A5482" s="13"/>
    </row>
    <row r="5483" spans="1:1" x14ac:dyDescent="0.25">
      <c r="A5483" s="13"/>
    </row>
    <row r="5484" spans="1:1" x14ac:dyDescent="0.25">
      <c r="A5484" s="13"/>
    </row>
    <row r="5485" spans="1:1" x14ac:dyDescent="0.25">
      <c r="A5485" s="13"/>
    </row>
    <row r="5486" spans="1:1" x14ac:dyDescent="0.25">
      <c r="A5486" s="13"/>
    </row>
    <row r="5487" spans="1:1" x14ac:dyDescent="0.25">
      <c r="A5487" s="13"/>
    </row>
    <row r="5488" spans="1:1" x14ac:dyDescent="0.25">
      <c r="A5488" s="13"/>
    </row>
    <row r="5489" spans="1:1" x14ac:dyDescent="0.25">
      <c r="A5489" s="13"/>
    </row>
    <row r="5490" spans="1:1" x14ac:dyDescent="0.25">
      <c r="A5490" s="13"/>
    </row>
    <row r="5491" spans="1:1" x14ac:dyDescent="0.25">
      <c r="A5491" s="13"/>
    </row>
    <row r="5492" spans="1:1" x14ac:dyDescent="0.25">
      <c r="A5492" s="13"/>
    </row>
    <row r="5493" spans="1:1" x14ac:dyDescent="0.25">
      <c r="A5493" s="13"/>
    </row>
    <row r="5494" spans="1:1" x14ac:dyDescent="0.25">
      <c r="A5494" s="13"/>
    </row>
    <row r="5495" spans="1:1" x14ac:dyDescent="0.25">
      <c r="A5495" s="13"/>
    </row>
    <row r="5496" spans="1:1" x14ac:dyDescent="0.25">
      <c r="A5496" s="13"/>
    </row>
    <row r="5497" spans="1:1" x14ac:dyDescent="0.25">
      <c r="A5497" s="13"/>
    </row>
    <row r="5498" spans="1:1" x14ac:dyDescent="0.25">
      <c r="A5498" s="13"/>
    </row>
    <row r="5499" spans="1:1" x14ac:dyDescent="0.25">
      <c r="A5499" s="13"/>
    </row>
    <row r="5500" spans="1:1" x14ac:dyDescent="0.25">
      <c r="A5500" s="13"/>
    </row>
    <row r="5501" spans="1:1" x14ac:dyDescent="0.25">
      <c r="A5501" s="13"/>
    </row>
    <row r="5502" spans="1:1" x14ac:dyDescent="0.25">
      <c r="A5502" s="13"/>
    </row>
    <row r="5503" spans="1:1" x14ac:dyDescent="0.25">
      <c r="A5503" s="13"/>
    </row>
    <row r="5504" spans="1:1" x14ac:dyDescent="0.25">
      <c r="A5504" s="13"/>
    </row>
    <row r="5505" spans="1:1" x14ac:dyDescent="0.25">
      <c r="A5505" s="13"/>
    </row>
    <row r="5506" spans="1:1" x14ac:dyDescent="0.25">
      <c r="A5506" s="13"/>
    </row>
    <row r="5507" spans="1:1" x14ac:dyDescent="0.25">
      <c r="A5507" s="13"/>
    </row>
    <row r="5508" spans="1:1" x14ac:dyDescent="0.25">
      <c r="A5508" s="13"/>
    </row>
    <row r="5509" spans="1:1" x14ac:dyDescent="0.25">
      <c r="A5509" s="13"/>
    </row>
    <row r="5510" spans="1:1" x14ac:dyDescent="0.25">
      <c r="A5510" s="13"/>
    </row>
    <row r="5511" spans="1:1" x14ac:dyDescent="0.25">
      <c r="A5511" s="13"/>
    </row>
    <row r="5512" spans="1:1" x14ac:dyDescent="0.25">
      <c r="A5512" s="13"/>
    </row>
    <row r="5513" spans="1:1" x14ac:dyDescent="0.25">
      <c r="A5513" s="13"/>
    </row>
    <row r="5514" spans="1:1" x14ac:dyDescent="0.25">
      <c r="A5514" s="13"/>
    </row>
    <row r="5515" spans="1:1" x14ac:dyDescent="0.25">
      <c r="A5515" s="13"/>
    </row>
    <row r="5516" spans="1:1" x14ac:dyDescent="0.25">
      <c r="A5516" s="13"/>
    </row>
    <row r="5517" spans="1:1" x14ac:dyDescent="0.25">
      <c r="A5517" s="13"/>
    </row>
    <row r="5518" spans="1:1" x14ac:dyDescent="0.25">
      <c r="A5518" s="13"/>
    </row>
    <row r="5519" spans="1:1" x14ac:dyDescent="0.25">
      <c r="A5519" s="13"/>
    </row>
    <row r="5520" spans="1:1" x14ac:dyDescent="0.25">
      <c r="A5520" s="13"/>
    </row>
    <row r="5521" spans="1:1" x14ac:dyDescent="0.25">
      <c r="A5521" s="13"/>
    </row>
    <row r="5522" spans="1:1" x14ac:dyDescent="0.25">
      <c r="A5522" s="13"/>
    </row>
    <row r="5523" spans="1:1" x14ac:dyDescent="0.25">
      <c r="A5523" s="13"/>
    </row>
    <row r="5524" spans="1:1" x14ac:dyDescent="0.25">
      <c r="A5524" s="13"/>
    </row>
    <row r="5525" spans="1:1" x14ac:dyDescent="0.25">
      <c r="A5525" s="13"/>
    </row>
    <row r="5526" spans="1:1" x14ac:dyDescent="0.25">
      <c r="A5526" s="13"/>
    </row>
    <row r="5527" spans="1:1" x14ac:dyDescent="0.25">
      <c r="A5527" s="13"/>
    </row>
    <row r="5528" spans="1:1" x14ac:dyDescent="0.25">
      <c r="A5528" s="13"/>
    </row>
    <row r="5529" spans="1:1" x14ac:dyDescent="0.25">
      <c r="A5529" s="13"/>
    </row>
    <row r="5530" spans="1:1" x14ac:dyDescent="0.25">
      <c r="A5530" s="13"/>
    </row>
    <row r="5531" spans="1:1" x14ac:dyDescent="0.25">
      <c r="A5531" s="13"/>
    </row>
    <row r="5532" spans="1:1" x14ac:dyDescent="0.25">
      <c r="A5532" s="13"/>
    </row>
    <row r="5533" spans="1:1" x14ac:dyDescent="0.25">
      <c r="A5533" s="13"/>
    </row>
    <row r="5534" spans="1:1" x14ac:dyDescent="0.25">
      <c r="A5534" s="13"/>
    </row>
    <row r="5535" spans="1:1" x14ac:dyDescent="0.25">
      <c r="A5535" s="13"/>
    </row>
    <row r="5536" spans="1:1" x14ac:dyDescent="0.25">
      <c r="A5536" s="13"/>
    </row>
    <row r="5537" spans="1:1" x14ac:dyDescent="0.25">
      <c r="A5537" s="13"/>
    </row>
    <row r="5538" spans="1:1" x14ac:dyDescent="0.25">
      <c r="A5538" s="13"/>
    </row>
    <row r="5539" spans="1:1" x14ac:dyDescent="0.25">
      <c r="A5539" s="13"/>
    </row>
    <row r="5540" spans="1:1" x14ac:dyDescent="0.25">
      <c r="A5540" s="13"/>
    </row>
    <row r="5541" spans="1:1" x14ac:dyDescent="0.25">
      <c r="A5541" s="13"/>
    </row>
    <row r="5542" spans="1:1" x14ac:dyDescent="0.25">
      <c r="A5542" s="13"/>
    </row>
    <row r="5543" spans="1:1" x14ac:dyDescent="0.25">
      <c r="A5543" s="13"/>
    </row>
    <row r="5544" spans="1:1" x14ac:dyDescent="0.25">
      <c r="A5544" s="13"/>
    </row>
    <row r="5545" spans="1:1" x14ac:dyDescent="0.25">
      <c r="A5545" s="13"/>
    </row>
    <row r="5546" spans="1:1" x14ac:dyDescent="0.25">
      <c r="A5546" s="13"/>
    </row>
    <row r="5547" spans="1:1" x14ac:dyDescent="0.25">
      <c r="A5547" s="13"/>
    </row>
    <row r="5548" spans="1:1" x14ac:dyDescent="0.25">
      <c r="A5548" s="13"/>
    </row>
    <row r="5549" spans="1:1" x14ac:dyDescent="0.25">
      <c r="A5549" s="13"/>
    </row>
    <row r="5550" spans="1:1" x14ac:dyDescent="0.25">
      <c r="A5550" s="13"/>
    </row>
    <row r="5551" spans="1:1" x14ac:dyDescent="0.25">
      <c r="A5551" s="13"/>
    </row>
    <row r="5552" spans="1:1" x14ac:dyDescent="0.25">
      <c r="A5552" s="13"/>
    </row>
    <row r="5553" spans="1:1" x14ac:dyDescent="0.25">
      <c r="A5553" s="13"/>
    </row>
    <row r="5554" spans="1:1" x14ac:dyDescent="0.25">
      <c r="A5554" s="13"/>
    </row>
    <row r="5555" spans="1:1" x14ac:dyDescent="0.25">
      <c r="A5555" s="13"/>
    </row>
    <row r="5556" spans="1:1" x14ac:dyDescent="0.25">
      <c r="A5556" s="13"/>
    </row>
    <row r="5557" spans="1:1" x14ac:dyDescent="0.25">
      <c r="A5557" s="13"/>
    </row>
    <row r="5558" spans="1:1" x14ac:dyDescent="0.25">
      <c r="A5558" s="13"/>
    </row>
    <row r="5559" spans="1:1" x14ac:dyDescent="0.25">
      <c r="A5559" s="13"/>
    </row>
    <row r="5560" spans="1:1" x14ac:dyDescent="0.25">
      <c r="A5560" s="13"/>
    </row>
    <row r="5561" spans="1:1" x14ac:dyDescent="0.25">
      <c r="A5561" s="13"/>
    </row>
    <row r="5562" spans="1:1" x14ac:dyDescent="0.25">
      <c r="A5562" s="13"/>
    </row>
    <row r="5563" spans="1:1" x14ac:dyDescent="0.25">
      <c r="A5563" s="13"/>
    </row>
    <row r="5564" spans="1:1" x14ac:dyDescent="0.25">
      <c r="A5564" s="13"/>
    </row>
    <row r="5565" spans="1:1" x14ac:dyDescent="0.25">
      <c r="A5565" s="13"/>
    </row>
    <row r="5566" spans="1:1" x14ac:dyDescent="0.25">
      <c r="A5566" s="13"/>
    </row>
    <row r="5567" spans="1:1" x14ac:dyDescent="0.25">
      <c r="A5567" s="13"/>
    </row>
    <row r="5568" spans="1:1" x14ac:dyDescent="0.25">
      <c r="A5568" s="13"/>
    </row>
    <row r="5569" spans="1:1" x14ac:dyDescent="0.25">
      <c r="A5569" s="13"/>
    </row>
    <row r="5570" spans="1:1" x14ac:dyDescent="0.25">
      <c r="A5570" s="13"/>
    </row>
    <row r="5571" spans="1:1" x14ac:dyDescent="0.25">
      <c r="A5571" s="13"/>
    </row>
    <row r="5572" spans="1:1" x14ac:dyDescent="0.25">
      <c r="A5572" s="13"/>
    </row>
    <row r="5573" spans="1:1" x14ac:dyDescent="0.25">
      <c r="A5573" s="13"/>
    </row>
    <row r="5574" spans="1:1" x14ac:dyDescent="0.25">
      <c r="A5574" s="13"/>
    </row>
    <row r="5575" spans="1:1" x14ac:dyDescent="0.25">
      <c r="A5575" s="13"/>
    </row>
    <row r="5576" spans="1:1" x14ac:dyDescent="0.25">
      <c r="A5576" s="13"/>
    </row>
    <row r="5577" spans="1:1" x14ac:dyDescent="0.25">
      <c r="A5577" s="13"/>
    </row>
    <row r="5578" spans="1:1" x14ac:dyDescent="0.25">
      <c r="A5578" s="13"/>
    </row>
    <row r="5579" spans="1:1" x14ac:dyDescent="0.25">
      <c r="A5579" s="13"/>
    </row>
    <row r="5580" spans="1:1" x14ac:dyDescent="0.25">
      <c r="A5580" s="13"/>
    </row>
    <row r="5581" spans="1:1" x14ac:dyDescent="0.25">
      <c r="A5581" s="13"/>
    </row>
    <row r="5582" spans="1:1" x14ac:dyDescent="0.25">
      <c r="A5582" s="13"/>
    </row>
    <row r="5583" spans="1:1" x14ac:dyDescent="0.25">
      <c r="A5583" s="13"/>
    </row>
    <row r="5584" spans="1:1" x14ac:dyDescent="0.25">
      <c r="A5584" s="13"/>
    </row>
    <row r="5585" spans="1:1" x14ac:dyDescent="0.25">
      <c r="A5585" s="13"/>
    </row>
    <row r="5586" spans="1:1" x14ac:dyDescent="0.25">
      <c r="A5586" s="13"/>
    </row>
    <row r="5587" spans="1:1" x14ac:dyDescent="0.25">
      <c r="A5587" s="13"/>
    </row>
    <row r="5588" spans="1:1" x14ac:dyDescent="0.25">
      <c r="A5588" s="13"/>
    </row>
    <row r="5589" spans="1:1" x14ac:dyDescent="0.25">
      <c r="A5589" s="13"/>
    </row>
    <row r="5590" spans="1:1" x14ac:dyDescent="0.25">
      <c r="A5590" s="13"/>
    </row>
    <row r="5591" spans="1:1" x14ac:dyDescent="0.25">
      <c r="A5591" s="13"/>
    </row>
    <row r="5592" spans="1:1" x14ac:dyDescent="0.25">
      <c r="A5592" s="13"/>
    </row>
    <row r="5593" spans="1:1" x14ac:dyDescent="0.25">
      <c r="A5593" s="13"/>
    </row>
    <row r="5594" spans="1:1" x14ac:dyDescent="0.25">
      <c r="A5594" s="13"/>
    </row>
    <row r="5595" spans="1:1" x14ac:dyDescent="0.25">
      <c r="A5595" s="13"/>
    </row>
    <row r="5596" spans="1:1" x14ac:dyDescent="0.25">
      <c r="A5596" s="13"/>
    </row>
    <row r="5597" spans="1:1" x14ac:dyDescent="0.25">
      <c r="A5597" s="13"/>
    </row>
    <row r="5598" spans="1:1" x14ac:dyDescent="0.25">
      <c r="A5598" s="13"/>
    </row>
    <row r="5599" spans="1:1" x14ac:dyDescent="0.25">
      <c r="A5599" s="13"/>
    </row>
    <row r="5600" spans="1:1" x14ac:dyDescent="0.25">
      <c r="A5600" s="13"/>
    </row>
    <row r="5601" spans="1:1" x14ac:dyDescent="0.25">
      <c r="A5601" s="13"/>
    </row>
    <row r="5602" spans="1:1" x14ac:dyDescent="0.25">
      <c r="A5602" s="13"/>
    </row>
    <row r="5603" spans="1:1" x14ac:dyDescent="0.25">
      <c r="A5603" s="13"/>
    </row>
    <row r="5604" spans="1:1" x14ac:dyDescent="0.25">
      <c r="A5604" s="13"/>
    </row>
    <row r="5605" spans="1:1" x14ac:dyDescent="0.25">
      <c r="A5605" s="13"/>
    </row>
    <row r="5606" spans="1:1" x14ac:dyDescent="0.25">
      <c r="A5606" s="13"/>
    </row>
    <row r="5607" spans="1:1" x14ac:dyDescent="0.25">
      <c r="A5607" s="13"/>
    </row>
    <row r="5608" spans="1:1" x14ac:dyDescent="0.25">
      <c r="A5608" s="13"/>
    </row>
    <row r="5609" spans="1:1" x14ac:dyDescent="0.25">
      <c r="A5609" s="13"/>
    </row>
    <row r="5610" spans="1:1" x14ac:dyDescent="0.25">
      <c r="A5610" s="13"/>
    </row>
    <row r="5611" spans="1:1" x14ac:dyDescent="0.25">
      <c r="A5611" s="13"/>
    </row>
    <row r="5612" spans="1:1" x14ac:dyDescent="0.25">
      <c r="A5612" s="13"/>
    </row>
    <row r="5613" spans="1:1" x14ac:dyDescent="0.25">
      <c r="A5613" s="13"/>
    </row>
    <row r="5614" spans="1:1" x14ac:dyDescent="0.25">
      <c r="A5614" s="13"/>
    </row>
    <row r="5615" spans="1:1" x14ac:dyDescent="0.25">
      <c r="A5615" s="13"/>
    </row>
    <row r="5616" spans="1:1" x14ac:dyDescent="0.25">
      <c r="A5616" s="13"/>
    </row>
    <row r="5617" spans="1:1" x14ac:dyDescent="0.25">
      <c r="A5617" s="13"/>
    </row>
    <row r="5618" spans="1:1" x14ac:dyDescent="0.25">
      <c r="A5618" s="13"/>
    </row>
    <row r="5619" spans="1:1" x14ac:dyDescent="0.25">
      <c r="A5619" s="13"/>
    </row>
    <row r="5620" spans="1:1" x14ac:dyDescent="0.25">
      <c r="A5620" s="13"/>
    </row>
    <row r="5621" spans="1:1" x14ac:dyDescent="0.25">
      <c r="A5621" s="13"/>
    </row>
    <row r="5622" spans="1:1" x14ac:dyDescent="0.25">
      <c r="A5622" s="13"/>
    </row>
    <row r="5623" spans="1:1" x14ac:dyDescent="0.25">
      <c r="A5623" s="13"/>
    </row>
    <row r="5624" spans="1:1" x14ac:dyDescent="0.25">
      <c r="A5624" s="13"/>
    </row>
    <row r="5625" spans="1:1" x14ac:dyDescent="0.25">
      <c r="A5625" s="13"/>
    </row>
    <row r="5626" spans="1:1" x14ac:dyDescent="0.25">
      <c r="A5626" s="13"/>
    </row>
    <row r="5627" spans="1:1" x14ac:dyDescent="0.25">
      <c r="A5627" s="13"/>
    </row>
    <row r="5628" spans="1:1" x14ac:dyDescent="0.25">
      <c r="A5628" s="13"/>
    </row>
    <row r="5629" spans="1:1" x14ac:dyDescent="0.25">
      <c r="A5629" s="13"/>
    </row>
    <row r="5630" spans="1:1" x14ac:dyDescent="0.25">
      <c r="A5630" s="13"/>
    </row>
    <row r="5631" spans="1:1" x14ac:dyDescent="0.25">
      <c r="A5631" s="13"/>
    </row>
    <row r="5632" spans="1:1" x14ac:dyDescent="0.25">
      <c r="A5632" s="13"/>
    </row>
    <row r="5633" spans="1:1" x14ac:dyDescent="0.25">
      <c r="A5633" s="13"/>
    </row>
    <row r="5634" spans="1:1" x14ac:dyDescent="0.25">
      <c r="A5634" s="13"/>
    </row>
    <row r="5635" spans="1:1" x14ac:dyDescent="0.25">
      <c r="A5635" s="13"/>
    </row>
    <row r="5636" spans="1:1" x14ac:dyDescent="0.25">
      <c r="A5636" s="13"/>
    </row>
    <row r="5637" spans="1:1" x14ac:dyDescent="0.25">
      <c r="A5637" s="13"/>
    </row>
    <row r="5638" spans="1:1" x14ac:dyDescent="0.25">
      <c r="A5638" s="13"/>
    </row>
    <row r="5639" spans="1:1" x14ac:dyDescent="0.25">
      <c r="A5639" s="13"/>
    </row>
    <row r="5640" spans="1:1" x14ac:dyDescent="0.25">
      <c r="A5640" s="13"/>
    </row>
    <row r="5641" spans="1:1" x14ac:dyDescent="0.25">
      <c r="A5641" s="13"/>
    </row>
    <row r="5642" spans="1:1" x14ac:dyDescent="0.25">
      <c r="A5642" s="13"/>
    </row>
    <row r="5643" spans="1:1" x14ac:dyDescent="0.25">
      <c r="A5643" s="13"/>
    </row>
    <row r="5644" spans="1:1" x14ac:dyDescent="0.25">
      <c r="A5644" s="13"/>
    </row>
    <row r="5645" spans="1:1" x14ac:dyDescent="0.25">
      <c r="A5645" s="13"/>
    </row>
    <row r="5646" spans="1:1" x14ac:dyDescent="0.25">
      <c r="A5646" s="13"/>
    </row>
    <row r="5647" spans="1:1" x14ac:dyDescent="0.25">
      <c r="A5647" s="13"/>
    </row>
    <row r="5648" spans="1:1" x14ac:dyDescent="0.25">
      <c r="A5648" s="13"/>
    </row>
    <row r="5649" spans="1:1" x14ac:dyDescent="0.25">
      <c r="A5649" s="13"/>
    </row>
    <row r="5650" spans="1:1" x14ac:dyDescent="0.25">
      <c r="A5650" s="13"/>
    </row>
    <row r="5651" spans="1:1" x14ac:dyDescent="0.25">
      <c r="A5651" s="13"/>
    </row>
    <row r="5652" spans="1:1" x14ac:dyDescent="0.25">
      <c r="A5652" s="13"/>
    </row>
    <row r="5653" spans="1:1" x14ac:dyDescent="0.25">
      <c r="A5653" s="13"/>
    </row>
    <row r="5654" spans="1:1" x14ac:dyDescent="0.25">
      <c r="A5654" s="13"/>
    </row>
    <row r="5655" spans="1:1" x14ac:dyDescent="0.25">
      <c r="A5655" s="13"/>
    </row>
    <row r="5656" spans="1:1" x14ac:dyDescent="0.25">
      <c r="A5656" s="13"/>
    </row>
    <row r="5657" spans="1:1" x14ac:dyDescent="0.25">
      <c r="A5657" s="13"/>
    </row>
    <row r="5658" spans="1:1" x14ac:dyDescent="0.25">
      <c r="A5658" s="13"/>
    </row>
    <row r="5659" spans="1:1" x14ac:dyDescent="0.25">
      <c r="A5659" s="13"/>
    </row>
    <row r="5660" spans="1:1" x14ac:dyDescent="0.25">
      <c r="A5660" s="13"/>
    </row>
    <row r="5661" spans="1:1" x14ac:dyDescent="0.25">
      <c r="A5661" s="13"/>
    </row>
    <row r="5662" spans="1:1" x14ac:dyDescent="0.25">
      <c r="A5662" s="13"/>
    </row>
    <row r="5663" spans="1:1" x14ac:dyDescent="0.25">
      <c r="A5663" s="13"/>
    </row>
    <row r="5664" spans="1:1" x14ac:dyDescent="0.25">
      <c r="A5664" s="13"/>
    </row>
    <row r="5665" spans="1:1" x14ac:dyDescent="0.25">
      <c r="A5665" s="13"/>
    </row>
    <row r="5666" spans="1:1" x14ac:dyDescent="0.25">
      <c r="A5666" s="13"/>
    </row>
    <row r="5667" spans="1:1" x14ac:dyDescent="0.25">
      <c r="A5667" s="13"/>
    </row>
    <row r="5668" spans="1:1" x14ac:dyDescent="0.25">
      <c r="A5668" s="13"/>
    </row>
    <row r="5669" spans="1:1" x14ac:dyDescent="0.25">
      <c r="A5669" s="13"/>
    </row>
    <row r="5670" spans="1:1" x14ac:dyDescent="0.25">
      <c r="A5670" s="13"/>
    </row>
    <row r="5671" spans="1:1" x14ac:dyDescent="0.25">
      <c r="A5671" s="13"/>
    </row>
    <row r="5672" spans="1:1" x14ac:dyDescent="0.25">
      <c r="A5672" s="13"/>
    </row>
    <row r="5673" spans="1:1" x14ac:dyDescent="0.25">
      <c r="A5673" s="13"/>
    </row>
    <row r="5674" spans="1:1" x14ac:dyDescent="0.25">
      <c r="A5674" s="13"/>
    </row>
    <row r="5675" spans="1:1" x14ac:dyDescent="0.25">
      <c r="A5675" s="13"/>
    </row>
    <row r="5676" spans="1:1" x14ac:dyDescent="0.25">
      <c r="A5676" s="13"/>
    </row>
    <row r="5677" spans="1:1" x14ac:dyDescent="0.25">
      <c r="A5677" s="13"/>
    </row>
    <row r="5678" spans="1:1" x14ac:dyDescent="0.25">
      <c r="A5678" s="13"/>
    </row>
    <row r="5679" spans="1:1" x14ac:dyDescent="0.25">
      <c r="A5679" s="13"/>
    </row>
    <row r="5680" spans="1:1" x14ac:dyDescent="0.25">
      <c r="A5680" s="13"/>
    </row>
    <row r="5681" spans="1:1" x14ac:dyDescent="0.25">
      <c r="A5681" s="13"/>
    </row>
    <row r="5682" spans="1:1" x14ac:dyDescent="0.25">
      <c r="A5682" s="13"/>
    </row>
    <row r="5683" spans="1:1" x14ac:dyDescent="0.25">
      <c r="A5683" s="13"/>
    </row>
    <row r="5684" spans="1:1" x14ac:dyDescent="0.25">
      <c r="A5684" s="13"/>
    </row>
    <row r="5685" spans="1:1" x14ac:dyDescent="0.25">
      <c r="A5685" s="13"/>
    </row>
    <row r="5686" spans="1:1" x14ac:dyDescent="0.25">
      <c r="A5686" s="13"/>
    </row>
    <row r="5687" spans="1:1" x14ac:dyDescent="0.25">
      <c r="A5687" s="13"/>
    </row>
    <row r="5688" spans="1:1" x14ac:dyDescent="0.25">
      <c r="A5688" s="13"/>
    </row>
    <row r="5689" spans="1:1" x14ac:dyDescent="0.25">
      <c r="A5689" s="13"/>
    </row>
    <row r="5690" spans="1:1" x14ac:dyDescent="0.25">
      <c r="A5690" s="13"/>
    </row>
    <row r="5691" spans="1:1" x14ac:dyDescent="0.25">
      <c r="A5691" s="13"/>
    </row>
    <row r="5692" spans="1:1" x14ac:dyDescent="0.25">
      <c r="A5692" s="13"/>
    </row>
    <row r="5693" spans="1:1" x14ac:dyDescent="0.25">
      <c r="A5693" s="13"/>
    </row>
    <row r="5694" spans="1:1" x14ac:dyDescent="0.25">
      <c r="A5694" s="13"/>
    </row>
    <row r="5695" spans="1:1" x14ac:dyDescent="0.25">
      <c r="A5695" s="13"/>
    </row>
    <row r="5696" spans="1:1" x14ac:dyDescent="0.25">
      <c r="A5696" s="13"/>
    </row>
    <row r="5697" spans="1:1" x14ac:dyDescent="0.25">
      <c r="A5697" s="13"/>
    </row>
    <row r="5698" spans="1:1" x14ac:dyDescent="0.25">
      <c r="A5698" s="13"/>
    </row>
    <row r="5699" spans="1:1" x14ac:dyDescent="0.25">
      <c r="A5699" s="13"/>
    </row>
    <row r="5700" spans="1:1" x14ac:dyDescent="0.25">
      <c r="A5700" s="13"/>
    </row>
    <row r="5701" spans="1:1" x14ac:dyDescent="0.25">
      <c r="A5701" s="13"/>
    </row>
    <row r="5702" spans="1:1" x14ac:dyDescent="0.25">
      <c r="A5702" s="13"/>
    </row>
    <row r="5703" spans="1:1" x14ac:dyDescent="0.25">
      <c r="A5703" s="13"/>
    </row>
    <row r="5704" spans="1:1" x14ac:dyDescent="0.25">
      <c r="A5704" s="13"/>
    </row>
    <row r="5705" spans="1:1" x14ac:dyDescent="0.25">
      <c r="A5705" s="13"/>
    </row>
    <row r="5706" spans="1:1" x14ac:dyDescent="0.25">
      <c r="A5706" s="13"/>
    </row>
    <row r="5707" spans="1:1" x14ac:dyDescent="0.25">
      <c r="A5707" s="13"/>
    </row>
    <row r="5708" spans="1:1" x14ac:dyDescent="0.25">
      <c r="A5708" s="13"/>
    </row>
    <row r="5709" spans="1:1" x14ac:dyDescent="0.25">
      <c r="A5709" s="13"/>
    </row>
    <row r="5710" spans="1:1" x14ac:dyDescent="0.25">
      <c r="A5710" s="13"/>
    </row>
    <row r="5711" spans="1:1" x14ac:dyDescent="0.25">
      <c r="A5711" s="13"/>
    </row>
    <row r="5712" spans="1:1" x14ac:dyDescent="0.25">
      <c r="A5712" s="13"/>
    </row>
    <row r="5713" spans="1:1" x14ac:dyDescent="0.25">
      <c r="A5713" s="13"/>
    </row>
    <row r="5714" spans="1:1" x14ac:dyDescent="0.25">
      <c r="A5714" s="13"/>
    </row>
    <row r="5715" spans="1:1" x14ac:dyDescent="0.25">
      <c r="A5715" s="13"/>
    </row>
    <row r="5716" spans="1:1" x14ac:dyDescent="0.25">
      <c r="A5716" s="13"/>
    </row>
    <row r="5717" spans="1:1" x14ac:dyDescent="0.25">
      <c r="A5717" s="13"/>
    </row>
    <row r="5718" spans="1:1" x14ac:dyDescent="0.25">
      <c r="A5718" s="13"/>
    </row>
    <row r="5719" spans="1:1" x14ac:dyDescent="0.25">
      <c r="A5719" s="13"/>
    </row>
    <row r="5720" spans="1:1" x14ac:dyDescent="0.25">
      <c r="A5720" s="13"/>
    </row>
    <row r="5721" spans="1:1" x14ac:dyDescent="0.25">
      <c r="A5721" s="13"/>
    </row>
    <row r="5722" spans="1:1" x14ac:dyDescent="0.25">
      <c r="A5722" s="13"/>
    </row>
    <row r="5723" spans="1:1" x14ac:dyDescent="0.25">
      <c r="A5723" s="13"/>
    </row>
    <row r="5724" spans="1:1" x14ac:dyDescent="0.25">
      <c r="A5724" s="13"/>
    </row>
    <row r="5725" spans="1:1" x14ac:dyDescent="0.25">
      <c r="A5725" s="13"/>
    </row>
    <row r="5726" spans="1:1" x14ac:dyDescent="0.25">
      <c r="A5726" s="13"/>
    </row>
    <row r="5727" spans="1:1" x14ac:dyDescent="0.25">
      <c r="A5727" s="13"/>
    </row>
    <row r="5728" spans="1:1" x14ac:dyDescent="0.25">
      <c r="A5728" s="13"/>
    </row>
    <row r="5729" spans="1:1" x14ac:dyDescent="0.25">
      <c r="A5729" s="13"/>
    </row>
    <row r="5730" spans="1:1" x14ac:dyDescent="0.25">
      <c r="A5730" s="13"/>
    </row>
    <row r="5731" spans="1:1" x14ac:dyDescent="0.25">
      <c r="A5731" s="13"/>
    </row>
    <row r="5732" spans="1:1" x14ac:dyDescent="0.25">
      <c r="A5732" s="13"/>
    </row>
    <row r="5733" spans="1:1" x14ac:dyDescent="0.25">
      <c r="A5733" s="13"/>
    </row>
    <row r="5734" spans="1:1" x14ac:dyDescent="0.25">
      <c r="A5734" s="13"/>
    </row>
    <row r="5735" spans="1:1" x14ac:dyDescent="0.25">
      <c r="A5735" s="13"/>
    </row>
    <row r="5736" spans="1:1" x14ac:dyDescent="0.25">
      <c r="A5736" s="13"/>
    </row>
    <row r="5737" spans="1:1" x14ac:dyDescent="0.25">
      <c r="A5737" s="13"/>
    </row>
    <row r="5738" spans="1:1" x14ac:dyDescent="0.25">
      <c r="A5738" s="13"/>
    </row>
    <row r="5739" spans="1:1" x14ac:dyDescent="0.25">
      <c r="A5739" s="13"/>
    </row>
    <row r="5740" spans="1:1" x14ac:dyDescent="0.25">
      <c r="A5740" s="13"/>
    </row>
    <row r="5741" spans="1:1" x14ac:dyDescent="0.25">
      <c r="A5741" s="13"/>
    </row>
    <row r="5742" spans="1:1" x14ac:dyDescent="0.25">
      <c r="A5742" s="13"/>
    </row>
    <row r="5743" spans="1:1" x14ac:dyDescent="0.25">
      <c r="A5743" s="13"/>
    </row>
    <row r="5744" spans="1:1" x14ac:dyDescent="0.25">
      <c r="A5744" s="13"/>
    </row>
    <row r="5745" spans="1:1" x14ac:dyDescent="0.25">
      <c r="A5745" s="13"/>
    </row>
    <row r="5746" spans="1:1" x14ac:dyDescent="0.25">
      <c r="A5746" s="13"/>
    </row>
    <row r="5747" spans="1:1" x14ac:dyDescent="0.25">
      <c r="A5747" s="13"/>
    </row>
    <row r="5748" spans="1:1" x14ac:dyDescent="0.25">
      <c r="A5748" s="13"/>
    </row>
    <row r="5749" spans="1:1" x14ac:dyDescent="0.25">
      <c r="A5749" s="13"/>
    </row>
    <row r="5750" spans="1:1" x14ac:dyDescent="0.25">
      <c r="A5750" s="13"/>
    </row>
    <row r="5751" spans="1:1" x14ac:dyDescent="0.25">
      <c r="A5751" s="13"/>
    </row>
    <row r="5752" spans="1:1" x14ac:dyDescent="0.25">
      <c r="A5752" s="13"/>
    </row>
    <row r="5753" spans="1:1" x14ac:dyDescent="0.25">
      <c r="A5753" s="13"/>
    </row>
    <row r="5754" spans="1:1" x14ac:dyDescent="0.25">
      <c r="A5754" s="13"/>
    </row>
    <row r="5755" spans="1:1" x14ac:dyDescent="0.25">
      <c r="A5755" s="13"/>
    </row>
    <row r="5756" spans="1:1" x14ac:dyDescent="0.25">
      <c r="A5756" s="13"/>
    </row>
    <row r="5757" spans="1:1" x14ac:dyDescent="0.25">
      <c r="A5757" s="13"/>
    </row>
    <row r="5758" spans="1:1" x14ac:dyDescent="0.25">
      <c r="A5758" s="13"/>
    </row>
    <row r="5759" spans="1:1" x14ac:dyDescent="0.25">
      <c r="A5759" s="13"/>
    </row>
    <row r="5760" spans="1:1" x14ac:dyDescent="0.25">
      <c r="A5760" s="13"/>
    </row>
    <row r="5761" spans="1:1" x14ac:dyDescent="0.25">
      <c r="A5761" s="13"/>
    </row>
    <row r="5762" spans="1:1" x14ac:dyDescent="0.25">
      <c r="A5762" s="13"/>
    </row>
    <row r="5763" spans="1:1" x14ac:dyDescent="0.25">
      <c r="A5763" s="13"/>
    </row>
    <row r="5764" spans="1:1" x14ac:dyDescent="0.25">
      <c r="A5764" s="13"/>
    </row>
    <row r="5765" spans="1:1" x14ac:dyDescent="0.25">
      <c r="A5765" s="13"/>
    </row>
    <row r="5766" spans="1:1" x14ac:dyDescent="0.25">
      <c r="A5766" s="13"/>
    </row>
    <row r="5767" spans="1:1" x14ac:dyDescent="0.25">
      <c r="A5767" s="13"/>
    </row>
    <row r="5768" spans="1:1" x14ac:dyDescent="0.25">
      <c r="A5768" s="13"/>
    </row>
    <row r="5769" spans="1:1" x14ac:dyDescent="0.25">
      <c r="A5769" s="13"/>
    </row>
    <row r="5770" spans="1:1" x14ac:dyDescent="0.25">
      <c r="A5770" s="13"/>
    </row>
    <row r="5771" spans="1:1" x14ac:dyDescent="0.25">
      <c r="A5771" s="13"/>
    </row>
    <row r="5772" spans="1:1" x14ac:dyDescent="0.25">
      <c r="A5772" s="13"/>
    </row>
    <row r="5773" spans="1:1" x14ac:dyDescent="0.25">
      <c r="A5773" s="13"/>
    </row>
    <row r="5774" spans="1:1" x14ac:dyDescent="0.25">
      <c r="A5774" s="13"/>
    </row>
    <row r="5775" spans="1:1" x14ac:dyDescent="0.25">
      <c r="A5775" s="13"/>
    </row>
    <row r="5776" spans="1:1" x14ac:dyDescent="0.25">
      <c r="A5776" s="13"/>
    </row>
    <row r="5777" spans="1:1" x14ac:dyDescent="0.25">
      <c r="A5777" s="13"/>
    </row>
    <row r="5778" spans="1:1" x14ac:dyDescent="0.25">
      <c r="A5778" s="13"/>
    </row>
    <row r="5779" spans="1:1" x14ac:dyDescent="0.25">
      <c r="A5779" s="13"/>
    </row>
    <row r="5780" spans="1:1" x14ac:dyDescent="0.25">
      <c r="A5780" s="13"/>
    </row>
    <row r="5781" spans="1:1" x14ac:dyDescent="0.25">
      <c r="A5781" s="13"/>
    </row>
    <row r="5782" spans="1:1" x14ac:dyDescent="0.25">
      <c r="A5782" s="13"/>
    </row>
    <row r="5783" spans="1:1" x14ac:dyDescent="0.25">
      <c r="A5783" s="13"/>
    </row>
    <row r="5784" spans="1:1" x14ac:dyDescent="0.25">
      <c r="A5784" s="13"/>
    </row>
    <row r="5785" spans="1:1" x14ac:dyDescent="0.25">
      <c r="A5785" s="13"/>
    </row>
    <row r="5786" spans="1:1" x14ac:dyDescent="0.25">
      <c r="A5786" s="13"/>
    </row>
    <row r="5787" spans="1:1" x14ac:dyDescent="0.25">
      <c r="A5787" s="13"/>
    </row>
    <row r="5788" spans="1:1" x14ac:dyDescent="0.25">
      <c r="A5788" s="13"/>
    </row>
    <row r="5789" spans="1:1" x14ac:dyDescent="0.25">
      <c r="A5789" s="13"/>
    </row>
    <row r="5790" spans="1:1" x14ac:dyDescent="0.25">
      <c r="A5790" s="13"/>
    </row>
    <row r="5791" spans="1:1" x14ac:dyDescent="0.25">
      <c r="A5791" s="13"/>
    </row>
    <row r="5792" spans="1:1" x14ac:dyDescent="0.25">
      <c r="A5792" s="13"/>
    </row>
    <row r="5793" spans="1:1" x14ac:dyDescent="0.25">
      <c r="A5793" s="13"/>
    </row>
    <row r="5794" spans="1:1" x14ac:dyDescent="0.25">
      <c r="A5794" s="13"/>
    </row>
    <row r="5795" spans="1:1" x14ac:dyDescent="0.25">
      <c r="A5795" s="13"/>
    </row>
    <row r="5796" spans="1:1" x14ac:dyDescent="0.25">
      <c r="A5796" s="13"/>
    </row>
    <row r="5797" spans="1:1" x14ac:dyDescent="0.25">
      <c r="A5797" s="13"/>
    </row>
    <row r="5798" spans="1:1" x14ac:dyDescent="0.25">
      <c r="A5798" s="13"/>
    </row>
    <row r="5799" spans="1:1" x14ac:dyDescent="0.25">
      <c r="A5799" s="13"/>
    </row>
    <row r="5800" spans="1:1" x14ac:dyDescent="0.25">
      <c r="A5800" s="13"/>
    </row>
    <row r="5801" spans="1:1" x14ac:dyDescent="0.25">
      <c r="A5801" s="13"/>
    </row>
    <row r="5802" spans="1:1" x14ac:dyDescent="0.25">
      <c r="A5802" s="13"/>
    </row>
    <row r="5803" spans="1:1" x14ac:dyDescent="0.25">
      <c r="A5803" s="13"/>
    </row>
    <row r="5804" spans="1:1" x14ac:dyDescent="0.25">
      <c r="A5804" s="13"/>
    </row>
    <row r="5805" spans="1:1" x14ac:dyDescent="0.25">
      <c r="A5805" s="13"/>
    </row>
    <row r="5806" spans="1:1" x14ac:dyDescent="0.25">
      <c r="A5806" s="13"/>
    </row>
    <row r="5807" spans="1:1" x14ac:dyDescent="0.25">
      <c r="A5807" s="13"/>
    </row>
    <row r="5808" spans="1:1" x14ac:dyDescent="0.25">
      <c r="A5808" s="13"/>
    </row>
    <row r="5809" spans="1:1" x14ac:dyDescent="0.25">
      <c r="A5809" s="13"/>
    </row>
    <row r="5810" spans="1:1" x14ac:dyDescent="0.25">
      <c r="A5810" s="13"/>
    </row>
    <row r="5811" spans="1:1" x14ac:dyDescent="0.25">
      <c r="A5811" s="13"/>
    </row>
    <row r="5812" spans="1:1" x14ac:dyDescent="0.25">
      <c r="A5812" s="13"/>
    </row>
    <row r="5813" spans="1:1" x14ac:dyDescent="0.25">
      <c r="A5813" s="13"/>
    </row>
    <row r="5814" spans="1:1" x14ac:dyDescent="0.25">
      <c r="A5814" s="13"/>
    </row>
    <row r="5815" spans="1:1" x14ac:dyDescent="0.25">
      <c r="A5815" s="13"/>
    </row>
    <row r="5816" spans="1:1" x14ac:dyDescent="0.25">
      <c r="A5816" s="13"/>
    </row>
    <row r="5817" spans="1:1" x14ac:dyDescent="0.25">
      <c r="A5817" s="13"/>
    </row>
    <row r="5818" spans="1:1" x14ac:dyDescent="0.25">
      <c r="A5818" s="13"/>
    </row>
    <row r="5819" spans="1:1" x14ac:dyDescent="0.25">
      <c r="A5819" s="13"/>
    </row>
    <row r="5820" spans="1:1" x14ac:dyDescent="0.25">
      <c r="A5820" s="13"/>
    </row>
    <row r="5821" spans="1:1" x14ac:dyDescent="0.25">
      <c r="A5821" s="13"/>
    </row>
    <row r="5822" spans="1:1" x14ac:dyDescent="0.25">
      <c r="A5822" s="13"/>
    </row>
    <row r="5823" spans="1:1" x14ac:dyDescent="0.25">
      <c r="A5823" s="13"/>
    </row>
    <row r="5824" spans="1:1" x14ac:dyDescent="0.25">
      <c r="A5824" s="13"/>
    </row>
    <row r="5825" spans="1:1" x14ac:dyDescent="0.25">
      <c r="A5825" s="13"/>
    </row>
    <row r="5826" spans="1:1" x14ac:dyDescent="0.25">
      <c r="A5826" s="13"/>
    </row>
    <row r="5827" spans="1:1" x14ac:dyDescent="0.25">
      <c r="A5827" s="13"/>
    </row>
    <row r="5828" spans="1:1" x14ac:dyDescent="0.25">
      <c r="A5828" s="13"/>
    </row>
    <row r="5829" spans="1:1" x14ac:dyDescent="0.25">
      <c r="A5829" s="13"/>
    </row>
    <row r="5830" spans="1:1" x14ac:dyDescent="0.25">
      <c r="A5830" s="13"/>
    </row>
    <row r="5831" spans="1:1" x14ac:dyDescent="0.25">
      <c r="A5831" s="13"/>
    </row>
    <row r="5832" spans="1:1" x14ac:dyDescent="0.25">
      <c r="A5832" s="13"/>
    </row>
    <row r="5833" spans="1:1" x14ac:dyDescent="0.25">
      <c r="A5833" s="13"/>
    </row>
    <row r="5834" spans="1:1" x14ac:dyDescent="0.25">
      <c r="A5834" s="13"/>
    </row>
    <row r="5835" spans="1:1" x14ac:dyDescent="0.25">
      <c r="A5835" s="13"/>
    </row>
    <row r="5836" spans="1:1" x14ac:dyDescent="0.25">
      <c r="A5836" s="13"/>
    </row>
    <row r="5837" spans="1:1" x14ac:dyDescent="0.25">
      <c r="A5837" s="13"/>
    </row>
    <row r="5838" spans="1:1" x14ac:dyDescent="0.25">
      <c r="A5838" s="13"/>
    </row>
    <row r="5839" spans="1:1" x14ac:dyDescent="0.25">
      <c r="A5839" s="13"/>
    </row>
    <row r="5840" spans="1:1" x14ac:dyDescent="0.25">
      <c r="A5840" s="13"/>
    </row>
    <row r="5841" spans="1:1" x14ac:dyDescent="0.25">
      <c r="A5841" s="13"/>
    </row>
    <row r="5842" spans="1:1" x14ac:dyDescent="0.25">
      <c r="A5842" s="13"/>
    </row>
    <row r="5843" spans="1:1" x14ac:dyDescent="0.25">
      <c r="A5843" s="13"/>
    </row>
    <row r="5844" spans="1:1" x14ac:dyDescent="0.25">
      <c r="A5844" s="13"/>
    </row>
    <row r="5845" spans="1:1" x14ac:dyDescent="0.25">
      <c r="A5845" s="13"/>
    </row>
    <row r="5846" spans="1:1" x14ac:dyDescent="0.25">
      <c r="A5846" s="13"/>
    </row>
    <row r="5847" spans="1:1" x14ac:dyDescent="0.25">
      <c r="A5847" s="13"/>
    </row>
    <row r="5848" spans="1:1" x14ac:dyDescent="0.25">
      <c r="A5848" s="13"/>
    </row>
    <row r="5849" spans="1:1" x14ac:dyDescent="0.25">
      <c r="A5849" s="13"/>
    </row>
    <row r="5850" spans="1:1" x14ac:dyDescent="0.25">
      <c r="A5850" s="13"/>
    </row>
    <row r="5851" spans="1:1" x14ac:dyDescent="0.25">
      <c r="A5851" s="13"/>
    </row>
    <row r="5852" spans="1:1" x14ac:dyDescent="0.25">
      <c r="A5852" s="13"/>
    </row>
    <row r="5853" spans="1:1" x14ac:dyDescent="0.25">
      <c r="A5853" s="13"/>
    </row>
    <row r="5854" spans="1:1" x14ac:dyDescent="0.25">
      <c r="A5854" s="13"/>
    </row>
    <row r="5855" spans="1:1" x14ac:dyDescent="0.25">
      <c r="A5855" s="13"/>
    </row>
    <row r="5856" spans="1:1" x14ac:dyDescent="0.25">
      <c r="A5856" s="13"/>
    </row>
    <row r="5857" spans="1:1" x14ac:dyDescent="0.25">
      <c r="A5857" s="13"/>
    </row>
    <row r="5858" spans="1:1" x14ac:dyDescent="0.25">
      <c r="A5858" s="13"/>
    </row>
    <row r="5859" spans="1:1" x14ac:dyDescent="0.25">
      <c r="A5859" s="13"/>
    </row>
    <row r="5860" spans="1:1" x14ac:dyDescent="0.25">
      <c r="A5860" s="13"/>
    </row>
    <row r="5861" spans="1:1" x14ac:dyDescent="0.25">
      <c r="A5861" s="13"/>
    </row>
    <row r="5862" spans="1:1" x14ac:dyDescent="0.25">
      <c r="A5862" s="13"/>
    </row>
    <row r="5863" spans="1:1" x14ac:dyDescent="0.25">
      <c r="A5863" s="13"/>
    </row>
    <row r="5864" spans="1:1" x14ac:dyDescent="0.25">
      <c r="A5864" s="13"/>
    </row>
    <row r="5865" spans="1:1" x14ac:dyDescent="0.25">
      <c r="A5865" s="13"/>
    </row>
    <row r="5866" spans="1:1" x14ac:dyDescent="0.25">
      <c r="A5866" s="13"/>
    </row>
    <row r="5867" spans="1:1" x14ac:dyDescent="0.25">
      <c r="A5867" s="13"/>
    </row>
    <row r="5868" spans="1:1" x14ac:dyDescent="0.25">
      <c r="A5868" s="13"/>
    </row>
    <row r="5869" spans="1:1" x14ac:dyDescent="0.25">
      <c r="A5869" s="13"/>
    </row>
    <row r="5870" spans="1:1" x14ac:dyDescent="0.25">
      <c r="A5870" s="13"/>
    </row>
    <row r="5871" spans="1:1" x14ac:dyDescent="0.25">
      <c r="A5871" s="13"/>
    </row>
    <row r="5872" spans="1:1" x14ac:dyDescent="0.25">
      <c r="A5872" s="13"/>
    </row>
    <row r="5873" spans="1:1" x14ac:dyDescent="0.25">
      <c r="A5873" s="13"/>
    </row>
    <row r="5874" spans="1:1" x14ac:dyDescent="0.25">
      <c r="A5874" s="13"/>
    </row>
    <row r="5875" spans="1:1" x14ac:dyDescent="0.25">
      <c r="A5875" s="13"/>
    </row>
    <row r="5876" spans="1:1" x14ac:dyDescent="0.25">
      <c r="A5876" s="13"/>
    </row>
    <row r="5877" spans="1:1" x14ac:dyDescent="0.25">
      <c r="A5877" s="13"/>
    </row>
    <row r="5878" spans="1:1" x14ac:dyDescent="0.25">
      <c r="A5878" s="13"/>
    </row>
    <row r="5879" spans="1:1" x14ac:dyDescent="0.25">
      <c r="A5879" s="13"/>
    </row>
    <row r="5880" spans="1:1" x14ac:dyDescent="0.25">
      <c r="A5880" s="13"/>
    </row>
    <row r="5881" spans="1:1" x14ac:dyDescent="0.25">
      <c r="A5881" s="13"/>
    </row>
    <row r="5882" spans="1:1" x14ac:dyDescent="0.25">
      <c r="A5882" s="13"/>
    </row>
    <row r="5883" spans="1:1" x14ac:dyDescent="0.25">
      <c r="A5883" s="13"/>
    </row>
    <row r="5884" spans="1:1" x14ac:dyDescent="0.25">
      <c r="A5884" s="13"/>
    </row>
    <row r="5885" spans="1:1" x14ac:dyDescent="0.25">
      <c r="A5885" s="13"/>
    </row>
    <row r="5886" spans="1:1" x14ac:dyDescent="0.25">
      <c r="A5886" s="13"/>
    </row>
    <row r="5887" spans="1:1" x14ac:dyDescent="0.25">
      <c r="A5887" s="13"/>
    </row>
    <row r="5888" spans="1:1" x14ac:dyDescent="0.25">
      <c r="A5888" s="13"/>
    </row>
    <row r="5889" spans="1:1" x14ac:dyDescent="0.25">
      <c r="A5889" s="13"/>
    </row>
    <row r="5890" spans="1:1" x14ac:dyDescent="0.25">
      <c r="A5890" s="13"/>
    </row>
    <row r="5891" spans="1:1" x14ac:dyDescent="0.25">
      <c r="A5891" s="13"/>
    </row>
    <row r="5892" spans="1:1" x14ac:dyDescent="0.25">
      <c r="A5892" s="13"/>
    </row>
    <row r="5893" spans="1:1" x14ac:dyDescent="0.25">
      <c r="A5893" s="13"/>
    </row>
    <row r="5894" spans="1:1" x14ac:dyDescent="0.25">
      <c r="A5894" s="13"/>
    </row>
    <row r="5895" spans="1:1" x14ac:dyDescent="0.25">
      <c r="A5895" s="13"/>
    </row>
    <row r="5896" spans="1:1" x14ac:dyDescent="0.25">
      <c r="A5896" s="13"/>
    </row>
    <row r="5897" spans="1:1" x14ac:dyDescent="0.25">
      <c r="A5897" s="13"/>
    </row>
    <row r="5898" spans="1:1" x14ac:dyDescent="0.25">
      <c r="A5898" s="13"/>
    </row>
    <row r="5899" spans="1:1" x14ac:dyDescent="0.25">
      <c r="A5899" s="13"/>
    </row>
    <row r="5900" spans="1:1" x14ac:dyDescent="0.25">
      <c r="A5900" s="13"/>
    </row>
    <row r="5901" spans="1:1" x14ac:dyDescent="0.25">
      <c r="A5901" s="13"/>
    </row>
    <row r="5902" spans="1:1" x14ac:dyDescent="0.25">
      <c r="A5902" s="13"/>
    </row>
    <row r="5903" spans="1:1" x14ac:dyDescent="0.25">
      <c r="A5903" s="13"/>
    </row>
    <row r="5904" spans="1:1" x14ac:dyDescent="0.25">
      <c r="A5904" s="13"/>
    </row>
    <row r="5905" spans="1:1" x14ac:dyDescent="0.25">
      <c r="A5905" s="13"/>
    </row>
    <row r="5906" spans="1:1" x14ac:dyDescent="0.25">
      <c r="A5906" s="13"/>
    </row>
    <row r="5907" spans="1:1" x14ac:dyDescent="0.25">
      <c r="A5907" s="13"/>
    </row>
    <row r="5908" spans="1:1" x14ac:dyDescent="0.25">
      <c r="A5908" s="13"/>
    </row>
    <row r="5909" spans="1:1" x14ac:dyDescent="0.25">
      <c r="A5909" s="13"/>
    </row>
    <row r="5910" spans="1:1" x14ac:dyDescent="0.25">
      <c r="A5910" s="13"/>
    </row>
    <row r="5911" spans="1:1" x14ac:dyDescent="0.25">
      <c r="A5911" s="13"/>
    </row>
    <row r="5912" spans="1:1" x14ac:dyDescent="0.25">
      <c r="A5912" s="13"/>
    </row>
    <row r="5913" spans="1:1" x14ac:dyDescent="0.25">
      <c r="A5913" s="13"/>
    </row>
    <row r="5914" spans="1:1" x14ac:dyDescent="0.25">
      <c r="A5914" s="13"/>
    </row>
    <row r="5915" spans="1:1" x14ac:dyDescent="0.25">
      <c r="A5915" s="13"/>
    </row>
    <row r="5916" spans="1:1" x14ac:dyDescent="0.25">
      <c r="A5916" s="13"/>
    </row>
    <row r="5917" spans="1:1" x14ac:dyDescent="0.25">
      <c r="A5917" s="13"/>
    </row>
    <row r="5918" spans="1:1" x14ac:dyDescent="0.25">
      <c r="A5918" s="13"/>
    </row>
    <row r="5919" spans="1:1" x14ac:dyDescent="0.25">
      <c r="A5919" s="13"/>
    </row>
    <row r="5920" spans="1:1" x14ac:dyDescent="0.25">
      <c r="A5920" s="13"/>
    </row>
    <row r="5921" spans="1:1" x14ac:dyDescent="0.25">
      <c r="A5921" s="13"/>
    </row>
    <row r="5922" spans="1:1" x14ac:dyDescent="0.25">
      <c r="A5922" s="13"/>
    </row>
    <row r="5923" spans="1:1" x14ac:dyDescent="0.25">
      <c r="A5923" s="13"/>
    </row>
    <row r="5924" spans="1:1" x14ac:dyDescent="0.25">
      <c r="A5924" s="13"/>
    </row>
    <row r="5925" spans="1:1" x14ac:dyDescent="0.25">
      <c r="A5925" s="13"/>
    </row>
    <row r="5926" spans="1:1" x14ac:dyDescent="0.25">
      <c r="A5926" s="13"/>
    </row>
    <row r="5927" spans="1:1" x14ac:dyDescent="0.25">
      <c r="A5927" s="13"/>
    </row>
    <row r="5928" spans="1:1" x14ac:dyDescent="0.25">
      <c r="A5928" s="13"/>
    </row>
    <row r="5929" spans="1:1" x14ac:dyDescent="0.25">
      <c r="A5929" s="13"/>
    </row>
    <row r="5930" spans="1:1" x14ac:dyDescent="0.25">
      <c r="A5930" s="13"/>
    </row>
    <row r="5931" spans="1:1" x14ac:dyDescent="0.25">
      <c r="A5931" s="13"/>
    </row>
    <row r="5932" spans="1:1" x14ac:dyDescent="0.25">
      <c r="A5932" s="13"/>
    </row>
    <row r="5933" spans="1:1" x14ac:dyDescent="0.25">
      <c r="A5933" s="13"/>
    </row>
    <row r="5934" spans="1:1" x14ac:dyDescent="0.25">
      <c r="A5934" s="13"/>
    </row>
    <row r="5935" spans="1:1" x14ac:dyDescent="0.25">
      <c r="A5935" s="13"/>
    </row>
    <row r="5936" spans="1:1" x14ac:dyDescent="0.25">
      <c r="A5936" s="13"/>
    </row>
    <row r="5937" spans="1:1" x14ac:dyDescent="0.25">
      <c r="A5937" s="13"/>
    </row>
    <row r="5938" spans="1:1" x14ac:dyDescent="0.25">
      <c r="A5938" s="13"/>
    </row>
    <row r="5939" spans="1:1" x14ac:dyDescent="0.25">
      <c r="A5939" s="13"/>
    </row>
    <row r="5940" spans="1:1" x14ac:dyDescent="0.25">
      <c r="A5940" s="13"/>
    </row>
    <row r="5941" spans="1:1" x14ac:dyDescent="0.25">
      <c r="A5941" s="13"/>
    </row>
    <row r="5942" spans="1:1" x14ac:dyDescent="0.25">
      <c r="A5942" s="13"/>
    </row>
    <row r="5943" spans="1:1" x14ac:dyDescent="0.25">
      <c r="A5943" s="13"/>
    </row>
    <row r="5944" spans="1:1" x14ac:dyDescent="0.25">
      <c r="A5944" s="13"/>
    </row>
    <row r="5945" spans="1:1" x14ac:dyDescent="0.25">
      <c r="A5945" s="13"/>
    </row>
    <row r="5946" spans="1:1" x14ac:dyDescent="0.25">
      <c r="A5946" s="13"/>
    </row>
    <row r="5947" spans="1:1" x14ac:dyDescent="0.25">
      <c r="A5947" s="13"/>
    </row>
    <row r="5948" spans="1:1" x14ac:dyDescent="0.25">
      <c r="A5948" s="13"/>
    </row>
    <row r="5949" spans="1:1" x14ac:dyDescent="0.25">
      <c r="A5949" s="13"/>
    </row>
    <row r="5950" spans="1:1" x14ac:dyDescent="0.25">
      <c r="A5950" s="13"/>
    </row>
    <row r="5951" spans="1:1" x14ac:dyDescent="0.25">
      <c r="A5951" s="13"/>
    </row>
    <row r="5952" spans="1:1" x14ac:dyDescent="0.25">
      <c r="A5952" s="13"/>
    </row>
    <row r="5953" spans="1:1" x14ac:dyDescent="0.25">
      <c r="A5953" s="13"/>
    </row>
    <row r="5954" spans="1:1" x14ac:dyDescent="0.25">
      <c r="A5954" s="13"/>
    </row>
    <row r="5955" spans="1:1" x14ac:dyDescent="0.25">
      <c r="A5955" s="13"/>
    </row>
    <row r="5956" spans="1:1" x14ac:dyDescent="0.25">
      <c r="A5956" s="13"/>
    </row>
    <row r="5957" spans="1:1" x14ac:dyDescent="0.25">
      <c r="A5957" s="13"/>
    </row>
    <row r="5958" spans="1:1" x14ac:dyDescent="0.25">
      <c r="A5958" s="13"/>
    </row>
    <row r="5959" spans="1:1" x14ac:dyDescent="0.25">
      <c r="A5959" s="13"/>
    </row>
    <row r="5960" spans="1:1" x14ac:dyDescent="0.25">
      <c r="A5960" s="13"/>
    </row>
    <row r="5961" spans="1:1" x14ac:dyDescent="0.25">
      <c r="A5961" s="13"/>
    </row>
    <row r="5962" spans="1:1" x14ac:dyDescent="0.25">
      <c r="A5962" s="13"/>
    </row>
    <row r="5963" spans="1:1" x14ac:dyDescent="0.25">
      <c r="A5963" s="13"/>
    </row>
    <row r="5964" spans="1:1" x14ac:dyDescent="0.25">
      <c r="A5964" s="13"/>
    </row>
    <row r="5965" spans="1:1" x14ac:dyDescent="0.25">
      <c r="A5965" s="13"/>
    </row>
    <row r="5966" spans="1:1" x14ac:dyDescent="0.25">
      <c r="A5966" s="13"/>
    </row>
    <row r="5967" spans="1:1" x14ac:dyDescent="0.25">
      <c r="A5967" s="13"/>
    </row>
    <row r="5968" spans="1:1" x14ac:dyDescent="0.25">
      <c r="A5968" s="13"/>
    </row>
    <row r="5969" spans="1:1" x14ac:dyDescent="0.25">
      <c r="A5969" s="13"/>
    </row>
    <row r="5970" spans="1:1" x14ac:dyDescent="0.25">
      <c r="A5970" s="13"/>
    </row>
    <row r="5971" spans="1:1" x14ac:dyDescent="0.25">
      <c r="A5971" s="13"/>
    </row>
    <row r="5972" spans="1:1" x14ac:dyDescent="0.25">
      <c r="A5972" s="13"/>
    </row>
    <row r="5973" spans="1:1" x14ac:dyDescent="0.25">
      <c r="A5973" s="13"/>
    </row>
    <row r="5974" spans="1:1" x14ac:dyDescent="0.25">
      <c r="A5974" s="13"/>
    </row>
    <row r="5975" spans="1:1" x14ac:dyDescent="0.25">
      <c r="A5975" s="13"/>
    </row>
    <row r="5976" spans="1:1" x14ac:dyDescent="0.25">
      <c r="A5976" s="13"/>
    </row>
    <row r="5977" spans="1:1" x14ac:dyDescent="0.25">
      <c r="A5977" s="13"/>
    </row>
    <row r="5978" spans="1:1" x14ac:dyDescent="0.25">
      <c r="A5978" s="13"/>
    </row>
    <row r="5979" spans="1:1" x14ac:dyDescent="0.25">
      <c r="A5979" s="13"/>
    </row>
    <row r="5980" spans="1:1" x14ac:dyDescent="0.25">
      <c r="A5980" s="13"/>
    </row>
    <row r="5981" spans="1:1" x14ac:dyDescent="0.25">
      <c r="A5981" s="13"/>
    </row>
    <row r="5982" spans="1:1" x14ac:dyDescent="0.25">
      <c r="A5982" s="13"/>
    </row>
    <row r="5983" spans="1:1" x14ac:dyDescent="0.25">
      <c r="A5983" s="13"/>
    </row>
    <row r="5984" spans="1:1" x14ac:dyDescent="0.25">
      <c r="A5984" s="13"/>
    </row>
    <row r="5985" spans="1:1" x14ac:dyDescent="0.25">
      <c r="A5985" s="13"/>
    </row>
    <row r="5986" spans="1:1" x14ac:dyDescent="0.25">
      <c r="A5986" s="13"/>
    </row>
    <row r="5987" spans="1:1" x14ac:dyDescent="0.25">
      <c r="A5987" s="13"/>
    </row>
    <row r="5988" spans="1:1" x14ac:dyDescent="0.25">
      <c r="A5988" s="13"/>
    </row>
    <row r="5989" spans="1:1" x14ac:dyDescent="0.25">
      <c r="A5989" s="13"/>
    </row>
    <row r="5990" spans="1:1" x14ac:dyDescent="0.25">
      <c r="A5990" s="13"/>
    </row>
    <row r="5991" spans="1:1" x14ac:dyDescent="0.25">
      <c r="A5991" s="13"/>
    </row>
    <row r="5992" spans="1:1" x14ac:dyDescent="0.25">
      <c r="A5992" s="13"/>
    </row>
    <row r="5993" spans="1:1" x14ac:dyDescent="0.25">
      <c r="A5993" s="13"/>
    </row>
    <row r="5994" spans="1:1" x14ac:dyDescent="0.25">
      <c r="A5994" s="13"/>
    </row>
    <row r="5995" spans="1:1" x14ac:dyDescent="0.25">
      <c r="A5995" s="13"/>
    </row>
    <row r="5996" spans="1:1" x14ac:dyDescent="0.25">
      <c r="A5996" s="13"/>
    </row>
    <row r="5997" spans="1:1" x14ac:dyDescent="0.25">
      <c r="A5997" s="13"/>
    </row>
    <row r="5998" spans="1:1" x14ac:dyDescent="0.25">
      <c r="A5998" s="13"/>
    </row>
    <row r="5999" spans="1:1" x14ac:dyDescent="0.25">
      <c r="A5999" s="13"/>
    </row>
    <row r="6000" spans="1:1" x14ac:dyDescent="0.25">
      <c r="A6000" s="13"/>
    </row>
    <row r="6001" spans="1:1" x14ac:dyDescent="0.25">
      <c r="A6001" s="13"/>
    </row>
    <row r="6002" spans="1:1" x14ac:dyDescent="0.25">
      <c r="A6002" s="13"/>
    </row>
    <row r="6003" spans="1:1" x14ac:dyDescent="0.25">
      <c r="A6003" s="13"/>
    </row>
    <row r="6004" spans="1:1" x14ac:dyDescent="0.25">
      <c r="A6004" s="13"/>
    </row>
    <row r="6005" spans="1:1" x14ac:dyDescent="0.25">
      <c r="A6005" s="13"/>
    </row>
    <row r="6006" spans="1:1" x14ac:dyDescent="0.25">
      <c r="A6006" s="13"/>
    </row>
    <row r="6007" spans="1:1" x14ac:dyDescent="0.25">
      <c r="A6007" s="13"/>
    </row>
    <row r="6008" spans="1:1" x14ac:dyDescent="0.25">
      <c r="A6008" s="13"/>
    </row>
    <row r="6009" spans="1:1" x14ac:dyDescent="0.25">
      <c r="A6009" s="13"/>
    </row>
    <row r="6010" spans="1:1" x14ac:dyDescent="0.25">
      <c r="A6010" s="13"/>
    </row>
    <row r="6011" spans="1:1" x14ac:dyDescent="0.25">
      <c r="A6011" s="13"/>
    </row>
    <row r="6012" spans="1:1" x14ac:dyDescent="0.25">
      <c r="A6012" s="13"/>
    </row>
    <row r="6013" spans="1:1" x14ac:dyDescent="0.25">
      <c r="A6013" s="13"/>
    </row>
    <row r="6014" spans="1:1" x14ac:dyDescent="0.25">
      <c r="A6014" s="13"/>
    </row>
    <row r="6015" spans="1:1" x14ac:dyDescent="0.25">
      <c r="A6015" s="13"/>
    </row>
    <row r="6016" spans="1:1" x14ac:dyDescent="0.25">
      <c r="A6016" s="13"/>
    </row>
    <row r="6017" spans="1:1" x14ac:dyDescent="0.25">
      <c r="A6017" s="13"/>
    </row>
    <row r="6018" spans="1:1" x14ac:dyDescent="0.25">
      <c r="A6018" s="13"/>
    </row>
    <row r="6019" spans="1:1" x14ac:dyDescent="0.25">
      <c r="A6019" s="13"/>
    </row>
    <row r="6020" spans="1:1" x14ac:dyDescent="0.25">
      <c r="A6020" s="13"/>
    </row>
    <row r="6021" spans="1:1" x14ac:dyDescent="0.25">
      <c r="A6021" s="13"/>
    </row>
    <row r="6022" spans="1:1" x14ac:dyDescent="0.25">
      <c r="A6022" s="13"/>
    </row>
    <row r="6023" spans="1:1" x14ac:dyDescent="0.25">
      <c r="A6023" s="13"/>
    </row>
    <row r="6024" spans="1:1" x14ac:dyDescent="0.25">
      <c r="A6024" s="13"/>
    </row>
    <row r="6025" spans="1:1" x14ac:dyDescent="0.25">
      <c r="A6025" s="13"/>
    </row>
    <row r="6026" spans="1:1" x14ac:dyDescent="0.25">
      <c r="A6026" s="13"/>
    </row>
    <row r="6027" spans="1:1" x14ac:dyDescent="0.25">
      <c r="A6027" s="13"/>
    </row>
    <row r="6028" spans="1:1" x14ac:dyDescent="0.25">
      <c r="A6028" s="13"/>
    </row>
    <row r="6029" spans="1:1" x14ac:dyDescent="0.25">
      <c r="A6029" s="13"/>
    </row>
    <row r="6030" spans="1:1" x14ac:dyDescent="0.25">
      <c r="A6030" s="13"/>
    </row>
    <row r="6031" spans="1:1" x14ac:dyDescent="0.25">
      <c r="A6031" s="13"/>
    </row>
    <row r="6032" spans="1:1" x14ac:dyDescent="0.25">
      <c r="A6032" s="13"/>
    </row>
    <row r="6033" spans="1:1" x14ac:dyDescent="0.25">
      <c r="A6033" s="13"/>
    </row>
    <row r="6034" spans="1:1" x14ac:dyDescent="0.25">
      <c r="A6034" s="13"/>
    </row>
    <row r="6035" spans="1:1" x14ac:dyDescent="0.25">
      <c r="A6035" s="13"/>
    </row>
    <row r="6036" spans="1:1" x14ac:dyDescent="0.25">
      <c r="A6036" s="13"/>
    </row>
    <row r="6037" spans="1:1" x14ac:dyDescent="0.25">
      <c r="A6037" s="13"/>
    </row>
    <row r="6038" spans="1:1" x14ac:dyDescent="0.25">
      <c r="A6038" s="13"/>
    </row>
    <row r="6039" spans="1:1" x14ac:dyDescent="0.25">
      <c r="A6039" s="13"/>
    </row>
    <row r="6040" spans="1:1" x14ac:dyDescent="0.25">
      <c r="A6040" s="13"/>
    </row>
    <row r="6041" spans="1:1" x14ac:dyDescent="0.25">
      <c r="A6041" s="13"/>
    </row>
    <row r="6042" spans="1:1" x14ac:dyDescent="0.25">
      <c r="A6042" s="13"/>
    </row>
    <row r="6043" spans="1:1" x14ac:dyDescent="0.25">
      <c r="A6043" s="13"/>
    </row>
    <row r="6044" spans="1:1" x14ac:dyDescent="0.25">
      <c r="A6044" s="13"/>
    </row>
    <row r="6045" spans="1:1" x14ac:dyDescent="0.25">
      <c r="A6045" s="13"/>
    </row>
    <row r="6046" spans="1:1" x14ac:dyDescent="0.25">
      <c r="A6046" s="13"/>
    </row>
    <row r="6047" spans="1:1" x14ac:dyDescent="0.25">
      <c r="A6047" s="13"/>
    </row>
    <row r="6048" spans="1:1" x14ac:dyDescent="0.25">
      <c r="A6048" s="13"/>
    </row>
    <row r="6049" spans="1:1" x14ac:dyDescent="0.25">
      <c r="A6049" s="13"/>
    </row>
    <row r="6050" spans="1:1" x14ac:dyDescent="0.25">
      <c r="A6050" s="13"/>
    </row>
    <row r="6051" spans="1:1" x14ac:dyDescent="0.25">
      <c r="A6051" s="13"/>
    </row>
    <row r="6052" spans="1:1" x14ac:dyDescent="0.25">
      <c r="A6052" s="13"/>
    </row>
    <row r="6053" spans="1:1" x14ac:dyDescent="0.25">
      <c r="A6053" s="13"/>
    </row>
    <row r="6054" spans="1:1" x14ac:dyDescent="0.25">
      <c r="A6054" s="13"/>
    </row>
    <row r="6055" spans="1:1" x14ac:dyDescent="0.25">
      <c r="A6055" s="13"/>
    </row>
    <row r="6056" spans="1:1" x14ac:dyDescent="0.25">
      <c r="A6056" s="13"/>
    </row>
    <row r="6057" spans="1:1" x14ac:dyDescent="0.25">
      <c r="A6057" s="13"/>
    </row>
    <row r="6058" spans="1:1" x14ac:dyDescent="0.25">
      <c r="A6058" s="13"/>
    </row>
    <row r="6059" spans="1:1" x14ac:dyDescent="0.25">
      <c r="A6059" s="13"/>
    </row>
    <row r="6060" spans="1:1" x14ac:dyDescent="0.25">
      <c r="A6060" s="13"/>
    </row>
    <row r="6061" spans="1:1" x14ac:dyDescent="0.25">
      <c r="A6061" s="13"/>
    </row>
    <row r="6062" spans="1:1" x14ac:dyDescent="0.25">
      <c r="A6062" s="13"/>
    </row>
    <row r="6063" spans="1:1" x14ac:dyDescent="0.25">
      <c r="A6063" s="13"/>
    </row>
    <row r="6064" spans="1:1" x14ac:dyDescent="0.25">
      <c r="A6064" s="13"/>
    </row>
    <row r="6065" spans="1:1" x14ac:dyDescent="0.25">
      <c r="A6065" s="13"/>
    </row>
    <row r="6066" spans="1:1" x14ac:dyDescent="0.25">
      <c r="A6066" s="13"/>
    </row>
    <row r="6067" spans="1:1" x14ac:dyDescent="0.25">
      <c r="A6067" s="13"/>
    </row>
    <row r="6068" spans="1:1" x14ac:dyDescent="0.25">
      <c r="A6068" s="13"/>
    </row>
    <row r="6069" spans="1:1" x14ac:dyDescent="0.25">
      <c r="A6069" s="13"/>
    </row>
    <row r="6070" spans="1:1" x14ac:dyDescent="0.25">
      <c r="A6070" s="13"/>
    </row>
    <row r="6071" spans="1:1" x14ac:dyDescent="0.25">
      <c r="A6071" s="13"/>
    </row>
    <row r="6072" spans="1:1" x14ac:dyDescent="0.25">
      <c r="A6072" s="13"/>
    </row>
    <row r="6073" spans="1:1" x14ac:dyDescent="0.25">
      <c r="A6073" s="13"/>
    </row>
    <row r="6074" spans="1:1" x14ac:dyDescent="0.25">
      <c r="A6074" s="13"/>
    </row>
    <row r="6075" spans="1:1" x14ac:dyDescent="0.25">
      <c r="A6075" s="13"/>
    </row>
    <row r="6076" spans="1:1" x14ac:dyDescent="0.25">
      <c r="A6076" s="13"/>
    </row>
    <row r="6077" spans="1:1" x14ac:dyDescent="0.25">
      <c r="A6077" s="13"/>
    </row>
    <row r="6078" spans="1:1" x14ac:dyDescent="0.25">
      <c r="A6078" s="13"/>
    </row>
    <row r="6079" spans="1:1" x14ac:dyDescent="0.25">
      <c r="A6079" s="13"/>
    </row>
    <row r="6080" spans="1:1" x14ac:dyDescent="0.25">
      <c r="A6080" s="13"/>
    </row>
    <row r="6081" spans="1:1" x14ac:dyDescent="0.25">
      <c r="A6081" s="13"/>
    </row>
    <row r="6082" spans="1:1" x14ac:dyDescent="0.25">
      <c r="A6082" s="13"/>
    </row>
    <row r="6083" spans="1:1" x14ac:dyDescent="0.25">
      <c r="A6083" s="13"/>
    </row>
    <row r="6084" spans="1:1" x14ac:dyDescent="0.25">
      <c r="A6084" s="13"/>
    </row>
    <row r="6085" spans="1:1" x14ac:dyDescent="0.25">
      <c r="A6085" s="13"/>
    </row>
    <row r="6086" spans="1:1" x14ac:dyDescent="0.25">
      <c r="A6086" s="13"/>
    </row>
    <row r="6087" spans="1:1" x14ac:dyDescent="0.25">
      <c r="A6087" s="13"/>
    </row>
    <row r="6088" spans="1:1" x14ac:dyDescent="0.25">
      <c r="A6088" s="13"/>
    </row>
    <row r="6089" spans="1:1" x14ac:dyDescent="0.25">
      <c r="A6089" s="13"/>
    </row>
    <row r="6090" spans="1:1" x14ac:dyDescent="0.25">
      <c r="A6090" s="13"/>
    </row>
    <row r="6091" spans="1:1" x14ac:dyDescent="0.25">
      <c r="A6091" s="13"/>
    </row>
    <row r="6092" spans="1:1" x14ac:dyDescent="0.25">
      <c r="A6092" s="13"/>
    </row>
    <row r="6093" spans="1:1" x14ac:dyDescent="0.25">
      <c r="A6093" s="13"/>
    </row>
    <row r="6094" spans="1:1" x14ac:dyDescent="0.25">
      <c r="A6094" s="13"/>
    </row>
    <row r="6095" spans="1:1" x14ac:dyDescent="0.25">
      <c r="A6095" s="13"/>
    </row>
    <row r="6096" spans="1:1" x14ac:dyDescent="0.25">
      <c r="A6096" s="13"/>
    </row>
    <row r="6097" spans="1:1" x14ac:dyDescent="0.25">
      <c r="A6097" s="13"/>
    </row>
    <row r="6098" spans="1:1" x14ac:dyDescent="0.25">
      <c r="A6098" s="13"/>
    </row>
    <row r="6099" spans="1:1" x14ac:dyDescent="0.25">
      <c r="A6099" s="13"/>
    </row>
    <row r="6100" spans="1:1" x14ac:dyDescent="0.25">
      <c r="A6100" s="13"/>
    </row>
    <row r="6101" spans="1:1" x14ac:dyDescent="0.25">
      <c r="A6101" s="13"/>
    </row>
    <row r="6102" spans="1:1" x14ac:dyDescent="0.25">
      <c r="A6102" s="13"/>
    </row>
    <row r="6103" spans="1:1" x14ac:dyDescent="0.25">
      <c r="A6103" s="13"/>
    </row>
    <row r="6104" spans="1:1" x14ac:dyDescent="0.25">
      <c r="A6104" s="13"/>
    </row>
    <row r="6105" spans="1:1" x14ac:dyDescent="0.25">
      <c r="A6105" s="13"/>
    </row>
    <row r="6106" spans="1:1" x14ac:dyDescent="0.25">
      <c r="A6106" s="13"/>
    </row>
    <row r="6107" spans="1:1" x14ac:dyDescent="0.25">
      <c r="A6107" s="13"/>
    </row>
    <row r="6108" spans="1:1" x14ac:dyDescent="0.25">
      <c r="A6108" s="13"/>
    </row>
    <row r="6109" spans="1:1" x14ac:dyDescent="0.25">
      <c r="A6109" s="13"/>
    </row>
    <row r="6110" spans="1:1" x14ac:dyDescent="0.25">
      <c r="A6110" s="13"/>
    </row>
    <row r="6111" spans="1:1" x14ac:dyDescent="0.25">
      <c r="A6111" s="13"/>
    </row>
    <row r="6112" spans="1:1" x14ac:dyDescent="0.25">
      <c r="A6112" s="13"/>
    </row>
    <row r="6113" spans="1:1" x14ac:dyDescent="0.25">
      <c r="A6113" s="13"/>
    </row>
    <row r="6114" spans="1:1" x14ac:dyDescent="0.25">
      <c r="A6114" s="13"/>
    </row>
    <row r="6115" spans="1:1" x14ac:dyDescent="0.25">
      <c r="A6115" s="13"/>
    </row>
    <row r="6116" spans="1:1" x14ac:dyDescent="0.25">
      <c r="A6116" s="13"/>
    </row>
    <row r="6117" spans="1:1" x14ac:dyDescent="0.25">
      <c r="A6117" s="13"/>
    </row>
    <row r="6118" spans="1:1" x14ac:dyDescent="0.25">
      <c r="A6118" s="13"/>
    </row>
    <row r="6119" spans="1:1" x14ac:dyDescent="0.25">
      <c r="A6119" s="13"/>
    </row>
    <row r="6120" spans="1:1" x14ac:dyDescent="0.25">
      <c r="A6120" s="13"/>
    </row>
    <row r="6121" spans="1:1" x14ac:dyDescent="0.25">
      <c r="A6121" s="13"/>
    </row>
    <row r="6122" spans="1:1" x14ac:dyDescent="0.25">
      <c r="A6122" s="13"/>
    </row>
    <row r="6123" spans="1:1" x14ac:dyDescent="0.25">
      <c r="A6123" s="13"/>
    </row>
    <row r="6124" spans="1:1" x14ac:dyDescent="0.25">
      <c r="A6124" s="13"/>
    </row>
    <row r="6125" spans="1:1" x14ac:dyDescent="0.25">
      <c r="A6125" s="13"/>
    </row>
    <row r="6126" spans="1:1" x14ac:dyDescent="0.25">
      <c r="A6126" s="13"/>
    </row>
    <row r="6127" spans="1:1" x14ac:dyDescent="0.25">
      <c r="A6127" s="13"/>
    </row>
    <row r="6128" spans="1:1" x14ac:dyDescent="0.25">
      <c r="A6128" s="13"/>
    </row>
    <row r="6129" spans="1:1" x14ac:dyDescent="0.25">
      <c r="A6129" s="13"/>
    </row>
    <row r="6130" spans="1:1" x14ac:dyDescent="0.25">
      <c r="A6130" s="13"/>
    </row>
    <row r="6131" spans="1:1" x14ac:dyDescent="0.25">
      <c r="A6131" s="13"/>
    </row>
    <row r="6132" spans="1:1" x14ac:dyDescent="0.25">
      <c r="A6132" s="13"/>
    </row>
    <row r="6133" spans="1:1" x14ac:dyDescent="0.25">
      <c r="A6133" s="13"/>
    </row>
    <row r="6134" spans="1:1" x14ac:dyDescent="0.25">
      <c r="A6134" s="13"/>
    </row>
    <row r="6135" spans="1:1" x14ac:dyDescent="0.25">
      <c r="A6135" s="13"/>
    </row>
    <row r="6136" spans="1:1" x14ac:dyDescent="0.25">
      <c r="A6136" s="13"/>
    </row>
    <row r="6137" spans="1:1" x14ac:dyDescent="0.25">
      <c r="A6137" s="13"/>
    </row>
    <row r="6138" spans="1:1" x14ac:dyDescent="0.25">
      <c r="A6138" s="13"/>
    </row>
    <row r="6139" spans="1:1" x14ac:dyDescent="0.25">
      <c r="A6139" s="13"/>
    </row>
    <row r="6140" spans="1:1" x14ac:dyDescent="0.25">
      <c r="A6140" s="13"/>
    </row>
    <row r="6141" spans="1:1" x14ac:dyDescent="0.25">
      <c r="A6141" s="13"/>
    </row>
    <row r="6142" spans="1:1" x14ac:dyDescent="0.25">
      <c r="A6142" s="13"/>
    </row>
    <row r="6143" spans="1:1" x14ac:dyDescent="0.25">
      <c r="A6143" s="13"/>
    </row>
    <row r="6144" spans="1:1" x14ac:dyDescent="0.25">
      <c r="A6144" s="13"/>
    </row>
    <row r="6145" spans="1:1" x14ac:dyDescent="0.25">
      <c r="A6145" s="13"/>
    </row>
    <row r="6146" spans="1:1" x14ac:dyDescent="0.25">
      <c r="A6146" s="13"/>
    </row>
    <row r="6147" spans="1:1" x14ac:dyDescent="0.25">
      <c r="A6147" s="13"/>
    </row>
    <row r="6148" spans="1:1" x14ac:dyDescent="0.25">
      <c r="A6148" s="13"/>
    </row>
    <row r="6149" spans="1:1" x14ac:dyDescent="0.25">
      <c r="A6149" s="13"/>
    </row>
    <row r="6150" spans="1:1" x14ac:dyDescent="0.25">
      <c r="A6150" s="13"/>
    </row>
    <row r="6151" spans="1:1" x14ac:dyDescent="0.25">
      <c r="A6151" s="13"/>
    </row>
    <row r="6152" spans="1:1" x14ac:dyDescent="0.25">
      <c r="A6152" s="13"/>
    </row>
    <row r="6153" spans="1:1" x14ac:dyDescent="0.25">
      <c r="A6153" s="13"/>
    </row>
    <row r="6154" spans="1:1" x14ac:dyDescent="0.25">
      <c r="A6154" s="13"/>
    </row>
    <row r="6155" spans="1:1" x14ac:dyDescent="0.25">
      <c r="A6155" s="13"/>
    </row>
    <row r="6156" spans="1:1" x14ac:dyDescent="0.25">
      <c r="A6156" s="13"/>
    </row>
    <row r="6157" spans="1:1" x14ac:dyDescent="0.25">
      <c r="A6157" s="13"/>
    </row>
    <row r="6158" spans="1:1" x14ac:dyDescent="0.25">
      <c r="A6158" s="13"/>
    </row>
    <row r="6159" spans="1:1" x14ac:dyDescent="0.25">
      <c r="A6159" s="13"/>
    </row>
    <row r="6160" spans="1:1" x14ac:dyDescent="0.25">
      <c r="A6160" s="13"/>
    </row>
    <row r="6161" spans="1:1" x14ac:dyDescent="0.25">
      <c r="A6161" s="13"/>
    </row>
    <row r="6162" spans="1:1" x14ac:dyDescent="0.25">
      <c r="A6162" s="13"/>
    </row>
    <row r="6163" spans="1:1" x14ac:dyDescent="0.25">
      <c r="A6163" s="13"/>
    </row>
    <row r="6164" spans="1:1" x14ac:dyDescent="0.25">
      <c r="A6164" s="13"/>
    </row>
    <row r="6165" spans="1:1" x14ac:dyDescent="0.25">
      <c r="A6165" s="13"/>
    </row>
    <row r="6166" spans="1:1" x14ac:dyDescent="0.25">
      <c r="A6166" s="13"/>
    </row>
    <row r="6167" spans="1:1" x14ac:dyDescent="0.25">
      <c r="A6167" s="13"/>
    </row>
    <row r="6168" spans="1:1" x14ac:dyDescent="0.25">
      <c r="A6168" s="13"/>
    </row>
    <row r="6169" spans="1:1" x14ac:dyDescent="0.25">
      <c r="A6169" s="13"/>
    </row>
    <row r="6170" spans="1:1" x14ac:dyDescent="0.25">
      <c r="A6170" s="13"/>
    </row>
    <row r="6171" spans="1:1" x14ac:dyDescent="0.25">
      <c r="A6171" s="13"/>
    </row>
    <row r="6172" spans="1:1" x14ac:dyDescent="0.25">
      <c r="A6172" s="13"/>
    </row>
    <row r="6173" spans="1:1" x14ac:dyDescent="0.25">
      <c r="A6173" s="13"/>
    </row>
    <row r="6174" spans="1:1" x14ac:dyDescent="0.25">
      <c r="A6174" s="13"/>
    </row>
    <row r="6175" spans="1:1" x14ac:dyDescent="0.25">
      <c r="A6175" s="13"/>
    </row>
    <row r="6176" spans="1:1" x14ac:dyDescent="0.25">
      <c r="A6176" s="13"/>
    </row>
    <row r="6177" spans="1:1" x14ac:dyDescent="0.25">
      <c r="A6177" s="13"/>
    </row>
    <row r="6178" spans="1:1" x14ac:dyDescent="0.25">
      <c r="A6178" s="13"/>
    </row>
    <row r="6179" spans="1:1" x14ac:dyDescent="0.25">
      <c r="A6179" s="13"/>
    </row>
    <row r="6180" spans="1:1" x14ac:dyDescent="0.25">
      <c r="A6180" s="13"/>
    </row>
    <row r="6181" spans="1:1" x14ac:dyDescent="0.25">
      <c r="A6181" s="13"/>
    </row>
    <row r="6182" spans="1:1" x14ac:dyDescent="0.25">
      <c r="A6182" s="13"/>
    </row>
    <row r="6183" spans="1:1" x14ac:dyDescent="0.25">
      <c r="A6183" s="13"/>
    </row>
    <row r="6184" spans="1:1" x14ac:dyDescent="0.25">
      <c r="A6184" s="13"/>
    </row>
    <row r="6185" spans="1:1" x14ac:dyDescent="0.25">
      <c r="A6185" s="13"/>
    </row>
    <row r="6186" spans="1:1" x14ac:dyDescent="0.25">
      <c r="A6186" s="13"/>
    </row>
    <row r="6187" spans="1:1" x14ac:dyDescent="0.25">
      <c r="A6187" s="13"/>
    </row>
    <row r="6188" spans="1:1" x14ac:dyDescent="0.25">
      <c r="A6188" s="13"/>
    </row>
    <row r="6189" spans="1:1" x14ac:dyDescent="0.25">
      <c r="A6189" s="13"/>
    </row>
    <row r="6190" spans="1:1" x14ac:dyDescent="0.25">
      <c r="A6190" s="13"/>
    </row>
    <row r="6191" spans="1:1" x14ac:dyDescent="0.25">
      <c r="A6191" s="13"/>
    </row>
    <row r="6192" spans="1:1" x14ac:dyDescent="0.25">
      <c r="A6192" s="13"/>
    </row>
    <row r="6193" spans="1:1" x14ac:dyDescent="0.25">
      <c r="A6193" s="13"/>
    </row>
    <row r="6194" spans="1:1" x14ac:dyDescent="0.25">
      <c r="A6194" s="13"/>
    </row>
    <row r="6195" spans="1:1" x14ac:dyDescent="0.25">
      <c r="A6195" s="13"/>
    </row>
    <row r="6196" spans="1:1" x14ac:dyDescent="0.25">
      <c r="A6196" s="13"/>
    </row>
    <row r="6197" spans="1:1" x14ac:dyDescent="0.25">
      <c r="A6197" s="13"/>
    </row>
    <row r="6198" spans="1:1" x14ac:dyDescent="0.25">
      <c r="A6198" s="13"/>
    </row>
    <row r="6199" spans="1:1" x14ac:dyDescent="0.25">
      <c r="A6199" s="13"/>
    </row>
    <row r="6200" spans="1:1" x14ac:dyDescent="0.25">
      <c r="A6200" s="13"/>
    </row>
    <row r="6201" spans="1:1" x14ac:dyDescent="0.25">
      <c r="A6201" s="13"/>
    </row>
    <row r="6202" spans="1:1" x14ac:dyDescent="0.25">
      <c r="A6202" s="13"/>
    </row>
    <row r="6203" spans="1:1" x14ac:dyDescent="0.25">
      <c r="A6203" s="13"/>
    </row>
    <row r="6204" spans="1:1" x14ac:dyDescent="0.25">
      <c r="A6204" s="13"/>
    </row>
    <row r="6205" spans="1:1" x14ac:dyDescent="0.25">
      <c r="A6205" s="13"/>
    </row>
    <row r="6206" spans="1:1" x14ac:dyDescent="0.25">
      <c r="A6206" s="13"/>
    </row>
    <row r="6207" spans="1:1" x14ac:dyDescent="0.25">
      <c r="A6207" s="13"/>
    </row>
    <row r="6208" spans="1:1" x14ac:dyDescent="0.25">
      <c r="A6208" s="13"/>
    </row>
    <row r="6209" spans="1:1" x14ac:dyDescent="0.25">
      <c r="A6209" s="13"/>
    </row>
    <row r="6210" spans="1:1" x14ac:dyDescent="0.25">
      <c r="A6210" s="13"/>
    </row>
    <row r="6211" spans="1:1" x14ac:dyDescent="0.25">
      <c r="A6211" s="13"/>
    </row>
    <row r="6212" spans="1:1" x14ac:dyDescent="0.25">
      <c r="A6212" s="13"/>
    </row>
    <row r="6213" spans="1:1" x14ac:dyDescent="0.25">
      <c r="A6213" s="13"/>
    </row>
    <row r="6214" spans="1:1" x14ac:dyDescent="0.25">
      <c r="A6214" s="13"/>
    </row>
    <row r="6215" spans="1:1" x14ac:dyDescent="0.25">
      <c r="A6215" s="13"/>
    </row>
    <row r="6216" spans="1:1" x14ac:dyDescent="0.25">
      <c r="A6216" s="13"/>
    </row>
    <row r="6217" spans="1:1" x14ac:dyDescent="0.25">
      <c r="A6217" s="13"/>
    </row>
    <row r="6218" spans="1:1" x14ac:dyDescent="0.25">
      <c r="A6218" s="13"/>
    </row>
    <row r="6219" spans="1:1" x14ac:dyDescent="0.25">
      <c r="A6219" s="13"/>
    </row>
    <row r="6220" spans="1:1" x14ac:dyDescent="0.25">
      <c r="A6220" s="13"/>
    </row>
    <row r="6221" spans="1:1" x14ac:dyDescent="0.25">
      <c r="A6221" s="13"/>
    </row>
    <row r="6222" spans="1:1" x14ac:dyDescent="0.25">
      <c r="A6222" s="13"/>
    </row>
    <row r="6223" spans="1:1" x14ac:dyDescent="0.25">
      <c r="A6223" s="13"/>
    </row>
    <row r="6224" spans="1:1" x14ac:dyDescent="0.25">
      <c r="A6224" s="13"/>
    </row>
    <row r="6225" spans="1:1" x14ac:dyDescent="0.25">
      <c r="A6225" s="13"/>
    </row>
    <row r="6226" spans="1:1" x14ac:dyDescent="0.25">
      <c r="A6226" s="13"/>
    </row>
    <row r="6227" spans="1:1" x14ac:dyDescent="0.25">
      <c r="A6227" s="13"/>
    </row>
    <row r="6228" spans="1:1" x14ac:dyDescent="0.25">
      <c r="A6228" s="13"/>
    </row>
    <row r="6229" spans="1:1" x14ac:dyDescent="0.25">
      <c r="A6229" s="13"/>
    </row>
    <row r="6230" spans="1:1" x14ac:dyDescent="0.25">
      <c r="A6230" s="13"/>
    </row>
    <row r="6231" spans="1:1" x14ac:dyDescent="0.25">
      <c r="A6231" s="13"/>
    </row>
    <row r="6232" spans="1:1" x14ac:dyDescent="0.25">
      <c r="A6232" s="13"/>
    </row>
    <row r="6233" spans="1:1" x14ac:dyDescent="0.25">
      <c r="A6233" s="13"/>
    </row>
    <row r="6234" spans="1:1" x14ac:dyDescent="0.25">
      <c r="A6234" s="13"/>
    </row>
    <row r="6235" spans="1:1" x14ac:dyDescent="0.25">
      <c r="A6235" s="13"/>
    </row>
    <row r="6236" spans="1:1" x14ac:dyDescent="0.25">
      <c r="A6236" s="13"/>
    </row>
    <row r="6237" spans="1:1" x14ac:dyDescent="0.25">
      <c r="A6237" s="13"/>
    </row>
    <row r="6238" spans="1:1" x14ac:dyDescent="0.25">
      <c r="A6238" s="13"/>
    </row>
    <row r="6239" spans="1:1" x14ac:dyDescent="0.25">
      <c r="A6239" s="13"/>
    </row>
    <row r="6240" spans="1:1" x14ac:dyDescent="0.25">
      <c r="A6240" s="13"/>
    </row>
    <row r="6241" spans="1:1" x14ac:dyDescent="0.25">
      <c r="A6241" s="13"/>
    </row>
    <row r="6242" spans="1:1" x14ac:dyDescent="0.25">
      <c r="A6242" s="13"/>
    </row>
    <row r="6243" spans="1:1" x14ac:dyDescent="0.25">
      <c r="A6243" s="13"/>
    </row>
    <row r="6244" spans="1:1" x14ac:dyDescent="0.25">
      <c r="A6244" s="13"/>
    </row>
    <row r="6245" spans="1:1" x14ac:dyDescent="0.25">
      <c r="A6245" s="13"/>
    </row>
    <row r="6246" spans="1:1" x14ac:dyDescent="0.25">
      <c r="A6246" s="13"/>
    </row>
    <row r="6247" spans="1:1" x14ac:dyDescent="0.25">
      <c r="A6247" s="13"/>
    </row>
    <row r="6248" spans="1:1" x14ac:dyDescent="0.25">
      <c r="A6248" s="13"/>
    </row>
    <row r="6249" spans="1:1" x14ac:dyDescent="0.25">
      <c r="A6249" s="13"/>
    </row>
    <row r="6250" spans="1:1" x14ac:dyDescent="0.25">
      <c r="A6250" s="13"/>
    </row>
    <row r="6251" spans="1:1" x14ac:dyDescent="0.25">
      <c r="A6251" s="13"/>
    </row>
    <row r="6252" spans="1:1" x14ac:dyDescent="0.25">
      <c r="A6252" s="13"/>
    </row>
    <row r="6253" spans="1:1" x14ac:dyDescent="0.25">
      <c r="A6253" s="13"/>
    </row>
    <row r="6254" spans="1:1" x14ac:dyDescent="0.25">
      <c r="A6254" s="13"/>
    </row>
    <row r="6255" spans="1:1" x14ac:dyDescent="0.25">
      <c r="A6255" s="13"/>
    </row>
    <row r="6256" spans="1:1" x14ac:dyDescent="0.25">
      <c r="A6256" s="13"/>
    </row>
    <row r="6257" spans="1:1" x14ac:dyDescent="0.25">
      <c r="A6257" s="13"/>
    </row>
    <row r="6258" spans="1:1" x14ac:dyDescent="0.25">
      <c r="A6258" s="13"/>
    </row>
    <row r="6259" spans="1:1" x14ac:dyDescent="0.25">
      <c r="A6259" s="13"/>
    </row>
    <row r="6260" spans="1:1" x14ac:dyDescent="0.25">
      <c r="A6260" s="13"/>
    </row>
    <row r="6261" spans="1:1" x14ac:dyDescent="0.25">
      <c r="A6261" s="13"/>
    </row>
    <row r="6262" spans="1:1" x14ac:dyDescent="0.25">
      <c r="A6262" s="13"/>
    </row>
    <row r="6263" spans="1:1" x14ac:dyDescent="0.25">
      <c r="A6263" s="13"/>
    </row>
    <row r="6264" spans="1:1" x14ac:dyDescent="0.25">
      <c r="A6264" s="13"/>
    </row>
    <row r="6265" spans="1:1" x14ac:dyDescent="0.25">
      <c r="A6265" s="13"/>
    </row>
    <row r="6266" spans="1:1" x14ac:dyDescent="0.25">
      <c r="A6266" s="13"/>
    </row>
    <row r="6267" spans="1:1" x14ac:dyDescent="0.25">
      <c r="A6267" s="13"/>
    </row>
    <row r="6268" spans="1:1" x14ac:dyDescent="0.25">
      <c r="A6268" s="13"/>
    </row>
    <row r="6269" spans="1:1" x14ac:dyDescent="0.25">
      <c r="A6269" s="13"/>
    </row>
    <row r="6270" spans="1:1" x14ac:dyDescent="0.25">
      <c r="A6270" s="13"/>
    </row>
    <row r="6271" spans="1:1" x14ac:dyDescent="0.25">
      <c r="A6271" s="13"/>
    </row>
    <row r="6272" spans="1:1" x14ac:dyDescent="0.25">
      <c r="A6272" s="13"/>
    </row>
    <row r="6273" spans="1:1" x14ac:dyDescent="0.25">
      <c r="A6273" s="13"/>
    </row>
    <row r="6274" spans="1:1" x14ac:dyDescent="0.25">
      <c r="A6274" s="13"/>
    </row>
    <row r="6275" spans="1:1" x14ac:dyDescent="0.25">
      <c r="A6275" s="13"/>
    </row>
    <row r="6276" spans="1:1" x14ac:dyDescent="0.25">
      <c r="A6276" s="13"/>
    </row>
    <row r="6277" spans="1:1" x14ac:dyDescent="0.25">
      <c r="A6277" s="13"/>
    </row>
    <row r="6278" spans="1:1" x14ac:dyDescent="0.25">
      <c r="A6278" s="13"/>
    </row>
    <row r="6279" spans="1:1" x14ac:dyDescent="0.25">
      <c r="A6279" s="13"/>
    </row>
    <row r="6280" spans="1:1" x14ac:dyDescent="0.25">
      <c r="A6280" s="13"/>
    </row>
    <row r="6281" spans="1:1" x14ac:dyDescent="0.25">
      <c r="A6281" s="13"/>
    </row>
    <row r="6282" spans="1:1" x14ac:dyDescent="0.25">
      <c r="A6282" s="13"/>
    </row>
    <row r="6283" spans="1:1" x14ac:dyDescent="0.25">
      <c r="A6283" s="13"/>
    </row>
    <row r="6284" spans="1:1" x14ac:dyDescent="0.25">
      <c r="A6284" s="13"/>
    </row>
    <row r="6285" spans="1:1" x14ac:dyDescent="0.25">
      <c r="A6285" s="13"/>
    </row>
    <row r="6286" spans="1:1" x14ac:dyDescent="0.25">
      <c r="A6286" s="13"/>
    </row>
    <row r="6287" spans="1:1" x14ac:dyDescent="0.25">
      <c r="A6287" s="13"/>
    </row>
    <row r="6288" spans="1:1" x14ac:dyDescent="0.25">
      <c r="A6288" s="13"/>
    </row>
    <row r="6289" spans="1:1" x14ac:dyDescent="0.25">
      <c r="A6289" s="13"/>
    </row>
    <row r="6290" spans="1:1" x14ac:dyDescent="0.25">
      <c r="A6290" s="13"/>
    </row>
    <row r="6291" spans="1:1" x14ac:dyDescent="0.25">
      <c r="A6291" s="13"/>
    </row>
    <row r="6292" spans="1:1" x14ac:dyDescent="0.25">
      <c r="A6292" s="13"/>
    </row>
    <row r="6293" spans="1:1" x14ac:dyDescent="0.25">
      <c r="A6293" s="13"/>
    </row>
    <row r="6294" spans="1:1" x14ac:dyDescent="0.25">
      <c r="A6294" s="13"/>
    </row>
    <row r="6295" spans="1:1" x14ac:dyDescent="0.25">
      <c r="A6295" s="13"/>
    </row>
    <row r="6296" spans="1:1" x14ac:dyDescent="0.25">
      <c r="A6296" s="13"/>
    </row>
    <row r="6297" spans="1:1" x14ac:dyDescent="0.25">
      <c r="A6297" s="13"/>
    </row>
    <row r="6298" spans="1:1" x14ac:dyDescent="0.25">
      <c r="A6298" s="13"/>
    </row>
    <row r="6299" spans="1:1" x14ac:dyDescent="0.25">
      <c r="A6299" s="13"/>
    </row>
    <row r="6300" spans="1:1" x14ac:dyDescent="0.25">
      <c r="A6300" s="13"/>
    </row>
    <row r="6301" spans="1:1" x14ac:dyDescent="0.25">
      <c r="A6301" s="13"/>
    </row>
    <row r="6302" spans="1:1" x14ac:dyDescent="0.25">
      <c r="A6302" s="13"/>
    </row>
    <row r="6303" spans="1:1" x14ac:dyDescent="0.25">
      <c r="A6303" s="13"/>
    </row>
    <row r="6304" spans="1:1" x14ac:dyDescent="0.25">
      <c r="A6304" s="13"/>
    </row>
    <row r="6305" spans="1:1" x14ac:dyDescent="0.25">
      <c r="A6305" s="13"/>
    </row>
    <row r="6306" spans="1:1" x14ac:dyDescent="0.25">
      <c r="A6306" s="13"/>
    </row>
    <row r="6307" spans="1:1" x14ac:dyDescent="0.25">
      <c r="A6307" s="13"/>
    </row>
    <row r="6308" spans="1:1" x14ac:dyDescent="0.25">
      <c r="A6308" s="13"/>
    </row>
    <row r="6309" spans="1:1" x14ac:dyDescent="0.25">
      <c r="A6309" s="13"/>
    </row>
    <row r="6310" spans="1:1" x14ac:dyDescent="0.25">
      <c r="A6310" s="13"/>
    </row>
    <row r="6311" spans="1:1" x14ac:dyDescent="0.25">
      <c r="A6311" s="13"/>
    </row>
    <row r="6312" spans="1:1" x14ac:dyDescent="0.25">
      <c r="A6312" s="13"/>
    </row>
    <row r="6313" spans="1:1" x14ac:dyDescent="0.25">
      <c r="A6313" s="13"/>
    </row>
    <row r="6314" spans="1:1" x14ac:dyDescent="0.25">
      <c r="A6314" s="13"/>
    </row>
    <row r="6315" spans="1:1" x14ac:dyDescent="0.25">
      <c r="A6315" s="13"/>
    </row>
    <row r="6316" spans="1:1" x14ac:dyDescent="0.25">
      <c r="A6316" s="13"/>
    </row>
    <row r="6317" spans="1:1" x14ac:dyDescent="0.25">
      <c r="A6317" s="13"/>
    </row>
    <row r="6318" spans="1:1" x14ac:dyDescent="0.25">
      <c r="A6318" s="13"/>
    </row>
    <row r="6319" spans="1:1" x14ac:dyDescent="0.25">
      <c r="A6319" s="13"/>
    </row>
    <row r="6320" spans="1:1" x14ac:dyDescent="0.25">
      <c r="A6320" s="13"/>
    </row>
    <row r="6321" spans="1:1" x14ac:dyDescent="0.25">
      <c r="A6321" s="13"/>
    </row>
    <row r="6322" spans="1:1" x14ac:dyDescent="0.25">
      <c r="A6322" s="13"/>
    </row>
    <row r="6323" spans="1:1" x14ac:dyDescent="0.25">
      <c r="A6323" s="13"/>
    </row>
    <row r="6324" spans="1:1" x14ac:dyDescent="0.25">
      <c r="A6324" s="13"/>
    </row>
    <row r="6325" spans="1:1" x14ac:dyDescent="0.25">
      <c r="A6325" s="13"/>
    </row>
    <row r="6326" spans="1:1" x14ac:dyDescent="0.25">
      <c r="A6326" s="13"/>
    </row>
    <row r="6327" spans="1:1" x14ac:dyDescent="0.25">
      <c r="A6327" s="13"/>
    </row>
    <row r="6328" spans="1:1" x14ac:dyDescent="0.25">
      <c r="A6328" s="13"/>
    </row>
    <row r="6329" spans="1:1" x14ac:dyDescent="0.25">
      <c r="A6329" s="13"/>
    </row>
    <row r="6330" spans="1:1" x14ac:dyDescent="0.25">
      <c r="A6330" s="13"/>
    </row>
    <row r="6331" spans="1:1" x14ac:dyDescent="0.25">
      <c r="A6331" s="13"/>
    </row>
    <row r="6332" spans="1:1" x14ac:dyDescent="0.25">
      <c r="A6332" s="13"/>
    </row>
    <row r="6333" spans="1:1" x14ac:dyDescent="0.25">
      <c r="A6333" s="13"/>
    </row>
    <row r="6334" spans="1:1" x14ac:dyDescent="0.25">
      <c r="A6334" s="13"/>
    </row>
    <row r="6335" spans="1:1" x14ac:dyDescent="0.25">
      <c r="A6335" s="13"/>
    </row>
    <row r="6336" spans="1:1" x14ac:dyDescent="0.25">
      <c r="A6336" s="13"/>
    </row>
    <row r="6337" spans="1:1" x14ac:dyDescent="0.25">
      <c r="A6337" s="13"/>
    </row>
    <row r="6338" spans="1:1" x14ac:dyDescent="0.25">
      <c r="A6338" s="13"/>
    </row>
    <row r="6339" spans="1:1" x14ac:dyDescent="0.25">
      <c r="A6339" s="13"/>
    </row>
    <row r="6340" spans="1:1" x14ac:dyDescent="0.25">
      <c r="A6340" s="13"/>
    </row>
    <row r="6341" spans="1:1" x14ac:dyDescent="0.25">
      <c r="A6341" s="13"/>
    </row>
    <row r="6342" spans="1:1" x14ac:dyDescent="0.25">
      <c r="A6342" s="13"/>
    </row>
    <row r="6343" spans="1:1" x14ac:dyDescent="0.25">
      <c r="A6343" s="13"/>
    </row>
    <row r="6344" spans="1:1" x14ac:dyDescent="0.25">
      <c r="A6344" s="13"/>
    </row>
    <row r="6345" spans="1:1" x14ac:dyDescent="0.25">
      <c r="A6345" s="13"/>
    </row>
    <row r="6346" spans="1:1" x14ac:dyDescent="0.25">
      <c r="A6346" s="13"/>
    </row>
    <row r="6347" spans="1:1" x14ac:dyDescent="0.25">
      <c r="A6347" s="13"/>
    </row>
    <row r="6348" spans="1:1" x14ac:dyDescent="0.25">
      <c r="A6348" s="13"/>
    </row>
    <row r="6349" spans="1:1" x14ac:dyDescent="0.25">
      <c r="A6349" s="13"/>
    </row>
    <row r="6350" spans="1:1" x14ac:dyDescent="0.25">
      <c r="A6350" s="13"/>
    </row>
    <row r="6351" spans="1:1" x14ac:dyDescent="0.25">
      <c r="A6351" s="13"/>
    </row>
    <row r="6352" spans="1:1" x14ac:dyDescent="0.25">
      <c r="A6352" s="13"/>
    </row>
    <row r="6353" spans="1:1" x14ac:dyDescent="0.25">
      <c r="A6353" s="13"/>
    </row>
    <row r="6354" spans="1:1" x14ac:dyDescent="0.25">
      <c r="A6354" s="13"/>
    </row>
    <row r="6355" spans="1:1" x14ac:dyDescent="0.25">
      <c r="A6355" s="13"/>
    </row>
    <row r="6356" spans="1:1" x14ac:dyDescent="0.25">
      <c r="A6356" s="13"/>
    </row>
    <row r="6357" spans="1:1" x14ac:dyDescent="0.25">
      <c r="A6357" s="13"/>
    </row>
    <row r="6358" spans="1:1" x14ac:dyDescent="0.25">
      <c r="A6358" s="13"/>
    </row>
    <row r="6359" spans="1:1" x14ac:dyDescent="0.25">
      <c r="A6359" s="13"/>
    </row>
    <row r="6360" spans="1:1" x14ac:dyDescent="0.25">
      <c r="A6360" s="13"/>
    </row>
    <row r="6361" spans="1:1" x14ac:dyDescent="0.25">
      <c r="A6361" s="13"/>
    </row>
    <row r="6362" spans="1:1" x14ac:dyDescent="0.25">
      <c r="A6362" s="13"/>
    </row>
    <row r="6363" spans="1:1" x14ac:dyDescent="0.25">
      <c r="A6363" s="13"/>
    </row>
    <row r="6364" spans="1:1" x14ac:dyDescent="0.25">
      <c r="A6364" s="13"/>
    </row>
    <row r="6365" spans="1:1" x14ac:dyDescent="0.25">
      <c r="A6365" s="13"/>
    </row>
    <row r="6366" spans="1:1" x14ac:dyDescent="0.25">
      <c r="A6366" s="13"/>
    </row>
    <row r="6367" spans="1:1" x14ac:dyDescent="0.25">
      <c r="A6367" s="13"/>
    </row>
    <row r="6368" spans="1:1" x14ac:dyDescent="0.25">
      <c r="A6368" s="13"/>
    </row>
    <row r="6369" spans="1:1" x14ac:dyDescent="0.25">
      <c r="A6369" s="13"/>
    </row>
    <row r="6370" spans="1:1" x14ac:dyDescent="0.25">
      <c r="A6370" s="13"/>
    </row>
    <row r="6371" spans="1:1" x14ac:dyDescent="0.25">
      <c r="A6371" s="13"/>
    </row>
    <row r="6372" spans="1:1" x14ac:dyDescent="0.25">
      <c r="A6372" s="13"/>
    </row>
    <row r="6373" spans="1:1" x14ac:dyDescent="0.25">
      <c r="A6373" s="13"/>
    </row>
    <row r="6374" spans="1:1" x14ac:dyDescent="0.25">
      <c r="A6374" s="13"/>
    </row>
    <row r="6375" spans="1:1" x14ac:dyDescent="0.25">
      <c r="A6375" s="13"/>
    </row>
    <row r="6376" spans="1:1" x14ac:dyDescent="0.25">
      <c r="A6376" s="13"/>
    </row>
    <row r="6377" spans="1:1" x14ac:dyDescent="0.25">
      <c r="A6377" s="13"/>
    </row>
    <row r="6378" spans="1:1" x14ac:dyDescent="0.25">
      <c r="A6378" s="13"/>
    </row>
    <row r="6379" spans="1:1" x14ac:dyDescent="0.25">
      <c r="A6379" s="13"/>
    </row>
    <row r="6380" spans="1:1" x14ac:dyDescent="0.25">
      <c r="A6380" s="13"/>
    </row>
    <row r="6381" spans="1:1" x14ac:dyDescent="0.25">
      <c r="A6381" s="13"/>
    </row>
    <row r="6382" spans="1:1" x14ac:dyDescent="0.25">
      <c r="A6382" s="13"/>
    </row>
    <row r="6383" spans="1:1" x14ac:dyDescent="0.25">
      <c r="A6383" s="13"/>
    </row>
    <row r="6384" spans="1:1" x14ac:dyDescent="0.25">
      <c r="A6384" s="13"/>
    </row>
    <row r="6385" spans="1:1" x14ac:dyDescent="0.25">
      <c r="A6385" s="13"/>
    </row>
    <row r="6386" spans="1:1" x14ac:dyDescent="0.25">
      <c r="A6386" s="13"/>
    </row>
    <row r="6387" spans="1:1" x14ac:dyDescent="0.25">
      <c r="A6387" s="13"/>
    </row>
    <row r="6388" spans="1:1" x14ac:dyDescent="0.25">
      <c r="A6388" s="13"/>
    </row>
    <row r="6389" spans="1:1" x14ac:dyDescent="0.25">
      <c r="A6389" s="13"/>
    </row>
    <row r="6390" spans="1:1" x14ac:dyDescent="0.25">
      <c r="A6390" s="13"/>
    </row>
    <row r="6391" spans="1:1" x14ac:dyDescent="0.25">
      <c r="A6391" s="13"/>
    </row>
    <row r="6392" spans="1:1" x14ac:dyDescent="0.25">
      <c r="A6392" s="13"/>
    </row>
    <row r="6393" spans="1:1" x14ac:dyDescent="0.25">
      <c r="A6393" s="13"/>
    </row>
    <row r="6394" spans="1:1" x14ac:dyDescent="0.25">
      <c r="A6394" s="13"/>
    </row>
    <row r="6395" spans="1:1" x14ac:dyDescent="0.25">
      <c r="A6395" s="13"/>
    </row>
    <row r="6396" spans="1:1" x14ac:dyDescent="0.25">
      <c r="A6396" s="13"/>
    </row>
    <row r="6397" spans="1:1" x14ac:dyDescent="0.25">
      <c r="A6397" s="13"/>
    </row>
    <row r="6398" spans="1:1" x14ac:dyDescent="0.25">
      <c r="A6398" s="13"/>
    </row>
    <row r="6399" spans="1:1" x14ac:dyDescent="0.25">
      <c r="A6399" s="13"/>
    </row>
    <row r="6400" spans="1:1" x14ac:dyDescent="0.25">
      <c r="A6400" s="13"/>
    </row>
    <row r="6401" spans="1:1" x14ac:dyDescent="0.25">
      <c r="A6401" s="13"/>
    </row>
    <row r="6402" spans="1:1" x14ac:dyDescent="0.25">
      <c r="A6402" s="13"/>
    </row>
    <row r="6403" spans="1:1" x14ac:dyDescent="0.25">
      <c r="A6403" s="13"/>
    </row>
    <row r="6404" spans="1:1" x14ac:dyDescent="0.25">
      <c r="A6404" s="13"/>
    </row>
    <row r="6405" spans="1:1" x14ac:dyDescent="0.25">
      <c r="A6405" s="13"/>
    </row>
    <row r="6406" spans="1:1" x14ac:dyDescent="0.25">
      <c r="A6406" s="13"/>
    </row>
    <row r="6407" spans="1:1" x14ac:dyDescent="0.25">
      <c r="A6407" s="13"/>
    </row>
    <row r="6408" spans="1:1" x14ac:dyDescent="0.25">
      <c r="A6408" s="13"/>
    </row>
    <row r="6409" spans="1:1" x14ac:dyDescent="0.25">
      <c r="A6409" s="13"/>
    </row>
    <row r="6410" spans="1:1" x14ac:dyDescent="0.25">
      <c r="A6410" s="13"/>
    </row>
    <row r="6411" spans="1:1" x14ac:dyDescent="0.25">
      <c r="A6411" s="13"/>
    </row>
    <row r="6412" spans="1:1" x14ac:dyDescent="0.25">
      <c r="A6412" s="13"/>
    </row>
    <row r="6413" spans="1:1" x14ac:dyDescent="0.25">
      <c r="A6413" s="13"/>
    </row>
    <row r="6414" spans="1:1" x14ac:dyDescent="0.25">
      <c r="A6414" s="13"/>
    </row>
    <row r="6415" spans="1:1" x14ac:dyDescent="0.25">
      <c r="A6415" s="13"/>
    </row>
    <row r="6416" spans="1:1" x14ac:dyDescent="0.25">
      <c r="A6416" s="13"/>
    </row>
    <row r="6417" spans="1:1" x14ac:dyDescent="0.25">
      <c r="A6417" s="13"/>
    </row>
    <row r="6418" spans="1:1" x14ac:dyDescent="0.25">
      <c r="A6418" s="13"/>
    </row>
    <row r="6419" spans="1:1" x14ac:dyDescent="0.25">
      <c r="A6419" s="13"/>
    </row>
    <row r="6420" spans="1:1" x14ac:dyDescent="0.25">
      <c r="A6420" s="13"/>
    </row>
    <row r="6421" spans="1:1" x14ac:dyDescent="0.25">
      <c r="A6421" s="13"/>
    </row>
    <row r="6422" spans="1:1" x14ac:dyDescent="0.25">
      <c r="A6422" s="13"/>
    </row>
    <row r="6423" spans="1:1" x14ac:dyDescent="0.25">
      <c r="A6423" s="13"/>
    </row>
    <row r="6424" spans="1:1" x14ac:dyDescent="0.25">
      <c r="A6424" s="13"/>
    </row>
    <row r="6425" spans="1:1" x14ac:dyDescent="0.25">
      <c r="A6425" s="13"/>
    </row>
    <row r="6426" spans="1:1" x14ac:dyDescent="0.25">
      <c r="A6426" s="13"/>
    </row>
    <row r="6427" spans="1:1" x14ac:dyDescent="0.25">
      <c r="A6427" s="13"/>
    </row>
    <row r="6428" spans="1:1" x14ac:dyDescent="0.25">
      <c r="A6428" s="13"/>
    </row>
    <row r="6429" spans="1:1" x14ac:dyDescent="0.25">
      <c r="A6429" s="13"/>
    </row>
    <row r="6430" spans="1:1" x14ac:dyDescent="0.25">
      <c r="A6430" s="13"/>
    </row>
    <row r="6431" spans="1:1" x14ac:dyDescent="0.25">
      <c r="A6431" s="13"/>
    </row>
    <row r="6432" spans="1:1" x14ac:dyDescent="0.25">
      <c r="A6432" s="13"/>
    </row>
    <row r="6433" spans="1:1" x14ac:dyDescent="0.25">
      <c r="A6433" s="13"/>
    </row>
    <row r="6434" spans="1:1" x14ac:dyDescent="0.25">
      <c r="A6434" s="13"/>
    </row>
    <row r="6435" spans="1:1" x14ac:dyDescent="0.25">
      <c r="A6435" s="13"/>
    </row>
    <row r="6436" spans="1:1" x14ac:dyDescent="0.25">
      <c r="A6436" s="13"/>
    </row>
    <row r="6437" spans="1:1" x14ac:dyDescent="0.25">
      <c r="A6437" s="13"/>
    </row>
    <row r="6438" spans="1:1" x14ac:dyDescent="0.25">
      <c r="A6438" s="13"/>
    </row>
    <row r="6439" spans="1:1" x14ac:dyDescent="0.25">
      <c r="A6439" s="13"/>
    </row>
    <row r="6440" spans="1:1" x14ac:dyDescent="0.25">
      <c r="A6440" s="13"/>
    </row>
    <row r="6441" spans="1:1" x14ac:dyDescent="0.25">
      <c r="A6441" s="13"/>
    </row>
    <row r="6442" spans="1:1" x14ac:dyDescent="0.25">
      <c r="A6442" s="13"/>
    </row>
    <row r="6443" spans="1:1" x14ac:dyDescent="0.25">
      <c r="A6443" s="13"/>
    </row>
    <row r="6444" spans="1:1" x14ac:dyDescent="0.25">
      <c r="A6444" s="13"/>
    </row>
    <row r="6445" spans="1:1" x14ac:dyDescent="0.25">
      <c r="A6445" s="13"/>
    </row>
    <row r="6446" spans="1:1" x14ac:dyDescent="0.25">
      <c r="A6446" s="13"/>
    </row>
    <row r="6447" spans="1:1" x14ac:dyDescent="0.25">
      <c r="A6447" s="13"/>
    </row>
    <row r="6448" spans="1:1" x14ac:dyDescent="0.25">
      <c r="A6448" s="13"/>
    </row>
    <row r="6449" spans="1:1" x14ac:dyDescent="0.25">
      <c r="A6449" s="13"/>
    </row>
    <row r="6450" spans="1:1" x14ac:dyDescent="0.25">
      <c r="A6450" s="13"/>
    </row>
    <row r="6451" spans="1:1" x14ac:dyDescent="0.25">
      <c r="A6451" s="13"/>
    </row>
    <row r="6452" spans="1:1" x14ac:dyDescent="0.25">
      <c r="A6452" s="13"/>
    </row>
    <row r="6453" spans="1:1" x14ac:dyDescent="0.25">
      <c r="A6453" s="13"/>
    </row>
    <row r="6454" spans="1:1" x14ac:dyDescent="0.25">
      <c r="A6454" s="13"/>
    </row>
    <row r="6455" spans="1:1" x14ac:dyDescent="0.25">
      <c r="A6455" s="13"/>
    </row>
    <row r="6456" spans="1:1" x14ac:dyDescent="0.25">
      <c r="A6456" s="13"/>
    </row>
    <row r="6457" spans="1:1" x14ac:dyDescent="0.25">
      <c r="A6457" s="13"/>
    </row>
    <row r="6458" spans="1:1" x14ac:dyDescent="0.25">
      <c r="A6458" s="13"/>
    </row>
    <row r="6459" spans="1:1" x14ac:dyDescent="0.25">
      <c r="A6459" s="13"/>
    </row>
    <row r="6460" spans="1:1" x14ac:dyDescent="0.25">
      <c r="A6460" s="13"/>
    </row>
    <row r="6461" spans="1:1" x14ac:dyDescent="0.25">
      <c r="A6461" s="13"/>
    </row>
    <row r="6462" spans="1:1" x14ac:dyDescent="0.25">
      <c r="A6462" s="13"/>
    </row>
    <row r="6463" spans="1:1" x14ac:dyDescent="0.25">
      <c r="A6463" s="13"/>
    </row>
    <row r="6464" spans="1:1" x14ac:dyDescent="0.25">
      <c r="A6464" s="13"/>
    </row>
    <row r="6465" spans="1:1" x14ac:dyDescent="0.25">
      <c r="A6465" s="13"/>
    </row>
    <row r="6466" spans="1:1" x14ac:dyDescent="0.25">
      <c r="A6466" s="13"/>
    </row>
    <row r="6467" spans="1:1" x14ac:dyDescent="0.25">
      <c r="A6467" s="13"/>
    </row>
    <row r="6468" spans="1:1" x14ac:dyDescent="0.25">
      <c r="A6468" s="13"/>
    </row>
    <row r="6469" spans="1:1" x14ac:dyDescent="0.25">
      <c r="A6469" s="13"/>
    </row>
    <row r="6470" spans="1:1" x14ac:dyDescent="0.25">
      <c r="A6470" s="13"/>
    </row>
    <row r="6471" spans="1:1" x14ac:dyDescent="0.25">
      <c r="A6471" s="13"/>
    </row>
    <row r="6472" spans="1:1" x14ac:dyDescent="0.25">
      <c r="A6472" s="13"/>
    </row>
    <row r="6473" spans="1:1" x14ac:dyDescent="0.25">
      <c r="A6473" s="13"/>
    </row>
    <row r="6474" spans="1:1" x14ac:dyDescent="0.25">
      <c r="A6474" s="13"/>
    </row>
    <row r="6475" spans="1:1" x14ac:dyDescent="0.25">
      <c r="A6475" s="13"/>
    </row>
    <row r="6476" spans="1:1" x14ac:dyDescent="0.25">
      <c r="A6476" s="13"/>
    </row>
    <row r="6477" spans="1:1" x14ac:dyDescent="0.25">
      <c r="A6477" s="13"/>
    </row>
    <row r="6478" spans="1:1" x14ac:dyDescent="0.25">
      <c r="A6478" s="13"/>
    </row>
    <row r="6479" spans="1:1" x14ac:dyDescent="0.25">
      <c r="A6479" s="13"/>
    </row>
    <row r="6480" spans="1:1" x14ac:dyDescent="0.25">
      <c r="A6480" s="13"/>
    </row>
    <row r="6481" spans="1:1" x14ac:dyDescent="0.25">
      <c r="A6481" s="13"/>
    </row>
    <row r="6482" spans="1:1" x14ac:dyDescent="0.25">
      <c r="A6482" s="13"/>
    </row>
    <row r="6483" spans="1:1" x14ac:dyDescent="0.25">
      <c r="A6483" s="13"/>
    </row>
    <row r="6484" spans="1:1" x14ac:dyDescent="0.25">
      <c r="A6484" s="13"/>
    </row>
    <row r="6485" spans="1:1" x14ac:dyDescent="0.25">
      <c r="A6485" s="13"/>
    </row>
    <row r="6486" spans="1:1" x14ac:dyDescent="0.25">
      <c r="A6486" s="13"/>
    </row>
    <row r="6487" spans="1:1" x14ac:dyDescent="0.25">
      <c r="A6487" s="13"/>
    </row>
    <row r="6488" spans="1:1" x14ac:dyDescent="0.25">
      <c r="A6488" s="13"/>
    </row>
    <row r="6489" spans="1:1" x14ac:dyDescent="0.25">
      <c r="A6489" s="13"/>
    </row>
    <row r="6490" spans="1:1" x14ac:dyDescent="0.25">
      <c r="A6490" s="13"/>
    </row>
    <row r="6491" spans="1:1" x14ac:dyDescent="0.25">
      <c r="A6491" s="13"/>
    </row>
    <row r="6492" spans="1:1" x14ac:dyDescent="0.25">
      <c r="A6492" s="13"/>
    </row>
    <row r="6493" spans="1:1" x14ac:dyDescent="0.25">
      <c r="A6493" s="13"/>
    </row>
    <row r="6494" spans="1:1" x14ac:dyDescent="0.25">
      <c r="A6494" s="13"/>
    </row>
    <row r="6495" spans="1:1" x14ac:dyDescent="0.25">
      <c r="A6495" s="13"/>
    </row>
    <row r="6496" spans="1:1" x14ac:dyDescent="0.25">
      <c r="A6496" s="13"/>
    </row>
    <row r="6497" spans="1:1" x14ac:dyDescent="0.25">
      <c r="A6497" s="13"/>
    </row>
    <row r="6498" spans="1:1" x14ac:dyDescent="0.25">
      <c r="A6498" s="13"/>
    </row>
    <row r="6499" spans="1:1" x14ac:dyDescent="0.25">
      <c r="A6499" s="13"/>
    </row>
    <row r="6500" spans="1:1" x14ac:dyDescent="0.25">
      <c r="A6500" s="13"/>
    </row>
    <row r="6501" spans="1:1" x14ac:dyDescent="0.25">
      <c r="A6501" s="13"/>
    </row>
    <row r="6502" spans="1:1" x14ac:dyDescent="0.25">
      <c r="A6502" s="13"/>
    </row>
    <row r="6503" spans="1:1" x14ac:dyDescent="0.25">
      <c r="A6503" s="13"/>
    </row>
    <row r="6504" spans="1:1" x14ac:dyDescent="0.25">
      <c r="A6504" s="13"/>
    </row>
    <row r="6505" spans="1:1" x14ac:dyDescent="0.25">
      <c r="A6505" s="13"/>
    </row>
    <row r="6506" spans="1:1" x14ac:dyDescent="0.25">
      <c r="A6506" s="13"/>
    </row>
    <row r="6507" spans="1:1" x14ac:dyDescent="0.25">
      <c r="A6507" s="13"/>
    </row>
    <row r="6508" spans="1:1" x14ac:dyDescent="0.25">
      <c r="A6508" s="13"/>
    </row>
    <row r="6509" spans="1:1" x14ac:dyDescent="0.25">
      <c r="A6509" s="13"/>
    </row>
    <row r="6510" spans="1:1" x14ac:dyDescent="0.25">
      <c r="A6510" s="13"/>
    </row>
    <row r="6511" spans="1:1" x14ac:dyDescent="0.25">
      <c r="A6511" s="13"/>
    </row>
    <row r="6512" spans="1:1" x14ac:dyDescent="0.25">
      <c r="A6512" s="13"/>
    </row>
    <row r="6513" spans="1:1" x14ac:dyDescent="0.25">
      <c r="A6513" s="13"/>
    </row>
    <row r="6514" spans="1:1" x14ac:dyDescent="0.25">
      <c r="A6514" s="13"/>
    </row>
    <row r="6515" spans="1:1" x14ac:dyDescent="0.25">
      <c r="A6515" s="13"/>
    </row>
    <row r="6516" spans="1:1" x14ac:dyDescent="0.25">
      <c r="A6516" s="13"/>
    </row>
    <row r="6517" spans="1:1" x14ac:dyDescent="0.25">
      <c r="A6517" s="13"/>
    </row>
    <row r="6518" spans="1:1" x14ac:dyDescent="0.25">
      <c r="A6518" s="13"/>
    </row>
    <row r="6519" spans="1:1" x14ac:dyDescent="0.25">
      <c r="A6519" s="13"/>
    </row>
    <row r="6520" spans="1:1" x14ac:dyDescent="0.25">
      <c r="A6520" s="13"/>
    </row>
    <row r="6521" spans="1:1" x14ac:dyDescent="0.25">
      <c r="A6521" s="13"/>
    </row>
    <row r="6522" spans="1:1" x14ac:dyDescent="0.25">
      <c r="A6522" s="13"/>
    </row>
    <row r="6523" spans="1:1" x14ac:dyDescent="0.25">
      <c r="A6523" s="13"/>
    </row>
    <row r="6524" spans="1:1" x14ac:dyDescent="0.25">
      <c r="A6524" s="13"/>
    </row>
    <row r="6525" spans="1:1" x14ac:dyDescent="0.25">
      <c r="A6525" s="13"/>
    </row>
    <row r="6526" spans="1:1" x14ac:dyDescent="0.25">
      <c r="A6526" s="13"/>
    </row>
    <row r="6527" spans="1:1" x14ac:dyDescent="0.25">
      <c r="A6527" s="13"/>
    </row>
    <row r="6528" spans="1:1" x14ac:dyDescent="0.25">
      <c r="A6528" s="13"/>
    </row>
    <row r="6529" spans="1:1" x14ac:dyDescent="0.25">
      <c r="A6529" s="13"/>
    </row>
    <row r="6530" spans="1:1" x14ac:dyDescent="0.25">
      <c r="A6530" s="13"/>
    </row>
    <row r="6531" spans="1:1" x14ac:dyDescent="0.25">
      <c r="A6531" s="13"/>
    </row>
    <row r="6532" spans="1:1" x14ac:dyDescent="0.25">
      <c r="A6532" s="13"/>
    </row>
    <row r="6533" spans="1:1" x14ac:dyDescent="0.25">
      <c r="A6533" s="13"/>
    </row>
    <row r="6534" spans="1:1" x14ac:dyDescent="0.25">
      <c r="A6534" s="13"/>
    </row>
    <row r="6535" spans="1:1" x14ac:dyDescent="0.25">
      <c r="A6535" s="13"/>
    </row>
    <row r="6536" spans="1:1" x14ac:dyDescent="0.25">
      <c r="A6536" s="13"/>
    </row>
    <row r="6537" spans="1:1" x14ac:dyDescent="0.25">
      <c r="A6537" s="13"/>
    </row>
    <row r="6538" spans="1:1" x14ac:dyDescent="0.25">
      <c r="A6538" s="13"/>
    </row>
    <row r="6539" spans="1:1" x14ac:dyDescent="0.25">
      <c r="A6539" s="13"/>
    </row>
    <row r="6540" spans="1:1" x14ac:dyDescent="0.25">
      <c r="A6540" s="13"/>
    </row>
    <row r="6541" spans="1:1" x14ac:dyDescent="0.25">
      <c r="A6541" s="13"/>
    </row>
    <row r="6542" spans="1:1" x14ac:dyDescent="0.25">
      <c r="A6542" s="13"/>
    </row>
    <row r="6543" spans="1:1" x14ac:dyDescent="0.25">
      <c r="A6543" s="13"/>
    </row>
    <row r="6544" spans="1:1" x14ac:dyDescent="0.25">
      <c r="A6544" s="13"/>
    </row>
    <row r="6545" spans="1:1" x14ac:dyDescent="0.25">
      <c r="A6545" s="13"/>
    </row>
    <row r="6546" spans="1:1" x14ac:dyDescent="0.25">
      <c r="A6546" s="13"/>
    </row>
    <row r="6547" spans="1:1" x14ac:dyDescent="0.25">
      <c r="A6547" s="13"/>
    </row>
    <row r="6548" spans="1:1" x14ac:dyDescent="0.25">
      <c r="A6548" s="13"/>
    </row>
    <row r="6549" spans="1:1" x14ac:dyDescent="0.25">
      <c r="A6549" s="13"/>
    </row>
    <row r="6550" spans="1:1" x14ac:dyDescent="0.25">
      <c r="A6550" s="13"/>
    </row>
    <row r="6551" spans="1:1" x14ac:dyDescent="0.25">
      <c r="A6551" s="13"/>
    </row>
    <row r="6552" spans="1:1" x14ac:dyDescent="0.25">
      <c r="A6552" s="13"/>
    </row>
    <row r="6553" spans="1:1" x14ac:dyDescent="0.25">
      <c r="A6553" s="13"/>
    </row>
    <row r="6554" spans="1:1" x14ac:dyDescent="0.25">
      <c r="A6554" s="13"/>
    </row>
    <row r="6555" spans="1:1" x14ac:dyDescent="0.25">
      <c r="A6555" s="13"/>
    </row>
    <row r="6556" spans="1:1" x14ac:dyDescent="0.25">
      <c r="A6556" s="13"/>
    </row>
    <row r="6557" spans="1:1" x14ac:dyDescent="0.25">
      <c r="A6557" s="13"/>
    </row>
    <row r="6558" spans="1:1" x14ac:dyDescent="0.25">
      <c r="A6558" s="13"/>
    </row>
    <row r="6559" spans="1:1" x14ac:dyDescent="0.25">
      <c r="A6559" s="13"/>
    </row>
    <row r="6560" spans="1:1" x14ac:dyDescent="0.25">
      <c r="A6560" s="13"/>
    </row>
    <row r="6561" spans="1:1" x14ac:dyDescent="0.25">
      <c r="A6561" s="13"/>
    </row>
    <row r="6562" spans="1:1" x14ac:dyDescent="0.25">
      <c r="A6562" s="13"/>
    </row>
    <row r="6563" spans="1:1" x14ac:dyDescent="0.25">
      <c r="A6563" s="13"/>
    </row>
    <row r="6564" spans="1:1" x14ac:dyDescent="0.25">
      <c r="A6564" s="13"/>
    </row>
    <row r="6565" spans="1:1" x14ac:dyDescent="0.25">
      <c r="A6565" s="13"/>
    </row>
    <row r="6566" spans="1:1" x14ac:dyDescent="0.25">
      <c r="A6566" s="13"/>
    </row>
    <row r="6567" spans="1:1" x14ac:dyDescent="0.25">
      <c r="A6567" s="13"/>
    </row>
    <row r="6568" spans="1:1" x14ac:dyDescent="0.25">
      <c r="A6568" s="13"/>
    </row>
    <row r="6569" spans="1:1" x14ac:dyDescent="0.25">
      <c r="A6569" s="13"/>
    </row>
    <row r="6570" spans="1:1" x14ac:dyDescent="0.25">
      <c r="A6570" s="13"/>
    </row>
    <row r="6571" spans="1:1" x14ac:dyDescent="0.25">
      <c r="A6571" s="13"/>
    </row>
    <row r="6572" spans="1:1" x14ac:dyDescent="0.25">
      <c r="A6572" s="13"/>
    </row>
    <row r="6573" spans="1:1" x14ac:dyDescent="0.25">
      <c r="A6573" s="13"/>
    </row>
    <row r="6574" spans="1:1" x14ac:dyDescent="0.25">
      <c r="A6574" s="13"/>
    </row>
    <row r="6575" spans="1:1" x14ac:dyDescent="0.25">
      <c r="A6575" s="13"/>
    </row>
    <row r="6576" spans="1:1" x14ac:dyDescent="0.25">
      <c r="A6576" s="13"/>
    </row>
    <row r="6577" spans="1:1" x14ac:dyDescent="0.25">
      <c r="A6577" s="13"/>
    </row>
    <row r="6578" spans="1:1" x14ac:dyDescent="0.25">
      <c r="A6578" s="13"/>
    </row>
    <row r="6579" spans="1:1" x14ac:dyDescent="0.25">
      <c r="A6579" s="13"/>
    </row>
    <row r="6580" spans="1:1" x14ac:dyDescent="0.25">
      <c r="A6580" s="13"/>
    </row>
    <row r="6581" spans="1:1" x14ac:dyDescent="0.25">
      <c r="A6581" s="13"/>
    </row>
    <row r="6582" spans="1:1" x14ac:dyDescent="0.25">
      <c r="A6582" s="13"/>
    </row>
    <row r="6583" spans="1:1" x14ac:dyDescent="0.25">
      <c r="A6583" s="13"/>
    </row>
    <row r="6584" spans="1:1" x14ac:dyDescent="0.25">
      <c r="A6584" s="13"/>
    </row>
    <row r="6585" spans="1:1" x14ac:dyDescent="0.25">
      <c r="A6585" s="13"/>
    </row>
    <row r="6586" spans="1:1" x14ac:dyDescent="0.25">
      <c r="A6586" s="13"/>
    </row>
    <row r="6587" spans="1:1" x14ac:dyDescent="0.25">
      <c r="A6587" s="13"/>
    </row>
    <row r="6588" spans="1:1" x14ac:dyDescent="0.25">
      <c r="A6588" s="13"/>
    </row>
    <row r="6589" spans="1:1" x14ac:dyDescent="0.25">
      <c r="A6589" s="13"/>
    </row>
    <row r="6590" spans="1:1" x14ac:dyDescent="0.25">
      <c r="A6590" s="13"/>
    </row>
    <row r="6591" spans="1:1" x14ac:dyDescent="0.25">
      <c r="A6591" s="13"/>
    </row>
    <row r="6592" spans="1:1" x14ac:dyDescent="0.25">
      <c r="A6592" s="13"/>
    </row>
    <row r="6593" spans="1:1" x14ac:dyDescent="0.25">
      <c r="A6593" s="13"/>
    </row>
    <row r="6594" spans="1:1" x14ac:dyDescent="0.25">
      <c r="A6594" s="13"/>
    </row>
    <row r="6595" spans="1:1" x14ac:dyDescent="0.25">
      <c r="A6595" s="13"/>
    </row>
    <row r="6596" spans="1:1" x14ac:dyDescent="0.25">
      <c r="A6596" s="13"/>
    </row>
    <row r="6597" spans="1:1" x14ac:dyDescent="0.25">
      <c r="A6597" s="13"/>
    </row>
    <row r="6598" spans="1:1" x14ac:dyDescent="0.25">
      <c r="A6598" s="13"/>
    </row>
    <row r="6599" spans="1:1" x14ac:dyDescent="0.25">
      <c r="A6599" s="13"/>
    </row>
    <row r="6600" spans="1:1" x14ac:dyDescent="0.25">
      <c r="A6600" s="13"/>
    </row>
    <row r="6601" spans="1:1" x14ac:dyDescent="0.25">
      <c r="A6601" s="13"/>
    </row>
    <row r="6602" spans="1:1" x14ac:dyDescent="0.25">
      <c r="A6602" s="13"/>
    </row>
    <row r="6603" spans="1:1" x14ac:dyDescent="0.25">
      <c r="A6603" s="13"/>
    </row>
    <row r="6604" spans="1:1" x14ac:dyDescent="0.25">
      <c r="A6604" s="13"/>
    </row>
    <row r="6605" spans="1:1" x14ac:dyDescent="0.25">
      <c r="A6605" s="13"/>
    </row>
    <row r="6606" spans="1:1" x14ac:dyDescent="0.25">
      <c r="A6606" s="13"/>
    </row>
    <row r="6607" spans="1:1" x14ac:dyDescent="0.25">
      <c r="A6607" s="13"/>
    </row>
    <row r="6608" spans="1:1" x14ac:dyDescent="0.25">
      <c r="A6608" s="13"/>
    </row>
    <row r="6609" spans="1:1" x14ac:dyDescent="0.25">
      <c r="A6609" s="13"/>
    </row>
    <row r="6610" spans="1:1" x14ac:dyDescent="0.25">
      <c r="A6610" s="13"/>
    </row>
    <row r="6611" spans="1:1" x14ac:dyDescent="0.25">
      <c r="A6611" s="13"/>
    </row>
    <row r="6612" spans="1:1" x14ac:dyDescent="0.25">
      <c r="A6612" s="13"/>
    </row>
    <row r="6613" spans="1:1" x14ac:dyDescent="0.25">
      <c r="A6613" s="13"/>
    </row>
    <row r="6614" spans="1:1" x14ac:dyDescent="0.25">
      <c r="A6614" s="13"/>
    </row>
    <row r="6615" spans="1:1" x14ac:dyDescent="0.25">
      <c r="A6615" s="13"/>
    </row>
    <row r="6616" spans="1:1" x14ac:dyDescent="0.25">
      <c r="A6616" s="13"/>
    </row>
    <row r="6617" spans="1:1" x14ac:dyDescent="0.25">
      <c r="A6617" s="13"/>
    </row>
    <row r="6618" spans="1:1" x14ac:dyDescent="0.25">
      <c r="A6618" s="13"/>
    </row>
    <row r="6619" spans="1:1" x14ac:dyDescent="0.25">
      <c r="A6619" s="13"/>
    </row>
    <row r="6620" spans="1:1" x14ac:dyDescent="0.25">
      <c r="A6620" s="13"/>
    </row>
    <row r="6621" spans="1:1" x14ac:dyDescent="0.25">
      <c r="A6621" s="13"/>
    </row>
    <row r="6622" spans="1:1" x14ac:dyDescent="0.25">
      <c r="A6622" s="13"/>
    </row>
    <row r="6623" spans="1:1" x14ac:dyDescent="0.25">
      <c r="A6623" s="13"/>
    </row>
    <row r="6624" spans="1:1" x14ac:dyDescent="0.25">
      <c r="A6624" s="13"/>
    </row>
    <row r="6625" spans="1:1" x14ac:dyDescent="0.25">
      <c r="A6625" s="13"/>
    </row>
    <row r="6626" spans="1:1" x14ac:dyDescent="0.25">
      <c r="A6626" s="13"/>
    </row>
    <row r="6627" spans="1:1" x14ac:dyDescent="0.25">
      <c r="A6627" s="13"/>
    </row>
    <row r="6628" spans="1:1" x14ac:dyDescent="0.25">
      <c r="A6628" s="13"/>
    </row>
    <row r="6629" spans="1:1" x14ac:dyDescent="0.25">
      <c r="A6629" s="13"/>
    </row>
    <row r="6630" spans="1:1" x14ac:dyDescent="0.25">
      <c r="A6630" s="13"/>
    </row>
    <row r="6631" spans="1:1" x14ac:dyDescent="0.25">
      <c r="A6631" s="13"/>
    </row>
    <row r="6632" spans="1:1" x14ac:dyDescent="0.25">
      <c r="A6632" s="13"/>
    </row>
    <row r="6633" spans="1:1" x14ac:dyDescent="0.25">
      <c r="A6633" s="13"/>
    </row>
    <row r="6634" spans="1:1" x14ac:dyDescent="0.25">
      <c r="A6634" s="13"/>
    </row>
    <row r="6635" spans="1:1" x14ac:dyDescent="0.25">
      <c r="A6635" s="13"/>
    </row>
    <row r="6636" spans="1:1" x14ac:dyDescent="0.25">
      <c r="A6636" s="13"/>
    </row>
    <row r="6637" spans="1:1" x14ac:dyDescent="0.25">
      <c r="A6637" s="13"/>
    </row>
    <row r="6638" spans="1:1" x14ac:dyDescent="0.25">
      <c r="A6638" s="13"/>
    </row>
    <row r="6639" spans="1:1" x14ac:dyDescent="0.25">
      <c r="A6639" s="13"/>
    </row>
    <row r="6640" spans="1:1" x14ac:dyDescent="0.25">
      <c r="A6640" s="13"/>
    </row>
    <row r="6641" spans="1:1" x14ac:dyDescent="0.25">
      <c r="A6641" s="13"/>
    </row>
    <row r="6642" spans="1:1" x14ac:dyDescent="0.25">
      <c r="A6642" s="13"/>
    </row>
    <row r="6643" spans="1:1" x14ac:dyDescent="0.25">
      <c r="A6643" s="13"/>
    </row>
    <row r="6644" spans="1:1" x14ac:dyDescent="0.25">
      <c r="A6644" s="13"/>
    </row>
    <row r="6645" spans="1:1" x14ac:dyDescent="0.25">
      <c r="A6645" s="13"/>
    </row>
    <row r="6646" spans="1:1" x14ac:dyDescent="0.25">
      <c r="A6646" s="13"/>
    </row>
    <row r="6647" spans="1:1" x14ac:dyDescent="0.25">
      <c r="A6647" s="13"/>
    </row>
    <row r="6648" spans="1:1" x14ac:dyDescent="0.25">
      <c r="A6648" s="13"/>
    </row>
    <row r="6649" spans="1:1" x14ac:dyDescent="0.25">
      <c r="A6649" s="13"/>
    </row>
    <row r="6650" spans="1:1" x14ac:dyDescent="0.25">
      <c r="A6650" s="13"/>
    </row>
    <row r="6651" spans="1:1" x14ac:dyDescent="0.25">
      <c r="A6651" s="13"/>
    </row>
    <row r="6652" spans="1:1" x14ac:dyDescent="0.25">
      <c r="A6652" s="13"/>
    </row>
    <row r="6653" spans="1:1" x14ac:dyDescent="0.25">
      <c r="A6653" s="13"/>
    </row>
    <row r="6654" spans="1:1" x14ac:dyDescent="0.25">
      <c r="A6654" s="13"/>
    </row>
    <row r="6655" spans="1:1" x14ac:dyDescent="0.25">
      <c r="A6655" s="13"/>
    </row>
    <row r="6656" spans="1:1" x14ac:dyDescent="0.25">
      <c r="A6656" s="13"/>
    </row>
    <row r="6657" spans="1:1" x14ac:dyDescent="0.25">
      <c r="A6657" s="13"/>
    </row>
    <row r="6658" spans="1:1" x14ac:dyDescent="0.25">
      <c r="A6658" s="13"/>
    </row>
    <row r="6659" spans="1:1" x14ac:dyDescent="0.25">
      <c r="A6659" s="13"/>
    </row>
    <row r="6660" spans="1:1" x14ac:dyDescent="0.25">
      <c r="A6660" s="13"/>
    </row>
    <row r="6661" spans="1:1" x14ac:dyDescent="0.25">
      <c r="A6661" s="13"/>
    </row>
    <row r="6662" spans="1:1" x14ac:dyDescent="0.25">
      <c r="A6662" s="13"/>
    </row>
    <row r="6663" spans="1:1" x14ac:dyDescent="0.25">
      <c r="A6663" s="13"/>
    </row>
    <row r="6664" spans="1:1" x14ac:dyDescent="0.25">
      <c r="A6664" s="13"/>
    </row>
    <row r="6665" spans="1:1" x14ac:dyDescent="0.25">
      <c r="A6665" s="13"/>
    </row>
    <row r="6666" spans="1:1" x14ac:dyDescent="0.25">
      <c r="A6666" s="13"/>
    </row>
    <row r="6667" spans="1:1" x14ac:dyDescent="0.25">
      <c r="A6667" s="13"/>
    </row>
    <row r="6668" spans="1:1" x14ac:dyDescent="0.25">
      <c r="A6668" s="13"/>
    </row>
    <row r="6669" spans="1:1" x14ac:dyDescent="0.25">
      <c r="A6669" s="13"/>
    </row>
    <row r="6670" spans="1:1" x14ac:dyDescent="0.25">
      <c r="A6670" s="13"/>
    </row>
    <row r="6671" spans="1:1" x14ac:dyDescent="0.25">
      <c r="A6671" s="13"/>
    </row>
    <row r="6672" spans="1:1" x14ac:dyDescent="0.25">
      <c r="A6672" s="13"/>
    </row>
    <row r="6673" spans="1:1" x14ac:dyDescent="0.25">
      <c r="A6673" s="13"/>
    </row>
    <row r="6674" spans="1:1" x14ac:dyDescent="0.25">
      <c r="A6674" s="13"/>
    </row>
    <row r="6675" spans="1:1" x14ac:dyDescent="0.25">
      <c r="A6675" s="13"/>
    </row>
    <row r="6676" spans="1:1" x14ac:dyDescent="0.25">
      <c r="A6676" s="13"/>
    </row>
    <row r="6677" spans="1:1" x14ac:dyDescent="0.25">
      <c r="A6677" s="13"/>
    </row>
    <row r="6678" spans="1:1" x14ac:dyDescent="0.25">
      <c r="A6678" s="13"/>
    </row>
    <row r="6679" spans="1:1" x14ac:dyDescent="0.25">
      <c r="A6679" s="13"/>
    </row>
    <row r="6680" spans="1:1" x14ac:dyDescent="0.25">
      <c r="A6680" s="13"/>
    </row>
    <row r="6681" spans="1:1" x14ac:dyDescent="0.25">
      <c r="A6681" s="13"/>
    </row>
    <row r="6682" spans="1:1" x14ac:dyDescent="0.25">
      <c r="A6682" s="13"/>
    </row>
    <row r="6683" spans="1:1" x14ac:dyDescent="0.25">
      <c r="A6683" s="13"/>
    </row>
    <row r="6684" spans="1:1" x14ac:dyDescent="0.25">
      <c r="A6684" s="13"/>
    </row>
    <row r="6685" spans="1:1" x14ac:dyDescent="0.25">
      <c r="A6685" s="13"/>
    </row>
    <row r="6686" spans="1:1" x14ac:dyDescent="0.25">
      <c r="A6686" s="13"/>
    </row>
    <row r="6687" spans="1:1" x14ac:dyDescent="0.25">
      <c r="A6687" s="13"/>
    </row>
    <row r="6688" spans="1:1" x14ac:dyDescent="0.25">
      <c r="A6688" s="13"/>
    </row>
    <row r="6689" spans="1:1" x14ac:dyDescent="0.25">
      <c r="A6689" s="13"/>
    </row>
    <row r="6690" spans="1:1" x14ac:dyDescent="0.25">
      <c r="A6690" s="13"/>
    </row>
    <row r="6691" spans="1:1" x14ac:dyDescent="0.25">
      <c r="A6691" s="13"/>
    </row>
    <row r="6692" spans="1:1" x14ac:dyDescent="0.25">
      <c r="A6692" s="13"/>
    </row>
    <row r="6693" spans="1:1" x14ac:dyDescent="0.25">
      <c r="A6693" s="13"/>
    </row>
    <row r="6694" spans="1:1" x14ac:dyDescent="0.25">
      <c r="A6694" s="13"/>
    </row>
    <row r="6695" spans="1:1" x14ac:dyDescent="0.25">
      <c r="A6695" s="13"/>
    </row>
    <row r="6696" spans="1:1" x14ac:dyDescent="0.25">
      <c r="A6696" s="13"/>
    </row>
    <row r="6697" spans="1:1" x14ac:dyDescent="0.25">
      <c r="A6697" s="13"/>
    </row>
    <row r="6698" spans="1:1" x14ac:dyDescent="0.25">
      <c r="A6698" s="13"/>
    </row>
    <row r="6699" spans="1:1" x14ac:dyDescent="0.25">
      <c r="A6699" s="13"/>
    </row>
    <row r="6700" spans="1:1" x14ac:dyDescent="0.25">
      <c r="A6700" s="13"/>
    </row>
    <row r="6701" spans="1:1" x14ac:dyDescent="0.25">
      <c r="A6701" s="13"/>
    </row>
    <row r="6702" spans="1:1" x14ac:dyDescent="0.25">
      <c r="A6702" s="13"/>
    </row>
    <row r="6703" spans="1:1" x14ac:dyDescent="0.25">
      <c r="A6703" s="13"/>
    </row>
    <row r="6704" spans="1:1" x14ac:dyDescent="0.25">
      <c r="A6704" s="13"/>
    </row>
    <row r="6705" spans="1:1" x14ac:dyDescent="0.25">
      <c r="A6705" s="13"/>
    </row>
    <row r="6706" spans="1:1" x14ac:dyDescent="0.25">
      <c r="A6706" s="13"/>
    </row>
    <row r="6707" spans="1:1" x14ac:dyDescent="0.25">
      <c r="A6707" s="13"/>
    </row>
    <row r="6708" spans="1:1" x14ac:dyDescent="0.25">
      <c r="A6708" s="13"/>
    </row>
    <row r="6709" spans="1:1" x14ac:dyDescent="0.25">
      <c r="A6709" s="13"/>
    </row>
    <row r="6710" spans="1:1" x14ac:dyDescent="0.25">
      <c r="A6710" s="13"/>
    </row>
    <row r="6711" spans="1:1" x14ac:dyDescent="0.25">
      <c r="A6711" s="13"/>
    </row>
    <row r="6712" spans="1:1" x14ac:dyDescent="0.25">
      <c r="A6712" s="13"/>
    </row>
    <row r="6713" spans="1:1" x14ac:dyDescent="0.25">
      <c r="A6713" s="13"/>
    </row>
    <row r="6714" spans="1:1" x14ac:dyDescent="0.25">
      <c r="A6714" s="13"/>
    </row>
    <row r="6715" spans="1:1" x14ac:dyDescent="0.25">
      <c r="A6715" s="13"/>
    </row>
    <row r="6716" spans="1:1" x14ac:dyDescent="0.25">
      <c r="A6716" s="13"/>
    </row>
    <row r="6717" spans="1:1" x14ac:dyDescent="0.25">
      <c r="A6717" s="13"/>
    </row>
    <row r="6718" spans="1:1" x14ac:dyDescent="0.25">
      <c r="A6718" s="13"/>
    </row>
    <row r="6719" spans="1:1" x14ac:dyDescent="0.25">
      <c r="A6719" s="13"/>
    </row>
    <row r="6720" spans="1:1" x14ac:dyDescent="0.25">
      <c r="A6720" s="13"/>
    </row>
    <row r="6721" spans="1:1" x14ac:dyDescent="0.25">
      <c r="A6721" s="13"/>
    </row>
    <row r="6722" spans="1:1" x14ac:dyDescent="0.25">
      <c r="A6722" s="13"/>
    </row>
    <row r="6723" spans="1:1" x14ac:dyDescent="0.25">
      <c r="A6723" s="13"/>
    </row>
    <row r="6724" spans="1:1" x14ac:dyDescent="0.25">
      <c r="A6724" s="13"/>
    </row>
    <row r="6725" spans="1:1" x14ac:dyDescent="0.25">
      <c r="A6725" s="13"/>
    </row>
    <row r="6726" spans="1:1" x14ac:dyDescent="0.25">
      <c r="A6726" s="13"/>
    </row>
    <row r="6727" spans="1:1" x14ac:dyDescent="0.25">
      <c r="A6727" s="13"/>
    </row>
    <row r="6728" spans="1:1" x14ac:dyDescent="0.25">
      <c r="A6728" s="13"/>
    </row>
    <row r="6729" spans="1:1" x14ac:dyDescent="0.25">
      <c r="A6729" s="13"/>
    </row>
    <row r="6730" spans="1:1" x14ac:dyDescent="0.25">
      <c r="A6730" s="13"/>
    </row>
    <row r="6731" spans="1:1" x14ac:dyDescent="0.25">
      <c r="A6731" s="13"/>
    </row>
    <row r="6732" spans="1:1" x14ac:dyDescent="0.25">
      <c r="A6732" s="13"/>
    </row>
    <row r="6733" spans="1:1" x14ac:dyDescent="0.25">
      <c r="A6733" s="13"/>
    </row>
    <row r="6734" spans="1:1" x14ac:dyDescent="0.25">
      <c r="A6734" s="13"/>
    </row>
    <row r="6735" spans="1:1" x14ac:dyDescent="0.25">
      <c r="A6735" s="13"/>
    </row>
    <row r="6736" spans="1:1" x14ac:dyDescent="0.25">
      <c r="A6736" s="13"/>
    </row>
    <row r="6737" spans="1:1" x14ac:dyDescent="0.25">
      <c r="A6737" s="13"/>
    </row>
    <row r="6738" spans="1:1" x14ac:dyDescent="0.25">
      <c r="A6738" s="13"/>
    </row>
    <row r="6739" spans="1:1" x14ac:dyDescent="0.25">
      <c r="A6739" s="13"/>
    </row>
    <row r="6740" spans="1:1" x14ac:dyDescent="0.25">
      <c r="A6740" s="13"/>
    </row>
    <row r="6741" spans="1:1" x14ac:dyDescent="0.25">
      <c r="A6741" s="13"/>
    </row>
    <row r="6742" spans="1:1" x14ac:dyDescent="0.25">
      <c r="A6742" s="13"/>
    </row>
    <row r="6743" spans="1:1" x14ac:dyDescent="0.25">
      <c r="A6743" s="13"/>
    </row>
    <row r="6744" spans="1:1" x14ac:dyDescent="0.25">
      <c r="A6744" s="13"/>
    </row>
    <row r="6745" spans="1:1" x14ac:dyDescent="0.25">
      <c r="A6745" s="13"/>
    </row>
    <row r="6746" spans="1:1" x14ac:dyDescent="0.25">
      <c r="A6746" s="13"/>
    </row>
    <row r="6747" spans="1:1" x14ac:dyDescent="0.25">
      <c r="A6747" s="13"/>
    </row>
    <row r="6748" spans="1:1" x14ac:dyDescent="0.25">
      <c r="A6748" s="13"/>
    </row>
    <row r="6749" spans="1:1" x14ac:dyDescent="0.25">
      <c r="A6749" s="13"/>
    </row>
    <row r="6750" spans="1:1" x14ac:dyDescent="0.25">
      <c r="A6750" s="13"/>
    </row>
    <row r="6751" spans="1:1" x14ac:dyDescent="0.25">
      <c r="A6751" s="13"/>
    </row>
    <row r="6752" spans="1:1" x14ac:dyDescent="0.25">
      <c r="A6752" s="13"/>
    </row>
    <row r="6753" spans="1:1" x14ac:dyDescent="0.25">
      <c r="A6753" s="13"/>
    </row>
    <row r="6754" spans="1:1" x14ac:dyDescent="0.25">
      <c r="A6754" s="13"/>
    </row>
    <row r="6755" spans="1:1" x14ac:dyDescent="0.25">
      <c r="A6755" s="13"/>
    </row>
    <row r="6756" spans="1:1" x14ac:dyDescent="0.25">
      <c r="A6756" s="13"/>
    </row>
    <row r="6757" spans="1:1" x14ac:dyDescent="0.25">
      <c r="A6757" s="13"/>
    </row>
    <row r="6758" spans="1:1" x14ac:dyDescent="0.25">
      <c r="A6758" s="13"/>
    </row>
    <row r="6759" spans="1:1" x14ac:dyDescent="0.25">
      <c r="A6759" s="13"/>
    </row>
    <row r="6760" spans="1:1" x14ac:dyDescent="0.25">
      <c r="A6760" s="13"/>
    </row>
    <row r="6761" spans="1:1" x14ac:dyDescent="0.25">
      <c r="A6761" s="13"/>
    </row>
    <row r="6762" spans="1:1" x14ac:dyDescent="0.25">
      <c r="A6762" s="13"/>
    </row>
    <row r="6763" spans="1:1" x14ac:dyDescent="0.25">
      <c r="A6763" s="13"/>
    </row>
    <row r="6764" spans="1:1" x14ac:dyDescent="0.25">
      <c r="A6764" s="13"/>
    </row>
    <row r="6765" spans="1:1" x14ac:dyDescent="0.25">
      <c r="A6765" s="13"/>
    </row>
    <row r="6766" spans="1:1" x14ac:dyDescent="0.25">
      <c r="A6766" s="13"/>
    </row>
    <row r="6767" spans="1:1" x14ac:dyDescent="0.25">
      <c r="A6767" s="13"/>
    </row>
    <row r="6768" spans="1:1" x14ac:dyDescent="0.25">
      <c r="A6768" s="13"/>
    </row>
    <row r="6769" spans="1:1" x14ac:dyDescent="0.25">
      <c r="A6769" s="13"/>
    </row>
    <row r="6770" spans="1:1" x14ac:dyDescent="0.25">
      <c r="A6770" s="13"/>
    </row>
    <row r="6771" spans="1:1" x14ac:dyDescent="0.25">
      <c r="A6771" s="13"/>
    </row>
    <row r="6772" spans="1:1" x14ac:dyDescent="0.25">
      <c r="A6772" s="13"/>
    </row>
    <row r="6773" spans="1:1" x14ac:dyDescent="0.25">
      <c r="A6773" s="13"/>
    </row>
    <row r="6774" spans="1:1" x14ac:dyDescent="0.25">
      <c r="A6774" s="13"/>
    </row>
    <row r="6775" spans="1:1" x14ac:dyDescent="0.25">
      <c r="A6775" s="13"/>
    </row>
    <row r="6776" spans="1:1" x14ac:dyDescent="0.25">
      <c r="A6776" s="13"/>
    </row>
    <row r="6777" spans="1:1" x14ac:dyDescent="0.25">
      <c r="A6777" s="13"/>
    </row>
    <row r="6778" spans="1:1" x14ac:dyDescent="0.25">
      <c r="A6778" s="13"/>
    </row>
    <row r="6779" spans="1:1" x14ac:dyDescent="0.25">
      <c r="A6779" s="13"/>
    </row>
    <row r="6780" spans="1:1" x14ac:dyDescent="0.25">
      <c r="A6780" s="13"/>
    </row>
    <row r="6781" spans="1:1" x14ac:dyDescent="0.25">
      <c r="A6781" s="13"/>
    </row>
    <row r="6782" spans="1:1" x14ac:dyDescent="0.25">
      <c r="A6782" s="13"/>
    </row>
    <row r="6783" spans="1:1" x14ac:dyDescent="0.25">
      <c r="A6783" s="13"/>
    </row>
    <row r="6784" spans="1:1" x14ac:dyDescent="0.25">
      <c r="A6784" s="13"/>
    </row>
    <row r="6785" spans="1:1" x14ac:dyDescent="0.25">
      <c r="A6785" s="13"/>
    </row>
    <row r="6786" spans="1:1" x14ac:dyDescent="0.25">
      <c r="A6786" s="13"/>
    </row>
    <row r="6787" spans="1:1" x14ac:dyDescent="0.25">
      <c r="A6787" s="13"/>
    </row>
    <row r="6788" spans="1:1" x14ac:dyDescent="0.25">
      <c r="A6788" s="13"/>
    </row>
    <row r="6789" spans="1:1" x14ac:dyDescent="0.25">
      <c r="A6789" s="13"/>
    </row>
    <row r="6790" spans="1:1" x14ac:dyDescent="0.25">
      <c r="A6790" s="13"/>
    </row>
    <row r="6791" spans="1:1" x14ac:dyDescent="0.25">
      <c r="A6791" s="13"/>
    </row>
    <row r="6792" spans="1:1" x14ac:dyDescent="0.25">
      <c r="A6792" s="13"/>
    </row>
    <row r="6793" spans="1:1" x14ac:dyDescent="0.25">
      <c r="A6793" s="13"/>
    </row>
    <row r="6794" spans="1:1" x14ac:dyDescent="0.25">
      <c r="A6794" s="13"/>
    </row>
    <row r="6795" spans="1:1" x14ac:dyDescent="0.25">
      <c r="A6795" s="13"/>
    </row>
    <row r="6796" spans="1:1" x14ac:dyDescent="0.25">
      <c r="A6796" s="13"/>
    </row>
    <row r="6797" spans="1:1" x14ac:dyDescent="0.25">
      <c r="A6797" s="13"/>
    </row>
    <row r="6798" spans="1:1" x14ac:dyDescent="0.25">
      <c r="A6798" s="13"/>
    </row>
    <row r="6799" spans="1:1" x14ac:dyDescent="0.25">
      <c r="A6799" s="13"/>
    </row>
    <row r="6800" spans="1:1" x14ac:dyDescent="0.25">
      <c r="A6800" s="13"/>
    </row>
    <row r="6801" spans="1:1" x14ac:dyDescent="0.25">
      <c r="A6801" s="13"/>
    </row>
    <row r="6802" spans="1:1" x14ac:dyDescent="0.25">
      <c r="A6802" s="13"/>
    </row>
    <row r="6803" spans="1:1" x14ac:dyDescent="0.25">
      <c r="A6803" s="13"/>
    </row>
    <row r="6804" spans="1:1" x14ac:dyDescent="0.25">
      <c r="A6804" s="13"/>
    </row>
    <row r="6805" spans="1:1" x14ac:dyDescent="0.25">
      <c r="A6805" s="13"/>
    </row>
    <row r="6806" spans="1:1" x14ac:dyDescent="0.25">
      <c r="A6806" s="13"/>
    </row>
    <row r="6807" spans="1:1" x14ac:dyDescent="0.25">
      <c r="A6807" s="13"/>
    </row>
    <row r="6808" spans="1:1" x14ac:dyDescent="0.25">
      <c r="A6808" s="13"/>
    </row>
    <row r="6809" spans="1:1" x14ac:dyDescent="0.25">
      <c r="A6809" s="13"/>
    </row>
    <row r="6810" spans="1:1" x14ac:dyDescent="0.25">
      <c r="A6810" s="13"/>
    </row>
    <row r="6811" spans="1:1" x14ac:dyDescent="0.25">
      <c r="A6811" s="13"/>
    </row>
    <row r="6812" spans="1:1" x14ac:dyDescent="0.25">
      <c r="A6812" s="13"/>
    </row>
    <row r="6813" spans="1:1" x14ac:dyDescent="0.25">
      <c r="A6813" s="13"/>
    </row>
    <row r="6814" spans="1:1" x14ac:dyDescent="0.25">
      <c r="A6814" s="13"/>
    </row>
    <row r="6815" spans="1:1" x14ac:dyDescent="0.25">
      <c r="A6815" s="13"/>
    </row>
    <row r="6816" spans="1:1" x14ac:dyDescent="0.25">
      <c r="A6816" s="13"/>
    </row>
    <row r="6817" spans="1:1" x14ac:dyDescent="0.25">
      <c r="A6817" s="13"/>
    </row>
    <row r="6818" spans="1:1" x14ac:dyDescent="0.25">
      <c r="A6818" s="13"/>
    </row>
    <row r="6819" spans="1:1" x14ac:dyDescent="0.25">
      <c r="A6819" s="13"/>
    </row>
    <row r="6820" spans="1:1" x14ac:dyDescent="0.25">
      <c r="A6820" s="13"/>
    </row>
    <row r="6821" spans="1:1" x14ac:dyDescent="0.25">
      <c r="A6821" s="13"/>
    </row>
    <row r="6822" spans="1:1" x14ac:dyDescent="0.25">
      <c r="A6822" s="13"/>
    </row>
    <row r="6823" spans="1:1" x14ac:dyDescent="0.25">
      <c r="A6823" s="13"/>
    </row>
    <row r="6824" spans="1:1" x14ac:dyDescent="0.25">
      <c r="A6824" s="13"/>
    </row>
    <row r="6825" spans="1:1" x14ac:dyDescent="0.25">
      <c r="A6825" s="13"/>
    </row>
    <row r="6826" spans="1:1" x14ac:dyDescent="0.25">
      <c r="A6826" s="13"/>
    </row>
    <row r="6827" spans="1:1" x14ac:dyDescent="0.25">
      <c r="A6827" s="13"/>
    </row>
    <row r="6828" spans="1:1" x14ac:dyDescent="0.25">
      <c r="A6828" s="13"/>
    </row>
    <row r="6829" spans="1:1" x14ac:dyDescent="0.25">
      <c r="A6829" s="13"/>
    </row>
    <row r="6830" spans="1:1" x14ac:dyDescent="0.25">
      <c r="A6830" s="13"/>
    </row>
    <row r="6831" spans="1:1" x14ac:dyDescent="0.25">
      <c r="A6831" s="13"/>
    </row>
    <row r="6832" spans="1:1" x14ac:dyDescent="0.25">
      <c r="A6832" s="13"/>
    </row>
    <row r="6833" spans="1:1" x14ac:dyDescent="0.25">
      <c r="A6833" s="13"/>
    </row>
    <row r="6834" spans="1:1" x14ac:dyDescent="0.25">
      <c r="A6834" s="13"/>
    </row>
    <row r="6835" spans="1:1" x14ac:dyDescent="0.25">
      <c r="A6835" s="13"/>
    </row>
    <row r="6836" spans="1:1" x14ac:dyDescent="0.25">
      <c r="A6836" s="13"/>
    </row>
    <row r="6837" spans="1:1" x14ac:dyDescent="0.25">
      <c r="A6837" s="13"/>
    </row>
    <row r="6838" spans="1:1" x14ac:dyDescent="0.25">
      <c r="A6838" s="13"/>
    </row>
    <row r="6839" spans="1:1" x14ac:dyDescent="0.25">
      <c r="A6839" s="13"/>
    </row>
    <row r="6840" spans="1:1" x14ac:dyDescent="0.25">
      <c r="A6840" s="13"/>
    </row>
    <row r="6841" spans="1:1" x14ac:dyDescent="0.25">
      <c r="A6841" s="13"/>
    </row>
    <row r="6842" spans="1:1" x14ac:dyDescent="0.25">
      <c r="A6842" s="13"/>
    </row>
    <row r="6843" spans="1:1" x14ac:dyDescent="0.25">
      <c r="A6843" s="13"/>
    </row>
    <row r="6844" spans="1:1" x14ac:dyDescent="0.25">
      <c r="A6844" s="13"/>
    </row>
    <row r="6845" spans="1:1" x14ac:dyDescent="0.25">
      <c r="A6845" s="13"/>
    </row>
    <row r="6846" spans="1:1" x14ac:dyDescent="0.25">
      <c r="A6846" s="13"/>
    </row>
    <row r="6847" spans="1:1" x14ac:dyDescent="0.25">
      <c r="A6847" s="13"/>
    </row>
    <row r="6848" spans="1:1" x14ac:dyDescent="0.25">
      <c r="A6848" s="13"/>
    </row>
    <row r="6849" spans="1:1" x14ac:dyDescent="0.25">
      <c r="A6849" s="13"/>
    </row>
    <row r="6850" spans="1:1" x14ac:dyDescent="0.25">
      <c r="A6850" s="13"/>
    </row>
    <row r="6851" spans="1:1" x14ac:dyDescent="0.25">
      <c r="A6851" s="13"/>
    </row>
    <row r="6852" spans="1:1" x14ac:dyDescent="0.25">
      <c r="A6852" s="13"/>
    </row>
    <row r="6853" spans="1:1" x14ac:dyDescent="0.25">
      <c r="A6853" s="13"/>
    </row>
    <row r="6854" spans="1:1" x14ac:dyDescent="0.25">
      <c r="A6854" s="13"/>
    </row>
    <row r="6855" spans="1:1" x14ac:dyDescent="0.25">
      <c r="A6855" s="13"/>
    </row>
    <row r="6856" spans="1:1" x14ac:dyDescent="0.25">
      <c r="A6856" s="13"/>
    </row>
    <row r="6857" spans="1:1" x14ac:dyDescent="0.25">
      <c r="A6857" s="13"/>
    </row>
    <row r="6858" spans="1:1" x14ac:dyDescent="0.25">
      <c r="A6858" s="13"/>
    </row>
    <row r="6859" spans="1:1" x14ac:dyDescent="0.25">
      <c r="A6859" s="13"/>
    </row>
    <row r="6860" spans="1:1" x14ac:dyDescent="0.25">
      <c r="A6860" s="13"/>
    </row>
    <row r="6861" spans="1:1" x14ac:dyDescent="0.25">
      <c r="A6861" s="13"/>
    </row>
    <row r="6862" spans="1:1" x14ac:dyDescent="0.25">
      <c r="A6862" s="13"/>
    </row>
    <row r="6863" spans="1:1" x14ac:dyDescent="0.25">
      <c r="A6863" s="13"/>
    </row>
    <row r="6864" spans="1:1" x14ac:dyDescent="0.25">
      <c r="A6864" s="13"/>
    </row>
    <row r="6865" spans="1:1" x14ac:dyDescent="0.25">
      <c r="A6865" s="13"/>
    </row>
    <row r="6866" spans="1:1" x14ac:dyDescent="0.25">
      <c r="A6866" s="13"/>
    </row>
    <row r="6867" spans="1:1" x14ac:dyDescent="0.25">
      <c r="A6867" s="13"/>
    </row>
    <row r="6868" spans="1:1" x14ac:dyDescent="0.25">
      <c r="A6868" s="13"/>
    </row>
    <row r="6869" spans="1:1" x14ac:dyDescent="0.25">
      <c r="A6869" s="13"/>
    </row>
    <row r="6870" spans="1:1" x14ac:dyDescent="0.25">
      <c r="A6870" s="13"/>
    </row>
    <row r="6871" spans="1:1" x14ac:dyDescent="0.25">
      <c r="A6871" s="13"/>
    </row>
    <row r="6872" spans="1:1" x14ac:dyDescent="0.25">
      <c r="A6872" s="13"/>
    </row>
    <row r="6873" spans="1:1" x14ac:dyDescent="0.25">
      <c r="A6873" s="13"/>
    </row>
    <row r="6874" spans="1:1" x14ac:dyDescent="0.25">
      <c r="A6874" s="13"/>
    </row>
    <row r="6875" spans="1:1" x14ac:dyDescent="0.25">
      <c r="A6875" s="13"/>
    </row>
    <row r="6876" spans="1:1" x14ac:dyDescent="0.25">
      <c r="A6876" s="13"/>
    </row>
    <row r="6877" spans="1:1" x14ac:dyDescent="0.25">
      <c r="A6877" s="13"/>
    </row>
    <row r="6878" spans="1:1" x14ac:dyDescent="0.25">
      <c r="A6878" s="13"/>
    </row>
    <row r="6879" spans="1:1" x14ac:dyDescent="0.25">
      <c r="A6879" s="13"/>
    </row>
    <row r="6880" spans="1:1" x14ac:dyDescent="0.25">
      <c r="A6880" s="13"/>
    </row>
    <row r="6881" spans="1:1" x14ac:dyDescent="0.25">
      <c r="A6881" s="13"/>
    </row>
    <row r="6882" spans="1:1" x14ac:dyDescent="0.25">
      <c r="A6882" s="13"/>
    </row>
    <row r="6883" spans="1:1" x14ac:dyDescent="0.25">
      <c r="A6883" s="13"/>
    </row>
    <row r="6884" spans="1:1" x14ac:dyDescent="0.25">
      <c r="A6884" s="13"/>
    </row>
    <row r="6885" spans="1:1" x14ac:dyDescent="0.25">
      <c r="A6885" s="13"/>
    </row>
    <row r="6886" spans="1:1" x14ac:dyDescent="0.25">
      <c r="A6886" s="13"/>
    </row>
    <row r="6887" spans="1:1" x14ac:dyDescent="0.25">
      <c r="A6887" s="13"/>
    </row>
    <row r="6888" spans="1:1" x14ac:dyDescent="0.25">
      <c r="A6888" s="13"/>
    </row>
    <row r="6889" spans="1:1" x14ac:dyDescent="0.25">
      <c r="A6889" s="13"/>
    </row>
    <row r="6890" spans="1:1" x14ac:dyDescent="0.25">
      <c r="A6890" s="13"/>
    </row>
    <row r="6891" spans="1:1" x14ac:dyDescent="0.25">
      <c r="A6891" s="13"/>
    </row>
    <row r="6892" spans="1:1" x14ac:dyDescent="0.25">
      <c r="A6892" s="13"/>
    </row>
    <row r="6893" spans="1:1" x14ac:dyDescent="0.25">
      <c r="A6893" s="13"/>
    </row>
    <row r="6894" spans="1:1" x14ac:dyDescent="0.25">
      <c r="A6894" s="13"/>
    </row>
    <row r="6895" spans="1:1" x14ac:dyDescent="0.25">
      <c r="A6895" s="13"/>
    </row>
    <row r="6896" spans="1:1" x14ac:dyDescent="0.25">
      <c r="A6896" s="13"/>
    </row>
    <row r="6897" spans="1:1" x14ac:dyDescent="0.25">
      <c r="A6897" s="13"/>
    </row>
    <row r="6898" spans="1:1" x14ac:dyDescent="0.25">
      <c r="A6898" s="13"/>
    </row>
    <row r="6899" spans="1:1" x14ac:dyDescent="0.25">
      <c r="A6899" s="13"/>
    </row>
    <row r="6900" spans="1:1" x14ac:dyDescent="0.25">
      <c r="A6900" s="13"/>
    </row>
    <row r="6901" spans="1:1" x14ac:dyDescent="0.25">
      <c r="A6901" s="13"/>
    </row>
    <row r="6902" spans="1:1" x14ac:dyDescent="0.25">
      <c r="A6902" s="13"/>
    </row>
    <row r="6903" spans="1:1" x14ac:dyDescent="0.25">
      <c r="A6903" s="13"/>
    </row>
    <row r="6904" spans="1:1" x14ac:dyDescent="0.25">
      <c r="A6904" s="13"/>
    </row>
    <row r="6905" spans="1:1" x14ac:dyDescent="0.25">
      <c r="A6905" s="13"/>
    </row>
    <row r="6906" spans="1:1" x14ac:dyDescent="0.25">
      <c r="A6906" s="13"/>
    </row>
    <row r="6907" spans="1:1" x14ac:dyDescent="0.25">
      <c r="A6907" s="13"/>
    </row>
    <row r="6908" spans="1:1" x14ac:dyDescent="0.25">
      <c r="A6908" s="13"/>
    </row>
    <row r="6909" spans="1:1" x14ac:dyDescent="0.25">
      <c r="A6909" s="13"/>
    </row>
    <row r="6910" spans="1:1" x14ac:dyDescent="0.25">
      <c r="A6910" s="13"/>
    </row>
    <row r="6911" spans="1:1" x14ac:dyDescent="0.25">
      <c r="A6911" s="13"/>
    </row>
    <row r="6912" spans="1:1" x14ac:dyDescent="0.25">
      <c r="A6912" s="13"/>
    </row>
    <row r="6913" spans="1:1" x14ac:dyDescent="0.25">
      <c r="A6913" s="13"/>
    </row>
    <row r="6914" spans="1:1" x14ac:dyDescent="0.25">
      <c r="A6914" s="13"/>
    </row>
    <row r="6915" spans="1:1" x14ac:dyDescent="0.25">
      <c r="A6915" s="13"/>
    </row>
    <row r="6916" spans="1:1" x14ac:dyDescent="0.25">
      <c r="A6916" s="13"/>
    </row>
    <row r="6917" spans="1:1" x14ac:dyDescent="0.25">
      <c r="A6917" s="13"/>
    </row>
    <row r="6918" spans="1:1" x14ac:dyDescent="0.25">
      <c r="A6918" s="13"/>
    </row>
    <row r="6919" spans="1:1" x14ac:dyDescent="0.25">
      <c r="A6919" s="13"/>
    </row>
    <row r="6920" spans="1:1" x14ac:dyDescent="0.25">
      <c r="A6920" s="13"/>
    </row>
    <row r="6921" spans="1:1" x14ac:dyDescent="0.25">
      <c r="A6921" s="13"/>
    </row>
    <row r="6922" spans="1:1" x14ac:dyDescent="0.25">
      <c r="A6922" s="13"/>
    </row>
    <row r="6923" spans="1:1" x14ac:dyDescent="0.25">
      <c r="A6923" s="13"/>
    </row>
    <row r="6924" spans="1:1" x14ac:dyDescent="0.25">
      <c r="A6924" s="13"/>
    </row>
    <row r="6925" spans="1:1" x14ac:dyDescent="0.25">
      <c r="A6925" s="13"/>
    </row>
    <row r="6926" spans="1:1" x14ac:dyDescent="0.25">
      <c r="A6926" s="13"/>
    </row>
    <row r="6927" spans="1:1" x14ac:dyDescent="0.25">
      <c r="A6927" s="13"/>
    </row>
    <row r="6928" spans="1:1" x14ac:dyDescent="0.25">
      <c r="A6928" s="13"/>
    </row>
    <row r="6929" spans="1:1" x14ac:dyDescent="0.25">
      <c r="A6929" s="13"/>
    </row>
    <row r="6930" spans="1:1" x14ac:dyDescent="0.25">
      <c r="A6930" s="13"/>
    </row>
    <row r="6931" spans="1:1" x14ac:dyDescent="0.25">
      <c r="A6931" s="13"/>
    </row>
    <row r="6932" spans="1:1" x14ac:dyDescent="0.25">
      <c r="A6932" s="13"/>
    </row>
    <row r="6933" spans="1:1" x14ac:dyDescent="0.25">
      <c r="A6933" s="13"/>
    </row>
    <row r="6934" spans="1:1" x14ac:dyDescent="0.25">
      <c r="A6934" s="13"/>
    </row>
    <row r="6935" spans="1:1" x14ac:dyDescent="0.25">
      <c r="A6935" s="13"/>
    </row>
    <row r="6936" spans="1:1" x14ac:dyDescent="0.25">
      <c r="A6936" s="13"/>
    </row>
    <row r="6937" spans="1:1" x14ac:dyDescent="0.25">
      <c r="A6937" s="13"/>
    </row>
    <row r="6938" spans="1:1" x14ac:dyDescent="0.25">
      <c r="A6938" s="13"/>
    </row>
    <row r="6939" spans="1:1" x14ac:dyDescent="0.25">
      <c r="A6939" s="13"/>
    </row>
    <row r="6940" spans="1:1" x14ac:dyDescent="0.25">
      <c r="A6940" s="13"/>
    </row>
    <row r="6941" spans="1:1" x14ac:dyDescent="0.25">
      <c r="A6941" s="13"/>
    </row>
    <row r="6942" spans="1:1" x14ac:dyDescent="0.25">
      <c r="A6942" s="13"/>
    </row>
    <row r="6943" spans="1:1" x14ac:dyDescent="0.25">
      <c r="A6943" s="13"/>
    </row>
    <row r="6944" spans="1:1" x14ac:dyDescent="0.25">
      <c r="A6944" s="13"/>
    </row>
    <row r="6945" spans="1:1" x14ac:dyDescent="0.25">
      <c r="A6945" s="13"/>
    </row>
    <row r="6946" spans="1:1" x14ac:dyDescent="0.25">
      <c r="A6946" s="13"/>
    </row>
    <row r="6947" spans="1:1" x14ac:dyDescent="0.25">
      <c r="A6947" s="13"/>
    </row>
    <row r="6948" spans="1:1" x14ac:dyDescent="0.25">
      <c r="A6948" s="13"/>
    </row>
    <row r="6949" spans="1:1" x14ac:dyDescent="0.25">
      <c r="A6949" s="13"/>
    </row>
    <row r="6950" spans="1:1" x14ac:dyDescent="0.25">
      <c r="A6950" s="13"/>
    </row>
    <row r="6951" spans="1:1" x14ac:dyDescent="0.25">
      <c r="A6951" s="13"/>
    </row>
    <row r="6952" spans="1:1" x14ac:dyDescent="0.25">
      <c r="A6952" s="13"/>
    </row>
    <row r="6953" spans="1:1" x14ac:dyDescent="0.25">
      <c r="A6953" s="13"/>
    </row>
    <row r="6954" spans="1:1" x14ac:dyDescent="0.25">
      <c r="A6954" s="13"/>
    </row>
    <row r="6955" spans="1:1" x14ac:dyDescent="0.25">
      <c r="A6955" s="13"/>
    </row>
    <row r="6956" spans="1:1" x14ac:dyDescent="0.25">
      <c r="A6956" s="13"/>
    </row>
    <row r="6957" spans="1:1" x14ac:dyDescent="0.25">
      <c r="A6957" s="13"/>
    </row>
    <row r="6958" spans="1:1" x14ac:dyDescent="0.25">
      <c r="A6958" s="13"/>
    </row>
    <row r="6959" spans="1:1" x14ac:dyDescent="0.25">
      <c r="A6959" s="13"/>
    </row>
    <row r="6960" spans="1:1" x14ac:dyDescent="0.25">
      <c r="A6960" s="13"/>
    </row>
    <row r="6961" spans="1:1" x14ac:dyDescent="0.25">
      <c r="A6961" s="13"/>
    </row>
    <row r="6962" spans="1:1" x14ac:dyDescent="0.25">
      <c r="A6962" s="13"/>
    </row>
    <row r="6963" spans="1:1" x14ac:dyDescent="0.25">
      <c r="A6963" s="13"/>
    </row>
    <row r="6964" spans="1:1" x14ac:dyDescent="0.25">
      <c r="A6964" s="13"/>
    </row>
    <row r="6965" spans="1:1" x14ac:dyDescent="0.25">
      <c r="A6965" s="13"/>
    </row>
    <row r="6966" spans="1:1" x14ac:dyDescent="0.25">
      <c r="A6966" s="13"/>
    </row>
    <row r="6967" spans="1:1" x14ac:dyDescent="0.25">
      <c r="A6967" s="13"/>
    </row>
    <row r="6968" spans="1:1" x14ac:dyDescent="0.25">
      <c r="A6968" s="13"/>
    </row>
    <row r="6969" spans="1:1" x14ac:dyDescent="0.25">
      <c r="A6969" s="13"/>
    </row>
    <row r="6970" spans="1:1" x14ac:dyDescent="0.25">
      <c r="A6970" s="13"/>
    </row>
    <row r="6971" spans="1:1" x14ac:dyDescent="0.25">
      <c r="A6971" s="13"/>
    </row>
    <row r="6972" spans="1:1" x14ac:dyDescent="0.25">
      <c r="A6972" s="13"/>
    </row>
    <row r="6973" spans="1:1" x14ac:dyDescent="0.25">
      <c r="A6973" s="13"/>
    </row>
    <row r="6974" spans="1:1" x14ac:dyDescent="0.25">
      <c r="A6974" s="13"/>
    </row>
    <row r="6975" spans="1:1" x14ac:dyDescent="0.25">
      <c r="A6975" s="13"/>
    </row>
    <row r="6976" spans="1:1" x14ac:dyDescent="0.25">
      <c r="A6976" s="13"/>
    </row>
    <row r="6977" spans="1:1" x14ac:dyDescent="0.25">
      <c r="A6977" s="13"/>
    </row>
    <row r="6978" spans="1:1" x14ac:dyDescent="0.25">
      <c r="A6978" s="13"/>
    </row>
    <row r="6979" spans="1:1" x14ac:dyDescent="0.25">
      <c r="A6979" s="13"/>
    </row>
    <row r="6980" spans="1:1" x14ac:dyDescent="0.25">
      <c r="A6980" s="13"/>
    </row>
    <row r="6981" spans="1:1" x14ac:dyDescent="0.25">
      <c r="A6981" s="13"/>
    </row>
    <row r="6982" spans="1:1" x14ac:dyDescent="0.25">
      <c r="A6982" s="13"/>
    </row>
    <row r="6983" spans="1:1" x14ac:dyDescent="0.25">
      <c r="A6983" s="13"/>
    </row>
    <row r="6984" spans="1:1" x14ac:dyDescent="0.25">
      <c r="A6984" s="13"/>
    </row>
    <row r="6985" spans="1:1" x14ac:dyDescent="0.25">
      <c r="A6985" s="13"/>
    </row>
    <row r="6986" spans="1:1" x14ac:dyDescent="0.25">
      <c r="A6986" s="13"/>
    </row>
    <row r="6987" spans="1:1" x14ac:dyDescent="0.25">
      <c r="A6987" s="13"/>
    </row>
    <row r="6988" spans="1:1" x14ac:dyDescent="0.25">
      <c r="A6988" s="13"/>
    </row>
    <row r="6989" spans="1:1" x14ac:dyDescent="0.25">
      <c r="A6989" s="13"/>
    </row>
    <row r="6990" spans="1:1" x14ac:dyDescent="0.25">
      <c r="A6990" s="13"/>
    </row>
    <row r="6991" spans="1:1" x14ac:dyDescent="0.25">
      <c r="A6991" s="13"/>
    </row>
    <row r="6992" spans="1:1" x14ac:dyDescent="0.25">
      <c r="A6992" s="13"/>
    </row>
    <row r="6993" spans="1:1" x14ac:dyDescent="0.25">
      <c r="A6993" s="13"/>
    </row>
    <row r="6994" spans="1:1" x14ac:dyDescent="0.25">
      <c r="A6994" s="13"/>
    </row>
    <row r="6995" spans="1:1" x14ac:dyDescent="0.25">
      <c r="A6995" s="13"/>
    </row>
    <row r="6996" spans="1:1" x14ac:dyDescent="0.25">
      <c r="A6996" s="13"/>
    </row>
    <row r="6997" spans="1:1" x14ac:dyDescent="0.25">
      <c r="A6997" s="13"/>
    </row>
    <row r="6998" spans="1:1" x14ac:dyDescent="0.25">
      <c r="A6998" s="13"/>
    </row>
    <row r="6999" spans="1:1" x14ac:dyDescent="0.25">
      <c r="A6999" s="13"/>
    </row>
    <row r="7000" spans="1:1" x14ac:dyDescent="0.25">
      <c r="A7000" s="13"/>
    </row>
    <row r="7001" spans="1:1" x14ac:dyDescent="0.25">
      <c r="A7001" s="13"/>
    </row>
    <row r="7002" spans="1:1" x14ac:dyDescent="0.25">
      <c r="A7002" s="13"/>
    </row>
    <row r="7003" spans="1:1" x14ac:dyDescent="0.25">
      <c r="A7003" s="13"/>
    </row>
    <row r="7004" spans="1:1" x14ac:dyDescent="0.25">
      <c r="A7004" s="13"/>
    </row>
    <row r="7005" spans="1:1" x14ac:dyDescent="0.25">
      <c r="A7005" s="13"/>
    </row>
    <row r="7006" spans="1:1" x14ac:dyDescent="0.25">
      <c r="A7006" s="13"/>
    </row>
    <row r="7007" spans="1:1" x14ac:dyDescent="0.25">
      <c r="A7007" s="13"/>
    </row>
    <row r="7008" spans="1:1" x14ac:dyDescent="0.25">
      <c r="A7008" s="13"/>
    </row>
    <row r="7009" spans="1:1" x14ac:dyDescent="0.25">
      <c r="A7009" s="13"/>
    </row>
    <row r="7010" spans="1:1" x14ac:dyDescent="0.25">
      <c r="A7010" s="13"/>
    </row>
    <row r="7011" spans="1:1" x14ac:dyDescent="0.25">
      <c r="A7011" s="13"/>
    </row>
    <row r="7012" spans="1:1" x14ac:dyDescent="0.25">
      <c r="A7012" s="13"/>
    </row>
    <row r="7013" spans="1:1" x14ac:dyDescent="0.25">
      <c r="A7013" s="13"/>
    </row>
    <row r="7014" spans="1:1" x14ac:dyDescent="0.25">
      <c r="A7014" s="13"/>
    </row>
    <row r="7015" spans="1:1" x14ac:dyDescent="0.25">
      <c r="A7015" s="13"/>
    </row>
    <row r="7016" spans="1:1" x14ac:dyDescent="0.25">
      <c r="A7016" s="13"/>
    </row>
    <row r="7017" spans="1:1" x14ac:dyDescent="0.25">
      <c r="A7017" s="13"/>
    </row>
    <row r="7018" spans="1:1" x14ac:dyDescent="0.25">
      <c r="A7018" s="13"/>
    </row>
    <row r="7019" spans="1:1" x14ac:dyDescent="0.25">
      <c r="A7019" s="13"/>
    </row>
    <row r="7020" spans="1:1" x14ac:dyDescent="0.25">
      <c r="A7020" s="13"/>
    </row>
    <row r="7021" spans="1:1" x14ac:dyDescent="0.25">
      <c r="A7021" s="13"/>
    </row>
    <row r="7022" spans="1:1" x14ac:dyDescent="0.25">
      <c r="A7022" s="13"/>
    </row>
    <row r="7023" spans="1:1" x14ac:dyDescent="0.25">
      <c r="A7023" s="13"/>
    </row>
    <row r="7024" spans="1:1" x14ac:dyDescent="0.25">
      <c r="A7024" s="13"/>
    </row>
    <row r="7025" spans="1:1" x14ac:dyDescent="0.25">
      <c r="A7025" s="13"/>
    </row>
    <row r="7026" spans="1:1" x14ac:dyDescent="0.25">
      <c r="A7026" s="13"/>
    </row>
    <row r="7027" spans="1:1" x14ac:dyDescent="0.25">
      <c r="A7027" s="13"/>
    </row>
    <row r="7028" spans="1:1" x14ac:dyDescent="0.25">
      <c r="A7028" s="13"/>
    </row>
    <row r="7029" spans="1:1" x14ac:dyDescent="0.25">
      <c r="A7029" s="13"/>
    </row>
    <row r="7030" spans="1:1" x14ac:dyDescent="0.25">
      <c r="A7030" s="13"/>
    </row>
    <row r="7031" spans="1:1" x14ac:dyDescent="0.25">
      <c r="A7031" s="13"/>
    </row>
    <row r="7032" spans="1:1" x14ac:dyDescent="0.25">
      <c r="A7032" s="13"/>
    </row>
    <row r="7033" spans="1:1" x14ac:dyDescent="0.25">
      <c r="A7033" s="13"/>
    </row>
    <row r="7034" spans="1:1" x14ac:dyDescent="0.25">
      <c r="A7034" s="13"/>
    </row>
    <row r="7035" spans="1:1" x14ac:dyDescent="0.25">
      <c r="A7035" s="13"/>
    </row>
    <row r="7036" spans="1:1" x14ac:dyDescent="0.25">
      <c r="A7036" s="13"/>
    </row>
    <row r="7037" spans="1:1" x14ac:dyDescent="0.25">
      <c r="A7037" s="13"/>
    </row>
    <row r="7038" spans="1:1" x14ac:dyDescent="0.25">
      <c r="A7038" s="13"/>
    </row>
    <row r="7039" spans="1:1" x14ac:dyDescent="0.25">
      <c r="A7039" s="13"/>
    </row>
    <row r="7040" spans="1:1" x14ac:dyDescent="0.25">
      <c r="A7040" s="13"/>
    </row>
    <row r="7041" spans="1:1" x14ac:dyDescent="0.25">
      <c r="A7041" s="13"/>
    </row>
    <row r="7042" spans="1:1" x14ac:dyDescent="0.25">
      <c r="A7042" s="13"/>
    </row>
    <row r="7043" spans="1:1" x14ac:dyDescent="0.25">
      <c r="A7043" s="13"/>
    </row>
    <row r="7044" spans="1:1" x14ac:dyDescent="0.25">
      <c r="A7044" s="13"/>
    </row>
    <row r="7045" spans="1:1" x14ac:dyDescent="0.25">
      <c r="A7045" s="13"/>
    </row>
    <row r="7046" spans="1:1" x14ac:dyDescent="0.25">
      <c r="A7046" s="13"/>
    </row>
    <row r="7047" spans="1:1" x14ac:dyDescent="0.25">
      <c r="A7047" s="13"/>
    </row>
    <row r="7048" spans="1:1" x14ac:dyDescent="0.25">
      <c r="A7048" s="13"/>
    </row>
    <row r="7049" spans="1:1" x14ac:dyDescent="0.25">
      <c r="A7049" s="13"/>
    </row>
    <row r="7050" spans="1:1" x14ac:dyDescent="0.25">
      <c r="A7050" s="13"/>
    </row>
    <row r="7051" spans="1:1" x14ac:dyDescent="0.25">
      <c r="A7051" s="13"/>
    </row>
    <row r="7052" spans="1:1" x14ac:dyDescent="0.25">
      <c r="A7052" s="13"/>
    </row>
    <row r="7053" spans="1:1" x14ac:dyDescent="0.25">
      <c r="A7053" s="13"/>
    </row>
    <row r="7054" spans="1:1" x14ac:dyDescent="0.25">
      <c r="A7054" s="13"/>
    </row>
    <row r="7055" spans="1:1" x14ac:dyDescent="0.25">
      <c r="A7055" s="13"/>
    </row>
    <row r="7056" spans="1:1" x14ac:dyDescent="0.25">
      <c r="A7056" s="13"/>
    </row>
    <row r="7057" spans="1:1" x14ac:dyDescent="0.25">
      <c r="A7057" s="13"/>
    </row>
    <row r="7058" spans="1:1" x14ac:dyDescent="0.25">
      <c r="A7058" s="13"/>
    </row>
    <row r="7059" spans="1:1" x14ac:dyDescent="0.25">
      <c r="A7059" s="13"/>
    </row>
    <row r="7060" spans="1:1" x14ac:dyDescent="0.25">
      <c r="A7060" s="13"/>
    </row>
    <row r="7061" spans="1:1" x14ac:dyDescent="0.25">
      <c r="A7061" s="13"/>
    </row>
    <row r="7062" spans="1:1" x14ac:dyDescent="0.25">
      <c r="A7062" s="13"/>
    </row>
    <row r="7063" spans="1:1" x14ac:dyDescent="0.25">
      <c r="A7063" s="13"/>
    </row>
    <row r="7064" spans="1:1" x14ac:dyDescent="0.25">
      <c r="A7064" s="13"/>
    </row>
    <row r="7065" spans="1:1" x14ac:dyDescent="0.25">
      <c r="A7065" s="13"/>
    </row>
    <row r="7066" spans="1:1" x14ac:dyDescent="0.25">
      <c r="A7066" s="13"/>
    </row>
    <row r="7067" spans="1:1" x14ac:dyDescent="0.25">
      <c r="A7067" s="13"/>
    </row>
    <row r="7068" spans="1:1" x14ac:dyDescent="0.25">
      <c r="A7068" s="13"/>
    </row>
    <row r="7069" spans="1:1" x14ac:dyDescent="0.25">
      <c r="A7069" s="13"/>
    </row>
    <row r="7070" spans="1:1" x14ac:dyDescent="0.25">
      <c r="A7070" s="13"/>
    </row>
    <row r="7071" spans="1:1" x14ac:dyDescent="0.25">
      <c r="A7071" s="13"/>
    </row>
    <row r="7072" spans="1:1" x14ac:dyDescent="0.25">
      <c r="A7072" s="13"/>
    </row>
    <row r="7073" spans="1:1" x14ac:dyDescent="0.25">
      <c r="A7073" s="13"/>
    </row>
    <row r="7074" spans="1:1" x14ac:dyDescent="0.25">
      <c r="A7074" s="13"/>
    </row>
    <row r="7075" spans="1:1" x14ac:dyDescent="0.25">
      <c r="A7075" s="13"/>
    </row>
    <row r="7076" spans="1:1" x14ac:dyDescent="0.25">
      <c r="A7076" s="13"/>
    </row>
    <row r="7077" spans="1:1" x14ac:dyDescent="0.25">
      <c r="A7077" s="13"/>
    </row>
    <row r="7078" spans="1:1" x14ac:dyDescent="0.25">
      <c r="A7078" s="13"/>
    </row>
    <row r="7079" spans="1:1" x14ac:dyDescent="0.25">
      <c r="A7079" s="13"/>
    </row>
    <row r="7080" spans="1:1" x14ac:dyDescent="0.25">
      <c r="A7080" s="13"/>
    </row>
    <row r="7081" spans="1:1" x14ac:dyDescent="0.25">
      <c r="A7081" s="13"/>
    </row>
    <row r="7082" spans="1:1" x14ac:dyDescent="0.25">
      <c r="A7082" s="13"/>
    </row>
    <row r="7083" spans="1:1" x14ac:dyDescent="0.25">
      <c r="A7083" s="13"/>
    </row>
    <row r="7084" spans="1:1" x14ac:dyDescent="0.25">
      <c r="A7084" s="13"/>
    </row>
    <row r="7085" spans="1:1" x14ac:dyDescent="0.25">
      <c r="A7085" s="13"/>
    </row>
    <row r="7086" spans="1:1" x14ac:dyDescent="0.25">
      <c r="A7086" s="13"/>
    </row>
    <row r="7087" spans="1:1" x14ac:dyDescent="0.25">
      <c r="A7087" s="13"/>
    </row>
    <row r="7088" spans="1:1" x14ac:dyDescent="0.25">
      <c r="A7088" s="13"/>
    </row>
    <row r="7089" spans="1:1" x14ac:dyDescent="0.25">
      <c r="A7089" s="13"/>
    </row>
    <row r="7090" spans="1:1" x14ac:dyDescent="0.25">
      <c r="A7090" s="13"/>
    </row>
    <row r="7091" spans="1:1" x14ac:dyDescent="0.25">
      <c r="A7091" s="13"/>
    </row>
    <row r="7092" spans="1:1" x14ac:dyDescent="0.25">
      <c r="A7092" s="13"/>
    </row>
    <row r="7093" spans="1:1" x14ac:dyDescent="0.25">
      <c r="A7093" s="13"/>
    </row>
    <row r="7094" spans="1:1" x14ac:dyDescent="0.25">
      <c r="A7094" s="13"/>
    </row>
    <row r="7095" spans="1:1" x14ac:dyDescent="0.25">
      <c r="A7095" s="13"/>
    </row>
    <row r="7096" spans="1:1" x14ac:dyDescent="0.25">
      <c r="A7096" s="13"/>
    </row>
    <row r="7097" spans="1:1" x14ac:dyDescent="0.25">
      <c r="A7097" s="13"/>
    </row>
    <row r="7098" spans="1:1" x14ac:dyDescent="0.25">
      <c r="A7098" s="13"/>
    </row>
    <row r="7099" spans="1:1" x14ac:dyDescent="0.25">
      <c r="A7099" s="13"/>
    </row>
    <row r="7100" spans="1:1" x14ac:dyDescent="0.25">
      <c r="A7100" s="13"/>
    </row>
    <row r="7101" spans="1:1" x14ac:dyDescent="0.25">
      <c r="A7101" s="13"/>
    </row>
    <row r="7102" spans="1:1" x14ac:dyDescent="0.25">
      <c r="A7102" s="13"/>
    </row>
    <row r="7103" spans="1:1" x14ac:dyDescent="0.25">
      <c r="A7103" s="13"/>
    </row>
    <row r="7104" spans="1:1" x14ac:dyDescent="0.25">
      <c r="A7104" s="13"/>
    </row>
    <row r="7105" spans="1:1" x14ac:dyDescent="0.25">
      <c r="A7105" s="13"/>
    </row>
    <row r="7106" spans="1:1" x14ac:dyDescent="0.25">
      <c r="A7106" s="13"/>
    </row>
    <row r="7107" spans="1:1" x14ac:dyDescent="0.25">
      <c r="A7107" s="13"/>
    </row>
    <row r="7108" spans="1:1" x14ac:dyDescent="0.25">
      <c r="A7108" s="13"/>
    </row>
    <row r="7109" spans="1:1" x14ac:dyDescent="0.25">
      <c r="A7109" s="13"/>
    </row>
    <row r="7110" spans="1:1" x14ac:dyDescent="0.25">
      <c r="A7110" s="13"/>
    </row>
    <row r="7111" spans="1:1" x14ac:dyDescent="0.25">
      <c r="A7111" s="13"/>
    </row>
    <row r="7112" spans="1:1" x14ac:dyDescent="0.25">
      <c r="A7112" s="13"/>
    </row>
    <row r="7113" spans="1:1" x14ac:dyDescent="0.25">
      <c r="A7113" s="13"/>
    </row>
    <row r="7114" spans="1:1" x14ac:dyDescent="0.25">
      <c r="A7114" s="13"/>
    </row>
    <row r="7115" spans="1:1" x14ac:dyDescent="0.25">
      <c r="A7115" s="13"/>
    </row>
    <row r="7116" spans="1:1" x14ac:dyDescent="0.25">
      <c r="A7116" s="13"/>
    </row>
    <row r="7117" spans="1:1" x14ac:dyDescent="0.25">
      <c r="A7117" s="13"/>
    </row>
    <row r="7118" spans="1:1" x14ac:dyDescent="0.25">
      <c r="A7118" s="13"/>
    </row>
    <row r="7119" spans="1:1" x14ac:dyDescent="0.25">
      <c r="A7119" s="13"/>
    </row>
    <row r="7120" spans="1:1" x14ac:dyDescent="0.25">
      <c r="A7120" s="13"/>
    </row>
    <row r="7121" spans="1:1" x14ac:dyDescent="0.25">
      <c r="A7121" s="13"/>
    </row>
    <row r="7122" spans="1:1" x14ac:dyDescent="0.25">
      <c r="A7122" s="13"/>
    </row>
    <row r="7123" spans="1:1" x14ac:dyDescent="0.25">
      <c r="A7123" s="13"/>
    </row>
    <row r="7124" spans="1:1" x14ac:dyDescent="0.25">
      <c r="A7124" s="13"/>
    </row>
    <row r="7125" spans="1:1" x14ac:dyDescent="0.25">
      <c r="A7125" s="13"/>
    </row>
    <row r="7126" spans="1:1" x14ac:dyDescent="0.25">
      <c r="A7126" s="13"/>
    </row>
    <row r="7127" spans="1:1" x14ac:dyDescent="0.25">
      <c r="A7127" s="13"/>
    </row>
    <row r="7128" spans="1:1" x14ac:dyDescent="0.25">
      <c r="A7128" s="13"/>
    </row>
    <row r="7129" spans="1:1" x14ac:dyDescent="0.25">
      <c r="A7129" s="13"/>
    </row>
    <row r="7130" spans="1:1" x14ac:dyDescent="0.25">
      <c r="A7130" s="13"/>
    </row>
    <row r="7131" spans="1:1" x14ac:dyDescent="0.25">
      <c r="A7131" s="13"/>
    </row>
    <row r="7132" spans="1:1" x14ac:dyDescent="0.25">
      <c r="A7132" s="13"/>
    </row>
    <row r="7133" spans="1:1" x14ac:dyDescent="0.25">
      <c r="A7133" s="13"/>
    </row>
    <row r="7134" spans="1:1" x14ac:dyDescent="0.25">
      <c r="A7134" s="13"/>
    </row>
    <row r="7135" spans="1:1" x14ac:dyDescent="0.25">
      <c r="A7135" s="13"/>
    </row>
    <row r="7136" spans="1:1" x14ac:dyDescent="0.25">
      <c r="A7136" s="13"/>
    </row>
    <row r="7137" spans="1:1" x14ac:dyDescent="0.25">
      <c r="A7137" s="13"/>
    </row>
    <row r="7138" spans="1:1" x14ac:dyDescent="0.25">
      <c r="A7138" s="13"/>
    </row>
    <row r="7139" spans="1:1" x14ac:dyDescent="0.25">
      <c r="A7139" s="13"/>
    </row>
    <row r="7140" spans="1:1" x14ac:dyDescent="0.25">
      <c r="A7140" s="13"/>
    </row>
    <row r="7141" spans="1:1" x14ac:dyDescent="0.25">
      <c r="A7141" s="13"/>
    </row>
    <row r="7142" spans="1:1" x14ac:dyDescent="0.25">
      <c r="A7142" s="13"/>
    </row>
    <row r="7143" spans="1:1" x14ac:dyDescent="0.25">
      <c r="A7143" s="13"/>
    </row>
    <row r="7144" spans="1:1" x14ac:dyDescent="0.25">
      <c r="A7144" s="13"/>
    </row>
    <row r="7145" spans="1:1" x14ac:dyDescent="0.25">
      <c r="A7145" s="13"/>
    </row>
    <row r="7146" spans="1:1" x14ac:dyDescent="0.25">
      <c r="A7146" s="13"/>
    </row>
    <row r="7147" spans="1:1" x14ac:dyDescent="0.25">
      <c r="A7147" s="13"/>
    </row>
    <row r="7148" spans="1:1" x14ac:dyDescent="0.25">
      <c r="A7148" s="13"/>
    </row>
    <row r="7149" spans="1:1" x14ac:dyDescent="0.25">
      <c r="A7149" s="13"/>
    </row>
    <row r="7150" spans="1:1" x14ac:dyDescent="0.25">
      <c r="A7150" s="13"/>
    </row>
    <row r="7151" spans="1:1" x14ac:dyDescent="0.25">
      <c r="A7151" s="13"/>
    </row>
    <row r="7152" spans="1:1" x14ac:dyDescent="0.25">
      <c r="A7152" s="13"/>
    </row>
    <row r="7153" spans="1:1" x14ac:dyDescent="0.25">
      <c r="A7153" s="13"/>
    </row>
    <row r="7154" spans="1:1" x14ac:dyDescent="0.25">
      <c r="A7154" s="13"/>
    </row>
    <row r="7155" spans="1:1" x14ac:dyDescent="0.25">
      <c r="A7155" s="13"/>
    </row>
    <row r="7156" spans="1:1" x14ac:dyDescent="0.25">
      <c r="A7156" s="13"/>
    </row>
    <row r="7157" spans="1:1" x14ac:dyDescent="0.25">
      <c r="A7157" s="13"/>
    </row>
    <row r="7158" spans="1:1" x14ac:dyDescent="0.25">
      <c r="A7158" s="13"/>
    </row>
    <row r="7159" spans="1:1" x14ac:dyDescent="0.25">
      <c r="A7159" s="13"/>
    </row>
    <row r="7160" spans="1:1" x14ac:dyDescent="0.25">
      <c r="A7160" s="13"/>
    </row>
    <row r="7161" spans="1:1" x14ac:dyDescent="0.25">
      <c r="A7161" s="13"/>
    </row>
    <row r="7162" spans="1:1" x14ac:dyDescent="0.25">
      <c r="A7162" s="13"/>
    </row>
    <row r="7163" spans="1:1" x14ac:dyDescent="0.25">
      <c r="A7163" s="13"/>
    </row>
    <row r="7164" spans="1:1" x14ac:dyDescent="0.25">
      <c r="A7164" s="13"/>
    </row>
    <row r="7165" spans="1:1" x14ac:dyDescent="0.25">
      <c r="A7165" s="13"/>
    </row>
    <row r="7166" spans="1:1" x14ac:dyDescent="0.25">
      <c r="A7166" s="13"/>
    </row>
    <row r="7167" spans="1:1" x14ac:dyDescent="0.25">
      <c r="A7167" s="13"/>
    </row>
    <row r="7168" spans="1:1" x14ac:dyDescent="0.25">
      <c r="A7168" s="13"/>
    </row>
    <row r="7169" spans="1:1" x14ac:dyDescent="0.25">
      <c r="A7169" s="13"/>
    </row>
    <row r="7170" spans="1:1" x14ac:dyDescent="0.25">
      <c r="A7170" s="13"/>
    </row>
    <row r="7171" spans="1:1" x14ac:dyDescent="0.25">
      <c r="A7171" s="13"/>
    </row>
    <row r="7172" spans="1:1" x14ac:dyDescent="0.25">
      <c r="A7172" s="13"/>
    </row>
    <row r="7173" spans="1:1" x14ac:dyDescent="0.25">
      <c r="A7173" s="13"/>
    </row>
    <row r="7174" spans="1:1" x14ac:dyDescent="0.25">
      <c r="A7174" s="13"/>
    </row>
    <row r="7175" spans="1:1" x14ac:dyDescent="0.25">
      <c r="A7175" s="13"/>
    </row>
    <row r="7176" spans="1:1" x14ac:dyDescent="0.25">
      <c r="A7176" s="13"/>
    </row>
    <row r="7177" spans="1:1" x14ac:dyDescent="0.25">
      <c r="A7177" s="13"/>
    </row>
    <row r="7178" spans="1:1" x14ac:dyDescent="0.25">
      <c r="A7178" s="13"/>
    </row>
    <row r="7179" spans="1:1" x14ac:dyDescent="0.25">
      <c r="A7179" s="13"/>
    </row>
    <row r="7180" spans="1:1" x14ac:dyDescent="0.25">
      <c r="A7180" s="13"/>
    </row>
    <row r="7181" spans="1:1" x14ac:dyDescent="0.25">
      <c r="A7181" s="13"/>
    </row>
    <row r="7182" spans="1:1" x14ac:dyDescent="0.25">
      <c r="A7182" s="13"/>
    </row>
    <row r="7183" spans="1:1" x14ac:dyDescent="0.25">
      <c r="A7183" s="13"/>
    </row>
    <row r="7184" spans="1:1" x14ac:dyDescent="0.25">
      <c r="A7184" s="13"/>
    </row>
    <row r="7185" spans="1:1" x14ac:dyDescent="0.25">
      <c r="A7185" s="13"/>
    </row>
    <row r="7186" spans="1:1" x14ac:dyDescent="0.25">
      <c r="A7186" s="13"/>
    </row>
    <row r="7187" spans="1:1" x14ac:dyDescent="0.25">
      <c r="A7187" s="13"/>
    </row>
    <row r="7188" spans="1:1" x14ac:dyDescent="0.25">
      <c r="A7188" s="13"/>
    </row>
    <row r="7189" spans="1:1" x14ac:dyDescent="0.25">
      <c r="A7189" s="13"/>
    </row>
    <row r="7190" spans="1:1" x14ac:dyDescent="0.25">
      <c r="A7190" s="13"/>
    </row>
    <row r="7191" spans="1:1" x14ac:dyDescent="0.25">
      <c r="A7191" s="13"/>
    </row>
    <row r="7192" spans="1:1" x14ac:dyDescent="0.25">
      <c r="A7192" s="13"/>
    </row>
    <row r="7193" spans="1:1" x14ac:dyDescent="0.25">
      <c r="A7193" s="13"/>
    </row>
    <row r="7194" spans="1:1" x14ac:dyDescent="0.25">
      <c r="A7194" s="13"/>
    </row>
    <row r="7195" spans="1:1" x14ac:dyDescent="0.25">
      <c r="A7195" s="13"/>
    </row>
    <row r="7196" spans="1:1" x14ac:dyDescent="0.25">
      <c r="A7196" s="13"/>
    </row>
    <row r="7197" spans="1:1" x14ac:dyDescent="0.25">
      <c r="A7197" s="13"/>
    </row>
    <row r="7198" spans="1:1" x14ac:dyDescent="0.25">
      <c r="A7198" s="13"/>
    </row>
    <row r="7199" spans="1:1" x14ac:dyDescent="0.25">
      <c r="A7199" s="13"/>
    </row>
    <row r="7200" spans="1:1" x14ac:dyDescent="0.25">
      <c r="A7200" s="13"/>
    </row>
    <row r="7201" spans="1:1" x14ac:dyDescent="0.25">
      <c r="A7201" s="13"/>
    </row>
    <row r="7202" spans="1:1" x14ac:dyDescent="0.25">
      <c r="A7202" s="13"/>
    </row>
    <row r="7203" spans="1:1" x14ac:dyDescent="0.25">
      <c r="A7203" s="13"/>
    </row>
    <row r="7204" spans="1:1" x14ac:dyDescent="0.25">
      <c r="A7204" s="13"/>
    </row>
    <row r="7205" spans="1:1" x14ac:dyDescent="0.25">
      <c r="A7205" s="13"/>
    </row>
    <row r="7206" spans="1:1" x14ac:dyDescent="0.25">
      <c r="A7206" s="13"/>
    </row>
    <row r="7207" spans="1:1" x14ac:dyDescent="0.25">
      <c r="A7207" s="13"/>
    </row>
    <row r="7208" spans="1:1" x14ac:dyDescent="0.25">
      <c r="A7208" s="13"/>
    </row>
    <row r="7209" spans="1:1" x14ac:dyDescent="0.25">
      <c r="A7209" s="13"/>
    </row>
    <row r="7210" spans="1:1" x14ac:dyDescent="0.25">
      <c r="A7210" s="13"/>
    </row>
    <row r="7211" spans="1:1" x14ac:dyDescent="0.25">
      <c r="A7211" s="13"/>
    </row>
    <row r="7212" spans="1:1" x14ac:dyDescent="0.25">
      <c r="A7212" s="13"/>
    </row>
    <row r="7213" spans="1:1" x14ac:dyDescent="0.25">
      <c r="A7213" s="13"/>
    </row>
    <row r="7214" spans="1:1" x14ac:dyDescent="0.25">
      <c r="A7214" s="13"/>
    </row>
    <row r="7215" spans="1:1" x14ac:dyDescent="0.25">
      <c r="A7215" s="13"/>
    </row>
    <row r="7216" spans="1:1" x14ac:dyDescent="0.25">
      <c r="A7216" s="13"/>
    </row>
    <row r="7217" spans="1:1" x14ac:dyDescent="0.25">
      <c r="A7217" s="13"/>
    </row>
    <row r="7218" spans="1:1" x14ac:dyDescent="0.25">
      <c r="A7218" s="13"/>
    </row>
    <row r="7219" spans="1:1" x14ac:dyDescent="0.25">
      <c r="A7219" s="13"/>
    </row>
    <row r="7220" spans="1:1" x14ac:dyDescent="0.25">
      <c r="A7220" s="13"/>
    </row>
    <row r="7221" spans="1:1" x14ac:dyDescent="0.25">
      <c r="A7221" s="13"/>
    </row>
    <row r="7222" spans="1:1" x14ac:dyDescent="0.25">
      <c r="A7222" s="13"/>
    </row>
    <row r="7223" spans="1:1" x14ac:dyDescent="0.25">
      <c r="A7223" s="13"/>
    </row>
    <row r="7224" spans="1:1" x14ac:dyDescent="0.25">
      <c r="A7224" s="13"/>
    </row>
    <row r="7225" spans="1:1" x14ac:dyDescent="0.25">
      <c r="A7225" s="13"/>
    </row>
    <row r="7226" spans="1:1" x14ac:dyDescent="0.25">
      <c r="A7226" s="13"/>
    </row>
    <row r="7227" spans="1:1" x14ac:dyDescent="0.25">
      <c r="A7227" s="13"/>
    </row>
    <row r="7228" spans="1:1" x14ac:dyDescent="0.25">
      <c r="A7228" s="13"/>
    </row>
    <row r="7229" spans="1:1" x14ac:dyDescent="0.25">
      <c r="A7229" s="13"/>
    </row>
    <row r="7230" spans="1:1" x14ac:dyDescent="0.25">
      <c r="A7230" s="13"/>
    </row>
    <row r="7231" spans="1:1" x14ac:dyDescent="0.25">
      <c r="A7231" s="13"/>
    </row>
    <row r="7232" spans="1:1" x14ac:dyDescent="0.25">
      <c r="A7232" s="13"/>
    </row>
    <row r="7233" spans="1:1" x14ac:dyDescent="0.25">
      <c r="A7233" s="13"/>
    </row>
    <row r="7234" spans="1:1" x14ac:dyDescent="0.25">
      <c r="A7234" s="13"/>
    </row>
    <row r="7235" spans="1:1" x14ac:dyDescent="0.25">
      <c r="A7235" s="13"/>
    </row>
    <row r="7236" spans="1:1" x14ac:dyDescent="0.25">
      <c r="A7236" s="13"/>
    </row>
    <row r="7237" spans="1:1" x14ac:dyDescent="0.25">
      <c r="A7237" s="13"/>
    </row>
    <row r="7238" spans="1:1" x14ac:dyDescent="0.25">
      <c r="A7238" s="13"/>
    </row>
    <row r="7239" spans="1:1" x14ac:dyDescent="0.25">
      <c r="A7239" s="13"/>
    </row>
    <row r="7240" spans="1:1" x14ac:dyDescent="0.25">
      <c r="A7240" s="13"/>
    </row>
    <row r="7241" spans="1:1" x14ac:dyDescent="0.25">
      <c r="A7241" s="13"/>
    </row>
    <row r="7242" spans="1:1" x14ac:dyDescent="0.25">
      <c r="A7242" s="13"/>
    </row>
    <row r="7243" spans="1:1" x14ac:dyDescent="0.25">
      <c r="A7243" s="13"/>
    </row>
    <row r="7244" spans="1:1" x14ac:dyDescent="0.25">
      <c r="A7244" s="13"/>
    </row>
    <row r="7245" spans="1:1" x14ac:dyDescent="0.25">
      <c r="A7245" s="13"/>
    </row>
    <row r="7246" spans="1:1" x14ac:dyDescent="0.25">
      <c r="A7246" s="13"/>
    </row>
    <row r="7247" spans="1:1" x14ac:dyDescent="0.25">
      <c r="A7247" s="13"/>
    </row>
    <row r="7248" spans="1:1" x14ac:dyDescent="0.25">
      <c r="A7248" s="13"/>
    </row>
    <row r="7249" spans="1:1" x14ac:dyDescent="0.25">
      <c r="A7249" s="13"/>
    </row>
    <row r="7250" spans="1:1" x14ac:dyDescent="0.25">
      <c r="A7250" s="13"/>
    </row>
    <row r="7251" spans="1:1" x14ac:dyDescent="0.25">
      <c r="A7251" s="13"/>
    </row>
    <row r="7252" spans="1:1" x14ac:dyDescent="0.25">
      <c r="A7252" s="13"/>
    </row>
    <row r="7253" spans="1:1" x14ac:dyDescent="0.25">
      <c r="A7253" s="13"/>
    </row>
    <row r="7254" spans="1:1" x14ac:dyDescent="0.25">
      <c r="A7254" s="13"/>
    </row>
    <row r="7255" spans="1:1" x14ac:dyDescent="0.25">
      <c r="A7255" s="13"/>
    </row>
    <row r="7256" spans="1:1" x14ac:dyDescent="0.25">
      <c r="A7256" s="13"/>
    </row>
    <row r="7257" spans="1:1" x14ac:dyDescent="0.25">
      <c r="A7257" s="13"/>
    </row>
    <row r="7258" spans="1:1" x14ac:dyDescent="0.25">
      <c r="A7258" s="13"/>
    </row>
    <row r="7259" spans="1:1" x14ac:dyDescent="0.25">
      <c r="A7259" s="13"/>
    </row>
    <row r="7260" spans="1:1" x14ac:dyDescent="0.25">
      <c r="A7260" s="13"/>
    </row>
    <row r="7261" spans="1:1" x14ac:dyDescent="0.25">
      <c r="A7261" s="13"/>
    </row>
    <row r="7262" spans="1:1" x14ac:dyDescent="0.25">
      <c r="A7262" s="13"/>
    </row>
    <row r="7263" spans="1:1" x14ac:dyDescent="0.25">
      <c r="A7263" s="13"/>
    </row>
    <row r="7264" spans="1:1" x14ac:dyDescent="0.25">
      <c r="A7264" s="13"/>
    </row>
    <row r="7265" spans="1:1" x14ac:dyDescent="0.25">
      <c r="A7265" s="13"/>
    </row>
    <row r="7266" spans="1:1" x14ac:dyDescent="0.25">
      <c r="A7266" s="13"/>
    </row>
    <row r="7267" spans="1:1" x14ac:dyDescent="0.25">
      <c r="A7267" s="13"/>
    </row>
    <row r="7268" spans="1:1" x14ac:dyDescent="0.25">
      <c r="A7268" s="13"/>
    </row>
    <row r="7269" spans="1:1" x14ac:dyDescent="0.25">
      <c r="A7269" s="13"/>
    </row>
    <row r="7270" spans="1:1" x14ac:dyDescent="0.25">
      <c r="A7270" s="13"/>
    </row>
    <row r="7271" spans="1:1" x14ac:dyDescent="0.25">
      <c r="A7271" s="13"/>
    </row>
    <row r="7272" spans="1:1" x14ac:dyDescent="0.25">
      <c r="A7272" s="13"/>
    </row>
    <row r="7273" spans="1:1" x14ac:dyDescent="0.25">
      <c r="A7273" s="13"/>
    </row>
    <row r="7274" spans="1:1" x14ac:dyDescent="0.25">
      <c r="A7274" s="13"/>
    </row>
    <row r="7275" spans="1:1" x14ac:dyDescent="0.25">
      <c r="A7275" s="13"/>
    </row>
    <row r="7276" spans="1:1" x14ac:dyDescent="0.25">
      <c r="A7276" s="13"/>
    </row>
    <row r="7277" spans="1:1" x14ac:dyDescent="0.25">
      <c r="A7277" s="13"/>
    </row>
    <row r="7278" spans="1:1" x14ac:dyDescent="0.25">
      <c r="A7278" s="13"/>
    </row>
    <row r="7279" spans="1:1" x14ac:dyDescent="0.25">
      <c r="A7279" s="13"/>
    </row>
    <row r="7280" spans="1:1" x14ac:dyDescent="0.25">
      <c r="A7280" s="13"/>
    </row>
    <row r="7281" spans="1:1" x14ac:dyDescent="0.25">
      <c r="A7281" s="13"/>
    </row>
    <row r="7282" spans="1:1" x14ac:dyDescent="0.25">
      <c r="A7282" s="13"/>
    </row>
    <row r="7283" spans="1:1" x14ac:dyDescent="0.25">
      <c r="A7283" s="13"/>
    </row>
    <row r="7284" spans="1:1" x14ac:dyDescent="0.25">
      <c r="A7284" s="13"/>
    </row>
    <row r="7285" spans="1:1" x14ac:dyDescent="0.25">
      <c r="A7285" s="13"/>
    </row>
    <row r="7286" spans="1:1" x14ac:dyDescent="0.25">
      <c r="A7286" s="13"/>
    </row>
    <row r="7287" spans="1:1" x14ac:dyDescent="0.25">
      <c r="A7287" s="13"/>
    </row>
    <row r="7288" spans="1:1" x14ac:dyDescent="0.25">
      <c r="A7288" s="13"/>
    </row>
    <row r="7289" spans="1:1" x14ac:dyDescent="0.25">
      <c r="A7289" s="13"/>
    </row>
    <row r="7290" spans="1:1" x14ac:dyDescent="0.25">
      <c r="A7290" s="13"/>
    </row>
    <row r="7291" spans="1:1" x14ac:dyDescent="0.25">
      <c r="A7291" s="13"/>
    </row>
    <row r="7292" spans="1:1" x14ac:dyDescent="0.25">
      <c r="A7292" s="13"/>
    </row>
    <row r="7293" spans="1:1" x14ac:dyDescent="0.25">
      <c r="A7293" s="13"/>
    </row>
    <row r="7294" spans="1:1" x14ac:dyDescent="0.25">
      <c r="A7294" s="13"/>
    </row>
    <row r="7295" spans="1:1" x14ac:dyDescent="0.25">
      <c r="A7295" s="13"/>
    </row>
    <row r="7296" spans="1:1" x14ac:dyDescent="0.25">
      <c r="A7296" s="13"/>
    </row>
    <row r="7297" spans="1:1" x14ac:dyDescent="0.25">
      <c r="A7297" s="13"/>
    </row>
    <row r="7298" spans="1:1" x14ac:dyDescent="0.25">
      <c r="A7298" s="13"/>
    </row>
    <row r="7299" spans="1:1" x14ac:dyDescent="0.25">
      <c r="A7299" s="13"/>
    </row>
    <row r="7300" spans="1:1" x14ac:dyDescent="0.25">
      <c r="A7300" s="13"/>
    </row>
    <row r="7301" spans="1:1" x14ac:dyDescent="0.25">
      <c r="A7301" s="13"/>
    </row>
    <row r="7302" spans="1:1" x14ac:dyDescent="0.25">
      <c r="A7302" s="13"/>
    </row>
    <row r="7303" spans="1:1" x14ac:dyDescent="0.25">
      <c r="A7303" s="13"/>
    </row>
    <row r="7304" spans="1:1" x14ac:dyDescent="0.25">
      <c r="A7304" s="13"/>
    </row>
    <row r="7305" spans="1:1" x14ac:dyDescent="0.25">
      <c r="A7305" s="13"/>
    </row>
    <row r="7306" spans="1:1" x14ac:dyDescent="0.25">
      <c r="A7306" s="13"/>
    </row>
    <row r="7307" spans="1:1" x14ac:dyDescent="0.25">
      <c r="A7307" s="13"/>
    </row>
    <row r="7308" spans="1:1" x14ac:dyDescent="0.25">
      <c r="A7308" s="13"/>
    </row>
    <row r="7309" spans="1:1" x14ac:dyDescent="0.25">
      <c r="A7309" s="13"/>
    </row>
    <row r="7310" spans="1:1" x14ac:dyDescent="0.25">
      <c r="A7310" s="13"/>
    </row>
    <row r="7311" spans="1:1" x14ac:dyDescent="0.25">
      <c r="A7311" s="13"/>
    </row>
    <row r="7312" spans="1:1" x14ac:dyDescent="0.25">
      <c r="A7312" s="13"/>
    </row>
    <row r="7313" spans="1:1" x14ac:dyDescent="0.25">
      <c r="A7313" s="13"/>
    </row>
    <row r="7314" spans="1:1" x14ac:dyDescent="0.25">
      <c r="A7314" s="13"/>
    </row>
    <row r="7315" spans="1:1" x14ac:dyDescent="0.25">
      <c r="A7315" s="13"/>
    </row>
    <row r="7316" spans="1:1" x14ac:dyDescent="0.25">
      <c r="A7316" s="13"/>
    </row>
    <row r="7317" spans="1:1" x14ac:dyDescent="0.25">
      <c r="A7317" s="13"/>
    </row>
    <row r="7318" spans="1:1" x14ac:dyDescent="0.25">
      <c r="A7318" s="13"/>
    </row>
    <row r="7319" spans="1:1" x14ac:dyDescent="0.25">
      <c r="A7319" s="13"/>
    </row>
    <row r="7320" spans="1:1" x14ac:dyDescent="0.25">
      <c r="A7320" s="13"/>
    </row>
    <row r="7321" spans="1:1" x14ac:dyDescent="0.25">
      <c r="A7321" s="13"/>
    </row>
    <row r="7322" spans="1:1" x14ac:dyDescent="0.25">
      <c r="A7322" s="13"/>
    </row>
    <row r="7323" spans="1:1" x14ac:dyDescent="0.25">
      <c r="A7323" s="13"/>
    </row>
    <row r="7324" spans="1:1" x14ac:dyDescent="0.25">
      <c r="A7324" s="13"/>
    </row>
    <row r="7325" spans="1:1" x14ac:dyDescent="0.25">
      <c r="A7325" s="13"/>
    </row>
    <row r="7326" spans="1:1" x14ac:dyDescent="0.25">
      <c r="A7326" s="13"/>
    </row>
    <row r="7327" spans="1:1" x14ac:dyDescent="0.25">
      <c r="A7327" s="13"/>
    </row>
    <row r="7328" spans="1:1" x14ac:dyDescent="0.25">
      <c r="A7328" s="13"/>
    </row>
    <row r="7329" spans="1:1" x14ac:dyDescent="0.25">
      <c r="A7329" s="13"/>
    </row>
    <row r="7330" spans="1:1" x14ac:dyDescent="0.25">
      <c r="A7330" s="13"/>
    </row>
    <row r="7331" spans="1:1" x14ac:dyDescent="0.25">
      <c r="A7331" s="13"/>
    </row>
    <row r="7332" spans="1:1" x14ac:dyDescent="0.25">
      <c r="A7332" s="13"/>
    </row>
    <row r="7333" spans="1:1" x14ac:dyDescent="0.25">
      <c r="A7333" s="13"/>
    </row>
    <row r="7334" spans="1:1" x14ac:dyDescent="0.25">
      <c r="A7334" s="13"/>
    </row>
    <row r="7335" spans="1:1" x14ac:dyDescent="0.25">
      <c r="A7335" s="13"/>
    </row>
    <row r="7336" spans="1:1" x14ac:dyDescent="0.25">
      <c r="A7336" s="13"/>
    </row>
    <row r="7337" spans="1:1" x14ac:dyDescent="0.25">
      <c r="A7337" s="13"/>
    </row>
    <row r="7338" spans="1:1" x14ac:dyDescent="0.25">
      <c r="A7338" s="13"/>
    </row>
    <row r="7339" spans="1:1" x14ac:dyDescent="0.25">
      <c r="A7339" s="13"/>
    </row>
    <row r="7340" spans="1:1" x14ac:dyDescent="0.25">
      <c r="A7340" s="13"/>
    </row>
    <row r="7341" spans="1:1" x14ac:dyDescent="0.25">
      <c r="A7341" s="13"/>
    </row>
    <row r="7342" spans="1:1" x14ac:dyDescent="0.25">
      <c r="A7342" s="13"/>
    </row>
    <row r="7343" spans="1:1" x14ac:dyDescent="0.25">
      <c r="A7343" s="13"/>
    </row>
    <row r="7344" spans="1:1" x14ac:dyDescent="0.25">
      <c r="A7344" s="13"/>
    </row>
    <row r="7345" spans="1:1" x14ac:dyDescent="0.25">
      <c r="A7345" s="13"/>
    </row>
    <row r="7346" spans="1:1" x14ac:dyDescent="0.25">
      <c r="A7346" s="13"/>
    </row>
    <row r="7347" spans="1:1" x14ac:dyDescent="0.25">
      <c r="A7347" s="13"/>
    </row>
    <row r="7348" spans="1:1" x14ac:dyDescent="0.25">
      <c r="A7348" s="13"/>
    </row>
    <row r="7349" spans="1:1" x14ac:dyDescent="0.25">
      <c r="A7349" s="13"/>
    </row>
    <row r="7350" spans="1:1" x14ac:dyDescent="0.25">
      <c r="A7350" s="13"/>
    </row>
    <row r="7351" spans="1:1" x14ac:dyDescent="0.25">
      <c r="A7351" s="13"/>
    </row>
    <row r="7352" spans="1:1" x14ac:dyDescent="0.25">
      <c r="A7352" s="13"/>
    </row>
    <row r="7353" spans="1:1" x14ac:dyDescent="0.25">
      <c r="A7353" s="13"/>
    </row>
    <row r="7354" spans="1:1" x14ac:dyDescent="0.25">
      <c r="A7354" s="13"/>
    </row>
    <row r="7355" spans="1:1" x14ac:dyDescent="0.25">
      <c r="A7355" s="13"/>
    </row>
    <row r="7356" spans="1:1" x14ac:dyDescent="0.25">
      <c r="A7356" s="13"/>
    </row>
    <row r="7357" spans="1:1" x14ac:dyDescent="0.25">
      <c r="A7357" s="13"/>
    </row>
    <row r="7358" spans="1:1" x14ac:dyDescent="0.25">
      <c r="A7358" s="13"/>
    </row>
    <row r="7359" spans="1:1" x14ac:dyDescent="0.25">
      <c r="A7359" s="13"/>
    </row>
    <row r="7360" spans="1:1" x14ac:dyDescent="0.25">
      <c r="A7360" s="13"/>
    </row>
    <row r="7361" spans="1:1" x14ac:dyDescent="0.25">
      <c r="A7361" s="13"/>
    </row>
    <row r="7362" spans="1:1" x14ac:dyDescent="0.25">
      <c r="A7362" s="13"/>
    </row>
    <row r="7363" spans="1:1" x14ac:dyDescent="0.25">
      <c r="A7363" s="13"/>
    </row>
    <row r="7364" spans="1:1" x14ac:dyDescent="0.25">
      <c r="A7364" s="13"/>
    </row>
    <row r="7365" spans="1:1" x14ac:dyDescent="0.25">
      <c r="A7365" s="13"/>
    </row>
    <row r="7366" spans="1:1" x14ac:dyDescent="0.25">
      <c r="A7366" s="13"/>
    </row>
    <row r="7367" spans="1:1" x14ac:dyDescent="0.25">
      <c r="A7367" s="13"/>
    </row>
    <row r="7368" spans="1:1" x14ac:dyDescent="0.25">
      <c r="A7368" s="13"/>
    </row>
    <row r="7369" spans="1:1" x14ac:dyDescent="0.25">
      <c r="A7369" s="13"/>
    </row>
    <row r="7370" spans="1:1" x14ac:dyDescent="0.25">
      <c r="A7370" s="13"/>
    </row>
    <row r="7371" spans="1:1" x14ac:dyDescent="0.25">
      <c r="A7371" s="13"/>
    </row>
    <row r="7372" spans="1:1" x14ac:dyDescent="0.25">
      <c r="A7372" s="13"/>
    </row>
    <row r="7373" spans="1:1" x14ac:dyDescent="0.25">
      <c r="A7373" s="13"/>
    </row>
    <row r="7374" spans="1:1" x14ac:dyDescent="0.25">
      <c r="A7374" s="13"/>
    </row>
    <row r="7375" spans="1:1" x14ac:dyDescent="0.25">
      <c r="A7375" s="13"/>
    </row>
    <row r="7376" spans="1:1" x14ac:dyDescent="0.25">
      <c r="A7376" s="13"/>
    </row>
    <row r="7377" spans="1:1" x14ac:dyDescent="0.25">
      <c r="A7377" s="13"/>
    </row>
    <row r="7378" spans="1:1" x14ac:dyDescent="0.25">
      <c r="A7378" s="13"/>
    </row>
    <row r="7379" spans="1:1" x14ac:dyDescent="0.25">
      <c r="A7379" s="13"/>
    </row>
    <row r="7380" spans="1:1" x14ac:dyDescent="0.25">
      <c r="A7380" s="13"/>
    </row>
    <row r="7381" spans="1:1" x14ac:dyDescent="0.25">
      <c r="A7381" s="13"/>
    </row>
    <row r="7382" spans="1:1" x14ac:dyDescent="0.25">
      <c r="A7382" s="13"/>
    </row>
    <row r="7383" spans="1:1" x14ac:dyDescent="0.25">
      <c r="A7383" s="13"/>
    </row>
    <row r="7384" spans="1:1" x14ac:dyDescent="0.25">
      <c r="A7384" s="13"/>
    </row>
    <row r="7385" spans="1:1" x14ac:dyDescent="0.25">
      <c r="A7385" s="13"/>
    </row>
    <row r="7386" spans="1:1" x14ac:dyDescent="0.25">
      <c r="A7386" s="13"/>
    </row>
    <row r="7387" spans="1:1" x14ac:dyDescent="0.25">
      <c r="A7387" s="13"/>
    </row>
    <row r="7388" spans="1:1" x14ac:dyDescent="0.25">
      <c r="A7388" s="13"/>
    </row>
    <row r="7389" spans="1:1" x14ac:dyDescent="0.25">
      <c r="A7389" s="13"/>
    </row>
    <row r="7390" spans="1:1" x14ac:dyDescent="0.25">
      <c r="A7390" s="13"/>
    </row>
    <row r="7391" spans="1:1" x14ac:dyDescent="0.25">
      <c r="A7391" s="13"/>
    </row>
    <row r="7392" spans="1:1" x14ac:dyDescent="0.25">
      <c r="A7392" s="13"/>
    </row>
    <row r="7393" spans="1:1" x14ac:dyDescent="0.25">
      <c r="A7393" s="13"/>
    </row>
    <row r="7394" spans="1:1" x14ac:dyDescent="0.25">
      <c r="A7394" s="13"/>
    </row>
    <row r="7395" spans="1:1" x14ac:dyDescent="0.25">
      <c r="A7395" s="13"/>
    </row>
    <row r="7396" spans="1:1" x14ac:dyDescent="0.25">
      <c r="A7396" s="13"/>
    </row>
    <row r="7397" spans="1:1" x14ac:dyDescent="0.25">
      <c r="A7397" s="13"/>
    </row>
    <row r="7398" spans="1:1" x14ac:dyDescent="0.25">
      <c r="A7398" s="13"/>
    </row>
    <row r="7399" spans="1:1" x14ac:dyDescent="0.25">
      <c r="A7399" s="13"/>
    </row>
    <row r="7400" spans="1:1" x14ac:dyDescent="0.25">
      <c r="A7400" s="13"/>
    </row>
    <row r="7401" spans="1:1" x14ac:dyDescent="0.25">
      <c r="A7401" s="13"/>
    </row>
    <row r="7402" spans="1:1" x14ac:dyDescent="0.25">
      <c r="A7402" s="13"/>
    </row>
    <row r="7403" spans="1:1" x14ac:dyDescent="0.25">
      <c r="A7403" s="13"/>
    </row>
    <row r="7404" spans="1:1" x14ac:dyDescent="0.25">
      <c r="A7404" s="13"/>
    </row>
    <row r="7405" spans="1:1" x14ac:dyDescent="0.25">
      <c r="A7405" s="13"/>
    </row>
    <row r="7406" spans="1:1" x14ac:dyDescent="0.25">
      <c r="A7406" s="13"/>
    </row>
    <row r="7407" spans="1:1" x14ac:dyDescent="0.25">
      <c r="A7407" s="13"/>
    </row>
    <row r="7408" spans="1:1" x14ac:dyDescent="0.25">
      <c r="A7408" s="13"/>
    </row>
    <row r="7409" spans="1:1" x14ac:dyDescent="0.25">
      <c r="A7409" s="13"/>
    </row>
    <row r="7410" spans="1:1" x14ac:dyDescent="0.25">
      <c r="A7410" s="13"/>
    </row>
    <row r="7411" spans="1:1" x14ac:dyDescent="0.25">
      <c r="A7411" s="13"/>
    </row>
    <row r="7412" spans="1:1" x14ac:dyDescent="0.25">
      <c r="A7412" s="13"/>
    </row>
    <row r="7413" spans="1:1" x14ac:dyDescent="0.25">
      <c r="A7413" s="13"/>
    </row>
    <row r="7414" spans="1:1" x14ac:dyDescent="0.25">
      <c r="A7414" s="13"/>
    </row>
    <row r="7415" spans="1:1" x14ac:dyDescent="0.25">
      <c r="A7415" s="13"/>
    </row>
    <row r="7416" spans="1:1" x14ac:dyDescent="0.25">
      <c r="A7416" s="13"/>
    </row>
    <row r="7417" spans="1:1" x14ac:dyDescent="0.25">
      <c r="A7417" s="13"/>
    </row>
    <row r="7418" spans="1:1" x14ac:dyDescent="0.25">
      <c r="A7418" s="13"/>
    </row>
    <row r="7419" spans="1:1" x14ac:dyDescent="0.25">
      <c r="A7419" s="13"/>
    </row>
    <row r="7420" spans="1:1" x14ac:dyDescent="0.25">
      <c r="A7420" s="13"/>
    </row>
    <row r="7421" spans="1:1" x14ac:dyDescent="0.25">
      <c r="A7421" s="13"/>
    </row>
    <row r="7422" spans="1:1" x14ac:dyDescent="0.25">
      <c r="A7422" s="13"/>
    </row>
    <row r="7423" spans="1:1" x14ac:dyDescent="0.25">
      <c r="A7423" s="13"/>
    </row>
    <row r="7424" spans="1:1" x14ac:dyDescent="0.25">
      <c r="A7424" s="13"/>
    </row>
    <row r="7425" spans="1:1" x14ac:dyDescent="0.25">
      <c r="A7425" s="13"/>
    </row>
    <row r="7426" spans="1:1" x14ac:dyDescent="0.25">
      <c r="A7426" s="13"/>
    </row>
    <row r="7427" spans="1:1" x14ac:dyDescent="0.25">
      <c r="A7427" s="13"/>
    </row>
    <row r="7428" spans="1:1" x14ac:dyDescent="0.25">
      <c r="A7428" s="13"/>
    </row>
    <row r="7429" spans="1:1" x14ac:dyDescent="0.25">
      <c r="A7429" s="13"/>
    </row>
    <row r="7430" spans="1:1" x14ac:dyDescent="0.25">
      <c r="A7430" s="13"/>
    </row>
    <row r="7431" spans="1:1" x14ac:dyDescent="0.25">
      <c r="A7431" s="13"/>
    </row>
    <row r="7432" spans="1:1" x14ac:dyDescent="0.25">
      <c r="A7432" s="13"/>
    </row>
    <row r="7433" spans="1:1" x14ac:dyDescent="0.25">
      <c r="A7433" s="13"/>
    </row>
    <row r="7434" spans="1:1" x14ac:dyDescent="0.25">
      <c r="A7434" s="13"/>
    </row>
    <row r="7435" spans="1:1" x14ac:dyDescent="0.25">
      <c r="A7435" s="13"/>
    </row>
    <row r="7436" spans="1:1" x14ac:dyDescent="0.25">
      <c r="A7436" s="13"/>
    </row>
    <row r="7437" spans="1:1" x14ac:dyDescent="0.25">
      <c r="A7437" s="13"/>
    </row>
    <row r="7438" spans="1:1" x14ac:dyDescent="0.25">
      <c r="A7438" s="13"/>
    </row>
    <row r="7439" spans="1:1" x14ac:dyDescent="0.25">
      <c r="A7439" s="13"/>
    </row>
    <row r="7440" spans="1:1" x14ac:dyDescent="0.25">
      <c r="A7440" s="13"/>
    </row>
    <row r="7441" spans="1:1" x14ac:dyDescent="0.25">
      <c r="A7441" s="13"/>
    </row>
    <row r="7442" spans="1:1" x14ac:dyDescent="0.25">
      <c r="A7442" s="13"/>
    </row>
    <row r="7443" spans="1:1" x14ac:dyDescent="0.25">
      <c r="A7443" s="13"/>
    </row>
    <row r="7444" spans="1:1" x14ac:dyDescent="0.25">
      <c r="A7444" s="13"/>
    </row>
    <row r="7445" spans="1:1" x14ac:dyDescent="0.25">
      <c r="A7445" s="13"/>
    </row>
    <row r="7446" spans="1:1" x14ac:dyDescent="0.25">
      <c r="A7446" s="13"/>
    </row>
    <row r="7447" spans="1:1" x14ac:dyDescent="0.25">
      <c r="A7447" s="13"/>
    </row>
    <row r="7448" spans="1:1" x14ac:dyDescent="0.25">
      <c r="A7448" s="13"/>
    </row>
    <row r="7449" spans="1:1" x14ac:dyDescent="0.25">
      <c r="A7449" s="13"/>
    </row>
    <row r="7450" spans="1:1" x14ac:dyDescent="0.25">
      <c r="A7450" s="13"/>
    </row>
    <row r="7451" spans="1:1" x14ac:dyDescent="0.25">
      <c r="A7451" s="13"/>
    </row>
    <row r="7452" spans="1:1" x14ac:dyDescent="0.25">
      <c r="A7452" s="13"/>
    </row>
    <row r="7453" spans="1:1" x14ac:dyDescent="0.25">
      <c r="A7453" s="13"/>
    </row>
    <row r="7454" spans="1:1" x14ac:dyDescent="0.25">
      <c r="A7454" s="13"/>
    </row>
    <row r="7455" spans="1:1" x14ac:dyDescent="0.25">
      <c r="A7455" s="13"/>
    </row>
    <row r="7456" spans="1:1" x14ac:dyDescent="0.25">
      <c r="A7456" s="13"/>
    </row>
    <row r="7457" spans="1:1" x14ac:dyDescent="0.25">
      <c r="A7457" s="13"/>
    </row>
    <row r="7458" spans="1:1" x14ac:dyDescent="0.25">
      <c r="A7458" s="13"/>
    </row>
    <row r="7459" spans="1:1" x14ac:dyDescent="0.25">
      <c r="A7459" s="13"/>
    </row>
    <row r="7460" spans="1:1" x14ac:dyDescent="0.25">
      <c r="A7460" s="13"/>
    </row>
    <row r="7461" spans="1:1" x14ac:dyDescent="0.25">
      <c r="A7461" s="13"/>
    </row>
    <row r="7462" spans="1:1" x14ac:dyDescent="0.25">
      <c r="A7462" s="13"/>
    </row>
    <row r="7463" spans="1:1" x14ac:dyDescent="0.25">
      <c r="A7463" s="13"/>
    </row>
    <row r="7464" spans="1:1" x14ac:dyDescent="0.25">
      <c r="A7464" s="13"/>
    </row>
    <row r="7465" spans="1:1" x14ac:dyDescent="0.25">
      <c r="A7465" s="13"/>
    </row>
    <row r="7466" spans="1:1" x14ac:dyDescent="0.25">
      <c r="A7466" s="13"/>
    </row>
    <row r="7467" spans="1:1" x14ac:dyDescent="0.25">
      <c r="A7467" s="13"/>
    </row>
    <row r="7468" spans="1:1" x14ac:dyDescent="0.25">
      <c r="A7468" s="13"/>
    </row>
    <row r="7469" spans="1:1" x14ac:dyDescent="0.25">
      <c r="A7469" s="13"/>
    </row>
    <row r="7470" spans="1:1" x14ac:dyDescent="0.25">
      <c r="A7470" s="13"/>
    </row>
    <row r="7471" spans="1:1" x14ac:dyDescent="0.25">
      <c r="A7471" s="13"/>
    </row>
    <row r="7472" spans="1:1" x14ac:dyDescent="0.25">
      <c r="A7472" s="13"/>
    </row>
    <row r="7473" spans="1:1" x14ac:dyDescent="0.25">
      <c r="A7473" s="13"/>
    </row>
    <row r="7474" spans="1:1" x14ac:dyDescent="0.25">
      <c r="A7474" s="13"/>
    </row>
    <row r="7475" spans="1:1" x14ac:dyDescent="0.25">
      <c r="A7475" s="13"/>
    </row>
    <row r="7476" spans="1:1" x14ac:dyDescent="0.25">
      <c r="A7476" s="13"/>
    </row>
    <row r="7477" spans="1:1" x14ac:dyDescent="0.25">
      <c r="A7477" s="13"/>
    </row>
    <row r="7478" spans="1:1" x14ac:dyDescent="0.25">
      <c r="A7478" s="13"/>
    </row>
    <row r="7479" spans="1:1" x14ac:dyDescent="0.25">
      <c r="A7479" s="13"/>
    </row>
    <row r="7480" spans="1:1" x14ac:dyDescent="0.25">
      <c r="A7480" s="13"/>
    </row>
    <row r="7481" spans="1:1" x14ac:dyDescent="0.25">
      <c r="A7481" s="13"/>
    </row>
    <row r="7482" spans="1:1" x14ac:dyDescent="0.25">
      <c r="A7482" s="13"/>
    </row>
    <row r="7483" spans="1:1" x14ac:dyDescent="0.25">
      <c r="A7483" s="13"/>
    </row>
    <row r="7484" spans="1:1" x14ac:dyDescent="0.25">
      <c r="A7484" s="13"/>
    </row>
    <row r="7485" spans="1:1" x14ac:dyDescent="0.25">
      <c r="A7485" s="13"/>
    </row>
    <row r="7486" spans="1:1" x14ac:dyDescent="0.25">
      <c r="A7486" s="13"/>
    </row>
    <row r="7487" spans="1:1" x14ac:dyDescent="0.25">
      <c r="A7487" s="13"/>
    </row>
    <row r="7488" spans="1:1" x14ac:dyDescent="0.25">
      <c r="A7488" s="13"/>
    </row>
    <row r="7489" spans="1:1" x14ac:dyDescent="0.25">
      <c r="A7489" s="13"/>
    </row>
    <row r="7490" spans="1:1" x14ac:dyDescent="0.25">
      <c r="A7490" s="13"/>
    </row>
    <row r="7491" spans="1:1" x14ac:dyDescent="0.25">
      <c r="A7491" s="13"/>
    </row>
    <row r="7492" spans="1:1" x14ac:dyDescent="0.25">
      <c r="A7492" s="13"/>
    </row>
    <row r="7493" spans="1:1" x14ac:dyDescent="0.25">
      <c r="A7493" s="13"/>
    </row>
    <row r="7494" spans="1:1" x14ac:dyDescent="0.25">
      <c r="A7494" s="13"/>
    </row>
    <row r="7495" spans="1:1" x14ac:dyDescent="0.25">
      <c r="A7495" s="13"/>
    </row>
    <row r="7496" spans="1:1" x14ac:dyDescent="0.25">
      <c r="A7496" s="13"/>
    </row>
    <row r="7497" spans="1:1" x14ac:dyDescent="0.25">
      <c r="A7497" s="13"/>
    </row>
    <row r="7498" spans="1:1" x14ac:dyDescent="0.25">
      <c r="A7498" s="13"/>
    </row>
    <row r="7499" spans="1:1" x14ac:dyDescent="0.25">
      <c r="A7499" s="13"/>
    </row>
    <row r="7500" spans="1:1" x14ac:dyDescent="0.25">
      <c r="A7500" s="13"/>
    </row>
    <row r="7501" spans="1:1" x14ac:dyDescent="0.25">
      <c r="A7501" s="13"/>
    </row>
    <row r="7502" spans="1:1" x14ac:dyDescent="0.25">
      <c r="A7502" s="13"/>
    </row>
    <row r="7503" spans="1:1" x14ac:dyDescent="0.25">
      <c r="A7503" s="13"/>
    </row>
    <row r="7504" spans="1:1" x14ac:dyDescent="0.25">
      <c r="A7504" s="13"/>
    </row>
    <row r="7505" spans="1:1" x14ac:dyDescent="0.25">
      <c r="A7505" s="13"/>
    </row>
    <row r="7506" spans="1:1" x14ac:dyDescent="0.25">
      <c r="A7506" s="13"/>
    </row>
    <row r="7507" spans="1:1" x14ac:dyDescent="0.25">
      <c r="A7507" s="13"/>
    </row>
    <row r="7508" spans="1:1" x14ac:dyDescent="0.25">
      <c r="A7508" s="13"/>
    </row>
    <row r="7509" spans="1:1" x14ac:dyDescent="0.25">
      <c r="A7509" s="13"/>
    </row>
    <row r="7510" spans="1:1" x14ac:dyDescent="0.25">
      <c r="A7510" s="13"/>
    </row>
    <row r="7511" spans="1:1" x14ac:dyDescent="0.25">
      <c r="A7511" s="13"/>
    </row>
    <row r="7512" spans="1:1" x14ac:dyDescent="0.25">
      <c r="A7512" s="13"/>
    </row>
    <row r="7513" spans="1:1" x14ac:dyDescent="0.25">
      <c r="A7513" s="13"/>
    </row>
    <row r="7514" spans="1:1" x14ac:dyDescent="0.25">
      <c r="A7514" s="13"/>
    </row>
    <row r="7515" spans="1:1" x14ac:dyDescent="0.25">
      <c r="A7515" s="13"/>
    </row>
    <row r="7516" spans="1:1" x14ac:dyDescent="0.25">
      <c r="A7516" s="13"/>
    </row>
    <row r="7517" spans="1:1" x14ac:dyDescent="0.25">
      <c r="A7517" s="13"/>
    </row>
    <row r="7518" spans="1:1" x14ac:dyDescent="0.25">
      <c r="A7518" s="13"/>
    </row>
    <row r="7519" spans="1:1" x14ac:dyDescent="0.25">
      <c r="A7519" s="13"/>
    </row>
    <row r="7520" spans="1:1" x14ac:dyDescent="0.25">
      <c r="A7520" s="13"/>
    </row>
    <row r="7521" spans="1:1" x14ac:dyDescent="0.25">
      <c r="A7521" s="13"/>
    </row>
    <row r="7522" spans="1:1" x14ac:dyDescent="0.25">
      <c r="A7522" s="13"/>
    </row>
    <row r="7523" spans="1:1" x14ac:dyDescent="0.25">
      <c r="A7523" s="13"/>
    </row>
    <row r="7524" spans="1:1" x14ac:dyDescent="0.25">
      <c r="A7524" s="13"/>
    </row>
    <row r="7525" spans="1:1" x14ac:dyDescent="0.25">
      <c r="A7525" s="13"/>
    </row>
    <row r="7526" spans="1:1" x14ac:dyDescent="0.25">
      <c r="A7526" s="13"/>
    </row>
    <row r="7527" spans="1:1" x14ac:dyDescent="0.25">
      <c r="A7527" s="13"/>
    </row>
    <row r="7528" spans="1:1" x14ac:dyDescent="0.25">
      <c r="A7528" s="13"/>
    </row>
    <row r="7529" spans="1:1" x14ac:dyDescent="0.25">
      <c r="A7529" s="13"/>
    </row>
    <row r="7530" spans="1:1" x14ac:dyDescent="0.25">
      <c r="A7530" s="13"/>
    </row>
    <row r="7531" spans="1:1" x14ac:dyDescent="0.25">
      <c r="A7531" s="13"/>
    </row>
    <row r="7532" spans="1:1" x14ac:dyDescent="0.25">
      <c r="A7532" s="13"/>
    </row>
    <row r="7533" spans="1:1" x14ac:dyDescent="0.25">
      <c r="A7533" s="13"/>
    </row>
    <row r="7534" spans="1:1" x14ac:dyDescent="0.25">
      <c r="A7534" s="13"/>
    </row>
    <row r="7535" spans="1:1" x14ac:dyDescent="0.25">
      <c r="A7535" s="13"/>
    </row>
    <row r="7536" spans="1:1" x14ac:dyDescent="0.25">
      <c r="A7536" s="13"/>
    </row>
    <row r="7537" spans="1:1" x14ac:dyDescent="0.25">
      <c r="A7537" s="13"/>
    </row>
    <row r="7538" spans="1:1" x14ac:dyDescent="0.25">
      <c r="A7538" s="13"/>
    </row>
    <row r="7539" spans="1:1" x14ac:dyDescent="0.25">
      <c r="A7539" s="13"/>
    </row>
    <row r="7540" spans="1:1" x14ac:dyDescent="0.25">
      <c r="A7540" s="13"/>
    </row>
    <row r="7541" spans="1:1" x14ac:dyDescent="0.25">
      <c r="A7541" s="13"/>
    </row>
    <row r="7542" spans="1:1" x14ac:dyDescent="0.25">
      <c r="A7542" s="13"/>
    </row>
    <row r="7543" spans="1:1" x14ac:dyDescent="0.25">
      <c r="A7543" s="13"/>
    </row>
    <row r="7544" spans="1:1" x14ac:dyDescent="0.25">
      <c r="A7544" s="13"/>
    </row>
    <row r="7545" spans="1:1" x14ac:dyDescent="0.25">
      <c r="A7545" s="13"/>
    </row>
    <row r="7546" spans="1:1" x14ac:dyDescent="0.25">
      <c r="A7546" s="13"/>
    </row>
    <row r="7547" spans="1:1" x14ac:dyDescent="0.25">
      <c r="A7547" s="13"/>
    </row>
    <row r="7548" spans="1:1" x14ac:dyDescent="0.25">
      <c r="A7548" s="13"/>
    </row>
    <row r="7549" spans="1:1" x14ac:dyDescent="0.25">
      <c r="A7549" s="13"/>
    </row>
    <row r="7550" spans="1:1" x14ac:dyDescent="0.25">
      <c r="A7550" s="13"/>
    </row>
    <row r="7551" spans="1:1" x14ac:dyDescent="0.25">
      <c r="A7551" s="13"/>
    </row>
    <row r="7552" spans="1:1" x14ac:dyDescent="0.25">
      <c r="A7552" s="13"/>
    </row>
    <row r="7553" spans="1:1" x14ac:dyDescent="0.25">
      <c r="A7553" s="13"/>
    </row>
    <row r="7554" spans="1:1" x14ac:dyDescent="0.25">
      <c r="A7554" s="13"/>
    </row>
    <row r="7555" spans="1:1" x14ac:dyDescent="0.25">
      <c r="A7555" s="13"/>
    </row>
    <row r="7556" spans="1:1" x14ac:dyDescent="0.25">
      <c r="A7556" s="13"/>
    </row>
    <row r="7557" spans="1:1" x14ac:dyDescent="0.25">
      <c r="A7557" s="13"/>
    </row>
    <row r="7558" spans="1:1" x14ac:dyDescent="0.25">
      <c r="A7558" s="13"/>
    </row>
    <row r="7559" spans="1:1" x14ac:dyDescent="0.25">
      <c r="A7559" s="13"/>
    </row>
    <row r="7560" spans="1:1" x14ac:dyDescent="0.25">
      <c r="A7560" s="13"/>
    </row>
    <row r="7561" spans="1:1" x14ac:dyDescent="0.25">
      <c r="A7561" s="13"/>
    </row>
    <row r="7562" spans="1:1" x14ac:dyDescent="0.25">
      <c r="A7562" s="13"/>
    </row>
    <row r="7563" spans="1:1" x14ac:dyDescent="0.25">
      <c r="A7563" s="13"/>
    </row>
    <row r="7564" spans="1:1" x14ac:dyDescent="0.25">
      <c r="A7564" s="13"/>
    </row>
    <row r="7565" spans="1:1" x14ac:dyDescent="0.25">
      <c r="A7565" s="13"/>
    </row>
    <row r="7566" spans="1:1" x14ac:dyDescent="0.25">
      <c r="A7566" s="13"/>
    </row>
    <row r="7567" spans="1:1" x14ac:dyDescent="0.25">
      <c r="A7567" s="13"/>
    </row>
    <row r="7568" spans="1:1" x14ac:dyDescent="0.25">
      <c r="A7568" s="13"/>
    </row>
    <row r="7569" spans="1:1" x14ac:dyDescent="0.25">
      <c r="A7569" s="13"/>
    </row>
    <row r="7570" spans="1:1" x14ac:dyDescent="0.25">
      <c r="A7570" s="13"/>
    </row>
    <row r="7571" spans="1:1" x14ac:dyDescent="0.25">
      <c r="A7571" s="13"/>
    </row>
    <row r="7572" spans="1:1" x14ac:dyDescent="0.25">
      <c r="A7572" s="13"/>
    </row>
    <row r="7573" spans="1:1" x14ac:dyDescent="0.25">
      <c r="A7573" s="13"/>
    </row>
    <row r="7574" spans="1:1" x14ac:dyDescent="0.25">
      <c r="A7574" s="13"/>
    </row>
    <row r="7575" spans="1:1" x14ac:dyDescent="0.25">
      <c r="A7575" s="13"/>
    </row>
    <row r="7576" spans="1:1" x14ac:dyDescent="0.25">
      <c r="A7576" s="13"/>
    </row>
    <row r="7577" spans="1:1" x14ac:dyDescent="0.25">
      <c r="A7577" s="13"/>
    </row>
    <row r="7578" spans="1:1" x14ac:dyDescent="0.25">
      <c r="A7578" s="13"/>
    </row>
    <row r="7579" spans="1:1" x14ac:dyDescent="0.25">
      <c r="A7579" s="13"/>
    </row>
    <row r="7580" spans="1:1" x14ac:dyDescent="0.25">
      <c r="A7580" s="13"/>
    </row>
    <row r="7581" spans="1:1" x14ac:dyDescent="0.25">
      <c r="A7581" s="13"/>
    </row>
    <row r="7582" spans="1:1" x14ac:dyDescent="0.25">
      <c r="A7582" s="13"/>
    </row>
    <row r="7583" spans="1:1" x14ac:dyDescent="0.25">
      <c r="A7583" s="13"/>
    </row>
    <row r="7584" spans="1:1" x14ac:dyDescent="0.25">
      <c r="A7584" s="13"/>
    </row>
    <row r="7585" spans="1:1" x14ac:dyDescent="0.25">
      <c r="A7585" s="13"/>
    </row>
    <row r="7586" spans="1:1" x14ac:dyDescent="0.25">
      <c r="A7586" s="13"/>
    </row>
    <row r="7587" spans="1:1" x14ac:dyDescent="0.25">
      <c r="A7587" s="13"/>
    </row>
    <row r="7588" spans="1:1" x14ac:dyDescent="0.25">
      <c r="A7588" s="13"/>
    </row>
    <row r="7589" spans="1:1" x14ac:dyDescent="0.25">
      <c r="A7589" s="13"/>
    </row>
    <row r="7590" spans="1:1" x14ac:dyDescent="0.25">
      <c r="A7590" s="13"/>
    </row>
    <row r="7591" spans="1:1" x14ac:dyDescent="0.25">
      <c r="A7591" s="13"/>
    </row>
    <row r="7592" spans="1:1" x14ac:dyDescent="0.25">
      <c r="A7592" s="13"/>
    </row>
    <row r="7593" spans="1:1" x14ac:dyDescent="0.25">
      <c r="A7593" s="13"/>
    </row>
    <row r="7594" spans="1:1" x14ac:dyDescent="0.25">
      <c r="A7594" s="13"/>
    </row>
    <row r="7595" spans="1:1" x14ac:dyDescent="0.25">
      <c r="A7595" s="13"/>
    </row>
    <row r="7596" spans="1:1" x14ac:dyDescent="0.25">
      <c r="A7596" s="13"/>
    </row>
    <row r="7597" spans="1:1" x14ac:dyDescent="0.25">
      <c r="A7597" s="13"/>
    </row>
    <row r="7598" spans="1:1" x14ac:dyDescent="0.25">
      <c r="A7598" s="13"/>
    </row>
    <row r="7599" spans="1:1" x14ac:dyDescent="0.25">
      <c r="A7599" s="13"/>
    </row>
    <row r="7600" spans="1:1" x14ac:dyDescent="0.25">
      <c r="A7600" s="13"/>
    </row>
    <row r="7601" spans="1:1" x14ac:dyDescent="0.25">
      <c r="A7601" s="13"/>
    </row>
    <row r="7602" spans="1:1" x14ac:dyDescent="0.25">
      <c r="A7602" s="13"/>
    </row>
    <row r="7603" spans="1:1" x14ac:dyDescent="0.25">
      <c r="A7603" s="13"/>
    </row>
    <row r="7604" spans="1:1" x14ac:dyDescent="0.25">
      <c r="A7604" s="13"/>
    </row>
    <row r="7605" spans="1:1" x14ac:dyDescent="0.25">
      <c r="A7605" s="13"/>
    </row>
    <row r="7606" spans="1:1" x14ac:dyDescent="0.25">
      <c r="A7606" s="13"/>
    </row>
    <row r="7607" spans="1:1" x14ac:dyDescent="0.25">
      <c r="A7607" s="13"/>
    </row>
    <row r="7608" spans="1:1" x14ac:dyDescent="0.25">
      <c r="A7608" s="13"/>
    </row>
    <row r="7609" spans="1:1" x14ac:dyDescent="0.25">
      <c r="A7609" s="13"/>
    </row>
    <row r="7610" spans="1:1" x14ac:dyDescent="0.25">
      <c r="A7610" s="13"/>
    </row>
    <row r="7611" spans="1:1" x14ac:dyDescent="0.25">
      <c r="A7611" s="13"/>
    </row>
    <row r="7612" spans="1:1" x14ac:dyDescent="0.25">
      <c r="A7612" s="13"/>
    </row>
    <row r="7613" spans="1:1" x14ac:dyDescent="0.25">
      <c r="A7613" s="13"/>
    </row>
    <row r="7614" spans="1:1" x14ac:dyDescent="0.25">
      <c r="A7614" s="13"/>
    </row>
    <row r="7615" spans="1:1" x14ac:dyDescent="0.25">
      <c r="A7615" s="13"/>
    </row>
    <row r="7616" spans="1:1" x14ac:dyDescent="0.25">
      <c r="A7616" s="13"/>
    </row>
    <row r="7617" spans="1:1" x14ac:dyDescent="0.25">
      <c r="A7617" s="13"/>
    </row>
    <row r="7618" spans="1:1" x14ac:dyDescent="0.25">
      <c r="A7618" s="13"/>
    </row>
    <row r="7619" spans="1:1" x14ac:dyDescent="0.25">
      <c r="A7619" s="13"/>
    </row>
    <row r="7620" spans="1:1" x14ac:dyDescent="0.25">
      <c r="A7620" s="13"/>
    </row>
    <row r="7621" spans="1:1" x14ac:dyDescent="0.25">
      <c r="A7621" s="13"/>
    </row>
    <row r="7622" spans="1:1" x14ac:dyDescent="0.25">
      <c r="A7622" s="13"/>
    </row>
    <row r="7623" spans="1:1" x14ac:dyDescent="0.25">
      <c r="A7623" s="13"/>
    </row>
    <row r="7624" spans="1:1" x14ac:dyDescent="0.25">
      <c r="A7624" s="13"/>
    </row>
    <row r="7625" spans="1:1" x14ac:dyDescent="0.25">
      <c r="A7625" s="13"/>
    </row>
    <row r="7626" spans="1:1" x14ac:dyDescent="0.25">
      <c r="A7626" s="13"/>
    </row>
    <row r="7627" spans="1:1" x14ac:dyDescent="0.25">
      <c r="A7627" s="13"/>
    </row>
    <row r="7628" spans="1:1" x14ac:dyDescent="0.25">
      <c r="A7628" s="13"/>
    </row>
    <row r="7629" spans="1:1" x14ac:dyDescent="0.25">
      <c r="A7629" s="13"/>
    </row>
    <row r="7630" spans="1:1" x14ac:dyDescent="0.25">
      <c r="A7630" s="13"/>
    </row>
    <row r="7631" spans="1:1" x14ac:dyDescent="0.25">
      <c r="A7631" s="13"/>
    </row>
    <row r="7632" spans="1:1" x14ac:dyDescent="0.25">
      <c r="A7632" s="13"/>
    </row>
    <row r="7633" spans="1:1" x14ac:dyDescent="0.25">
      <c r="A7633" s="13"/>
    </row>
    <row r="7634" spans="1:1" x14ac:dyDescent="0.25">
      <c r="A7634" s="13"/>
    </row>
    <row r="7635" spans="1:1" x14ac:dyDescent="0.25">
      <c r="A7635" s="13"/>
    </row>
    <row r="7636" spans="1:1" x14ac:dyDescent="0.25">
      <c r="A7636" s="13"/>
    </row>
    <row r="7637" spans="1:1" x14ac:dyDescent="0.25">
      <c r="A7637" s="13"/>
    </row>
    <row r="7638" spans="1:1" x14ac:dyDescent="0.25">
      <c r="A7638" s="13"/>
    </row>
    <row r="7639" spans="1:1" x14ac:dyDescent="0.25">
      <c r="A7639" s="13"/>
    </row>
    <row r="7640" spans="1:1" x14ac:dyDescent="0.25">
      <c r="A7640" s="13"/>
    </row>
    <row r="7641" spans="1:1" x14ac:dyDescent="0.25">
      <c r="A7641" s="13"/>
    </row>
    <row r="7642" spans="1:1" x14ac:dyDescent="0.25">
      <c r="A7642" s="13"/>
    </row>
    <row r="7643" spans="1:1" x14ac:dyDescent="0.25">
      <c r="A7643" s="13"/>
    </row>
    <row r="7644" spans="1:1" x14ac:dyDescent="0.25">
      <c r="A7644" s="13"/>
    </row>
    <row r="7645" spans="1:1" x14ac:dyDescent="0.25">
      <c r="A7645" s="13"/>
    </row>
    <row r="7646" spans="1:1" x14ac:dyDescent="0.25">
      <c r="A7646" s="13"/>
    </row>
    <row r="7647" spans="1:1" x14ac:dyDescent="0.25">
      <c r="A7647" s="13"/>
    </row>
    <row r="7648" spans="1:1" x14ac:dyDescent="0.25">
      <c r="A7648" s="13"/>
    </row>
    <row r="7649" spans="1:1" x14ac:dyDescent="0.25">
      <c r="A7649" s="13"/>
    </row>
    <row r="7650" spans="1:1" x14ac:dyDescent="0.25">
      <c r="A7650" s="13"/>
    </row>
    <row r="7651" spans="1:1" x14ac:dyDescent="0.25">
      <c r="A7651" s="13"/>
    </row>
    <row r="7652" spans="1:1" x14ac:dyDescent="0.25">
      <c r="A7652" s="13"/>
    </row>
    <row r="7653" spans="1:1" x14ac:dyDescent="0.25">
      <c r="A7653" s="13"/>
    </row>
    <row r="7654" spans="1:1" x14ac:dyDescent="0.25">
      <c r="A7654" s="13"/>
    </row>
    <row r="7655" spans="1:1" x14ac:dyDescent="0.25">
      <c r="A7655" s="13"/>
    </row>
    <row r="7656" spans="1:1" x14ac:dyDescent="0.25">
      <c r="A7656" s="13"/>
    </row>
    <row r="7657" spans="1:1" x14ac:dyDescent="0.25">
      <c r="A7657" s="13"/>
    </row>
    <row r="7658" spans="1:1" x14ac:dyDescent="0.25">
      <c r="A7658" s="13"/>
    </row>
    <row r="7659" spans="1:1" x14ac:dyDescent="0.25">
      <c r="A7659" s="13"/>
    </row>
    <row r="7660" spans="1:1" x14ac:dyDescent="0.25">
      <c r="A7660" s="13"/>
    </row>
    <row r="7661" spans="1:1" x14ac:dyDescent="0.25">
      <c r="A7661" s="13"/>
    </row>
    <row r="7662" spans="1:1" x14ac:dyDescent="0.25">
      <c r="A7662" s="13"/>
    </row>
    <row r="7663" spans="1:1" x14ac:dyDescent="0.25">
      <c r="A7663" s="13"/>
    </row>
    <row r="7664" spans="1:1" x14ac:dyDescent="0.25">
      <c r="A7664" s="13"/>
    </row>
    <row r="7665" spans="1:1" x14ac:dyDescent="0.25">
      <c r="A7665" s="13"/>
    </row>
    <row r="7666" spans="1:1" x14ac:dyDescent="0.25">
      <c r="A7666" s="13"/>
    </row>
    <row r="7667" spans="1:1" x14ac:dyDescent="0.25">
      <c r="A7667" s="13"/>
    </row>
    <row r="7668" spans="1:1" x14ac:dyDescent="0.25">
      <c r="A7668" s="13"/>
    </row>
    <row r="7669" spans="1:1" x14ac:dyDescent="0.25">
      <c r="A7669" s="13"/>
    </row>
    <row r="7670" spans="1:1" x14ac:dyDescent="0.25">
      <c r="A7670" s="13"/>
    </row>
    <row r="7671" spans="1:1" x14ac:dyDescent="0.25">
      <c r="A7671" s="13"/>
    </row>
    <row r="7672" spans="1:1" x14ac:dyDescent="0.25">
      <c r="A7672" s="13"/>
    </row>
    <row r="7673" spans="1:1" x14ac:dyDescent="0.25">
      <c r="A7673" s="13"/>
    </row>
    <row r="7674" spans="1:1" x14ac:dyDescent="0.25">
      <c r="A7674" s="13"/>
    </row>
    <row r="7675" spans="1:1" x14ac:dyDescent="0.25">
      <c r="A7675" s="13"/>
    </row>
    <row r="7676" spans="1:1" x14ac:dyDescent="0.25">
      <c r="A7676" s="13"/>
    </row>
    <row r="7677" spans="1:1" x14ac:dyDescent="0.25">
      <c r="A7677" s="13"/>
    </row>
    <row r="7678" spans="1:1" x14ac:dyDescent="0.25">
      <c r="A7678" s="13"/>
    </row>
    <row r="7679" spans="1:1" x14ac:dyDescent="0.25">
      <c r="A7679" s="13"/>
    </row>
    <row r="7680" spans="1:1" x14ac:dyDescent="0.25">
      <c r="A7680" s="13"/>
    </row>
    <row r="7681" spans="1:1" x14ac:dyDescent="0.25">
      <c r="A7681" s="13"/>
    </row>
    <row r="7682" spans="1:1" x14ac:dyDescent="0.25">
      <c r="A7682" s="13"/>
    </row>
    <row r="7683" spans="1:1" x14ac:dyDescent="0.25">
      <c r="A7683" s="13"/>
    </row>
    <row r="7684" spans="1:1" x14ac:dyDescent="0.25">
      <c r="A7684" s="13"/>
    </row>
    <row r="7685" spans="1:1" x14ac:dyDescent="0.25">
      <c r="A7685" s="13"/>
    </row>
    <row r="7686" spans="1:1" x14ac:dyDescent="0.25">
      <c r="A7686" s="13"/>
    </row>
    <row r="7687" spans="1:1" x14ac:dyDescent="0.25">
      <c r="A7687" s="13"/>
    </row>
    <row r="7688" spans="1:1" x14ac:dyDescent="0.25">
      <c r="A7688" s="13"/>
    </row>
    <row r="7689" spans="1:1" x14ac:dyDescent="0.25">
      <c r="A7689" s="13"/>
    </row>
    <row r="7690" spans="1:1" x14ac:dyDescent="0.25">
      <c r="A7690" s="13"/>
    </row>
    <row r="7691" spans="1:1" x14ac:dyDescent="0.25">
      <c r="A7691" s="13"/>
    </row>
    <row r="7692" spans="1:1" x14ac:dyDescent="0.25">
      <c r="A7692" s="13"/>
    </row>
    <row r="7693" spans="1:1" x14ac:dyDescent="0.25">
      <c r="A7693" s="13"/>
    </row>
    <row r="7694" spans="1:1" x14ac:dyDescent="0.25">
      <c r="A7694" s="13"/>
    </row>
    <row r="7695" spans="1:1" x14ac:dyDescent="0.25">
      <c r="A7695" s="13"/>
    </row>
    <row r="7696" spans="1:1" x14ac:dyDescent="0.25">
      <c r="A7696" s="13"/>
    </row>
    <row r="7697" spans="1:1" x14ac:dyDescent="0.25">
      <c r="A7697" s="13"/>
    </row>
    <row r="7698" spans="1:1" x14ac:dyDescent="0.25">
      <c r="A7698" s="13"/>
    </row>
    <row r="7699" spans="1:1" x14ac:dyDescent="0.25">
      <c r="A7699" s="13"/>
    </row>
    <row r="7700" spans="1:1" x14ac:dyDescent="0.25">
      <c r="A7700" s="13"/>
    </row>
    <row r="7701" spans="1:1" x14ac:dyDescent="0.25">
      <c r="A7701" s="13"/>
    </row>
    <row r="7702" spans="1:1" x14ac:dyDescent="0.25">
      <c r="A7702" s="13"/>
    </row>
    <row r="7703" spans="1:1" x14ac:dyDescent="0.25">
      <c r="A7703" s="13"/>
    </row>
    <row r="7704" spans="1:1" x14ac:dyDescent="0.25">
      <c r="A7704" s="13"/>
    </row>
    <row r="7705" spans="1:1" x14ac:dyDescent="0.25">
      <c r="A7705" s="13"/>
    </row>
    <row r="7706" spans="1:1" x14ac:dyDescent="0.25">
      <c r="A7706" s="13"/>
    </row>
    <row r="7707" spans="1:1" x14ac:dyDescent="0.25">
      <c r="A7707" s="13"/>
    </row>
    <row r="7708" spans="1:1" x14ac:dyDescent="0.25">
      <c r="A7708" s="13"/>
    </row>
    <row r="7709" spans="1:1" x14ac:dyDescent="0.25">
      <c r="A7709" s="13"/>
    </row>
    <row r="7710" spans="1:1" x14ac:dyDescent="0.25">
      <c r="A7710" s="13"/>
    </row>
    <row r="7711" spans="1:1" x14ac:dyDescent="0.25">
      <c r="A7711" s="13"/>
    </row>
    <row r="7712" spans="1:1" x14ac:dyDescent="0.25">
      <c r="A7712" s="13"/>
    </row>
    <row r="7713" spans="1:1" x14ac:dyDescent="0.25">
      <c r="A7713" s="13"/>
    </row>
    <row r="7714" spans="1:1" x14ac:dyDescent="0.25">
      <c r="A7714" s="13"/>
    </row>
    <row r="7715" spans="1:1" x14ac:dyDescent="0.25">
      <c r="A7715" s="13"/>
    </row>
    <row r="7716" spans="1:1" x14ac:dyDescent="0.25">
      <c r="A7716" s="13"/>
    </row>
    <row r="7717" spans="1:1" x14ac:dyDescent="0.25">
      <c r="A7717" s="13"/>
    </row>
    <row r="7718" spans="1:1" x14ac:dyDescent="0.25">
      <c r="A7718" s="13"/>
    </row>
    <row r="7719" spans="1:1" x14ac:dyDescent="0.25">
      <c r="A7719" s="13"/>
    </row>
    <row r="7720" spans="1:1" x14ac:dyDescent="0.25">
      <c r="A7720" s="13"/>
    </row>
    <row r="7721" spans="1:1" x14ac:dyDescent="0.25">
      <c r="A7721" s="13"/>
    </row>
    <row r="7722" spans="1:1" x14ac:dyDescent="0.25">
      <c r="A7722" s="13"/>
    </row>
    <row r="7723" spans="1:1" x14ac:dyDescent="0.25">
      <c r="A7723" s="13"/>
    </row>
    <row r="7724" spans="1:1" x14ac:dyDescent="0.25">
      <c r="A7724" s="13"/>
    </row>
    <row r="7725" spans="1:1" x14ac:dyDescent="0.25">
      <c r="A7725" s="13"/>
    </row>
    <row r="7726" spans="1:1" x14ac:dyDescent="0.25">
      <c r="A7726" s="13"/>
    </row>
    <row r="7727" spans="1:1" x14ac:dyDescent="0.25">
      <c r="A7727" s="13"/>
    </row>
    <row r="7728" spans="1:1" x14ac:dyDescent="0.25">
      <c r="A7728" s="13"/>
    </row>
    <row r="7729" spans="1:1" x14ac:dyDescent="0.25">
      <c r="A7729" s="13"/>
    </row>
    <row r="7730" spans="1:1" x14ac:dyDescent="0.25">
      <c r="A7730" s="13"/>
    </row>
    <row r="7731" spans="1:1" x14ac:dyDescent="0.25">
      <c r="A7731" s="13"/>
    </row>
    <row r="7732" spans="1:1" x14ac:dyDescent="0.25">
      <c r="A7732" s="13"/>
    </row>
    <row r="7733" spans="1:1" x14ac:dyDescent="0.25">
      <c r="A7733" s="13"/>
    </row>
    <row r="7734" spans="1:1" x14ac:dyDescent="0.25">
      <c r="A7734" s="13"/>
    </row>
    <row r="7735" spans="1:1" x14ac:dyDescent="0.25">
      <c r="A7735" s="13"/>
    </row>
    <row r="7736" spans="1:1" x14ac:dyDescent="0.25">
      <c r="A7736" s="13"/>
    </row>
    <row r="7737" spans="1:1" x14ac:dyDescent="0.25">
      <c r="A7737" s="13"/>
    </row>
    <row r="7738" spans="1:1" x14ac:dyDescent="0.25">
      <c r="A7738" s="13"/>
    </row>
    <row r="7739" spans="1:1" x14ac:dyDescent="0.25">
      <c r="A7739" s="13"/>
    </row>
    <row r="7740" spans="1:1" x14ac:dyDescent="0.25">
      <c r="A7740" s="13"/>
    </row>
    <row r="7741" spans="1:1" x14ac:dyDescent="0.25">
      <c r="A7741" s="13"/>
    </row>
    <row r="7742" spans="1:1" x14ac:dyDescent="0.25">
      <c r="A7742" s="13"/>
    </row>
    <row r="7743" spans="1:1" x14ac:dyDescent="0.25">
      <c r="A7743" s="13"/>
    </row>
    <row r="7744" spans="1:1" x14ac:dyDescent="0.25">
      <c r="A7744" s="13"/>
    </row>
    <row r="7745" spans="1:1" x14ac:dyDescent="0.25">
      <c r="A7745" s="13"/>
    </row>
    <row r="7746" spans="1:1" x14ac:dyDescent="0.25">
      <c r="A7746" s="13"/>
    </row>
    <row r="7747" spans="1:1" x14ac:dyDescent="0.25">
      <c r="A7747" s="13"/>
    </row>
    <row r="7748" spans="1:1" x14ac:dyDescent="0.25">
      <c r="A7748" s="13"/>
    </row>
    <row r="7749" spans="1:1" x14ac:dyDescent="0.25">
      <c r="A7749" s="13"/>
    </row>
    <row r="7750" spans="1:1" x14ac:dyDescent="0.25">
      <c r="A7750" s="13"/>
    </row>
    <row r="7751" spans="1:1" x14ac:dyDescent="0.25">
      <c r="A7751" s="13"/>
    </row>
    <row r="7752" spans="1:1" x14ac:dyDescent="0.25">
      <c r="A7752" s="13"/>
    </row>
    <row r="7753" spans="1:1" x14ac:dyDescent="0.25">
      <c r="A7753" s="13"/>
    </row>
    <row r="7754" spans="1:1" x14ac:dyDescent="0.25">
      <c r="A7754" s="13"/>
    </row>
    <row r="7755" spans="1:1" x14ac:dyDescent="0.25">
      <c r="A7755" s="13"/>
    </row>
    <row r="7756" spans="1:1" x14ac:dyDescent="0.25">
      <c r="A7756" s="13"/>
    </row>
    <row r="7757" spans="1:1" x14ac:dyDescent="0.25">
      <c r="A7757" s="13"/>
    </row>
    <row r="7758" spans="1:1" x14ac:dyDescent="0.25">
      <c r="A7758" s="13"/>
    </row>
    <row r="7759" spans="1:1" x14ac:dyDescent="0.25">
      <c r="A7759" s="13"/>
    </row>
    <row r="7760" spans="1:1" x14ac:dyDescent="0.25">
      <c r="A7760" s="13"/>
    </row>
    <row r="7761" spans="1:1" x14ac:dyDescent="0.25">
      <c r="A7761" s="13"/>
    </row>
    <row r="7762" spans="1:1" x14ac:dyDescent="0.25">
      <c r="A7762" s="13"/>
    </row>
    <row r="7763" spans="1:1" x14ac:dyDescent="0.25">
      <c r="A7763" s="13"/>
    </row>
    <row r="7764" spans="1:1" x14ac:dyDescent="0.25">
      <c r="A7764" s="13"/>
    </row>
    <row r="7765" spans="1:1" x14ac:dyDescent="0.25">
      <c r="A7765" s="13"/>
    </row>
    <row r="7766" spans="1:1" x14ac:dyDescent="0.25">
      <c r="A7766" s="13"/>
    </row>
    <row r="7767" spans="1:1" x14ac:dyDescent="0.25">
      <c r="A7767" s="13"/>
    </row>
    <row r="7768" spans="1:1" x14ac:dyDescent="0.25">
      <c r="A7768" s="13"/>
    </row>
    <row r="7769" spans="1:1" x14ac:dyDescent="0.25">
      <c r="A7769" s="13"/>
    </row>
    <row r="7770" spans="1:1" x14ac:dyDescent="0.25">
      <c r="A7770" s="13"/>
    </row>
    <row r="7771" spans="1:1" x14ac:dyDescent="0.25">
      <c r="A7771" s="13"/>
    </row>
    <row r="7772" spans="1:1" x14ac:dyDescent="0.25">
      <c r="A7772" s="13"/>
    </row>
    <row r="7773" spans="1:1" x14ac:dyDescent="0.25">
      <c r="A7773" s="13"/>
    </row>
    <row r="7774" spans="1:1" x14ac:dyDescent="0.25">
      <c r="A7774" s="13"/>
    </row>
    <row r="7775" spans="1:1" x14ac:dyDescent="0.25">
      <c r="A7775" s="13"/>
    </row>
    <row r="7776" spans="1:1" x14ac:dyDescent="0.25">
      <c r="A7776" s="13"/>
    </row>
    <row r="7777" spans="1:1" x14ac:dyDescent="0.25">
      <c r="A7777" s="13"/>
    </row>
    <row r="7778" spans="1:1" x14ac:dyDescent="0.25">
      <c r="A7778" s="13"/>
    </row>
    <row r="7779" spans="1:1" x14ac:dyDescent="0.25">
      <c r="A7779" s="13"/>
    </row>
    <row r="7780" spans="1:1" x14ac:dyDescent="0.25">
      <c r="A7780" s="13"/>
    </row>
    <row r="7781" spans="1:1" x14ac:dyDescent="0.25">
      <c r="A7781" s="13"/>
    </row>
    <row r="7782" spans="1:1" x14ac:dyDescent="0.25">
      <c r="A7782" s="13"/>
    </row>
    <row r="7783" spans="1:1" x14ac:dyDescent="0.25">
      <c r="A7783" s="13"/>
    </row>
    <row r="7784" spans="1:1" x14ac:dyDescent="0.25">
      <c r="A7784" s="13"/>
    </row>
    <row r="7785" spans="1:1" x14ac:dyDescent="0.25">
      <c r="A7785" s="13"/>
    </row>
    <row r="7786" spans="1:1" x14ac:dyDescent="0.25">
      <c r="A7786" s="13"/>
    </row>
    <row r="7787" spans="1:1" x14ac:dyDescent="0.25">
      <c r="A7787" s="13"/>
    </row>
    <row r="7788" spans="1:1" x14ac:dyDescent="0.25">
      <c r="A7788" s="13"/>
    </row>
    <row r="7789" spans="1:1" x14ac:dyDescent="0.25">
      <c r="A7789" s="13"/>
    </row>
    <row r="7790" spans="1:1" x14ac:dyDescent="0.25">
      <c r="A7790" s="13"/>
    </row>
    <row r="7791" spans="1:1" x14ac:dyDescent="0.25">
      <c r="A7791" s="13"/>
    </row>
    <row r="7792" spans="1:1" x14ac:dyDescent="0.25">
      <c r="A7792" s="13"/>
    </row>
    <row r="7793" spans="1:1" x14ac:dyDescent="0.25">
      <c r="A7793" s="13"/>
    </row>
    <row r="7794" spans="1:1" x14ac:dyDescent="0.25">
      <c r="A7794" s="13"/>
    </row>
    <row r="7795" spans="1:1" x14ac:dyDescent="0.25">
      <c r="A7795" s="13"/>
    </row>
    <row r="7796" spans="1:1" x14ac:dyDescent="0.25">
      <c r="A7796" s="13"/>
    </row>
    <row r="7797" spans="1:1" x14ac:dyDescent="0.25">
      <c r="A7797" s="13"/>
    </row>
    <row r="7798" spans="1:1" x14ac:dyDescent="0.25">
      <c r="A7798" s="13"/>
    </row>
    <row r="7799" spans="1:1" x14ac:dyDescent="0.25">
      <c r="A7799" s="13"/>
    </row>
    <row r="7800" spans="1:1" x14ac:dyDescent="0.25">
      <c r="A7800" s="13"/>
    </row>
    <row r="7801" spans="1:1" x14ac:dyDescent="0.25">
      <c r="A7801" s="13"/>
    </row>
    <row r="7802" spans="1:1" x14ac:dyDescent="0.25">
      <c r="A7802" s="13"/>
    </row>
    <row r="7803" spans="1:1" x14ac:dyDescent="0.25">
      <c r="A7803" s="13"/>
    </row>
    <row r="7804" spans="1:1" x14ac:dyDescent="0.25">
      <c r="A7804" s="13"/>
    </row>
    <row r="7805" spans="1:1" x14ac:dyDescent="0.25">
      <c r="A7805" s="13"/>
    </row>
    <row r="7806" spans="1:1" x14ac:dyDescent="0.25">
      <c r="A7806" s="13"/>
    </row>
    <row r="7807" spans="1:1" x14ac:dyDescent="0.25">
      <c r="A7807" s="13"/>
    </row>
    <row r="7808" spans="1:1" x14ac:dyDescent="0.25">
      <c r="A7808" s="13"/>
    </row>
    <row r="7809" spans="1:1" x14ac:dyDescent="0.25">
      <c r="A7809" s="13"/>
    </row>
    <row r="7810" spans="1:1" x14ac:dyDescent="0.25">
      <c r="A7810" s="13"/>
    </row>
    <row r="7811" spans="1:1" x14ac:dyDescent="0.25">
      <c r="A7811" s="13"/>
    </row>
    <row r="7812" spans="1:1" x14ac:dyDescent="0.25">
      <c r="A7812" s="13"/>
    </row>
    <row r="7813" spans="1:1" x14ac:dyDescent="0.25">
      <c r="A7813" s="13"/>
    </row>
    <row r="7814" spans="1:1" x14ac:dyDescent="0.25">
      <c r="A7814" s="13"/>
    </row>
    <row r="7815" spans="1:1" x14ac:dyDescent="0.25">
      <c r="A7815" s="13"/>
    </row>
    <row r="7816" spans="1:1" x14ac:dyDescent="0.25">
      <c r="A7816" s="13"/>
    </row>
    <row r="7817" spans="1:1" x14ac:dyDescent="0.25">
      <c r="A7817" s="13"/>
    </row>
    <row r="7818" spans="1:1" x14ac:dyDescent="0.25">
      <c r="A7818" s="13"/>
    </row>
    <row r="7819" spans="1:1" x14ac:dyDescent="0.25">
      <c r="A7819" s="13"/>
    </row>
    <row r="7820" spans="1:1" x14ac:dyDescent="0.25">
      <c r="A7820" s="13"/>
    </row>
    <row r="7821" spans="1:1" x14ac:dyDescent="0.25">
      <c r="A7821" s="13"/>
    </row>
    <row r="7822" spans="1:1" x14ac:dyDescent="0.25">
      <c r="A7822" s="13"/>
    </row>
    <row r="7823" spans="1:1" x14ac:dyDescent="0.25">
      <c r="A7823" s="13"/>
    </row>
    <row r="7824" spans="1:1" x14ac:dyDescent="0.25">
      <c r="A7824" s="13"/>
    </row>
    <row r="7825" spans="1:1" x14ac:dyDescent="0.25">
      <c r="A7825" s="13"/>
    </row>
    <row r="7826" spans="1:1" x14ac:dyDescent="0.25">
      <c r="A7826" s="13"/>
    </row>
    <row r="7827" spans="1:1" x14ac:dyDescent="0.25">
      <c r="A7827" s="13"/>
    </row>
    <row r="7828" spans="1:1" x14ac:dyDescent="0.25">
      <c r="A7828" s="13"/>
    </row>
    <row r="7829" spans="1:1" x14ac:dyDescent="0.25">
      <c r="A7829" s="13"/>
    </row>
    <row r="7830" spans="1:1" x14ac:dyDescent="0.25">
      <c r="A7830" s="13"/>
    </row>
    <row r="7831" spans="1:1" x14ac:dyDescent="0.25">
      <c r="A7831" s="13"/>
    </row>
    <row r="7832" spans="1:1" x14ac:dyDescent="0.25">
      <c r="A7832" s="13"/>
    </row>
    <row r="7833" spans="1:1" x14ac:dyDescent="0.25">
      <c r="A7833" s="13"/>
    </row>
    <row r="7834" spans="1:1" x14ac:dyDescent="0.25">
      <c r="A7834" s="13"/>
    </row>
    <row r="7835" spans="1:1" x14ac:dyDescent="0.25">
      <c r="A7835" s="13"/>
    </row>
    <row r="7836" spans="1:1" x14ac:dyDescent="0.25">
      <c r="A7836" s="13"/>
    </row>
    <row r="7837" spans="1:1" x14ac:dyDescent="0.25">
      <c r="A7837" s="13"/>
    </row>
    <row r="7838" spans="1:1" x14ac:dyDescent="0.25">
      <c r="A7838" s="13"/>
    </row>
    <row r="7839" spans="1:1" x14ac:dyDescent="0.25">
      <c r="A7839" s="13"/>
    </row>
    <row r="7840" spans="1:1" x14ac:dyDescent="0.25">
      <c r="A7840" s="13"/>
    </row>
    <row r="7841" spans="1:1" x14ac:dyDescent="0.25">
      <c r="A7841" s="13"/>
    </row>
    <row r="7842" spans="1:1" x14ac:dyDescent="0.25">
      <c r="A7842" s="13"/>
    </row>
    <row r="7843" spans="1:1" x14ac:dyDescent="0.25">
      <c r="A7843" s="13"/>
    </row>
    <row r="7844" spans="1:1" x14ac:dyDescent="0.25">
      <c r="A7844" s="13"/>
    </row>
    <row r="7845" spans="1:1" x14ac:dyDescent="0.25">
      <c r="A7845" s="13"/>
    </row>
    <row r="7846" spans="1:1" x14ac:dyDescent="0.25">
      <c r="A7846" s="13"/>
    </row>
    <row r="7847" spans="1:1" x14ac:dyDescent="0.25">
      <c r="A7847" s="13"/>
    </row>
    <row r="7848" spans="1:1" x14ac:dyDescent="0.25">
      <c r="A7848" s="13"/>
    </row>
    <row r="7849" spans="1:1" x14ac:dyDescent="0.25">
      <c r="A7849" s="13"/>
    </row>
    <row r="7850" spans="1:1" x14ac:dyDescent="0.25">
      <c r="A7850" s="13"/>
    </row>
    <row r="7851" spans="1:1" x14ac:dyDescent="0.25">
      <c r="A7851" s="13"/>
    </row>
    <row r="7852" spans="1:1" x14ac:dyDescent="0.25">
      <c r="A7852" s="13"/>
    </row>
    <row r="7853" spans="1:1" x14ac:dyDescent="0.25">
      <c r="A7853" s="13"/>
    </row>
    <row r="7854" spans="1:1" x14ac:dyDescent="0.25">
      <c r="A7854" s="13"/>
    </row>
    <row r="7855" spans="1:1" x14ac:dyDescent="0.25">
      <c r="A7855" s="13"/>
    </row>
    <row r="7856" spans="1:1" x14ac:dyDescent="0.25">
      <c r="A7856" s="13"/>
    </row>
    <row r="7857" spans="1:1" x14ac:dyDescent="0.25">
      <c r="A7857" s="13"/>
    </row>
    <row r="7858" spans="1:1" x14ac:dyDescent="0.25">
      <c r="A7858" s="13"/>
    </row>
    <row r="7859" spans="1:1" x14ac:dyDescent="0.25">
      <c r="A7859" s="13"/>
    </row>
    <row r="7860" spans="1:1" x14ac:dyDescent="0.25">
      <c r="A7860" s="13"/>
    </row>
    <row r="7861" spans="1:1" x14ac:dyDescent="0.25">
      <c r="A7861" s="13"/>
    </row>
    <row r="7862" spans="1:1" x14ac:dyDescent="0.25">
      <c r="A7862" s="13"/>
    </row>
    <row r="7863" spans="1:1" x14ac:dyDescent="0.25">
      <c r="A7863" s="13"/>
    </row>
    <row r="7864" spans="1:1" x14ac:dyDescent="0.25">
      <c r="A7864" s="13"/>
    </row>
    <row r="7865" spans="1:1" x14ac:dyDescent="0.25">
      <c r="A7865" s="13"/>
    </row>
    <row r="7866" spans="1:1" x14ac:dyDescent="0.25">
      <c r="A7866" s="13"/>
    </row>
    <row r="7867" spans="1:1" x14ac:dyDescent="0.25">
      <c r="A7867" s="13"/>
    </row>
    <row r="7868" spans="1:1" x14ac:dyDescent="0.25">
      <c r="A7868" s="13"/>
    </row>
    <row r="7869" spans="1:1" x14ac:dyDescent="0.25">
      <c r="A7869" s="13"/>
    </row>
    <row r="7870" spans="1:1" x14ac:dyDescent="0.25">
      <c r="A7870" s="13"/>
    </row>
    <row r="7871" spans="1:1" x14ac:dyDescent="0.25">
      <c r="A7871" s="13"/>
    </row>
    <row r="7872" spans="1:1" x14ac:dyDescent="0.25">
      <c r="A7872" s="13"/>
    </row>
    <row r="7873" spans="1:1" x14ac:dyDescent="0.25">
      <c r="A7873" s="13"/>
    </row>
    <row r="7874" spans="1:1" x14ac:dyDescent="0.25">
      <c r="A7874" s="13"/>
    </row>
    <row r="7875" spans="1:1" x14ac:dyDescent="0.25">
      <c r="A7875" s="13"/>
    </row>
    <row r="7876" spans="1:1" x14ac:dyDescent="0.25">
      <c r="A7876" s="13"/>
    </row>
    <row r="7877" spans="1:1" x14ac:dyDescent="0.25">
      <c r="A7877" s="13"/>
    </row>
    <row r="7878" spans="1:1" x14ac:dyDescent="0.25">
      <c r="A7878" s="13"/>
    </row>
    <row r="7879" spans="1:1" x14ac:dyDescent="0.25">
      <c r="A7879" s="13"/>
    </row>
    <row r="7880" spans="1:1" x14ac:dyDescent="0.25">
      <c r="A7880" s="13"/>
    </row>
    <row r="7881" spans="1:1" x14ac:dyDescent="0.25">
      <c r="A7881" s="13"/>
    </row>
    <row r="7882" spans="1:1" x14ac:dyDescent="0.25">
      <c r="A7882" s="13"/>
    </row>
    <row r="7883" spans="1:1" x14ac:dyDescent="0.25">
      <c r="A7883" s="13"/>
    </row>
    <row r="7884" spans="1:1" x14ac:dyDescent="0.25">
      <c r="A7884" s="13"/>
    </row>
    <row r="7885" spans="1:1" x14ac:dyDescent="0.25">
      <c r="A7885" s="13"/>
    </row>
    <row r="7886" spans="1:1" x14ac:dyDescent="0.25">
      <c r="A7886" s="13"/>
    </row>
    <row r="7887" spans="1:1" x14ac:dyDescent="0.25">
      <c r="A7887" s="13"/>
    </row>
    <row r="7888" spans="1:1" x14ac:dyDescent="0.25">
      <c r="A7888" s="13"/>
    </row>
    <row r="7889" spans="1:1" x14ac:dyDescent="0.25">
      <c r="A7889" s="13"/>
    </row>
    <row r="7890" spans="1:1" x14ac:dyDescent="0.25">
      <c r="A7890" s="13"/>
    </row>
    <row r="7891" spans="1:1" x14ac:dyDescent="0.25">
      <c r="A7891" s="13"/>
    </row>
    <row r="7892" spans="1:1" x14ac:dyDescent="0.25">
      <c r="A7892" s="13"/>
    </row>
    <row r="7893" spans="1:1" x14ac:dyDescent="0.25">
      <c r="A7893" s="13"/>
    </row>
    <row r="7894" spans="1:1" x14ac:dyDescent="0.25">
      <c r="A7894" s="13"/>
    </row>
    <row r="7895" spans="1:1" x14ac:dyDescent="0.25">
      <c r="A7895" s="13"/>
    </row>
    <row r="7896" spans="1:1" x14ac:dyDescent="0.25">
      <c r="A7896" s="13"/>
    </row>
    <row r="7897" spans="1:1" x14ac:dyDescent="0.25">
      <c r="A7897" s="13"/>
    </row>
    <row r="7898" spans="1:1" x14ac:dyDescent="0.25">
      <c r="A7898" s="13"/>
    </row>
    <row r="7899" spans="1:1" x14ac:dyDescent="0.25">
      <c r="A7899" s="13"/>
    </row>
    <row r="7900" spans="1:1" x14ac:dyDescent="0.25">
      <c r="A7900" s="13"/>
    </row>
    <row r="7901" spans="1:1" x14ac:dyDescent="0.25">
      <c r="A7901" s="13"/>
    </row>
    <row r="7902" spans="1:1" x14ac:dyDescent="0.25">
      <c r="A7902" s="13"/>
    </row>
    <row r="7903" spans="1:1" x14ac:dyDescent="0.25">
      <c r="A7903" s="13"/>
    </row>
    <row r="7904" spans="1:1" x14ac:dyDescent="0.25">
      <c r="A7904" s="13"/>
    </row>
    <row r="7905" spans="1:1" x14ac:dyDescent="0.25">
      <c r="A7905" s="13"/>
    </row>
    <row r="7906" spans="1:1" x14ac:dyDescent="0.25">
      <c r="A7906" s="13"/>
    </row>
    <row r="7907" spans="1:1" x14ac:dyDescent="0.25">
      <c r="A7907" s="13"/>
    </row>
    <row r="7908" spans="1:1" x14ac:dyDescent="0.25">
      <c r="A7908" s="13"/>
    </row>
    <row r="7909" spans="1:1" x14ac:dyDescent="0.25">
      <c r="A7909" s="13"/>
    </row>
    <row r="7910" spans="1:1" x14ac:dyDescent="0.25">
      <c r="A7910" s="13"/>
    </row>
    <row r="7911" spans="1:1" x14ac:dyDescent="0.25">
      <c r="A7911" s="13"/>
    </row>
    <row r="7912" spans="1:1" x14ac:dyDescent="0.25">
      <c r="A7912" s="13"/>
    </row>
    <row r="7913" spans="1:1" x14ac:dyDescent="0.25">
      <c r="A7913" s="13"/>
    </row>
    <row r="7914" spans="1:1" x14ac:dyDescent="0.25">
      <c r="A7914" s="13"/>
    </row>
    <row r="7915" spans="1:1" x14ac:dyDescent="0.25">
      <c r="A7915" s="13"/>
    </row>
    <row r="7916" spans="1:1" x14ac:dyDescent="0.25">
      <c r="A7916" s="13"/>
    </row>
    <row r="7917" spans="1:1" x14ac:dyDescent="0.25">
      <c r="A7917" s="13"/>
    </row>
    <row r="7918" spans="1:1" x14ac:dyDescent="0.25">
      <c r="A7918" s="13"/>
    </row>
    <row r="7919" spans="1:1" x14ac:dyDescent="0.25">
      <c r="A7919" s="13"/>
    </row>
    <row r="7920" spans="1:1" x14ac:dyDescent="0.25">
      <c r="A7920" s="13"/>
    </row>
    <row r="7921" spans="1:1" x14ac:dyDescent="0.25">
      <c r="A7921" s="13"/>
    </row>
    <row r="7922" spans="1:1" x14ac:dyDescent="0.25">
      <c r="A7922" s="13"/>
    </row>
    <row r="7923" spans="1:1" x14ac:dyDescent="0.25">
      <c r="A7923" s="13"/>
    </row>
    <row r="7924" spans="1:1" x14ac:dyDescent="0.25">
      <c r="A7924" s="13"/>
    </row>
    <row r="7925" spans="1:1" x14ac:dyDescent="0.25">
      <c r="A7925" s="13"/>
    </row>
    <row r="7926" spans="1:1" x14ac:dyDescent="0.25">
      <c r="A7926" s="13"/>
    </row>
    <row r="7927" spans="1:1" x14ac:dyDescent="0.25">
      <c r="A7927" s="13"/>
    </row>
    <row r="7928" spans="1:1" x14ac:dyDescent="0.25">
      <c r="A7928" s="13"/>
    </row>
    <row r="7929" spans="1:1" x14ac:dyDescent="0.25">
      <c r="A7929" s="13"/>
    </row>
    <row r="7930" spans="1:1" x14ac:dyDescent="0.25">
      <c r="A7930" s="13"/>
    </row>
    <row r="7931" spans="1:1" x14ac:dyDescent="0.25">
      <c r="A7931" s="13"/>
    </row>
    <row r="7932" spans="1:1" x14ac:dyDescent="0.25">
      <c r="A7932" s="13"/>
    </row>
    <row r="7933" spans="1:1" x14ac:dyDescent="0.25">
      <c r="A7933" s="13"/>
    </row>
    <row r="7934" spans="1:1" x14ac:dyDescent="0.25">
      <c r="A7934" s="13"/>
    </row>
    <row r="7935" spans="1:1" x14ac:dyDescent="0.25">
      <c r="A7935" s="13"/>
    </row>
    <row r="7936" spans="1:1" x14ac:dyDescent="0.25">
      <c r="A7936" s="13"/>
    </row>
    <row r="7937" spans="1:1" x14ac:dyDescent="0.25">
      <c r="A7937" s="13"/>
    </row>
    <row r="7938" spans="1:1" x14ac:dyDescent="0.25">
      <c r="A7938" s="13"/>
    </row>
    <row r="7939" spans="1:1" x14ac:dyDescent="0.25">
      <c r="A7939" s="13"/>
    </row>
    <row r="7940" spans="1:1" x14ac:dyDescent="0.25">
      <c r="A7940" s="13"/>
    </row>
    <row r="7941" spans="1:1" x14ac:dyDescent="0.25">
      <c r="A7941" s="13"/>
    </row>
    <row r="7942" spans="1:1" x14ac:dyDescent="0.25">
      <c r="A7942" s="13"/>
    </row>
    <row r="7943" spans="1:1" x14ac:dyDescent="0.25">
      <c r="A7943" s="13"/>
    </row>
    <row r="7944" spans="1:1" x14ac:dyDescent="0.25">
      <c r="A7944" s="13"/>
    </row>
    <row r="7945" spans="1:1" x14ac:dyDescent="0.25">
      <c r="A7945" s="13"/>
    </row>
    <row r="7946" spans="1:1" x14ac:dyDescent="0.25">
      <c r="A7946" s="13"/>
    </row>
    <row r="7947" spans="1:1" x14ac:dyDescent="0.25">
      <c r="A7947" s="13"/>
    </row>
    <row r="7948" spans="1:1" x14ac:dyDescent="0.25">
      <c r="A7948" s="13"/>
    </row>
    <row r="7949" spans="1:1" x14ac:dyDescent="0.25">
      <c r="A7949" s="13"/>
    </row>
    <row r="7950" spans="1:1" x14ac:dyDescent="0.25">
      <c r="A7950" s="13"/>
    </row>
    <row r="7951" spans="1:1" x14ac:dyDescent="0.25">
      <c r="A7951" s="13"/>
    </row>
    <row r="7952" spans="1:1" x14ac:dyDescent="0.25">
      <c r="A7952" s="13"/>
    </row>
    <row r="7953" spans="1:1" x14ac:dyDescent="0.25">
      <c r="A7953" s="13"/>
    </row>
    <row r="7954" spans="1:1" x14ac:dyDescent="0.25">
      <c r="A7954" s="13"/>
    </row>
    <row r="7955" spans="1:1" x14ac:dyDescent="0.25">
      <c r="A7955" s="13"/>
    </row>
    <row r="7956" spans="1:1" x14ac:dyDescent="0.25">
      <c r="A7956" s="13"/>
    </row>
    <row r="7957" spans="1:1" x14ac:dyDescent="0.25">
      <c r="A7957" s="13"/>
    </row>
    <row r="7958" spans="1:1" x14ac:dyDescent="0.25">
      <c r="A7958" s="13"/>
    </row>
    <row r="7959" spans="1:1" x14ac:dyDescent="0.25">
      <c r="A7959" s="13"/>
    </row>
    <row r="7960" spans="1:1" x14ac:dyDescent="0.25">
      <c r="A7960" s="13"/>
    </row>
    <row r="7961" spans="1:1" x14ac:dyDescent="0.25">
      <c r="A7961" s="13"/>
    </row>
    <row r="7962" spans="1:1" x14ac:dyDescent="0.25">
      <c r="A7962" s="13"/>
    </row>
    <row r="7963" spans="1:1" x14ac:dyDescent="0.25">
      <c r="A7963" s="13"/>
    </row>
    <row r="7964" spans="1:1" x14ac:dyDescent="0.25">
      <c r="A7964" s="13"/>
    </row>
    <row r="7965" spans="1:1" x14ac:dyDescent="0.25">
      <c r="A7965" s="13"/>
    </row>
    <row r="7966" spans="1:1" x14ac:dyDescent="0.25">
      <c r="A7966" s="13"/>
    </row>
    <row r="7967" spans="1:1" x14ac:dyDescent="0.25">
      <c r="A7967" s="13"/>
    </row>
    <row r="7968" spans="1:1" x14ac:dyDescent="0.25">
      <c r="A7968" s="13"/>
    </row>
    <row r="7969" spans="1:1" x14ac:dyDescent="0.25">
      <c r="A7969" s="13"/>
    </row>
    <row r="7970" spans="1:1" x14ac:dyDescent="0.25">
      <c r="A7970" s="13"/>
    </row>
    <row r="7971" spans="1:1" x14ac:dyDescent="0.25">
      <c r="A7971" s="13"/>
    </row>
    <row r="7972" spans="1:1" x14ac:dyDescent="0.25">
      <c r="A7972" s="13"/>
    </row>
    <row r="7973" spans="1:1" x14ac:dyDescent="0.25">
      <c r="A7973" s="13"/>
    </row>
    <row r="7974" spans="1:1" x14ac:dyDescent="0.25">
      <c r="A7974" s="13"/>
    </row>
    <row r="7975" spans="1:1" x14ac:dyDescent="0.25">
      <c r="A7975" s="13"/>
    </row>
    <row r="7976" spans="1:1" x14ac:dyDescent="0.25">
      <c r="A7976" s="13"/>
    </row>
    <row r="7977" spans="1:1" x14ac:dyDescent="0.25">
      <c r="A7977" s="13"/>
    </row>
    <row r="7978" spans="1:1" x14ac:dyDescent="0.25">
      <c r="A7978" s="13"/>
    </row>
    <row r="7979" spans="1:1" x14ac:dyDescent="0.25">
      <c r="A7979" s="13"/>
    </row>
    <row r="7980" spans="1:1" x14ac:dyDescent="0.25">
      <c r="A7980" s="13"/>
    </row>
    <row r="7981" spans="1:1" x14ac:dyDescent="0.25">
      <c r="A7981" s="13"/>
    </row>
    <row r="7982" spans="1:1" x14ac:dyDescent="0.25">
      <c r="A7982" s="13"/>
    </row>
    <row r="7983" spans="1:1" x14ac:dyDescent="0.25">
      <c r="A7983" s="13"/>
    </row>
    <row r="7984" spans="1:1" x14ac:dyDescent="0.25">
      <c r="A7984" s="13"/>
    </row>
    <row r="7985" spans="1:1" x14ac:dyDescent="0.25">
      <c r="A7985" s="13"/>
    </row>
    <row r="7986" spans="1:1" x14ac:dyDescent="0.25">
      <c r="A7986" s="13"/>
    </row>
    <row r="7987" spans="1:1" x14ac:dyDescent="0.25">
      <c r="A7987" s="13"/>
    </row>
    <row r="7988" spans="1:1" x14ac:dyDescent="0.25">
      <c r="A7988" s="13"/>
    </row>
    <row r="7989" spans="1:1" x14ac:dyDescent="0.25">
      <c r="A7989" s="13"/>
    </row>
    <row r="7990" spans="1:1" x14ac:dyDescent="0.25">
      <c r="A7990" s="13"/>
    </row>
    <row r="7991" spans="1:1" x14ac:dyDescent="0.25">
      <c r="A7991" s="13"/>
    </row>
    <row r="7992" spans="1:1" x14ac:dyDescent="0.25">
      <c r="A7992" s="13"/>
    </row>
    <row r="7993" spans="1:1" x14ac:dyDescent="0.25">
      <c r="A7993" s="13"/>
    </row>
    <row r="7994" spans="1:1" x14ac:dyDescent="0.25">
      <c r="A7994" s="13"/>
    </row>
    <row r="7995" spans="1:1" x14ac:dyDescent="0.25">
      <c r="A7995" s="13"/>
    </row>
    <row r="7996" spans="1:1" x14ac:dyDescent="0.25">
      <c r="A7996" s="13"/>
    </row>
    <row r="7997" spans="1:1" x14ac:dyDescent="0.25">
      <c r="A7997" s="13"/>
    </row>
    <row r="7998" spans="1:1" x14ac:dyDescent="0.25">
      <c r="A7998" s="13"/>
    </row>
    <row r="7999" spans="1:1" x14ac:dyDescent="0.25">
      <c r="A7999" s="13"/>
    </row>
    <row r="8000" spans="1:1" x14ac:dyDescent="0.25">
      <c r="A8000" s="13"/>
    </row>
    <row r="8001" spans="1:1" x14ac:dyDescent="0.25">
      <c r="A8001" s="13"/>
    </row>
    <row r="8002" spans="1:1" x14ac:dyDescent="0.25">
      <c r="A8002" s="13"/>
    </row>
    <row r="8003" spans="1:1" x14ac:dyDescent="0.25">
      <c r="A8003" s="13"/>
    </row>
    <row r="8004" spans="1:1" x14ac:dyDescent="0.25">
      <c r="A8004" s="13"/>
    </row>
    <row r="8005" spans="1:1" x14ac:dyDescent="0.25">
      <c r="A8005" s="13"/>
    </row>
    <row r="8006" spans="1:1" x14ac:dyDescent="0.25">
      <c r="A8006" s="13"/>
    </row>
    <row r="8007" spans="1:1" x14ac:dyDescent="0.25">
      <c r="A8007" s="13"/>
    </row>
    <row r="8008" spans="1:1" x14ac:dyDescent="0.25">
      <c r="A8008" s="13"/>
    </row>
    <row r="8009" spans="1:1" x14ac:dyDescent="0.25">
      <c r="A8009" s="13"/>
    </row>
    <row r="8010" spans="1:1" x14ac:dyDescent="0.25">
      <c r="A8010" s="13"/>
    </row>
    <row r="8011" spans="1:1" x14ac:dyDescent="0.25">
      <c r="A8011" s="13"/>
    </row>
    <row r="8012" spans="1:1" x14ac:dyDescent="0.25">
      <c r="A8012" s="13"/>
    </row>
    <row r="8013" spans="1:1" x14ac:dyDescent="0.25">
      <c r="A8013" s="13"/>
    </row>
    <row r="8014" spans="1:1" x14ac:dyDescent="0.25">
      <c r="A8014" s="13"/>
    </row>
    <row r="8015" spans="1:1" x14ac:dyDescent="0.25">
      <c r="A8015" s="13"/>
    </row>
    <row r="8016" spans="1:1" x14ac:dyDescent="0.25">
      <c r="A8016" s="13"/>
    </row>
    <row r="8017" spans="1:1" x14ac:dyDescent="0.25">
      <c r="A8017" s="13"/>
    </row>
    <row r="8018" spans="1:1" x14ac:dyDescent="0.25">
      <c r="A8018" s="13"/>
    </row>
    <row r="8019" spans="1:1" x14ac:dyDescent="0.25">
      <c r="A8019" s="13"/>
    </row>
    <row r="8020" spans="1:1" x14ac:dyDescent="0.25">
      <c r="A8020" s="13"/>
    </row>
    <row r="8021" spans="1:1" x14ac:dyDescent="0.25">
      <c r="A8021" s="13"/>
    </row>
    <row r="8022" spans="1:1" x14ac:dyDescent="0.25">
      <c r="A8022" s="13"/>
    </row>
    <row r="8023" spans="1:1" x14ac:dyDescent="0.25">
      <c r="A8023" s="13"/>
    </row>
    <row r="8024" spans="1:1" x14ac:dyDescent="0.25">
      <c r="A8024" s="13"/>
    </row>
    <row r="8025" spans="1:1" x14ac:dyDescent="0.25">
      <c r="A8025" s="13"/>
    </row>
    <row r="8026" spans="1:1" x14ac:dyDescent="0.25">
      <c r="A8026" s="13"/>
    </row>
    <row r="8027" spans="1:1" x14ac:dyDescent="0.25">
      <c r="A8027" s="13"/>
    </row>
    <row r="8028" spans="1:1" x14ac:dyDescent="0.25">
      <c r="A8028" s="13"/>
    </row>
    <row r="8029" spans="1:1" x14ac:dyDescent="0.25">
      <c r="A8029" s="13"/>
    </row>
    <row r="8030" spans="1:1" x14ac:dyDescent="0.25">
      <c r="A8030" s="13"/>
    </row>
    <row r="8031" spans="1:1" x14ac:dyDescent="0.25">
      <c r="A8031" s="13"/>
    </row>
    <row r="8032" spans="1:1" x14ac:dyDescent="0.25">
      <c r="A8032" s="13"/>
    </row>
    <row r="8033" spans="1:1" x14ac:dyDescent="0.25">
      <c r="A8033" s="13"/>
    </row>
    <row r="8034" spans="1:1" x14ac:dyDescent="0.25">
      <c r="A8034" s="13"/>
    </row>
    <row r="8035" spans="1:1" x14ac:dyDescent="0.25">
      <c r="A8035" s="13"/>
    </row>
    <row r="8036" spans="1:1" x14ac:dyDescent="0.25">
      <c r="A8036" s="13"/>
    </row>
    <row r="8037" spans="1:1" x14ac:dyDescent="0.25">
      <c r="A8037" s="13"/>
    </row>
    <row r="8038" spans="1:1" x14ac:dyDescent="0.25">
      <c r="A8038" s="13"/>
    </row>
    <row r="8039" spans="1:1" x14ac:dyDescent="0.25">
      <c r="A8039" s="13"/>
    </row>
    <row r="8040" spans="1:1" x14ac:dyDescent="0.25">
      <c r="A8040" s="13"/>
    </row>
    <row r="8041" spans="1:1" x14ac:dyDescent="0.25">
      <c r="A8041" s="13"/>
    </row>
    <row r="8042" spans="1:1" x14ac:dyDescent="0.25">
      <c r="A8042" s="13"/>
    </row>
    <row r="8043" spans="1:1" x14ac:dyDescent="0.25">
      <c r="A8043" s="13"/>
    </row>
    <row r="8044" spans="1:1" x14ac:dyDescent="0.25">
      <c r="A8044" s="13"/>
    </row>
    <row r="8045" spans="1:1" x14ac:dyDescent="0.25">
      <c r="A8045" s="13"/>
    </row>
    <row r="8046" spans="1:1" x14ac:dyDescent="0.25">
      <c r="A8046" s="13"/>
    </row>
    <row r="8047" spans="1:1" x14ac:dyDescent="0.25">
      <c r="A8047" s="13"/>
    </row>
    <row r="8048" spans="1:1" x14ac:dyDescent="0.25">
      <c r="A8048" s="13"/>
    </row>
    <row r="8049" spans="1:1" x14ac:dyDescent="0.25">
      <c r="A8049" s="13"/>
    </row>
    <row r="8050" spans="1:1" x14ac:dyDescent="0.25">
      <c r="A8050" s="13"/>
    </row>
    <row r="8051" spans="1:1" x14ac:dyDescent="0.25">
      <c r="A8051" s="13"/>
    </row>
    <row r="8052" spans="1:1" x14ac:dyDescent="0.25">
      <c r="A8052" s="13"/>
    </row>
    <row r="8053" spans="1:1" x14ac:dyDescent="0.25">
      <c r="A8053" s="13"/>
    </row>
    <row r="8054" spans="1:1" x14ac:dyDescent="0.25">
      <c r="A8054" s="13"/>
    </row>
    <row r="8055" spans="1:1" x14ac:dyDescent="0.25">
      <c r="A8055" s="13"/>
    </row>
    <row r="8056" spans="1:1" x14ac:dyDescent="0.25">
      <c r="A8056" s="13"/>
    </row>
    <row r="8057" spans="1:1" x14ac:dyDescent="0.25">
      <c r="A8057" s="13"/>
    </row>
    <row r="8058" spans="1:1" x14ac:dyDescent="0.25">
      <c r="A8058" s="13"/>
    </row>
    <row r="8059" spans="1:1" x14ac:dyDescent="0.25">
      <c r="A8059" s="13"/>
    </row>
    <row r="8060" spans="1:1" x14ac:dyDescent="0.25">
      <c r="A8060" s="13"/>
    </row>
    <row r="8061" spans="1:1" x14ac:dyDescent="0.25">
      <c r="A8061" s="13"/>
    </row>
    <row r="8062" spans="1:1" x14ac:dyDescent="0.25">
      <c r="A8062" s="13"/>
    </row>
    <row r="8063" spans="1:1" x14ac:dyDescent="0.25">
      <c r="A8063" s="13"/>
    </row>
    <row r="8064" spans="1:1" x14ac:dyDescent="0.25">
      <c r="A8064" s="13"/>
    </row>
    <row r="8065" spans="1:1" x14ac:dyDescent="0.25">
      <c r="A8065" s="13"/>
    </row>
    <row r="8066" spans="1:1" x14ac:dyDescent="0.25">
      <c r="A8066" s="13"/>
    </row>
    <row r="8067" spans="1:1" x14ac:dyDescent="0.25">
      <c r="A8067" s="13"/>
    </row>
    <row r="8068" spans="1:1" x14ac:dyDescent="0.25">
      <c r="A8068" s="13"/>
    </row>
    <row r="8069" spans="1:1" x14ac:dyDescent="0.25">
      <c r="A8069" s="13"/>
    </row>
    <row r="8070" spans="1:1" x14ac:dyDescent="0.25">
      <c r="A8070" s="13"/>
    </row>
    <row r="8071" spans="1:1" x14ac:dyDescent="0.25">
      <c r="A8071" s="13"/>
    </row>
    <row r="8072" spans="1:1" x14ac:dyDescent="0.25">
      <c r="A8072" s="13"/>
    </row>
    <row r="8073" spans="1:1" x14ac:dyDescent="0.25">
      <c r="A8073" s="13"/>
    </row>
    <row r="8074" spans="1:1" x14ac:dyDescent="0.25">
      <c r="A8074" s="13"/>
    </row>
    <row r="8075" spans="1:1" x14ac:dyDescent="0.25">
      <c r="A8075" s="13"/>
    </row>
    <row r="8076" spans="1:1" x14ac:dyDescent="0.25">
      <c r="A8076" s="13"/>
    </row>
    <row r="8077" spans="1:1" x14ac:dyDescent="0.25">
      <c r="A8077" s="13"/>
    </row>
    <row r="8078" spans="1:1" x14ac:dyDescent="0.25">
      <c r="A8078" s="13"/>
    </row>
    <row r="8079" spans="1:1" x14ac:dyDescent="0.25">
      <c r="A8079" s="13"/>
    </row>
    <row r="8080" spans="1:1" x14ac:dyDescent="0.25">
      <c r="A8080" s="13"/>
    </row>
    <row r="8081" spans="1:1" x14ac:dyDescent="0.25">
      <c r="A8081" s="13"/>
    </row>
    <row r="8082" spans="1:1" x14ac:dyDescent="0.25">
      <c r="A8082" s="13"/>
    </row>
    <row r="8083" spans="1:1" x14ac:dyDescent="0.25">
      <c r="A8083" s="13"/>
    </row>
    <row r="8084" spans="1:1" x14ac:dyDescent="0.25">
      <c r="A8084" s="13"/>
    </row>
    <row r="8085" spans="1:1" x14ac:dyDescent="0.25">
      <c r="A8085" s="13"/>
    </row>
    <row r="8086" spans="1:1" x14ac:dyDescent="0.25">
      <c r="A8086" s="13"/>
    </row>
    <row r="8087" spans="1:1" x14ac:dyDescent="0.25">
      <c r="A8087" s="13"/>
    </row>
    <row r="8088" spans="1:1" x14ac:dyDescent="0.25">
      <c r="A8088" s="13"/>
    </row>
    <row r="8089" spans="1:1" x14ac:dyDescent="0.25">
      <c r="A8089" s="13"/>
    </row>
    <row r="8090" spans="1:1" x14ac:dyDescent="0.25">
      <c r="A8090" s="13"/>
    </row>
    <row r="8091" spans="1:1" x14ac:dyDescent="0.25">
      <c r="A8091" s="13"/>
    </row>
    <row r="8092" spans="1:1" x14ac:dyDescent="0.25">
      <c r="A8092" s="13"/>
    </row>
    <row r="8093" spans="1:1" x14ac:dyDescent="0.25">
      <c r="A8093" s="13"/>
    </row>
    <row r="8094" spans="1:1" x14ac:dyDescent="0.25">
      <c r="A8094" s="13"/>
    </row>
    <row r="8095" spans="1:1" x14ac:dyDescent="0.25">
      <c r="A8095" s="13"/>
    </row>
    <row r="8096" spans="1:1" x14ac:dyDescent="0.25">
      <c r="A8096" s="13"/>
    </row>
    <row r="8097" spans="1:1" x14ac:dyDescent="0.25">
      <c r="A8097" s="13"/>
    </row>
    <row r="8098" spans="1:1" x14ac:dyDescent="0.25">
      <c r="A8098" s="13"/>
    </row>
    <row r="8099" spans="1:1" x14ac:dyDescent="0.25">
      <c r="A8099" s="13"/>
    </row>
    <row r="8100" spans="1:1" x14ac:dyDescent="0.25">
      <c r="A8100" s="13"/>
    </row>
    <row r="8101" spans="1:1" x14ac:dyDescent="0.25">
      <c r="A8101" s="13"/>
    </row>
    <row r="8102" spans="1:1" x14ac:dyDescent="0.25">
      <c r="A8102" s="13"/>
    </row>
    <row r="8103" spans="1:1" x14ac:dyDescent="0.25">
      <c r="A8103" s="13"/>
    </row>
    <row r="8104" spans="1:1" x14ac:dyDescent="0.25">
      <c r="A8104" s="13"/>
    </row>
    <row r="8105" spans="1:1" x14ac:dyDescent="0.25">
      <c r="A8105" s="13"/>
    </row>
    <row r="8106" spans="1:1" x14ac:dyDescent="0.25">
      <c r="A8106" s="13"/>
    </row>
    <row r="8107" spans="1:1" x14ac:dyDescent="0.25">
      <c r="A8107" s="13"/>
    </row>
    <row r="8108" spans="1:1" x14ac:dyDescent="0.25">
      <c r="A8108" s="13"/>
    </row>
    <row r="8109" spans="1:1" x14ac:dyDescent="0.25">
      <c r="A8109" s="13"/>
    </row>
    <row r="8110" spans="1:1" x14ac:dyDescent="0.25">
      <c r="A8110" s="13"/>
    </row>
    <row r="8111" spans="1:1" x14ac:dyDescent="0.25">
      <c r="A8111" s="13"/>
    </row>
    <row r="8112" spans="1:1" x14ac:dyDescent="0.25">
      <c r="A8112" s="13"/>
    </row>
    <row r="8113" spans="1:1" x14ac:dyDescent="0.25">
      <c r="A8113" s="13"/>
    </row>
    <row r="8114" spans="1:1" x14ac:dyDescent="0.25">
      <c r="A8114" s="13"/>
    </row>
    <row r="8115" spans="1:1" x14ac:dyDescent="0.25">
      <c r="A8115" s="13"/>
    </row>
    <row r="8116" spans="1:1" x14ac:dyDescent="0.25">
      <c r="A8116" s="13"/>
    </row>
    <row r="8117" spans="1:1" x14ac:dyDescent="0.25">
      <c r="A8117" s="13"/>
    </row>
    <row r="8118" spans="1:1" x14ac:dyDescent="0.25">
      <c r="A8118" s="13"/>
    </row>
    <row r="8119" spans="1:1" x14ac:dyDescent="0.25">
      <c r="A8119" s="13"/>
    </row>
    <row r="8120" spans="1:1" x14ac:dyDescent="0.25">
      <c r="A8120" s="13"/>
    </row>
    <row r="8121" spans="1:1" x14ac:dyDescent="0.25">
      <c r="A8121" s="13"/>
    </row>
    <row r="8122" spans="1:1" x14ac:dyDescent="0.25">
      <c r="A8122" s="13"/>
    </row>
    <row r="8123" spans="1:1" x14ac:dyDescent="0.25">
      <c r="A8123" s="13"/>
    </row>
    <row r="8124" spans="1:1" x14ac:dyDescent="0.25">
      <c r="A8124" s="13"/>
    </row>
    <row r="8125" spans="1:1" x14ac:dyDescent="0.25">
      <c r="A8125" s="13"/>
    </row>
    <row r="8126" spans="1:1" x14ac:dyDescent="0.25">
      <c r="A8126" s="13"/>
    </row>
    <row r="8127" spans="1:1" x14ac:dyDescent="0.25">
      <c r="A8127" s="13"/>
    </row>
    <row r="8128" spans="1:1" x14ac:dyDescent="0.25">
      <c r="A8128" s="13"/>
    </row>
    <row r="8129" spans="1:1" x14ac:dyDescent="0.25">
      <c r="A8129" s="13"/>
    </row>
    <row r="8130" spans="1:1" x14ac:dyDescent="0.25">
      <c r="A8130" s="13"/>
    </row>
    <row r="8131" spans="1:1" x14ac:dyDescent="0.25">
      <c r="A8131" s="13"/>
    </row>
    <row r="8132" spans="1:1" x14ac:dyDescent="0.25">
      <c r="A8132" s="13"/>
    </row>
    <row r="8133" spans="1:1" x14ac:dyDescent="0.25">
      <c r="A8133" s="13"/>
    </row>
    <row r="8134" spans="1:1" x14ac:dyDescent="0.25">
      <c r="A8134" s="13"/>
    </row>
    <row r="8135" spans="1:1" x14ac:dyDescent="0.25">
      <c r="A8135" s="13"/>
    </row>
    <row r="8136" spans="1:1" x14ac:dyDescent="0.25">
      <c r="A8136" s="13"/>
    </row>
    <row r="8137" spans="1:1" x14ac:dyDescent="0.25">
      <c r="A8137" s="13"/>
    </row>
    <row r="8138" spans="1:1" x14ac:dyDescent="0.25">
      <c r="A8138" s="13"/>
    </row>
    <row r="8139" spans="1:1" x14ac:dyDescent="0.25">
      <c r="A8139" s="13"/>
    </row>
    <row r="8140" spans="1:1" x14ac:dyDescent="0.25">
      <c r="A8140" s="13"/>
    </row>
    <row r="8141" spans="1:1" x14ac:dyDescent="0.25">
      <c r="A8141" s="13"/>
    </row>
    <row r="8142" spans="1:1" x14ac:dyDescent="0.25">
      <c r="A8142" s="13"/>
    </row>
    <row r="8143" spans="1:1" x14ac:dyDescent="0.25">
      <c r="A8143" s="13"/>
    </row>
    <row r="8144" spans="1:1" x14ac:dyDescent="0.25">
      <c r="A8144" s="13"/>
    </row>
    <row r="8145" spans="1:1" x14ac:dyDescent="0.25">
      <c r="A8145" s="13"/>
    </row>
    <row r="8146" spans="1:1" x14ac:dyDescent="0.25">
      <c r="A8146" s="13"/>
    </row>
    <row r="8147" spans="1:1" x14ac:dyDescent="0.25">
      <c r="A8147" s="13"/>
    </row>
    <row r="8148" spans="1:1" x14ac:dyDescent="0.25">
      <c r="A8148" s="13"/>
    </row>
    <row r="8149" spans="1:1" x14ac:dyDescent="0.25">
      <c r="A8149" s="13"/>
    </row>
    <row r="8150" spans="1:1" x14ac:dyDescent="0.25">
      <c r="A8150" s="13"/>
    </row>
    <row r="8151" spans="1:1" x14ac:dyDescent="0.25">
      <c r="A8151" s="13"/>
    </row>
    <row r="8152" spans="1:1" x14ac:dyDescent="0.25">
      <c r="A8152" s="13"/>
    </row>
    <row r="8153" spans="1:1" x14ac:dyDescent="0.25">
      <c r="A8153" s="13"/>
    </row>
    <row r="8154" spans="1:1" x14ac:dyDescent="0.25">
      <c r="A8154" s="13"/>
    </row>
    <row r="8155" spans="1:1" x14ac:dyDescent="0.25">
      <c r="A8155" s="13"/>
    </row>
    <row r="8156" spans="1:1" x14ac:dyDescent="0.25">
      <c r="A8156" s="13"/>
    </row>
    <row r="8157" spans="1:1" x14ac:dyDescent="0.25">
      <c r="A8157" s="13"/>
    </row>
    <row r="8158" spans="1:1" x14ac:dyDescent="0.25">
      <c r="A8158" s="13"/>
    </row>
    <row r="8159" spans="1:1" x14ac:dyDescent="0.25">
      <c r="A8159" s="13"/>
    </row>
    <row r="8160" spans="1:1" x14ac:dyDescent="0.25">
      <c r="A8160" s="13"/>
    </row>
    <row r="8161" spans="1:1" x14ac:dyDescent="0.25">
      <c r="A8161" s="13"/>
    </row>
    <row r="8162" spans="1:1" x14ac:dyDescent="0.25">
      <c r="A8162" s="13"/>
    </row>
    <row r="8163" spans="1:1" x14ac:dyDescent="0.25">
      <c r="A8163" s="13"/>
    </row>
    <row r="8164" spans="1:1" x14ac:dyDescent="0.25">
      <c r="A8164" s="13"/>
    </row>
    <row r="8165" spans="1:1" x14ac:dyDescent="0.25">
      <c r="A8165" s="13"/>
    </row>
    <row r="8166" spans="1:1" x14ac:dyDescent="0.25">
      <c r="A8166" s="13"/>
    </row>
    <row r="8167" spans="1:1" x14ac:dyDescent="0.25">
      <c r="A8167" s="13"/>
    </row>
    <row r="8168" spans="1:1" x14ac:dyDescent="0.25">
      <c r="A8168" s="13"/>
    </row>
    <row r="8169" spans="1:1" x14ac:dyDescent="0.25">
      <c r="A8169" s="13"/>
    </row>
    <row r="8170" spans="1:1" x14ac:dyDescent="0.25">
      <c r="A8170" s="13"/>
    </row>
    <row r="8171" spans="1:1" x14ac:dyDescent="0.25">
      <c r="A8171" s="13"/>
    </row>
    <row r="8172" spans="1:1" x14ac:dyDescent="0.25">
      <c r="A8172" s="13"/>
    </row>
    <row r="8173" spans="1:1" x14ac:dyDescent="0.25">
      <c r="A8173" s="13"/>
    </row>
    <row r="8174" spans="1:1" x14ac:dyDescent="0.25">
      <c r="A8174" s="13"/>
    </row>
    <row r="8175" spans="1:1" x14ac:dyDescent="0.25">
      <c r="A8175" s="13"/>
    </row>
    <row r="8176" spans="1:1" x14ac:dyDescent="0.25">
      <c r="A8176" s="13"/>
    </row>
    <row r="8177" spans="1:1" x14ac:dyDescent="0.25">
      <c r="A8177" s="13"/>
    </row>
    <row r="8178" spans="1:1" x14ac:dyDescent="0.25">
      <c r="A8178" s="13"/>
    </row>
    <row r="8179" spans="1:1" x14ac:dyDescent="0.25">
      <c r="A8179" s="13"/>
    </row>
    <row r="8180" spans="1:1" x14ac:dyDescent="0.25">
      <c r="A8180" s="13"/>
    </row>
    <row r="8181" spans="1:1" x14ac:dyDescent="0.25">
      <c r="A8181" s="13"/>
    </row>
    <row r="8182" spans="1:1" x14ac:dyDescent="0.25">
      <c r="A8182" s="13"/>
    </row>
    <row r="8183" spans="1:1" x14ac:dyDescent="0.25">
      <c r="A8183" s="13"/>
    </row>
    <row r="8184" spans="1:1" x14ac:dyDescent="0.25">
      <c r="A8184" s="13"/>
    </row>
    <row r="8185" spans="1:1" x14ac:dyDescent="0.25">
      <c r="A8185" s="13"/>
    </row>
    <row r="8186" spans="1:1" x14ac:dyDescent="0.25">
      <c r="A8186" s="13"/>
    </row>
    <row r="8187" spans="1:1" x14ac:dyDescent="0.25">
      <c r="A8187" s="13"/>
    </row>
    <row r="8188" spans="1:1" x14ac:dyDescent="0.25">
      <c r="A8188" s="13"/>
    </row>
    <row r="8189" spans="1:1" x14ac:dyDescent="0.25">
      <c r="A8189" s="13"/>
    </row>
    <row r="8190" spans="1:1" x14ac:dyDescent="0.25">
      <c r="A8190" s="13"/>
    </row>
    <row r="8191" spans="1:1" x14ac:dyDescent="0.25">
      <c r="A8191" s="13"/>
    </row>
    <row r="8192" spans="1:1" x14ac:dyDescent="0.25">
      <c r="A8192" s="13"/>
    </row>
    <row r="8193" spans="1:1" x14ac:dyDescent="0.25">
      <c r="A8193" s="13"/>
    </row>
    <row r="8194" spans="1:1" x14ac:dyDescent="0.25">
      <c r="A8194" s="13"/>
    </row>
    <row r="8195" spans="1:1" x14ac:dyDescent="0.25">
      <c r="A8195" s="13"/>
    </row>
    <row r="8196" spans="1:1" x14ac:dyDescent="0.25">
      <c r="A8196" s="13"/>
    </row>
    <row r="8197" spans="1:1" x14ac:dyDescent="0.25">
      <c r="A8197" s="13"/>
    </row>
    <row r="8198" spans="1:1" x14ac:dyDescent="0.25">
      <c r="A8198" s="13"/>
    </row>
    <row r="8199" spans="1:1" x14ac:dyDescent="0.25">
      <c r="A8199" s="13"/>
    </row>
    <row r="8200" spans="1:1" x14ac:dyDescent="0.25">
      <c r="A8200" s="13"/>
    </row>
    <row r="8201" spans="1:1" x14ac:dyDescent="0.25">
      <c r="A8201" s="13"/>
    </row>
    <row r="8202" spans="1:1" x14ac:dyDescent="0.25">
      <c r="A8202" s="13"/>
    </row>
    <row r="8203" spans="1:1" x14ac:dyDescent="0.25">
      <c r="A8203" s="13"/>
    </row>
    <row r="8204" spans="1:1" x14ac:dyDescent="0.25">
      <c r="A8204" s="13"/>
    </row>
    <row r="8205" spans="1:1" x14ac:dyDescent="0.25">
      <c r="A8205" s="13"/>
    </row>
    <row r="8206" spans="1:1" x14ac:dyDescent="0.25">
      <c r="A8206" s="13"/>
    </row>
    <row r="8207" spans="1:1" x14ac:dyDescent="0.25">
      <c r="A8207" s="13"/>
    </row>
    <row r="8208" spans="1:1" x14ac:dyDescent="0.25">
      <c r="A8208" s="13"/>
    </row>
    <row r="8209" spans="1:1" x14ac:dyDescent="0.25">
      <c r="A8209" s="13"/>
    </row>
    <row r="8210" spans="1:1" x14ac:dyDescent="0.25">
      <c r="A8210" s="13"/>
    </row>
    <row r="8211" spans="1:1" x14ac:dyDescent="0.25">
      <c r="A8211" s="13"/>
    </row>
    <row r="8212" spans="1:1" x14ac:dyDescent="0.25">
      <c r="A8212" s="13"/>
    </row>
    <row r="8213" spans="1:1" x14ac:dyDescent="0.25">
      <c r="A8213" s="13"/>
    </row>
    <row r="8214" spans="1:1" x14ac:dyDescent="0.25">
      <c r="A8214" s="13"/>
    </row>
    <row r="8215" spans="1:1" x14ac:dyDescent="0.25">
      <c r="A8215" s="13"/>
    </row>
    <row r="8216" spans="1:1" x14ac:dyDescent="0.25">
      <c r="A8216" s="13"/>
    </row>
    <row r="8217" spans="1:1" x14ac:dyDescent="0.25">
      <c r="A8217" s="13"/>
    </row>
    <row r="8218" spans="1:1" x14ac:dyDescent="0.25">
      <c r="A8218" s="13"/>
    </row>
    <row r="8219" spans="1:1" x14ac:dyDescent="0.25">
      <c r="A8219" s="13"/>
    </row>
    <row r="8220" spans="1:1" x14ac:dyDescent="0.25">
      <c r="A8220" s="13"/>
    </row>
    <row r="8221" spans="1:1" x14ac:dyDescent="0.25">
      <c r="A8221" s="13"/>
    </row>
    <row r="8222" spans="1:1" x14ac:dyDescent="0.25">
      <c r="A8222" s="13"/>
    </row>
    <row r="8223" spans="1:1" x14ac:dyDescent="0.25">
      <c r="A8223" s="13"/>
    </row>
    <row r="8224" spans="1:1" x14ac:dyDescent="0.25">
      <c r="A8224" s="13"/>
    </row>
    <row r="8225" spans="1:1" x14ac:dyDescent="0.25">
      <c r="A8225" s="13"/>
    </row>
    <row r="8226" spans="1:1" x14ac:dyDescent="0.25">
      <c r="A8226" s="13"/>
    </row>
    <row r="8227" spans="1:1" x14ac:dyDescent="0.25">
      <c r="A8227" s="13"/>
    </row>
    <row r="8228" spans="1:1" x14ac:dyDescent="0.25">
      <c r="A8228" s="13"/>
    </row>
    <row r="8229" spans="1:1" x14ac:dyDescent="0.25">
      <c r="A8229" s="13"/>
    </row>
    <row r="8230" spans="1:1" x14ac:dyDescent="0.25">
      <c r="A8230" s="13"/>
    </row>
    <row r="8231" spans="1:1" x14ac:dyDescent="0.25">
      <c r="A8231" s="13"/>
    </row>
    <row r="8232" spans="1:1" x14ac:dyDescent="0.25">
      <c r="A8232" s="13"/>
    </row>
    <row r="8233" spans="1:1" x14ac:dyDescent="0.25">
      <c r="A8233" s="13"/>
    </row>
    <row r="8234" spans="1:1" x14ac:dyDescent="0.25">
      <c r="A8234" s="13"/>
    </row>
    <row r="8235" spans="1:1" x14ac:dyDescent="0.25">
      <c r="A8235" s="13"/>
    </row>
    <row r="8236" spans="1:1" x14ac:dyDescent="0.25">
      <c r="A8236" s="13"/>
    </row>
    <row r="8237" spans="1:1" x14ac:dyDescent="0.25">
      <c r="A8237" s="13"/>
    </row>
    <row r="8238" spans="1:1" x14ac:dyDescent="0.25">
      <c r="A8238" s="13"/>
    </row>
    <row r="8239" spans="1:1" x14ac:dyDescent="0.25">
      <c r="A8239" s="13"/>
    </row>
    <row r="8240" spans="1:1" x14ac:dyDescent="0.25">
      <c r="A8240" s="13"/>
    </row>
    <row r="8241" spans="1:1" x14ac:dyDescent="0.25">
      <c r="A8241" s="13"/>
    </row>
    <row r="8242" spans="1:1" x14ac:dyDescent="0.25">
      <c r="A8242" s="13"/>
    </row>
    <row r="8243" spans="1:1" x14ac:dyDescent="0.25">
      <c r="A8243" s="13"/>
    </row>
    <row r="8244" spans="1:1" x14ac:dyDescent="0.25">
      <c r="A8244" s="13"/>
    </row>
    <row r="8245" spans="1:1" x14ac:dyDescent="0.25">
      <c r="A8245" s="13"/>
    </row>
    <row r="8246" spans="1:1" x14ac:dyDescent="0.25">
      <c r="A8246" s="13"/>
    </row>
    <row r="8247" spans="1:1" x14ac:dyDescent="0.25">
      <c r="A8247" s="13"/>
    </row>
    <row r="8248" spans="1:1" x14ac:dyDescent="0.25">
      <c r="A8248" s="13"/>
    </row>
    <row r="8249" spans="1:1" x14ac:dyDescent="0.25">
      <c r="A8249" s="13"/>
    </row>
    <row r="8250" spans="1:1" x14ac:dyDescent="0.25">
      <c r="A8250" s="13"/>
    </row>
    <row r="8251" spans="1:1" x14ac:dyDescent="0.25">
      <c r="A8251" s="13"/>
    </row>
    <row r="8252" spans="1:1" x14ac:dyDescent="0.25">
      <c r="A8252" s="13"/>
    </row>
    <row r="8253" spans="1:1" x14ac:dyDescent="0.25">
      <c r="A8253" s="13"/>
    </row>
    <row r="8254" spans="1:1" x14ac:dyDescent="0.25">
      <c r="A8254" s="13"/>
    </row>
    <row r="8255" spans="1:1" x14ac:dyDescent="0.25">
      <c r="A8255" s="13"/>
    </row>
    <row r="8256" spans="1:1" x14ac:dyDescent="0.25">
      <c r="A8256" s="13"/>
    </row>
    <row r="8257" spans="1:1" x14ac:dyDescent="0.25">
      <c r="A8257" s="13"/>
    </row>
    <row r="8258" spans="1:1" x14ac:dyDescent="0.25">
      <c r="A8258" s="13"/>
    </row>
    <row r="8259" spans="1:1" x14ac:dyDescent="0.25">
      <c r="A8259" s="13"/>
    </row>
    <row r="8260" spans="1:1" x14ac:dyDescent="0.25">
      <c r="A8260" s="13"/>
    </row>
    <row r="8261" spans="1:1" x14ac:dyDescent="0.25">
      <c r="A8261" s="13"/>
    </row>
    <row r="8262" spans="1:1" x14ac:dyDescent="0.25">
      <c r="A8262" s="13"/>
    </row>
    <row r="8263" spans="1:1" x14ac:dyDescent="0.25">
      <c r="A8263" s="13"/>
    </row>
    <row r="8264" spans="1:1" x14ac:dyDescent="0.25">
      <c r="A8264" s="13"/>
    </row>
    <row r="8265" spans="1:1" x14ac:dyDescent="0.25">
      <c r="A8265" s="13"/>
    </row>
    <row r="8266" spans="1:1" x14ac:dyDescent="0.25">
      <c r="A8266" s="13"/>
    </row>
    <row r="8267" spans="1:1" x14ac:dyDescent="0.25">
      <c r="A8267" s="13"/>
    </row>
    <row r="8268" spans="1:1" x14ac:dyDescent="0.25">
      <c r="A8268" s="13"/>
    </row>
    <row r="8269" spans="1:1" x14ac:dyDescent="0.25">
      <c r="A8269" s="13"/>
    </row>
    <row r="8270" spans="1:1" x14ac:dyDescent="0.25">
      <c r="A8270" s="13"/>
    </row>
    <row r="8271" spans="1:1" x14ac:dyDescent="0.25">
      <c r="A8271" s="13"/>
    </row>
    <row r="8272" spans="1:1" x14ac:dyDescent="0.25">
      <c r="A8272" s="13"/>
    </row>
    <row r="8273" spans="1:1" x14ac:dyDescent="0.25">
      <c r="A8273" s="13"/>
    </row>
    <row r="8274" spans="1:1" x14ac:dyDescent="0.25">
      <c r="A8274" s="13"/>
    </row>
    <row r="8275" spans="1:1" x14ac:dyDescent="0.25">
      <c r="A8275" s="13"/>
    </row>
    <row r="8276" spans="1:1" x14ac:dyDescent="0.25">
      <c r="A8276" s="13"/>
    </row>
    <row r="8277" spans="1:1" x14ac:dyDescent="0.25">
      <c r="A8277" s="13"/>
    </row>
    <row r="8278" spans="1:1" x14ac:dyDescent="0.25">
      <c r="A8278" s="13"/>
    </row>
    <row r="8279" spans="1:1" x14ac:dyDescent="0.25">
      <c r="A8279" s="13"/>
    </row>
    <row r="8280" spans="1:1" x14ac:dyDescent="0.25">
      <c r="A8280" s="13"/>
    </row>
    <row r="8281" spans="1:1" x14ac:dyDescent="0.25">
      <c r="A8281" s="13"/>
    </row>
    <row r="8282" spans="1:1" x14ac:dyDescent="0.25">
      <c r="A8282" s="13"/>
    </row>
    <row r="8283" spans="1:1" x14ac:dyDescent="0.25">
      <c r="A8283" s="13"/>
    </row>
    <row r="8284" spans="1:1" x14ac:dyDescent="0.25">
      <c r="A8284" s="13"/>
    </row>
    <row r="8285" spans="1:1" x14ac:dyDescent="0.25">
      <c r="A8285" s="13"/>
    </row>
    <row r="8286" spans="1:1" x14ac:dyDescent="0.25">
      <c r="A8286" s="13"/>
    </row>
    <row r="8287" spans="1:1" x14ac:dyDescent="0.25">
      <c r="A8287" s="13"/>
    </row>
    <row r="8288" spans="1:1" x14ac:dyDescent="0.25">
      <c r="A8288" s="13"/>
    </row>
    <row r="8289" spans="1:1" x14ac:dyDescent="0.25">
      <c r="A8289" s="13"/>
    </row>
    <row r="8290" spans="1:1" x14ac:dyDescent="0.25">
      <c r="A8290" s="13"/>
    </row>
    <row r="8291" spans="1:1" x14ac:dyDescent="0.25">
      <c r="A8291" s="13"/>
    </row>
    <row r="8292" spans="1:1" x14ac:dyDescent="0.25">
      <c r="A8292" s="13"/>
    </row>
    <row r="8293" spans="1:1" x14ac:dyDescent="0.25">
      <c r="A8293" s="13"/>
    </row>
    <row r="8294" spans="1:1" x14ac:dyDescent="0.25">
      <c r="A8294" s="13"/>
    </row>
    <row r="8295" spans="1:1" x14ac:dyDescent="0.25">
      <c r="A8295" s="13"/>
    </row>
    <row r="8296" spans="1:1" x14ac:dyDescent="0.25">
      <c r="A8296" s="13"/>
    </row>
    <row r="8297" spans="1:1" x14ac:dyDescent="0.25">
      <c r="A8297" s="13"/>
    </row>
    <row r="8298" spans="1:1" x14ac:dyDescent="0.25">
      <c r="A8298" s="13"/>
    </row>
    <row r="8299" spans="1:1" x14ac:dyDescent="0.25">
      <c r="A8299" s="13"/>
    </row>
    <row r="8300" spans="1:1" x14ac:dyDescent="0.25">
      <c r="A8300" s="13"/>
    </row>
    <row r="8301" spans="1:1" x14ac:dyDescent="0.25">
      <c r="A8301" s="13"/>
    </row>
    <row r="8302" spans="1:1" x14ac:dyDescent="0.25">
      <c r="A8302" s="13"/>
    </row>
    <row r="8303" spans="1:1" x14ac:dyDescent="0.25">
      <c r="A8303" s="13"/>
    </row>
    <row r="8304" spans="1:1" x14ac:dyDescent="0.25">
      <c r="A8304" s="13"/>
    </row>
    <row r="8305" spans="1:1" x14ac:dyDescent="0.25">
      <c r="A8305" s="13"/>
    </row>
    <row r="8306" spans="1:1" x14ac:dyDescent="0.25">
      <c r="A8306" s="13"/>
    </row>
    <row r="8307" spans="1:1" x14ac:dyDescent="0.25">
      <c r="A8307" s="13"/>
    </row>
    <row r="8308" spans="1:1" x14ac:dyDescent="0.25">
      <c r="A8308" s="13"/>
    </row>
    <row r="8309" spans="1:1" x14ac:dyDescent="0.25">
      <c r="A8309" s="13"/>
    </row>
    <row r="8310" spans="1:1" x14ac:dyDescent="0.25">
      <c r="A8310" s="13"/>
    </row>
    <row r="8311" spans="1:1" x14ac:dyDescent="0.25">
      <c r="A8311" s="13"/>
    </row>
    <row r="8312" spans="1:1" x14ac:dyDescent="0.25">
      <c r="A8312" s="13"/>
    </row>
    <row r="8313" spans="1:1" x14ac:dyDescent="0.25">
      <c r="A8313" s="13"/>
    </row>
    <row r="8314" spans="1:1" x14ac:dyDescent="0.25">
      <c r="A8314" s="13"/>
    </row>
    <row r="8315" spans="1:1" x14ac:dyDescent="0.25">
      <c r="A8315" s="13"/>
    </row>
    <row r="8316" spans="1:1" x14ac:dyDescent="0.25">
      <c r="A8316" s="13"/>
    </row>
    <row r="8317" spans="1:1" x14ac:dyDescent="0.25">
      <c r="A8317" s="13"/>
    </row>
    <row r="8318" spans="1:1" x14ac:dyDescent="0.25">
      <c r="A8318" s="13"/>
    </row>
    <row r="8319" spans="1:1" x14ac:dyDescent="0.25">
      <c r="A8319" s="13"/>
    </row>
    <row r="8320" spans="1:1" x14ac:dyDescent="0.25">
      <c r="A8320" s="13"/>
    </row>
    <row r="8321" spans="1:1" x14ac:dyDescent="0.25">
      <c r="A8321" s="13"/>
    </row>
    <row r="8322" spans="1:1" x14ac:dyDescent="0.25">
      <c r="A8322" s="13"/>
    </row>
    <row r="8323" spans="1:1" x14ac:dyDescent="0.25">
      <c r="A8323" s="13"/>
    </row>
    <row r="8324" spans="1:1" x14ac:dyDescent="0.25">
      <c r="A8324" s="13"/>
    </row>
    <row r="8325" spans="1:1" x14ac:dyDescent="0.25">
      <c r="A8325" s="13"/>
    </row>
    <row r="8326" spans="1:1" x14ac:dyDescent="0.25">
      <c r="A8326" s="13"/>
    </row>
    <row r="8327" spans="1:1" x14ac:dyDescent="0.25">
      <c r="A8327" s="13"/>
    </row>
    <row r="8328" spans="1:1" x14ac:dyDescent="0.25">
      <c r="A8328" s="13"/>
    </row>
    <row r="8329" spans="1:1" x14ac:dyDescent="0.25">
      <c r="A8329" s="13"/>
    </row>
    <row r="8330" spans="1:1" x14ac:dyDescent="0.25">
      <c r="A8330" s="13"/>
    </row>
    <row r="8331" spans="1:1" x14ac:dyDescent="0.25">
      <c r="A8331" s="13"/>
    </row>
    <row r="8332" spans="1:1" x14ac:dyDescent="0.25">
      <c r="A8332" s="13"/>
    </row>
    <row r="8333" spans="1:1" x14ac:dyDescent="0.25">
      <c r="A8333" s="13"/>
    </row>
    <row r="8334" spans="1:1" x14ac:dyDescent="0.25">
      <c r="A8334" s="13"/>
    </row>
    <row r="8335" spans="1:1" x14ac:dyDescent="0.25">
      <c r="A8335" s="13"/>
    </row>
    <row r="8336" spans="1:1" x14ac:dyDescent="0.25">
      <c r="A8336" s="13"/>
    </row>
    <row r="8337" spans="1:1" x14ac:dyDescent="0.25">
      <c r="A8337" s="13"/>
    </row>
    <row r="8338" spans="1:1" x14ac:dyDescent="0.25">
      <c r="A8338" s="13"/>
    </row>
    <row r="8339" spans="1:1" x14ac:dyDescent="0.25">
      <c r="A8339" s="13"/>
    </row>
    <row r="8340" spans="1:1" x14ac:dyDescent="0.25">
      <c r="A8340" s="13"/>
    </row>
    <row r="8341" spans="1:1" x14ac:dyDescent="0.25">
      <c r="A8341" s="13"/>
    </row>
    <row r="8342" spans="1:1" x14ac:dyDescent="0.25">
      <c r="A8342" s="13"/>
    </row>
    <row r="8343" spans="1:1" x14ac:dyDescent="0.25">
      <c r="A8343" s="13"/>
    </row>
    <row r="8344" spans="1:1" x14ac:dyDescent="0.25">
      <c r="A8344" s="13"/>
    </row>
    <row r="8345" spans="1:1" x14ac:dyDescent="0.25">
      <c r="A8345" s="13"/>
    </row>
    <row r="8346" spans="1:1" x14ac:dyDescent="0.25">
      <c r="A8346" s="13"/>
    </row>
    <row r="8347" spans="1:1" x14ac:dyDescent="0.25">
      <c r="A8347" s="13"/>
    </row>
    <row r="8348" spans="1:1" x14ac:dyDescent="0.25">
      <c r="A8348" s="13"/>
    </row>
    <row r="8349" spans="1:1" x14ac:dyDescent="0.25">
      <c r="A8349" s="13"/>
    </row>
    <row r="8350" spans="1:1" x14ac:dyDescent="0.25">
      <c r="A8350" s="13"/>
    </row>
    <row r="8351" spans="1:1" x14ac:dyDescent="0.25">
      <c r="A8351" s="13"/>
    </row>
    <row r="8352" spans="1:1" x14ac:dyDescent="0.25">
      <c r="A8352" s="13"/>
    </row>
    <row r="8353" spans="1:1" x14ac:dyDescent="0.25">
      <c r="A8353" s="13"/>
    </row>
    <row r="8354" spans="1:1" x14ac:dyDescent="0.25">
      <c r="A8354" s="13"/>
    </row>
    <row r="8355" spans="1:1" x14ac:dyDescent="0.25">
      <c r="A8355" s="13"/>
    </row>
    <row r="8356" spans="1:1" x14ac:dyDescent="0.25">
      <c r="A8356" s="13"/>
    </row>
    <row r="8357" spans="1:1" x14ac:dyDescent="0.25">
      <c r="A8357" s="13"/>
    </row>
    <row r="8358" spans="1:1" x14ac:dyDescent="0.25">
      <c r="A8358" s="13"/>
    </row>
    <row r="8359" spans="1:1" x14ac:dyDescent="0.25">
      <c r="A8359" s="13"/>
    </row>
    <row r="8360" spans="1:1" x14ac:dyDescent="0.25">
      <c r="A8360" s="13"/>
    </row>
    <row r="8361" spans="1:1" x14ac:dyDescent="0.25">
      <c r="A8361" s="13"/>
    </row>
    <row r="8362" spans="1:1" x14ac:dyDescent="0.25">
      <c r="A8362" s="13"/>
    </row>
    <row r="8363" spans="1:1" x14ac:dyDescent="0.25">
      <c r="A8363" s="13"/>
    </row>
    <row r="8364" spans="1:1" x14ac:dyDescent="0.25">
      <c r="A8364" s="13"/>
    </row>
    <row r="8365" spans="1:1" x14ac:dyDescent="0.25">
      <c r="A8365" s="13"/>
    </row>
    <row r="8366" spans="1:1" x14ac:dyDescent="0.25">
      <c r="A8366" s="13"/>
    </row>
    <row r="8367" spans="1:1" x14ac:dyDescent="0.25">
      <c r="A8367" s="13"/>
    </row>
    <row r="8368" spans="1:1" x14ac:dyDescent="0.25">
      <c r="A8368" s="13"/>
    </row>
    <row r="8369" spans="1:1" x14ac:dyDescent="0.25">
      <c r="A8369" s="13"/>
    </row>
    <row r="8370" spans="1:1" x14ac:dyDescent="0.25">
      <c r="A8370" s="13"/>
    </row>
    <row r="8371" spans="1:1" x14ac:dyDescent="0.25">
      <c r="A8371" s="13"/>
    </row>
    <row r="8372" spans="1:1" x14ac:dyDescent="0.25">
      <c r="A8372" s="13"/>
    </row>
    <row r="8373" spans="1:1" x14ac:dyDescent="0.25">
      <c r="A8373" s="13"/>
    </row>
    <row r="8374" spans="1:1" x14ac:dyDescent="0.25">
      <c r="A8374" s="13"/>
    </row>
    <row r="8375" spans="1:1" x14ac:dyDescent="0.25">
      <c r="A8375" s="13"/>
    </row>
    <row r="8376" spans="1:1" x14ac:dyDescent="0.25">
      <c r="A8376" s="13"/>
    </row>
    <row r="8377" spans="1:1" x14ac:dyDescent="0.25">
      <c r="A8377" s="13"/>
    </row>
    <row r="8378" spans="1:1" x14ac:dyDescent="0.25">
      <c r="A8378" s="13"/>
    </row>
    <row r="8379" spans="1:1" x14ac:dyDescent="0.25">
      <c r="A8379" s="13"/>
    </row>
    <row r="8380" spans="1:1" x14ac:dyDescent="0.25">
      <c r="A8380" s="13"/>
    </row>
    <row r="8381" spans="1:1" x14ac:dyDescent="0.25">
      <c r="A8381" s="13"/>
    </row>
    <row r="8382" spans="1:1" x14ac:dyDescent="0.25">
      <c r="A8382" s="13"/>
    </row>
    <row r="8383" spans="1:1" x14ac:dyDescent="0.25">
      <c r="A8383" s="13"/>
    </row>
    <row r="8384" spans="1:1" x14ac:dyDescent="0.25">
      <c r="A8384" s="13"/>
    </row>
    <row r="8385" spans="1:1" x14ac:dyDescent="0.25">
      <c r="A8385" s="13"/>
    </row>
    <row r="8386" spans="1:1" x14ac:dyDescent="0.25">
      <c r="A8386" s="13"/>
    </row>
    <row r="8387" spans="1:1" x14ac:dyDescent="0.25">
      <c r="A8387" s="13"/>
    </row>
    <row r="8388" spans="1:1" x14ac:dyDescent="0.25">
      <c r="A8388" s="13"/>
    </row>
    <row r="8389" spans="1:1" x14ac:dyDescent="0.25">
      <c r="A8389" s="13"/>
    </row>
    <row r="8390" spans="1:1" x14ac:dyDescent="0.25">
      <c r="A8390" s="13"/>
    </row>
    <row r="8391" spans="1:1" x14ac:dyDescent="0.25">
      <c r="A8391" s="13"/>
    </row>
    <row r="8392" spans="1:1" x14ac:dyDescent="0.25">
      <c r="A8392" s="13"/>
    </row>
    <row r="8393" spans="1:1" x14ac:dyDescent="0.25">
      <c r="A8393" s="13"/>
    </row>
    <row r="8394" spans="1:1" x14ac:dyDescent="0.25">
      <c r="A8394" s="13"/>
    </row>
    <row r="8395" spans="1:1" x14ac:dyDescent="0.25">
      <c r="A8395" s="13"/>
    </row>
    <row r="8396" spans="1:1" x14ac:dyDescent="0.25">
      <c r="A8396" s="13"/>
    </row>
    <row r="8397" spans="1:1" x14ac:dyDescent="0.25">
      <c r="A8397" s="13"/>
    </row>
    <row r="8398" spans="1:1" x14ac:dyDescent="0.25">
      <c r="A8398" s="13"/>
    </row>
    <row r="8399" spans="1:1" x14ac:dyDescent="0.25">
      <c r="A8399" s="13"/>
    </row>
    <row r="8400" spans="1:1" x14ac:dyDescent="0.25">
      <c r="A8400" s="13"/>
    </row>
    <row r="8401" spans="1:1" x14ac:dyDescent="0.25">
      <c r="A8401" s="13"/>
    </row>
    <row r="8402" spans="1:1" x14ac:dyDescent="0.25">
      <c r="A8402" s="13"/>
    </row>
    <row r="8403" spans="1:1" x14ac:dyDescent="0.25">
      <c r="A8403" s="13"/>
    </row>
    <row r="8404" spans="1:1" x14ac:dyDescent="0.25">
      <c r="A8404" s="13"/>
    </row>
    <row r="8405" spans="1:1" x14ac:dyDescent="0.25">
      <c r="A8405" s="13"/>
    </row>
    <row r="8406" spans="1:1" x14ac:dyDescent="0.25">
      <c r="A8406" s="13"/>
    </row>
    <row r="8407" spans="1:1" x14ac:dyDescent="0.25">
      <c r="A8407" s="13"/>
    </row>
    <row r="8408" spans="1:1" x14ac:dyDescent="0.25">
      <c r="A8408" s="13"/>
    </row>
    <row r="8409" spans="1:1" x14ac:dyDescent="0.25">
      <c r="A8409" s="13"/>
    </row>
    <row r="8410" spans="1:1" x14ac:dyDescent="0.25">
      <c r="A8410" s="13"/>
    </row>
    <row r="8411" spans="1:1" x14ac:dyDescent="0.25">
      <c r="A8411" s="13"/>
    </row>
    <row r="8412" spans="1:1" x14ac:dyDescent="0.25">
      <c r="A8412" s="13"/>
    </row>
    <row r="8413" spans="1:1" x14ac:dyDescent="0.25">
      <c r="A8413" s="13"/>
    </row>
    <row r="8414" spans="1:1" x14ac:dyDescent="0.25">
      <c r="A8414" s="13"/>
    </row>
    <row r="8415" spans="1:1" x14ac:dyDescent="0.25">
      <c r="A8415" s="13"/>
    </row>
    <row r="8416" spans="1:1" x14ac:dyDescent="0.25">
      <c r="A8416" s="13"/>
    </row>
    <row r="8417" spans="1:1" x14ac:dyDescent="0.25">
      <c r="A8417" s="13"/>
    </row>
    <row r="8418" spans="1:1" x14ac:dyDescent="0.25">
      <c r="A8418" s="13"/>
    </row>
    <row r="8419" spans="1:1" x14ac:dyDescent="0.25">
      <c r="A8419" s="13"/>
    </row>
    <row r="8420" spans="1:1" x14ac:dyDescent="0.25">
      <c r="A8420" s="13"/>
    </row>
    <row r="8421" spans="1:1" x14ac:dyDescent="0.25">
      <c r="A8421" s="13"/>
    </row>
    <row r="8422" spans="1:1" x14ac:dyDescent="0.25">
      <c r="A8422" s="13"/>
    </row>
    <row r="8423" spans="1:1" x14ac:dyDescent="0.25">
      <c r="A8423" s="13"/>
    </row>
    <row r="8424" spans="1:1" x14ac:dyDescent="0.25">
      <c r="A8424" s="13"/>
    </row>
    <row r="8425" spans="1:1" x14ac:dyDescent="0.25">
      <c r="A8425" s="13"/>
    </row>
    <row r="8426" spans="1:1" x14ac:dyDescent="0.25">
      <c r="A8426" s="13"/>
    </row>
    <row r="8427" spans="1:1" x14ac:dyDescent="0.25">
      <c r="A8427" s="13"/>
    </row>
    <row r="8428" spans="1:1" x14ac:dyDescent="0.25">
      <c r="A8428" s="13"/>
    </row>
    <row r="8429" spans="1:1" x14ac:dyDescent="0.25">
      <c r="A8429" s="13"/>
    </row>
    <row r="8430" spans="1:1" x14ac:dyDescent="0.25">
      <c r="A8430" s="13"/>
    </row>
    <row r="8431" spans="1:1" x14ac:dyDescent="0.25">
      <c r="A8431" s="13"/>
    </row>
    <row r="8432" spans="1:1" x14ac:dyDescent="0.25">
      <c r="A8432" s="13"/>
    </row>
    <row r="8433" spans="1:1" x14ac:dyDescent="0.25">
      <c r="A8433" s="13"/>
    </row>
    <row r="8434" spans="1:1" x14ac:dyDescent="0.25">
      <c r="A8434" s="13"/>
    </row>
    <row r="8435" spans="1:1" x14ac:dyDescent="0.25">
      <c r="A8435" s="13"/>
    </row>
    <row r="8436" spans="1:1" x14ac:dyDescent="0.25">
      <c r="A8436" s="13"/>
    </row>
    <row r="8437" spans="1:1" x14ac:dyDescent="0.25">
      <c r="A8437" s="13"/>
    </row>
    <row r="8438" spans="1:1" x14ac:dyDescent="0.25">
      <c r="A8438" s="13"/>
    </row>
    <row r="8439" spans="1:1" x14ac:dyDescent="0.25">
      <c r="A8439" s="13"/>
    </row>
    <row r="8440" spans="1:1" x14ac:dyDescent="0.25">
      <c r="A8440" s="13"/>
    </row>
    <row r="8441" spans="1:1" x14ac:dyDescent="0.25">
      <c r="A8441" s="13"/>
    </row>
    <row r="8442" spans="1:1" x14ac:dyDescent="0.25">
      <c r="A8442" s="13"/>
    </row>
    <row r="8443" spans="1:1" x14ac:dyDescent="0.25">
      <c r="A8443" s="13"/>
    </row>
    <row r="8444" spans="1:1" x14ac:dyDescent="0.25">
      <c r="A8444" s="13"/>
    </row>
    <row r="8445" spans="1:1" x14ac:dyDescent="0.25">
      <c r="A8445" s="13"/>
    </row>
    <row r="8446" spans="1:1" x14ac:dyDescent="0.25">
      <c r="A8446" s="13"/>
    </row>
    <row r="8447" spans="1:1" x14ac:dyDescent="0.25">
      <c r="A8447" s="13"/>
    </row>
    <row r="8448" spans="1:1" x14ac:dyDescent="0.25">
      <c r="A8448" s="13"/>
    </row>
    <row r="8449" spans="1:1" x14ac:dyDescent="0.25">
      <c r="A8449" s="13"/>
    </row>
    <row r="8450" spans="1:1" x14ac:dyDescent="0.25">
      <c r="A8450" s="13"/>
    </row>
    <row r="8451" spans="1:1" x14ac:dyDescent="0.25">
      <c r="A8451" s="13"/>
    </row>
    <row r="8452" spans="1:1" x14ac:dyDescent="0.25">
      <c r="A8452" s="13"/>
    </row>
    <row r="8453" spans="1:1" x14ac:dyDescent="0.25">
      <c r="A8453" s="13"/>
    </row>
    <row r="8454" spans="1:1" x14ac:dyDescent="0.25">
      <c r="A8454" s="13"/>
    </row>
    <row r="8455" spans="1:1" x14ac:dyDescent="0.25">
      <c r="A8455" s="13"/>
    </row>
    <row r="8456" spans="1:1" x14ac:dyDescent="0.25">
      <c r="A8456" s="13"/>
    </row>
    <row r="8457" spans="1:1" x14ac:dyDescent="0.25">
      <c r="A8457" s="13"/>
    </row>
    <row r="8458" spans="1:1" x14ac:dyDescent="0.25">
      <c r="A8458" s="13"/>
    </row>
    <row r="8459" spans="1:1" x14ac:dyDescent="0.25">
      <c r="A8459" s="13"/>
    </row>
    <row r="8460" spans="1:1" x14ac:dyDescent="0.25">
      <c r="A8460" s="13"/>
    </row>
    <row r="8461" spans="1:1" x14ac:dyDescent="0.25">
      <c r="A8461" s="13"/>
    </row>
    <row r="8462" spans="1:1" x14ac:dyDescent="0.25">
      <c r="A8462" s="13"/>
    </row>
    <row r="8463" spans="1:1" x14ac:dyDescent="0.25">
      <c r="A8463" s="13"/>
    </row>
    <row r="8464" spans="1:1" x14ac:dyDescent="0.25">
      <c r="A8464" s="13"/>
    </row>
    <row r="8465" spans="1:1" x14ac:dyDescent="0.25">
      <c r="A8465" s="13"/>
    </row>
    <row r="8466" spans="1:1" x14ac:dyDescent="0.25">
      <c r="A8466" s="13"/>
    </row>
    <row r="8467" spans="1:1" x14ac:dyDescent="0.25">
      <c r="A8467" s="13"/>
    </row>
    <row r="8468" spans="1:1" x14ac:dyDescent="0.25">
      <c r="A8468" s="13"/>
    </row>
    <row r="8469" spans="1:1" x14ac:dyDescent="0.25">
      <c r="A8469" s="13"/>
    </row>
    <row r="8470" spans="1:1" x14ac:dyDescent="0.25">
      <c r="A8470" s="13"/>
    </row>
    <row r="8471" spans="1:1" x14ac:dyDescent="0.25">
      <c r="A8471" s="13"/>
    </row>
    <row r="8472" spans="1:1" x14ac:dyDescent="0.25">
      <c r="A8472" s="13"/>
    </row>
    <row r="8473" spans="1:1" x14ac:dyDescent="0.25">
      <c r="A8473" s="13"/>
    </row>
    <row r="8474" spans="1:1" x14ac:dyDescent="0.25">
      <c r="A8474" s="13"/>
    </row>
    <row r="8475" spans="1:1" x14ac:dyDescent="0.25">
      <c r="A8475" s="13"/>
    </row>
    <row r="8476" spans="1:1" x14ac:dyDescent="0.25">
      <c r="A8476" s="13"/>
    </row>
    <row r="8477" spans="1:1" x14ac:dyDescent="0.25">
      <c r="A8477" s="13"/>
    </row>
    <row r="8478" spans="1:1" x14ac:dyDescent="0.25">
      <c r="A8478" s="13"/>
    </row>
    <row r="8479" spans="1:1" x14ac:dyDescent="0.25">
      <c r="A8479" s="13"/>
    </row>
    <row r="8480" spans="1:1" x14ac:dyDescent="0.25">
      <c r="A8480" s="13"/>
    </row>
    <row r="8481" spans="1:1" x14ac:dyDescent="0.25">
      <c r="A8481" s="13"/>
    </row>
    <row r="8482" spans="1:1" x14ac:dyDescent="0.25">
      <c r="A8482" s="13"/>
    </row>
    <row r="8483" spans="1:1" x14ac:dyDescent="0.25">
      <c r="A8483" s="13"/>
    </row>
    <row r="8484" spans="1:1" x14ac:dyDescent="0.25">
      <c r="A8484" s="13"/>
    </row>
    <row r="8485" spans="1:1" x14ac:dyDescent="0.25">
      <c r="A8485" s="13"/>
    </row>
    <row r="8486" spans="1:1" x14ac:dyDescent="0.25">
      <c r="A8486" s="13"/>
    </row>
    <row r="8487" spans="1:1" x14ac:dyDescent="0.25">
      <c r="A8487" s="13"/>
    </row>
    <row r="8488" spans="1:1" x14ac:dyDescent="0.25">
      <c r="A8488" s="13"/>
    </row>
    <row r="8489" spans="1:1" x14ac:dyDescent="0.25">
      <c r="A8489" s="13"/>
    </row>
    <row r="8490" spans="1:1" x14ac:dyDescent="0.25">
      <c r="A8490" s="13"/>
    </row>
    <row r="8491" spans="1:1" x14ac:dyDescent="0.25">
      <c r="A8491" s="13"/>
    </row>
    <row r="8492" spans="1:1" x14ac:dyDescent="0.25">
      <c r="A8492" s="13"/>
    </row>
    <row r="8493" spans="1:1" x14ac:dyDescent="0.25">
      <c r="A8493" s="13"/>
    </row>
    <row r="8494" spans="1:1" x14ac:dyDescent="0.25">
      <c r="A8494" s="13"/>
    </row>
    <row r="8495" spans="1:1" x14ac:dyDescent="0.25">
      <c r="A8495" s="13"/>
    </row>
    <row r="8496" spans="1:1" x14ac:dyDescent="0.25">
      <c r="A8496" s="13"/>
    </row>
    <row r="8497" spans="1:1" x14ac:dyDescent="0.25">
      <c r="A8497" s="13"/>
    </row>
    <row r="8498" spans="1:1" x14ac:dyDescent="0.25">
      <c r="A8498" s="13"/>
    </row>
    <row r="8499" spans="1:1" x14ac:dyDescent="0.25">
      <c r="A8499" s="13"/>
    </row>
    <row r="8500" spans="1:1" x14ac:dyDescent="0.25">
      <c r="A8500" s="13"/>
    </row>
    <row r="8501" spans="1:1" x14ac:dyDescent="0.25">
      <c r="A8501" s="13"/>
    </row>
    <row r="8502" spans="1:1" x14ac:dyDescent="0.25">
      <c r="A8502" s="13"/>
    </row>
    <row r="8503" spans="1:1" x14ac:dyDescent="0.25">
      <c r="A8503" s="13"/>
    </row>
    <row r="8504" spans="1:1" x14ac:dyDescent="0.25">
      <c r="A8504" s="13"/>
    </row>
    <row r="8505" spans="1:1" x14ac:dyDescent="0.25">
      <c r="A8505" s="13"/>
    </row>
    <row r="8506" spans="1:1" x14ac:dyDescent="0.25">
      <c r="A8506" s="13"/>
    </row>
    <row r="8507" spans="1:1" x14ac:dyDescent="0.25">
      <c r="A8507" s="13"/>
    </row>
    <row r="8508" spans="1:1" x14ac:dyDescent="0.25">
      <c r="A8508" s="13"/>
    </row>
    <row r="8509" spans="1:1" x14ac:dyDescent="0.25">
      <c r="A8509" s="13"/>
    </row>
    <row r="8510" spans="1:1" x14ac:dyDescent="0.25">
      <c r="A8510" s="13"/>
    </row>
    <row r="8511" spans="1:1" x14ac:dyDescent="0.25">
      <c r="A8511" s="13"/>
    </row>
    <row r="8512" spans="1:1" x14ac:dyDescent="0.25">
      <c r="A8512" s="13"/>
    </row>
    <row r="8513" spans="1:1" x14ac:dyDescent="0.25">
      <c r="A8513" s="13"/>
    </row>
    <row r="8514" spans="1:1" x14ac:dyDescent="0.25">
      <c r="A8514" s="13"/>
    </row>
    <row r="8515" spans="1:1" x14ac:dyDescent="0.25">
      <c r="A8515" s="13"/>
    </row>
    <row r="8516" spans="1:1" x14ac:dyDescent="0.25">
      <c r="A8516" s="13"/>
    </row>
    <row r="8517" spans="1:1" x14ac:dyDescent="0.25">
      <c r="A8517" s="13"/>
    </row>
    <row r="8518" spans="1:1" x14ac:dyDescent="0.25">
      <c r="A8518" s="13"/>
    </row>
    <row r="8519" spans="1:1" x14ac:dyDescent="0.25">
      <c r="A8519" s="13"/>
    </row>
    <row r="8520" spans="1:1" x14ac:dyDescent="0.25">
      <c r="A8520" s="13"/>
    </row>
    <row r="8521" spans="1:1" x14ac:dyDescent="0.25">
      <c r="A8521" s="13"/>
    </row>
    <row r="8522" spans="1:1" x14ac:dyDescent="0.25">
      <c r="A8522" s="13"/>
    </row>
    <row r="8523" spans="1:1" x14ac:dyDescent="0.25">
      <c r="A8523" s="13"/>
    </row>
    <row r="8524" spans="1:1" x14ac:dyDescent="0.25">
      <c r="A8524" s="13"/>
    </row>
    <row r="8525" spans="1:1" x14ac:dyDescent="0.25">
      <c r="A8525" s="13"/>
    </row>
    <row r="8526" spans="1:1" x14ac:dyDescent="0.25">
      <c r="A8526" s="13"/>
    </row>
    <row r="8527" spans="1:1" x14ac:dyDescent="0.25">
      <c r="A8527" s="13"/>
    </row>
    <row r="8528" spans="1:1" x14ac:dyDescent="0.25">
      <c r="A8528" s="13"/>
    </row>
    <row r="8529" spans="1:1" x14ac:dyDescent="0.25">
      <c r="A8529" s="13"/>
    </row>
    <row r="8530" spans="1:1" x14ac:dyDescent="0.25">
      <c r="A8530" s="13"/>
    </row>
    <row r="8531" spans="1:1" x14ac:dyDescent="0.25">
      <c r="A8531" s="13"/>
    </row>
    <row r="8532" spans="1:1" x14ac:dyDescent="0.25">
      <c r="A8532" s="13"/>
    </row>
    <row r="8533" spans="1:1" x14ac:dyDescent="0.25">
      <c r="A8533" s="13"/>
    </row>
    <row r="8534" spans="1:1" x14ac:dyDescent="0.25">
      <c r="A8534" s="13"/>
    </row>
    <row r="8535" spans="1:1" x14ac:dyDescent="0.25">
      <c r="A8535" s="13"/>
    </row>
    <row r="8536" spans="1:1" x14ac:dyDescent="0.25">
      <c r="A8536" s="13"/>
    </row>
    <row r="8537" spans="1:1" x14ac:dyDescent="0.25">
      <c r="A8537" s="13"/>
    </row>
    <row r="8538" spans="1:1" x14ac:dyDescent="0.25">
      <c r="A8538" s="13"/>
    </row>
    <row r="8539" spans="1:1" x14ac:dyDescent="0.25">
      <c r="A8539" s="13"/>
    </row>
    <row r="8540" spans="1:1" x14ac:dyDescent="0.25">
      <c r="A8540" s="13"/>
    </row>
    <row r="8541" spans="1:1" x14ac:dyDescent="0.25">
      <c r="A8541" s="13"/>
    </row>
    <row r="8542" spans="1:1" x14ac:dyDescent="0.25">
      <c r="A8542" s="13"/>
    </row>
    <row r="8543" spans="1:1" x14ac:dyDescent="0.25">
      <c r="A8543" s="13"/>
    </row>
    <row r="8544" spans="1:1" x14ac:dyDescent="0.25">
      <c r="A8544" s="13"/>
    </row>
    <row r="8545" spans="1:1" x14ac:dyDescent="0.25">
      <c r="A8545" s="13"/>
    </row>
    <row r="8546" spans="1:1" x14ac:dyDescent="0.25">
      <c r="A8546" s="13"/>
    </row>
    <row r="8547" spans="1:1" x14ac:dyDescent="0.25">
      <c r="A8547" s="13"/>
    </row>
    <row r="8548" spans="1:1" x14ac:dyDescent="0.25">
      <c r="A8548" s="13"/>
    </row>
    <row r="8549" spans="1:1" x14ac:dyDescent="0.25">
      <c r="A8549" s="13"/>
    </row>
    <row r="8550" spans="1:1" x14ac:dyDescent="0.25">
      <c r="A8550" s="13"/>
    </row>
    <row r="8551" spans="1:1" x14ac:dyDescent="0.25">
      <c r="A8551" s="13"/>
    </row>
    <row r="8552" spans="1:1" x14ac:dyDescent="0.25">
      <c r="A8552" s="13"/>
    </row>
    <row r="8553" spans="1:1" x14ac:dyDescent="0.25">
      <c r="A8553" s="13"/>
    </row>
    <row r="8554" spans="1:1" x14ac:dyDescent="0.25">
      <c r="A8554" s="13"/>
    </row>
    <row r="8555" spans="1:1" x14ac:dyDescent="0.25">
      <c r="A8555" s="13"/>
    </row>
    <row r="8556" spans="1:1" x14ac:dyDescent="0.25">
      <c r="A8556" s="13"/>
    </row>
    <row r="8557" spans="1:1" x14ac:dyDescent="0.25">
      <c r="A8557" s="13"/>
    </row>
    <row r="8558" spans="1:1" x14ac:dyDescent="0.25">
      <c r="A8558" s="13"/>
    </row>
    <row r="8559" spans="1:1" x14ac:dyDescent="0.25">
      <c r="A8559" s="13"/>
    </row>
    <row r="8560" spans="1:1" x14ac:dyDescent="0.25">
      <c r="A8560" s="13"/>
    </row>
    <row r="8561" spans="1:1" x14ac:dyDescent="0.25">
      <c r="A8561" s="13"/>
    </row>
    <row r="8562" spans="1:1" x14ac:dyDescent="0.25">
      <c r="A8562" s="13"/>
    </row>
    <row r="8563" spans="1:1" x14ac:dyDescent="0.25">
      <c r="A8563" s="13"/>
    </row>
    <row r="8564" spans="1:1" x14ac:dyDescent="0.25">
      <c r="A8564" s="13"/>
    </row>
    <row r="8565" spans="1:1" x14ac:dyDescent="0.25">
      <c r="A8565" s="13"/>
    </row>
    <row r="8566" spans="1:1" x14ac:dyDescent="0.25">
      <c r="A8566" s="13"/>
    </row>
    <row r="8567" spans="1:1" x14ac:dyDescent="0.25">
      <c r="A8567" s="13"/>
    </row>
    <row r="8568" spans="1:1" x14ac:dyDescent="0.25">
      <c r="A8568" s="13"/>
    </row>
    <row r="8569" spans="1:1" x14ac:dyDescent="0.25">
      <c r="A8569" s="13"/>
    </row>
    <row r="8570" spans="1:1" x14ac:dyDescent="0.25">
      <c r="A8570" s="13"/>
    </row>
    <row r="8571" spans="1:1" x14ac:dyDescent="0.25">
      <c r="A8571" s="13"/>
    </row>
    <row r="8572" spans="1:1" x14ac:dyDescent="0.25">
      <c r="A8572" s="13"/>
    </row>
    <row r="8573" spans="1:1" x14ac:dyDescent="0.25">
      <c r="A8573" s="13"/>
    </row>
    <row r="8574" spans="1:1" x14ac:dyDescent="0.25">
      <c r="A8574" s="13"/>
    </row>
    <row r="8575" spans="1:1" x14ac:dyDescent="0.25">
      <c r="A8575" s="13"/>
    </row>
    <row r="8576" spans="1:1" x14ac:dyDescent="0.25">
      <c r="A8576" s="13"/>
    </row>
    <row r="8577" spans="1:1" x14ac:dyDescent="0.25">
      <c r="A8577" s="13"/>
    </row>
    <row r="8578" spans="1:1" x14ac:dyDescent="0.25">
      <c r="A8578" s="13"/>
    </row>
    <row r="8579" spans="1:1" x14ac:dyDescent="0.25">
      <c r="A8579" s="13"/>
    </row>
    <row r="8580" spans="1:1" x14ac:dyDescent="0.25">
      <c r="A8580" s="13"/>
    </row>
    <row r="8581" spans="1:1" x14ac:dyDescent="0.25">
      <c r="A8581" s="13"/>
    </row>
    <row r="8582" spans="1:1" x14ac:dyDescent="0.25">
      <c r="A8582" s="13"/>
    </row>
    <row r="8583" spans="1:1" x14ac:dyDescent="0.25">
      <c r="A8583" s="13"/>
    </row>
    <row r="8584" spans="1:1" x14ac:dyDescent="0.25">
      <c r="A8584" s="13"/>
    </row>
    <row r="8585" spans="1:1" x14ac:dyDescent="0.25">
      <c r="A8585" s="13"/>
    </row>
    <row r="8586" spans="1:1" x14ac:dyDescent="0.25">
      <c r="A8586" s="13"/>
    </row>
    <row r="8587" spans="1:1" x14ac:dyDescent="0.25">
      <c r="A8587" s="13"/>
    </row>
    <row r="8588" spans="1:1" x14ac:dyDescent="0.25">
      <c r="A8588" s="13"/>
    </row>
    <row r="8589" spans="1:1" x14ac:dyDescent="0.25">
      <c r="A8589" s="13"/>
    </row>
    <row r="8590" spans="1:1" x14ac:dyDescent="0.25">
      <c r="A8590" s="13"/>
    </row>
    <row r="8591" spans="1:1" x14ac:dyDescent="0.25">
      <c r="A8591" s="13"/>
    </row>
    <row r="8592" spans="1:1" x14ac:dyDescent="0.25">
      <c r="A8592" s="13"/>
    </row>
    <row r="8593" spans="1:1" x14ac:dyDescent="0.25">
      <c r="A8593" s="13"/>
    </row>
    <row r="8594" spans="1:1" x14ac:dyDescent="0.25">
      <c r="A8594" s="13"/>
    </row>
    <row r="8595" spans="1:1" x14ac:dyDescent="0.25">
      <c r="A8595" s="13"/>
    </row>
    <row r="8596" spans="1:1" x14ac:dyDescent="0.25">
      <c r="A8596" s="13"/>
    </row>
    <row r="8597" spans="1:1" x14ac:dyDescent="0.25">
      <c r="A8597" s="13"/>
    </row>
    <row r="8598" spans="1:1" x14ac:dyDescent="0.25">
      <c r="A8598" s="13"/>
    </row>
    <row r="8599" spans="1:1" x14ac:dyDescent="0.25">
      <c r="A8599" s="13"/>
    </row>
    <row r="8600" spans="1:1" x14ac:dyDescent="0.25">
      <c r="A8600" s="13"/>
    </row>
    <row r="8601" spans="1:1" x14ac:dyDescent="0.25">
      <c r="A8601" s="13"/>
    </row>
    <row r="8602" spans="1:1" x14ac:dyDescent="0.25">
      <c r="A8602" s="13"/>
    </row>
    <row r="8603" spans="1:1" x14ac:dyDescent="0.25">
      <c r="A8603" s="13"/>
    </row>
    <row r="8604" spans="1:1" x14ac:dyDescent="0.25">
      <c r="A8604" s="13"/>
    </row>
    <row r="8605" spans="1:1" x14ac:dyDescent="0.25">
      <c r="A8605" s="13"/>
    </row>
    <row r="8606" spans="1:1" x14ac:dyDescent="0.25">
      <c r="A8606" s="13"/>
    </row>
    <row r="8607" spans="1:1" x14ac:dyDescent="0.25">
      <c r="A8607" s="13"/>
    </row>
    <row r="8608" spans="1:1" x14ac:dyDescent="0.25">
      <c r="A8608" s="13"/>
    </row>
    <row r="8609" spans="1:1" x14ac:dyDescent="0.25">
      <c r="A8609" s="13"/>
    </row>
    <row r="8610" spans="1:1" x14ac:dyDescent="0.25">
      <c r="A8610" s="13"/>
    </row>
    <row r="8611" spans="1:1" x14ac:dyDescent="0.25">
      <c r="A8611" s="13"/>
    </row>
    <row r="8612" spans="1:1" x14ac:dyDescent="0.25">
      <c r="A8612" s="13"/>
    </row>
    <row r="8613" spans="1:1" x14ac:dyDescent="0.25">
      <c r="A8613" s="13"/>
    </row>
    <row r="8614" spans="1:1" x14ac:dyDescent="0.25">
      <c r="A8614" s="13"/>
    </row>
    <row r="8615" spans="1:1" x14ac:dyDescent="0.25">
      <c r="A8615" s="13"/>
    </row>
    <row r="8616" spans="1:1" x14ac:dyDescent="0.25">
      <c r="A8616" s="13"/>
    </row>
    <row r="8617" spans="1:1" x14ac:dyDescent="0.25">
      <c r="A8617" s="13"/>
    </row>
    <row r="8618" spans="1:1" x14ac:dyDescent="0.25">
      <c r="A8618" s="13"/>
    </row>
    <row r="8619" spans="1:1" x14ac:dyDescent="0.25">
      <c r="A8619" s="13"/>
    </row>
    <row r="8620" spans="1:1" x14ac:dyDescent="0.25">
      <c r="A8620" s="13"/>
    </row>
    <row r="8621" spans="1:1" x14ac:dyDescent="0.25">
      <c r="A8621" s="13"/>
    </row>
    <row r="8622" spans="1:1" x14ac:dyDescent="0.25">
      <c r="A8622" s="13"/>
    </row>
    <row r="8623" spans="1:1" x14ac:dyDescent="0.25">
      <c r="A8623" s="13"/>
    </row>
    <row r="8624" spans="1:1" x14ac:dyDescent="0.25">
      <c r="A8624" s="13"/>
    </row>
    <row r="8625" spans="1:1" x14ac:dyDescent="0.25">
      <c r="A8625" s="13"/>
    </row>
    <row r="8626" spans="1:1" x14ac:dyDescent="0.25">
      <c r="A8626" s="13"/>
    </row>
    <row r="8627" spans="1:1" x14ac:dyDescent="0.25">
      <c r="A8627" s="13"/>
    </row>
    <row r="8628" spans="1:1" x14ac:dyDescent="0.25">
      <c r="A8628" s="13"/>
    </row>
    <row r="8629" spans="1:1" x14ac:dyDescent="0.25">
      <c r="A8629" s="13"/>
    </row>
    <row r="8630" spans="1:1" x14ac:dyDescent="0.25">
      <c r="A8630" s="13"/>
    </row>
    <row r="8631" spans="1:1" x14ac:dyDescent="0.25">
      <c r="A8631" s="13"/>
    </row>
    <row r="8632" spans="1:1" x14ac:dyDescent="0.25">
      <c r="A8632" s="13"/>
    </row>
    <row r="8633" spans="1:1" x14ac:dyDescent="0.25">
      <c r="A8633" s="13"/>
    </row>
    <row r="8634" spans="1:1" x14ac:dyDescent="0.25">
      <c r="A8634" s="13"/>
    </row>
    <row r="8635" spans="1:1" x14ac:dyDescent="0.25">
      <c r="A8635" s="13"/>
    </row>
    <row r="8636" spans="1:1" x14ac:dyDescent="0.25">
      <c r="A8636" s="13"/>
    </row>
    <row r="8637" spans="1:1" x14ac:dyDescent="0.25">
      <c r="A8637" s="13"/>
    </row>
    <row r="8638" spans="1:1" x14ac:dyDescent="0.25">
      <c r="A8638" s="13"/>
    </row>
    <row r="8639" spans="1:1" x14ac:dyDescent="0.25">
      <c r="A8639" s="13"/>
    </row>
    <row r="8640" spans="1:1" x14ac:dyDescent="0.25">
      <c r="A8640" s="13"/>
    </row>
    <row r="8641" spans="1:1" x14ac:dyDescent="0.25">
      <c r="A8641" s="13"/>
    </row>
    <row r="8642" spans="1:1" x14ac:dyDescent="0.25">
      <c r="A8642" s="13"/>
    </row>
    <row r="8643" spans="1:1" x14ac:dyDescent="0.25">
      <c r="A8643" s="13"/>
    </row>
    <row r="8644" spans="1:1" x14ac:dyDescent="0.25">
      <c r="A8644" s="13"/>
    </row>
    <row r="8645" spans="1:1" x14ac:dyDescent="0.25">
      <c r="A8645" s="13"/>
    </row>
    <row r="8646" spans="1:1" x14ac:dyDescent="0.25">
      <c r="A8646" s="13"/>
    </row>
    <row r="8647" spans="1:1" x14ac:dyDescent="0.25">
      <c r="A8647" s="13"/>
    </row>
    <row r="8648" spans="1:1" x14ac:dyDescent="0.25">
      <c r="A8648" s="13"/>
    </row>
    <row r="8649" spans="1:1" x14ac:dyDescent="0.25">
      <c r="A8649" s="13"/>
    </row>
    <row r="8650" spans="1:1" x14ac:dyDescent="0.25">
      <c r="A8650" s="13"/>
    </row>
    <row r="8651" spans="1:1" x14ac:dyDescent="0.25">
      <c r="A8651" s="13"/>
    </row>
    <row r="8652" spans="1:1" x14ac:dyDescent="0.25">
      <c r="A8652" s="13"/>
    </row>
    <row r="8653" spans="1:1" x14ac:dyDescent="0.25">
      <c r="A8653" s="13"/>
    </row>
    <row r="8654" spans="1:1" x14ac:dyDescent="0.25">
      <c r="A8654" s="13"/>
    </row>
    <row r="8655" spans="1:1" x14ac:dyDescent="0.25">
      <c r="A8655" s="13"/>
    </row>
    <row r="8656" spans="1:1" x14ac:dyDescent="0.25">
      <c r="A8656" s="13"/>
    </row>
    <row r="8657" spans="1:1" x14ac:dyDescent="0.25">
      <c r="A8657" s="13"/>
    </row>
    <row r="8658" spans="1:1" x14ac:dyDescent="0.25">
      <c r="A8658" s="13"/>
    </row>
    <row r="8659" spans="1:1" x14ac:dyDescent="0.25">
      <c r="A8659" s="13"/>
    </row>
    <row r="8660" spans="1:1" x14ac:dyDescent="0.25">
      <c r="A8660" s="13"/>
    </row>
    <row r="8661" spans="1:1" x14ac:dyDescent="0.25">
      <c r="A8661" s="13"/>
    </row>
    <row r="8662" spans="1:1" x14ac:dyDescent="0.25">
      <c r="A8662" s="13"/>
    </row>
    <row r="8663" spans="1:1" x14ac:dyDescent="0.25">
      <c r="A8663" s="13"/>
    </row>
    <row r="8664" spans="1:1" x14ac:dyDescent="0.25">
      <c r="A8664" s="13"/>
    </row>
    <row r="8665" spans="1:1" x14ac:dyDescent="0.25">
      <c r="A8665" s="13"/>
    </row>
    <row r="8666" spans="1:1" x14ac:dyDescent="0.25">
      <c r="A8666" s="13"/>
    </row>
    <row r="8667" spans="1:1" x14ac:dyDescent="0.25">
      <c r="A8667" s="13"/>
    </row>
    <row r="8668" spans="1:1" x14ac:dyDescent="0.25">
      <c r="A8668" s="13"/>
    </row>
    <row r="8669" spans="1:1" x14ac:dyDescent="0.25">
      <c r="A8669" s="13"/>
    </row>
    <row r="8670" spans="1:1" x14ac:dyDescent="0.25">
      <c r="A8670" s="13"/>
    </row>
    <row r="8671" spans="1:1" x14ac:dyDescent="0.25">
      <c r="A8671" s="13"/>
    </row>
    <row r="8672" spans="1:1" x14ac:dyDescent="0.25">
      <c r="A8672" s="13"/>
    </row>
    <row r="8673" spans="1:1" x14ac:dyDescent="0.25">
      <c r="A8673" s="13"/>
    </row>
    <row r="8674" spans="1:1" x14ac:dyDescent="0.25">
      <c r="A8674" s="13"/>
    </row>
    <row r="8675" spans="1:1" x14ac:dyDescent="0.25">
      <c r="A8675" s="13"/>
    </row>
    <row r="8676" spans="1:1" x14ac:dyDescent="0.25">
      <c r="A8676" s="13"/>
    </row>
    <row r="8677" spans="1:1" x14ac:dyDescent="0.25">
      <c r="A8677" s="13"/>
    </row>
    <row r="8678" spans="1:1" x14ac:dyDescent="0.25">
      <c r="A8678" s="13"/>
    </row>
    <row r="8679" spans="1:1" x14ac:dyDescent="0.25">
      <c r="A8679" s="13"/>
    </row>
    <row r="8680" spans="1:1" x14ac:dyDescent="0.25">
      <c r="A8680" s="13"/>
    </row>
    <row r="8681" spans="1:1" x14ac:dyDescent="0.25">
      <c r="A8681" s="13"/>
    </row>
    <row r="8682" spans="1:1" x14ac:dyDescent="0.25">
      <c r="A8682" s="13"/>
    </row>
    <row r="8683" spans="1:1" x14ac:dyDescent="0.25">
      <c r="A8683" s="13"/>
    </row>
    <row r="8684" spans="1:1" x14ac:dyDescent="0.25">
      <c r="A8684" s="13"/>
    </row>
    <row r="8685" spans="1:1" x14ac:dyDescent="0.25">
      <c r="A8685" s="13"/>
    </row>
    <row r="8686" spans="1:1" x14ac:dyDescent="0.25">
      <c r="A8686" s="13"/>
    </row>
    <row r="8687" spans="1:1" x14ac:dyDescent="0.25">
      <c r="A8687" s="13"/>
    </row>
    <row r="8688" spans="1:1" x14ac:dyDescent="0.25">
      <c r="A8688" s="13"/>
    </row>
    <row r="8689" spans="1:1" x14ac:dyDescent="0.25">
      <c r="A8689" s="13"/>
    </row>
    <row r="8690" spans="1:1" x14ac:dyDescent="0.25">
      <c r="A8690" s="13"/>
    </row>
    <row r="8691" spans="1:1" x14ac:dyDescent="0.25">
      <c r="A8691" s="13"/>
    </row>
    <row r="8692" spans="1:1" x14ac:dyDescent="0.25">
      <c r="A8692" s="13"/>
    </row>
    <row r="8693" spans="1:1" x14ac:dyDescent="0.25">
      <c r="A8693" s="13"/>
    </row>
    <row r="8694" spans="1:1" x14ac:dyDescent="0.25">
      <c r="A8694" s="13"/>
    </row>
    <row r="8695" spans="1:1" x14ac:dyDescent="0.25">
      <c r="A8695" s="13"/>
    </row>
    <row r="8696" spans="1:1" x14ac:dyDescent="0.25">
      <c r="A8696" s="13"/>
    </row>
    <row r="8697" spans="1:1" x14ac:dyDescent="0.25">
      <c r="A8697" s="13"/>
    </row>
    <row r="8698" spans="1:1" x14ac:dyDescent="0.25">
      <c r="A8698" s="13"/>
    </row>
    <row r="8699" spans="1:1" x14ac:dyDescent="0.25">
      <c r="A8699" s="13"/>
    </row>
    <row r="8700" spans="1:1" x14ac:dyDescent="0.25">
      <c r="A8700" s="13"/>
    </row>
    <row r="8701" spans="1:1" x14ac:dyDescent="0.25">
      <c r="A8701" s="13"/>
    </row>
    <row r="8702" spans="1:1" x14ac:dyDescent="0.25">
      <c r="A8702" s="13"/>
    </row>
    <row r="8703" spans="1:1" x14ac:dyDescent="0.25">
      <c r="A8703" s="13"/>
    </row>
    <row r="8704" spans="1:1" x14ac:dyDescent="0.25">
      <c r="A8704" s="13"/>
    </row>
    <row r="8705" spans="1:1" x14ac:dyDescent="0.25">
      <c r="A8705" s="13"/>
    </row>
    <row r="8706" spans="1:1" x14ac:dyDescent="0.25">
      <c r="A8706" s="13"/>
    </row>
    <row r="8707" spans="1:1" x14ac:dyDescent="0.25">
      <c r="A8707" s="13"/>
    </row>
    <row r="8708" spans="1:1" x14ac:dyDescent="0.25">
      <c r="A8708" s="13"/>
    </row>
    <row r="8709" spans="1:1" x14ac:dyDescent="0.25">
      <c r="A8709" s="13"/>
    </row>
    <row r="8710" spans="1:1" x14ac:dyDescent="0.25">
      <c r="A8710" s="13"/>
    </row>
    <row r="8711" spans="1:1" x14ac:dyDescent="0.25">
      <c r="A8711" s="13"/>
    </row>
    <row r="8712" spans="1:1" x14ac:dyDescent="0.25">
      <c r="A8712" s="13"/>
    </row>
    <row r="8713" spans="1:1" x14ac:dyDescent="0.25">
      <c r="A8713" s="13"/>
    </row>
    <row r="8714" spans="1:1" x14ac:dyDescent="0.25">
      <c r="A8714" s="13"/>
    </row>
    <row r="8715" spans="1:1" x14ac:dyDescent="0.25">
      <c r="A8715" s="13"/>
    </row>
    <row r="8716" spans="1:1" x14ac:dyDescent="0.25">
      <c r="A8716" s="13"/>
    </row>
    <row r="8717" spans="1:1" x14ac:dyDescent="0.25">
      <c r="A8717" s="13"/>
    </row>
    <row r="8718" spans="1:1" x14ac:dyDescent="0.25">
      <c r="A8718" s="13"/>
    </row>
    <row r="8719" spans="1:1" x14ac:dyDescent="0.25">
      <c r="A8719" s="13"/>
    </row>
    <row r="8720" spans="1:1" x14ac:dyDescent="0.25">
      <c r="A8720" s="13"/>
    </row>
    <row r="8721" spans="1:1" x14ac:dyDescent="0.25">
      <c r="A8721" s="13"/>
    </row>
    <row r="8722" spans="1:1" x14ac:dyDescent="0.25">
      <c r="A8722" s="13"/>
    </row>
    <row r="8723" spans="1:1" x14ac:dyDescent="0.25">
      <c r="A8723" s="13"/>
    </row>
    <row r="8724" spans="1:1" x14ac:dyDescent="0.25">
      <c r="A8724" s="13"/>
    </row>
    <row r="8725" spans="1:1" x14ac:dyDescent="0.25">
      <c r="A8725" s="13"/>
    </row>
    <row r="8726" spans="1:1" x14ac:dyDescent="0.25">
      <c r="A8726" s="13"/>
    </row>
    <row r="8727" spans="1:1" x14ac:dyDescent="0.25">
      <c r="A8727" s="13"/>
    </row>
    <row r="8728" spans="1:1" x14ac:dyDescent="0.25">
      <c r="A8728" s="13"/>
    </row>
    <row r="8729" spans="1:1" x14ac:dyDescent="0.25">
      <c r="A8729" s="13"/>
    </row>
    <row r="8730" spans="1:1" x14ac:dyDescent="0.25">
      <c r="A8730" s="13"/>
    </row>
    <row r="8731" spans="1:1" x14ac:dyDescent="0.25">
      <c r="A8731" s="13"/>
    </row>
    <row r="8732" spans="1:1" x14ac:dyDescent="0.25">
      <c r="A8732" s="13"/>
    </row>
    <row r="8733" spans="1:1" x14ac:dyDescent="0.25">
      <c r="A8733" s="13"/>
    </row>
    <row r="8734" spans="1:1" x14ac:dyDescent="0.25">
      <c r="A8734" s="13"/>
    </row>
    <row r="8735" spans="1:1" x14ac:dyDescent="0.25">
      <c r="A8735" s="13"/>
    </row>
    <row r="8736" spans="1:1" x14ac:dyDescent="0.25">
      <c r="A8736" s="13"/>
    </row>
    <row r="8737" spans="1:1" x14ac:dyDescent="0.25">
      <c r="A8737" s="13"/>
    </row>
    <row r="8738" spans="1:1" x14ac:dyDescent="0.25">
      <c r="A8738" s="13"/>
    </row>
    <row r="8739" spans="1:1" x14ac:dyDescent="0.25">
      <c r="A8739" s="13"/>
    </row>
    <row r="8740" spans="1:1" x14ac:dyDescent="0.25">
      <c r="A8740" s="13"/>
    </row>
    <row r="8741" spans="1:1" x14ac:dyDescent="0.25">
      <c r="A8741" s="13"/>
    </row>
    <row r="8742" spans="1:1" x14ac:dyDescent="0.25">
      <c r="A8742" s="13"/>
    </row>
    <row r="8743" spans="1:1" x14ac:dyDescent="0.25">
      <c r="A8743" s="13"/>
    </row>
    <row r="8744" spans="1:1" x14ac:dyDescent="0.25">
      <c r="A8744" s="13"/>
    </row>
    <row r="8745" spans="1:1" x14ac:dyDescent="0.25">
      <c r="A8745" s="13"/>
    </row>
    <row r="8746" spans="1:1" x14ac:dyDescent="0.25">
      <c r="A8746" s="13"/>
    </row>
    <row r="8747" spans="1:1" x14ac:dyDescent="0.25">
      <c r="A8747" s="13"/>
    </row>
    <row r="8748" spans="1:1" x14ac:dyDescent="0.25">
      <c r="A8748" s="13"/>
    </row>
    <row r="8749" spans="1:1" x14ac:dyDescent="0.25">
      <c r="A8749" s="13"/>
    </row>
    <row r="8750" spans="1:1" x14ac:dyDescent="0.25">
      <c r="A8750" s="13"/>
    </row>
    <row r="8751" spans="1:1" x14ac:dyDescent="0.25">
      <c r="A8751" s="13"/>
    </row>
    <row r="8752" spans="1:1" x14ac:dyDescent="0.25">
      <c r="A8752" s="13"/>
    </row>
    <row r="8753" spans="1:1" x14ac:dyDescent="0.25">
      <c r="A8753" s="13"/>
    </row>
    <row r="8754" spans="1:1" x14ac:dyDescent="0.25">
      <c r="A8754" s="13"/>
    </row>
    <row r="8755" spans="1:1" x14ac:dyDescent="0.25">
      <c r="A8755" s="13"/>
    </row>
    <row r="8756" spans="1:1" x14ac:dyDescent="0.25">
      <c r="A8756" s="13"/>
    </row>
    <row r="8757" spans="1:1" x14ac:dyDescent="0.25">
      <c r="A8757" s="13"/>
    </row>
    <row r="8758" spans="1:1" x14ac:dyDescent="0.25">
      <c r="A8758" s="13"/>
    </row>
    <row r="8759" spans="1:1" x14ac:dyDescent="0.25">
      <c r="A8759" s="13"/>
    </row>
    <row r="8760" spans="1:1" x14ac:dyDescent="0.25">
      <c r="A8760" s="13"/>
    </row>
    <row r="8761" spans="1:1" x14ac:dyDescent="0.25">
      <c r="A8761" s="13"/>
    </row>
    <row r="8762" spans="1:1" x14ac:dyDescent="0.25">
      <c r="A8762" s="13"/>
    </row>
    <row r="8763" spans="1:1" x14ac:dyDescent="0.25">
      <c r="A8763" s="13"/>
    </row>
    <row r="8764" spans="1:1" x14ac:dyDescent="0.25">
      <c r="A8764" s="13"/>
    </row>
    <row r="8765" spans="1:1" x14ac:dyDescent="0.25">
      <c r="A8765" s="13"/>
    </row>
    <row r="8766" spans="1:1" x14ac:dyDescent="0.25">
      <c r="A8766" s="13"/>
    </row>
    <row r="8767" spans="1:1" x14ac:dyDescent="0.25">
      <c r="A8767" s="13"/>
    </row>
    <row r="8768" spans="1:1" x14ac:dyDescent="0.25">
      <c r="A8768" s="13"/>
    </row>
    <row r="8769" spans="1:1" x14ac:dyDescent="0.25">
      <c r="A8769" s="13"/>
    </row>
    <row r="8770" spans="1:1" x14ac:dyDescent="0.25">
      <c r="A8770" s="13"/>
    </row>
    <row r="8771" spans="1:1" x14ac:dyDescent="0.25">
      <c r="A8771" s="13"/>
    </row>
    <row r="8772" spans="1:1" x14ac:dyDescent="0.25">
      <c r="A8772" s="13"/>
    </row>
    <row r="8773" spans="1:1" x14ac:dyDescent="0.25">
      <c r="A8773" s="13"/>
    </row>
    <row r="8774" spans="1:1" x14ac:dyDescent="0.25">
      <c r="A8774" s="13"/>
    </row>
    <row r="8775" spans="1:1" x14ac:dyDescent="0.25">
      <c r="A8775" s="13"/>
    </row>
    <row r="8776" spans="1:1" x14ac:dyDescent="0.25">
      <c r="A8776" s="13"/>
    </row>
    <row r="8777" spans="1:1" x14ac:dyDescent="0.25">
      <c r="A8777" s="13"/>
    </row>
    <row r="8778" spans="1:1" x14ac:dyDescent="0.25">
      <c r="A8778" s="13"/>
    </row>
    <row r="8779" spans="1:1" x14ac:dyDescent="0.25">
      <c r="A8779" s="13"/>
    </row>
    <row r="8780" spans="1:1" x14ac:dyDescent="0.25">
      <c r="A8780" s="13"/>
    </row>
    <row r="8781" spans="1:1" x14ac:dyDescent="0.25">
      <c r="A8781" s="13"/>
    </row>
    <row r="8782" spans="1:1" x14ac:dyDescent="0.25">
      <c r="A8782" s="13"/>
    </row>
    <row r="8783" spans="1:1" x14ac:dyDescent="0.25">
      <c r="A8783" s="13"/>
    </row>
    <row r="8784" spans="1:1" x14ac:dyDescent="0.25">
      <c r="A8784" s="13"/>
    </row>
    <row r="8785" spans="1:1" x14ac:dyDescent="0.25">
      <c r="A8785" s="13"/>
    </row>
    <row r="8786" spans="1:1" x14ac:dyDescent="0.25">
      <c r="A8786" s="13"/>
    </row>
    <row r="8787" spans="1:1" x14ac:dyDescent="0.25">
      <c r="A8787" s="13"/>
    </row>
    <row r="8788" spans="1:1" x14ac:dyDescent="0.25">
      <c r="A8788" s="13"/>
    </row>
    <row r="8789" spans="1:1" x14ac:dyDescent="0.25">
      <c r="A8789" s="13"/>
    </row>
    <row r="8790" spans="1:1" x14ac:dyDescent="0.25">
      <c r="A8790" s="13"/>
    </row>
    <row r="8791" spans="1:1" x14ac:dyDescent="0.25">
      <c r="A8791" s="13"/>
    </row>
    <row r="8792" spans="1:1" x14ac:dyDescent="0.25">
      <c r="A8792" s="13"/>
    </row>
    <row r="8793" spans="1:1" x14ac:dyDescent="0.25">
      <c r="A8793" s="13"/>
    </row>
    <row r="8794" spans="1:1" x14ac:dyDescent="0.25">
      <c r="A8794" s="13"/>
    </row>
    <row r="8795" spans="1:1" x14ac:dyDescent="0.25">
      <c r="A8795" s="13"/>
    </row>
    <row r="8796" spans="1:1" x14ac:dyDescent="0.25">
      <c r="A8796" s="13"/>
    </row>
    <row r="8797" spans="1:1" x14ac:dyDescent="0.25">
      <c r="A8797" s="13"/>
    </row>
    <row r="8798" spans="1:1" x14ac:dyDescent="0.25">
      <c r="A8798" s="13"/>
    </row>
    <row r="8799" spans="1:1" x14ac:dyDescent="0.25">
      <c r="A8799" s="13"/>
    </row>
    <row r="8800" spans="1:1" x14ac:dyDescent="0.25">
      <c r="A8800" s="13"/>
    </row>
    <row r="8801" spans="1:1" x14ac:dyDescent="0.25">
      <c r="A8801" s="13"/>
    </row>
    <row r="8802" spans="1:1" x14ac:dyDescent="0.25">
      <c r="A8802" s="13"/>
    </row>
    <row r="8803" spans="1:1" x14ac:dyDescent="0.25">
      <c r="A8803" s="13"/>
    </row>
    <row r="8804" spans="1:1" x14ac:dyDescent="0.25">
      <c r="A8804" s="13"/>
    </row>
    <row r="8805" spans="1:1" x14ac:dyDescent="0.25">
      <c r="A8805" s="13"/>
    </row>
    <row r="8806" spans="1:1" x14ac:dyDescent="0.25">
      <c r="A8806" s="13"/>
    </row>
    <row r="8807" spans="1:1" x14ac:dyDescent="0.25">
      <c r="A8807" s="13"/>
    </row>
    <row r="8808" spans="1:1" x14ac:dyDescent="0.25">
      <c r="A8808" s="13"/>
    </row>
    <row r="8809" spans="1:1" x14ac:dyDescent="0.25">
      <c r="A8809" s="13"/>
    </row>
    <row r="8810" spans="1:1" x14ac:dyDescent="0.25">
      <c r="A8810" s="13"/>
    </row>
    <row r="8811" spans="1:1" x14ac:dyDescent="0.25">
      <c r="A8811" s="13"/>
    </row>
    <row r="8812" spans="1:1" x14ac:dyDescent="0.25">
      <c r="A8812" s="13"/>
    </row>
    <row r="8813" spans="1:1" x14ac:dyDescent="0.25">
      <c r="A8813" s="13"/>
    </row>
    <row r="8814" spans="1:1" x14ac:dyDescent="0.25">
      <c r="A8814" s="13"/>
    </row>
    <row r="8815" spans="1:1" x14ac:dyDescent="0.25">
      <c r="A8815" s="13"/>
    </row>
    <row r="8816" spans="1:1" x14ac:dyDescent="0.25">
      <c r="A8816" s="13"/>
    </row>
    <row r="8817" spans="1:1" x14ac:dyDescent="0.25">
      <c r="A8817" s="13"/>
    </row>
    <row r="8818" spans="1:1" x14ac:dyDescent="0.25">
      <c r="A8818" s="13"/>
    </row>
    <row r="8819" spans="1:1" x14ac:dyDescent="0.25">
      <c r="A8819" s="13"/>
    </row>
    <row r="8820" spans="1:1" x14ac:dyDescent="0.25">
      <c r="A8820" s="13"/>
    </row>
    <row r="8821" spans="1:1" x14ac:dyDescent="0.25">
      <c r="A8821" s="13"/>
    </row>
    <row r="8822" spans="1:1" x14ac:dyDescent="0.25">
      <c r="A8822" s="13"/>
    </row>
    <row r="8823" spans="1:1" x14ac:dyDescent="0.25">
      <c r="A8823" s="13"/>
    </row>
    <row r="8824" spans="1:1" x14ac:dyDescent="0.25">
      <c r="A8824" s="13"/>
    </row>
    <row r="8825" spans="1:1" x14ac:dyDescent="0.25">
      <c r="A8825" s="13"/>
    </row>
    <row r="8826" spans="1:1" x14ac:dyDescent="0.25">
      <c r="A8826" s="13"/>
    </row>
    <row r="8827" spans="1:1" x14ac:dyDescent="0.25">
      <c r="A8827" s="13"/>
    </row>
    <row r="8828" spans="1:1" x14ac:dyDescent="0.25">
      <c r="A8828" s="13"/>
    </row>
    <row r="8829" spans="1:1" x14ac:dyDescent="0.25">
      <c r="A8829" s="13"/>
    </row>
    <row r="8830" spans="1:1" x14ac:dyDescent="0.25">
      <c r="A8830" s="13"/>
    </row>
    <row r="8831" spans="1:1" x14ac:dyDescent="0.25">
      <c r="A8831" s="13"/>
    </row>
    <row r="8832" spans="1:1" x14ac:dyDescent="0.25">
      <c r="A8832" s="13"/>
    </row>
    <row r="8833" spans="1:1" x14ac:dyDescent="0.25">
      <c r="A8833" s="13"/>
    </row>
    <row r="8834" spans="1:1" x14ac:dyDescent="0.25">
      <c r="A8834" s="13"/>
    </row>
    <row r="8835" spans="1:1" x14ac:dyDescent="0.25">
      <c r="A8835" s="13"/>
    </row>
    <row r="8836" spans="1:1" x14ac:dyDescent="0.25">
      <c r="A8836" s="13"/>
    </row>
    <row r="8837" spans="1:1" x14ac:dyDescent="0.25">
      <c r="A8837" s="13"/>
    </row>
    <row r="8838" spans="1:1" x14ac:dyDescent="0.25">
      <c r="A8838" s="13"/>
    </row>
    <row r="8839" spans="1:1" x14ac:dyDescent="0.25">
      <c r="A8839" s="13"/>
    </row>
    <row r="8840" spans="1:1" x14ac:dyDescent="0.25">
      <c r="A8840" s="13"/>
    </row>
    <row r="8841" spans="1:1" x14ac:dyDescent="0.25">
      <c r="A8841" s="13"/>
    </row>
    <row r="8842" spans="1:1" x14ac:dyDescent="0.25">
      <c r="A8842" s="13"/>
    </row>
    <row r="8843" spans="1:1" x14ac:dyDescent="0.25">
      <c r="A8843" s="13"/>
    </row>
    <row r="8844" spans="1:1" x14ac:dyDescent="0.25">
      <c r="A8844" s="13"/>
    </row>
    <row r="8845" spans="1:1" x14ac:dyDescent="0.25">
      <c r="A8845" s="13"/>
    </row>
    <row r="8846" spans="1:1" x14ac:dyDescent="0.25">
      <c r="A8846" s="13"/>
    </row>
    <row r="8847" spans="1:1" x14ac:dyDescent="0.25">
      <c r="A8847" s="13"/>
    </row>
    <row r="8848" spans="1:1" x14ac:dyDescent="0.25">
      <c r="A8848" s="13"/>
    </row>
    <row r="8849" spans="1:1" x14ac:dyDescent="0.25">
      <c r="A8849" s="13"/>
    </row>
    <row r="8850" spans="1:1" x14ac:dyDescent="0.25">
      <c r="A8850" s="13"/>
    </row>
    <row r="8851" spans="1:1" x14ac:dyDescent="0.25">
      <c r="A8851" s="13"/>
    </row>
    <row r="8852" spans="1:1" x14ac:dyDescent="0.25">
      <c r="A8852" s="13"/>
    </row>
    <row r="8853" spans="1:1" x14ac:dyDescent="0.25">
      <c r="A8853" s="13"/>
    </row>
    <row r="8854" spans="1:1" x14ac:dyDescent="0.25">
      <c r="A8854" s="13"/>
    </row>
    <row r="8855" spans="1:1" x14ac:dyDescent="0.25">
      <c r="A8855" s="13"/>
    </row>
    <row r="8856" spans="1:1" x14ac:dyDescent="0.25">
      <c r="A8856" s="13"/>
    </row>
    <row r="8857" spans="1:1" x14ac:dyDescent="0.25">
      <c r="A8857" s="13"/>
    </row>
    <row r="8858" spans="1:1" x14ac:dyDescent="0.25">
      <c r="A8858" s="13"/>
    </row>
    <row r="8859" spans="1:1" x14ac:dyDescent="0.25">
      <c r="A8859" s="13"/>
    </row>
    <row r="8860" spans="1:1" x14ac:dyDescent="0.25">
      <c r="A8860" s="13"/>
    </row>
    <row r="8861" spans="1:1" x14ac:dyDescent="0.25">
      <c r="A8861" s="13"/>
    </row>
    <row r="8862" spans="1:1" x14ac:dyDescent="0.25">
      <c r="A8862" s="13"/>
    </row>
    <row r="8863" spans="1:1" x14ac:dyDescent="0.25">
      <c r="A8863" s="13"/>
    </row>
    <row r="8864" spans="1:1" x14ac:dyDescent="0.25">
      <c r="A8864" s="13"/>
    </row>
    <row r="8865" spans="1:1" x14ac:dyDescent="0.25">
      <c r="A8865" s="13"/>
    </row>
    <row r="8866" spans="1:1" x14ac:dyDescent="0.25">
      <c r="A8866" s="13"/>
    </row>
    <row r="8867" spans="1:1" x14ac:dyDescent="0.25">
      <c r="A8867" s="13"/>
    </row>
    <row r="8868" spans="1:1" x14ac:dyDescent="0.25">
      <c r="A8868" s="13"/>
    </row>
    <row r="8869" spans="1:1" x14ac:dyDescent="0.25">
      <c r="A8869" s="13"/>
    </row>
    <row r="8870" spans="1:1" x14ac:dyDescent="0.25">
      <c r="A8870" s="13"/>
    </row>
    <row r="8871" spans="1:1" x14ac:dyDescent="0.25">
      <c r="A8871" s="13"/>
    </row>
    <row r="8872" spans="1:1" x14ac:dyDescent="0.25">
      <c r="A8872" s="13"/>
    </row>
    <row r="8873" spans="1:1" x14ac:dyDescent="0.25">
      <c r="A8873" s="13"/>
    </row>
    <row r="8874" spans="1:1" x14ac:dyDescent="0.25">
      <c r="A8874" s="13"/>
    </row>
    <row r="8875" spans="1:1" x14ac:dyDescent="0.25">
      <c r="A8875" s="13"/>
    </row>
    <row r="8876" spans="1:1" x14ac:dyDescent="0.25">
      <c r="A8876" s="13"/>
    </row>
    <row r="8877" spans="1:1" x14ac:dyDescent="0.25">
      <c r="A8877" s="13"/>
    </row>
    <row r="8878" spans="1:1" x14ac:dyDescent="0.25">
      <c r="A8878" s="13"/>
    </row>
    <row r="8879" spans="1:1" x14ac:dyDescent="0.25">
      <c r="A8879" s="13"/>
    </row>
    <row r="8880" spans="1:1" x14ac:dyDescent="0.25">
      <c r="A8880" s="13"/>
    </row>
    <row r="8881" spans="1:1" x14ac:dyDescent="0.25">
      <c r="A8881" s="13"/>
    </row>
    <row r="8882" spans="1:1" x14ac:dyDescent="0.25">
      <c r="A8882" s="13"/>
    </row>
    <row r="8883" spans="1:1" x14ac:dyDescent="0.25">
      <c r="A8883" s="13"/>
    </row>
    <row r="8884" spans="1:1" x14ac:dyDescent="0.25">
      <c r="A8884" s="13"/>
    </row>
    <row r="8885" spans="1:1" x14ac:dyDescent="0.25">
      <c r="A8885" s="13"/>
    </row>
    <row r="8886" spans="1:1" x14ac:dyDescent="0.25">
      <c r="A8886" s="13"/>
    </row>
    <row r="8887" spans="1:1" x14ac:dyDescent="0.25">
      <c r="A8887" s="13"/>
    </row>
    <row r="8888" spans="1:1" x14ac:dyDescent="0.25">
      <c r="A8888" s="13"/>
    </row>
    <row r="8889" spans="1:1" x14ac:dyDescent="0.25">
      <c r="A8889" s="13"/>
    </row>
    <row r="8890" spans="1:1" x14ac:dyDescent="0.25">
      <c r="A8890" s="13"/>
    </row>
    <row r="8891" spans="1:1" x14ac:dyDescent="0.25">
      <c r="A8891" s="13"/>
    </row>
    <row r="8892" spans="1:1" x14ac:dyDescent="0.25">
      <c r="A8892" s="13"/>
    </row>
    <row r="8893" spans="1:1" x14ac:dyDescent="0.25">
      <c r="A8893" s="13"/>
    </row>
    <row r="8894" spans="1:1" x14ac:dyDescent="0.25">
      <c r="A8894" s="13"/>
    </row>
    <row r="8895" spans="1:1" x14ac:dyDescent="0.25">
      <c r="A8895" s="13"/>
    </row>
    <row r="8896" spans="1:1" x14ac:dyDescent="0.25">
      <c r="A8896" s="13"/>
    </row>
    <row r="8897" spans="1:1" x14ac:dyDescent="0.25">
      <c r="A8897" s="13"/>
    </row>
    <row r="8898" spans="1:1" x14ac:dyDescent="0.25">
      <c r="A8898" s="13"/>
    </row>
    <row r="8899" spans="1:1" x14ac:dyDescent="0.25">
      <c r="A8899" s="13"/>
    </row>
    <row r="8900" spans="1:1" x14ac:dyDescent="0.25">
      <c r="A8900" s="13"/>
    </row>
    <row r="8901" spans="1:1" x14ac:dyDescent="0.25">
      <c r="A8901" s="13"/>
    </row>
    <row r="8902" spans="1:1" x14ac:dyDescent="0.25">
      <c r="A8902" s="13"/>
    </row>
    <row r="8903" spans="1:1" x14ac:dyDescent="0.25">
      <c r="A8903" s="13"/>
    </row>
    <row r="8904" spans="1:1" x14ac:dyDescent="0.25">
      <c r="A8904" s="13"/>
    </row>
    <row r="8905" spans="1:1" x14ac:dyDescent="0.25">
      <c r="A8905" s="13"/>
    </row>
    <row r="8906" spans="1:1" x14ac:dyDescent="0.25">
      <c r="A8906" s="13"/>
    </row>
    <row r="8907" spans="1:1" x14ac:dyDescent="0.25">
      <c r="A8907" s="13"/>
    </row>
    <row r="8908" spans="1:1" x14ac:dyDescent="0.25">
      <c r="A8908" s="13"/>
    </row>
    <row r="8909" spans="1:1" x14ac:dyDescent="0.25">
      <c r="A8909" s="13"/>
    </row>
    <row r="8910" spans="1:1" x14ac:dyDescent="0.25">
      <c r="A8910" s="13"/>
    </row>
    <row r="8911" spans="1:1" x14ac:dyDescent="0.25">
      <c r="A8911" s="13"/>
    </row>
    <row r="8912" spans="1:1" x14ac:dyDescent="0.25">
      <c r="A8912" s="13"/>
    </row>
    <row r="8913" spans="1:1" x14ac:dyDescent="0.25">
      <c r="A8913" s="13"/>
    </row>
    <row r="8914" spans="1:1" x14ac:dyDescent="0.25">
      <c r="A8914" s="13"/>
    </row>
    <row r="8915" spans="1:1" x14ac:dyDescent="0.25">
      <c r="A8915" s="13"/>
    </row>
    <row r="8916" spans="1:1" x14ac:dyDescent="0.25">
      <c r="A8916" s="13"/>
    </row>
    <row r="8917" spans="1:1" x14ac:dyDescent="0.25">
      <c r="A8917" s="13"/>
    </row>
    <row r="8918" spans="1:1" x14ac:dyDescent="0.25">
      <c r="A8918" s="13"/>
    </row>
    <row r="8919" spans="1:1" x14ac:dyDescent="0.25">
      <c r="A8919" s="13"/>
    </row>
    <row r="8920" spans="1:1" x14ac:dyDescent="0.25">
      <c r="A8920" s="13"/>
    </row>
    <row r="8921" spans="1:1" x14ac:dyDescent="0.25">
      <c r="A8921" s="13"/>
    </row>
    <row r="8922" spans="1:1" x14ac:dyDescent="0.25">
      <c r="A8922" s="13"/>
    </row>
    <row r="8923" spans="1:1" x14ac:dyDescent="0.25">
      <c r="A8923" s="13"/>
    </row>
    <row r="8924" spans="1:1" x14ac:dyDescent="0.25">
      <c r="A8924" s="13"/>
    </row>
    <row r="8925" spans="1:1" x14ac:dyDescent="0.25">
      <c r="A8925" s="13"/>
    </row>
    <row r="8926" spans="1:1" x14ac:dyDescent="0.25">
      <c r="A8926" s="13"/>
    </row>
    <row r="8927" spans="1:1" x14ac:dyDescent="0.25">
      <c r="A8927" s="13"/>
    </row>
    <row r="8928" spans="1:1" x14ac:dyDescent="0.25">
      <c r="A8928" s="13"/>
    </row>
    <row r="8929" spans="1:1" x14ac:dyDescent="0.25">
      <c r="A8929" s="13"/>
    </row>
    <row r="8930" spans="1:1" x14ac:dyDescent="0.25">
      <c r="A8930" s="13"/>
    </row>
    <row r="8931" spans="1:1" x14ac:dyDescent="0.25">
      <c r="A8931" s="13"/>
    </row>
    <row r="8932" spans="1:1" x14ac:dyDescent="0.25">
      <c r="A8932" s="13"/>
    </row>
    <row r="8933" spans="1:1" x14ac:dyDescent="0.25">
      <c r="A8933" s="13"/>
    </row>
    <row r="8934" spans="1:1" x14ac:dyDescent="0.25">
      <c r="A8934" s="13"/>
    </row>
    <row r="8935" spans="1:1" x14ac:dyDescent="0.25">
      <c r="A8935" s="13"/>
    </row>
    <row r="8936" spans="1:1" x14ac:dyDescent="0.25">
      <c r="A8936" s="13"/>
    </row>
    <row r="8937" spans="1:1" x14ac:dyDescent="0.25">
      <c r="A8937" s="13"/>
    </row>
    <row r="8938" spans="1:1" x14ac:dyDescent="0.25">
      <c r="A8938" s="13"/>
    </row>
    <row r="8939" spans="1:1" x14ac:dyDescent="0.25">
      <c r="A8939" s="13"/>
    </row>
    <row r="8940" spans="1:1" x14ac:dyDescent="0.25">
      <c r="A8940" s="13"/>
    </row>
    <row r="8941" spans="1:1" x14ac:dyDescent="0.25">
      <c r="A8941" s="13"/>
    </row>
    <row r="8942" spans="1:1" x14ac:dyDescent="0.25">
      <c r="A8942" s="13"/>
    </row>
    <row r="8943" spans="1:1" x14ac:dyDescent="0.25">
      <c r="A8943" s="13"/>
    </row>
    <row r="8944" spans="1:1" x14ac:dyDescent="0.25">
      <c r="A8944" s="13"/>
    </row>
    <row r="8945" spans="1:1" x14ac:dyDescent="0.25">
      <c r="A8945" s="13"/>
    </row>
    <row r="8946" spans="1:1" x14ac:dyDescent="0.25">
      <c r="A8946" s="13"/>
    </row>
    <row r="8947" spans="1:1" x14ac:dyDescent="0.25">
      <c r="A8947" s="13"/>
    </row>
    <row r="8948" spans="1:1" x14ac:dyDescent="0.25">
      <c r="A8948" s="13"/>
    </row>
    <row r="8949" spans="1:1" x14ac:dyDescent="0.25">
      <c r="A8949" s="13"/>
    </row>
    <row r="8950" spans="1:1" x14ac:dyDescent="0.25">
      <c r="A8950" s="13"/>
    </row>
    <row r="8951" spans="1:1" x14ac:dyDescent="0.25">
      <c r="A8951" s="13"/>
    </row>
    <row r="8952" spans="1:1" x14ac:dyDescent="0.25">
      <c r="A8952" s="13"/>
    </row>
    <row r="8953" spans="1:1" x14ac:dyDescent="0.25">
      <c r="A8953" s="13"/>
    </row>
    <row r="8954" spans="1:1" x14ac:dyDescent="0.25">
      <c r="A8954" s="13"/>
    </row>
    <row r="8955" spans="1:1" x14ac:dyDescent="0.25">
      <c r="A8955" s="13"/>
    </row>
    <row r="8956" spans="1:1" x14ac:dyDescent="0.25">
      <c r="A8956" s="13"/>
    </row>
    <row r="8957" spans="1:1" x14ac:dyDescent="0.25">
      <c r="A8957" s="13"/>
    </row>
    <row r="8958" spans="1:1" x14ac:dyDescent="0.25">
      <c r="A8958" s="13"/>
    </row>
    <row r="8959" spans="1:1" x14ac:dyDescent="0.25">
      <c r="A8959" s="13"/>
    </row>
    <row r="8960" spans="1:1" x14ac:dyDescent="0.25">
      <c r="A8960" s="13"/>
    </row>
    <row r="8961" spans="1:1" x14ac:dyDescent="0.25">
      <c r="A8961" s="13"/>
    </row>
    <row r="8962" spans="1:1" x14ac:dyDescent="0.25">
      <c r="A8962" s="13"/>
    </row>
    <row r="8963" spans="1:1" x14ac:dyDescent="0.25">
      <c r="A8963" s="13"/>
    </row>
    <row r="8964" spans="1:1" x14ac:dyDescent="0.25">
      <c r="A8964" s="13"/>
    </row>
    <row r="8965" spans="1:1" x14ac:dyDescent="0.25">
      <c r="A8965" s="13"/>
    </row>
    <row r="8966" spans="1:1" x14ac:dyDescent="0.25">
      <c r="A8966" s="13"/>
    </row>
    <row r="8967" spans="1:1" x14ac:dyDescent="0.25">
      <c r="A8967" s="13"/>
    </row>
    <row r="8968" spans="1:1" x14ac:dyDescent="0.25">
      <c r="A8968" s="13"/>
    </row>
    <row r="8969" spans="1:1" x14ac:dyDescent="0.25">
      <c r="A8969" s="13"/>
    </row>
    <row r="8970" spans="1:1" x14ac:dyDescent="0.25">
      <c r="A8970" s="13"/>
    </row>
    <row r="8971" spans="1:1" x14ac:dyDescent="0.25">
      <c r="A8971" s="13"/>
    </row>
    <row r="8972" spans="1:1" x14ac:dyDescent="0.25">
      <c r="A8972" s="13"/>
    </row>
    <row r="8973" spans="1:1" x14ac:dyDescent="0.25">
      <c r="A8973" s="13"/>
    </row>
    <row r="8974" spans="1:1" x14ac:dyDescent="0.25">
      <c r="A8974" s="13"/>
    </row>
    <row r="8975" spans="1:1" x14ac:dyDescent="0.25">
      <c r="A8975" s="13"/>
    </row>
    <row r="8976" spans="1:1" x14ac:dyDescent="0.25">
      <c r="A8976" s="13"/>
    </row>
    <row r="8977" spans="1:1" x14ac:dyDescent="0.25">
      <c r="A8977" s="13"/>
    </row>
    <row r="8978" spans="1:1" x14ac:dyDescent="0.25">
      <c r="A8978" s="13"/>
    </row>
    <row r="8979" spans="1:1" x14ac:dyDescent="0.25">
      <c r="A8979" s="13"/>
    </row>
    <row r="8980" spans="1:1" x14ac:dyDescent="0.25">
      <c r="A8980" s="13"/>
    </row>
    <row r="8981" spans="1:1" x14ac:dyDescent="0.25">
      <c r="A8981" s="13"/>
    </row>
    <row r="8982" spans="1:1" x14ac:dyDescent="0.25">
      <c r="A8982" s="13"/>
    </row>
    <row r="8983" spans="1:1" x14ac:dyDescent="0.25">
      <c r="A8983" s="13"/>
    </row>
    <row r="8984" spans="1:1" x14ac:dyDescent="0.25">
      <c r="A8984" s="13"/>
    </row>
    <row r="8985" spans="1:1" x14ac:dyDescent="0.25">
      <c r="A8985" s="13"/>
    </row>
    <row r="8986" spans="1:1" x14ac:dyDescent="0.25">
      <c r="A8986" s="13"/>
    </row>
    <row r="8987" spans="1:1" x14ac:dyDescent="0.25">
      <c r="A8987" s="13"/>
    </row>
    <row r="8988" spans="1:1" x14ac:dyDescent="0.25">
      <c r="A8988" s="13"/>
    </row>
    <row r="8989" spans="1:1" x14ac:dyDescent="0.25">
      <c r="A8989" s="13"/>
    </row>
    <row r="8990" spans="1:1" x14ac:dyDescent="0.25">
      <c r="A8990" s="13"/>
    </row>
    <row r="8991" spans="1:1" x14ac:dyDescent="0.25">
      <c r="A8991" s="13"/>
    </row>
    <row r="8992" spans="1:1" x14ac:dyDescent="0.25">
      <c r="A8992" s="13"/>
    </row>
    <row r="8993" spans="1:1" x14ac:dyDescent="0.25">
      <c r="A8993" s="13"/>
    </row>
    <row r="8994" spans="1:1" x14ac:dyDescent="0.25">
      <c r="A8994" s="13"/>
    </row>
    <row r="8995" spans="1:1" x14ac:dyDescent="0.25">
      <c r="A8995" s="13"/>
    </row>
    <row r="8996" spans="1:1" x14ac:dyDescent="0.25">
      <c r="A8996" s="13"/>
    </row>
    <row r="8997" spans="1:1" x14ac:dyDescent="0.25">
      <c r="A8997" s="13"/>
    </row>
    <row r="8998" spans="1:1" x14ac:dyDescent="0.25">
      <c r="A8998" s="13"/>
    </row>
    <row r="8999" spans="1:1" x14ac:dyDescent="0.25">
      <c r="A8999" s="13"/>
    </row>
    <row r="9000" spans="1:1" x14ac:dyDescent="0.25">
      <c r="A9000" s="13"/>
    </row>
    <row r="9001" spans="1:1" x14ac:dyDescent="0.25">
      <c r="A9001" s="13"/>
    </row>
    <row r="9002" spans="1:1" x14ac:dyDescent="0.25">
      <c r="A9002" s="13"/>
    </row>
    <row r="9003" spans="1:1" x14ac:dyDescent="0.25">
      <c r="A9003" s="13"/>
    </row>
    <row r="9004" spans="1:1" x14ac:dyDescent="0.25">
      <c r="A9004" s="13"/>
    </row>
    <row r="9005" spans="1:1" x14ac:dyDescent="0.25">
      <c r="A9005" s="13"/>
    </row>
    <row r="9006" spans="1:1" x14ac:dyDescent="0.25">
      <c r="A9006" s="13"/>
    </row>
    <row r="9007" spans="1:1" x14ac:dyDescent="0.25">
      <c r="A9007" s="13"/>
    </row>
    <row r="9008" spans="1:1" x14ac:dyDescent="0.25">
      <c r="A9008" s="13"/>
    </row>
    <row r="9009" spans="1:1" x14ac:dyDescent="0.25">
      <c r="A9009" s="13"/>
    </row>
    <row r="9010" spans="1:1" x14ac:dyDescent="0.25">
      <c r="A9010" s="13"/>
    </row>
    <row r="9011" spans="1:1" x14ac:dyDescent="0.25">
      <c r="A9011" s="13"/>
    </row>
    <row r="9012" spans="1:1" x14ac:dyDescent="0.25">
      <c r="A9012" s="13"/>
    </row>
    <row r="9013" spans="1:1" x14ac:dyDescent="0.25">
      <c r="A9013" s="13"/>
    </row>
    <row r="9014" spans="1:1" x14ac:dyDescent="0.25">
      <c r="A9014" s="13"/>
    </row>
    <row r="9015" spans="1:1" x14ac:dyDescent="0.25">
      <c r="A9015" s="13"/>
    </row>
    <row r="9016" spans="1:1" x14ac:dyDescent="0.25">
      <c r="A9016" s="13"/>
    </row>
    <row r="9017" spans="1:1" x14ac:dyDescent="0.25">
      <c r="A9017" s="13"/>
    </row>
    <row r="9018" spans="1:1" x14ac:dyDescent="0.25">
      <c r="A9018" s="13"/>
    </row>
    <row r="9019" spans="1:1" x14ac:dyDescent="0.25">
      <c r="A9019" s="13"/>
    </row>
    <row r="9020" spans="1:1" x14ac:dyDescent="0.25">
      <c r="A9020" s="13"/>
    </row>
    <row r="9021" spans="1:1" x14ac:dyDescent="0.25">
      <c r="A9021" s="13"/>
    </row>
    <row r="9022" spans="1:1" x14ac:dyDescent="0.25">
      <c r="A9022" s="13"/>
    </row>
    <row r="9023" spans="1:1" x14ac:dyDescent="0.25">
      <c r="A9023" s="13"/>
    </row>
    <row r="9024" spans="1:1" x14ac:dyDescent="0.25">
      <c r="A9024" s="13"/>
    </row>
    <row r="9025" spans="1:1" x14ac:dyDescent="0.25">
      <c r="A9025" s="13"/>
    </row>
    <row r="9026" spans="1:1" x14ac:dyDescent="0.25">
      <c r="A9026" s="13"/>
    </row>
    <row r="9027" spans="1:1" x14ac:dyDescent="0.25">
      <c r="A9027" s="13"/>
    </row>
    <row r="9028" spans="1:1" x14ac:dyDescent="0.25">
      <c r="A9028" s="13"/>
    </row>
    <row r="9029" spans="1:1" x14ac:dyDescent="0.25">
      <c r="A9029" s="13"/>
    </row>
    <row r="9030" spans="1:1" x14ac:dyDescent="0.25">
      <c r="A9030" s="13"/>
    </row>
    <row r="9031" spans="1:1" x14ac:dyDescent="0.25">
      <c r="A9031" s="13"/>
    </row>
    <row r="9032" spans="1:1" x14ac:dyDescent="0.25">
      <c r="A9032" s="13"/>
    </row>
    <row r="9033" spans="1:1" x14ac:dyDescent="0.25">
      <c r="A9033" s="13"/>
    </row>
    <row r="9034" spans="1:1" x14ac:dyDescent="0.25">
      <c r="A9034" s="13"/>
    </row>
    <row r="9035" spans="1:1" x14ac:dyDescent="0.25">
      <c r="A9035" s="13"/>
    </row>
    <row r="9036" spans="1:1" x14ac:dyDescent="0.25">
      <c r="A9036" s="13"/>
    </row>
    <row r="9037" spans="1:1" x14ac:dyDescent="0.25">
      <c r="A9037" s="13"/>
    </row>
    <row r="9038" spans="1:1" x14ac:dyDescent="0.25">
      <c r="A9038" s="13"/>
    </row>
    <row r="9039" spans="1:1" x14ac:dyDescent="0.25">
      <c r="A9039" s="13"/>
    </row>
    <row r="9040" spans="1:1" x14ac:dyDescent="0.25">
      <c r="A9040" s="13"/>
    </row>
    <row r="9041" spans="1:1" x14ac:dyDescent="0.25">
      <c r="A9041" s="13"/>
    </row>
    <row r="9042" spans="1:1" x14ac:dyDescent="0.25">
      <c r="A9042" s="13"/>
    </row>
    <row r="9043" spans="1:1" x14ac:dyDescent="0.25">
      <c r="A9043" s="13"/>
    </row>
    <row r="9044" spans="1:1" x14ac:dyDescent="0.25">
      <c r="A9044" s="13"/>
    </row>
    <row r="9045" spans="1:1" x14ac:dyDescent="0.25">
      <c r="A9045" s="13"/>
    </row>
    <row r="9046" spans="1:1" x14ac:dyDescent="0.25">
      <c r="A9046" s="13"/>
    </row>
    <row r="9047" spans="1:1" x14ac:dyDescent="0.25">
      <c r="A9047" s="13"/>
    </row>
    <row r="9048" spans="1:1" x14ac:dyDescent="0.25">
      <c r="A9048" s="13"/>
    </row>
    <row r="9049" spans="1:1" x14ac:dyDescent="0.25">
      <c r="A9049" s="13"/>
    </row>
    <row r="9050" spans="1:1" x14ac:dyDescent="0.25">
      <c r="A9050" s="13"/>
    </row>
    <row r="9051" spans="1:1" x14ac:dyDescent="0.25">
      <c r="A9051" s="13"/>
    </row>
    <row r="9052" spans="1:1" x14ac:dyDescent="0.25">
      <c r="A9052" s="13"/>
    </row>
    <row r="9053" spans="1:1" x14ac:dyDescent="0.25">
      <c r="A9053" s="13"/>
    </row>
    <row r="9054" spans="1:1" x14ac:dyDescent="0.25">
      <c r="A9054" s="13"/>
    </row>
    <row r="9055" spans="1:1" x14ac:dyDescent="0.25">
      <c r="A9055" s="13"/>
    </row>
    <row r="9056" spans="1:1" x14ac:dyDescent="0.25">
      <c r="A9056" s="13"/>
    </row>
    <row r="9057" spans="1:1" x14ac:dyDescent="0.25">
      <c r="A9057" s="13"/>
    </row>
    <row r="9058" spans="1:1" x14ac:dyDescent="0.25">
      <c r="A9058" s="13"/>
    </row>
    <row r="9059" spans="1:1" x14ac:dyDescent="0.25">
      <c r="A9059" s="13"/>
    </row>
    <row r="9060" spans="1:1" x14ac:dyDescent="0.25">
      <c r="A9060" s="13"/>
    </row>
    <row r="9061" spans="1:1" x14ac:dyDescent="0.25">
      <c r="A9061" s="13"/>
    </row>
    <row r="9062" spans="1:1" x14ac:dyDescent="0.25">
      <c r="A9062" s="13"/>
    </row>
    <row r="9063" spans="1:1" x14ac:dyDescent="0.25">
      <c r="A9063" s="13"/>
    </row>
    <row r="9064" spans="1:1" x14ac:dyDescent="0.25">
      <c r="A9064" s="13"/>
    </row>
    <row r="9065" spans="1:1" x14ac:dyDescent="0.25">
      <c r="A9065" s="13"/>
    </row>
    <row r="9066" spans="1:1" x14ac:dyDescent="0.25">
      <c r="A9066" s="13"/>
    </row>
    <row r="9067" spans="1:1" x14ac:dyDescent="0.25">
      <c r="A9067" s="13"/>
    </row>
    <row r="9068" spans="1:1" x14ac:dyDescent="0.25">
      <c r="A9068" s="13"/>
    </row>
    <row r="9069" spans="1:1" x14ac:dyDescent="0.25">
      <c r="A9069" s="13"/>
    </row>
    <row r="9070" spans="1:1" x14ac:dyDescent="0.25">
      <c r="A9070" s="13"/>
    </row>
    <row r="9071" spans="1:1" x14ac:dyDescent="0.25">
      <c r="A9071" s="13"/>
    </row>
    <row r="9072" spans="1:1" x14ac:dyDescent="0.25">
      <c r="A9072" s="13"/>
    </row>
    <row r="9073" spans="1:1" x14ac:dyDescent="0.25">
      <c r="A9073" s="13"/>
    </row>
    <row r="9074" spans="1:1" x14ac:dyDescent="0.25">
      <c r="A9074" s="13"/>
    </row>
    <row r="9075" spans="1:1" x14ac:dyDescent="0.25">
      <c r="A9075" s="13"/>
    </row>
    <row r="9076" spans="1:1" x14ac:dyDescent="0.25">
      <c r="A9076" s="13"/>
    </row>
    <row r="9077" spans="1:1" x14ac:dyDescent="0.25">
      <c r="A9077" s="13"/>
    </row>
    <row r="9078" spans="1:1" x14ac:dyDescent="0.25">
      <c r="A9078" s="13"/>
    </row>
    <row r="9079" spans="1:1" x14ac:dyDescent="0.25">
      <c r="A9079" s="13"/>
    </row>
    <row r="9080" spans="1:1" x14ac:dyDescent="0.25">
      <c r="A9080" s="13"/>
    </row>
    <row r="9081" spans="1:1" x14ac:dyDescent="0.25">
      <c r="A9081" s="13"/>
    </row>
    <row r="9082" spans="1:1" x14ac:dyDescent="0.25">
      <c r="A9082" s="13"/>
    </row>
    <row r="9083" spans="1:1" x14ac:dyDescent="0.25">
      <c r="A9083" s="13"/>
    </row>
    <row r="9084" spans="1:1" x14ac:dyDescent="0.25">
      <c r="A9084" s="13"/>
    </row>
    <row r="9085" spans="1:1" x14ac:dyDescent="0.25">
      <c r="A9085" s="13"/>
    </row>
    <row r="9086" spans="1:1" x14ac:dyDescent="0.25">
      <c r="A9086" s="13"/>
    </row>
    <row r="9087" spans="1:1" x14ac:dyDescent="0.25">
      <c r="A9087" s="13"/>
    </row>
    <row r="9088" spans="1:1" x14ac:dyDescent="0.25">
      <c r="A9088" s="13"/>
    </row>
    <row r="9089" spans="1:1" x14ac:dyDescent="0.25">
      <c r="A9089" s="13"/>
    </row>
    <row r="9090" spans="1:1" x14ac:dyDescent="0.25">
      <c r="A9090" s="13"/>
    </row>
    <row r="9091" spans="1:1" x14ac:dyDescent="0.25">
      <c r="A9091" s="13"/>
    </row>
    <row r="9092" spans="1:1" x14ac:dyDescent="0.25">
      <c r="A9092" s="13"/>
    </row>
    <row r="9093" spans="1:1" x14ac:dyDescent="0.25">
      <c r="A9093" s="13"/>
    </row>
    <row r="9094" spans="1:1" x14ac:dyDescent="0.25">
      <c r="A9094" s="13"/>
    </row>
    <row r="9095" spans="1:1" x14ac:dyDescent="0.25">
      <c r="A9095" s="13"/>
    </row>
    <row r="9096" spans="1:1" x14ac:dyDescent="0.25">
      <c r="A9096" s="13"/>
    </row>
    <row r="9097" spans="1:1" x14ac:dyDescent="0.25">
      <c r="A9097" s="13"/>
    </row>
    <row r="9098" spans="1:1" x14ac:dyDescent="0.25">
      <c r="A9098" s="13"/>
    </row>
    <row r="9099" spans="1:1" x14ac:dyDescent="0.25">
      <c r="A9099" s="13"/>
    </row>
    <row r="9100" spans="1:1" x14ac:dyDescent="0.25">
      <c r="A9100" s="13"/>
    </row>
    <row r="9101" spans="1:1" x14ac:dyDescent="0.25">
      <c r="A9101" s="13"/>
    </row>
    <row r="9102" spans="1:1" x14ac:dyDescent="0.25">
      <c r="A9102" s="13"/>
    </row>
    <row r="9103" spans="1:1" x14ac:dyDescent="0.25">
      <c r="A9103" s="13"/>
    </row>
    <row r="9104" spans="1:1" x14ac:dyDescent="0.25">
      <c r="A9104" s="13"/>
    </row>
    <row r="9105" spans="1:1" x14ac:dyDescent="0.25">
      <c r="A9105" s="13"/>
    </row>
    <row r="9106" spans="1:1" x14ac:dyDescent="0.25">
      <c r="A9106" s="13"/>
    </row>
    <row r="9107" spans="1:1" x14ac:dyDescent="0.25">
      <c r="A9107" s="13"/>
    </row>
    <row r="9108" spans="1:1" x14ac:dyDescent="0.25">
      <c r="A9108" s="13"/>
    </row>
    <row r="9109" spans="1:1" x14ac:dyDescent="0.25">
      <c r="A9109" s="13"/>
    </row>
    <row r="9110" spans="1:1" x14ac:dyDescent="0.25">
      <c r="A9110" s="13"/>
    </row>
    <row r="9111" spans="1:1" x14ac:dyDescent="0.25">
      <c r="A9111" s="13"/>
    </row>
    <row r="9112" spans="1:1" x14ac:dyDescent="0.25">
      <c r="A9112" s="13"/>
    </row>
    <row r="9113" spans="1:1" x14ac:dyDescent="0.25">
      <c r="A9113" s="13"/>
    </row>
    <row r="9114" spans="1:1" x14ac:dyDescent="0.25">
      <c r="A9114" s="13"/>
    </row>
    <row r="9115" spans="1:1" x14ac:dyDescent="0.25">
      <c r="A9115" s="13"/>
    </row>
    <row r="9116" spans="1:1" x14ac:dyDescent="0.25">
      <c r="A9116" s="13"/>
    </row>
    <row r="9117" spans="1:1" x14ac:dyDescent="0.25">
      <c r="A9117" s="13"/>
    </row>
    <row r="9118" spans="1:1" x14ac:dyDescent="0.25">
      <c r="A9118" s="13"/>
    </row>
    <row r="9119" spans="1:1" x14ac:dyDescent="0.25">
      <c r="A9119" s="13"/>
    </row>
    <row r="9120" spans="1:1" x14ac:dyDescent="0.25">
      <c r="A9120" s="13"/>
    </row>
    <row r="9121" spans="1:1" x14ac:dyDescent="0.25">
      <c r="A9121" s="13"/>
    </row>
    <row r="9122" spans="1:1" x14ac:dyDescent="0.25">
      <c r="A9122" s="13"/>
    </row>
    <row r="9123" spans="1:1" x14ac:dyDescent="0.25">
      <c r="A9123" s="13"/>
    </row>
    <row r="9124" spans="1:1" x14ac:dyDescent="0.25">
      <c r="A9124" s="13"/>
    </row>
    <row r="9125" spans="1:1" x14ac:dyDescent="0.25">
      <c r="A9125" s="13"/>
    </row>
    <row r="9126" spans="1:1" x14ac:dyDescent="0.25">
      <c r="A9126" s="13"/>
    </row>
    <row r="9127" spans="1:1" x14ac:dyDescent="0.25">
      <c r="A9127" s="13"/>
    </row>
    <row r="9128" spans="1:1" x14ac:dyDescent="0.25">
      <c r="A9128" s="13"/>
    </row>
    <row r="9129" spans="1:1" x14ac:dyDescent="0.25">
      <c r="A9129" s="13"/>
    </row>
    <row r="9130" spans="1:1" x14ac:dyDescent="0.25">
      <c r="A9130" s="13"/>
    </row>
    <row r="9131" spans="1:1" x14ac:dyDescent="0.25">
      <c r="A9131" s="13"/>
    </row>
    <row r="9132" spans="1:1" x14ac:dyDescent="0.25">
      <c r="A9132" s="13"/>
    </row>
    <row r="9133" spans="1:1" x14ac:dyDescent="0.25">
      <c r="A9133" s="13"/>
    </row>
    <row r="9134" spans="1:1" x14ac:dyDescent="0.25">
      <c r="A9134" s="13"/>
    </row>
    <row r="9135" spans="1:1" x14ac:dyDescent="0.25">
      <c r="A9135" s="13"/>
    </row>
    <row r="9136" spans="1:1" x14ac:dyDescent="0.25">
      <c r="A9136" s="13"/>
    </row>
    <row r="9137" spans="1:1" x14ac:dyDescent="0.25">
      <c r="A9137" s="13"/>
    </row>
    <row r="9138" spans="1:1" x14ac:dyDescent="0.25">
      <c r="A9138" s="13"/>
    </row>
    <row r="9139" spans="1:1" x14ac:dyDescent="0.25">
      <c r="A9139" s="13"/>
    </row>
    <row r="9140" spans="1:1" x14ac:dyDescent="0.25">
      <c r="A9140" s="13"/>
    </row>
    <row r="9141" spans="1:1" x14ac:dyDescent="0.25">
      <c r="A9141" s="13"/>
    </row>
    <row r="9142" spans="1:1" x14ac:dyDescent="0.25">
      <c r="A9142" s="13"/>
    </row>
    <row r="9143" spans="1:1" x14ac:dyDescent="0.25">
      <c r="A9143" s="13"/>
    </row>
    <row r="9144" spans="1:1" x14ac:dyDescent="0.25">
      <c r="A9144" s="13"/>
    </row>
    <row r="9145" spans="1:1" x14ac:dyDescent="0.25">
      <c r="A9145" s="13"/>
    </row>
    <row r="9146" spans="1:1" x14ac:dyDescent="0.25">
      <c r="A9146" s="13"/>
    </row>
    <row r="9147" spans="1:1" x14ac:dyDescent="0.25">
      <c r="A9147" s="13"/>
    </row>
    <row r="9148" spans="1:1" x14ac:dyDescent="0.25">
      <c r="A9148" s="13"/>
    </row>
    <row r="9149" spans="1:1" x14ac:dyDescent="0.25">
      <c r="A9149" s="13"/>
    </row>
    <row r="9150" spans="1:1" x14ac:dyDescent="0.25">
      <c r="A9150" s="13"/>
    </row>
    <row r="9151" spans="1:1" x14ac:dyDescent="0.25">
      <c r="A9151" s="13"/>
    </row>
    <row r="9152" spans="1:1" x14ac:dyDescent="0.25">
      <c r="A9152" s="13"/>
    </row>
    <row r="9153" spans="1:1" x14ac:dyDescent="0.25">
      <c r="A9153" s="13"/>
    </row>
    <row r="9154" spans="1:1" x14ac:dyDescent="0.25">
      <c r="A9154" s="13"/>
    </row>
    <row r="9155" spans="1:1" x14ac:dyDescent="0.25">
      <c r="A9155" s="13"/>
    </row>
    <row r="9156" spans="1:1" x14ac:dyDescent="0.25">
      <c r="A9156" s="13"/>
    </row>
    <row r="9157" spans="1:1" x14ac:dyDescent="0.25">
      <c r="A9157" s="13"/>
    </row>
    <row r="9158" spans="1:1" x14ac:dyDescent="0.25">
      <c r="A9158" s="13"/>
    </row>
    <row r="9159" spans="1:1" x14ac:dyDescent="0.25">
      <c r="A9159" s="13"/>
    </row>
    <row r="9160" spans="1:1" x14ac:dyDescent="0.25">
      <c r="A9160" s="13"/>
    </row>
    <row r="9161" spans="1:1" x14ac:dyDescent="0.25">
      <c r="A9161" s="13"/>
    </row>
    <row r="9162" spans="1:1" x14ac:dyDescent="0.25">
      <c r="A9162" s="13"/>
    </row>
    <row r="9163" spans="1:1" x14ac:dyDescent="0.25">
      <c r="A9163" s="13"/>
    </row>
    <row r="9164" spans="1:1" x14ac:dyDescent="0.25">
      <c r="A9164" s="13"/>
    </row>
    <row r="9165" spans="1:1" x14ac:dyDescent="0.25">
      <c r="A9165" s="13"/>
    </row>
    <row r="9166" spans="1:1" x14ac:dyDescent="0.25">
      <c r="A9166" s="13"/>
    </row>
    <row r="9167" spans="1:1" x14ac:dyDescent="0.25">
      <c r="A9167" s="13"/>
    </row>
    <row r="9168" spans="1:1" x14ac:dyDescent="0.25">
      <c r="A9168" s="13"/>
    </row>
    <row r="9169" spans="1:1" x14ac:dyDescent="0.25">
      <c r="A9169" s="13"/>
    </row>
    <row r="9170" spans="1:1" x14ac:dyDescent="0.25">
      <c r="A9170" s="13"/>
    </row>
    <row r="9171" spans="1:1" x14ac:dyDescent="0.25">
      <c r="A9171" s="13"/>
    </row>
    <row r="9172" spans="1:1" x14ac:dyDescent="0.25">
      <c r="A9172" s="13"/>
    </row>
    <row r="9173" spans="1:1" x14ac:dyDescent="0.25">
      <c r="A9173" s="13"/>
    </row>
    <row r="9174" spans="1:1" x14ac:dyDescent="0.25">
      <c r="A9174" s="13"/>
    </row>
    <row r="9175" spans="1:1" x14ac:dyDescent="0.25">
      <c r="A9175" s="13"/>
    </row>
    <row r="9176" spans="1:1" x14ac:dyDescent="0.25">
      <c r="A9176" s="13"/>
    </row>
    <row r="9177" spans="1:1" x14ac:dyDescent="0.25">
      <c r="A9177" s="13"/>
    </row>
    <row r="9178" spans="1:1" x14ac:dyDescent="0.25">
      <c r="A9178" s="13"/>
    </row>
    <row r="9179" spans="1:1" x14ac:dyDescent="0.25">
      <c r="A9179" s="13"/>
    </row>
    <row r="9180" spans="1:1" x14ac:dyDescent="0.25">
      <c r="A9180" s="13"/>
    </row>
    <row r="9181" spans="1:1" x14ac:dyDescent="0.25">
      <c r="A9181" s="13"/>
    </row>
    <row r="9182" spans="1:1" x14ac:dyDescent="0.25">
      <c r="A9182" s="13"/>
    </row>
    <row r="9183" spans="1:1" x14ac:dyDescent="0.25">
      <c r="A9183" s="13"/>
    </row>
    <row r="9184" spans="1:1" x14ac:dyDescent="0.25">
      <c r="A9184" s="13"/>
    </row>
    <row r="9185" spans="1:1" x14ac:dyDescent="0.25">
      <c r="A9185" s="13"/>
    </row>
    <row r="9186" spans="1:1" x14ac:dyDescent="0.25">
      <c r="A9186" s="13"/>
    </row>
    <row r="9187" spans="1:1" x14ac:dyDescent="0.25">
      <c r="A9187" s="13"/>
    </row>
    <row r="9188" spans="1:1" x14ac:dyDescent="0.25">
      <c r="A9188" s="13"/>
    </row>
    <row r="9189" spans="1:1" x14ac:dyDescent="0.25">
      <c r="A9189" s="13"/>
    </row>
    <row r="9190" spans="1:1" x14ac:dyDescent="0.25">
      <c r="A9190" s="13"/>
    </row>
    <row r="9191" spans="1:1" x14ac:dyDescent="0.25">
      <c r="A9191" s="13"/>
    </row>
    <row r="9192" spans="1:1" x14ac:dyDescent="0.25">
      <c r="A9192" s="13"/>
    </row>
    <row r="9193" spans="1:1" x14ac:dyDescent="0.25">
      <c r="A9193" s="13"/>
    </row>
    <row r="9194" spans="1:1" x14ac:dyDescent="0.25">
      <c r="A9194" s="13"/>
    </row>
    <row r="9195" spans="1:1" x14ac:dyDescent="0.25">
      <c r="A9195" s="13"/>
    </row>
    <row r="9196" spans="1:1" x14ac:dyDescent="0.25">
      <c r="A9196" s="13"/>
    </row>
    <row r="9197" spans="1:1" x14ac:dyDescent="0.25">
      <c r="A9197" s="13"/>
    </row>
    <row r="9198" spans="1:1" x14ac:dyDescent="0.25">
      <c r="A9198" s="13"/>
    </row>
    <row r="9199" spans="1:1" x14ac:dyDescent="0.25">
      <c r="A9199" s="13"/>
    </row>
    <row r="9200" spans="1:1" x14ac:dyDescent="0.25">
      <c r="A9200" s="13"/>
    </row>
    <row r="9201" spans="1:1" x14ac:dyDescent="0.25">
      <c r="A9201" s="13"/>
    </row>
    <row r="9202" spans="1:1" x14ac:dyDescent="0.25">
      <c r="A9202" s="13"/>
    </row>
    <row r="9203" spans="1:1" x14ac:dyDescent="0.25">
      <c r="A9203" s="13"/>
    </row>
    <row r="9204" spans="1:1" x14ac:dyDescent="0.25">
      <c r="A9204" s="13"/>
    </row>
    <row r="9205" spans="1:1" x14ac:dyDescent="0.25">
      <c r="A9205" s="13"/>
    </row>
    <row r="9206" spans="1:1" x14ac:dyDescent="0.25">
      <c r="A9206" s="13"/>
    </row>
    <row r="9207" spans="1:1" x14ac:dyDescent="0.25">
      <c r="A9207" s="13"/>
    </row>
    <row r="9208" spans="1:1" x14ac:dyDescent="0.25">
      <c r="A9208" s="13"/>
    </row>
    <row r="9209" spans="1:1" x14ac:dyDescent="0.25">
      <c r="A9209" s="13"/>
    </row>
    <row r="9210" spans="1:1" x14ac:dyDescent="0.25">
      <c r="A9210" s="13"/>
    </row>
    <row r="9211" spans="1:1" x14ac:dyDescent="0.25">
      <c r="A9211" s="13"/>
    </row>
    <row r="9212" spans="1:1" x14ac:dyDescent="0.25">
      <c r="A9212" s="13"/>
    </row>
    <row r="9213" spans="1:1" x14ac:dyDescent="0.25">
      <c r="A9213" s="13"/>
    </row>
    <row r="9214" spans="1:1" x14ac:dyDescent="0.25">
      <c r="A9214" s="13"/>
    </row>
    <row r="9215" spans="1:1" x14ac:dyDescent="0.25">
      <c r="A9215" s="13"/>
    </row>
    <row r="9216" spans="1:1" x14ac:dyDescent="0.25">
      <c r="A9216" s="13"/>
    </row>
    <row r="9217" spans="1:1" x14ac:dyDescent="0.25">
      <c r="A9217" s="13"/>
    </row>
    <row r="9218" spans="1:1" x14ac:dyDescent="0.25">
      <c r="A9218" s="13"/>
    </row>
    <row r="9219" spans="1:1" x14ac:dyDescent="0.25">
      <c r="A9219" s="13"/>
    </row>
    <row r="9220" spans="1:1" x14ac:dyDescent="0.25">
      <c r="A9220" s="13"/>
    </row>
    <row r="9221" spans="1:1" x14ac:dyDescent="0.25">
      <c r="A9221" s="13"/>
    </row>
    <row r="9222" spans="1:1" x14ac:dyDescent="0.25">
      <c r="A9222" s="13"/>
    </row>
    <row r="9223" spans="1:1" x14ac:dyDescent="0.25">
      <c r="A9223" s="13"/>
    </row>
    <row r="9224" spans="1:1" x14ac:dyDescent="0.25">
      <c r="A9224" s="13"/>
    </row>
    <row r="9225" spans="1:1" x14ac:dyDescent="0.25">
      <c r="A9225" s="13"/>
    </row>
    <row r="9226" spans="1:1" x14ac:dyDescent="0.25">
      <c r="A9226" s="13"/>
    </row>
    <row r="9227" spans="1:1" x14ac:dyDescent="0.25">
      <c r="A9227" s="13"/>
    </row>
    <row r="9228" spans="1:1" x14ac:dyDescent="0.25">
      <c r="A9228" s="13"/>
    </row>
    <row r="9229" spans="1:1" x14ac:dyDescent="0.25">
      <c r="A9229" s="13"/>
    </row>
    <row r="9230" spans="1:1" x14ac:dyDescent="0.25">
      <c r="A9230" s="13"/>
    </row>
    <row r="9231" spans="1:1" x14ac:dyDescent="0.25">
      <c r="A9231" s="13"/>
    </row>
    <row r="9232" spans="1:1" x14ac:dyDescent="0.25">
      <c r="A9232" s="13"/>
    </row>
    <row r="9233" spans="1:1" x14ac:dyDescent="0.25">
      <c r="A9233" s="13"/>
    </row>
    <row r="9234" spans="1:1" x14ac:dyDescent="0.25">
      <c r="A9234" s="13"/>
    </row>
    <row r="9235" spans="1:1" x14ac:dyDescent="0.25">
      <c r="A9235" s="13"/>
    </row>
    <row r="9236" spans="1:1" x14ac:dyDescent="0.25">
      <c r="A9236" s="13"/>
    </row>
    <row r="9237" spans="1:1" x14ac:dyDescent="0.25">
      <c r="A9237" s="13"/>
    </row>
    <row r="9238" spans="1:1" x14ac:dyDescent="0.25">
      <c r="A9238" s="13"/>
    </row>
    <row r="9239" spans="1:1" x14ac:dyDescent="0.25">
      <c r="A9239" s="13"/>
    </row>
    <row r="9240" spans="1:1" x14ac:dyDescent="0.25">
      <c r="A9240" s="13"/>
    </row>
    <row r="9241" spans="1:1" x14ac:dyDescent="0.25">
      <c r="A9241" s="13"/>
    </row>
    <row r="9242" spans="1:1" x14ac:dyDescent="0.25">
      <c r="A9242" s="13"/>
    </row>
    <row r="9243" spans="1:1" x14ac:dyDescent="0.25">
      <c r="A9243" s="13"/>
    </row>
    <row r="9244" spans="1:1" x14ac:dyDescent="0.25">
      <c r="A9244" s="13"/>
    </row>
    <row r="9245" spans="1:1" x14ac:dyDescent="0.25">
      <c r="A9245" s="13"/>
    </row>
    <row r="9246" spans="1:1" x14ac:dyDescent="0.25">
      <c r="A9246" s="13"/>
    </row>
    <row r="9247" spans="1:1" x14ac:dyDescent="0.25">
      <c r="A9247" s="13"/>
    </row>
    <row r="9248" spans="1:1" x14ac:dyDescent="0.25">
      <c r="A9248" s="13"/>
    </row>
    <row r="9249" spans="1:1" x14ac:dyDescent="0.25">
      <c r="A9249" s="13"/>
    </row>
    <row r="9250" spans="1:1" x14ac:dyDescent="0.25">
      <c r="A9250" s="13"/>
    </row>
    <row r="9251" spans="1:1" x14ac:dyDescent="0.25">
      <c r="A9251" s="13"/>
    </row>
    <row r="9252" spans="1:1" x14ac:dyDescent="0.25">
      <c r="A9252" s="13"/>
    </row>
    <row r="9253" spans="1:1" x14ac:dyDescent="0.25">
      <c r="A9253" s="13"/>
    </row>
    <row r="9254" spans="1:1" x14ac:dyDescent="0.25">
      <c r="A9254" s="13"/>
    </row>
    <row r="9255" spans="1:1" x14ac:dyDescent="0.25">
      <c r="A9255" s="13"/>
    </row>
    <row r="9256" spans="1:1" x14ac:dyDescent="0.25">
      <c r="A9256" s="13"/>
    </row>
    <row r="9257" spans="1:1" x14ac:dyDescent="0.25">
      <c r="A9257" s="13"/>
    </row>
    <row r="9258" spans="1:1" x14ac:dyDescent="0.25">
      <c r="A9258" s="13"/>
    </row>
    <row r="9259" spans="1:1" x14ac:dyDescent="0.25">
      <c r="A9259" s="13"/>
    </row>
    <row r="9260" spans="1:1" x14ac:dyDescent="0.25">
      <c r="A9260" s="13"/>
    </row>
    <row r="9261" spans="1:1" x14ac:dyDescent="0.25">
      <c r="A9261" s="13"/>
    </row>
    <row r="9262" spans="1:1" x14ac:dyDescent="0.25">
      <c r="A9262" s="13"/>
    </row>
    <row r="9263" spans="1:1" x14ac:dyDescent="0.25">
      <c r="A9263" s="13"/>
    </row>
    <row r="9264" spans="1:1" x14ac:dyDescent="0.25">
      <c r="A9264" s="13"/>
    </row>
    <row r="9265" spans="1:1" x14ac:dyDescent="0.25">
      <c r="A9265" s="13"/>
    </row>
    <row r="9266" spans="1:1" x14ac:dyDescent="0.25">
      <c r="A9266" s="13"/>
    </row>
    <row r="9267" spans="1:1" x14ac:dyDescent="0.25">
      <c r="A9267" s="13"/>
    </row>
    <row r="9268" spans="1:1" x14ac:dyDescent="0.25">
      <c r="A9268" s="13"/>
    </row>
    <row r="9269" spans="1:1" x14ac:dyDescent="0.25">
      <c r="A9269" s="13"/>
    </row>
    <row r="9270" spans="1:1" x14ac:dyDescent="0.25">
      <c r="A9270" s="13"/>
    </row>
    <row r="9271" spans="1:1" x14ac:dyDescent="0.25">
      <c r="A9271" s="13"/>
    </row>
    <row r="9272" spans="1:1" x14ac:dyDescent="0.25">
      <c r="A9272" s="13"/>
    </row>
    <row r="9273" spans="1:1" x14ac:dyDescent="0.25">
      <c r="A9273" s="13"/>
    </row>
    <row r="9274" spans="1:1" x14ac:dyDescent="0.25">
      <c r="A9274" s="13"/>
    </row>
    <row r="9275" spans="1:1" x14ac:dyDescent="0.25">
      <c r="A9275" s="13"/>
    </row>
    <row r="9276" spans="1:1" x14ac:dyDescent="0.25">
      <c r="A9276" s="13"/>
    </row>
    <row r="9277" spans="1:1" x14ac:dyDescent="0.25">
      <c r="A9277" s="13"/>
    </row>
    <row r="9278" spans="1:1" x14ac:dyDescent="0.25">
      <c r="A9278" s="13"/>
    </row>
    <row r="9279" spans="1:1" x14ac:dyDescent="0.25">
      <c r="A9279" s="13"/>
    </row>
    <row r="9280" spans="1:1" x14ac:dyDescent="0.25">
      <c r="A9280" s="13"/>
    </row>
    <row r="9281" spans="1:1" x14ac:dyDescent="0.25">
      <c r="A9281" s="13"/>
    </row>
    <row r="9282" spans="1:1" x14ac:dyDescent="0.25">
      <c r="A9282" s="13"/>
    </row>
    <row r="9283" spans="1:1" x14ac:dyDescent="0.25">
      <c r="A9283" s="13"/>
    </row>
    <row r="9284" spans="1:1" x14ac:dyDescent="0.25">
      <c r="A9284" s="13"/>
    </row>
    <row r="9285" spans="1:1" x14ac:dyDescent="0.25">
      <c r="A9285" s="13"/>
    </row>
    <row r="9286" spans="1:1" x14ac:dyDescent="0.25">
      <c r="A9286" s="13"/>
    </row>
    <row r="9287" spans="1:1" x14ac:dyDescent="0.25">
      <c r="A9287" s="13"/>
    </row>
    <row r="9288" spans="1:1" x14ac:dyDescent="0.25">
      <c r="A9288" s="13"/>
    </row>
    <row r="9289" spans="1:1" x14ac:dyDescent="0.25">
      <c r="A9289" s="13"/>
    </row>
    <row r="9290" spans="1:1" x14ac:dyDescent="0.25">
      <c r="A9290" s="13"/>
    </row>
    <row r="9291" spans="1:1" x14ac:dyDescent="0.25">
      <c r="A9291" s="13"/>
    </row>
    <row r="9292" spans="1:1" x14ac:dyDescent="0.25">
      <c r="A9292" s="13"/>
    </row>
    <row r="9293" spans="1:1" x14ac:dyDescent="0.25">
      <c r="A9293" s="13"/>
    </row>
    <row r="9294" spans="1:1" x14ac:dyDescent="0.25">
      <c r="A9294" s="13"/>
    </row>
    <row r="9295" spans="1:1" x14ac:dyDescent="0.25">
      <c r="A9295" s="13"/>
    </row>
    <row r="9296" spans="1:1" x14ac:dyDescent="0.25">
      <c r="A9296" s="13"/>
    </row>
    <row r="9297" spans="1:1" x14ac:dyDescent="0.25">
      <c r="A9297" s="13"/>
    </row>
    <row r="9298" spans="1:1" x14ac:dyDescent="0.25">
      <c r="A9298" s="13"/>
    </row>
    <row r="9299" spans="1:1" x14ac:dyDescent="0.25">
      <c r="A9299" s="13"/>
    </row>
    <row r="9300" spans="1:1" x14ac:dyDescent="0.25">
      <c r="A9300" s="13"/>
    </row>
    <row r="9301" spans="1:1" x14ac:dyDescent="0.25">
      <c r="A9301" s="13"/>
    </row>
    <row r="9302" spans="1:1" x14ac:dyDescent="0.25">
      <c r="A9302" s="13"/>
    </row>
    <row r="9303" spans="1:1" x14ac:dyDescent="0.25">
      <c r="A9303" s="13"/>
    </row>
    <row r="9304" spans="1:1" x14ac:dyDescent="0.25">
      <c r="A9304" s="13"/>
    </row>
    <row r="9305" spans="1:1" x14ac:dyDescent="0.25">
      <c r="A9305" s="13"/>
    </row>
    <row r="9306" spans="1:1" x14ac:dyDescent="0.25">
      <c r="A9306" s="13"/>
    </row>
    <row r="9307" spans="1:1" x14ac:dyDescent="0.25">
      <c r="A9307" s="13"/>
    </row>
    <row r="9308" spans="1:1" x14ac:dyDescent="0.25">
      <c r="A9308" s="13"/>
    </row>
    <row r="9309" spans="1:1" x14ac:dyDescent="0.25">
      <c r="A9309" s="13"/>
    </row>
    <row r="9310" spans="1:1" x14ac:dyDescent="0.25">
      <c r="A9310" s="13"/>
    </row>
    <row r="9311" spans="1:1" x14ac:dyDescent="0.25">
      <c r="A9311" s="13"/>
    </row>
    <row r="9312" spans="1:1" x14ac:dyDescent="0.25">
      <c r="A9312" s="13"/>
    </row>
    <row r="9313" spans="1:1" x14ac:dyDescent="0.25">
      <c r="A9313" s="13"/>
    </row>
    <row r="9314" spans="1:1" x14ac:dyDescent="0.25">
      <c r="A9314" s="13"/>
    </row>
    <row r="9315" spans="1:1" x14ac:dyDescent="0.25">
      <c r="A9315" s="13"/>
    </row>
    <row r="9316" spans="1:1" x14ac:dyDescent="0.25">
      <c r="A9316" s="13"/>
    </row>
    <row r="9317" spans="1:1" x14ac:dyDescent="0.25">
      <c r="A9317" s="13"/>
    </row>
    <row r="9318" spans="1:1" x14ac:dyDescent="0.25">
      <c r="A9318" s="13"/>
    </row>
    <row r="9319" spans="1:1" x14ac:dyDescent="0.25">
      <c r="A9319" s="13"/>
    </row>
    <row r="9320" spans="1:1" x14ac:dyDescent="0.25">
      <c r="A9320" s="13"/>
    </row>
    <row r="9321" spans="1:1" x14ac:dyDescent="0.25">
      <c r="A9321" s="13"/>
    </row>
    <row r="9322" spans="1:1" x14ac:dyDescent="0.25">
      <c r="A9322" s="13"/>
    </row>
    <row r="9323" spans="1:1" x14ac:dyDescent="0.25">
      <c r="A9323" s="13"/>
    </row>
    <row r="9324" spans="1:1" x14ac:dyDescent="0.25">
      <c r="A9324" s="13"/>
    </row>
    <row r="9325" spans="1:1" x14ac:dyDescent="0.25">
      <c r="A9325" s="13"/>
    </row>
    <row r="9326" spans="1:1" x14ac:dyDescent="0.25">
      <c r="A9326" s="13"/>
    </row>
    <row r="9327" spans="1:1" x14ac:dyDescent="0.25">
      <c r="A9327" s="13"/>
    </row>
    <row r="9328" spans="1:1" x14ac:dyDescent="0.25">
      <c r="A9328" s="13"/>
    </row>
    <row r="9329" spans="1:1" x14ac:dyDescent="0.25">
      <c r="A9329" s="13"/>
    </row>
    <row r="9330" spans="1:1" x14ac:dyDescent="0.25">
      <c r="A9330" s="13"/>
    </row>
    <row r="9331" spans="1:1" x14ac:dyDescent="0.25">
      <c r="A9331" s="13"/>
    </row>
    <row r="9332" spans="1:1" x14ac:dyDescent="0.25">
      <c r="A9332" s="13"/>
    </row>
    <row r="9333" spans="1:1" x14ac:dyDescent="0.25">
      <c r="A9333" s="13"/>
    </row>
    <row r="9334" spans="1:1" x14ac:dyDescent="0.25">
      <c r="A9334" s="13"/>
    </row>
    <row r="9335" spans="1:1" x14ac:dyDescent="0.25">
      <c r="A9335" s="13"/>
    </row>
    <row r="9336" spans="1:1" x14ac:dyDescent="0.25">
      <c r="A9336" s="13"/>
    </row>
    <row r="9337" spans="1:1" x14ac:dyDescent="0.25">
      <c r="A9337" s="13"/>
    </row>
    <row r="9338" spans="1:1" x14ac:dyDescent="0.25">
      <c r="A9338" s="13"/>
    </row>
    <row r="9339" spans="1:1" x14ac:dyDescent="0.25">
      <c r="A9339" s="13"/>
    </row>
    <row r="9340" spans="1:1" x14ac:dyDescent="0.25">
      <c r="A9340" s="13"/>
    </row>
    <row r="9341" spans="1:1" x14ac:dyDescent="0.25">
      <c r="A9341" s="13"/>
    </row>
    <row r="9342" spans="1:1" x14ac:dyDescent="0.25">
      <c r="A9342" s="13"/>
    </row>
    <row r="9343" spans="1:1" x14ac:dyDescent="0.25">
      <c r="A9343" s="13"/>
    </row>
    <row r="9344" spans="1:1" x14ac:dyDescent="0.25">
      <c r="A9344" s="13"/>
    </row>
    <row r="9345" spans="1:1" x14ac:dyDescent="0.25">
      <c r="A9345" s="13"/>
    </row>
    <row r="9346" spans="1:1" x14ac:dyDescent="0.25">
      <c r="A9346" s="13"/>
    </row>
    <row r="9347" spans="1:1" x14ac:dyDescent="0.25">
      <c r="A9347" s="13"/>
    </row>
    <row r="9348" spans="1:1" x14ac:dyDescent="0.25">
      <c r="A9348" s="13"/>
    </row>
    <row r="9349" spans="1:1" x14ac:dyDescent="0.25">
      <c r="A9349" s="13"/>
    </row>
    <row r="9350" spans="1:1" x14ac:dyDescent="0.25">
      <c r="A9350" s="13"/>
    </row>
    <row r="9351" spans="1:1" x14ac:dyDescent="0.25">
      <c r="A9351" s="13"/>
    </row>
    <row r="9352" spans="1:1" x14ac:dyDescent="0.25">
      <c r="A9352" s="13"/>
    </row>
    <row r="9353" spans="1:1" x14ac:dyDescent="0.25">
      <c r="A9353" s="13"/>
    </row>
    <row r="9354" spans="1:1" x14ac:dyDescent="0.25">
      <c r="A9354" s="13"/>
    </row>
    <row r="9355" spans="1:1" x14ac:dyDescent="0.25">
      <c r="A9355" s="13"/>
    </row>
    <row r="9356" spans="1:1" x14ac:dyDescent="0.25">
      <c r="A9356" s="13"/>
    </row>
    <row r="9357" spans="1:1" x14ac:dyDescent="0.25">
      <c r="A9357" s="13"/>
    </row>
    <row r="9358" spans="1:1" x14ac:dyDescent="0.25">
      <c r="A9358" s="13"/>
    </row>
    <row r="9359" spans="1:1" x14ac:dyDescent="0.25">
      <c r="A9359" s="13"/>
    </row>
    <row r="9360" spans="1:1" x14ac:dyDescent="0.25">
      <c r="A9360" s="13"/>
    </row>
    <row r="9361" spans="1:1" x14ac:dyDescent="0.25">
      <c r="A9361" s="13"/>
    </row>
    <row r="9362" spans="1:1" x14ac:dyDescent="0.25">
      <c r="A9362" s="13"/>
    </row>
    <row r="9363" spans="1:1" x14ac:dyDescent="0.25">
      <c r="A9363" s="13"/>
    </row>
    <row r="9364" spans="1:1" x14ac:dyDescent="0.25">
      <c r="A9364" s="13"/>
    </row>
    <row r="9365" spans="1:1" x14ac:dyDescent="0.25">
      <c r="A9365" s="13"/>
    </row>
    <row r="9366" spans="1:1" x14ac:dyDescent="0.25">
      <c r="A9366" s="13"/>
    </row>
    <row r="9367" spans="1:1" x14ac:dyDescent="0.25">
      <c r="A9367" s="13"/>
    </row>
    <row r="9368" spans="1:1" x14ac:dyDescent="0.25">
      <c r="A9368" s="13"/>
    </row>
    <row r="9369" spans="1:1" x14ac:dyDescent="0.25">
      <c r="A9369" s="13"/>
    </row>
    <row r="9370" spans="1:1" x14ac:dyDescent="0.25">
      <c r="A9370" s="13"/>
    </row>
    <row r="9371" spans="1:1" x14ac:dyDescent="0.25">
      <c r="A9371" s="13"/>
    </row>
    <row r="9372" spans="1:1" x14ac:dyDescent="0.25">
      <c r="A9372" s="13"/>
    </row>
    <row r="9373" spans="1:1" x14ac:dyDescent="0.25">
      <c r="A9373" s="13"/>
    </row>
    <row r="9374" spans="1:1" x14ac:dyDescent="0.25">
      <c r="A9374" s="13"/>
    </row>
    <row r="9375" spans="1:1" x14ac:dyDescent="0.25">
      <c r="A9375" s="13"/>
    </row>
    <row r="9376" spans="1:1" x14ac:dyDescent="0.25">
      <c r="A9376" s="13"/>
    </row>
    <row r="9377" spans="1:1" x14ac:dyDescent="0.25">
      <c r="A9377" s="13"/>
    </row>
    <row r="9378" spans="1:1" x14ac:dyDescent="0.25">
      <c r="A9378" s="13"/>
    </row>
    <row r="9379" spans="1:1" x14ac:dyDescent="0.25">
      <c r="A9379" s="13"/>
    </row>
    <row r="9380" spans="1:1" x14ac:dyDescent="0.25">
      <c r="A9380" s="13"/>
    </row>
    <row r="9381" spans="1:1" x14ac:dyDescent="0.25">
      <c r="A9381" s="13"/>
    </row>
    <row r="9382" spans="1:1" x14ac:dyDescent="0.25">
      <c r="A9382" s="13"/>
    </row>
    <row r="9383" spans="1:1" x14ac:dyDescent="0.25">
      <c r="A9383" s="13"/>
    </row>
    <row r="9384" spans="1:1" x14ac:dyDescent="0.25">
      <c r="A9384" s="13"/>
    </row>
    <row r="9385" spans="1:1" x14ac:dyDescent="0.25">
      <c r="A9385" s="13"/>
    </row>
    <row r="9386" spans="1:1" x14ac:dyDescent="0.25">
      <c r="A9386" s="13"/>
    </row>
    <row r="9387" spans="1:1" x14ac:dyDescent="0.25">
      <c r="A9387" s="13"/>
    </row>
    <row r="9388" spans="1:1" x14ac:dyDescent="0.25">
      <c r="A9388" s="13"/>
    </row>
    <row r="9389" spans="1:1" x14ac:dyDescent="0.25">
      <c r="A9389" s="13"/>
    </row>
    <row r="9390" spans="1:1" x14ac:dyDescent="0.25">
      <c r="A9390" s="13"/>
    </row>
    <row r="9391" spans="1:1" x14ac:dyDescent="0.25">
      <c r="A9391" s="13"/>
    </row>
    <row r="9392" spans="1:1" x14ac:dyDescent="0.25">
      <c r="A9392" s="13"/>
    </row>
    <row r="9393" spans="1:1" x14ac:dyDescent="0.25">
      <c r="A9393" s="13"/>
    </row>
    <row r="9394" spans="1:1" x14ac:dyDescent="0.25">
      <c r="A9394" s="13"/>
    </row>
    <row r="9395" spans="1:1" x14ac:dyDescent="0.25">
      <c r="A9395" s="13"/>
    </row>
    <row r="9396" spans="1:1" x14ac:dyDescent="0.25">
      <c r="A9396" s="13"/>
    </row>
    <row r="9397" spans="1:1" x14ac:dyDescent="0.25">
      <c r="A9397" s="13"/>
    </row>
    <row r="9398" spans="1:1" x14ac:dyDescent="0.25">
      <c r="A9398" s="13"/>
    </row>
    <row r="9399" spans="1:1" x14ac:dyDescent="0.25">
      <c r="A9399" s="13"/>
    </row>
    <row r="9400" spans="1:1" x14ac:dyDescent="0.25">
      <c r="A9400" s="13"/>
    </row>
    <row r="9401" spans="1:1" x14ac:dyDescent="0.25">
      <c r="A9401" s="13"/>
    </row>
    <row r="9402" spans="1:1" x14ac:dyDescent="0.25">
      <c r="A9402" s="13"/>
    </row>
    <row r="9403" spans="1:1" x14ac:dyDescent="0.25">
      <c r="A9403" s="13"/>
    </row>
    <row r="9404" spans="1:1" x14ac:dyDescent="0.25">
      <c r="A9404" s="13"/>
    </row>
    <row r="9405" spans="1:1" x14ac:dyDescent="0.25">
      <c r="A9405" s="13"/>
    </row>
    <row r="9406" spans="1:1" x14ac:dyDescent="0.25">
      <c r="A9406" s="13"/>
    </row>
    <row r="9407" spans="1:1" x14ac:dyDescent="0.25">
      <c r="A9407" s="13"/>
    </row>
    <row r="9408" spans="1:1" x14ac:dyDescent="0.25">
      <c r="A9408" s="13"/>
    </row>
    <row r="9409" spans="1:1" x14ac:dyDescent="0.25">
      <c r="A9409" s="13"/>
    </row>
    <row r="9410" spans="1:1" x14ac:dyDescent="0.25">
      <c r="A9410" s="13"/>
    </row>
    <row r="9411" spans="1:1" x14ac:dyDescent="0.25">
      <c r="A9411" s="13"/>
    </row>
    <row r="9412" spans="1:1" x14ac:dyDescent="0.25">
      <c r="A9412" s="13"/>
    </row>
    <row r="9413" spans="1:1" x14ac:dyDescent="0.25">
      <c r="A9413" s="13"/>
    </row>
    <row r="9414" spans="1:1" x14ac:dyDescent="0.25">
      <c r="A9414" s="13"/>
    </row>
    <row r="9415" spans="1:1" x14ac:dyDescent="0.25">
      <c r="A9415" s="13"/>
    </row>
    <row r="9416" spans="1:1" x14ac:dyDescent="0.25">
      <c r="A9416" s="13"/>
    </row>
    <row r="9417" spans="1:1" x14ac:dyDescent="0.25">
      <c r="A9417" s="13"/>
    </row>
    <row r="9418" spans="1:1" x14ac:dyDescent="0.25">
      <c r="A9418" s="13"/>
    </row>
    <row r="9419" spans="1:1" x14ac:dyDescent="0.25">
      <c r="A9419" s="13"/>
    </row>
    <row r="9420" spans="1:1" x14ac:dyDescent="0.25">
      <c r="A9420" s="13"/>
    </row>
    <row r="9421" spans="1:1" x14ac:dyDescent="0.25">
      <c r="A9421" s="13"/>
    </row>
    <row r="9422" spans="1:1" x14ac:dyDescent="0.25">
      <c r="A9422" s="13"/>
    </row>
    <row r="9423" spans="1:1" x14ac:dyDescent="0.25">
      <c r="A9423" s="13"/>
    </row>
    <row r="9424" spans="1:1" x14ac:dyDescent="0.25">
      <c r="A9424" s="13"/>
    </row>
    <row r="9425" spans="1:1" x14ac:dyDescent="0.25">
      <c r="A9425" s="13"/>
    </row>
    <row r="9426" spans="1:1" x14ac:dyDescent="0.25">
      <c r="A9426" s="13"/>
    </row>
    <row r="9427" spans="1:1" x14ac:dyDescent="0.25">
      <c r="A9427" s="13"/>
    </row>
    <row r="9428" spans="1:1" x14ac:dyDescent="0.25">
      <c r="A9428" s="13"/>
    </row>
    <row r="9429" spans="1:1" x14ac:dyDescent="0.25">
      <c r="A9429" s="13"/>
    </row>
    <row r="9430" spans="1:1" x14ac:dyDescent="0.25">
      <c r="A9430" s="13"/>
    </row>
    <row r="9431" spans="1:1" x14ac:dyDescent="0.25">
      <c r="A9431" s="13"/>
    </row>
    <row r="9432" spans="1:1" x14ac:dyDescent="0.25">
      <c r="A9432" s="13"/>
    </row>
    <row r="9433" spans="1:1" x14ac:dyDescent="0.25">
      <c r="A9433" s="13"/>
    </row>
    <row r="9434" spans="1:1" x14ac:dyDescent="0.25">
      <c r="A9434" s="13"/>
    </row>
    <row r="9435" spans="1:1" x14ac:dyDescent="0.25">
      <c r="A9435" s="13"/>
    </row>
    <row r="9436" spans="1:1" x14ac:dyDescent="0.25">
      <c r="A9436" s="13"/>
    </row>
    <row r="9437" spans="1:1" x14ac:dyDescent="0.25">
      <c r="A9437" s="13"/>
    </row>
    <row r="9438" spans="1:1" x14ac:dyDescent="0.25">
      <c r="A9438" s="13"/>
    </row>
    <row r="9439" spans="1:1" x14ac:dyDescent="0.25">
      <c r="A9439" s="13"/>
    </row>
    <row r="9440" spans="1:1" x14ac:dyDescent="0.25">
      <c r="A9440" s="13"/>
    </row>
    <row r="9441" spans="1:1" x14ac:dyDescent="0.25">
      <c r="A9441" s="13"/>
    </row>
    <row r="9442" spans="1:1" x14ac:dyDescent="0.25">
      <c r="A9442" s="13"/>
    </row>
    <row r="9443" spans="1:1" x14ac:dyDescent="0.25">
      <c r="A9443" s="13"/>
    </row>
    <row r="9444" spans="1:1" x14ac:dyDescent="0.25">
      <c r="A9444" s="13"/>
    </row>
    <row r="9445" spans="1:1" x14ac:dyDescent="0.25">
      <c r="A9445" s="13"/>
    </row>
    <row r="9446" spans="1:1" x14ac:dyDescent="0.25">
      <c r="A9446" s="13"/>
    </row>
    <row r="9447" spans="1:1" x14ac:dyDescent="0.25">
      <c r="A9447" s="13"/>
    </row>
    <row r="9448" spans="1:1" x14ac:dyDescent="0.25">
      <c r="A9448" s="13"/>
    </row>
    <row r="9449" spans="1:1" x14ac:dyDescent="0.25">
      <c r="A9449" s="13"/>
    </row>
    <row r="9450" spans="1:1" x14ac:dyDescent="0.25">
      <c r="A9450" s="13"/>
    </row>
    <row r="9451" spans="1:1" x14ac:dyDescent="0.25">
      <c r="A9451" s="13"/>
    </row>
    <row r="9452" spans="1:1" x14ac:dyDescent="0.25">
      <c r="A9452" s="13"/>
    </row>
    <row r="9453" spans="1:1" x14ac:dyDescent="0.25">
      <c r="A9453" s="13"/>
    </row>
    <row r="9454" spans="1:1" x14ac:dyDescent="0.25">
      <c r="A9454" s="13"/>
    </row>
    <row r="9455" spans="1:1" x14ac:dyDescent="0.25">
      <c r="A9455" s="13"/>
    </row>
    <row r="9456" spans="1:1" x14ac:dyDescent="0.25">
      <c r="A9456" s="13"/>
    </row>
    <row r="9457" spans="1:1" x14ac:dyDescent="0.25">
      <c r="A9457" s="13"/>
    </row>
    <row r="9458" spans="1:1" x14ac:dyDescent="0.25">
      <c r="A9458" s="13"/>
    </row>
    <row r="9459" spans="1:1" x14ac:dyDescent="0.25">
      <c r="A9459" s="13"/>
    </row>
    <row r="9460" spans="1:1" x14ac:dyDescent="0.25">
      <c r="A9460" s="13"/>
    </row>
    <row r="9461" spans="1:1" x14ac:dyDescent="0.25">
      <c r="A9461" s="13"/>
    </row>
    <row r="9462" spans="1:1" x14ac:dyDescent="0.25">
      <c r="A9462" s="13"/>
    </row>
    <row r="9463" spans="1:1" x14ac:dyDescent="0.25">
      <c r="A9463" s="13"/>
    </row>
    <row r="9464" spans="1:1" x14ac:dyDescent="0.25">
      <c r="A9464" s="13"/>
    </row>
    <row r="9465" spans="1:1" x14ac:dyDescent="0.25">
      <c r="A9465" s="13"/>
    </row>
    <row r="9466" spans="1:1" x14ac:dyDescent="0.25">
      <c r="A9466" s="13"/>
    </row>
    <row r="9467" spans="1:1" x14ac:dyDescent="0.25">
      <c r="A9467" s="13"/>
    </row>
    <row r="9468" spans="1:1" x14ac:dyDescent="0.25">
      <c r="A9468" s="13"/>
    </row>
    <row r="9469" spans="1:1" x14ac:dyDescent="0.25">
      <c r="A9469" s="13"/>
    </row>
    <row r="9470" spans="1:1" x14ac:dyDescent="0.25">
      <c r="A9470" s="13"/>
    </row>
    <row r="9471" spans="1:1" x14ac:dyDescent="0.25">
      <c r="A9471" s="13"/>
    </row>
    <row r="9472" spans="1:1" x14ac:dyDescent="0.25">
      <c r="A9472" s="13"/>
    </row>
    <row r="9473" spans="1:1" x14ac:dyDescent="0.25">
      <c r="A9473" s="13"/>
    </row>
    <row r="9474" spans="1:1" x14ac:dyDescent="0.25">
      <c r="A9474" s="13"/>
    </row>
    <row r="9475" spans="1:1" x14ac:dyDescent="0.25">
      <c r="A9475" s="13"/>
    </row>
    <row r="9476" spans="1:1" x14ac:dyDescent="0.25">
      <c r="A9476" s="13"/>
    </row>
    <row r="9477" spans="1:1" x14ac:dyDescent="0.25">
      <c r="A9477" s="13"/>
    </row>
    <row r="9478" spans="1:1" x14ac:dyDescent="0.25">
      <c r="A9478" s="13"/>
    </row>
    <row r="9479" spans="1:1" x14ac:dyDescent="0.25">
      <c r="A9479" s="13"/>
    </row>
    <row r="9480" spans="1:1" x14ac:dyDescent="0.25">
      <c r="A9480" s="13"/>
    </row>
    <row r="9481" spans="1:1" x14ac:dyDescent="0.25">
      <c r="A9481" s="13"/>
    </row>
    <row r="9482" spans="1:1" x14ac:dyDescent="0.25">
      <c r="A9482" s="13"/>
    </row>
    <row r="9483" spans="1:1" x14ac:dyDescent="0.25">
      <c r="A9483" s="13"/>
    </row>
    <row r="9484" spans="1:1" x14ac:dyDescent="0.25">
      <c r="A9484" s="13"/>
    </row>
    <row r="9485" spans="1:1" x14ac:dyDescent="0.25">
      <c r="A9485" s="13"/>
    </row>
    <row r="9486" spans="1:1" x14ac:dyDescent="0.25">
      <c r="A9486" s="13"/>
    </row>
    <row r="9487" spans="1:1" x14ac:dyDescent="0.25">
      <c r="A9487" s="13"/>
    </row>
    <row r="9488" spans="1:1" x14ac:dyDescent="0.25">
      <c r="A9488" s="13"/>
    </row>
    <row r="9489" spans="1:1" x14ac:dyDescent="0.25">
      <c r="A9489" s="13"/>
    </row>
    <row r="9490" spans="1:1" x14ac:dyDescent="0.25">
      <c r="A9490" s="13"/>
    </row>
    <row r="9491" spans="1:1" x14ac:dyDescent="0.25">
      <c r="A9491" s="13"/>
    </row>
    <row r="9492" spans="1:1" x14ac:dyDescent="0.25">
      <c r="A9492" s="13"/>
    </row>
    <row r="9493" spans="1:1" x14ac:dyDescent="0.25">
      <c r="A9493" s="13"/>
    </row>
    <row r="9494" spans="1:1" x14ac:dyDescent="0.25">
      <c r="A9494" s="13"/>
    </row>
    <row r="9495" spans="1:1" x14ac:dyDescent="0.25">
      <c r="A9495" s="13"/>
    </row>
    <row r="9496" spans="1:1" x14ac:dyDescent="0.25">
      <c r="A9496" s="13"/>
    </row>
    <row r="9497" spans="1:1" x14ac:dyDescent="0.25">
      <c r="A9497" s="13"/>
    </row>
    <row r="9498" spans="1:1" x14ac:dyDescent="0.25">
      <c r="A9498" s="13"/>
    </row>
    <row r="9499" spans="1:1" x14ac:dyDescent="0.25">
      <c r="A9499" s="13"/>
    </row>
    <row r="9500" spans="1:1" x14ac:dyDescent="0.25">
      <c r="A9500" s="13"/>
    </row>
    <row r="9501" spans="1:1" x14ac:dyDescent="0.25">
      <c r="A9501" s="13"/>
    </row>
    <row r="9502" spans="1:1" x14ac:dyDescent="0.25">
      <c r="A9502" s="13"/>
    </row>
    <row r="9503" spans="1:1" x14ac:dyDescent="0.25">
      <c r="A9503" s="13"/>
    </row>
    <row r="9504" spans="1:1" x14ac:dyDescent="0.25">
      <c r="A9504" s="13"/>
    </row>
    <row r="9505" spans="1:1" x14ac:dyDescent="0.25">
      <c r="A9505" s="13"/>
    </row>
    <row r="9506" spans="1:1" x14ac:dyDescent="0.25">
      <c r="A9506" s="13"/>
    </row>
    <row r="9507" spans="1:1" x14ac:dyDescent="0.25">
      <c r="A9507" s="13"/>
    </row>
    <row r="9508" spans="1:1" x14ac:dyDescent="0.25">
      <c r="A9508" s="13"/>
    </row>
    <row r="9509" spans="1:1" x14ac:dyDescent="0.25">
      <c r="A9509" s="13"/>
    </row>
    <row r="9510" spans="1:1" x14ac:dyDescent="0.25">
      <c r="A9510" s="13"/>
    </row>
    <row r="9511" spans="1:1" x14ac:dyDescent="0.25">
      <c r="A9511" s="13"/>
    </row>
    <row r="9512" spans="1:1" x14ac:dyDescent="0.25">
      <c r="A9512" s="13"/>
    </row>
    <row r="9513" spans="1:1" x14ac:dyDescent="0.25">
      <c r="A9513" s="13"/>
    </row>
    <row r="9514" spans="1:1" x14ac:dyDescent="0.25">
      <c r="A9514" s="13"/>
    </row>
    <row r="9515" spans="1:1" x14ac:dyDescent="0.25">
      <c r="A9515" s="13"/>
    </row>
    <row r="9516" spans="1:1" x14ac:dyDescent="0.25">
      <c r="A9516" s="13"/>
    </row>
    <row r="9517" spans="1:1" x14ac:dyDescent="0.25">
      <c r="A9517" s="13"/>
    </row>
    <row r="9518" spans="1:1" x14ac:dyDescent="0.25">
      <c r="A9518" s="13"/>
    </row>
    <row r="9519" spans="1:1" x14ac:dyDescent="0.25">
      <c r="A9519" s="13"/>
    </row>
    <row r="9520" spans="1:1" x14ac:dyDescent="0.25">
      <c r="A9520" s="13"/>
    </row>
    <row r="9521" spans="1:1" x14ac:dyDescent="0.25">
      <c r="A9521" s="13"/>
    </row>
    <row r="9522" spans="1:1" x14ac:dyDescent="0.25">
      <c r="A9522" s="13"/>
    </row>
    <row r="9523" spans="1:1" x14ac:dyDescent="0.25">
      <c r="A9523" s="13"/>
    </row>
    <row r="9524" spans="1:1" x14ac:dyDescent="0.25">
      <c r="A9524" s="13"/>
    </row>
    <row r="9525" spans="1:1" x14ac:dyDescent="0.25">
      <c r="A9525" s="13"/>
    </row>
    <row r="9526" spans="1:1" x14ac:dyDescent="0.25">
      <c r="A9526" s="13"/>
    </row>
    <row r="9527" spans="1:1" x14ac:dyDescent="0.25">
      <c r="A9527" s="13"/>
    </row>
    <row r="9528" spans="1:1" x14ac:dyDescent="0.25">
      <c r="A9528" s="13"/>
    </row>
    <row r="9529" spans="1:1" x14ac:dyDescent="0.25">
      <c r="A9529" s="13"/>
    </row>
    <row r="9530" spans="1:1" x14ac:dyDescent="0.25">
      <c r="A9530" s="13"/>
    </row>
    <row r="9531" spans="1:1" x14ac:dyDescent="0.25">
      <c r="A9531" s="13"/>
    </row>
    <row r="9532" spans="1:1" x14ac:dyDescent="0.25">
      <c r="A9532" s="13"/>
    </row>
    <row r="9533" spans="1:1" x14ac:dyDescent="0.25">
      <c r="A9533" s="13"/>
    </row>
    <row r="9534" spans="1:1" x14ac:dyDescent="0.25">
      <c r="A9534" s="13"/>
    </row>
    <row r="9535" spans="1:1" x14ac:dyDescent="0.25">
      <c r="A9535" s="13"/>
    </row>
    <row r="9536" spans="1:1" x14ac:dyDescent="0.25">
      <c r="A9536" s="13"/>
    </row>
    <row r="9537" spans="1:1" x14ac:dyDescent="0.25">
      <c r="A9537" s="13"/>
    </row>
    <row r="9538" spans="1:1" x14ac:dyDescent="0.25">
      <c r="A9538" s="13"/>
    </row>
    <row r="9539" spans="1:1" x14ac:dyDescent="0.25">
      <c r="A9539" s="13"/>
    </row>
    <row r="9540" spans="1:1" x14ac:dyDescent="0.25">
      <c r="A9540" s="13"/>
    </row>
    <row r="9541" spans="1:1" x14ac:dyDescent="0.25">
      <c r="A9541" s="13"/>
    </row>
    <row r="9542" spans="1:1" x14ac:dyDescent="0.25">
      <c r="A9542" s="13"/>
    </row>
    <row r="9543" spans="1:1" x14ac:dyDescent="0.25">
      <c r="A9543" s="13"/>
    </row>
    <row r="9544" spans="1:1" x14ac:dyDescent="0.25">
      <c r="A9544" s="13"/>
    </row>
    <row r="9545" spans="1:1" x14ac:dyDescent="0.25">
      <c r="A9545" s="13"/>
    </row>
    <row r="9546" spans="1:1" x14ac:dyDescent="0.25">
      <c r="A9546" s="13"/>
    </row>
    <row r="9547" spans="1:1" x14ac:dyDescent="0.25">
      <c r="A9547" s="13"/>
    </row>
    <row r="9548" spans="1:1" x14ac:dyDescent="0.25">
      <c r="A9548" s="13"/>
    </row>
    <row r="9549" spans="1:1" x14ac:dyDescent="0.25">
      <c r="A9549" s="13"/>
    </row>
    <row r="9550" spans="1:1" x14ac:dyDescent="0.25">
      <c r="A9550" s="13"/>
    </row>
    <row r="9551" spans="1:1" x14ac:dyDescent="0.25">
      <c r="A9551" s="13"/>
    </row>
    <row r="9552" spans="1:1" x14ac:dyDescent="0.25">
      <c r="A9552" s="13"/>
    </row>
    <row r="9553" spans="1:1" x14ac:dyDescent="0.25">
      <c r="A9553" s="13"/>
    </row>
    <row r="9554" spans="1:1" x14ac:dyDescent="0.25">
      <c r="A9554" s="13"/>
    </row>
    <row r="9555" spans="1:1" x14ac:dyDescent="0.25">
      <c r="A9555" s="13"/>
    </row>
    <row r="9556" spans="1:1" x14ac:dyDescent="0.25">
      <c r="A9556" s="13"/>
    </row>
    <row r="9557" spans="1:1" x14ac:dyDescent="0.25">
      <c r="A9557" s="13"/>
    </row>
    <row r="9558" spans="1:1" x14ac:dyDescent="0.25">
      <c r="A9558" s="13"/>
    </row>
    <row r="9559" spans="1:1" x14ac:dyDescent="0.25">
      <c r="A9559" s="13"/>
    </row>
    <row r="9560" spans="1:1" x14ac:dyDescent="0.25">
      <c r="A9560" s="13"/>
    </row>
    <row r="9561" spans="1:1" x14ac:dyDescent="0.25">
      <c r="A9561" s="13"/>
    </row>
    <row r="9562" spans="1:1" x14ac:dyDescent="0.25">
      <c r="A9562" s="13"/>
    </row>
    <row r="9563" spans="1:1" x14ac:dyDescent="0.25">
      <c r="A9563" s="13"/>
    </row>
    <row r="9564" spans="1:1" x14ac:dyDescent="0.25">
      <c r="A9564" s="13"/>
    </row>
    <row r="9565" spans="1:1" x14ac:dyDescent="0.25">
      <c r="A9565" s="13"/>
    </row>
    <row r="9566" spans="1:1" x14ac:dyDescent="0.25">
      <c r="A9566" s="13"/>
    </row>
    <row r="9567" spans="1:1" x14ac:dyDescent="0.25">
      <c r="A9567" s="13"/>
    </row>
    <row r="9568" spans="1:1" x14ac:dyDescent="0.25">
      <c r="A9568" s="13"/>
    </row>
    <row r="9569" spans="1:1" x14ac:dyDescent="0.25">
      <c r="A9569" s="13"/>
    </row>
    <row r="9570" spans="1:1" x14ac:dyDescent="0.25">
      <c r="A9570" s="13"/>
    </row>
    <row r="9571" spans="1:1" x14ac:dyDescent="0.25">
      <c r="A9571" s="13"/>
    </row>
    <row r="9572" spans="1:1" x14ac:dyDescent="0.25">
      <c r="A9572" s="13"/>
    </row>
    <row r="9573" spans="1:1" x14ac:dyDescent="0.25">
      <c r="A9573" s="13"/>
    </row>
    <row r="9574" spans="1:1" x14ac:dyDescent="0.25">
      <c r="A9574" s="13"/>
    </row>
    <row r="9575" spans="1:1" x14ac:dyDescent="0.25">
      <c r="A9575" s="13"/>
    </row>
    <row r="9576" spans="1:1" x14ac:dyDescent="0.25">
      <c r="A9576" s="13"/>
    </row>
    <row r="9577" spans="1:1" x14ac:dyDescent="0.25">
      <c r="A9577" s="13"/>
    </row>
    <row r="9578" spans="1:1" x14ac:dyDescent="0.25">
      <c r="A9578" s="13"/>
    </row>
    <row r="9579" spans="1:1" x14ac:dyDescent="0.25">
      <c r="A9579" s="13"/>
    </row>
    <row r="9580" spans="1:1" x14ac:dyDescent="0.25">
      <c r="A9580" s="13"/>
    </row>
    <row r="9581" spans="1:1" x14ac:dyDescent="0.25">
      <c r="A9581" s="13"/>
    </row>
    <row r="9582" spans="1:1" x14ac:dyDescent="0.25">
      <c r="A9582" s="13"/>
    </row>
    <row r="9583" spans="1:1" x14ac:dyDescent="0.25">
      <c r="A9583" s="13"/>
    </row>
    <row r="9584" spans="1:1" x14ac:dyDescent="0.25">
      <c r="A9584" s="13"/>
    </row>
    <row r="9585" spans="1:1" x14ac:dyDescent="0.25">
      <c r="A9585" s="13"/>
    </row>
    <row r="9586" spans="1:1" x14ac:dyDescent="0.25">
      <c r="A9586" s="13"/>
    </row>
    <row r="9587" spans="1:1" x14ac:dyDescent="0.25">
      <c r="A9587" s="13"/>
    </row>
    <row r="9588" spans="1:1" x14ac:dyDescent="0.25">
      <c r="A9588" s="13"/>
    </row>
    <row r="9589" spans="1:1" x14ac:dyDescent="0.25">
      <c r="A9589" s="13"/>
    </row>
    <row r="9590" spans="1:1" x14ac:dyDescent="0.25">
      <c r="A9590" s="13"/>
    </row>
    <row r="9591" spans="1:1" x14ac:dyDescent="0.25">
      <c r="A9591" s="13"/>
    </row>
    <row r="9592" spans="1:1" x14ac:dyDescent="0.25">
      <c r="A9592" s="13"/>
    </row>
    <row r="9593" spans="1:1" x14ac:dyDescent="0.25">
      <c r="A9593" s="13"/>
    </row>
    <row r="9594" spans="1:1" x14ac:dyDescent="0.25">
      <c r="A9594" s="13"/>
    </row>
    <row r="9595" spans="1:1" x14ac:dyDescent="0.25">
      <c r="A9595" s="13"/>
    </row>
    <row r="9596" spans="1:1" x14ac:dyDescent="0.25">
      <c r="A9596" s="13"/>
    </row>
    <row r="9597" spans="1:1" x14ac:dyDescent="0.25">
      <c r="A9597" s="13"/>
    </row>
    <row r="9598" spans="1:1" x14ac:dyDescent="0.25">
      <c r="A9598" s="13"/>
    </row>
    <row r="9599" spans="1:1" x14ac:dyDescent="0.25">
      <c r="A9599" s="13"/>
    </row>
    <row r="9600" spans="1:1" x14ac:dyDescent="0.25">
      <c r="A9600" s="13"/>
    </row>
    <row r="9601" spans="1:1" x14ac:dyDescent="0.25">
      <c r="A9601" s="13"/>
    </row>
    <row r="9602" spans="1:1" x14ac:dyDescent="0.25">
      <c r="A9602" s="13"/>
    </row>
    <row r="9603" spans="1:1" x14ac:dyDescent="0.25">
      <c r="A9603" s="13"/>
    </row>
    <row r="9604" spans="1:1" x14ac:dyDescent="0.25">
      <c r="A9604" s="13"/>
    </row>
    <row r="9605" spans="1:1" x14ac:dyDescent="0.25">
      <c r="A9605" s="13"/>
    </row>
    <row r="9606" spans="1:1" x14ac:dyDescent="0.25">
      <c r="A9606" s="13"/>
    </row>
    <row r="9607" spans="1:1" x14ac:dyDescent="0.25">
      <c r="A9607" s="13"/>
    </row>
    <row r="9608" spans="1:1" x14ac:dyDescent="0.25">
      <c r="A9608" s="13"/>
    </row>
    <row r="9609" spans="1:1" x14ac:dyDescent="0.25">
      <c r="A9609" s="13"/>
    </row>
    <row r="9610" spans="1:1" x14ac:dyDescent="0.25">
      <c r="A9610" s="13"/>
    </row>
    <row r="9611" spans="1:1" x14ac:dyDescent="0.25">
      <c r="A9611" s="13"/>
    </row>
    <row r="9612" spans="1:1" x14ac:dyDescent="0.25">
      <c r="A9612" s="13"/>
    </row>
    <row r="9613" spans="1:1" x14ac:dyDescent="0.25">
      <c r="A9613" s="13"/>
    </row>
    <row r="9614" spans="1:1" x14ac:dyDescent="0.25">
      <c r="A9614" s="13"/>
    </row>
    <row r="9615" spans="1:1" x14ac:dyDescent="0.25">
      <c r="A9615" s="13"/>
    </row>
    <row r="9616" spans="1:1" x14ac:dyDescent="0.25">
      <c r="A9616" s="13"/>
    </row>
    <row r="9617" spans="1:1" x14ac:dyDescent="0.25">
      <c r="A9617" s="13"/>
    </row>
    <row r="9618" spans="1:1" x14ac:dyDescent="0.25">
      <c r="A9618" s="13"/>
    </row>
    <row r="9619" spans="1:1" x14ac:dyDescent="0.25">
      <c r="A9619" s="13"/>
    </row>
    <row r="9620" spans="1:1" x14ac:dyDescent="0.25">
      <c r="A9620" s="13"/>
    </row>
    <row r="9621" spans="1:1" x14ac:dyDescent="0.25">
      <c r="A9621" s="13"/>
    </row>
    <row r="9622" spans="1:1" x14ac:dyDescent="0.25">
      <c r="A9622" s="13"/>
    </row>
    <row r="9623" spans="1:1" x14ac:dyDescent="0.25">
      <c r="A9623" s="13"/>
    </row>
    <row r="9624" spans="1:1" x14ac:dyDescent="0.25">
      <c r="A9624" s="13"/>
    </row>
    <row r="9625" spans="1:1" x14ac:dyDescent="0.25">
      <c r="A9625" s="13"/>
    </row>
    <row r="9626" spans="1:1" x14ac:dyDescent="0.25">
      <c r="A9626" s="13"/>
    </row>
    <row r="9627" spans="1:1" x14ac:dyDescent="0.25">
      <c r="A9627" s="13"/>
    </row>
    <row r="9628" spans="1:1" x14ac:dyDescent="0.25">
      <c r="A9628" s="13"/>
    </row>
    <row r="9629" spans="1:1" x14ac:dyDescent="0.25">
      <c r="A9629" s="13"/>
    </row>
    <row r="9630" spans="1:1" x14ac:dyDescent="0.25">
      <c r="A9630" s="13"/>
    </row>
    <row r="9631" spans="1:1" x14ac:dyDescent="0.25">
      <c r="A9631" s="13"/>
    </row>
    <row r="9632" spans="1:1" x14ac:dyDescent="0.25">
      <c r="A9632" s="13"/>
    </row>
    <row r="9633" spans="1:1" x14ac:dyDescent="0.25">
      <c r="A9633" s="13"/>
    </row>
    <row r="9634" spans="1:1" x14ac:dyDescent="0.25">
      <c r="A9634" s="13"/>
    </row>
    <row r="9635" spans="1:1" x14ac:dyDescent="0.25">
      <c r="A9635" s="13"/>
    </row>
    <row r="9636" spans="1:1" x14ac:dyDescent="0.25">
      <c r="A9636" s="13"/>
    </row>
    <row r="9637" spans="1:1" x14ac:dyDescent="0.25">
      <c r="A9637" s="13"/>
    </row>
    <row r="9638" spans="1:1" x14ac:dyDescent="0.25">
      <c r="A9638" s="13"/>
    </row>
    <row r="9639" spans="1:1" x14ac:dyDescent="0.25">
      <c r="A9639" s="13"/>
    </row>
    <row r="9640" spans="1:1" x14ac:dyDescent="0.25">
      <c r="A9640" s="13"/>
    </row>
    <row r="9641" spans="1:1" x14ac:dyDescent="0.25">
      <c r="A9641" s="13"/>
    </row>
    <row r="9642" spans="1:1" x14ac:dyDescent="0.25">
      <c r="A9642" s="13"/>
    </row>
    <row r="9643" spans="1:1" x14ac:dyDescent="0.25">
      <c r="A9643" s="13"/>
    </row>
    <row r="9644" spans="1:1" x14ac:dyDescent="0.25">
      <c r="A9644" s="13"/>
    </row>
    <row r="9645" spans="1:1" x14ac:dyDescent="0.25">
      <c r="A9645" s="13"/>
    </row>
    <row r="9646" spans="1:1" x14ac:dyDescent="0.25">
      <c r="A9646" s="13"/>
    </row>
    <row r="9647" spans="1:1" x14ac:dyDescent="0.25">
      <c r="A9647" s="13"/>
    </row>
    <row r="9648" spans="1:1" x14ac:dyDescent="0.25">
      <c r="A9648" s="13"/>
    </row>
    <row r="9649" spans="1:1" x14ac:dyDescent="0.25">
      <c r="A9649" s="13"/>
    </row>
    <row r="9650" spans="1:1" x14ac:dyDescent="0.25">
      <c r="A9650" s="13"/>
    </row>
    <row r="9651" spans="1:1" x14ac:dyDescent="0.25">
      <c r="A9651" s="13"/>
    </row>
    <row r="9652" spans="1:1" x14ac:dyDescent="0.25">
      <c r="A9652" s="13"/>
    </row>
    <row r="9653" spans="1:1" x14ac:dyDescent="0.25">
      <c r="A9653" s="13"/>
    </row>
    <row r="9654" spans="1:1" x14ac:dyDescent="0.25">
      <c r="A9654" s="13"/>
    </row>
    <row r="9655" spans="1:1" x14ac:dyDescent="0.25">
      <c r="A9655" s="13"/>
    </row>
    <row r="9656" spans="1:1" x14ac:dyDescent="0.25">
      <c r="A9656" s="13"/>
    </row>
    <row r="9657" spans="1:1" x14ac:dyDescent="0.25">
      <c r="A9657" s="13"/>
    </row>
    <row r="9658" spans="1:1" x14ac:dyDescent="0.25">
      <c r="A9658" s="13"/>
    </row>
    <row r="9659" spans="1:1" x14ac:dyDescent="0.25">
      <c r="A9659" s="13"/>
    </row>
    <row r="9660" spans="1:1" x14ac:dyDescent="0.25">
      <c r="A9660" s="13"/>
    </row>
    <row r="9661" spans="1:1" x14ac:dyDescent="0.25">
      <c r="A9661" s="13"/>
    </row>
    <row r="9662" spans="1:1" x14ac:dyDescent="0.25">
      <c r="A9662" s="13"/>
    </row>
    <row r="9663" spans="1:1" x14ac:dyDescent="0.25">
      <c r="A9663" s="13"/>
    </row>
    <row r="9664" spans="1:1" x14ac:dyDescent="0.25">
      <c r="A9664" s="13"/>
    </row>
    <row r="9665" spans="1:1" x14ac:dyDescent="0.25">
      <c r="A9665" s="13"/>
    </row>
    <row r="9666" spans="1:1" x14ac:dyDescent="0.25">
      <c r="A9666" s="13"/>
    </row>
    <row r="9667" spans="1:1" x14ac:dyDescent="0.25">
      <c r="A9667" s="13"/>
    </row>
    <row r="9668" spans="1:1" x14ac:dyDescent="0.25">
      <c r="A9668" s="13"/>
    </row>
    <row r="9669" spans="1:1" x14ac:dyDescent="0.25">
      <c r="A9669" s="13"/>
    </row>
    <row r="9670" spans="1:1" x14ac:dyDescent="0.25">
      <c r="A9670" s="13"/>
    </row>
    <row r="9671" spans="1:1" x14ac:dyDescent="0.25">
      <c r="A9671" s="13"/>
    </row>
    <row r="9672" spans="1:1" x14ac:dyDescent="0.25">
      <c r="A9672" s="13"/>
    </row>
    <row r="9673" spans="1:1" x14ac:dyDescent="0.25">
      <c r="A9673" s="13"/>
    </row>
    <row r="9674" spans="1:1" x14ac:dyDescent="0.25">
      <c r="A9674" s="13"/>
    </row>
    <row r="9675" spans="1:1" x14ac:dyDescent="0.25">
      <c r="A9675" s="13"/>
    </row>
    <row r="9676" spans="1:1" x14ac:dyDescent="0.25">
      <c r="A9676" s="13"/>
    </row>
    <row r="9677" spans="1:1" x14ac:dyDescent="0.25">
      <c r="A9677" s="13"/>
    </row>
    <row r="9678" spans="1:1" x14ac:dyDescent="0.25">
      <c r="A9678" s="13"/>
    </row>
    <row r="9679" spans="1:1" x14ac:dyDescent="0.25">
      <c r="A9679" s="13"/>
    </row>
    <row r="9680" spans="1:1" x14ac:dyDescent="0.25">
      <c r="A9680" s="13"/>
    </row>
    <row r="9681" spans="1:1" x14ac:dyDescent="0.25">
      <c r="A9681" s="13"/>
    </row>
    <row r="9682" spans="1:1" x14ac:dyDescent="0.25">
      <c r="A9682" s="13"/>
    </row>
    <row r="9683" spans="1:1" x14ac:dyDescent="0.25">
      <c r="A9683" s="13"/>
    </row>
    <row r="9684" spans="1:1" x14ac:dyDescent="0.25">
      <c r="A9684" s="13"/>
    </row>
    <row r="9685" spans="1:1" x14ac:dyDescent="0.25">
      <c r="A9685" s="13"/>
    </row>
    <row r="9686" spans="1:1" x14ac:dyDescent="0.25">
      <c r="A9686" s="13"/>
    </row>
    <row r="9687" spans="1:1" x14ac:dyDescent="0.25">
      <c r="A9687" s="13"/>
    </row>
    <row r="9688" spans="1:1" x14ac:dyDescent="0.25">
      <c r="A9688" s="13"/>
    </row>
    <row r="9689" spans="1:1" x14ac:dyDescent="0.25">
      <c r="A9689" s="13"/>
    </row>
    <row r="9690" spans="1:1" x14ac:dyDescent="0.25">
      <c r="A9690" s="13"/>
    </row>
    <row r="9691" spans="1:1" x14ac:dyDescent="0.25">
      <c r="A9691" s="13"/>
    </row>
    <row r="9692" spans="1:1" x14ac:dyDescent="0.25">
      <c r="A9692" s="13"/>
    </row>
    <row r="9693" spans="1:1" x14ac:dyDescent="0.25">
      <c r="A9693" s="13"/>
    </row>
    <row r="9694" spans="1:1" x14ac:dyDescent="0.25">
      <c r="A9694" s="13"/>
    </row>
    <row r="9695" spans="1:1" x14ac:dyDescent="0.25">
      <c r="A9695" s="13"/>
    </row>
    <row r="9696" spans="1:1" x14ac:dyDescent="0.25">
      <c r="A9696" s="13"/>
    </row>
    <row r="9697" spans="1:1" x14ac:dyDescent="0.25">
      <c r="A9697" s="13"/>
    </row>
    <row r="9698" spans="1:1" x14ac:dyDescent="0.25">
      <c r="A9698" s="13"/>
    </row>
    <row r="9699" spans="1:1" x14ac:dyDescent="0.25">
      <c r="A9699" s="13"/>
    </row>
    <row r="9700" spans="1:1" x14ac:dyDescent="0.25">
      <c r="A9700" s="13"/>
    </row>
    <row r="9701" spans="1:1" x14ac:dyDescent="0.25">
      <c r="A9701" s="13"/>
    </row>
    <row r="9702" spans="1:1" x14ac:dyDescent="0.25">
      <c r="A9702" s="13"/>
    </row>
    <row r="9703" spans="1:1" x14ac:dyDescent="0.25">
      <c r="A9703" s="13"/>
    </row>
    <row r="9704" spans="1:1" x14ac:dyDescent="0.25">
      <c r="A9704" s="13"/>
    </row>
    <row r="9705" spans="1:1" x14ac:dyDescent="0.25">
      <c r="A9705" s="13"/>
    </row>
    <row r="9706" spans="1:1" x14ac:dyDescent="0.25">
      <c r="A9706" s="13"/>
    </row>
    <row r="9707" spans="1:1" x14ac:dyDescent="0.25">
      <c r="A9707" s="13"/>
    </row>
    <row r="9708" spans="1:1" x14ac:dyDescent="0.25">
      <c r="A9708" s="13"/>
    </row>
    <row r="9709" spans="1:1" x14ac:dyDescent="0.25">
      <c r="A9709" s="13"/>
    </row>
    <row r="9710" spans="1:1" x14ac:dyDescent="0.25">
      <c r="A9710" s="13"/>
    </row>
    <row r="9711" spans="1:1" x14ac:dyDescent="0.25">
      <c r="A9711" s="13"/>
    </row>
    <row r="9712" spans="1:1" x14ac:dyDescent="0.25">
      <c r="A9712" s="13"/>
    </row>
    <row r="9713" spans="1:1" x14ac:dyDescent="0.25">
      <c r="A9713" s="13"/>
    </row>
    <row r="9714" spans="1:1" x14ac:dyDescent="0.25">
      <c r="A9714" s="13"/>
    </row>
    <row r="9715" spans="1:1" x14ac:dyDescent="0.25">
      <c r="A9715" s="13"/>
    </row>
    <row r="9716" spans="1:1" x14ac:dyDescent="0.25">
      <c r="A9716" s="13"/>
    </row>
    <row r="9717" spans="1:1" x14ac:dyDescent="0.25">
      <c r="A9717" s="13"/>
    </row>
    <row r="9718" spans="1:1" x14ac:dyDescent="0.25">
      <c r="A9718" s="13"/>
    </row>
    <row r="9719" spans="1:1" x14ac:dyDescent="0.25">
      <c r="A9719" s="13"/>
    </row>
    <row r="9720" spans="1:1" x14ac:dyDescent="0.25">
      <c r="A9720" s="13"/>
    </row>
    <row r="9721" spans="1:1" x14ac:dyDescent="0.25">
      <c r="A9721" s="13"/>
    </row>
    <row r="9722" spans="1:1" x14ac:dyDescent="0.25">
      <c r="A9722" s="13"/>
    </row>
    <row r="9723" spans="1:1" x14ac:dyDescent="0.25">
      <c r="A9723" s="13"/>
    </row>
    <row r="9724" spans="1:1" x14ac:dyDescent="0.25">
      <c r="A9724" s="13"/>
    </row>
    <row r="9725" spans="1:1" x14ac:dyDescent="0.25">
      <c r="A9725" s="13"/>
    </row>
    <row r="9726" spans="1:1" x14ac:dyDescent="0.25">
      <c r="A9726" s="13"/>
    </row>
    <row r="9727" spans="1:1" x14ac:dyDescent="0.25">
      <c r="A9727" s="13"/>
    </row>
    <row r="9728" spans="1:1" x14ac:dyDescent="0.25">
      <c r="A9728" s="13"/>
    </row>
    <row r="9729" spans="1:1" x14ac:dyDescent="0.25">
      <c r="A9729" s="13"/>
    </row>
    <row r="9730" spans="1:1" x14ac:dyDescent="0.25">
      <c r="A9730" s="13"/>
    </row>
    <row r="9731" spans="1:1" x14ac:dyDescent="0.25">
      <c r="A9731" s="13"/>
    </row>
    <row r="9732" spans="1:1" x14ac:dyDescent="0.25">
      <c r="A9732" s="13"/>
    </row>
    <row r="9733" spans="1:1" x14ac:dyDescent="0.25">
      <c r="A9733" s="13"/>
    </row>
    <row r="9734" spans="1:1" x14ac:dyDescent="0.25">
      <c r="A9734" s="13"/>
    </row>
    <row r="9735" spans="1:1" x14ac:dyDescent="0.25">
      <c r="A9735" s="13"/>
    </row>
    <row r="9736" spans="1:1" x14ac:dyDescent="0.25">
      <c r="A9736" s="13"/>
    </row>
    <row r="9737" spans="1:1" x14ac:dyDescent="0.25">
      <c r="A9737" s="13"/>
    </row>
    <row r="9738" spans="1:1" x14ac:dyDescent="0.25">
      <c r="A9738" s="13"/>
    </row>
    <row r="9739" spans="1:1" x14ac:dyDescent="0.25">
      <c r="A9739" s="13"/>
    </row>
    <row r="9740" spans="1:1" x14ac:dyDescent="0.25">
      <c r="A9740" s="13"/>
    </row>
    <row r="9741" spans="1:1" x14ac:dyDescent="0.25">
      <c r="A9741" s="13"/>
    </row>
    <row r="9742" spans="1:1" x14ac:dyDescent="0.25">
      <c r="A9742" s="13"/>
    </row>
    <row r="9743" spans="1:1" x14ac:dyDescent="0.25">
      <c r="A9743" s="13"/>
    </row>
    <row r="9744" spans="1:1" x14ac:dyDescent="0.25">
      <c r="A9744" s="13"/>
    </row>
    <row r="9745" spans="1:1" x14ac:dyDescent="0.25">
      <c r="A9745" s="13"/>
    </row>
    <row r="9746" spans="1:1" x14ac:dyDescent="0.25">
      <c r="A9746" s="13"/>
    </row>
    <row r="9747" spans="1:1" x14ac:dyDescent="0.25">
      <c r="A9747" s="13"/>
    </row>
    <row r="9748" spans="1:1" x14ac:dyDescent="0.25">
      <c r="A9748" s="13"/>
    </row>
    <row r="9749" spans="1:1" x14ac:dyDescent="0.25">
      <c r="A9749" s="13"/>
    </row>
    <row r="9750" spans="1:1" x14ac:dyDescent="0.25">
      <c r="A9750" s="13"/>
    </row>
    <row r="9751" spans="1:1" x14ac:dyDescent="0.25">
      <c r="A9751" s="13"/>
    </row>
    <row r="9752" spans="1:1" x14ac:dyDescent="0.25">
      <c r="A9752" s="13"/>
    </row>
    <row r="9753" spans="1:1" x14ac:dyDescent="0.25">
      <c r="A9753" s="13"/>
    </row>
    <row r="9754" spans="1:1" x14ac:dyDescent="0.25">
      <c r="A9754" s="13"/>
    </row>
    <row r="9755" spans="1:1" x14ac:dyDescent="0.25">
      <c r="A9755" s="13"/>
    </row>
    <row r="9756" spans="1:1" x14ac:dyDescent="0.25">
      <c r="A9756" s="13"/>
    </row>
    <row r="9757" spans="1:1" x14ac:dyDescent="0.25">
      <c r="A9757" s="13"/>
    </row>
    <row r="9758" spans="1:1" x14ac:dyDescent="0.25">
      <c r="A9758" s="13"/>
    </row>
    <row r="9759" spans="1:1" x14ac:dyDescent="0.25">
      <c r="A9759" s="13"/>
    </row>
    <row r="9760" spans="1:1" x14ac:dyDescent="0.25">
      <c r="A9760" s="13"/>
    </row>
    <row r="9761" spans="1:1" x14ac:dyDescent="0.25">
      <c r="A9761" s="13"/>
    </row>
    <row r="9762" spans="1:1" x14ac:dyDescent="0.25">
      <c r="A9762" s="13"/>
    </row>
    <row r="9763" spans="1:1" x14ac:dyDescent="0.25">
      <c r="A9763" s="13"/>
    </row>
    <row r="9764" spans="1:1" x14ac:dyDescent="0.25">
      <c r="A9764" s="13"/>
    </row>
    <row r="9765" spans="1:1" x14ac:dyDescent="0.25">
      <c r="A9765" s="13"/>
    </row>
    <row r="9766" spans="1:1" x14ac:dyDescent="0.25">
      <c r="A9766" s="13"/>
    </row>
    <row r="9767" spans="1:1" x14ac:dyDescent="0.25">
      <c r="A9767" s="13"/>
    </row>
    <row r="9768" spans="1:1" x14ac:dyDescent="0.25">
      <c r="A9768" s="13"/>
    </row>
    <row r="9769" spans="1:1" x14ac:dyDescent="0.25">
      <c r="A9769" s="13"/>
    </row>
    <row r="9770" spans="1:1" x14ac:dyDescent="0.25">
      <c r="A9770" s="13"/>
    </row>
    <row r="9771" spans="1:1" x14ac:dyDescent="0.25">
      <c r="A9771" s="13"/>
    </row>
    <row r="9772" spans="1:1" x14ac:dyDescent="0.25">
      <c r="A9772" s="13"/>
    </row>
    <row r="9773" spans="1:1" x14ac:dyDescent="0.25">
      <c r="A9773" s="13"/>
    </row>
    <row r="9774" spans="1:1" x14ac:dyDescent="0.25">
      <c r="A9774" s="13"/>
    </row>
    <row r="9775" spans="1:1" x14ac:dyDescent="0.25">
      <c r="A9775" s="13"/>
    </row>
    <row r="9776" spans="1:1" x14ac:dyDescent="0.25">
      <c r="A9776" s="13"/>
    </row>
    <row r="9777" spans="1:1" x14ac:dyDescent="0.25">
      <c r="A9777" s="13"/>
    </row>
    <row r="9778" spans="1:1" x14ac:dyDescent="0.25">
      <c r="A9778" s="13"/>
    </row>
    <row r="9779" spans="1:1" x14ac:dyDescent="0.25">
      <c r="A9779" s="13"/>
    </row>
    <row r="9780" spans="1:1" x14ac:dyDescent="0.25">
      <c r="A9780" s="13"/>
    </row>
    <row r="9781" spans="1:1" x14ac:dyDescent="0.25">
      <c r="A9781" s="13"/>
    </row>
    <row r="9782" spans="1:1" x14ac:dyDescent="0.25">
      <c r="A9782" s="13"/>
    </row>
    <row r="9783" spans="1:1" x14ac:dyDescent="0.25">
      <c r="A9783" s="13"/>
    </row>
    <row r="9784" spans="1:1" x14ac:dyDescent="0.25">
      <c r="A9784" s="13"/>
    </row>
    <row r="9785" spans="1:1" x14ac:dyDescent="0.25">
      <c r="A9785" s="13"/>
    </row>
    <row r="9786" spans="1:1" x14ac:dyDescent="0.25">
      <c r="A9786" s="13"/>
    </row>
    <row r="9787" spans="1:1" x14ac:dyDescent="0.25">
      <c r="A9787" s="13"/>
    </row>
    <row r="9788" spans="1:1" x14ac:dyDescent="0.25">
      <c r="A9788" s="13"/>
    </row>
    <row r="9789" spans="1:1" x14ac:dyDescent="0.25">
      <c r="A9789" s="13"/>
    </row>
    <row r="9790" spans="1:1" x14ac:dyDescent="0.25">
      <c r="A9790" s="13"/>
    </row>
    <row r="9791" spans="1:1" x14ac:dyDescent="0.25">
      <c r="A9791" s="13"/>
    </row>
    <row r="9792" spans="1:1" x14ac:dyDescent="0.25">
      <c r="A9792" s="13"/>
    </row>
    <row r="9793" spans="1:1" x14ac:dyDescent="0.25">
      <c r="A9793" s="13"/>
    </row>
    <row r="9794" spans="1:1" x14ac:dyDescent="0.25">
      <c r="A9794" s="13"/>
    </row>
    <row r="9795" spans="1:1" x14ac:dyDescent="0.25">
      <c r="A9795" s="13"/>
    </row>
    <row r="9796" spans="1:1" x14ac:dyDescent="0.25">
      <c r="A9796" s="13"/>
    </row>
    <row r="9797" spans="1:1" x14ac:dyDescent="0.25">
      <c r="A9797" s="13"/>
    </row>
    <row r="9798" spans="1:1" x14ac:dyDescent="0.25">
      <c r="A9798" s="13"/>
    </row>
    <row r="9799" spans="1:1" x14ac:dyDescent="0.25">
      <c r="A9799" s="13"/>
    </row>
    <row r="9800" spans="1:1" x14ac:dyDescent="0.25">
      <c r="A9800" s="13"/>
    </row>
    <row r="9801" spans="1:1" x14ac:dyDescent="0.25">
      <c r="A9801" s="13"/>
    </row>
    <row r="9802" spans="1:1" x14ac:dyDescent="0.25">
      <c r="A9802" s="13"/>
    </row>
    <row r="9803" spans="1:1" x14ac:dyDescent="0.25">
      <c r="A9803" s="13"/>
    </row>
    <row r="9804" spans="1:1" x14ac:dyDescent="0.25">
      <c r="A9804" s="13"/>
    </row>
    <row r="9805" spans="1:1" x14ac:dyDescent="0.25">
      <c r="A9805" s="13"/>
    </row>
    <row r="9806" spans="1:1" x14ac:dyDescent="0.25">
      <c r="A9806" s="13"/>
    </row>
    <row r="9807" spans="1:1" x14ac:dyDescent="0.25">
      <c r="A9807" s="13"/>
    </row>
    <row r="9808" spans="1:1" x14ac:dyDescent="0.25">
      <c r="A9808" s="13"/>
    </row>
    <row r="9809" spans="1:1" x14ac:dyDescent="0.25">
      <c r="A9809" s="13"/>
    </row>
    <row r="9810" spans="1:1" x14ac:dyDescent="0.25">
      <c r="A9810" s="13"/>
    </row>
    <row r="9811" spans="1:1" x14ac:dyDescent="0.25">
      <c r="A9811" s="13"/>
    </row>
    <row r="9812" spans="1:1" x14ac:dyDescent="0.25">
      <c r="A9812" s="13"/>
    </row>
    <row r="9813" spans="1:1" x14ac:dyDescent="0.25">
      <c r="A9813" s="13"/>
    </row>
    <row r="9814" spans="1:1" x14ac:dyDescent="0.25">
      <c r="A9814" s="13"/>
    </row>
    <row r="9815" spans="1:1" x14ac:dyDescent="0.25">
      <c r="A9815" s="13"/>
    </row>
    <row r="9816" spans="1:1" x14ac:dyDescent="0.25">
      <c r="A9816" s="13"/>
    </row>
    <row r="9817" spans="1:1" x14ac:dyDescent="0.25">
      <c r="A9817" s="13"/>
    </row>
    <row r="9818" spans="1:1" x14ac:dyDescent="0.25">
      <c r="A9818" s="13"/>
    </row>
    <row r="9819" spans="1:1" x14ac:dyDescent="0.25">
      <c r="A9819" s="13"/>
    </row>
    <row r="9820" spans="1:1" x14ac:dyDescent="0.25">
      <c r="A9820" s="13"/>
    </row>
    <row r="9821" spans="1:1" x14ac:dyDescent="0.25">
      <c r="A9821" s="13"/>
    </row>
    <row r="9822" spans="1:1" x14ac:dyDescent="0.25">
      <c r="A9822" s="13"/>
    </row>
    <row r="9823" spans="1:1" x14ac:dyDescent="0.25">
      <c r="A9823" s="13"/>
    </row>
    <row r="9824" spans="1:1" x14ac:dyDescent="0.25">
      <c r="A9824" s="13"/>
    </row>
    <row r="9825" spans="1:1" x14ac:dyDescent="0.25">
      <c r="A9825" s="13"/>
    </row>
    <row r="9826" spans="1:1" x14ac:dyDescent="0.25">
      <c r="A9826" s="13"/>
    </row>
    <row r="9827" spans="1:1" x14ac:dyDescent="0.25">
      <c r="A9827" s="13"/>
    </row>
    <row r="9828" spans="1:1" x14ac:dyDescent="0.25">
      <c r="A9828" s="13"/>
    </row>
    <row r="9829" spans="1:1" x14ac:dyDescent="0.25">
      <c r="A9829" s="13"/>
    </row>
    <row r="9830" spans="1:1" x14ac:dyDescent="0.25">
      <c r="A9830" s="13"/>
    </row>
    <row r="9831" spans="1:1" x14ac:dyDescent="0.25">
      <c r="A9831" s="13"/>
    </row>
    <row r="9832" spans="1:1" x14ac:dyDescent="0.25">
      <c r="A9832" s="13"/>
    </row>
    <row r="9833" spans="1:1" x14ac:dyDescent="0.25">
      <c r="A9833" s="13"/>
    </row>
    <row r="9834" spans="1:1" x14ac:dyDescent="0.25">
      <c r="A9834" s="13"/>
    </row>
    <row r="9835" spans="1:1" x14ac:dyDescent="0.25">
      <c r="A9835" s="13"/>
    </row>
    <row r="9836" spans="1:1" x14ac:dyDescent="0.25">
      <c r="A9836" s="13"/>
    </row>
    <row r="9837" spans="1:1" x14ac:dyDescent="0.25">
      <c r="A9837" s="13"/>
    </row>
    <row r="9838" spans="1:1" x14ac:dyDescent="0.25">
      <c r="A9838" s="13"/>
    </row>
    <row r="9839" spans="1:1" x14ac:dyDescent="0.25">
      <c r="A9839" s="13"/>
    </row>
    <row r="9840" spans="1:1" x14ac:dyDescent="0.25">
      <c r="A9840" s="13"/>
    </row>
    <row r="9841" spans="1:1" x14ac:dyDescent="0.25">
      <c r="A9841" s="13"/>
    </row>
    <row r="9842" spans="1:1" x14ac:dyDescent="0.25">
      <c r="A9842" s="13"/>
    </row>
    <row r="9843" spans="1:1" x14ac:dyDescent="0.25">
      <c r="A9843" s="13"/>
    </row>
    <row r="9844" spans="1:1" x14ac:dyDescent="0.25">
      <c r="A9844" s="13"/>
    </row>
    <row r="9845" spans="1:1" x14ac:dyDescent="0.25">
      <c r="A9845" s="13"/>
    </row>
    <row r="9846" spans="1:1" x14ac:dyDescent="0.25">
      <c r="A9846" s="13"/>
    </row>
    <row r="9847" spans="1:1" x14ac:dyDescent="0.25">
      <c r="A9847" s="13"/>
    </row>
    <row r="9848" spans="1:1" x14ac:dyDescent="0.25">
      <c r="A9848" s="13"/>
    </row>
    <row r="9849" spans="1:1" x14ac:dyDescent="0.25">
      <c r="A9849" s="13"/>
    </row>
    <row r="9850" spans="1:1" x14ac:dyDescent="0.25">
      <c r="A9850" s="13"/>
    </row>
    <row r="9851" spans="1:1" x14ac:dyDescent="0.25">
      <c r="A9851" s="13"/>
    </row>
    <row r="9852" spans="1:1" x14ac:dyDescent="0.25">
      <c r="A9852" s="13"/>
    </row>
    <row r="9853" spans="1:1" x14ac:dyDescent="0.25">
      <c r="A9853" s="13"/>
    </row>
    <row r="9854" spans="1:1" x14ac:dyDescent="0.25">
      <c r="A9854" s="13"/>
    </row>
    <row r="9855" spans="1:1" x14ac:dyDescent="0.25">
      <c r="A9855" s="13"/>
    </row>
    <row r="9856" spans="1:1" x14ac:dyDescent="0.25">
      <c r="A9856" s="13"/>
    </row>
    <row r="9857" spans="1:1" x14ac:dyDescent="0.25">
      <c r="A9857" s="13"/>
    </row>
    <row r="9858" spans="1:1" x14ac:dyDescent="0.25">
      <c r="A9858" s="13"/>
    </row>
    <row r="9859" spans="1:1" x14ac:dyDescent="0.25">
      <c r="A9859" s="13"/>
    </row>
    <row r="9860" spans="1:1" x14ac:dyDescent="0.25">
      <c r="A9860" s="13"/>
    </row>
    <row r="9861" spans="1:1" x14ac:dyDescent="0.25">
      <c r="A9861" s="13"/>
    </row>
    <row r="9862" spans="1:1" x14ac:dyDescent="0.25">
      <c r="A9862" s="13"/>
    </row>
    <row r="9863" spans="1:1" x14ac:dyDescent="0.25">
      <c r="A9863" s="13"/>
    </row>
    <row r="9864" spans="1:1" x14ac:dyDescent="0.25">
      <c r="A9864" s="13"/>
    </row>
    <row r="9865" spans="1:1" x14ac:dyDescent="0.25">
      <c r="A9865" s="13"/>
    </row>
    <row r="9866" spans="1:1" x14ac:dyDescent="0.25">
      <c r="A9866" s="13"/>
    </row>
    <row r="9867" spans="1:1" x14ac:dyDescent="0.25">
      <c r="A9867" s="13"/>
    </row>
    <row r="9868" spans="1:1" x14ac:dyDescent="0.25">
      <c r="A9868" s="13"/>
    </row>
    <row r="9869" spans="1:1" x14ac:dyDescent="0.25">
      <c r="A9869" s="13"/>
    </row>
    <row r="9870" spans="1:1" x14ac:dyDescent="0.25">
      <c r="A9870" s="13"/>
    </row>
    <row r="9871" spans="1:1" x14ac:dyDescent="0.25">
      <c r="A9871" s="13"/>
    </row>
    <row r="9872" spans="1:1" x14ac:dyDescent="0.25">
      <c r="A9872" s="13"/>
    </row>
    <row r="9873" spans="1:1" x14ac:dyDescent="0.25">
      <c r="A9873" s="13"/>
    </row>
    <row r="9874" spans="1:1" x14ac:dyDescent="0.25">
      <c r="A9874" s="13"/>
    </row>
    <row r="9875" spans="1:1" x14ac:dyDescent="0.25">
      <c r="A9875" s="13"/>
    </row>
    <row r="9876" spans="1:1" x14ac:dyDescent="0.25">
      <c r="A9876" s="13"/>
    </row>
    <row r="9877" spans="1:1" x14ac:dyDescent="0.25">
      <c r="A9877" s="13"/>
    </row>
    <row r="9878" spans="1:1" x14ac:dyDescent="0.25">
      <c r="A9878" s="13"/>
    </row>
    <row r="9879" spans="1:1" x14ac:dyDescent="0.25">
      <c r="A9879" s="13"/>
    </row>
    <row r="9880" spans="1:1" x14ac:dyDescent="0.25">
      <c r="A9880" s="13"/>
    </row>
    <row r="9881" spans="1:1" x14ac:dyDescent="0.25">
      <c r="A9881" s="13"/>
    </row>
    <row r="9882" spans="1:1" x14ac:dyDescent="0.25">
      <c r="A9882" s="13"/>
    </row>
    <row r="9883" spans="1:1" x14ac:dyDescent="0.25">
      <c r="A9883" s="13"/>
    </row>
    <row r="9884" spans="1:1" x14ac:dyDescent="0.25">
      <c r="A9884" s="13"/>
    </row>
    <row r="9885" spans="1:1" x14ac:dyDescent="0.25">
      <c r="A9885" s="13"/>
    </row>
    <row r="9886" spans="1:1" x14ac:dyDescent="0.25">
      <c r="A9886" s="13"/>
    </row>
    <row r="9887" spans="1:1" x14ac:dyDescent="0.25">
      <c r="A9887" s="13"/>
    </row>
    <row r="9888" spans="1:1" x14ac:dyDescent="0.25">
      <c r="A9888" s="13"/>
    </row>
    <row r="9889" spans="1:1" x14ac:dyDescent="0.25">
      <c r="A9889" s="13"/>
    </row>
    <row r="9890" spans="1:1" x14ac:dyDescent="0.25">
      <c r="A9890" s="13"/>
    </row>
    <row r="9891" spans="1:1" x14ac:dyDescent="0.25">
      <c r="A9891" s="13"/>
    </row>
    <row r="9892" spans="1:1" x14ac:dyDescent="0.25">
      <c r="A9892" s="13"/>
    </row>
    <row r="9893" spans="1:1" x14ac:dyDescent="0.25">
      <c r="A9893" s="13"/>
    </row>
    <row r="9894" spans="1:1" x14ac:dyDescent="0.25">
      <c r="A9894" s="13"/>
    </row>
    <row r="9895" spans="1:1" x14ac:dyDescent="0.25">
      <c r="A9895" s="13"/>
    </row>
    <row r="9896" spans="1:1" x14ac:dyDescent="0.25">
      <c r="A9896" s="13"/>
    </row>
    <row r="9897" spans="1:1" x14ac:dyDescent="0.25">
      <c r="A9897" s="13"/>
    </row>
    <row r="9898" spans="1:1" x14ac:dyDescent="0.25">
      <c r="A9898" s="13"/>
    </row>
    <row r="9899" spans="1:1" x14ac:dyDescent="0.25">
      <c r="A9899" s="13"/>
    </row>
    <row r="9900" spans="1:1" x14ac:dyDescent="0.25">
      <c r="A9900" s="13"/>
    </row>
    <row r="9901" spans="1:1" x14ac:dyDescent="0.25">
      <c r="A9901" s="13"/>
    </row>
    <row r="9902" spans="1:1" x14ac:dyDescent="0.25">
      <c r="A9902" s="13"/>
    </row>
    <row r="9903" spans="1:1" x14ac:dyDescent="0.25">
      <c r="A9903" s="13"/>
    </row>
    <row r="9904" spans="1:1" x14ac:dyDescent="0.25">
      <c r="A9904" s="13"/>
    </row>
    <row r="9905" spans="1:1" x14ac:dyDescent="0.25">
      <c r="A9905" s="13"/>
    </row>
    <row r="9906" spans="1:1" x14ac:dyDescent="0.25">
      <c r="A9906" s="13"/>
    </row>
    <row r="9907" spans="1:1" x14ac:dyDescent="0.25">
      <c r="A9907" s="13"/>
    </row>
    <row r="9908" spans="1:1" x14ac:dyDescent="0.25">
      <c r="A9908" s="13"/>
    </row>
    <row r="9909" spans="1:1" x14ac:dyDescent="0.25">
      <c r="A9909" s="13"/>
    </row>
    <row r="9910" spans="1:1" x14ac:dyDescent="0.25">
      <c r="A9910" s="13"/>
    </row>
    <row r="9911" spans="1:1" x14ac:dyDescent="0.25">
      <c r="A9911" s="13"/>
    </row>
    <row r="9912" spans="1:1" x14ac:dyDescent="0.25">
      <c r="A9912" s="13"/>
    </row>
    <row r="9913" spans="1:1" x14ac:dyDescent="0.25">
      <c r="A9913" s="13"/>
    </row>
    <row r="9914" spans="1:1" x14ac:dyDescent="0.25">
      <c r="A9914" s="13"/>
    </row>
    <row r="9915" spans="1:1" x14ac:dyDescent="0.25">
      <c r="A9915" s="13"/>
    </row>
    <row r="9916" spans="1:1" x14ac:dyDescent="0.25">
      <c r="A9916" s="13"/>
    </row>
    <row r="9917" spans="1:1" x14ac:dyDescent="0.25">
      <c r="A9917" s="13"/>
    </row>
    <row r="9918" spans="1:1" x14ac:dyDescent="0.25">
      <c r="A9918" s="13"/>
    </row>
    <row r="9919" spans="1:1" x14ac:dyDescent="0.25">
      <c r="A9919" s="13"/>
    </row>
    <row r="9920" spans="1:1" x14ac:dyDescent="0.25">
      <c r="A9920" s="13"/>
    </row>
    <row r="9921" spans="1:1" x14ac:dyDescent="0.25">
      <c r="A9921" s="13"/>
    </row>
    <row r="9922" spans="1:1" x14ac:dyDescent="0.25">
      <c r="A9922" s="13"/>
    </row>
    <row r="9923" spans="1:1" x14ac:dyDescent="0.25">
      <c r="A9923" s="13"/>
    </row>
    <row r="9924" spans="1:1" x14ac:dyDescent="0.25">
      <c r="A9924" s="13"/>
    </row>
    <row r="9925" spans="1:1" x14ac:dyDescent="0.25">
      <c r="A9925" s="13"/>
    </row>
    <row r="9926" spans="1:1" x14ac:dyDescent="0.25">
      <c r="A9926" s="13"/>
    </row>
    <row r="9927" spans="1:1" x14ac:dyDescent="0.25">
      <c r="A9927" s="13"/>
    </row>
    <row r="9928" spans="1:1" x14ac:dyDescent="0.25">
      <c r="A9928" s="13"/>
    </row>
    <row r="9929" spans="1:1" x14ac:dyDescent="0.25">
      <c r="A9929" s="13"/>
    </row>
    <row r="9930" spans="1:1" x14ac:dyDescent="0.25">
      <c r="A9930" s="13"/>
    </row>
    <row r="9931" spans="1:1" x14ac:dyDescent="0.25">
      <c r="A9931" s="13"/>
    </row>
    <row r="9932" spans="1:1" x14ac:dyDescent="0.25">
      <c r="A9932" s="13"/>
    </row>
    <row r="9933" spans="1:1" x14ac:dyDescent="0.25">
      <c r="A9933" s="13"/>
    </row>
    <row r="9934" spans="1:1" x14ac:dyDescent="0.25">
      <c r="A9934" s="13"/>
    </row>
    <row r="9935" spans="1:1" x14ac:dyDescent="0.25">
      <c r="A9935" s="13"/>
    </row>
    <row r="9936" spans="1:1" x14ac:dyDescent="0.25">
      <c r="A9936" s="13"/>
    </row>
    <row r="9937" spans="1:1" x14ac:dyDescent="0.25">
      <c r="A9937" s="13"/>
    </row>
    <row r="9938" spans="1:1" x14ac:dyDescent="0.25">
      <c r="A9938" s="13"/>
    </row>
    <row r="9939" spans="1:1" x14ac:dyDescent="0.25">
      <c r="A9939" s="13"/>
    </row>
    <row r="9940" spans="1:1" x14ac:dyDescent="0.25">
      <c r="A9940" s="13"/>
    </row>
    <row r="9941" spans="1:1" x14ac:dyDescent="0.25">
      <c r="A9941" s="13"/>
    </row>
    <row r="9942" spans="1:1" x14ac:dyDescent="0.25">
      <c r="A9942" s="13"/>
    </row>
    <row r="9943" spans="1:1" x14ac:dyDescent="0.25">
      <c r="A9943" s="13"/>
    </row>
    <row r="9944" spans="1:1" x14ac:dyDescent="0.25">
      <c r="A9944" s="13"/>
    </row>
    <row r="9945" spans="1:1" x14ac:dyDescent="0.25">
      <c r="A9945" s="13"/>
    </row>
    <row r="9946" spans="1:1" x14ac:dyDescent="0.25">
      <c r="A9946" s="13"/>
    </row>
    <row r="9947" spans="1:1" x14ac:dyDescent="0.25">
      <c r="A9947" s="13"/>
    </row>
    <row r="9948" spans="1:1" x14ac:dyDescent="0.25">
      <c r="A9948" s="13"/>
    </row>
    <row r="9949" spans="1:1" x14ac:dyDescent="0.25">
      <c r="A9949" s="13"/>
    </row>
    <row r="9950" spans="1:1" x14ac:dyDescent="0.25">
      <c r="A9950" s="13"/>
    </row>
    <row r="9951" spans="1:1" x14ac:dyDescent="0.25">
      <c r="A9951" s="13"/>
    </row>
    <row r="9952" spans="1:1" x14ac:dyDescent="0.25">
      <c r="A9952" s="13"/>
    </row>
    <row r="9953" spans="1:1" x14ac:dyDescent="0.25">
      <c r="A9953" s="13"/>
    </row>
    <row r="9954" spans="1:1" x14ac:dyDescent="0.25">
      <c r="A9954" s="13"/>
    </row>
    <row r="9955" spans="1:1" x14ac:dyDescent="0.25">
      <c r="A9955" s="13"/>
    </row>
    <row r="9956" spans="1:1" x14ac:dyDescent="0.25">
      <c r="A9956" s="13"/>
    </row>
    <row r="9957" spans="1:1" x14ac:dyDescent="0.25">
      <c r="A9957" s="13"/>
    </row>
    <row r="9958" spans="1:1" x14ac:dyDescent="0.25">
      <c r="A9958" s="13"/>
    </row>
    <row r="9959" spans="1:1" x14ac:dyDescent="0.25">
      <c r="A9959" s="13"/>
    </row>
    <row r="9960" spans="1:1" x14ac:dyDescent="0.25">
      <c r="A9960" s="13"/>
    </row>
    <row r="9961" spans="1:1" x14ac:dyDescent="0.25">
      <c r="A9961" s="13"/>
    </row>
    <row r="9962" spans="1:1" x14ac:dyDescent="0.25">
      <c r="A9962" s="13"/>
    </row>
    <row r="9963" spans="1:1" x14ac:dyDescent="0.25">
      <c r="A9963" s="13"/>
    </row>
    <row r="9964" spans="1:1" x14ac:dyDescent="0.25">
      <c r="A9964" s="13"/>
    </row>
    <row r="9965" spans="1:1" x14ac:dyDescent="0.25">
      <c r="A9965" s="13"/>
    </row>
    <row r="9966" spans="1:1" x14ac:dyDescent="0.25">
      <c r="A9966" s="13"/>
    </row>
    <row r="9967" spans="1:1" x14ac:dyDescent="0.25">
      <c r="A9967" s="13"/>
    </row>
    <row r="9968" spans="1:1" x14ac:dyDescent="0.25">
      <c r="A9968" s="13"/>
    </row>
    <row r="9969" spans="1:1" x14ac:dyDescent="0.25">
      <c r="A9969" s="13"/>
    </row>
    <row r="9970" spans="1:1" x14ac:dyDescent="0.25">
      <c r="A9970" s="13"/>
    </row>
    <row r="9971" spans="1:1" x14ac:dyDescent="0.25">
      <c r="A9971" s="13"/>
    </row>
    <row r="9972" spans="1:1" x14ac:dyDescent="0.25">
      <c r="A9972" s="13"/>
    </row>
    <row r="9973" spans="1:1" x14ac:dyDescent="0.25">
      <c r="A9973" s="13"/>
    </row>
    <row r="9974" spans="1:1" x14ac:dyDescent="0.25">
      <c r="A9974" s="13"/>
    </row>
    <row r="9975" spans="1:1" x14ac:dyDescent="0.25">
      <c r="A9975" s="13"/>
    </row>
    <row r="9976" spans="1:1" x14ac:dyDescent="0.25">
      <c r="A9976" s="13"/>
    </row>
    <row r="9977" spans="1:1" x14ac:dyDescent="0.25">
      <c r="A9977" s="13"/>
    </row>
    <row r="9978" spans="1:1" x14ac:dyDescent="0.25">
      <c r="A9978" s="13"/>
    </row>
    <row r="9979" spans="1:1" x14ac:dyDescent="0.25">
      <c r="A9979" s="13"/>
    </row>
    <row r="9980" spans="1:1" x14ac:dyDescent="0.25">
      <c r="A9980" s="13"/>
    </row>
    <row r="9981" spans="1:1" x14ac:dyDescent="0.25">
      <c r="A9981" s="13"/>
    </row>
    <row r="9982" spans="1:1" x14ac:dyDescent="0.25">
      <c r="A9982" s="13"/>
    </row>
    <row r="9983" spans="1:1" x14ac:dyDescent="0.25">
      <c r="A9983" s="13"/>
    </row>
    <row r="9984" spans="1:1" x14ac:dyDescent="0.25">
      <c r="A9984" s="13"/>
    </row>
    <row r="9985" spans="1:1" x14ac:dyDescent="0.25">
      <c r="A9985" s="13"/>
    </row>
    <row r="9986" spans="1:1" x14ac:dyDescent="0.25">
      <c r="A9986" s="13"/>
    </row>
    <row r="9987" spans="1:1" x14ac:dyDescent="0.25">
      <c r="A9987" s="13"/>
    </row>
    <row r="9988" spans="1:1" x14ac:dyDescent="0.25">
      <c r="A9988" s="13"/>
    </row>
    <row r="9989" spans="1:1" x14ac:dyDescent="0.25">
      <c r="A9989" s="13"/>
    </row>
    <row r="9990" spans="1:1" x14ac:dyDescent="0.25">
      <c r="A9990" s="13"/>
    </row>
    <row r="9991" spans="1:1" x14ac:dyDescent="0.25">
      <c r="A9991" s="13"/>
    </row>
    <row r="9992" spans="1:1" x14ac:dyDescent="0.25">
      <c r="A9992" s="13"/>
    </row>
    <row r="9993" spans="1:1" x14ac:dyDescent="0.25">
      <c r="A9993" s="13"/>
    </row>
    <row r="9994" spans="1:1" x14ac:dyDescent="0.25">
      <c r="A9994" s="13"/>
    </row>
    <row r="9995" spans="1:1" x14ac:dyDescent="0.25">
      <c r="A9995" s="13"/>
    </row>
    <row r="9996" spans="1:1" x14ac:dyDescent="0.25">
      <c r="A9996" s="13"/>
    </row>
    <row r="9997" spans="1:1" x14ac:dyDescent="0.25">
      <c r="A9997" s="13"/>
    </row>
    <row r="9998" spans="1:1" x14ac:dyDescent="0.25">
      <c r="A9998" s="13"/>
    </row>
    <row r="9999" spans="1:1" x14ac:dyDescent="0.25">
      <c r="A9999" s="13"/>
    </row>
    <row r="10000" spans="1:1" x14ac:dyDescent="0.25">
      <c r="A10000" s="13"/>
    </row>
    <row r="10001" spans="1:1" x14ac:dyDescent="0.25">
      <c r="A10001" s="13"/>
    </row>
    <row r="10002" spans="1:1" x14ac:dyDescent="0.25">
      <c r="A10002" s="13"/>
    </row>
    <row r="10003" spans="1:1" x14ac:dyDescent="0.25">
      <c r="A10003" s="13"/>
    </row>
    <row r="10004" spans="1:1" x14ac:dyDescent="0.25">
      <c r="A10004" s="13"/>
    </row>
    <row r="10005" spans="1:1" x14ac:dyDescent="0.25">
      <c r="A10005" s="13"/>
    </row>
    <row r="10006" spans="1:1" x14ac:dyDescent="0.25">
      <c r="A10006" s="13"/>
    </row>
    <row r="10007" spans="1:1" x14ac:dyDescent="0.25">
      <c r="A10007" s="13"/>
    </row>
    <row r="10008" spans="1:1" x14ac:dyDescent="0.25">
      <c r="A10008" s="13"/>
    </row>
    <row r="10009" spans="1:1" x14ac:dyDescent="0.25">
      <c r="A10009" s="13"/>
    </row>
    <row r="10010" spans="1:1" x14ac:dyDescent="0.25">
      <c r="A10010" s="13"/>
    </row>
    <row r="10011" spans="1:1" x14ac:dyDescent="0.25">
      <c r="A10011" s="13"/>
    </row>
    <row r="10012" spans="1:1" x14ac:dyDescent="0.25">
      <c r="A10012" s="13"/>
    </row>
    <row r="10013" spans="1:1" x14ac:dyDescent="0.25">
      <c r="A10013" s="13"/>
    </row>
    <row r="10014" spans="1:1" x14ac:dyDescent="0.25">
      <c r="A10014" s="13"/>
    </row>
    <row r="10015" spans="1:1" x14ac:dyDescent="0.25">
      <c r="A10015" s="13"/>
    </row>
    <row r="10016" spans="1:1" x14ac:dyDescent="0.25">
      <c r="A10016" s="13"/>
    </row>
    <row r="10017" spans="1:1" x14ac:dyDescent="0.25">
      <c r="A10017" s="13"/>
    </row>
    <row r="10018" spans="1:1" x14ac:dyDescent="0.25">
      <c r="A10018" s="13"/>
    </row>
    <row r="10019" spans="1:1" x14ac:dyDescent="0.25">
      <c r="A10019" s="13"/>
    </row>
    <row r="10020" spans="1:1" x14ac:dyDescent="0.25">
      <c r="A10020" s="13"/>
    </row>
    <row r="10021" spans="1:1" x14ac:dyDescent="0.25">
      <c r="A10021" s="13"/>
    </row>
    <row r="10022" spans="1:1" x14ac:dyDescent="0.25">
      <c r="A10022" s="13"/>
    </row>
    <row r="10023" spans="1:1" x14ac:dyDescent="0.25">
      <c r="A10023" s="13"/>
    </row>
    <row r="10024" spans="1:1" x14ac:dyDescent="0.25">
      <c r="A10024" s="13"/>
    </row>
    <row r="10025" spans="1:1" x14ac:dyDescent="0.25">
      <c r="A10025" s="13"/>
    </row>
    <row r="10026" spans="1:1" x14ac:dyDescent="0.25">
      <c r="A10026" s="13"/>
    </row>
    <row r="10027" spans="1:1" x14ac:dyDescent="0.25">
      <c r="A10027" s="13"/>
    </row>
    <row r="10028" spans="1:1" x14ac:dyDescent="0.25">
      <c r="A10028" s="13"/>
    </row>
    <row r="10029" spans="1:1" x14ac:dyDescent="0.25">
      <c r="A10029" s="13"/>
    </row>
    <row r="10030" spans="1:1" x14ac:dyDescent="0.25">
      <c r="A10030" s="13"/>
    </row>
    <row r="10031" spans="1:1" x14ac:dyDescent="0.25">
      <c r="A10031" s="13"/>
    </row>
    <row r="10032" spans="1:1" x14ac:dyDescent="0.25">
      <c r="A10032" s="13"/>
    </row>
    <row r="10033" spans="1:1" x14ac:dyDescent="0.25">
      <c r="A10033" s="13"/>
    </row>
    <row r="10034" spans="1:1" x14ac:dyDescent="0.25">
      <c r="A10034" s="13"/>
    </row>
    <row r="10035" spans="1:1" x14ac:dyDescent="0.25">
      <c r="A10035" s="13"/>
    </row>
    <row r="10036" spans="1:1" x14ac:dyDescent="0.25">
      <c r="A10036" s="13"/>
    </row>
    <row r="10037" spans="1:1" x14ac:dyDescent="0.25">
      <c r="A10037" s="13"/>
    </row>
    <row r="10038" spans="1:1" x14ac:dyDescent="0.25">
      <c r="A10038" s="13"/>
    </row>
    <row r="10039" spans="1:1" x14ac:dyDescent="0.25">
      <c r="A10039" s="13"/>
    </row>
    <row r="10040" spans="1:1" x14ac:dyDescent="0.25">
      <c r="A10040" s="13"/>
    </row>
    <row r="10041" spans="1:1" x14ac:dyDescent="0.25">
      <c r="A10041" s="13"/>
    </row>
    <row r="10042" spans="1:1" x14ac:dyDescent="0.25">
      <c r="A10042" s="13"/>
    </row>
    <row r="10043" spans="1:1" x14ac:dyDescent="0.25">
      <c r="A10043" s="13"/>
    </row>
    <row r="10044" spans="1:1" x14ac:dyDescent="0.25">
      <c r="A10044" s="13"/>
    </row>
    <row r="10045" spans="1:1" x14ac:dyDescent="0.25">
      <c r="A10045" s="13"/>
    </row>
    <row r="10046" spans="1:1" x14ac:dyDescent="0.25">
      <c r="A10046" s="13"/>
    </row>
    <row r="10047" spans="1:1" x14ac:dyDescent="0.25">
      <c r="A10047" s="13"/>
    </row>
    <row r="10048" spans="1:1" x14ac:dyDescent="0.25">
      <c r="A10048" s="13"/>
    </row>
    <row r="10049" spans="1:1" x14ac:dyDescent="0.25">
      <c r="A10049" s="13"/>
    </row>
    <row r="10050" spans="1:1" x14ac:dyDescent="0.25">
      <c r="A10050" s="13"/>
    </row>
    <row r="10051" spans="1:1" x14ac:dyDescent="0.25">
      <c r="A10051" s="13"/>
    </row>
    <row r="10052" spans="1:1" x14ac:dyDescent="0.25">
      <c r="A10052" s="13"/>
    </row>
    <row r="10053" spans="1:1" x14ac:dyDescent="0.25">
      <c r="A10053" s="13"/>
    </row>
    <row r="10054" spans="1:1" x14ac:dyDescent="0.25">
      <c r="A10054" s="13"/>
    </row>
    <row r="10055" spans="1:1" x14ac:dyDescent="0.25">
      <c r="A10055" s="13"/>
    </row>
    <row r="10056" spans="1:1" x14ac:dyDescent="0.25">
      <c r="A10056" s="13"/>
    </row>
    <row r="10057" spans="1:1" x14ac:dyDescent="0.25">
      <c r="A10057" s="13"/>
    </row>
    <row r="10058" spans="1:1" x14ac:dyDescent="0.25">
      <c r="A10058" s="13"/>
    </row>
    <row r="10059" spans="1:1" x14ac:dyDescent="0.25">
      <c r="A10059" s="13"/>
    </row>
    <row r="10060" spans="1:1" x14ac:dyDescent="0.25">
      <c r="A10060" s="13"/>
    </row>
    <row r="10061" spans="1:1" x14ac:dyDescent="0.25">
      <c r="A10061" s="13"/>
    </row>
    <row r="10062" spans="1:1" x14ac:dyDescent="0.25">
      <c r="A10062" s="13"/>
    </row>
    <row r="10063" spans="1:1" x14ac:dyDescent="0.25">
      <c r="A10063" s="13"/>
    </row>
    <row r="10064" spans="1:1" x14ac:dyDescent="0.25">
      <c r="A10064" s="13"/>
    </row>
    <row r="10065" spans="1:1" x14ac:dyDescent="0.25">
      <c r="A10065" s="13"/>
    </row>
    <row r="10066" spans="1:1" x14ac:dyDescent="0.25">
      <c r="A10066" s="13"/>
    </row>
    <row r="10067" spans="1:1" x14ac:dyDescent="0.25">
      <c r="A10067" s="13"/>
    </row>
    <row r="10068" spans="1:1" x14ac:dyDescent="0.25">
      <c r="A10068" s="13"/>
    </row>
    <row r="10069" spans="1:1" x14ac:dyDescent="0.25">
      <c r="A10069" s="13"/>
    </row>
    <row r="10070" spans="1:1" x14ac:dyDescent="0.25">
      <c r="A10070" s="13"/>
    </row>
    <row r="10071" spans="1:1" x14ac:dyDescent="0.25">
      <c r="A10071" s="13"/>
    </row>
    <row r="10072" spans="1:1" x14ac:dyDescent="0.25">
      <c r="A10072" s="13"/>
    </row>
    <row r="10073" spans="1:1" x14ac:dyDescent="0.25">
      <c r="A10073" s="13"/>
    </row>
    <row r="10074" spans="1:1" x14ac:dyDescent="0.25">
      <c r="A10074" s="13"/>
    </row>
    <row r="10075" spans="1:1" x14ac:dyDescent="0.25">
      <c r="A10075" s="13"/>
    </row>
    <row r="10076" spans="1:1" x14ac:dyDescent="0.25">
      <c r="A10076" s="13"/>
    </row>
    <row r="10077" spans="1:1" x14ac:dyDescent="0.25">
      <c r="A10077" s="13"/>
    </row>
    <row r="10078" spans="1:1" x14ac:dyDescent="0.25">
      <c r="A10078" s="13"/>
    </row>
    <row r="10079" spans="1:1" x14ac:dyDescent="0.25">
      <c r="A10079" s="13"/>
    </row>
    <row r="10080" spans="1:1" x14ac:dyDescent="0.25">
      <c r="A10080" s="13"/>
    </row>
    <row r="10081" spans="1:1" x14ac:dyDescent="0.25">
      <c r="A10081" s="13"/>
    </row>
    <row r="10082" spans="1:1" x14ac:dyDescent="0.25">
      <c r="A10082" s="13"/>
    </row>
    <row r="10083" spans="1:1" x14ac:dyDescent="0.25">
      <c r="A10083" s="13"/>
    </row>
    <row r="10084" spans="1:1" x14ac:dyDescent="0.25">
      <c r="A10084" s="13"/>
    </row>
    <row r="10085" spans="1:1" x14ac:dyDescent="0.25">
      <c r="A10085" s="13"/>
    </row>
    <row r="10086" spans="1:1" x14ac:dyDescent="0.25">
      <c r="A10086" s="13"/>
    </row>
    <row r="10087" spans="1:1" x14ac:dyDescent="0.25">
      <c r="A10087" s="13"/>
    </row>
    <row r="10088" spans="1:1" x14ac:dyDescent="0.25">
      <c r="A10088" s="13"/>
    </row>
    <row r="10089" spans="1:1" x14ac:dyDescent="0.25">
      <c r="A10089" s="13"/>
    </row>
    <row r="10090" spans="1:1" x14ac:dyDescent="0.25">
      <c r="A10090" s="13"/>
    </row>
    <row r="10091" spans="1:1" x14ac:dyDescent="0.25">
      <c r="A10091" s="13"/>
    </row>
    <row r="10092" spans="1:1" x14ac:dyDescent="0.25">
      <c r="A10092" s="13"/>
    </row>
    <row r="10093" spans="1:1" x14ac:dyDescent="0.25">
      <c r="A10093" s="13"/>
    </row>
    <row r="10094" spans="1:1" x14ac:dyDescent="0.25">
      <c r="A10094" s="13"/>
    </row>
    <row r="10095" spans="1:1" x14ac:dyDescent="0.25">
      <c r="A10095" s="13"/>
    </row>
    <row r="10096" spans="1:1" x14ac:dyDescent="0.25">
      <c r="A10096" s="13"/>
    </row>
    <row r="10097" spans="1:1" x14ac:dyDescent="0.25">
      <c r="A10097" s="13"/>
    </row>
    <row r="10098" spans="1:1" x14ac:dyDescent="0.25">
      <c r="A10098" s="13"/>
    </row>
    <row r="10099" spans="1:1" x14ac:dyDescent="0.25">
      <c r="A10099" s="13"/>
    </row>
    <row r="10100" spans="1:1" x14ac:dyDescent="0.25">
      <c r="A10100" s="13"/>
    </row>
    <row r="10101" spans="1:1" x14ac:dyDescent="0.25">
      <c r="A10101" s="13"/>
    </row>
    <row r="10102" spans="1:1" x14ac:dyDescent="0.25">
      <c r="A10102" s="13"/>
    </row>
    <row r="10103" spans="1:1" x14ac:dyDescent="0.25">
      <c r="A10103" s="13"/>
    </row>
    <row r="10104" spans="1:1" x14ac:dyDescent="0.25">
      <c r="A10104" s="13"/>
    </row>
    <row r="10105" spans="1:1" x14ac:dyDescent="0.25">
      <c r="A10105" s="13"/>
    </row>
    <row r="10106" spans="1:1" x14ac:dyDescent="0.25">
      <c r="A10106" s="13"/>
    </row>
    <row r="10107" spans="1:1" x14ac:dyDescent="0.25">
      <c r="A10107" s="13"/>
    </row>
    <row r="10108" spans="1:1" x14ac:dyDescent="0.25">
      <c r="A10108" s="13"/>
    </row>
    <row r="10109" spans="1:1" x14ac:dyDescent="0.25">
      <c r="A10109" s="13"/>
    </row>
    <row r="10110" spans="1:1" x14ac:dyDescent="0.25">
      <c r="A10110" s="13"/>
    </row>
    <row r="10111" spans="1:1" x14ac:dyDescent="0.25">
      <c r="A10111" s="13"/>
    </row>
    <row r="10112" spans="1:1" x14ac:dyDescent="0.25">
      <c r="A10112" s="13"/>
    </row>
    <row r="10113" spans="1:1" x14ac:dyDescent="0.25">
      <c r="A10113" s="13"/>
    </row>
    <row r="10114" spans="1:1" x14ac:dyDescent="0.25">
      <c r="A10114" s="13"/>
    </row>
    <row r="10115" spans="1:1" x14ac:dyDescent="0.25">
      <c r="A10115" s="13"/>
    </row>
    <row r="10116" spans="1:1" x14ac:dyDescent="0.25">
      <c r="A10116" s="13"/>
    </row>
    <row r="10117" spans="1:1" x14ac:dyDescent="0.25">
      <c r="A10117" s="13"/>
    </row>
    <row r="10118" spans="1:1" x14ac:dyDescent="0.25">
      <c r="A10118" s="13"/>
    </row>
    <row r="10119" spans="1:1" x14ac:dyDescent="0.25">
      <c r="A10119" s="13"/>
    </row>
    <row r="10120" spans="1:1" x14ac:dyDescent="0.25">
      <c r="A10120" s="13"/>
    </row>
    <row r="10121" spans="1:1" x14ac:dyDescent="0.25">
      <c r="A10121" s="13"/>
    </row>
    <row r="10122" spans="1:1" x14ac:dyDescent="0.25">
      <c r="A10122" s="13"/>
    </row>
    <row r="10123" spans="1:1" x14ac:dyDescent="0.25">
      <c r="A10123" s="13"/>
    </row>
    <row r="10124" spans="1:1" x14ac:dyDescent="0.25">
      <c r="A10124" s="13"/>
    </row>
    <row r="10125" spans="1:1" x14ac:dyDescent="0.25">
      <c r="A10125" s="13"/>
    </row>
    <row r="10126" spans="1:1" x14ac:dyDescent="0.25">
      <c r="A10126" s="13"/>
    </row>
    <row r="10127" spans="1:1" x14ac:dyDescent="0.25">
      <c r="A10127" s="13"/>
    </row>
    <row r="10128" spans="1:1" x14ac:dyDescent="0.25">
      <c r="A10128" s="13"/>
    </row>
    <row r="10129" spans="1:1" x14ac:dyDescent="0.25">
      <c r="A10129" s="13"/>
    </row>
    <row r="10130" spans="1:1" x14ac:dyDescent="0.25">
      <c r="A10130" s="13"/>
    </row>
    <row r="10131" spans="1:1" x14ac:dyDescent="0.25">
      <c r="A10131" s="13"/>
    </row>
    <row r="10132" spans="1:1" x14ac:dyDescent="0.25">
      <c r="A10132" s="13"/>
    </row>
    <row r="10133" spans="1:1" x14ac:dyDescent="0.25">
      <c r="A10133" s="13"/>
    </row>
    <row r="10134" spans="1:1" x14ac:dyDescent="0.25">
      <c r="A10134" s="13"/>
    </row>
    <row r="10135" spans="1:1" x14ac:dyDescent="0.25">
      <c r="A10135" s="13"/>
    </row>
    <row r="10136" spans="1:1" x14ac:dyDescent="0.25">
      <c r="A10136" s="13"/>
    </row>
    <row r="10137" spans="1:1" x14ac:dyDescent="0.25">
      <c r="A10137" s="13"/>
    </row>
    <row r="10138" spans="1:1" x14ac:dyDescent="0.25">
      <c r="A10138" s="13"/>
    </row>
    <row r="10139" spans="1:1" x14ac:dyDescent="0.25">
      <c r="A10139" s="13"/>
    </row>
    <row r="10140" spans="1:1" x14ac:dyDescent="0.25">
      <c r="A10140" s="13"/>
    </row>
    <row r="10141" spans="1:1" x14ac:dyDescent="0.25">
      <c r="A10141" s="13"/>
    </row>
    <row r="10142" spans="1:1" x14ac:dyDescent="0.25">
      <c r="A10142" s="13"/>
    </row>
    <row r="10143" spans="1:1" x14ac:dyDescent="0.25">
      <c r="A10143" s="13"/>
    </row>
    <row r="10144" spans="1:1" x14ac:dyDescent="0.25">
      <c r="A10144" s="13"/>
    </row>
    <row r="10145" spans="1:1" x14ac:dyDescent="0.25">
      <c r="A10145" s="13"/>
    </row>
    <row r="10146" spans="1:1" x14ac:dyDescent="0.25">
      <c r="A10146" s="13"/>
    </row>
    <row r="10147" spans="1:1" x14ac:dyDescent="0.25">
      <c r="A10147" s="13"/>
    </row>
    <row r="10148" spans="1:1" x14ac:dyDescent="0.25">
      <c r="A10148" s="13"/>
    </row>
    <row r="10149" spans="1:1" x14ac:dyDescent="0.25">
      <c r="A10149" s="13"/>
    </row>
    <row r="10150" spans="1:1" x14ac:dyDescent="0.25">
      <c r="A10150" s="13"/>
    </row>
    <row r="10151" spans="1:1" x14ac:dyDescent="0.25">
      <c r="A10151" s="13"/>
    </row>
    <row r="10152" spans="1:1" x14ac:dyDescent="0.25">
      <c r="A10152" s="13"/>
    </row>
    <row r="10153" spans="1:1" x14ac:dyDescent="0.25">
      <c r="A10153" s="13"/>
    </row>
    <row r="10154" spans="1:1" x14ac:dyDescent="0.25">
      <c r="A10154" s="13"/>
    </row>
    <row r="10155" spans="1:1" x14ac:dyDescent="0.25">
      <c r="A10155" s="13"/>
    </row>
    <row r="10156" spans="1:1" x14ac:dyDescent="0.25">
      <c r="A10156" s="13"/>
    </row>
    <row r="10157" spans="1:1" x14ac:dyDescent="0.25">
      <c r="A10157" s="13"/>
    </row>
    <row r="10158" spans="1:1" x14ac:dyDescent="0.25">
      <c r="A10158" s="13"/>
    </row>
    <row r="10159" spans="1:1" x14ac:dyDescent="0.25">
      <c r="A10159" s="13"/>
    </row>
    <row r="10160" spans="1:1" x14ac:dyDescent="0.25">
      <c r="A10160" s="13"/>
    </row>
    <row r="10161" spans="1:1" x14ac:dyDescent="0.25">
      <c r="A10161" s="13"/>
    </row>
    <row r="10162" spans="1:1" x14ac:dyDescent="0.25">
      <c r="A10162" s="13"/>
    </row>
    <row r="10163" spans="1:1" x14ac:dyDescent="0.25">
      <c r="A10163" s="13"/>
    </row>
    <row r="10164" spans="1:1" x14ac:dyDescent="0.25">
      <c r="A10164" s="13"/>
    </row>
    <row r="10165" spans="1:1" x14ac:dyDescent="0.25">
      <c r="A10165" s="13"/>
    </row>
    <row r="10166" spans="1:1" x14ac:dyDescent="0.25">
      <c r="A10166" s="13"/>
    </row>
    <row r="10167" spans="1:1" x14ac:dyDescent="0.25">
      <c r="A10167" s="13"/>
    </row>
    <row r="10168" spans="1:1" x14ac:dyDescent="0.25">
      <c r="A10168" s="13"/>
    </row>
    <row r="10169" spans="1:1" x14ac:dyDescent="0.25">
      <c r="A10169" s="13"/>
    </row>
    <row r="10170" spans="1:1" x14ac:dyDescent="0.25">
      <c r="A10170" s="13"/>
    </row>
    <row r="10171" spans="1:1" x14ac:dyDescent="0.25">
      <c r="A10171" s="13"/>
    </row>
    <row r="10172" spans="1:1" x14ac:dyDescent="0.25">
      <c r="A10172" s="13"/>
    </row>
    <row r="10173" spans="1:1" x14ac:dyDescent="0.25">
      <c r="A10173" s="13"/>
    </row>
    <row r="10174" spans="1:1" x14ac:dyDescent="0.25">
      <c r="A10174" s="13"/>
    </row>
    <row r="10175" spans="1:1" x14ac:dyDescent="0.25">
      <c r="A10175" s="13"/>
    </row>
    <row r="10176" spans="1:1" x14ac:dyDescent="0.25">
      <c r="A10176" s="13"/>
    </row>
    <row r="10177" spans="1:1" x14ac:dyDescent="0.25">
      <c r="A10177" s="13"/>
    </row>
    <row r="10178" spans="1:1" x14ac:dyDescent="0.25">
      <c r="A10178" s="13"/>
    </row>
    <row r="10179" spans="1:1" x14ac:dyDescent="0.25">
      <c r="A10179" s="13"/>
    </row>
    <row r="10180" spans="1:1" x14ac:dyDescent="0.25">
      <c r="A10180" s="13"/>
    </row>
    <row r="10181" spans="1:1" x14ac:dyDescent="0.25">
      <c r="A10181" s="13"/>
    </row>
    <row r="10182" spans="1:1" x14ac:dyDescent="0.25">
      <c r="A10182" s="13"/>
    </row>
    <row r="10183" spans="1:1" x14ac:dyDescent="0.25">
      <c r="A10183" s="13"/>
    </row>
    <row r="10184" spans="1:1" x14ac:dyDescent="0.25">
      <c r="A10184" s="13"/>
    </row>
    <row r="10185" spans="1:1" x14ac:dyDescent="0.25">
      <c r="A10185" s="13"/>
    </row>
    <row r="10186" spans="1:1" x14ac:dyDescent="0.25">
      <c r="A10186" s="13"/>
    </row>
    <row r="10187" spans="1:1" x14ac:dyDescent="0.25">
      <c r="A10187" s="13"/>
    </row>
    <row r="10188" spans="1:1" x14ac:dyDescent="0.25">
      <c r="A10188" s="13"/>
    </row>
    <row r="10189" spans="1:1" x14ac:dyDescent="0.25">
      <c r="A10189" s="13"/>
    </row>
    <row r="10190" spans="1:1" x14ac:dyDescent="0.25">
      <c r="A10190" s="13"/>
    </row>
    <row r="10191" spans="1:1" x14ac:dyDescent="0.25">
      <c r="A10191" s="13"/>
    </row>
    <row r="10192" spans="1:1" x14ac:dyDescent="0.25">
      <c r="A10192" s="13"/>
    </row>
    <row r="10193" spans="1:1" x14ac:dyDescent="0.25">
      <c r="A10193" s="13"/>
    </row>
    <row r="10194" spans="1:1" x14ac:dyDescent="0.25">
      <c r="A10194" s="13"/>
    </row>
    <row r="10195" spans="1:1" x14ac:dyDescent="0.25">
      <c r="A10195" s="13"/>
    </row>
    <row r="10196" spans="1:1" x14ac:dyDescent="0.25">
      <c r="A10196" s="13"/>
    </row>
    <row r="10197" spans="1:1" x14ac:dyDescent="0.25">
      <c r="A10197" s="13"/>
    </row>
    <row r="10198" spans="1:1" x14ac:dyDescent="0.25">
      <c r="A10198" s="13"/>
    </row>
    <row r="10199" spans="1:1" x14ac:dyDescent="0.25">
      <c r="A10199" s="13"/>
    </row>
    <row r="10200" spans="1:1" x14ac:dyDescent="0.25">
      <c r="A10200" s="13"/>
    </row>
    <row r="10201" spans="1:1" x14ac:dyDescent="0.25">
      <c r="A10201" s="13"/>
    </row>
    <row r="10202" spans="1:1" x14ac:dyDescent="0.25">
      <c r="A10202" s="13"/>
    </row>
    <row r="10203" spans="1:1" x14ac:dyDescent="0.25">
      <c r="A10203" s="13"/>
    </row>
    <row r="10204" spans="1:1" x14ac:dyDescent="0.25">
      <c r="A10204" s="13"/>
    </row>
    <row r="10205" spans="1:1" x14ac:dyDescent="0.25">
      <c r="A10205" s="13"/>
    </row>
    <row r="10206" spans="1:1" x14ac:dyDescent="0.25">
      <c r="A10206" s="13"/>
    </row>
    <row r="10207" spans="1:1" x14ac:dyDescent="0.25">
      <c r="A10207" s="13"/>
    </row>
    <row r="10208" spans="1:1" x14ac:dyDescent="0.25">
      <c r="A10208" s="13"/>
    </row>
    <row r="10209" spans="1:1" x14ac:dyDescent="0.25">
      <c r="A10209" s="13"/>
    </row>
    <row r="10210" spans="1:1" x14ac:dyDescent="0.25">
      <c r="A10210" s="13"/>
    </row>
    <row r="10211" spans="1:1" x14ac:dyDescent="0.25">
      <c r="A10211" s="13"/>
    </row>
    <row r="10212" spans="1:1" x14ac:dyDescent="0.25">
      <c r="A10212" s="13"/>
    </row>
    <row r="10213" spans="1:1" x14ac:dyDescent="0.25">
      <c r="A10213" s="13"/>
    </row>
    <row r="10214" spans="1:1" x14ac:dyDescent="0.25">
      <c r="A10214" s="13"/>
    </row>
    <row r="10215" spans="1:1" x14ac:dyDescent="0.25">
      <c r="A10215" s="13"/>
    </row>
    <row r="10216" spans="1:1" x14ac:dyDescent="0.25">
      <c r="A10216" s="13"/>
    </row>
    <row r="10217" spans="1:1" x14ac:dyDescent="0.25">
      <c r="A10217" s="13"/>
    </row>
    <row r="10218" spans="1:1" x14ac:dyDescent="0.25">
      <c r="A10218" s="13"/>
    </row>
    <row r="10219" spans="1:1" x14ac:dyDescent="0.25">
      <c r="A10219" s="13"/>
    </row>
    <row r="10220" spans="1:1" x14ac:dyDescent="0.25">
      <c r="A10220" s="13"/>
    </row>
    <row r="10221" spans="1:1" x14ac:dyDescent="0.25">
      <c r="A10221" s="13"/>
    </row>
    <row r="10222" spans="1:1" x14ac:dyDescent="0.25">
      <c r="A10222" s="13"/>
    </row>
    <row r="10223" spans="1:1" x14ac:dyDescent="0.25">
      <c r="A10223" s="13"/>
    </row>
    <row r="10224" spans="1:1" x14ac:dyDescent="0.25">
      <c r="A10224" s="13"/>
    </row>
    <row r="10225" spans="1:1" x14ac:dyDescent="0.25">
      <c r="A10225" s="13"/>
    </row>
    <row r="10226" spans="1:1" x14ac:dyDescent="0.25">
      <c r="A10226" s="13"/>
    </row>
    <row r="10227" spans="1:1" x14ac:dyDescent="0.25">
      <c r="A10227" s="13"/>
    </row>
    <row r="10228" spans="1:1" x14ac:dyDescent="0.25">
      <c r="A10228" s="13"/>
    </row>
    <row r="10229" spans="1:1" x14ac:dyDescent="0.25">
      <c r="A10229" s="13"/>
    </row>
    <row r="10230" spans="1:1" x14ac:dyDescent="0.25">
      <c r="A10230" s="13"/>
    </row>
    <row r="10231" spans="1:1" x14ac:dyDescent="0.25">
      <c r="A10231" s="13"/>
    </row>
    <row r="10232" spans="1:1" x14ac:dyDescent="0.25">
      <c r="A10232" s="13"/>
    </row>
    <row r="10233" spans="1:1" x14ac:dyDescent="0.25">
      <c r="A10233" s="13"/>
    </row>
    <row r="10234" spans="1:1" x14ac:dyDescent="0.25">
      <c r="A10234" s="13"/>
    </row>
    <row r="10235" spans="1:1" x14ac:dyDescent="0.25">
      <c r="A10235" s="13"/>
    </row>
    <row r="10236" spans="1:1" x14ac:dyDescent="0.25">
      <c r="A10236" s="13"/>
    </row>
    <row r="10237" spans="1:1" x14ac:dyDescent="0.25">
      <c r="A10237" s="13"/>
    </row>
    <row r="10238" spans="1:1" x14ac:dyDescent="0.25">
      <c r="A10238" s="13"/>
    </row>
    <row r="10239" spans="1:1" x14ac:dyDescent="0.25">
      <c r="A10239" s="13"/>
    </row>
    <row r="10240" spans="1:1" x14ac:dyDescent="0.25">
      <c r="A10240" s="13"/>
    </row>
    <row r="10241" spans="1:1" x14ac:dyDescent="0.25">
      <c r="A10241" s="13"/>
    </row>
    <row r="10242" spans="1:1" x14ac:dyDescent="0.25">
      <c r="A10242" s="13"/>
    </row>
    <row r="10243" spans="1:1" x14ac:dyDescent="0.25">
      <c r="A10243" s="13"/>
    </row>
    <row r="10244" spans="1:1" x14ac:dyDescent="0.25">
      <c r="A10244" s="13"/>
    </row>
    <row r="10245" spans="1:1" x14ac:dyDescent="0.25">
      <c r="A10245" s="13"/>
    </row>
    <row r="10246" spans="1:1" x14ac:dyDescent="0.25">
      <c r="A10246" s="13"/>
    </row>
    <row r="10247" spans="1:1" x14ac:dyDescent="0.25">
      <c r="A10247" s="13"/>
    </row>
    <row r="10248" spans="1:1" x14ac:dyDescent="0.25">
      <c r="A10248" s="13"/>
    </row>
    <row r="10249" spans="1:1" x14ac:dyDescent="0.25">
      <c r="A10249" s="13"/>
    </row>
    <row r="10250" spans="1:1" x14ac:dyDescent="0.25">
      <c r="A10250" s="13"/>
    </row>
    <row r="10251" spans="1:1" x14ac:dyDescent="0.25">
      <c r="A10251" s="13"/>
    </row>
    <row r="10252" spans="1:1" x14ac:dyDescent="0.25">
      <c r="A10252" s="13"/>
    </row>
    <row r="10253" spans="1:1" x14ac:dyDescent="0.25">
      <c r="A10253" s="13"/>
    </row>
    <row r="10254" spans="1:1" x14ac:dyDescent="0.25">
      <c r="A10254" s="13"/>
    </row>
    <row r="10255" spans="1:1" x14ac:dyDescent="0.25">
      <c r="A10255" s="13"/>
    </row>
    <row r="10256" spans="1:1" x14ac:dyDescent="0.25">
      <c r="A10256" s="13"/>
    </row>
    <row r="10257" spans="1:1" x14ac:dyDescent="0.25">
      <c r="A10257" s="13"/>
    </row>
    <row r="10258" spans="1:1" x14ac:dyDescent="0.25">
      <c r="A10258" s="13"/>
    </row>
    <row r="10259" spans="1:1" x14ac:dyDescent="0.25">
      <c r="A10259" s="13"/>
    </row>
    <row r="10260" spans="1:1" x14ac:dyDescent="0.25">
      <c r="A10260" s="13"/>
    </row>
    <row r="10261" spans="1:1" x14ac:dyDescent="0.25">
      <c r="A10261" s="13"/>
    </row>
    <row r="10262" spans="1:1" x14ac:dyDescent="0.25">
      <c r="A10262" s="13"/>
    </row>
    <row r="10263" spans="1:1" x14ac:dyDescent="0.25">
      <c r="A10263" s="13"/>
    </row>
    <row r="10264" spans="1:1" x14ac:dyDescent="0.25">
      <c r="A10264" s="13"/>
    </row>
    <row r="10265" spans="1:1" x14ac:dyDescent="0.25">
      <c r="A10265" s="13"/>
    </row>
    <row r="10266" spans="1:1" x14ac:dyDescent="0.25">
      <c r="A10266" s="13"/>
    </row>
    <row r="10267" spans="1:1" x14ac:dyDescent="0.25">
      <c r="A10267" s="13"/>
    </row>
    <row r="10268" spans="1:1" x14ac:dyDescent="0.25">
      <c r="A10268" s="13"/>
    </row>
    <row r="10269" spans="1:1" x14ac:dyDescent="0.25">
      <c r="A10269" s="13"/>
    </row>
    <row r="10270" spans="1:1" x14ac:dyDescent="0.25">
      <c r="A10270" s="13"/>
    </row>
    <row r="10271" spans="1:1" x14ac:dyDescent="0.25">
      <c r="A10271" s="13"/>
    </row>
    <row r="10272" spans="1:1" x14ac:dyDescent="0.25">
      <c r="A10272" s="13"/>
    </row>
    <row r="10273" spans="1:1" x14ac:dyDescent="0.25">
      <c r="A10273" s="13"/>
    </row>
    <row r="10274" spans="1:1" x14ac:dyDescent="0.25">
      <c r="A10274" s="13"/>
    </row>
    <row r="10275" spans="1:1" x14ac:dyDescent="0.25">
      <c r="A10275" s="13"/>
    </row>
    <row r="10276" spans="1:1" x14ac:dyDescent="0.25">
      <c r="A10276" s="13"/>
    </row>
    <row r="10277" spans="1:1" x14ac:dyDescent="0.25">
      <c r="A10277" s="13"/>
    </row>
    <row r="10278" spans="1:1" x14ac:dyDescent="0.25">
      <c r="A10278" s="13"/>
    </row>
    <row r="10279" spans="1:1" x14ac:dyDescent="0.25">
      <c r="A10279" s="13"/>
    </row>
    <row r="10280" spans="1:1" x14ac:dyDescent="0.25">
      <c r="A10280" s="13"/>
    </row>
    <row r="10281" spans="1:1" x14ac:dyDescent="0.25">
      <c r="A10281" s="13"/>
    </row>
    <row r="10282" spans="1:1" x14ac:dyDescent="0.25">
      <c r="A10282" s="13"/>
    </row>
    <row r="10283" spans="1:1" x14ac:dyDescent="0.25">
      <c r="A10283" s="13"/>
    </row>
    <row r="10284" spans="1:1" x14ac:dyDescent="0.25">
      <c r="A10284" s="13"/>
    </row>
    <row r="10285" spans="1:1" x14ac:dyDescent="0.25">
      <c r="A10285" s="13"/>
    </row>
    <row r="10286" spans="1:1" x14ac:dyDescent="0.25">
      <c r="A10286" s="13"/>
    </row>
    <row r="10287" spans="1:1" x14ac:dyDescent="0.25">
      <c r="A10287" s="13"/>
    </row>
    <row r="10288" spans="1:1" x14ac:dyDescent="0.25">
      <c r="A10288" s="13"/>
    </row>
    <row r="10289" spans="1:1" x14ac:dyDescent="0.25">
      <c r="A10289" s="13"/>
    </row>
    <row r="10290" spans="1:1" x14ac:dyDescent="0.25">
      <c r="A10290" s="13"/>
    </row>
    <row r="10291" spans="1:1" x14ac:dyDescent="0.25">
      <c r="A10291" s="13"/>
    </row>
    <row r="10292" spans="1:1" x14ac:dyDescent="0.25">
      <c r="A10292" s="13"/>
    </row>
    <row r="10293" spans="1:1" x14ac:dyDescent="0.25">
      <c r="A10293" s="13"/>
    </row>
    <row r="10294" spans="1:1" x14ac:dyDescent="0.25">
      <c r="A10294" s="13"/>
    </row>
    <row r="10295" spans="1:1" x14ac:dyDescent="0.25">
      <c r="A10295" s="13"/>
    </row>
    <row r="10296" spans="1:1" x14ac:dyDescent="0.25">
      <c r="A10296" s="13"/>
    </row>
    <row r="10297" spans="1:1" x14ac:dyDescent="0.25">
      <c r="A10297" s="13"/>
    </row>
    <row r="10298" spans="1:1" x14ac:dyDescent="0.25">
      <c r="A10298" s="13"/>
    </row>
    <row r="10299" spans="1:1" x14ac:dyDescent="0.25">
      <c r="A10299" s="13"/>
    </row>
    <row r="10300" spans="1:1" x14ac:dyDescent="0.25">
      <c r="A10300" s="13"/>
    </row>
    <row r="10301" spans="1:1" x14ac:dyDescent="0.25">
      <c r="A10301" s="13"/>
    </row>
    <row r="10302" spans="1:1" x14ac:dyDescent="0.25">
      <c r="A10302" s="13"/>
    </row>
    <row r="10303" spans="1:1" x14ac:dyDescent="0.25">
      <c r="A10303" s="13"/>
    </row>
    <row r="10304" spans="1:1" x14ac:dyDescent="0.25">
      <c r="A10304" s="13"/>
    </row>
    <row r="10305" spans="1:1" x14ac:dyDescent="0.25">
      <c r="A10305" s="13"/>
    </row>
    <row r="10306" spans="1:1" x14ac:dyDescent="0.25">
      <c r="A10306" s="13"/>
    </row>
    <row r="10307" spans="1:1" x14ac:dyDescent="0.25">
      <c r="A10307" s="13"/>
    </row>
    <row r="10308" spans="1:1" x14ac:dyDescent="0.25">
      <c r="A10308" s="13"/>
    </row>
    <row r="10309" spans="1:1" x14ac:dyDescent="0.25">
      <c r="A10309" s="13"/>
    </row>
    <row r="10310" spans="1:1" x14ac:dyDescent="0.25">
      <c r="A10310" s="13"/>
    </row>
    <row r="10311" spans="1:1" x14ac:dyDescent="0.25">
      <c r="A10311" s="13"/>
    </row>
    <row r="10312" spans="1:1" x14ac:dyDescent="0.25">
      <c r="A10312" s="13"/>
    </row>
    <row r="10313" spans="1:1" x14ac:dyDescent="0.25">
      <c r="A10313" s="13"/>
    </row>
    <row r="10314" spans="1:1" x14ac:dyDescent="0.25">
      <c r="A10314" s="13"/>
    </row>
    <row r="10315" spans="1:1" x14ac:dyDescent="0.25">
      <c r="A10315" s="13"/>
    </row>
    <row r="10316" spans="1:1" x14ac:dyDescent="0.25">
      <c r="A10316" s="13"/>
    </row>
    <row r="10317" spans="1:1" x14ac:dyDescent="0.25">
      <c r="A10317" s="13"/>
    </row>
    <row r="10318" spans="1:1" x14ac:dyDescent="0.25">
      <c r="A10318" s="13"/>
    </row>
    <row r="10319" spans="1:1" x14ac:dyDescent="0.25">
      <c r="A10319" s="13"/>
    </row>
    <row r="10320" spans="1:1" x14ac:dyDescent="0.25">
      <c r="A10320" s="13"/>
    </row>
    <row r="10321" spans="1:1" x14ac:dyDescent="0.25">
      <c r="A10321" s="13"/>
    </row>
    <row r="10322" spans="1:1" x14ac:dyDescent="0.25">
      <c r="A10322" s="13"/>
    </row>
    <row r="10323" spans="1:1" x14ac:dyDescent="0.25">
      <c r="A10323" s="13"/>
    </row>
    <row r="10324" spans="1:1" x14ac:dyDescent="0.25">
      <c r="A10324" s="13"/>
    </row>
    <row r="10325" spans="1:1" x14ac:dyDescent="0.25">
      <c r="A10325" s="13"/>
    </row>
    <row r="10326" spans="1:1" x14ac:dyDescent="0.25">
      <c r="A10326" s="13"/>
    </row>
    <row r="10327" spans="1:1" x14ac:dyDescent="0.25">
      <c r="A10327" s="13"/>
    </row>
    <row r="10328" spans="1:1" x14ac:dyDescent="0.25">
      <c r="A10328" s="13"/>
    </row>
    <row r="10329" spans="1:1" x14ac:dyDescent="0.25">
      <c r="A10329" s="13"/>
    </row>
    <row r="10330" spans="1:1" x14ac:dyDescent="0.25">
      <c r="A10330" s="13"/>
    </row>
    <row r="10331" spans="1:1" x14ac:dyDescent="0.25">
      <c r="A10331" s="13"/>
    </row>
    <row r="10332" spans="1:1" x14ac:dyDescent="0.25">
      <c r="A10332" s="13"/>
    </row>
    <row r="10333" spans="1:1" x14ac:dyDescent="0.25">
      <c r="A10333" s="13"/>
    </row>
    <row r="10334" spans="1:1" x14ac:dyDescent="0.25">
      <c r="A10334" s="13"/>
    </row>
    <row r="10335" spans="1:1" x14ac:dyDescent="0.25">
      <c r="A10335" s="13"/>
    </row>
    <row r="10336" spans="1:1" x14ac:dyDescent="0.25">
      <c r="A10336" s="13"/>
    </row>
    <row r="10337" spans="1:1" x14ac:dyDescent="0.25">
      <c r="A10337" s="13"/>
    </row>
    <row r="10338" spans="1:1" x14ac:dyDescent="0.25">
      <c r="A10338" s="13"/>
    </row>
    <row r="10339" spans="1:1" x14ac:dyDescent="0.25">
      <c r="A10339" s="13"/>
    </row>
    <row r="10340" spans="1:1" x14ac:dyDescent="0.25">
      <c r="A10340" s="13"/>
    </row>
    <row r="10341" spans="1:1" x14ac:dyDescent="0.25">
      <c r="A10341" s="13"/>
    </row>
    <row r="10342" spans="1:1" x14ac:dyDescent="0.25">
      <c r="A10342" s="13"/>
    </row>
    <row r="10343" spans="1:1" x14ac:dyDescent="0.25">
      <c r="A10343" s="13"/>
    </row>
    <row r="10344" spans="1:1" x14ac:dyDescent="0.25">
      <c r="A10344" s="13"/>
    </row>
    <row r="10345" spans="1:1" x14ac:dyDescent="0.25">
      <c r="A10345" s="13"/>
    </row>
    <row r="10346" spans="1:1" x14ac:dyDescent="0.25">
      <c r="A10346" s="13"/>
    </row>
    <row r="10347" spans="1:1" x14ac:dyDescent="0.25">
      <c r="A10347" s="13"/>
    </row>
    <row r="10348" spans="1:1" x14ac:dyDescent="0.25">
      <c r="A10348" s="13"/>
    </row>
    <row r="10349" spans="1:1" x14ac:dyDescent="0.25">
      <c r="A10349" s="13"/>
    </row>
    <row r="10350" spans="1:1" x14ac:dyDescent="0.25">
      <c r="A10350" s="13"/>
    </row>
    <row r="10351" spans="1:1" x14ac:dyDescent="0.25">
      <c r="A10351" s="13"/>
    </row>
    <row r="10352" spans="1:1" x14ac:dyDescent="0.25">
      <c r="A10352" s="13"/>
    </row>
    <row r="10353" spans="1:1" x14ac:dyDescent="0.25">
      <c r="A10353" s="13"/>
    </row>
    <row r="10354" spans="1:1" x14ac:dyDescent="0.25">
      <c r="A10354" s="13"/>
    </row>
    <row r="10355" spans="1:1" x14ac:dyDescent="0.25">
      <c r="A10355" s="13"/>
    </row>
    <row r="10356" spans="1:1" x14ac:dyDescent="0.25">
      <c r="A10356" s="13"/>
    </row>
    <row r="10357" spans="1:1" x14ac:dyDescent="0.25">
      <c r="A10357" s="13"/>
    </row>
    <row r="10358" spans="1:1" x14ac:dyDescent="0.25">
      <c r="A10358" s="13"/>
    </row>
    <row r="10359" spans="1:1" x14ac:dyDescent="0.25">
      <c r="A10359" s="13"/>
    </row>
    <row r="10360" spans="1:1" x14ac:dyDescent="0.25">
      <c r="A10360" s="13"/>
    </row>
    <row r="10361" spans="1:1" x14ac:dyDescent="0.25">
      <c r="A10361" s="13"/>
    </row>
    <row r="10362" spans="1:1" x14ac:dyDescent="0.25">
      <c r="A10362" s="13"/>
    </row>
    <row r="10363" spans="1:1" x14ac:dyDescent="0.25">
      <c r="A10363" s="13"/>
    </row>
    <row r="10364" spans="1:1" x14ac:dyDescent="0.25">
      <c r="A10364" s="13"/>
    </row>
    <row r="10365" spans="1:1" x14ac:dyDescent="0.25">
      <c r="A10365" s="13"/>
    </row>
    <row r="10366" spans="1:1" x14ac:dyDescent="0.25">
      <c r="A10366" s="13"/>
    </row>
    <row r="10367" spans="1:1" x14ac:dyDescent="0.25">
      <c r="A10367" s="13"/>
    </row>
    <row r="10368" spans="1:1" x14ac:dyDescent="0.25">
      <c r="A10368" s="13"/>
    </row>
    <row r="10369" spans="1:1" x14ac:dyDescent="0.25">
      <c r="A10369" s="13"/>
    </row>
    <row r="10370" spans="1:1" x14ac:dyDescent="0.25">
      <c r="A10370" s="13"/>
    </row>
    <row r="10371" spans="1:1" x14ac:dyDescent="0.25">
      <c r="A10371" s="13"/>
    </row>
    <row r="10372" spans="1:1" x14ac:dyDescent="0.25">
      <c r="A10372" s="13"/>
    </row>
    <row r="10373" spans="1:1" x14ac:dyDescent="0.25">
      <c r="A10373" s="13"/>
    </row>
    <row r="10374" spans="1:1" x14ac:dyDescent="0.25">
      <c r="A10374" s="13"/>
    </row>
    <row r="10375" spans="1:1" x14ac:dyDescent="0.25">
      <c r="A10375" s="13"/>
    </row>
    <row r="10376" spans="1:1" x14ac:dyDescent="0.25">
      <c r="A10376" s="13"/>
    </row>
    <row r="10377" spans="1:1" x14ac:dyDescent="0.25">
      <c r="A10377" s="13"/>
    </row>
    <row r="10378" spans="1:1" x14ac:dyDescent="0.25">
      <c r="A10378" s="13"/>
    </row>
    <row r="10379" spans="1:1" x14ac:dyDescent="0.25">
      <c r="A10379" s="13"/>
    </row>
    <row r="10380" spans="1:1" x14ac:dyDescent="0.25">
      <c r="A10380" s="13"/>
    </row>
    <row r="10381" spans="1:1" x14ac:dyDescent="0.25">
      <c r="A10381" s="13"/>
    </row>
    <row r="10382" spans="1:1" x14ac:dyDescent="0.25">
      <c r="A10382" s="13"/>
    </row>
    <row r="10383" spans="1:1" x14ac:dyDescent="0.25">
      <c r="A10383" s="13"/>
    </row>
    <row r="10384" spans="1:1" x14ac:dyDescent="0.25">
      <c r="A10384" s="13"/>
    </row>
    <row r="10385" spans="1:1" x14ac:dyDescent="0.25">
      <c r="A10385" s="13"/>
    </row>
    <row r="10386" spans="1:1" x14ac:dyDescent="0.25">
      <c r="A10386" s="13"/>
    </row>
    <row r="10387" spans="1:1" x14ac:dyDescent="0.25">
      <c r="A10387" s="13"/>
    </row>
    <row r="10388" spans="1:1" x14ac:dyDescent="0.25">
      <c r="A10388" s="13"/>
    </row>
    <row r="10389" spans="1:1" x14ac:dyDescent="0.25">
      <c r="A10389" s="13"/>
    </row>
    <row r="10390" spans="1:1" x14ac:dyDescent="0.25">
      <c r="A10390" s="13"/>
    </row>
    <row r="10391" spans="1:1" x14ac:dyDescent="0.25">
      <c r="A10391" s="13"/>
    </row>
    <row r="10392" spans="1:1" x14ac:dyDescent="0.25">
      <c r="A10392" s="13"/>
    </row>
    <row r="10393" spans="1:1" x14ac:dyDescent="0.25">
      <c r="A10393" s="13"/>
    </row>
    <row r="10394" spans="1:1" x14ac:dyDescent="0.25">
      <c r="A10394" s="13"/>
    </row>
    <row r="10395" spans="1:1" x14ac:dyDescent="0.25">
      <c r="A10395" s="13"/>
    </row>
    <row r="10396" spans="1:1" x14ac:dyDescent="0.25">
      <c r="A10396" s="13"/>
    </row>
    <row r="10397" spans="1:1" x14ac:dyDescent="0.25">
      <c r="A10397" s="13"/>
    </row>
    <row r="10398" spans="1:1" x14ac:dyDescent="0.25">
      <c r="A10398" s="13"/>
    </row>
    <row r="10399" spans="1:1" x14ac:dyDescent="0.25">
      <c r="A10399" s="13"/>
    </row>
    <row r="10400" spans="1:1" x14ac:dyDescent="0.25">
      <c r="A10400" s="13"/>
    </row>
    <row r="10401" spans="1:1" x14ac:dyDescent="0.25">
      <c r="A10401" s="13"/>
    </row>
    <row r="10402" spans="1:1" x14ac:dyDescent="0.25">
      <c r="A10402" s="13"/>
    </row>
    <row r="10403" spans="1:1" x14ac:dyDescent="0.25">
      <c r="A10403" s="13"/>
    </row>
    <row r="10404" spans="1:1" x14ac:dyDescent="0.25">
      <c r="A10404" s="13"/>
    </row>
    <row r="10405" spans="1:1" x14ac:dyDescent="0.25">
      <c r="A10405" s="13"/>
    </row>
    <row r="10406" spans="1:1" x14ac:dyDescent="0.25">
      <c r="A10406" s="13"/>
    </row>
    <row r="10407" spans="1:1" x14ac:dyDescent="0.25">
      <c r="A10407" s="13"/>
    </row>
    <row r="10408" spans="1:1" x14ac:dyDescent="0.25">
      <c r="A10408" s="13"/>
    </row>
    <row r="10409" spans="1:1" x14ac:dyDescent="0.25">
      <c r="A10409" s="13"/>
    </row>
    <row r="10410" spans="1:1" x14ac:dyDescent="0.25">
      <c r="A10410" s="13"/>
    </row>
    <row r="10411" spans="1:1" x14ac:dyDescent="0.25">
      <c r="A10411" s="13"/>
    </row>
    <row r="10412" spans="1:1" x14ac:dyDescent="0.25">
      <c r="A10412" s="13"/>
    </row>
    <row r="10413" spans="1:1" x14ac:dyDescent="0.25">
      <c r="A10413" s="13"/>
    </row>
    <row r="10414" spans="1:1" x14ac:dyDescent="0.25">
      <c r="A10414" s="13"/>
    </row>
    <row r="10415" spans="1:1" x14ac:dyDescent="0.25">
      <c r="A10415" s="13"/>
    </row>
    <row r="10416" spans="1:1" x14ac:dyDescent="0.25">
      <c r="A10416" s="13"/>
    </row>
    <row r="10417" spans="1:1" x14ac:dyDescent="0.25">
      <c r="A10417" s="13"/>
    </row>
    <row r="10418" spans="1:1" x14ac:dyDescent="0.25">
      <c r="A10418" s="13"/>
    </row>
    <row r="10419" spans="1:1" x14ac:dyDescent="0.25">
      <c r="A10419" s="13"/>
    </row>
    <row r="10420" spans="1:1" x14ac:dyDescent="0.25">
      <c r="A10420" s="13"/>
    </row>
    <row r="10421" spans="1:1" x14ac:dyDescent="0.25">
      <c r="A10421" s="13"/>
    </row>
    <row r="10422" spans="1:1" x14ac:dyDescent="0.25">
      <c r="A10422" s="13"/>
    </row>
    <row r="10423" spans="1:1" x14ac:dyDescent="0.25">
      <c r="A10423" s="13"/>
    </row>
    <row r="10424" spans="1:1" x14ac:dyDescent="0.25">
      <c r="A10424" s="13"/>
    </row>
    <row r="10425" spans="1:1" x14ac:dyDescent="0.25">
      <c r="A10425" s="13"/>
    </row>
    <row r="10426" spans="1:1" x14ac:dyDescent="0.25">
      <c r="A10426" s="13"/>
    </row>
    <row r="10427" spans="1:1" x14ac:dyDescent="0.25">
      <c r="A10427" s="13"/>
    </row>
    <row r="10428" spans="1:1" x14ac:dyDescent="0.25">
      <c r="A10428" s="13"/>
    </row>
    <row r="10429" spans="1:1" x14ac:dyDescent="0.25">
      <c r="A10429" s="13"/>
    </row>
    <row r="10430" spans="1:1" x14ac:dyDescent="0.25">
      <c r="A10430" s="13"/>
    </row>
    <row r="10431" spans="1:1" x14ac:dyDescent="0.25">
      <c r="A10431" s="13"/>
    </row>
    <row r="10432" spans="1:1" x14ac:dyDescent="0.25">
      <c r="A10432" s="13"/>
    </row>
    <row r="10433" spans="1:1" x14ac:dyDescent="0.25">
      <c r="A10433" s="13"/>
    </row>
    <row r="10434" spans="1:1" x14ac:dyDescent="0.25">
      <c r="A10434" s="13"/>
    </row>
    <row r="10435" spans="1:1" x14ac:dyDescent="0.25">
      <c r="A10435" s="13"/>
    </row>
    <row r="10436" spans="1:1" x14ac:dyDescent="0.25">
      <c r="A10436" s="13"/>
    </row>
    <row r="10437" spans="1:1" x14ac:dyDescent="0.25">
      <c r="A10437" s="13"/>
    </row>
    <row r="10438" spans="1:1" x14ac:dyDescent="0.25">
      <c r="A10438" s="13"/>
    </row>
    <row r="10439" spans="1:1" x14ac:dyDescent="0.25">
      <c r="A10439" s="13"/>
    </row>
    <row r="10440" spans="1:1" x14ac:dyDescent="0.25">
      <c r="A10440" s="13"/>
    </row>
    <row r="10441" spans="1:1" x14ac:dyDescent="0.25">
      <c r="A10441" s="13"/>
    </row>
    <row r="10442" spans="1:1" x14ac:dyDescent="0.25">
      <c r="A10442" s="13"/>
    </row>
    <row r="10443" spans="1:1" x14ac:dyDescent="0.25">
      <c r="A10443" s="13"/>
    </row>
    <row r="10444" spans="1:1" x14ac:dyDescent="0.25">
      <c r="A10444" s="13"/>
    </row>
    <row r="10445" spans="1:1" x14ac:dyDescent="0.25">
      <c r="A10445" s="13"/>
    </row>
    <row r="10446" spans="1:1" x14ac:dyDescent="0.25">
      <c r="A10446" s="13"/>
    </row>
    <row r="10447" spans="1:1" x14ac:dyDescent="0.25">
      <c r="A10447" s="13"/>
    </row>
    <row r="10448" spans="1:1" x14ac:dyDescent="0.25">
      <c r="A10448" s="13"/>
    </row>
    <row r="10449" spans="1:1" x14ac:dyDescent="0.25">
      <c r="A10449" s="13"/>
    </row>
    <row r="10450" spans="1:1" x14ac:dyDescent="0.25">
      <c r="A10450" s="13"/>
    </row>
    <row r="10451" spans="1:1" x14ac:dyDescent="0.25">
      <c r="A10451" s="13"/>
    </row>
    <row r="10452" spans="1:1" x14ac:dyDescent="0.25">
      <c r="A10452" s="13"/>
    </row>
    <row r="10453" spans="1:1" x14ac:dyDescent="0.25">
      <c r="A10453" s="13"/>
    </row>
    <row r="10454" spans="1:1" x14ac:dyDescent="0.25">
      <c r="A10454" s="13"/>
    </row>
    <row r="10455" spans="1:1" x14ac:dyDescent="0.25">
      <c r="A10455" s="13"/>
    </row>
    <row r="10456" spans="1:1" x14ac:dyDescent="0.25">
      <c r="A10456" s="13"/>
    </row>
    <row r="10457" spans="1:1" x14ac:dyDescent="0.25">
      <c r="A10457" s="13"/>
    </row>
    <row r="10458" spans="1:1" x14ac:dyDescent="0.25">
      <c r="A10458" s="13"/>
    </row>
    <row r="10459" spans="1:1" x14ac:dyDescent="0.25">
      <c r="A10459" s="13"/>
    </row>
    <row r="10460" spans="1:1" x14ac:dyDescent="0.25">
      <c r="A10460" s="13"/>
    </row>
    <row r="10461" spans="1:1" x14ac:dyDescent="0.25">
      <c r="A10461" s="13"/>
    </row>
    <row r="10462" spans="1:1" x14ac:dyDescent="0.25">
      <c r="A10462" s="13"/>
    </row>
    <row r="10463" spans="1:1" x14ac:dyDescent="0.25">
      <c r="A10463" s="13"/>
    </row>
    <row r="10464" spans="1:1" x14ac:dyDescent="0.25">
      <c r="A10464" s="13"/>
    </row>
    <row r="10465" spans="1:1" x14ac:dyDescent="0.25">
      <c r="A10465" s="13"/>
    </row>
    <row r="10466" spans="1:1" x14ac:dyDescent="0.25">
      <c r="A10466" s="13"/>
    </row>
    <row r="10467" spans="1:1" x14ac:dyDescent="0.25">
      <c r="A10467" s="13"/>
    </row>
    <row r="10468" spans="1:1" x14ac:dyDescent="0.25">
      <c r="A10468" s="13"/>
    </row>
    <row r="10469" spans="1:1" x14ac:dyDescent="0.25">
      <c r="A10469" s="13"/>
    </row>
    <row r="10470" spans="1:1" x14ac:dyDescent="0.25">
      <c r="A10470" s="13"/>
    </row>
    <row r="10471" spans="1:1" x14ac:dyDescent="0.25">
      <c r="A10471" s="13"/>
    </row>
    <row r="10472" spans="1:1" x14ac:dyDescent="0.25">
      <c r="A10472" s="13"/>
    </row>
    <row r="10473" spans="1:1" x14ac:dyDescent="0.25">
      <c r="A10473" s="13"/>
    </row>
    <row r="10474" spans="1:1" x14ac:dyDescent="0.25">
      <c r="A10474" s="13"/>
    </row>
    <row r="10475" spans="1:1" x14ac:dyDescent="0.25">
      <c r="A10475" s="13"/>
    </row>
    <row r="10476" spans="1:1" x14ac:dyDescent="0.25">
      <c r="A10476" s="13"/>
    </row>
    <row r="10477" spans="1:1" x14ac:dyDescent="0.25">
      <c r="A10477" s="13"/>
    </row>
    <row r="10478" spans="1:1" x14ac:dyDescent="0.25">
      <c r="A10478" s="13"/>
    </row>
    <row r="10479" spans="1:1" x14ac:dyDescent="0.25">
      <c r="A10479" s="13"/>
    </row>
    <row r="10480" spans="1:1" x14ac:dyDescent="0.25">
      <c r="A10480" s="13"/>
    </row>
    <row r="10481" spans="1:1" x14ac:dyDescent="0.25">
      <c r="A10481" s="13"/>
    </row>
    <row r="10482" spans="1:1" x14ac:dyDescent="0.25">
      <c r="A10482" s="13"/>
    </row>
    <row r="10483" spans="1:1" x14ac:dyDescent="0.25">
      <c r="A10483" s="13"/>
    </row>
    <row r="10484" spans="1:1" x14ac:dyDescent="0.25">
      <c r="A10484" s="13"/>
    </row>
    <row r="10485" spans="1:1" x14ac:dyDescent="0.25">
      <c r="A10485" s="13"/>
    </row>
    <row r="10486" spans="1:1" x14ac:dyDescent="0.25">
      <c r="A10486" s="13"/>
    </row>
    <row r="10487" spans="1:1" x14ac:dyDescent="0.25">
      <c r="A10487" s="13"/>
    </row>
    <row r="10488" spans="1:1" x14ac:dyDescent="0.25">
      <c r="A10488" s="13"/>
    </row>
    <row r="10489" spans="1:1" x14ac:dyDescent="0.25">
      <c r="A10489" s="13"/>
    </row>
    <row r="10490" spans="1:1" x14ac:dyDescent="0.25">
      <c r="A10490" s="13"/>
    </row>
    <row r="10491" spans="1:1" x14ac:dyDescent="0.25">
      <c r="A10491" s="13"/>
    </row>
    <row r="10492" spans="1:1" x14ac:dyDescent="0.25">
      <c r="A10492" s="13"/>
    </row>
    <row r="10493" spans="1:1" x14ac:dyDescent="0.25">
      <c r="A10493" s="13"/>
    </row>
    <row r="10494" spans="1:1" x14ac:dyDescent="0.25">
      <c r="A10494" s="13"/>
    </row>
    <row r="10495" spans="1:1" x14ac:dyDescent="0.25">
      <c r="A10495" s="13"/>
    </row>
    <row r="10496" spans="1:1" x14ac:dyDescent="0.25">
      <c r="A10496" s="13"/>
    </row>
    <row r="10497" spans="1:1" x14ac:dyDescent="0.25">
      <c r="A10497" s="13"/>
    </row>
    <row r="10498" spans="1:1" x14ac:dyDescent="0.25">
      <c r="A10498" s="13"/>
    </row>
    <row r="10499" spans="1:1" x14ac:dyDescent="0.25">
      <c r="A10499" s="13"/>
    </row>
    <row r="10500" spans="1:1" x14ac:dyDescent="0.25">
      <c r="A10500" s="13"/>
    </row>
    <row r="10501" spans="1:1" x14ac:dyDescent="0.25">
      <c r="A10501" s="13"/>
    </row>
    <row r="10502" spans="1:1" x14ac:dyDescent="0.25">
      <c r="A10502" s="13"/>
    </row>
    <row r="10503" spans="1:1" x14ac:dyDescent="0.25">
      <c r="A10503" s="13"/>
    </row>
    <row r="10504" spans="1:1" x14ac:dyDescent="0.25">
      <c r="A10504" s="13"/>
    </row>
    <row r="10505" spans="1:1" x14ac:dyDescent="0.25">
      <c r="A10505" s="13"/>
    </row>
    <row r="10506" spans="1:1" x14ac:dyDescent="0.25">
      <c r="A10506" s="13"/>
    </row>
    <row r="10507" spans="1:1" x14ac:dyDescent="0.25">
      <c r="A10507" s="13"/>
    </row>
    <row r="10508" spans="1:1" x14ac:dyDescent="0.25">
      <c r="A10508" s="13"/>
    </row>
    <row r="10509" spans="1:1" x14ac:dyDescent="0.25">
      <c r="A10509" s="13"/>
    </row>
    <row r="10510" spans="1:1" x14ac:dyDescent="0.25">
      <c r="A10510" s="13"/>
    </row>
    <row r="10511" spans="1:1" x14ac:dyDescent="0.25">
      <c r="A10511" s="13"/>
    </row>
    <row r="10512" spans="1:1" x14ac:dyDescent="0.25">
      <c r="A10512" s="13"/>
    </row>
    <row r="10513" spans="1:1" x14ac:dyDescent="0.25">
      <c r="A10513" s="13"/>
    </row>
    <row r="10514" spans="1:1" x14ac:dyDescent="0.25">
      <c r="A10514" s="13"/>
    </row>
    <row r="10515" spans="1:1" x14ac:dyDescent="0.25">
      <c r="A10515" s="13"/>
    </row>
    <row r="10516" spans="1:1" x14ac:dyDescent="0.25">
      <c r="A10516" s="13"/>
    </row>
    <row r="10517" spans="1:1" x14ac:dyDescent="0.25">
      <c r="A10517" s="13"/>
    </row>
    <row r="10518" spans="1:1" x14ac:dyDescent="0.25">
      <c r="A10518" s="13"/>
    </row>
    <row r="10519" spans="1:1" x14ac:dyDescent="0.25">
      <c r="A10519" s="13"/>
    </row>
    <row r="10520" spans="1:1" x14ac:dyDescent="0.25">
      <c r="A10520" s="13"/>
    </row>
    <row r="10521" spans="1:1" x14ac:dyDescent="0.25">
      <c r="A10521" s="13"/>
    </row>
    <row r="10522" spans="1:1" x14ac:dyDescent="0.25">
      <c r="A10522" s="13"/>
    </row>
    <row r="10523" spans="1:1" x14ac:dyDescent="0.25">
      <c r="A10523" s="13"/>
    </row>
    <row r="10524" spans="1:1" x14ac:dyDescent="0.25">
      <c r="A10524" s="13"/>
    </row>
    <row r="10525" spans="1:1" x14ac:dyDescent="0.25">
      <c r="A10525" s="13"/>
    </row>
    <row r="10526" spans="1:1" x14ac:dyDescent="0.25">
      <c r="A10526" s="13"/>
    </row>
    <row r="10527" spans="1:1" x14ac:dyDescent="0.25">
      <c r="A10527" s="13"/>
    </row>
    <row r="10528" spans="1:1" x14ac:dyDescent="0.25">
      <c r="A10528" s="13"/>
    </row>
    <row r="10529" spans="1:1" x14ac:dyDescent="0.25">
      <c r="A10529" s="13"/>
    </row>
    <row r="10530" spans="1:1" x14ac:dyDescent="0.25">
      <c r="A10530" s="13"/>
    </row>
    <row r="10531" spans="1:1" x14ac:dyDescent="0.25">
      <c r="A10531" s="13"/>
    </row>
    <row r="10532" spans="1:1" x14ac:dyDescent="0.25">
      <c r="A10532" s="13"/>
    </row>
    <row r="10533" spans="1:1" x14ac:dyDescent="0.25">
      <c r="A10533" s="13"/>
    </row>
    <row r="10534" spans="1:1" x14ac:dyDescent="0.25">
      <c r="A10534" s="13"/>
    </row>
    <row r="10535" spans="1:1" x14ac:dyDescent="0.25">
      <c r="A10535" s="13"/>
    </row>
    <row r="10536" spans="1:1" x14ac:dyDescent="0.25">
      <c r="A10536" s="13"/>
    </row>
    <row r="10537" spans="1:1" x14ac:dyDescent="0.25">
      <c r="A10537" s="13"/>
    </row>
    <row r="10538" spans="1:1" x14ac:dyDescent="0.25">
      <c r="A10538" s="13"/>
    </row>
    <row r="10539" spans="1:1" x14ac:dyDescent="0.25">
      <c r="A10539" s="13"/>
    </row>
    <row r="10540" spans="1:1" x14ac:dyDescent="0.25">
      <c r="A10540" s="13"/>
    </row>
    <row r="10541" spans="1:1" x14ac:dyDescent="0.25">
      <c r="A10541" s="13"/>
    </row>
    <row r="10542" spans="1:1" x14ac:dyDescent="0.25">
      <c r="A10542" s="13"/>
    </row>
    <row r="10543" spans="1:1" x14ac:dyDescent="0.25">
      <c r="A10543" s="13"/>
    </row>
    <row r="10544" spans="1:1" x14ac:dyDescent="0.25">
      <c r="A10544" s="13"/>
    </row>
    <row r="10545" spans="1:1" x14ac:dyDescent="0.25">
      <c r="A10545" s="13"/>
    </row>
    <row r="10546" spans="1:1" x14ac:dyDescent="0.25">
      <c r="A10546" s="13"/>
    </row>
    <row r="10547" spans="1:1" x14ac:dyDescent="0.25">
      <c r="A10547" s="13"/>
    </row>
    <row r="10548" spans="1:1" x14ac:dyDescent="0.25">
      <c r="A10548" s="13"/>
    </row>
    <row r="10549" spans="1:1" x14ac:dyDescent="0.25">
      <c r="A10549" s="13"/>
    </row>
    <row r="10550" spans="1:1" x14ac:dyDescent="0.25">
      <c r="A10550" s="13"/>
    </row>
    <row r="10551" spans="1:1" x14ac:dyDescent="0.25">
      <c r="A10551" s="13"/>
    </row>
    <row r="10552" spans="1:1" x14ac:dyDescent="0.25">
      <c r="A10552" s="13"/>
    </row>
    <row r="10553" spans="1:1" x14ac:dyDescent="0.25">
      <c r="A10553" s="13"/>
    </row>
    <row r="10554" spans="1:1" x14ac:dyDescent="0.25">
      <c r="A10554" s="13"/>
    </row>
    <row r="10555" spans="1:1" x14ac:dyDescent="0.25">
      <c r="A10555" s="13"/>
    </row>
    <row r="10556" spans="1:1" x14ac:dyDescent="0.25">
      <c r="A10556" s="13"/>
    </row>
    <row r="10557" spans="1:1" x14ac:dyDescent="0.25">
      <c r="A10557" s="13"/>
    </row>
    <row r="10558" spans="1:1" x14ac:dyDescent="0.25">
      <c r="A10558" s="13"/>
    </row>
    <row r="10559" spans="1:1" x14ac:dyDescent="0.25">
      <c r="A10559" s="13"/>
    </row>
    <row r="10560" spans="1:1" x14ac:dyDescent="0.25">
      <c r="A10560" s="13"/>
    </row>
    <row r="10561" spans="1:1" x14ac:dyDescent="0.25">
      <c r="A10561" s="13"/>
    </row>
    <row r="10562" spans="1:1" x14ac:dyDescent="0.25">
      <c r="A10562" s="13"/>
    </row>
    <row r="10563" spans="1:1" x14ac:dyDescent="0.25">
      <c r="A10563" s="13"/>
    </row>
    <row r="10564" spans="1:1" x14ac:dyDescent="0.25">
      <c r="A10564" s="13"/>
    </row>
    <row r="10565" spans="1:1" x14ac:dyDescent="0.25">
      <c r="A10565" s="13"/>
    </row>
    <row r="10566" spans="1:1" x14ac:dyDescent="0.25">
      <c r="A10566" s="13"/>
    </row>
    <row r="10567" spans="1:1" x14ac:dyDescent="0.25">
      <c r="A10567" s="13"/>
    </row>
    <row r="10568" spans="1:1" x14ac:dyDescent="0.25">
      <c r="A10568" s="13"/>
    </row>
    <row r="10569" spans="1:1" x14ac:dyDescent="0.25">
      <c r="A10569" s="13"/>
    </row>
    <row r="10570" spans="1:1" x14ac:dyDescent="0.25">
      <c r="A10570" s="13"/>
    </row>
    <row r="10571" spans="1:1" x14ac:dyDescent="0.25">
      <c r="A10571" s="13"/>
    </row>
    <row r="10572" spans="1:1" x14ac:dyDescent="0.25">
      <c r="A10572" s="13"/>
    </row>
    <row r="10573" spans="1:1" x14ac:dyDescent="0.25">
      <c r="A10573" s="13"/>
    </row>
    <row r="10574" spans="1:1" x14ac:dyDescent="0.25">
      <c r="A10574" s="13"/>
    </row>
    <row r="10575" spans="1:1" x14ac:dyDescent="0.25">
      <c r="A10575" s="13"/>
    </row>
    <row r="10576" spans="1:1" x14ac:dyDescent="0.25">
      <c r="A10576" s="13"/>
    </row>
    <row r="10577" spans="1:1" x14ac:dyDescent="0.25">
      <c r="A10577" s="13"/>
    </row>
    <row r="10578" spans="1:1" x14ac:dyDescent="0.25">
      <c r="A10578" s="13"/>
    </row>
    <row r="10579" spans="1:1" x14ac:dyDescent="0.25">
      <c r="A10579" s="13"/>
    </row>
    <row r="10580" spans="1:1" x14ac:dyDescent="0.25">
      <c r="A10580" s="13"/>
    </row>
    <row r="10581" spans="1:1" x14ac:dyDescent="0.25">
      <c r="A10581" s="13"/>
    </row>
    <row r="10582" spans="1:1" x14ac:dyDescent="0.25">
      <c r="A10582" s="13"/>
    </row>
    <row r="10583" spans="1:1" x14ac:dyDescent="0.25">
      <c r="A10583" s="13"/>
    </row>
    <row r="10584" spans="1:1" x14ac:dyDescent="0.25">
      <c r="A10584" s="13"/>
    </row>
    <row r="10585" spans="1:1" x14ac:dyDescent="0.25">
      <c r="A10585" s="13"/>
    </row>
    <row r="10586" spans="1:1" x14ac:dyDescent="0.25">
      <c r="A10586" s="13"/>
    </row>
    <row r="10587" spans="1:1" x14ac:dyDescent="0.25">
      <c r="A10587" s="13"/>
    </row>
    <row r="10588" spans="1:1" x14ac:dyDescent="0.25">
      <c r="A10588" s="13"/>
    </row>
    <row r="10589" spans="1:1" x14ac:dyDescent="0.25">
      <c r="A10589" s="13"/>
    </row>
    <row r="10590" spans="1:1" x14ac:dyDescent="0.25">
      <c r="A10590" s="13"/>
    </row>
    <row r="10591" spans="1:1" x14ac:dyDescent="0.25">
      <c r="A10591" s="13"/>
    </row>
    <row r="10592" spans="1:1" x14ac:dyDescent="0.25">
      <c r="A10592" s="13"/>
    </row>
    <row r="10593" spans="1:1" x14ac:dyDescent="0.25">
      <c r="A10593" s="13"/>
    </row>
    <row r="10594" spans="1:1" x14ac:dyDescent="0.25">
      <c r="A10594" s="13"/>
    </row>
    <row r="10595" spans="1:1" x14ac:dyDescent="0.25">
      <c r="A10595" s="13"/>
    </row>
    <row r="10596" spans="1:1" x14ac:dyDescent="0.25">
      <c r="A10596" s="13"/>
    </row>
    <row r="10597" spans="1:1" x14ac:dyDescent="0.25">
      <c r="A10597" s="13"/>
    </row>
    <row r="10598" spans="1:1" x14ac:dyDescent="0.25">
      <c r="A10598" s="13"/>
    </row>
    <row r="10599" spans="1:1" x14ac:dyDescent="0.25">
      <c r="A10599" s="13"/>
    </row>
    <row r="10600" spans="1:1" x14ac:dyDescent="0.25">
      <c r="A10600" s="13"/>
    </row>
    <row r="10601" spans="1:1" x14ac:dyDescent="0.25">
      <c r="A10601" s="13"/>
    </row>
    <row r="10602" spans="1:1" x14ac:dyDescent="0.25">
      <c r="A10602" s="13"/>
    </row>
    <row r="10603" spans="1:1" x14ac:dyDescent="0.25">
      <c r="A10603" s="13"/>
    </row>
    <row r="10604" spans="1:1" x14ac:dyDescent="0.25">
      <c r="A10604" s="13"/>
    </row>
    <row r="10605" spans="1:1" x14ac:dyDescent="0.25">
      <c r="A10605" s="13"/>
    </row>
    <row r="10606" spans="1:1" x14ac:dyDescent="0.25">
      <c r="A10606" s="13"/>
    </row>
    <row r="10607" spans="1:1" x14ac:dyDescent="0.25">
      <c r="A10607" s="13"/>
    </row>
    <row r="10608" spans="1:1" x14ac:dyDescent="0.25">
      <c r="A10608" s="13"/>
    </row>
    <row r="10609" spans="1:1" x14ac:dyDescent="0.25">
      <c r="A10609" s="13"/>
    </row>
    <row r="10610" spans="1:1" x14ac:dyDescent="0.25">
      <c r="A10610" s="13"/>
    </row>
    <row r="10611" spans="1:1" x14ac:dyDescent="0.25">
      <c r="A10611" s="13"/>
    </row>
    <row r="10612" spans="1:1" x14ac:dyDescent="0.25">
      <c r="A10612" s="13"/>
    </row>
    <row r="10613" spans="1:1" x14ac:dyDescent="0.25">
      <c r="A10613" s="13"/>
    </row>
    <row r="10614" spans="1:1" x14ac:dyDescent="0.25">
      <c r="A10614" s="13"/>
    </row>
    <row r="10615" spans="1:1" x14ac:dyDescent="0.25">
      <c r="A10615" s="13"/>
    </row>
    <row r="10616" spans="1:1" x14ac:dyDescent="0.25">
      <c r="A10616" s="13"/>
    </row>
    <row r="10617" spans="1:1" x14ac:dyDescent="0.25">
      <c r="A10617" s="13"/>
    </row>
    <row r="10618" spans="1:1" x14ac:dyDescent="0.25">
      <c r="A10618" s="13"/>
    </row>
    <row r="10619" spans="1:1" x14ac:dyDescent="0.25">
      <c r="A10619" s="13"/>
    </row>
    <row r="10620" spans="1:1" x14ac:dyDescent="0.25">
      <c r="A10620" s="13"/>
    </row>
    <row r="10621" spans="1:1" x14ac:dyDescent="0.25">
      <c r="A10621" s="13"/>
    </row>
    <row r="10622" spans="1:1" x14ac:dyDescent="0.25">
      <c r="A10622" s="13"/>
    </row>
    <row r="10623" spans="1:1" x14ac:dyDescent="0.25">
      <c r="A10623" s="13"/>
    </row>
    <row r="10624" spans="1:1" x14ac:dyDescent="0.25">
      <c r="A10624" s="13"/>
    </row>
    <row r="10625" spans="1:1" x14ac:dyDescent="0.25">
      <c r="A10625" s="13"/>
    </row>
    <row r="10626" spans="1:1" x14ac:dyDescent="0.25">
      <c r="A10626" s="13"/>
    </row>
    <row r="10627" spans="1:1" x14ac:dyDescent="0.25">
      <c r="A10627" s="13"/>
    </row>
    <row r="10628" spans="1:1" x14ac:dyDescent="0.25">
      <c r="A10628" s="13"/>
    </row>
    <row r="10629" spans="1:1" x14ac:dyDescent="0.25">
      <c r="A10629" s="13"/>
    </row>
    <row r="10630" spans="1:1" x14ac:dyDescent="0.25">
      <c r="A10630" s="13"/>
    </row>
    <row r="10631" spans="1:1" x14ac:dyDescent="0.25">
      <c r="A10631" s="13"/>
    </row>
    <row r="10632" spans="1:1" x14ac:dyDescent="0.25">
      <c r="A10632" s="13"/>
    </row>
    <row r="10633" spans="1:1" x14ac:dyDescent="0.25">
      <c r="A10633" s="13"/>
    </row>
    <row r="10634" spans="1:1" x14ac:dyDescent="0.25">
      <c r="A10634" s="13"/>
    </row>
    <row r="10635" spans="1:1" x14ac:dyDescent="0.25">
      <c r="A10635" s="13"/>
    </row>
    <row r="10636" spans="1:1" x14ac:dyDescent="0.25">
      <c r="A10636" s="13"/>
    </row>
    <row r="10637" spans="1:1" x14ac:dyDescent="0.25">
      <c r="A10637" s="13"/>
    </row>
    <row r="10638" spans="1:1" x14ac:dyDescent="0.25">
      <c r="A10638" s="13"/>
    </row>
    <row r="10639" spans="1:1" x14ac:dyDescent="0.25">
      <c r="A10639" s="13"/>
    </row>
    <row r="10640" spans="1:1" x14ac:dyDescent="0.25">
      <c r="A10640" s="13"/>
    </row>
    <row r="10641" spans="1:1" x14ac:dyDescent="0.25">
      <c r="A10641" s="13"/>
    </row>
    <row r="10642" spans="1:1" x14ac:dyDescent="0.25">
      <c r="A10642" s="13"/>
    </row>
    <row r="10643" spans="1:1" x14ac:dyDescent="0.25">
      <c r="A10643" s="13"/>
    </row>
    <row r="10644" spans="1:1" x14ac:dyDescent="0.25">
      <c r="A10644" s="13"/>
    </row>
    <row r="10645" spans="1:1" x14ac:dyDescent="0.25">
      <c r="A10645" s="13"/>
    </row>
    <row r="10646" spans="1:1" x14ac:dyDescent="0.25">
      <c r="A10646" s="13"/>
    </row>
    <row r="10647" spans="1:1" x14ac:dyDescent="0.25">
      <c r="A10647" s="13"/>
    </row>
    <row r="10648" spans="1:1" x14ac:dyDescent="0.25">
      <c r="A10648" s="13"/>
    </row>
    <row r="10649" spans="1:1" x14ac:dyDescent="0.25">
      <c r="A10649" s="13"/>
    </row>
    <row r="10650" spans="1:1" x14ac:dyDescent="0.25">
      <c r="A10650" s="13"/>
    </row>
    <row r="10651" spans="1:1" x14ac:dyDescent="0.25">
      <c r="A10651" s="13"/>
    </row>
    <row r="10652" spans="1:1" x14ac:dyDescent="0.25">
      <c r="A10652" s="13"/>
    </row>
    <row r="10653" spans="1:1" x14ac:dyDescent="0.25">
      <c r="A10653" s="13"/>
    </row>
    <row r="10654" spans="1:1" x14ac:dyDescent="0.25">
      <c r="A10654" s="13"/>
    </row>
    <row r="10655" spans="1:1" x14ac:dyDescent="0.25">
      <c r="A10655" s="13"/>
    </row>
    <row r="10656" spans="1:1" x14ac:dyDescent="0.25">
      <c r="A10656" s="13"/>
    </row>
    <row r="10657" spans="1:1" x14ac:dyDescent="0.25">
      <c r="A10657" s="13"/>
    </row>
    <row r="10658" spans="1:1" x14ac:dyDescent="0.25">
      <c r="A10658" s="13"/>
    </row>
    <row r="10659" spans="1:1" x14ac:dyDescent="0.25">
      <c r="A10659" s="13"/>
    </row>
    <row r="10660" spans="1:1" x14ac:dyDescent="0.25">
      <c r="A10660" s="13"/>
    </row>
    <row r="10661" spans="1:1" x14ac:dyDescent="0.25">
      <c r="A10661" s="13"/>
    </row>
    <row r="10662" spans="1:1" x14ac:dyDescent="0.25">
      <c r="A10662" s="13"/>
    </row>
    <row r="10663" spans="1:1" x14ac:dyDescent="0.25">
      <c r="A10663" s="13"/>
    </row>
    <row r="10664" spans="1:1" x14ac:dyDescent="0.25">
      <c r="A10664" s="13"/>
    </row>
    <row r="10665" spans="1:1" x14ac:dyDescent="0.25">
      <c r="A10665" s="13"/>
    </row>
    <row r="10666" spans="1:1" x14ac:dyDescent="0.25">
      <c r="A10666" s="13"/>
    </row>
    <row r="10667" spans="1:1" x14ac:dyDescent="0.25">
      <c r="A10667" s="13"/>
    </row>
    <row r="10668" spans="1:1" x14ac:dyDescent="0.25">
      <c r="A10668" s="13"/>
    </row>
    <row r="10669" spans="1:1" x14ac:dyDescent="0.25">
      <c r="A10669" s="13"/>
    </row>
    <row r="10670" spans="1:1" x14ac:dyDescent="0.25">
      <c r="A10670" s="13"/>
    </row>
    <row r="10671" spans="1:1" x14ac:dyDescent="0.25">
      <c r="A10671" s="13"/>
    </row>
    <row r="10672" spans="1:1" x14ac:dyDescent="0.25">
      <c r="A10672" s="13"/>
    </row>
    <row r="10673" spans="1:1" x14ac:dyDescent="0.25">
      <c r="A10673" s="13"/>
    </row>
    <row r="10674" spans="1:1" x14ac:dyDescent="0.25">
      <c r="A10674" s="13"/>
    </row>
    <row r="10675" spans="1:1" x14ac:dyDescent="0.25">
      <c r="A10675" s="13"/>
    </row>
    <row r="10676" spans="1:1" x14ac:dyDescent="0.25">
      <c r="A10676" s="13"/>
    </row>
    <row r="10677" spans="1:1" x14ac:dyDescent="0.25">
      <c r="A10677" s="13"/>
    </row>
    <row r="10678" spans="1:1" x14ac:dyDescent="0.25">
      <c r="A10678" s="13"/>
    </row>
    <row r="10679" spans="1:1" x14ac:dyDescent="0.25">
      <c r="A10679" s="13"/>
    </row>
    <row r="10680" spans="1:1" x14ac:dyDescent="0.25">
      <c r="A10680" s="13"/>
    </row>
    <row r="10681" spans="1:1" x14ac:dyDescent="0.25">
      <c r="A10681" s="13"/>
    </row>
    <row r="10682" spans="1:1" x14ac:dyDescent="0.25">
      <c r="A10682" s="13"/>
    </row>
    <row r="10683" spans="1:1" x14ac:dyDescent="0.25">
      <c r="A10683" s="13"/>
    </row>
    <row r="10684" spans="1:1" x14ac:dyDescent="0.25">
      <c r="A10684" s="13"/>
    </row>
    <row r="10685" spans="1:1" x14ac:dyDescent="0.25">
      <c r="A10685" s="13"/>
    </row>
    <row r="10686" spans="1:1" x14ac:dyDescent="0.25">
      <c r="A10686" s="13"/>
    </row>
    <row r="10687" spans="1:1" x14ac:dyDescent="0.25">
      <c r="A10687" s="13"/>
    </row>
    <row r="10688" spans="1:1" x14ac:dyDescent="0.25">
      <c r="A10688" s="13"/>
    </row>
    <row r="10689" spans="1:1" x14ac:dyDescent="0.25">
      <c r="A10689" s="13"/>
    </row>
    <row r="10690" spans="1:1" x14ac:dyDescent="0.25">
      <c r="A10690" s="13"/>
    </row>
    <row r="10691" spans="1:1" x14ac:dyDescent="0.25">
      <c r="A10691" s="13"/>
    </row>
    <row r="10692" spans="1:1" x14ac:dyDescent="0.25">
      <c r="A10692" s="13"/>
    </row>
    <row r="10693" spans="1:1" x14ac:dyDescent="0.25">
      <c r="A10693" s="13"/>
    </row>
    <row r="10694" spans="1:1" x14ac:dyDescent="0.25">
      <c r="A10694" s="13"/>
    </row>
    <row r="10695" spans="1:1" x14ac:dyDescent="0.25">
      <c r="A10695" s="13"/>
    </row>
    <row r="10696" spans="1:1" x14ac:dyDescent="0.25">
      <c r="A10696" s="13"/>
    </row>
    <row r="10697" spans="1:1" x14ac:dyDescent="0.25">
      <c r="A10697" s="13"/>
    </row>
    <row r="10698" spans="1:1" x14ac:dyDescent="0.25">
      <c r="A10698" s="13"/>
    </row>
    <row r="10699" spans="1:1" x14ac:dyDescent="0.25">
      <c r="A10699" s="13"/>
    </row>
    <row r="10700" spans="1:1" x14ac:dyDescent="0.25">
      <c r="A10700" s="13"/>
    </row>
    <row r="10701" spans="1:1" x14ac:dyDescent="0.25">
      <c r="A10701" s="13"/>
    </row>
    <row r="10702" spans="1:1" x14ac:dyDescent="0.25">
      <c r="A10702" s="13"/>
    </row>
    <row r="10703" spans="1:1" x14ac:dyDescent="0.25">
      <c r="A10703" s="13"/>
    </row>
    <row r="10704" spans="1:1" x14ac:dyDescent="0.25">
      <c r="A10704" s="13"/>
    </row>
    <row r="10705" spans="1:1" x14ac:dyDescent="0.25">
      <c r="A10705" s="13"/>
    </row>
    <row r="10706" spans="1:1" x14ac:dyDescent="0.25">
      <c r="A10706" s="13"/>
    </row>
    <row r="10707" spans="1:1" x14ac:dyDescent="0.25">
      <c r="A10707" s="13"/>
    </row>
    <row r="10708" spans="1:1" x14ac:dyDescent="0.25">
      <c r="A10708" s="13"/>
    </row>
    <row r="10709" spans="1:1" x14ac:dyDescent="0.25">
      <c r="A10709" s="13"/>
    </row>
    <row r="10710" spans="1:1" x14ac:dyDescent="0.25">
      <c r="A10710" s="13"/>
    </row>
    <row r="10711" spans="1:1" x14ac:dyDescent="0.25">
      <c r="A10711" s="13"/>
    </row>
    <row r="10712" spans="1:1" x14ac:dyDescent="0.25">
      <c r="A10712" s="13"/>
    </row>
    <row r="10713" spans="1:1" x14ac:dyDescent="0.25">
      <c r="A10713" s="13"/>
    </row>
    <row r="10714" spans="1:1" x14ac:dyDescent="0.25">
      <c r="A10714" s="13"/>
    </row>
    <row r="10715" spans="1:1" x14ac:dyDescent="0.25">
      <c r="A10715" s="13"/>
    </row>
    <row r="10716" spans="1:1" x14ac:dyDescent="0.25">
      <c r="A10716" s="13"/>
    </row>
    <row r="10717" spans="1:1" x14ac:dyDescent="0.25">
      <c r="A10717" s="13"/>
    </row>
    <row r="10718" spans="1:1" x14ac:dyDescent="0.25">
      <c r="A10718" s="13"/>
    </row>
    <row r="10719" spans="1:1" x14ac:dyDescent="0.25">
      <c r="A10719" s="13"/>
    </row>
    <row r="10720" spans="1:1" x14ac:dyDescent="0.25">
      <c r="A10720" s="13"/>
    </row>
    <row r="10721" spans="1:1" x14ac:dyDescent="0.25">
      <c r="A10721" s="13"/>
    </row>
    <row r="10722" spans="1:1" x14ac:dyDescent="0.25">
      <c r="A10722" s="13"/>
    </row>
    <row r="10723" spans="1:1" x14ac:dyDescent="0.25">
      <c r="A10723" s="13"/>
    </row>
    <row r="10724" spans="1:1" x14ac:dyDescent="0.25">
      <c r="A10724" s="13"/>
    </row>
    <row r="10725" spans="1:1" x14ac:dyDescent="0.25">
      <c r="A10725" s="13"/>
    </row>
    <row r="10726" spans="1:1" x14ac:dyDescent="0.25">
      <c r="A10726" s="13"/>
    </row>
    <row r="10727" spans="1:1" x14ac:dyDescent="0.25">
      <c r="A10727" s="13"/>
    </row>
    <row r="10728" spans="1:1" x14ac:dyDescent="0.25">
      <c r="A10728" s="13"/>
    </row>
    <row r="10729" spans="1:1" x14ac:dyDescent="0.25">
      <c r="A10729" s="13"/>
    </row>
    <row r="10730" spans="1:1" x14ac:dyDescent="0.25">
      <c r="A10730" s="13"/>
    </row>
    <row r="10731" spans="1:1" x14ac:dyDescent="0.25">
      <c r="A10731" s="13"/>
    </row>
    <row r="10732" spans="1:1" x14ac:dyDescent="0.25">
      <c r="A10732" s="13"/>
    </row>
    <row r="10733" spans="1:1" x14ac:dyDescent="0.25">
      <c r="A10733" s="13"/>
    </row>
    <row r="10734" spans="1:1" x14ac:dyDescent="0.25">
      <c r="A10734" s="13"/>
    </row>
    <row r="10735" spans="1:1" x14ac:dyDescent="0.25">
      <c r="A10735" s="13"/>
    </row>
    <row r="10736" spans="1:1" x14ac:dyDescent="0.25">
      <c r="A10736" s="13"/>
    </row>
    <row r="10737" spans="1:1" x14ac:dyDescent="0.25">
      <c r="A10737" s="13"/>
    </row>
    <row r="10738" spans="1:1" x14ac:dyDescent="0.25">
      <c r="A10738" s="13"/>
    </row>
    <row r="10739" spans="1:1" x14ac:dyDescent="0.25">
      <c r="A10739" s="13"/>
    </row>
    <row r="10740" spans="1:1" x14ac:dyDescent="0.25">
      <c r="A10740" s="13"/>
    </row>
    <row r="10741" spans="1:1" x14ac:dyDescent="0.25">
      <c r="A10741" s="13"/>
    </row>
    <row r="10742" spans="1:1" x14ac:dyDescent="0.25">
      <c r="A10742" s="13"/>
    </row>
    <row r="10743" spans="1:1" x14ac:dyDescent="0.25">
      <c r="A10743" s="13"/>
    </row>
    <row r="10744" spans="1:1" x14ac:dyDescent="0.25">
      <c r="A10744" s="13"/>
    </row>
    <row r="10745" spans="1:1" x14ac:dyDescent="0.25">
      <c r="A10745" s="13"/>
    </row>
    <row r="10746" spans="1:1" x14ac:dyDescent="0.25">
      <c r="A10746" s="13"/>
    </row>
    <row r="10747" spans="1:1" x14ac:dyDescent="0.25">
      <c r="A10747" s="13"/>
    </row>
    <row r="10748" spans="1:1" x14ac:dyDescent="0.25">
      <c r="A10748" s="13"/>
    </row>
    <row r="10749" spans="1:1" x14ac:dyDescent="0.25">
      <c r="A10749" s="13"/>
    </row>
    <row r="10750" spans="1:1" x14ac:dyDescent="0.25">
      <c r="A10750" s="13"/>
    </row>
    <row r="10751" spans="1:1" x14ac:dyDescent="0.25">
      <c r="A10751" s="13"/>
    </row>
    <row r="10752" spans="1:1" x14ac:dyDescent="0.25">
      <c r="A10752" s="13"/>
    </row>
    <row r="10753" spans="1:1" x14ac:dyDescent="0.25">
      <c r="A10753" s="13"/>
    </row>
    <row r="10754" spans="1:1" x14ac:dyDescent="0.25">
      <c r="A10754" s="13"/>
    </row>
    <row r="10755" spans="1:1" x14ac:dyDescent="0.25">
      <c r="A10755" s="13"/>
    </row>
    <row r="10756" spans="1:1" x14ac:dyDescent="0.25">
      <c r="A10756" s="13"/>
    </row>
    <row r="10757" spans="1:1" x14ac:dyDescent="0.25">
      <c r="A10757" s="13"/>
    </row>
    <row r="10758" spans="1:1" x14ac:dyDescent="0.25">
      <c r="A10758" s="13"/>
    </row>
    <row r="10759" spans="1:1" x14ac:dyDescent="0.25">
      <c r="A10759" s="13"/>
    </row>
    <row r="10760" spans="1:1" x14ac:dyDescent="0.25">
      <c r="A10760" s="13"/>
    </row>
    <row r="10761" spans="1:1" x14ac:dyDescent="0.25">
      <c r="A10761" s="13"/>
    </row>
    <row r="10762" spans="1:1" x14ac:dyDescent="0.25">
      <c r="A10762" s="13"/>
    </row>
    <row r="10763" spans="1:1" x14ac:dyDescent="0.25">
      <c r="A10763" s="13"/>
    </row>
    <row r="10764" spans="1:1" x14ac:dyDescent="0.25">
      <c r="A10764" s="13"/>
    </row>
    <row r="10765" spans="1:1" x14ac:dyDescent="0.25">
      <c r="A10765" s="13"/>
    </row>
    <row r="10766" spans="1:1" x14ac:dyDescent="0.25">
      <c r="A10766" s="13"/>
    </row>
    <row r="10767" spans="1:1" x14ac:dyDescent="0.25">
      <c r="A10767" s="13"/>
    </row>
    <row r="10768" spans="1:1" x14ac:dyDescent="0.25">
      <c r="A10768" s="13"/>
    </row>
    <row r="10769" spans="1:1" x14ac:dyDescent="0.25">
      <c r="A10769" s="13"/>
    </row>
    <row r="10770" spans="1:1" x14ac:dyDescent="0.25">
      <c r="A10770" s="13"/>
    </row>
    <row r="10771" spans="1:1" x14ac:dyDescent="0.25">
      <c r="A10771" s="13"/>
    </row>
    <row r="10772" spans="1:1" x14ac:dyDescent="0.25">
      <c r="A10772" s="13"/>
    </row>
    <row r="10773" spans="1:1" x14ac:dyDescent="0.25">
      <c r="A10773" s="13"/>
    </row>
    <row r="10774" spans="1:1" x14ac:dyDescent="0.25">
      <c r="A10774" s="13"/>
    </row>
    <row r="10775" spans="1:1" x14ac:dyDescent="0.25">
      <c r="A10775" s="13"/>
    </row>
    <row r="10776" spans="1:1" x14ac:dyDescent="0.25">
      <c r="A10776" s="13"/>
    </row>
    <row r="10777" spans="1:1" x14ac:dyDescent="0.25">
      <c r="A10777" s="13"/>
    </row>
    <row r="10778" spans="1:1" x14ac:dyDescent="0.25">
      <c r="A10778" s="13"/>
    </row>
    <row r="10779" spans="1:1" x14ac:dyDescent="0.25">
      <c r="A10779" s="13"/>
    </row>
    <row r="10780" spans="1:1" x14ac:dyDescent="0.25">
      <c r="A10780" s="13"/>
    </row>
    <row r="10781" spans="1:1" x14ac:dyDescent="0.25">
      <c r="A10781" s="13"/>
    </row>
    <row r="10782" spans="1:1" x14ac:dyDescent="0.25">
      <c r="A10782" s="13"/>
    </row>
    <row r="10783" spans="1:1" x14ac:dyDescent="0.25">
      <c r="A10783" s="13"/>
    </row>
    <row r="10784" spans="1:1" x14ac:dyDescent="0.25">
      <c r="A10784" s="13"/>
    </row>
    <row r="10785" spans="1:1" x14ac:dyDescent="0.25">
      <c r="A10785" s="13"/>
    </row>
    <row r="10786" spans="1:1" x14ac:dyDescent="0.25">
      <c r="A10786" s="13"/>
    </row>
    <row r="10787" spans="1:1" x14ac:dyDescent="0.25">
      <c r="A10787" s="13"/>
    </row>
    <row r="10788" spans="1:1" x14ac:dyDescent="0.25">
      <c r="A10788" s="13"/>
    </row>
    <row r="10789" spans="1:1" x14ac:dyDescent="0.25">
      <c r="A10789" s="13"/>
    </row>
    <row r="10790" spans="1:1" x14ac:dyDescent="0.25">
      <c r="A10790" s="13"/>
    </row>
    <row r="10791" spans="1:1" x14ac:dyDescent="0.25">
      <c r="A10791" s="13"/>
    </row>
    <row r="10792" spans="1:1" x14ac:dyDescent="0.25">
      <c r="A10792" s="13"/>
    </row>
    <row r="10793" spans="1:1" x14ac:dyDescent="0.25">
      <c r="A10793" s="13"/>
    </row>
    <row r="10794" spans="1:1" x14ac:dyDescent="0.25">
      <c r="A10794" s="13"/>
    </row>
    <row r="10795" spans="1:1" x14ac:dyDescent="0.25">
      <c r="A10795" s="13"/>
    </row>
    <row r="10796" spans="1:1" x14ac:dyDescent="0.25">
      <c r="A10796" s="13"/>
    </row>
    <row r="10797" spans="1:1" x14ac:dyDescent="0.25">
      <c r="A10797" s="13"/>
    </row>
    <row r="10798" spans="1:1" x14ac:dyDescent="0.25">
      <c r="A10798" s="13"/>
    </row>
    <row r="10799" spans="1:1" x14ac:dyDescent="0.25">
      <c r="A10799" s="13"/>
    </row>
    <row r="10800" spans="1:1" x14ac:dyDescent="0.25">
      <c r="A10800" s="13"/>
    </row>
    <row r="10801" spans="1:1" x14ac:dyDescent="0.25">
      <c r="A10801" s="13"/>
    </row>
    <row r="10802" spans="1:1" x14ac:dyDescent="0.25">
      <c r="A10802" s="13"/>
    </row>
    <row r="10803" spans="1:1" x14ac:dyDescent="0.25">
      <c r="A10803" s="13"/>
    </row>
    <row r="10804" spans="1:1" x14ac:dyDescent="0.25">
      <c r="A10804" s="13"/>
    </row>
    <row r="10805" spans="1:1" x14ac:dyDescent="0.25">
      <c r="A10805" s="13"/>
    </row>
    <row r="10806" spans="1:1" x14ac:dyDescent="0.25">
      <c r="A10806" s="13"/>
    </row>
    <row r="10807" spans="1:1" x14ac:dyDescent="0.25">
      <c r="A10807" s="13"/>
    </row>
    <row r="10808" spans="1:1" x14ac:dyDescent="0.25">
      <c r="A10808" s="13"/>
    </row>
    <row r="10809" spans="1:1" x14ac:dyDescent="0.25">
      <c r="A10809" s="13"/>
    </row>
    <row r="10810" spans="1:1" x14ac:dyDescent="0.25">
      <c r="A10810" s="13"/>
    </row>
    <row r="10811" spans="1:1" x14ac:dyDescent="0.25">
      <c r="A10811" s="13"/>
    </row>
    <row r="10812" spans="1:1" x14ac:dyDescent="0.25">
      <c r="A10812" s="13"/>
    </row>
    <row r="10813" spans="1:1" x14ac:dyDescent="0.25">
      <c r="A10813" s="13"/>
    </row>
    <row r="10814" spans="1:1" x14ac:dyDescent="0.25">
      <c r="A10814" s="13"/>
    </row>
    <row r="10815" spans="1:1" x14ac:dyDescent="0.25">
      <c r="A10815" s="13"/>
    </row>
    <row r="10816" spans="1:1" x14ac:dyDescent="0.25">
      <c r="A10816" s="13"/>
    </row>
    <row r="10817" spans="1:1" x14ac:dyDescent="0.25">
      <c r="A10817" s="13"/>
    </row>
    <row r="10818" spans="1:1" x14ac:dyDescent="0.25">
      <c r="A10818" s="13"/>
    </row>
    <row r="10819" spans="1:1" x14ac:dyDescent="0.25">
      <c r="A10819" s="13"/>
    </row>
    <row r="10820" spans="1:1" x14ac:dyDescent="0.25">
      <c r="A10820" s="13"/>
    </row>
    <row r="10821" spans="1:1" x14ac:dyDescent="0.25">
      <c r="A10821" s="13"/>
    </row>
    <row r="10822" spans="1:1" x14ac:dyDescent="0.25">
      <c r="A10822" s="13"/>
    </row>
    <row r="10823" spans="1:1" x14ac:dyDescent="0.25">
      <c r="A10823" s="13"/>
    </row>
    <row r="10824" spans="1:1" x14ac:dyDescent="0.25">
      <c r="A10824" s="13"/>
    </row>
    <row r="10825" spans="1:1" x14ac:dyDescent="0.25">
      <c r="A10825" s="13"/>
    </row>
    <row r="10826" spans="1:1" x14ac:dyDescent="0.25">
      <c r="A10826" s="13"/>
    </row>
    <row r="10827" spans="1:1" x14ac:dyDescent="0.25">
      <c r="A10827" s="13"/>
    </row>
    <row r="10828" spans="1:1" x14ac:dyDescent="0.25">
      <c r="A10828" s="13"/>
    </row>
    <row r="10829" spans="1:1" x14ac:dyDescent="0.25">
      <c r="A10829" s="13"/>
    </row>
    <row r="10830" spans="1:1" x14ac:dyDescent="0.25">
      <c r="A10830" s="13"/>
    </row>
    <row r="10831" spans="1:1" x14ac:dyDescent="0.25">
      <c r="A10831" s="13"/>
    </row>
    <row r="10832" spans="1:1" x14ac:dyDescent="0.25">
      <c r="A10832" s="13"/>
    </row>
    <row r="10833" spans="1:1" x14ac:dyDescent="0.25">
      <c r="A10833" s="13"/>
    </row>
    <row r="10834" spans="1:1" x14ac:dyDescent="0.25">
      <c r="A10834" s="13"/>
    </row>
    <row r="10835" spans="1:1" x14ac:dyDescent="0.25">
      <c r="A10835" s="13"/>
    </row>
    <row r="10836" spans="1:1" x14ac:dyDescent="0.25">
      <c r="A10836" s="13"/>
    </row>
    <row r="10837" spans="1:1" x14ac:dyDescent="0.25">
      <c r="A10837" s="13"/>
    </row>
    <row r="10838" spans="1:1" x14ac:dyDescent="0.25">
      <c r="A10838" s="13"/>
    </row>
    <row r="10839" spans="1:1" x14ac:dyDescent="0.25">
      <c r="A10839" s="13"/>
    </row>
    <row r="10840" spans="1:1" x14ac:dyDescent="0.25">
      <c r="A10840" s="13"/>
    </row>
    <row r="10841" spans="1:1" x14ac:dyDescent="0.25">
      <c r="A10841" s="13"/>
    </row>
    <row r="10842" spans="1:1" x14ac:dyDescent="0.25">
      <c r="A10842" s="13"/>
    </row>
    <row r="10843" spans="1:1" x14ac:dyDescent="0.25">
      <c r="A10843" s="13"/>
    </row>
    <row r="10844" spans="1:1" x14ac:dyDescent="0.25">
      <c r="A10844" s="13"/>
    </row>
    <row r="10845" spans="1:1" x14ac:dyDescent="0.25">
      <c r="A10845" s="13"/>
    </row>
    <row r="10846" spans="1:1" x14ac:dyDescent="0.25">
      <c r="A10846" s="13"/>
    </row>
    <row r="10847" spans="1:1" x14ac:dyDescent="0.25">
      <c r="A10847" s="13"/>
    </row>
    <row r="10848" spans="1:1" x14ac:dyDescent="0.25">
      <c r="A10848" s="13"/>
    </row>
    <row r="10849" spans="1:1" x14ac:dyDescent="0.25">
      <c r="A10849" s="13"/>
    </row>
    <row r="10850" spans="1:1" x14ac:dyDescent="0.25">
      <c r="A10850" s="13"/>
    </row>
    <row r="10851" spans="1:1" x14ac:dyDescent="0.25">
      <c r="A10851" s="13"/>
    </row>
    <row r="10852" spans="1:1" x14ac:dyDescent="0.25">
      <c r="A10852" s="13"/>
    </row>
    <row r="10853" spans="1:1" x14ac:dyDescent="0.25">
      <c r="A10853" s="13"/>
    </row>
    <row r="10854" spans="1:1" x14ac:dyDescent="0.25">
      <c r="A10854" s="13"/>
    </row>
    <row r="10855" spans="1:1" x14ac:dyDescent="0.25">
      <c r="A10855" s="13"/>
    </row>
    <row r="10856" spans="1:1" x14ac:dyDescent="0.25">
      <c r="A10856" s="13"/>
    </row>
    <row r="10857" spans="1:1" x14ac:dyDescent="0.25">
      <c r="A10857" s="13"/>
    </row>
    <row r="10858" spans="1:1" x14ac:dyDescent="0.25">
      <c r="A10858" s="13"/>
    </row>
    <row r="10859" spans="1:1" x14ac:dyDescent="0.25">
      <c r="A10859" s="13"/>
    </row>
    <row r="10860" spans="1:1" x14ac:dyDescent="0.25">
      <c r="A10860" s="13"/>
    </row>
    <row r="10861" spans="1:1" x14ac:dyDescent="0.25">
      <c r="A10861" s="13"/>
    </row>
    <row r="10862" spans="1:1" x14ac:dyDescent="0.25">
      <c r="A10862" s="13"/>
    </row>
    <row r="10863" spans="1:1" x14ac:dyDescent="0.25">
      <c r="A10863" s="13"/>
    </row>
    <row r="10864" spans="1:1" x14ac:dyDescent="0.25">
      <c r="A10864" s="13"/>
    </row>
    <row r="10865" spans="1:1" x14ac:dyDescent="0.25">
      <c r="A10865" s="13"/>
    </row>
    <row r="10866" spans="1:1" x14ac:dyDescent="0.25">
      <c r="A10866" s="13"/>
    </row>
    <row r="10867" spans="1:1" x14ac:dyDescent="0.25">
      <c r="A10867" s="13"/>
    </row>
    <row r="10868" spans="1:1" x14ac:dyDescent="0.25">
      <c r="A10868" s="13"/>
    </row>
    <row r="10869" spans="1:1" x14ac:dyDescent="0.25">
      <c r="A10869" s="13"/>
    </row>
    <row r="10870" spans="1:1" x14ac:dyDescent="0.25">
      <c r="A10870" s="13"/>
    </row>
    <row r="10871" spans="1:1" x14ac:dyDescent="0.25">
      <c r="A10871" s="13"/>
    </row>
    <row r="10872" spans="1:1" x14ac:dyDescent="0.25">
      <c r="A10872" s="13"/>
    </row>
    <row r="10873" spans="1:1" x14ac:dyDescent="0.25">
      <c r="A10873" s="13"/>
    </row>
    <row r="10874" spans="1:1" x14ac:dyDescent="0.25">
      <c r="A10874" s="13"/>
    </row>
    <row r="10875" spans="1:1" x14ac:dyDescent="0.25">
      <c r="A10875" s="13"/>
    </row>
    <row r="10876" spans="1:1" x14ac:dyDescent="0.25">
      <c r="A10876" s="13"/>
    </row>
    <row r="10877" spans="1:1" x14ac:dyDescent="0.25">
      <c r="A10877" s="13"/>
    </row>
    <row r="10878" spans="1:1" x14ac:dyDescent="0.25">
      <c r="A10878" s="13"/>
    </row>
    <row r="10879" spans="1:1" x14ac:dyDescent="0.25">
      <c r="A10879" s="13"/>
    </row>
    <row r="10880" spans="1:1" x14ac:dyDescent="0.25">
      <c r="A10880" s="13"/>
    </row>
    <row r="10881" spans="1:1" x14ac:dyDescent="0.25">
      <c r="A10881" s="13"/>
    </row>
    <row r="10882" spans="1:1" x14ac:dyDescent="0.25">
      <c r="A10882" s="13"/>
    </row>
    <row r="10883" spans="1:1" x14ac:dyDescent="0.25">
      <c r="A10883" s="13"/>
    </row>
    <row r="10884" spans="1:1" x14ac:dyDescent="0.25">
      <c r="A10884" s="13"/>
    </row>
    <row r="10885" spans="1:1" x14ac:dyDescent="0.25">
      <c r="A10885" s="13"/>
    </row>
    <row r="10886" spans="1:1" x14ac:dyDescent="0.25">
      <c r="A10886" s="13"/>
    </row>
    <row r="10887" spans="1:1" x14ac:dyDescent="0.25">
      <c r="A10887" s="13"/>
    </row>
    <row r="10888" spans="1:1" x14ac:dyDescent="0.25">
      <c r="A10888" s="13"/>
    </row>
    <row r="10889" spans="1:1" x14ac:dyDescent="0.25">
      <c r="A10889" s="13"/>
    </row>
    <row r="10890" spans="1:1" x14ac:dyDescent="0.25">
      <c r="A10890" s="13"/>
    </row>
    <row r="10891" spans="1:1" x14ac:dyDescent="0.25">
      <c r="A10891" s="13"/>
    </row>
    <row r="10892" spans="1:1" x14ac:dyDescent="0.25">
      <c r="A10892" s="13"/>
    </row>
    <row r="10893" spans="1:1" x14ac:dyDescent="0.25">
      <c r="A10893" s="13"/>
    </row>
    <row r="10894" spans="1:1" x14ac:dyDescent="0.25">
      <c r="A10894" s="13"/>
    </row>
    <row r="10895" spans="1:1" x14ac:dyDescent="0.25">
      <c r="A10895" s="13"/>
    </row>
    <row r="10896" spans="1:1" x14ac:dyDescent="0.25">
      <c r="A10896" s="13"/>
    </row>
    <row r="10897" spans="1:1" x14ac:dyDescent="0.25">
      <c r="A10897" s="13"/>
    </row>
    <row r="10898" spans="1:1" x14ac:dyDescent="0.25">
      <c r="A10898" s="13"/>
    </row>
    <row r="10899" spans="1:1" x14ac:dyDescent="0.25">
      <c r="A10899" s="13"/>
    </row>
    <row r="10900" spans="1:1" x14ac:dyDescent="0.25">
      <c r="A10900" s="13"/>
    </row>
    <row r="10901" spans="1:1" x14ac:dyDescent="0.25">
      <c r="A10901" s="13"/>
    </row>
    <row r="10902" spans="1:1" x14ac:dyDescent="0.25">
      <c r="A10902" s="13"/>
    </row>
    <row r="10903" spans="1:1" x14ac:dyDescent="0.25">
      <c r="A10903" s="13"/>
    </row>
    <row r="10904" spans="1:1" x14ac:dyDescent="0.25">
      <c r="A10904" s="13"/>
    </row>
    <row r="10905" spans="1:1" x14ac:dyDescent="0.25">
      <c r="A10905" s="13"/>
    </row>
    <row r="10906" spans="1:1" x14ac:dyDescent="0.25">
      <c r="A10906" s="13"/>
    </row>
    <row r="10907" spans="1:1" x14ac:dyDescent="0.25">
      <c r="A10907" s="13"/>
    </row>
    <row r="10908" spans="1:1" x14ac:dyDescent="0.25">
      <c r="A10908" s="13"/>
    </row>
    <row r="10909" spans="1:1" x14ac:dyDescent="0.25">
      <c r="A10909" s="13"/>
    </row>
    <row r="10910" spans="1:1" x14ac:dyDescent="0.25">
      <c r="A10910" s="13"/>
    </row>
    <row r="10911" spans="1:1" x14ac:dyDescent="0.25">
      <c r="A10911" s="13"/>
    </row>
    <row r="10912" spans="1:1" x14ac:dyDescent="0.25">
      <c r="A10912" s="13"/>
    </row>
    <row r="10913" spans="1:1" x14ac:dyDescent="0.25">
      <c r="A10913" s="13"/>
    </row>
    <row r="10914" spans="1:1" x14ac:dyDescent="0.25">
      <c r="A10914" s="13"/>
    </row>
    <row r="10915" spans="1:1" x14ac:dyDescent="0.25">
      <c r="A10915" s="13"/>
    </row>
    <row r="10916" spans="1:1" x14ac:dyDescent="0.25">
      <c r="A10916" s="13"/>
    </row>
    <row r="10917" spans="1:1" x14ac:dyDescent="0.25">
      <c r="A10917" s="13"/>
    </row>
    <row r="10918" spans="1:1" x14ac:dyDescent="0.25">
      <c r="A10918" s="13"/>
    </row>
    <row r="10919" spans="1:1" x14ac:dyDescent="0.25">
      <c r="A10919" s="13"/>
    </row>
    <row r="10920" spans="1:1" x14ac:dyDescent="0.25">
      <c r="A10920" s="13"/>
    </row>
    <row r="10921" spans="1:1" x14ac:dyDescent="0.25">
      <c r="A10921" s="13"/>
    </row>
    <row r="10922" spans="1:1" x14ac:dyDescent="0.25">
      <c r="A10922" s="13"/>
    </row>
    <row r="10923" spans="1:1" x14ac:dyDescent="0.25">
      <c r="A10923" s="13"/>
    </row>
    <row r="10924" spans="1:1" x14ac:dyDescent="0.25">
      <c r="A10924" s="13"/>
    </row>
    <row r="10925" spans="1:1" x14ac:dyDescent="0.25">
      <c r="A10925" s="13"/>
    </row>
    <row r="10926" spans="1:1" x14ac:dyDescent="0.25">
      <c r="A10926" s="13"/>
    </row>
    <row r="10927" spans="1:1" x14ac:dyDescent="0.25">
      <c r="A10927" s="13"/>
    </row>
    <row r="10928" spans="1:1" x14ac:dyDescent="0.25">
      <c r="A10928" s="13"/>
    </row>
    <row r="10929" spans="1:1" x14ac:dyDescent="0.25">
      <c r="A10929" s="13"/>
    </row>
    <row r="10930" spans="1:1" x14ac:dyDescent="0.25">
      <c r="A10930" s="13"/>
    </row>
    <row r="10931" spans="1:1" x14ac:dyDescent="0.25">
      <c r="A10931" s="13"/>
    </row>
    <row r="10932" spans="1:1" x14ac:dyDescent="0.25">
      <c r="A10932" s="13"/>
    </row>
    <row r="10933" spans="1:1" x14ac:dyDescent="0.25">
      <c r="A10933" s="13"/>
    </row>
    <row r="10934" spans="1:1" x14ac:dyDescent="0.25">
      <c r="A10934" s="13"/>
    </row>
    <row r="10935" spans="1:1" x14ac:dyDescent="0.25">
      <c r="A10935" s="13"/>
    </row>
    <row r="10936" spans="1:1" x14ac:dyDescent="0.25">
      <c r="A10936" s="13"/>
    </row>
    <row r="10937" spans="1:1" x14ac:dyDescent="0.25">
      <c r="A10937" s="13"/>
    </row>
    <row r="10938" spans="1:1" x14ac:dyDescent="0.25">
      <c r="A10938" s="13"/>
    </row>
    <row r="10939" spans="1:1" x14ac:dyDescent="0.25">
      <c r="A10939" s="13"/>
    </row>
    <row r="10940" spans="1:1" x14ac:dyDescent="0.25">
      <c r="A10940" s="13"/>
    </row>
    <row r="10941" spans="1:1" x14ac:dyDescent="0.25">
      <c r="A10941" s="13"/>
    </row>
    <row r="10942" spans="1:1" x14ac:dyDescent="0.25">
      <c r="A10942" s="13"/>
    </row>
    <row r="10943" spans="1:1" x14ac:dyDescent="0.25">
      <c r="A10943" s="13"/>
    </row>
    <row r="10944" spans="1:1" x14ac:dyDescent="0.25">
      <c r="A10944" s="13"/>
    </row>
    <row r="10945" spans="1:1" x14ac:dyDescent="0.25">
      <c r="A10945" s="13"/>
    </row>
    <row r="10946" spans="1:1" x14ac:dyDescent="0.25">
      <c r="A10946" s="13"/>
    </row>
    <row r="10947" spans="1:1" x14ac:dyDescent="0.25">
      <c r="A10947" s="13"/>
    </row>
    <row r="10948" spans="1:1" x14ac:dyDescent="0.25">
      <c r="A10948" s="13"/>
    </row>
    <row r="10949" spans="1:1" x14ac:dyDescent="0.25">
      <c r="A10949" s="13"/>
    </row>
    <row r="10950" spans="1:1" x14ac:dyDescent="0.25">
      <c r="A10950" s="13"/>
    </row>
    <row r="10951" spans="1:1" x14ac:dyDescent="0.25">
      <c r="A10951" s="13"/>
    </row>
    <row r="10952" spans="1:1" x14ac:dyDescent="0.25">
      <c r="A10952" s="13"/>
    </row>
    <row r="10953" spans="1:1" x14ac:dyDescent="0.25">
      <c r="A10953" s="13"/>
    </row>
    <row r="10954" spans="1:1" x14ac:dyDescent="0.25">
      <c r="A10954" s="13"/>
    </row>
    <row r="10955" spans="1:1" x14ac:dyDescent="0.25">
      <c r="A10955" s="13"/>
    </row>
    <row r="10956" spans="1:1" x14ac:dyDescent="0.25">
      <c r="A10956" s="13"/>
    </row>
    <row r="10957" spans="1:1" x14ac:dyDescent="0.25">
      <c r="A10957" s="13"/>
    </row>
    <row r="10958" spans="1:1" x14ac:dyDescent="0.25">
      <c r="A10958" s="13"/>
    </row>
    <row r="10959" spans="1:1" x14ac:dyDescent="0.25">
      <c r="A10959" s="13"/>
    </row>
    <row r="10960" spans="1:1" x14ac:dyDescent="0.25">
      <c r="A10960" s="13"/>
    </row>
    <row r="10961" spans="1:1" x14ac:dyDescent="0.25">
      <c r="A10961" s="13"/>
    </row>
    <row r="10962" spans="1:1" x14ac:dyDescent="0.25">
      <c r="A10962" s="13"/>
    </row>
    <row r="10963" spans="1:1" x14ac:dyDescent="0.25">
      <c r="A10963" s="13"/>
    </row>
    <row r="10964" spans="1:1" x14ac:dyDescent="0.25">
      <c r="A10964" s="13"/>
    </row>
    <row r="10965" spans="1:1" x14ac:dyDescent="0.25">
      <c r="A10965" s="13"/>
    </row>
    <row r="10966" spans="1:1" x14ac:dyDescent="0.25">
      <c r="A10966" s="13"/>
    </row>
    <row r="10967" spans="1:1" x14ac:dyDescent="0.25">
      <c r="A10967" s="13"/>
    </row>
    <row r="10968" spans="1:1" x14ac:dyDescent="0.25">
      <c r="A10968" s="13"/>
    </row>
    <row r="10969" spans="1:1" x14ac:dyDescent="0.25">
      <c r="A10969" s="13"/>
    </row>
    <row r="10970" spans="1:1" x14ac:dyDescent="0.25">
      <c r="A10970" s="13"/>
    </row>
    <row r="10971" spans="1:1" x14ac:dyDescent="0.25">
      <c r="A10971" s="13"/>
    </row>
    <row r="10972" spans="1:1" x14ac:dyDescent="0.25">
      <c r="A10972" s="13"/>
    </row>
    <row r="10973" spans="1:1" x14ac:dyDescent="0.25">
      <c r="A10973" s="13"/>
    </row>
    <row r="10974" spans="1:1" x14ac:dyDescent="0.25">
      <c r="A10974" s="13"/>
    </row>
    <row r="10975" spans="1:1" x14ac:dyDescent="0.25">
      <c r="A10975" s="13"/>
    </row>
    <row r="10976" spans="1:1" x14ac:dyDescent="0.25">
      <c r="A10976" s="13"/>
    </row>
    <row r="10977" spans="1:1" x14ac:dyDescent="0.25">
      <c r="A10977" s="13"/>
    </row>
    <row r="10978" spans="1:1" x14ac:dyDescent="0.25">
      <c r="A10978" s="13"/>
    </row>
    <row r="10979" spans="1:1" x14ac:dyDescent="0.25">
      <c r="A10979" s="13"/>
    </row>
    <row r="10980" spans="1:1" x14ac:dyDescent="0.25">
      <c r="A10980" s="13"/>
    </row>
    <row r="10981" spans="1:1" x14ac:dyDescent="0.25">
      <c r="A10981" s="13"/>
    </row>
    <row r="10982" spans="1:1" x14ac:dyDescent="0.25">
      <c r="A10982" s="13"/>
    </row>
    <row r="10983" spans="1:1" x14ac:dyDescent="0.25">
      <c r="A10983" s="13"/>
    </row>
    <row r="10984" spans="1:1" x14ac:dyDescent="0.25">
      <c r="A10984" s="13"/>
    </row>
    <row r="10985" spans="1:1" x14ac:dyDescent="0.25">
      <c r="A10985" s="13"/>
    </row>
    <row r="10986" spans="1:1" x14ac:dyDescent="0.25">
      <c r="A10986" s="13"/>
    </row>
    <row r="10987" spans="1:1" x14ac:dyDescent="0.25">
      <c r="A10987" s="13"/>
    </row>
    <row r="10988" spans="1:1" x14ac:dyDescent="0.25">
      <c r="A10988" s="13"/>
    </row>
    <row r="10989" spans="1:1" x14ac:dyDescent="0.25">
      <c r="A10989" s="13"/>
    </row>
    <row r="10990" spans="1:1" x14ac:dyDescent="0.25">
      <c r="A10990" s="13"/>
    </row>
    <row r="10991" spans="1:1" x14ac:dyDescent="0.25">
      <c r="A10991" s="13"/>
    </row>
    <row r="10992" spans="1:1" x14ac:dyDescent="0.25">
      <c r="A10992" s="13"/>
    </row>
    <row r="10993" spans="1:1" x14ac:dyDescent="0.25">
      <c r="A10993" s="13"/>
    </row>
    <row r="10994" spans="1:1" x14ac:dyDescent="0.25">
      <c r="A10994" s="13"/>
    </row>
    <row r="10995" spans="1:1" x14ac:dyDescent="0.25">
      <c r="A10995" s="13"/>
    </row>
    <row r="10996" spans="1:1" x14ac:dyDescent="0.25">
      <c r="A10996" s="13"/>
    </row>
    <row r="10997" spans="1:1" x14ac:dyDescent="0.25">
      <c r="A10997" s="13"/>
    </row>
    <row r="10998" spans="1:1" x14ac:dyDescent="0.25">
      <c r="A10998" s="13"/>
    </row>
    <row r="10999" spans="1:1" x14ac:dyDescent="0.25">
      <c r="A10999" s="13"/>
    </row>
    <row r="11000" spans="1:1" x14ac:dyDescent="0.25">
      <c r="A11000" s="13"/>
    </row>
    <row r="11001" spans="1:1" x14ac:dyDescent="0.25">
      <c r="A11001" s="13"/>
    </row>
    <row r="11002" spans="1:1" x14ac:dyDescent="0.25">
      <c r="A11002" s="13"/>
    </row>
    <row r="11003" spans="1:1" x14ac:dyDescent="0.25">
      <c r="A11003" s="13"/>
    </row>
    <row r="11004" spans="1:1" x14ac:dyDescent="0.25">
      <c r="A11004" s="13"/>
    </row>
    <row r="11005" spans="1:1" x14ac:dyDescent="0.25">
      <c r="A11005" s="13"/>
    </row>
    <row r="11006" spans="1:1" x14ac:dyDescent="0.25">
      <c r="A11006" s="13"/>
    </row>
    <row r="11007" spans="1:1" x14ac:dyDescent="0.25">
      <c r="A11007" s="13"/>
    </row>
    <row r="11008" spans="1:1" x14ac:dyDescent="0.25">
      <c r="A11008" s="13"/>
    </row>
    <row r="11009" spans="1:1" x14ac:dyDescent="0.25">
      <c r="A11009" s="13"/>
    </row>
    <row r="11010" spans="1:1" x14ac:dyDescent="0.25">
      <c r="A11010" s="13"/>
    </row>
    <row r="11011" spans="1:1" x14ac:dyDescent="0.25">
      <c r="A11011" s="13"/>
    </row>
    <row r="11012" spans="1:1" x14ac:dyDescent="0.25">
      <c r="A11012" s="13"/>
    </row>
    <row r="11013" spans="1:1" x14ac:dyDescent="0.25">
      <c r="A11013" s="13"/>
    </row>
    <row r="11014" spans="1:1" x14ac:dyDescent="0.25">
      <c r="A11014" s="13"/>
    </row>
    <row r="11015" spans="1:1" x14ac:dyDescent="0.25">
      <c r="A11015" s="13"/>
    </row>
    <row r="11016" spans="1:1" x14ac:dyDescent="0.25">
      <c r="A11016" s="13"/>
    </row>
    <row r="11017" spans="1:1" x14ac:dyDescent="0.25">
      <c r="A11017" s="13"/>
    </row>
    <row r="11018" spans="1:1" x14ac:dyDescent="0.25">
      <c r="A11018" s="13"/>
    </row>
    <row r="11019" spans="1:1" x14ac:dyDescent="0.25">
      <c r="A11019" s="13"/>
    </row>
    <row r="11020" spans="1:1" x14ac:dyDescent="0.25">
      <c r="A11020" s="13"/>
    </row>
    <row r="11021" spans="1:1" x14ac:dyDescent="0.25">
      <c r="A11021" s="13"/>
    </row>
    <row r="11022" spans="1:1" x14ac:dyDescent="0.25">
      <c r="A11022" s="13"/>
    </row>
    <row r="11023" spans="1:1" x14ac:dyDescent="0.25">
      <c r="A11023" s="13"/>
    </row>
    <row r="11024" spans="1:1" x14ac:dyDescent="0.25">
      <c r="A11024" s="13"/>
    </row>
    <row r="11025" spans="1:1" x14ac:dyDescent="0.25">
      <c r="A11025" s="13"/>
    </row>
    <row r="11026" spans="1:1" x14ac:dyDescent="0.25">
      <c r="A11026" s="13"/>
    </row>
    <row r="11027" spans="1:1" x14ac:dyDescent="0.25">
      <c r="A11027" s="13"/>
    </row>
    <row r="11028" spans="1:1" x14ac:dyDescent="0.25">
      <c r="A11028" s="13"/>
    </row>
    <row r="11029" spans="1:1" x14ac:dyDescent="0.25">
      <c r="A11029" s="13"/>
    </row>
    <row r="11030" spans="1:1" x14ac:dyDescent="0.25">
      <c r="A11030" s="13"/>
    </row>
    <row r="11031" spans="1:1" x14ac:dyDescent="0.25">
      <c r="A11031" s="13"/>
    </row>
    <row r="11032" spans="1:1" x14ac:dyDescent="0.25">
      <c r="A11032" s="13"/>
    </row>
    <row r="11033" spans="1:1" x14ac:dyDescent="0.25">
      <c r="A11033" s="13"/>
    </row>
    <row r="11034" spans="1:1" x14ac:dyDescent="0.25">
      <c r="A11034" s="13"/>
    </row>
    <row r="11035" spans="1:1" x14ac:dyDescent="0.25">
      <c r="A11035" s="13"/>
    </row>
    <row r="11036" spans="1:1" x14ac:dyDescent="0.25">
      <c r="A11036" s="13"/>
    </row>
    <row r="11037" spans="1:1" x14ac:dyDescent="0.25">
      <c r="A11037" s="13"/>
    </row>
    <row r="11038" spans="1:1" x14ac:dyDescent="0.25">
      <c r="A11038" s="13"/>
    </row>
    <row r="11039" spans="1:1" x14ac:dyDescent="0.25">
      <c r="A11039" s="13"/>
    </row>
    <row r="11040" spans="1:1" x14ac:dyDescent="0.25">
      <c r="A11040" s="13"/>
    </row>
    <row r="11041" spans="1:1" x14ac:dyDescent="0.25">
      <c r="A11041" s="13"/>
    </row>
    <row r="11042" spans="1:1" x14ac:dyDescent="0.25">
      <c r="A11042" s="13"/>
    </row>
    <row r="11043" spans="1:1" x14ac:dyDescent="0.25">
      <c r="A11043" s="13"/>
    </row>
    <row r="11044" spans="1:1" x14ac:dyDescent="0.25">
      <c r="A11044" s="13"/>
    </row>
    <row r="11045" spans="1:1" x14ac:dyDescent="0.25">
      <c r="A11045" s="13"/>
    </row>
    <row r="11046" spans="1:1" x14ac:dyDescent="0.25">
      <c r="A11046" s="13"/>
    </row>
    <row r="11047" spans="1:1" x14ac:dyDescent="0.25">
      <c r="A11047" s="13"/>
    </row>
    <row r="11048" spans="1:1" x14ac:dyDescent="0.25">
      <c r="A11048" s="13"/>
    </row>
    <row r="11049" spans="1:1" x14ac:dyDescent="0.25">
      <c r="A11049" s="13"/>
    </row>
    <row r="11050" spans="1:1" x14ac:dyDescent="0.25">
      <c r="A11050" s="13"/>
    </row>
    <row r="11051" spans="1:1" x14ac:dyDescent="0.25">
      <c r="A11051" s="13"/>
    </row>
    <row r="11052" spans="1:1" x14ac:dyDescent="0.25">
      <c r="A11052" s="13"/>
    </row>
    <row r="11053" spans="1:1" x14ac:dyDescent="0.25">
      <c r="A11053" s="13"/>
    </row>
    <row r="11054" spans="1:1" x14ac:dyDescent="0.25">
      <c r="A11054" s="13"/>
    </row>
    <row r="11055" spans="1:1" x14ac:dyDescent="0.25">
      <c r="A11055" s="13"/>
    </row>
    <row r="11056" spans="1:1" x14ac:dyDescent="0.25">
      <c r="A11056" s="13"/>
    </row>
    <row r="11057" spans="1:1" x14ac:dyDescent="0.25">
      <c r="A11057" s="13"/>
    </row>
    <row r="11058" spans="1:1" x14ac:dyDescent="0.25">
      <c r="A11058" s="13"/>
    </row>
    <row r="11059" spans="1:1" x14ac:dyDescent="0.25">
      <c r="A11059" s="13"/>
    </row>
    <row r="11060" spans="1:1" x14ac:dyDescent="0.25">
      <c r="A11060" s="13"/>
    </row>
    <row r="11061" spans="1:1" x14ac:dyDescent="0.25">
      <c r="A11061" s="13"/>
    </row>
    <row r="11062" spans="1:1" x14ac:dyDescent="0.25">
      <c r="A11062" s="13"/>
    </row>
    <row r="11063" spans="1:1" x14ac:dyDescent="0.25">
      <c r="A11063" s="13"/>
    </row>
    <row r="11064" spans="1:1" x14ac:dyDescent="0.25">
      <c r="A11064" s="13"/>
    </row>
    <row r="11065" spans="1:1" x14ac:dyDescent="0.25">
      <c r="A11065" s="13"/>
    </row>
    <row r="11066" spans="1:1" x14ac:dyDescent="0.25">
      <c r="A11066" s="13"/>
    </row>
    <row r="11067" spans="1:1" x14ac:dyDescent="0.25">
      <c r="A11067" s="13"/>
    </row>
    <row r="11068" spans="1:1" x14ac:dyDescent="0.25">
      <c r="A11068" s="13"/>
    </row>
    <row r="11069" spans="1:1" x14ac:dyDescent="0.25">
      <c r="A11069" s="13"/>
    </row>
    <row r="11070" spans="1:1" x14ac:dyDescent="0.25">
      <c r="A11070" s="13"/>
    </row>
    <row r="11071" spans="1:1" x14ac:dyDescent="0.25">
      <c r="A11071" s="13"/>
    </row>
    <row r="11072" spans="1:1" x14ac:dyDescent="0.25">
      <c r="A11072" s="13"/>
    </row>
    <row r="11073" spans="1:1" x14ac:dyDescent="0.25">
      <c r="A11073" s="13"/>
    </row>
    <row r="11074" spans="1:1" x14ac:dyDescent="0.25">
      <c r="A11074" s="13"/>
    </row>
    <row r="11075" spans="1:1" x14ac:dyDescent="0.25">
      <c r="A11075" s="13"/>
    </row>
    <row r="11076" spans="1:1" x14ac:dyDescent="0.25">
      <c r="A11076" s="13"/>
    </row>
    <row r="11077" spans="1:1" x14ac:dyDescent="0.25">
      <c r="A11077" s="13"/>
    </row>
    <row r="11078" spans="1:1" x14ac:dyDescent="0.25">
      <c r="A11078" s="13"/>
    </row>
    <row r="11079" spans="1:1" x14ac:dyDescent="0.25">
      <c r="A11079" s="13"/>
    </row>
    <row r="11080" spans="1:1" x14ac:dyDescent="0.25">
      <c r="A11080" s="13"/>
    </row>
    <row r="11081" spans="1:1" x14ac:dyDescent="0.25">
      <c r="A11081" s="13"/>
    </row>
    <row r="11082" spans="1:1" x14ac:dyDescent="0.25">
      <c r="A11082" s="13"/>
    </row>
    <row r="11083" spans="1:1" x14ac:dyDescent="0.25">
      <c r="A11083" s="13"/>
    </row>
    <row r="11084" spans="1:1" x14ac:dyDescent="0.25">
      <c r="A11084" s="13"/>
    </row>
    <row r="11085" spans="1:1" x14ac:dyDescent="0.25">
      <c r="A11085" s="13"/>
    </row>
    <row r="11086" spans="1:1" x14ac:dyDescent="0.25">
      <c r="A11086" s="13"/>
    </row>
    <row r="11087" spans="1:1" x14ac:dyDescent="0.25">
      <c r="A11087" s="13"/>
    </row>
    <row r="11088" spans="1:1" x14ac:dyDescent="0.25">
      <c r="A11088" s="13"/>
    </row>
    <row r="11089" spans="1:1" x14ac:dyDescent="0.25">
      <c r="A11089" s="13"/>
    </row>
    <row r="11090" spans="1:1" x14ac:dyDescent="0.25">
      <c r="A11090" s="13"/>
    </row>
    <row r="11091" spans="1:1" x14ac:dyDescent="0.25">
      <c r="A11091" s="13"/>
    </row>
    <row r="11092" spans="1:1" x14ac:dyDescent="0.25">
      <c r="A11092" s="13"/>
    </row>
    <row r="11093" spans="1:1" x14ac:dyDescent="0.25">
      <c r="A11093" s="13"/>
    </row>
    <row r="11094" spans="1:1" x14ac:dyDescent="0.25">
      <c r="A11094" s="13"/>
    </row>
    <row r="11095" spans="1:1" x14ac:dyDescent="0.25">
      <c r="A11095" s="13"/>
    </row>
    <row r="11096" spans="1:1" x14ac:dyDescent="0.25">
      <c r="A11096" s="13"/>
    </row>
    <row r="11097" spans="1:1" x14ac:dyDescent="0.25">
      <c r="A11097" s="13"/>
    </row>
    <row r="11098" spans="1:1" x14ac:dyDescent="0.25">
      <c r="A11098" s="13"/>
    </row>
    <row r="11099" spans="1:1" x14ac:dyDescent="0.25">
      <c r="A11099" s="13"/>
    </row>
    <row r="11100" spans="1:1" x14ac:dyDescent="0.25">
      <c r="A11100" s="13"/>
    </row>
    <row r="11101" spans="1:1" x14ac:dyDescent="0.25">
      <c r="A11101" s="13"/>
    </row>
    <row r="11102" spans="1:1" x14ac:dyDescent="0.25">
      <c r="A11102" s="13"/>
    </row>
    <row r="11103" spans="1:1" x14ac:dyDescent="0.25">
      <c r="A11103" s="13"/>
    </row>
    <row r="11104" spans="1:1" x14ac:dyDescent="0.25">
      <c r="A11104" s="13"/>
    </row>
    <row r="11105" spans="1:1" x14ac:dyDescent="0.25">
      <c r="A11105" s="13"/>
    </row>
    <row r="11106" spans="1:1" x14ac:dyDescent="0.25">
      <c r="A11106" s="13"/>
    </row>
    <row r="11107" spans="1:1" x14ac:dyDescent="0.25">
      <c r="A11107" s="13"/>
    </row>
    <row r="11108" spans="1:1" x14ac:dyDescent="0.25">
      <c r="A11108" s="13"/>
    </row>
    <row r="11109" spans="1:1" x14ac:dyDescent="0.25">
      <c r="A11109" s="13"/>
    </row>
    <row r="11110" spans="1:1" x14ac:dyDescent="0.25">
      <c r="A11110" s="13"/>
    </row>
    <row r="11111" spans="1:1" x14ac:dyDescent="0.25">
      <c r="A11111" s="13"/>
    </row>
    <row r="11112" spans="1:1" x14ac:dyDescent="0.25">
      <c r="A11112" s="13"/>
    </row>
    <row r="11113" spans="1:1" x14ac:dyDescent="0.25">
      <c r="A11113" s="13"/>
    </row>
    <row r="11114" spans="1:1" x14ac:dyDescent="0.25">
      <c r="A11114" s="13"/>
    </row>
    <row r="11115" spans="1:1" x14ac:dyDescent="0.25">
      <c r="A11115" s="13"/>
    </row>
    <row r="11116" spans="1:1" x14ac:dyDescent="0.25">
      <c r="A11116" s="13"/>
    </row>
    <row r="11117" spans="1:1" x14ac:dyDescent="0.25">
      <c r="A11117" s="13"/>
    </row>
    <row r="11118" spans="1:1" x14ac:dyDescent="0.25">
      <c r="A11118" s="13"/>
    </row>
    <row r="11119" spans="1:1" x14ac:dyDescent="0.25">
      <c r="A11119" s="13"/>
    </row>
    <row r="11120" spans="1:1" x14ac:dyDescent="0.25">
      <c r="A11120" s="13"/>
    </row>
    <row r="11121" spans="1:1" x14ac:dyDescent="0.25">
      <c r="A11121" s="13"/>
    </row>
    <row r="11122" spans="1:1" x14ac:dyDescent="0.25">
      <c r="A11122" s="13"/>
    </row>
    <row r="11123" spans="1:1" x14ac:dyDescent="0.25">
      <c r="A11123" s="13"/>
    </row>
    <row r="11124" spans="1:1" x14ac:dyDescent="0.25">
      <c r="A11124" s="13"/>
    </row>
    <row r="11125" spans="1:1" x14ac:dyDescent="0.25">
      <c r="A11125" s="13"/>
    </row>
    <row r="11126" spans="1:1" x14ac:dyDescent="0.25">
      <c r="A11126" s="13"/>
    </row>
    <row r="11127" spans="1:1" x14ac:dyDescent="0.25">
      <c r="A11127" s="13"/>
    </row>
    <row r="11128" spans="1:1" x14ac:dyDescent="0.25">
      <c r="A11128" s="13"/>
    </row>
    <row r="11129" spans="1:1" x14ac:dyDescent="0.25">
      <c r="A11129" s="13"/>
    </row>
    <row r="11130" spans="1:1" x14ac:dyDescent="0.25">
      <c r="A11130" s="13"/>
    </row>
    <row r="11131" spans="1:1" x14ac:dyDescent="0.25">
      <c r="A11131" s="13"/>
    </row>
    <row r="11132" spans="1:1" x14ac:dyDescent="0.25">
      <c r="A11132" s="13"/>
    </row>
    <row r="11133" spans="1:1" x14ac:dyDescent="0.25">
      <c r="A11133" s="13"/>
    </row>
    <row r="11134" spans="1:1" x14ac:dyDescent="0.25">
      <c r="A11134" s="13"/>
    </row>
    <row r="11135" spans="1:1" x14ac:dyDescent="0.25">
      <c r="A11135" s="13"/>
    </row>
    <row r="11136" spans="1:1" x14ac:dyDescent="0.25">
      <c r="A11136" s="13"/>
    </row>
    <row r="11137" spans="1:1" x14ac:dyDescent="0.25">
      <c r="A11137" s="13"/>
    </row>
    <row r="11138" spans="1:1" x14ac:dyDescent="0.25">
      <c r="A11138" s="13"/>
    </row>
    <row r="11139" spans="1:1" x14ac:dyDescent="0.25">
      <c r="A11139" s="13"/>
    </row>
    <row r="11140" spans="1:1" x14ac:dyDescent="0.25">
      <c r="A11140" s="13"/>
    </row>
    <row r="11141" spans="1:1" x14ac:dyDescent="0.25">
      <c r="A11141" s="13"/>
    </row>
    <row r="11142" spans="1:1" x14ac:dyDescent="0.25">
      <c r="A11142" s="13"/>
    </row>
    <row r="11143" spans="1:1" x14ac:dyDescent="0.25">
      <c r="A11143" s="13"/>
    </row>
    <row r="11144" spans="1:1" x14ac:dyDescent="0.25">
      <c r="A11144" s="13"/>
    </row>
    <row r="11145" spans="1:1" x14ac:dyDescent="0.25">
      <c r="A11145" s="13"/>
    </row>
    <row r="11146" spans="1:1" x14ac:dyDescent="0.25">
      <c r="A11146" s="13"/>
    </row>
    <row r="11147" spans="1:1" x14ac:dyDescent="0.25">
      <c r="A11147" s="13"/>
    </row>
    <row r="11148" spans="1:1" x14ac:dyDescent="0.25">
      <c r="A11148" s="13"/>
    </row>
    <row r="11149" spans="1:1" x14ac:dyDescent="0.25">
      <c r="A11149" s="13"/>
    </row>
    <row r="11150" spans="1:1" x14ac:dyDescent="0.25">
      <c r="A11150" s="13"/>
    </row>
    <row r="11151" spans="1:1" x14ac:dyDescent="0.25">
      <c r="A11151" s="13"/>
    </row>
    <row r="11152" spans="1:1" x14ac:dyDescent="0.25">
      <c r="A11152" s="13"/>
    </row>
    <row r="11153" spans="1:1" x14ac:dyDescent="0.25">
      <c r="A11153" s="13"/>
    </row>
    <row r="11154" spans="1:1" x14ac:dyDescent="0.25">
      <c r="A11154" s="13"/>
    </row>
    <row r="11155" spans="1:1" x14ac:dyDescent="0.25">
      <c r="A11155" s="13"/>
    </row>
    <row r="11156" spans="1:1" x14ac:dyDescent="0.25">
      <c r="A11156" s="13"/>
    </row>
    <row r="11157" spans="1:1" x14ac:dyDescent="0.25">
      <c r="A11157" s="13"/>
    </row>
    <row r="11158" spans="1:1" x14ac:dyDescent="0.25">
      <c r="A11158" s="13"/>
    </row>
    <row r="11159" spans="1:1" x14ac:dyDescent="0.25">
      <c r="A11159" s="13"/>
    </row>
    <row r="11160" spans="1:1" x14ac:dyDescent="0.25">
      <c r="A11160" s="13"/>
    </row>
    <row r="11161" spans="1:1" x14ac:dyDescent="0.25">
      <c r="A11161" s="13"/>
    </row>
    <row r="11162" spans="1:1" x14ac:dyDescent="0.25">
      <c r="A11162" s="13"/>
    </row>
    <row r="11163" spans="1:1" x14ac:dyDescent="0.25">
      <c r="A11163" s="13"/>
    </row>
    <row r="11164" spans="1:1" x14ac:dyDescent="0.25">
      <c r="A11164" s="13"/>
    </row>
    <row r="11165" spans="1:1" x14ac:dyDescent="0.25">
      <c r="A11165" s="13"/>
    </row>
    <row r="11166" spans="1:1" x14ac:dyDescent="0.25">
      <c r="A11166" s="13"/>
    </row>
    <row r="11167" spans="1:1" x14ac:dyDescent="0.25">
      <c r="A11167" s="13"/>
    </row>
    <row r="11168" spans="1:1" x14ac:dyDescent="0.25">
      <c r="A11168" s="13"/>
    </row>
    <row r="11169" spans="1:1" x14ac:dyDescent="0.25">
      <c r="A11169" s="13"/>
    </row>
    <row r="11170" spans="1:1" x14ac:dyDescent="0.25">
      <c r="A11170" s="13"/>
    </row>
    <row r="11171" spans="1:1" x14ac:dyDescent="0.25">
      <c r="A11171" s="13"/>
    </row>
    <row r="11172" spans="1:1" x14ac:dyDescent="0.25">
      <c r="A11172" s="13"/>
    </row>
    <row r="11173" spans="1:1" x14ac:dyDescent="0.25">
      <c r="A11173" s="13"/>
    </row>
    <row r="11174" spans="1:1" x14ac:dyDescent="0.25">
      <c r="A11174" s="13"/>
    </row>
    <row r="11175" spans="1:1" x14ac:dyDescent="0.25">
      <c r="A11175" s="13"/>
    </row>
    <row r="11176" spans="1:1" x14ac:dyDescent="0.25">
      <c r="A11176" s="13"/>
    </row>
    <row r="11177" spans="1:1" x14ac:dyDescent="0.25">
      <c r="A11177" s="13"/>
    </row>
    <row r="11178" spans="1:1" x14ac:dyDescent="0.25">
      <c r="A11178" s="13"/>
    </row>
    <row r="11179" spans="1:1" x14ac:dyDescent="0.25">
      <c r="A11179" s="13"/>
    </row>
    <row r="11180" spans="1:1" x14ac:dyDescent="0.25">
      <c r="A11180" s="13"/>
    </row>
    <row r="11181" spans="1:1" x14ac:dyDescent="0.25">
      <c r="A11181" s="13"/>
    </row>
    <row r="11182" spans="1:1" x14ac:dyDescent="0.25">
      <c r="A11182" s="13"/>
    </row>
    <row r="11183" spans="1:1" x14ac:dyDescent="0.25">
      <c r="A11183" s="13"/>
    </row>
    <row r="11184" spans="1:1" x14ac:dyDescent="0.25">
      <c r="A11184" s="13"/>
    </row>
    <row r="11185" spans="1:1" x14ac:dyDescent="0.25">
      <c r="A11185" s="13"/>
    </row>
    <row r="11186" spans="1:1" x14ac:dyDescent="0.25">
      <c r="A11186" s="13"/>
    </row>
    <row r="11187" spans="1:1" x14ac:dyDescent="0.25">
      <c r="A11187" s="13"/>
    </row>
    <row r="11188" spans="1:1" x14ac:dyDescent="0.25">
      <c r="A11188" s="13"/>
    </row>
    <row r="11189" spans="1:1" x14ac:dyDescent="0.25">
      <c r="A11189" s="13"/>
    </row>
    <row r="11190" spans="1:1" x14ac:dyDescent="0.25">
      <c r="A11190" s="13"/>
    </row>
    <row r="11191" spans="1:1" x14ac:dyDescent="0.25">
      <c r="A11191" s="13"/>
    </row>
    <row r="11192" spans="1:1" x14ac:dyDescent="0.25">
      <c r="A11192" s="13"/>
    </row>
    <row r="11193" spans="1:1" x14ac:dyDescent="0.25">
      <c r="A11193" s="13"/>
    </row>
    <row r="11194" spans="1:1" x14ac:dyDescent="0.25">
      <c r="A11194" s="13"/>
    </row>
    <row r="11195" spans="1:1" x14ac:dyDescent="0.25">
      <c r="A11195" s="13"/>
    </row>
    <row r="11196" spans="1:1" x14ac:dyDescent="0.25">
      <c r="A11196" s="13"/>
    </row>
    <row r="11197" spans="1:1" x14ac:dyDescent="0.25">
      <c r="A11197" s="13"/>
    </row>
    <row r="11198" spans="1:1" x14ac:dyDescent="0.25">
      <c r="A11198" s="13"/>
    </row>
    <row r="11199" spans="1:1" x14ac:dyDescent="0.25">
      <c r="A11199" s="13"/>
    </row>
    <row r="11200" spans="1:1" x14ac:dyDescent="0.25">
      <c r="A11200" s="13"/>
    </row>
    <row r="11201" spans="1:1" x14ac:dyDescent="0.25">
      <c r="A11201" s="13"/>
    </row>
    <row r="11202" spans="1:1" x14ac:dyDescent="0.25">
      <c r="A11202" s="13"/>
    </row>
    <row r="11203" spans="1:1" x14ac:dyDescent="0.25">
      <c r="A11203" s="13"/>
    </row>
    <row r="11204" spans="1:1" x14ac:dyDescent="0.25">
      <c r="A11204" s="13"/>
    </row>
    <row r="11205" spans="1:1" x14ac:dyDescent="0.25">
      <c r="A11205" s="13"/>
    </row>
    <row r="11206" spans="1:1" x14ac:dyDescent="0.25">
      <c r="A11206" s="13"/>
    </row>
    <row r="11207" spans="1:1" x14ac:dyDescent="0.25">
      <c r="A11207" s="13"/>
    </row>
    <row r="11208" spans="1:1" x14ac:dyDescent="0.25">
      <c r="A11208" s="13"/>
    </row>
    <row r="11209" spans="1:1" x14ac:dyDescent="0.25">
      <c r="A11209" s="13"/>
    </row>
    <row r="11210" spans="1:1" x14ac:dyDescent="0.25">
      <c r="A11210" s="13"/>
    </row>
    <row r="11211" spans="1:1" x14ac:dyDescent="0.25">
      <c r="A11211" s="13"/>
    </row>
    <row r="11212" spans="1:1" x14ac:dyDescent="0.25">
      <c r="A11212" s="13"/>
    </row>
    <row r="11213" spans="1:1" x14ac:dyDescent="0.25">
      <c r="A11213" s="13"/>
    </row>
    <row r="11214" spans="1:1" x14ac:dyDescent="0.25">
      <c r="A11214" s="13"/>
    </row>
    <row r="11215" spans="1:1" x14ac:dyDescent="0.25">
      <c r="A11215" s="13"/>
    </row>
    <row r="11216" spans="1:1" x14ac:dyDescent="0.25">
      <c r="A11216" s="13"/>
    </row>
    <row r="11217" spans="1:1" x14ac:dyDescent="0.25">
      <c r="A11217" s="13"/>
    </row>
    <row r="11218" spans="1:1" x14ac:dyDescent="0.25">
      <c r="A11218" s="13"/>
    </row>
    <row r="11219" spans="1:1" x14ac:dyDescent="0.25">
      <c r="A11219" s="13"/>
    </row>
    <row r="11220" spans="1:1" x14ac:dyDescent="0.25">
      <c r="A11220" s="13"/>
    </row>
    <row r="11221" spans="1:1" x14ac:dyDescent="0.25">
      <c r="A11221" s="13"/>
    </row>
    <row r="11222" spans="1:1" x14ac:dyDescent="0.25">
      <c r="A11222" s="13"/>
    </row>
    <row r="11223" spans="1:1" x14ac:dyDescent="0.25">
      <c r="A11223" s="13"/>
    </row>
    <row r="11224" spans="1:1" x14ac:dyDescent="0.25">
      <c r="A11224" s="13"/>
    </row>
    <row r="11225" spans="1:1" x14ac:dyDescent="0.25">
      <c r="A11225" s="13"/>
    </row>
    <row r="11226" spans="1:1" x14ac:dyDescent="0.25">
      <c r="A11226" s="13"/>
    </row>
    <row r="11227" spans="1:1" x14ac:dyDescent="0.25">
      <c r="A11227" s="13"/>
    </row>
    <row r="11228" spans="1:1" x14ac:dyDescent="0.25">
      <c r="A11228" s="13"/>
    </row>
    <row r="11229" spans="1:1" x14ac:dyDescent="0.25">
      <c r="A11229" s="13"/>
    </row>
    <row r="11230" spans="1:1" x14ac:dyDescent="0.25">
      <c r="A11230" s="13"/>
    </row>
    <row r="11231" spans="1:1" x14ac:dyDescent="0.25">
      <c r="A11231" s="13"/>
    </row>
    <row r="11232" spans="1:1" x14ac:dyDescent="0.25">
      <c r="A11232" s="13"/>
    </row>
    <row r="11233" spans="1:1" x14ac:dyDescent="0.25">
      <c r="A11233" s="13"/>
    </row>
    <row r="11234" spans="1:1" x14ac:dyDescent="0.25">
      <c r="A11234" s="13"/>
    </row>
    <row r="11235" spans="1:1" x14ac:dyDescent="0.25">
      <c r="A11235" s="13"/>
    </row>
    <row r="11236" spans="1:1" x14ac:dyDescent="0.25">
      <c r="A11236" s="13"/>
    </row>
    <row r="11237" spans="1:1" x14ac:dyDescent="0.25">
      <c r="A11237" s="13"/>
    </row>
    <row r="11238" spans="1:1" x14ac:dyDescent="0.25">
      <c r="A11238" s="13"/>
    </row>
    <row r="11239" spans="1:1" x14ac:dyDescent="0.25">
      <c r="A11239" s="13"/>
    </row>
    <row r="11240" spans="1:1" x14ac:dyDescent="0.25">
      <c r="A11240" s="13"/>
    </row>
    <row r="11241" spans="1:1" x14ac:dyDescent="0.25">
      <c r="A11241" s="13"/>
    </row>
    <row r="11242" spans="1:1" x14ac:dyDescent="0.25">
      <c r="A11242" s="13"/>
    </row>
    <row r="11243" spans="1:1" x14ac:dyDescent="0.25">
      <c r="A11243" s="13"/>
    </row>
    <row r="11244" spans="1:1" x14ac:dyDescent="0.25">
      <c r="A11244" s="13"/>
    </row>
    <row r="11245" spans="1:1" x14ac:dyDescent="0.25">
      <c r="A11245" s="13"/>
    </row>
    <row r="11246" spans="1:1" x14ac:dyDescent="0.25">
      <c r="A11246" s="13"/>
    </row>
    <row r="11247" spans="1:1" x14ac:dyDescent="0.25">
      <c r="A11247" s="13"/>
    </row>
    <row r="11248" spans="1:1" x14ac:dyDescent="0.25">
      <c r="A11248" s="13"/>
    </row>
    <row r="11249" spans="1:1" x14ac:dyDescent="0.25">
      <c r="A11249" s="13"/>
    </row>
    <row r="11250" spans="1:1" x14ac:dyDescent="0.25">
      <c r="A11250" s="13"/>
    </row>
    <row r="11251" spans="1:1" x14ac:dyDescent="0.25">
      <c r="A11251" s="13"/>
    </row>
    <row r="11252" spans="1:1" x14ac:dyDescent="0.25">
      <c r="A11252" s="13"/>
    </row>
    <row r="11253" spans="1:1" x14ac:dyDescent="0.25">
      <c r="A11253" s="13"/>
    </row>
    <row r="11254" spans="1:1" x14ac:dyDescent="0.25">
      <c r="A11254" s="13"/>
    </row>
    <row r="11255" spans="1:1" x14ac:dyDescent="0.25">
      <c r="A11255" s="13"/>
    </row>
    <row r="11256" spans="1:1" x14ac:dyDescent="0.25">
      <c r="A11256" s="13"/>
    </row>
    <row r="11257" spans="1:1" x14ac:dyDescent="0.25">
      <c r="A11257" s="13"/>
    </row>
    <row r="11258" spans="1:1" x14ac:dyDescent="0.25">
      <c r="A11258" s="13"/>
    </row>
    <row r="11259" spans="1:1" x14ac:dyDescent="0.25">
      <c r="A11259" s="13"/>
    </row>
    <row r="11260" spans="1:1" x14ac:dyDescent="0.25">
      <c r="A11260" s="13"/>
    </row>
    <row r="11261" spans="1:1" x14ac:dyDescent="0.25">
      <c r="A11261" s="13"/>
    </row>
    <row r="11262" spans="1:1" x14ac:dyDescent="0.25">
      <c r="A11262" s="13"/>
    </row>
    <row r="11263" spans="1:1" x14ac:dyDescent="0.25">
      <c r="A11263" s="13"/>
    </row>
    <row r="11264" spans="1:1" x14ac:dyDescent="0.25">
      <c r="A11264" s="13"/>
    </row>
    <row r="11265" spans="1:1" x14ac:dyDescent="0.25">
      <c r="A11265" s="13"/>
    </row>
    <row r="11266" spans="1:1" x14ac:dyDescent="0.25">
      <c r="A11266" s="13"/>
    </row>
    <row r="11267" spans="1:1" x14ac:dyDescent="0.25">
      <c r="A11267" s="13"/>
    </row>
    <row r="11268" spans="1:1" x14ac:dyDescent="0.25">
      <c r="A11268" s="13"/>
    </row>
    <row r="11269" spans="1:1" x14ac:dyDescent="0.25">
      <c r="A11269" s="13"/>
    </row>
    <row r="11270" spans="1:1" x14ac:dyDescent="0.25">
      <c r="A11270" s="13"/>
    </row>
    <row r="11271" spans="1:1" x14ac:dyDescent="0.25">
      <c r="A11271" s="13"/>
    </row>
    <row r="11272" spans="1:1" x14ac:dyDescent="0.25">
      <c r="A11272" s="13"/>
    </row>
    <row r="11273" spans="1:1" x14ac:dyDescent="0.25">
      <c r="A11273" s="13"/>
    </row>
    <row r="11274" spans="1:1" x14ac:dyDescent="0.25">
      <c r="A11274" s="13"/>
    </row>
    <row r="11275" spans="1:1" x14ac:dyDescent="0.25">
      <c r="A11275" s="13"/>
    </row>
    <row r="11276" spans="1:1" x14ac:dyDescent="0.25">
      <c r="A11276" s="13"/>
    </row>
    <row r="11277" spans="1:1" x14ac:dyDescent="0.25">
      <c r="A11277" s="13"/>
    </row>
    <row r="11278" spans="1:1" x14ac:dyDescent="0.25">
      <c r="A11278" s="13"/>
    </row>
    <row r="11279" spans="1:1" x14ac:dyDescent="0.25">
      <c r="A11279" s="13"/>
    </row>
    <row r="11280" spans="1:1" x14ac:dyDescent="0.25">
      <c r="A11280" s="13"/>
    </row>
    <row r="11281" spans="1:1" x14ac:dyDescent="0.25">
      <c r="A11281" s="13"/>
    </row>
    <row r="11282" spans="1:1" x14ac:dyDescent="0.25">
      <c r="A11282" s="13"/>
    </row>
    <row r="11283" spans="1:1" x14ac:dyDescent="0.25">
      <c r="A11283" s="13"/>
    </row>
    <row r="11284" spans="1:1" x14ac:dyDescent="0.25">
      <c r="A11284" s="13"/>
    </row>
    <row r="11285" spans="1:1" x14ac:dyDescent="0.25">
      <c r="A11285" s="13"/>
    </row>
    <row r="11286" spans="1:1" x14ac:dyDescent="0.25">
      <c r="A11286" s="13"/>
    </row>
    <row r="11287" spans="1:1" x14ac:dyDescent="0.25">
      <c r="A11287" s="13"/>
    </row>
    <row r="11288" spans="1:1" x14ac:dyDescent="0.25">
      <c r="A11288" s="13"/>
    </row>
    <row r="11289" spans="1:1" x14ac:dyDescent="0.25">
      <c r="A11289" s="13"/>
    </row>
    <row r="11290" spans="1:1" x14ac:dyDescent="0.25">
      <c r="A11290" s="13"/>
    </row>
    <row r="11291" spans="1:1" x14ac:dyDescent="0.25">
      <c r="A11291" s="13"/>
    </row>
    <row r="11292" spans="1:1" x14ac:dyDescent="0.25">
      <c r="A11292" s="13"/>
    </row>
    <row r="11293" spans="1:1" x14ac:dyDescent="0.25">
      <c r="A11293" s="13"/>
    </row>
    <row r="11294" spans="1:1" x14ac:dyDescent="0.25">
      <c r="A11294" s="13"/>
    </row>
    <row r="11295" spans="1:1" x14ac:dyDescent="0.25">
      <c r="A11295" s="13"/>
    </row>
    <row r="11296" spans="1:1" x14ac:dyDescent="0.25">
      <c r="A11296" s="13"/>
    </row>
    <row r="11297" spans="1:1" x14ac:dyDescent="0.25">
      <c r="A11297" s="13"/>
    </row>
    <row r="11298" spans="1:1" x14ac:dyDescent="0.25">
      <c r="A11298" s="13"/>
    </row>
    <row r="11299" spans="1:1" x14ac:dyDescent="0.25">
      <c r="A11299" s="13"/>
    </row>
    <row r="11300" spans="1:1" x14ac:dyDescent="0.25">
      <c r="A11300" s="13"/>
    </row>
    <row r="11301" spans="1:1" x14ac:dyDescent="0.25">
      <c r="A11301" s="13"/>
    </row>
    <row r="11302" spans="1:1" x14ac:dyDescent="0.25">
      <c r="A11302" s="13"/>
    </row>
    <row r="11303" spans="1:1" x14ac:dyDescent="0.25">
      <c r="A11303" s="13"/>
    </row>
    <row r="11304" spans="1:1" x14ac:dyDescent="0.25">
      <c r="A11304" s="13"/>
    </row>
    <row r="11305" spans="1:1" x14ac:dyDescent="0.25">
      <c r="A11305" s="13"/>
    </row>
    <row r="11306" spans="1:1" x14ac:dyDescent="0.25">
      <c r="A11306" s="13"/>
    </row>
    <row r="11307" spans="1:1" x14ac:dyDescent="0.25">
      <c r="A11307" s="13"/>
    </row>
    <row r="11308" spans="1:1" x14ac:dyDescent="0.25">
      <c r="A11308" s="13"/>
    </row>
    <row r="11309" spans="1:1" x14ac:dyDescent="0.25">
      <c r="A11309" s="13"/>
    </row>
    <row r="11310" spans="1:1" x14ac:dyDescent="0.25">
      <c r="A11310" s="13"/>
    </row>
    <row r="11311" spans="1:1" x14ac:dyDescent="0.25">
      <c r="A11311" s="13"/>
    </row>
    <row r="11312" spans="1:1" x14ac:dyDescent="0.25">
      <c r="A11312" s="13"/>
    </row>
    <row r="11313" spans="1:1" x14ac:dyDescent="0.25">
      <c r="A11313" s="13"/>
    </row>
    <row r="11314" spans="1:1" x14ac:dyDescent="0.25">
      <c r="A11314" s="13"/>
    </row>
    <row r="11315" spans="1:1" x14ac:dyDescent="0.25">
      <c r="A11315" s="13"/>
    </row>
    <row r="11316" spans="1:1" x14ac:dyDescent="0.25">
      <c r="A11316" s="13"/>
    </row>
    <row r="11317" spans="1:1" x14ac:dyDescent="0.25">
      <c r="A11317" s="13"/>
    </row>
    <row r="11318" spans="1:1" x14ac:dyDescent="0.25">
      <c r="A11318" s="13"/>
    </row>
    <row r="11319" spans="1:1" x14ac:dyDescent="0.25">
      <c r="A11319" s="13"/>
    </row>
    <row r="11320" spans="1:1" x14ac:dyDescent="0.25">
      <c r="A11320" s="13"/>
    </row>
    <row r="11321" spans="1:1" x14ac:dyDescent="0.25">
      <c r="A11321" s="13"/>
    </row>
    <row r="11322" spans="1:1" x14ac:dyDescent="0.25">
      <c r="A11322" s="13"/>
    </row>
    <row r="11323" spans="1:1" x14ac:dyDescent="0.25">
      <c r="A11323" s="13"/>
    </row>
    <row r="11324" spans="1:1" x14ac:dyDescent="0.25">
      <c r="A11324" s="13"/>
    </row>
    <row r="11325" spans="1:1" x14ac:dyDescent="0.25">
      <c r="A11325" s="13"/>
    </row>
    <row r="11326" spans="1:1" x14ac:dyDescent="0.25">
      <c r="A11326" s="13"/>
    </row>
    <row r="11327" spans="1:1" x14ac:dyDescent="0.25">
      <c r="A11327" s="13"/>
    </row>
    <row r="11328" spans="1:1" x14ac:dyDescent="0.25">
      <c r="A11328" s="13"/>
    </row>
    <row r="11329" spans="1:1" x14ac:dyDescent="0.25">
      <c r="A11329" s="13"/>
    </row>
    <row r="11330" spans="1:1" x14ac:dyDescent="0.25">
      <c r="A11330" s="13"/>
    </row>
    <row r="11331" spans="1:1" x14ac:dyDescent="0.25">
      <c r="A11331" s="13"/>
    </row>
    <row r="11332" spans="1:1" x14ac:dyDescent="0.25">
      <c r="A11332" s="13"/>
    </row>
    <row r="11333" spans="1:1" x14ac:dyDescent="0.25">
      <c r="A11333" s="13"/>
    </row>
    <row r="11334" spans="1:1" x14ac:dyDescent="0.25">
      <c r="A11334" s="13"/>
    </row>
    <row r="11335" spans="1:1" x14ac:dyDescent="0.25">
      <c r="A11335" s="13"/>
    </row>
    <row r="11336" spans="1:1" x14ac:dyDescent="0.25">
      <c r="A11336" s="13"/>
    </row>
    <row r="11337" spans="1:1" x14ac:dyDescent="0.25">
      <c r="A11337" s="13"/>
    </row>
    <row r="11338" spans="1:1" x14ac:dyDescent="0.25">
      <c r="A11338" s="13"/>
    </row>
    <row r="11339" spans="1:1" x14ac:dyDescent="0.25">
      <c r="A11339" s="13"/>
    </row>
    <row r="11340" spans="1:1" x14ac:dyDescent="0.25">
      <c r="A11340" s="13"/>
    </row>
    <row r="11341" spans="1:1" x14ac:dyDescent="0.25">
      <c r="A11341" s="13"/>
    </row>
    <row r="11342" spans="1:1" x14ac:dyDescent="0.25">
      <c r="A11342" s="13"/>
    </row>
    <row r="11343" spans="1:1" x14ac:dyDescent="0.25">
      <c r="A11343" s="13"/>
    </row>
    <row r="11344" spans="1:1" x14ac:dyDescent="0.25">
      <c r="A11344" s="13"/>
    </row>
    <row r="11345" spans="1:1" x14ac:dyDescent="0.25">
      <c r="A11345" s="13"/>
    </row>
    <row r="11346" spans="1:1" x14ac:dyDescent="0.25">
      <c r="A11346" s="13"/>
    </row>
    <row r="11347" spans="1:1" x14ac:dyDescent="0.25">
      <c r="A11347" s="13"/>
    </row>
    <row r="11348" spans="1:1" x14ac:dyDescent="0.25">
      <c r="A11348" s="13"/>
    </row>
    <row r="11349" spans="1:1" x14ac:dyDescent="0.25">
      <c r="A11349" s="13"/>
    </row>
    <row r="11350" spans="1:1" x14ac:dyDescent="0.25">
      <c r="A11350" s="13"/>
    </row>
    <row r="11351" spans="1:1" x14ac:dyDescent="0.25">
      <c r="A11351" s="13"/>
    </row>
    <row r="11352" spans="1:1" x14ac:dyDescent="0.25">
      <c r="A11352" s="13"/>
    </row>
    <row r="11353" spans="1:1" x14ac:dyDescent="0.25">
      <c r="A11353" s="13"/>
    </row>
    <row r="11354" spans="1:1" x14ac:dyDescent="0.25">
      <c r="A11354" s="13"/>
    </row>
    <row r="11355" spans="1:1" x14ac:dyDescent="0.25">
      <c r="A11355" s="13"/>
    </row>
    <row r="11356" spans="1:1" x14ac:dyDescent="0.25">
      <c r="A11356" s="13"/>
    </row>
    <row r="11357" spans="1:1" x14ac:dyDescent="0.25">
      <c r="A11357" s="13"/>
    </row>
    <row r="11358" spans="1:1" x14ac:dyDescent="0.25">
      <c r="A11358" s="13"/>
    </row>
    <row r="11359" spans="1:1" x14ac:dyDescent="0.25">
      <c r="A11359" s="13"/>
    </row>
    <row r="11360" spans="1:1" x14ac:dyDescent="0.25">
      <c r="A11360" s="13"/>
    </row>
    <row r="11361" spans="1:1" x14ac:dyDescent="0.25">
      <c r="A11361" s="13"/>
    </row>
    <row r="11362" spans="1:1" x14ac:dyDescent="0.25">
      <c r="A11362" s="13"/>
    </row>
    <row r="11363" spans="1:1" x14ac:dyDescent="0.25">
      <c r="A11363" s="13"/>
    </row>
    <row r="11364" spans="1:1" x14ac:dyDescent="0.25">
      <c r="A11364" s="13"/>
    </row>
    <row r="11365" spans="1:1" x14ac:dyDescent="0.25">
      <c r="A11365" s="13"/>
    </row>
    <row r="11366" spans="1:1" x14ac:dyDescent="0.25">
      <c r="A11366" s="13"/>
    </row>
    <row r="11367" spans="1:1" x14ac:dyDescent="0.25">
      <c r="A11367" s="13"/>
    </row>
    <row r="11368" spans="1:1" x14ac:dyDescent="0.25">
      <c r="A11368" s="13"/>
    </row>
    <row r="11369" spans="1:1" x14ac:dyDescent="0.25">
      <c r="A11369" s="13"/>
    </row>
    <row r="11370" spans="1:1" x14ac:dyDescent="0.25">
      <c r="A11370" s="13"/>
    </row>
    <row r="11371" spans="1:1" x14ac:dyDescent="0.25">
      <c r="A11371" s="13"/>
    </row>
    <row r="11372" spans="1:1" x14ac:dyDescent="0.25">
      <c r="A11372" s="13"/>
    </row>
    <row r="11373" spans="1:1" x14ac:dyDescent="0.25">
      <c r="A11373" s="13"/>
    </row>
    <row r="11374" spans="1:1" x14ac:dyDescent="0.25">
      <c r="A11374" s="13"/>
    </row>
    <row r="11375" spans="1:1" x14ac:dyDescent="0.25">
      <c r="A11375" s="13"/>
    </row>
    <row r="11376" spans="1:1" x14ac:dyDescent="0.25">
      <c r="A11376" s="13"/>
    </row>
    <row r="11377" spans="1:1" x14ac:dyDescent="0.25">
      <c r="A11377" s="13"/>
    </row>
    <row r="11378" spans="1:1" x14ac:dyDescent="0.25">
      <c r="A11378" s="13"/>
    </row>
    <row r="11379" spans="1:1" x14ac:dyDescent="0.25">
      <c r="A11379" s="13"/>
    </row>
    <row r="11380" spans="1:1" x14ac:dyDescent="0.25">
      <c r="A11380" s="13"/>
    </row>
    <row r="11381" spans="1:1" x14ac:dyDescent="0.25">
      <c r="A11381" s="13"/>
    </row>
    <row r="11382" spans="1:1" x14ac:dyDescent="0.25">
      <c r="A11382" s="13"/>
    </row>
    <row r="11383" spans="1:1" x14ac:dyDescent="0.25">
      <c r="A11383" s="13"/>
    </row>
    <row r="11384" spans="1:1" x14ac:dyDescent="0.25">
      <c r="A11384" s="13"/>
    </row>
    <row r="11385" spans="1:1" x14ac:dyDescent="0.25">
      <c r="A11385" s="13"/>
    </row>
    <row r="11386" spans="1:1" x14ac:dyDescent="0.25">
      <c r="A11386" s="13"/>
    </row>
    <row r="11387" spans="1:1" x14ac:dyDescent="0.25">
      <c r="A11387" s="13"/>
    </row>
    <row r="11388" spans="1:1" x14ac:dyDescent="0.25">
      <c r="A11388" s="13"/>
    </row>
    <row r="11389" spans="1:1" x14ac:dyDescent="0.25">
      <c r="A11389" s="13"/>
    </row>
    <row r="11390" spans="1:1" x14ac:dyDescent="0.25">
      <c r="A11390" s="13"/>
    </row>
    <row r="11391" spans="1:1" x14ac:dyDescent="0.25">
      <c r="A11391" s="13"/>
    </row>
    <row r="11392" spans="1:1" x14ac:dyDescent="0.25">
      <c r="A11392" s="13"/>
    </row>
    <row r="11393" spans="1:1" x14ac:dyDescent="0.25">
      <c r="A11393" s="13"/>
    </row>
    <row r="11394" spans="1:1" x14ac:dyDescent="0.25">
      <c r="A11394" s="13"/>
    </row>
    <row r="11395" spans="1:1" x14ac:dyDescent="0.25">
      <c r="A11395" s="13"/>
    </row>
    <row r="11396" spans="1:1" x14ac:dyDescent="0.25">
      <c r="A11396" s="13"/>
    </row>
    <row r="11397" spans="1:1" x14ac:dyDescent="0.25">
      <c r="A11397" s="13"/>
    </row>
    <row r="11398" spans="1:1" x14ac:dyDescent="0.25">
      <c r="A11398" s="13"/>
    </row>
    <row r="11399" spans="1:1" x14ac:dyDescent="0.25">
      <c r="A11399" s="13"/>
    </row>
    <row r="11400" spans="1:1" x14ac:dyDescent="0.25">
      <c r="A11400" s="13"/>
    </row>
    <row r="11401" spans="1:1" x14ac:dyDescent="0.25">
      <c r="A11401" s="13"/>
    </row>
    <row r="11402" spans="1:1" x14ac:dyDescent="0.25">
      <c r="A11402" s="13"/>
    </row>
    <row r="11403" spans="1:1" x14ac:dyDescent="0.25">
      <c r="A11403" s="13"/>
    </row>
    <row r="11404" spans="1:1" x14ac:dyDescent="0.25">
      <c r="A11404" s="13"/>
    </row>
    <row r="11405" spans="1:1" x14ac:dyDescent="0.25">
      <c r="A11405" s="13"/>
    </row>
    <row r="11406" spans="1:1" x14ac:dyDescent="0.25">
      <c r="A11406" s="13"/>
    </row>
    <row r="11407" spans="1:1" x14ac:dyDescent="0.25">
      <c r="A11407" s="13"/>
    </row>
    <row r="11408" spans="1:1" x14ac:dyDescent="0.25">
      <c r="A11408" s="13"/>
    </row>
    <row r="11409" spans="1:1" x14ac:dyDescent="0.25">
      <c r="A11409" s="13"/>
    </row>
    <row r="11410" spans="1:1" x14ac:dyDescent="0.25">
      <c r="A11410" s="13"/>
    </row>
    <row r="11411" spans="1:1" x14ac:dyDescent="0.25">
      <c r="A11411" s="13"/>
    </row>
    <row r="11412" spans="1:1" x14ac:dyDescent="0.25">
      <c r="A11412" s="13"/>
    </row>
    <row r="11413" spans="1:1" x14ac:dyDescent="0.25">
      <c r="A11413" s="13"/>
    </row>
    <row r="11414" spans="1:1" x14ac:dyDescent="0.25">
      <c r="A11414" s="13"/>
    </row>
    <row r="11415" spans="1:1" x14ac:dyDescent="0.25">
      <c r="A11415" s="13"/>
    </row>
    <row r="11416" spans="1:1" x14ac:dyDescent="0.25">
      <c r="A11416" s="13"/>
    </row>
    <row r="11417" spans="1:1" x14ac:dyDescent="0.25">
      <c r="A11417" s="13"/>
    </row>
    <row r="11418" spans="1:1" x14ac:dyDescent="0.25">
      <c r="A11418" s="13"/>
    </row>
    <row r="11419" spans="1:1" x14ac:dyDescent="0.25">
      <c r="A11419" s="13"/>
    </row>
    <row r="11420" spans="1:1" x14ac:dyDescent="0.25">
      <c r="A11420" s="13"/>
    </row>
    <row r="11421" spans="1:1" x14ac:dyDescent="0.25">
      <c r="A11421" s="13"/>
    </row>
    <row r="11422" spans="1:1" x14ac:dyDescent="0.25">
      <c r="A11422" s="13"/>
    </row>
    <row r="11423" spans="1:1" x14ac:dyDescent="0.25">
      <c r="A11423" s="13"/>
    </row>
    <row r="11424" spans="1:1" x14ac:dyDescent="0.25">
      <c r="A11424" s="13"/>
    </row>
    <row r="11425" spans="1:1" x14ac:dyDescent="0.25">
      <c r="A11425" s="13"/>
    </row>
    <row r="11426" spans="1:1" x14ac:dyDescent="0.25">
      <c r="A11426" s="13"/>
    </row>
    <row r="11427" spans="1:1" x14ac:dyDescent="0.25">
      <c r="A11427" s="13"/>
    </row>
    <row r="11428" spans="1:1" x14ac:dyDescent="0.25">
      <c r="A11428" s="13"/>
    </row>
    <row r="11429" spans="1:1" x14ac:dyDescent="0.25">
      <c r="A11429" s="13"/>
    </row>
    <row r="11430" spans="1:1" x14ac:dyDescent="0.25">
      <c r="A11430" s="13"/>
    </row>
    <row r="11431" spans="1:1" x14ac:dyDescent="0.25">
      <c r="A11431" s="13"/>
    </row>
    <row r="11432" spans="1:1" x14ac:dyDescent="0.25">
      <c r="A11432" s="13"/>
    </row>
    <row r="11433" spans="1:1" x14ac:dyDescent="0.25">
      <c r="A11433" s="13"/>
    </row>
    <row r="11434" spans="1:1" x14ac:dyDescent="0.25">
      <c r="A11434" s="13"/>
    </row>
    <row r="11435" spans="1:1" x14ac:dyDescent="0.25">
      <c r="A11435" s="13"/>
    </row>
    <row r="11436" spans="1:1" x14ac:dyDescent="0.25">
      <c r="A11436" s="13"/>
    </row>
    <row r="11437" spans="1:1" x14ac:dyDescent="0.25">
      <c r="A11437" s="13"/>
    </row>
    <row r="11438" spans="1:1" x14ac:dyDescent="0.25">
      <c r="A11438" s="13"/>
    </row>
    <row r="11439" spans="1:1" x14ac:dyDescent="0.25">
      <c r="A11439" s="13"/>
    </row>
    <row r="11440" spans="1:1" x14ac:dyDescent="0.25">
      <c r="A11440" s="13"/>
    </row>
    <row r="11441" spans="1:1" x14ac:dyDescent="0.25">
      <c r="A11441" s="13"/>
    </row>
    <row r="11442" spans="1:1" x14ac:dyDescent="0.25">
      <c r="A11442" s="13"/>
    </row>
    <row r="11443" spans="1:1" x14ac:dyDescent="0.25">
      <c r="A11443" s="13"/>
    </row>
    <row r="11444" spans="1:1" x14ac:dyDescent="0.25">
      <c r="A11444" s="13"/>
    </row>
    <row r="11445" spans="1:1" x14ac:dyDescent="0.25">
      <c r="A11445" s="13"/>
    </row>
    <row r="11446" spans="1:1" x14ac:dyDescent="0.25">
      <c r="A11446" s="13"/>
    </row>
    <row r="11447" spans="1:1" x14ac:dyDescent="0.25">
      <c r="A11447" s="13"/>
    </row>
    <row r="11448" spans="1:1" x14ac:dyDescent="0.25">
      <c r="A11448" s="13"/>
    </row>
    <row r="11449" spans="1:1" x14ac:dyDescent="0.25">
      <c r="A11449" s="13"/>
    </row>
    <row r="11450" spans="1:1" x14ac:dyDescent="0.25">
      <c r="A11450" s="13"/>
    </row>
    <row r="11451" spans="1:1" x14ac:dyDescent="0.25">
      <c r="A11451" s="13"/>
    </row>
    <row r="11452" spans="1:1" x14ac:dyDescent="0.25">
      <c r="A11452" s="13"/>
    </row>
    <row r="11453" spans="1:1" x14ac:dyDescent="0.25">
      <c r="A11453" s="13"/>
    </row>
    <row r="11454" spans="1:1" x14ac:dyDescent="0.25">
      <c r="A11454" s="13"/>
    </row>
    <row r="11455" spans="1:1" x14ac:dyDescent="0.25">
      <c r="A11455" s="13"/>
    </row>
    <row r="11456" spans="1:1" x14ac:dyDescent="0.25">
      <c r="A11456" s="13"/>
    </row>
    <row r="11457" spans="1:1" x14ac:dyDescent="0.25">
      <c r="A11457" s="13"/>
    </row>
    <row r="11458" spans="1:1" x14ac:dyDescent="0.25">
      <c r="A11458" s="13"/>
    </row>
    <row r="11459" spans="1:1" x14ac:dyDescent="0.25">
      <c r="A11459" s="13"/>
    </row>
    <row r="11460" spans="1:1" x14ac:dyDescent="0.25">
      <c r="A11460" s="13"/>
    </row>
    <row r="11461" spans="1:1" x14ac:dyDescent="0.25">
      <c r="A11461" s="13"/>
    </row>
    <row r="11462" spans="1:1" x14ac:dyDescent="0.25">
      <c r="A11462" s="13"/>
    </row>
    <row r="11463" spans="1:1" x14ac:dyDescent="0.25">
      <c r="A11463" s="13"/>
    </row>
    <row r="11464" spans="1:1" x14ac:dyDescent="0.25">
      <c r="A11464" s="13"/>
    </row>
    <row r="11465" spans="1:1" x14ac:dyDescent="0.25">
      <c r="A11465" s="13"/>
    </row>
    <row r="11466" spans="1:1" x14ac:dyDescent="0.25">
      <c r="A11466" s="13"/>
    </row>
    <row r="11467" spans="1:1" x14ac:dyDescent="0.25">
      <c r="A11467" s="13"/>
    </row>
    <row r="11468" spans="1:1" x14ac:dyDescent="0.25">
      <c r="A11468" s="13"/>
    </row>
    <row r="11469" spans="1:1" x14ac:dyDescent="0.25">
      <c r="A11469" s="13"/>
    </row>
    <row r="11470" spans="1:1" x14ac:dyDescent="0.25">
      <c r="A11470" s="13"/>
    </row>
    <row r="11471" spans="1:1" x14ac:dyDescent="0.25">
      <c r="A11471" s="13"/>
    </row>
    <row r="11472" spans="1:1" x14ac:dyDescent="0.25">
      <c r="A11472" s="13"/>
    </row>
    <row r="11473" spans="1:1" x14ac:dyDescent="0.25">
      <c r="A11473" s="13"/>
    </row>
    <row r="11474" spans="1:1" x14ac:dyDescent="0.25">
      <c r="A11474" s="13"/>
    </row>
    <row r="11475" spans="1:1" x14ac:dyDescent="0.25">
      <c r="A11475" s="13"/>
    </row>
    <row r="11476" spans="1:1" x14ac:dyDescent="0.25">
      <c r="A11476" s="13"/>
    </row>
    <row r="11477" spans="1:1" x14ac:dyDescent="0.25">
      <c r="A11477" s="13"/>
    </row>
    <row r="11478" spans="1:1" x14ac:dyDescent="0.25">
      <c r="A11478" s="13"/>
    </row>
    <row r="11479" spans="1:1" x14ac:dyDescent="0.25">
      <c r="A11479" s="13"/>
    </row>
    <row r="11480" spans="1:1" x14ac:dyDescent="0.25">
      <c r="A11480" s="13"/>
    </row>
    <row r="11481" spans="1:1" x14ac:dyDescent="0.25">
      <c r="A11481" s="13"/>
    </row>
    <row r="11482" spans="1:1" x14ac:dyDescent="0.25">
      <c r="A11482" s="13"/>
    </row>
    <row r="11483" spans="1:1" x14ac:dyDescent="0.25">
      <c r="A11483" s="13"/>
    </row>
    <row r="11484" spans="1:1" x14ac:dyDescent="0.25">
      <c r="A11484" s="13"/>
    </row>
    <row r="11485" spans="1:1" x14ac:dyDescent="0.25">
      <c r="A11485" s="13"/>
    </row>
    <row r="11486" spans="1:1" x14ac:dyDescent="0.25">
      <c r="A11486" s="13"/>
    </row>
    <row r="11487" spans="1:1" x14ac:dyDescent="0.25">
      <c r="A11487" s="13"/>
    </row>
    <row r="11488" spans="1:1" x14ac:dyDescent="0.25">
      <c r="A11488" s="13"/>
    </row>
    <row r="11489" spans="1:1" x14ac:dyDescent="0.25">
      <c r="A11489" s="13"/>
    </row>
    <row r="11490" spans="1:1" x14ac:dyDescent="0.25">
      <c r="A11490" s="13"/>
    </row>
    <row r="11491" spans="1:1" x14ac:dyDescent="0.25">
      <c r="A11491" s="13"/>
    </row>
    <row r="11492" spans="1:1" x14ac:dyDescent="0.25">
      <c r="A11492" s="13"/>
    </row>
    <row r="11493" spans="1:1" x14ac:dyDescent="0.25">
      <c r="A11493" s="13"/>
    </row>
    <row r="11494" spans="1:1" x14ac:dyDescent="0.25">
      <c r="A11494" s="13"/>
    </row>
    <row r="11495" spans="1:1" x14ac:dyDescent="0.25">
      <c r="A11495" s="13"/>
    </row>
    <row r="11496" spans="1:1" x14ac:dyDescent="0.25">
      <c r="A11496" s="13"/>
    </row>
    <row r="11497" spans="1:1" x14ac:dyDescent="0.25">
      <c r="A11497" s="13"/>
    </row>
    <row r="11498" spans="1:1" x14ac:dyDescent="0.25">
      <c r="A11498" s="13"/>
    </row>
    <row r="11499" spans="1:1" x14ac:dyDescent="0.25">
      <c r="A11499" s="13"/>
    </row>
    <row r="11500" spans="1:1" x14ac:dyDescent="0.25">
      <c r="A11500" s="13"/>
    </row>
    <row r="11501" spans="1:1" x14ac:dyDescent="0.25">
      <c r="A11501" s="13"/>
    </row>
    <row r="11502" spans="1:1" x14ac:dyDescent="0.25">
      <c r="A11502" s="13"/>
    </row>
    <row r="11503" spans="1:1" x14ac:dyDescent="0.25">
      <c r="A11503" s="13"/>
    </row>
    <row r="11504" spans="1:1" x14ac:dyDescent="0.25">
      <c r="A11504" s="13"/>
    </row>
    <row r="11505" spans="1:1" x14ac:dyDescent="0.25">
      <c r="A11505" s="13"/>
    </row>
    <row r="11506" spans="1:1" x14ac:dyDescent="0.25">
      <c r="A11506" s="13"/>
    </row>
    <row r="11507" spans="1:1" x14ac:dyDescent="0.25">
      <c r="A11507" s="13"/>
    </row>
    <row r="11508" spans="1:1" x14ac:dyDescent="0.25">
      <c r="A11508" s="13"/>
    </row>
    <row r="11509" spans="1:1" x14ac:dyDescent="0.25">
      <c r="A11509" s="13"/>
    </row>
    <row r="11510" spans="1:1" x14ac:dyDescent="0.25">
      <c r="A11510" s="13"/>
    </row>
    <row r="11511" spans="1:1" x14ac:dyDescent="0.25">
      <c r="A11511" s="13"/>
    </row>
    <row r="11512" spans="1:1" x14ac:dyDescent="0.25">
      <c r="A11512" s="13"/>
    </row>
    <row r="11513" spans="1:1" x14ac:dyDescent="0.25">
      <c r="A11513" s="13"/>
    </row>
    <row r="11514" spans="1:1" x14ac:dyDescent="0.25">
      <c r="A11514" s="13"/>
    </row>
    <row r="11515" spans="1:1" x14ac:dyDescent="0.25">
      <c r="A11515" s="13"/>
    </row>
    <row r="11516" spans="1:1" x14ac:dyDescent="0.25">
      <c r="A11516" s="13"/>
    </row>
    <row r="11517" spans="1:1" x14ac:dyDescent="0.25">
      <c r="A11517" s="13"/>
    </row>
    <row r="11518" spans="1:1" x14ac:dyDescent="0.25">
      <c r="A11518" s="13"/>
    </row>
    <row r="11519" spans="1:1" x14ac:dyDescent="0.25">
      <c r="A11519" s="13"/>
    </row>
    <row r="11520" spans="1:1" x14ac:dyDescent="0.25">
      <c r="A11520" s="13"/>
    </row>
    <row r="11521" spans="1:1" x14ac:dyDescent="0.25">
      <c r="A11521" s="13"/>
    </row>
    <row r="11522" spans="1:1" x14ac:dyDescent="0.25">
      <c r="A11522" s="13"/>
    </row>
    <row r="11523" spans="1:1" x14ac:dyDescent="0.25">
      <c r="A11523" s="13"/>
    </row>
    <row r="11524" spans="1:1" x14ac:dyDescent="0.25">
      <c r="A11524" s="13"/>
    </row>
    <row r="11525" spans="1:1" x14ac:dyDescent="0.25">
      <c r="A11525" s="13"/>
    </row>
    <row r="11526" spans="1:1" x14ac:dyDescent="0.25">
      <c r="A11526" s="13"/>
    </row>
    <row r="11527" spans="1:1" x14ac:dyDescent="0.25">
      <c r="A11527" s="13"/>
    </row>
    <row r="11528" spans="1:1" x14ac:dyDescent="0.25">
      <c r="A11528" s="13"/>
    </row>
    <row r="11529" spans="1:1" x14ac:dyDescent="0.25">
      <c r="A11529" s="13"/>
    </row>
    <row r="11530" spans="1:1" x14ac:dyDescent="0.25">
      <c r="A11530" s="13"/>
    </row>
    <row r="11531" spans="1:1" x14ac:dyDescent="0.25">
      <c r="A11531" s="13"/>
    </row>
    <row r="11532" spans="1:1" x14ac:dyDescent="0.25">
      <c r="A11532" s="13"/>
    </row>
    <row r="11533" spans="1:1" x14ac:dyDescent="0.25">
      <c r="A11533" s="13"/>
    </row>
    <row r="11534" spans="1:1" x14ac:dyDescent="0.25">
      <c r="A11534" s="13"/>
    </row>
    <row r="11535" spans="1:1" x14ac:dyDescent="0.25">
      <c r="A11535" s="13"/>
    </row>
    <row r="11536" spans="1:1" x14ac:dyDescent="0.25">
      <c r="A11536" s="13"/>
    </row>
    <row r="11537" spans="1:1" x14ac:dyDescent="0.25">
      <c r="A11537" s="13"/>
    </row>
    <row r="11538" spans="1:1" x14ac:dyDescent="0.25">
      <c r="A11538" s="13"/>
    </row>
    <row r="11539" spans="1:1" x14ac:dyDescent="0.25">
      <c r="A11539" s="13"/>
    </row>
    <row r="11540" spans="1:1" x14ac:dyDescent="0.25">
      <c r="A11540" s="13"/>
    </row>
    <row r="11541" spans="1:1" x14ac:dyDescent="0.25">
      <c r="A11541" s="13"/>
    </row>
    <row r="11542" spans="1:1" x14ac:dyDescent="0.25">
      <c r="A11542" s="13"/>
    </row>
    <row r="11543" spans="1:1" x14ac:dyDescent="0.25">
      <c r="A11543" s="13"/>
    </row>
    <row r="11544" spans="1:1" x14ac:dyDescent="0.25">
      <c r="A11544" s="13"/>
    </row>
    <row r="11545" spans="1:1" x14ac:dyDescent="0.25">
      <c r="A11545" s="13"/>
    </row>
    <row r="11546" spans="1:1" x14ac:dyDescent="0.25">
      <c r="A11546" s="13"/>
    </row>
    <row r="11547" spans="1:1" x14ac:dyDescent="0.25">
      <c r="A11547" s="13"/>
    </row>
    <row r="11548" spans="1:1" x14ac:dyDescent="0.25">
      <c r="A11548" s="13"/>
    </row>
    <row r="11549" spans="1:1" x14ac:dyDescent="0.25">
      <c r="A11549" s="13"/>
    </row>
    <row r="11550" spans="1:1" x14ac:dyDescent="0.25">
      <c r="A11550" s="13"/>
    </row>
    <row r="11551" spans="1:1" x14ac:dyDescent="0.25">
      <c r="A11551" s="13"/>
    </row>
    <row r="11552" spans="1:1" x14ac:dyDescent="0.25">
      <c r="A11552" s="13"/>
    </row>
    <row r="11553" spans="1:1" x14ac:dyDescent="0.25">
      <c r="A11553" s="13"/>
    </row>
    <row r="11554" spans="1:1" x14ac:dyDescent="0.25">
      <c r="A11554" s="13"/>
    </row>
    <row r="11555" spans="1:1" x14ac:dyDescent="0.25">
      <c r="A11555" s="13"/>
    </row>
    <row r="11556" spans="1:1" x14ac:dyDescent="0.25">
      <c r="A11556" s="13"/>
    </row>
    <row r="11557" spans="1:1" x14ac:dyDescent="0.25">
      <c r="A11557" s="13"/>
    </row>
    <row r="11558" spans="1:1" x14ac:dyDescent="0.25">
      <c r="A11558" s="13"/>
    </row>
    <row r="11559" spans="1:1" x14ac:dyDescent="0.25">
      <c r="A11559" s="13"/>
    </row>
    <row r="11560" spans="1:1" x14ac:dyDescent="0.25">
      <c r="A11560" s="13"/>
    </row>
    <row r="11561" spans="1:1" x14ac:dyDescent="0.25">
      <c r="A11561" s="13"/>
    </row>
    <row r="11562" spans="1:1" x14ac:dyDescent="0.25">
      <c r="A11562" s="13"/>
    </row>
    <row r="11563" spans="1:1" x14ac:dyDescent="0.25">
      <c r="A11563" s="13"/>
    </row>
    <row r="11564" spans="1:1" x14ac:dyDescent="0.25">
      <c r="A11564" s="13"/>
    </row>
    <row r="11565" spans="1:1" x14ac:dyDescent="0.25">
      <c r="A11565" s="13"/>
    </row>
    <row r="11566" spans="1:1" x14ac:dyDescent="0.25">
      <c r="A11566" s="13"/>
    </row>
    <row r="11567" spans="1:1" x14ac:dyDescent="0.25">
      <c r="A11567" s="13"/>
    </row>
    <row r="11568" spans="1:1" x14ac:dyDescent="0.25">
      <c r="A11568" s="13"/>
    </row>
    <row r="11569" spans="1:1" x14ac:dyDescent="0.25">
      <c r="A11569" s="13"/>
    </row>
    <row r="11570" spans="1:1" x14ac:dyDescent="0.25">
      <c r="A11570" s="13"/>
    </row>
    <row r="11571" spans="1:1" x14ac:dyDescent="0.25">
      <c r="A11571" s="13"/>
    </row>
    <row r="11572" spans="1:1" x14ac:dyDescent="0.25">
      <c r="A11572" s="13"/>
    </row>
    <row r="11573" spans="1:1" x14ac:dyDescent="0.25">
      <c r="A11573" s="13"/>
    </row>
    <row r="11574" spans="1:1" x14ac:dyDescent="0.25">
      <c r="A11574" s="13"/>
    </row>
    <row r="11575" spans="1:1" x14ac:dyDescent="0.25">
      <c r="A11575" s="13"/>
    </row>
    <row r="11576" spans="1:1" x14ac:dyDescent="0.25">
      <c r="A11576" s="13"/>
    </row>
    <row r="11577" spans="1:1" x14ac:dyDescent="0.25">
      <c r="A11577" s="13"/>
    </row>
    <row r="11578" spans="1:1" x14ac:dyDescent="0.25">
      <c r="A11578" s="13"/>
    </row>
    <row r="11579" spans="1:1" x14ac:dyDescent="0.25">
      <c r="A11579" s="13"/>
    </row>
    <row r="11580" spans="1:1" x14ac:dyDescent="0.25">
      <c r="A11580" s="13"/>
    </row>
    <row r="11581" spans="1:1" x14ac:dyDescent="0.25">
      <c r="A11581" s="13"/>
    </row>
    <row r="11582" spans="1:1" x14ac:dyDescent="0.25">
      <c r="A11582" s="13"/>
    </row>
    <row r="11583" spans="1:1" x14ac:dyDescent="0.25">
      <c r="A11583" s="13"/>
    </row>
    <row r="11584" spans="1:1" x14ac:dyDescent="0.25">
      <c r="A11584" s="13"/>
    </row>
    <row r="11585" spans="1:1" x14ac:dyDescent="0.25">
      <c r="A11585" s="13"/>
    </row>
    <row r="11586" spans="1:1" x14ac:dyDescent="0.25">
      <c r="A11586" s="13"/>
    </row>
    <row r="11587" spans="1:1" x14ac:dyDescent="0.25">
      <c r="A11587" s="13"/>
    </row>
    <row r="11588" spans="1:1" x14ac:dyDescent="0.25">
      <c r="A11588" s="13"/>
    </row>
    <row r="11589" spans="1:1" x14ac:dyDescent="0.25">
      <c r="A11589" s="13"/>
    </row>
    <row r="11590" spans="1:1" x14ac:dyDescent="0.25">
      <c r="A11590" s="13"/>
    </row>
    <row r="11591" spans="1:1" x14ac:dyDescent="0.25">
      <c r="A11591" s="13"/>
    </row>
    <row r="11592" spans="1:1" x14ac:dyDescent="0.25">
      <c r="A11592" s="13"/>
    </row>
    <row r="11593" spans="1:1" x14ac:dyDescent="0.25">
      <c r="A11593" s="13"/>
    </row>
    <row r="11594" spans="1:1" x14ac:dyDescent="0.25">
      <c r="A11594" s="13"/>
    </row>
    <row r="11595" spans="1:1" x14ac:dyDescent="0.25">
      <c r="A11595" s="13"/>
    </row>
    <row r="11596" spans="1:1" x14ac:dyDescent="0.25">
      <c r="A11596" s="13"/>
    </row>
    <row r="11597" spans="1:1" x14ac:dyDescent="0.25">
      <c r="A11597" s="13"/>
    </row>
    <row r="11598" spans="1:1" x14ac:dyDescent="0.25">
      <c r="A11598" s="13"/>
    </row>
    <row r="11599" spans="1:1" x14ac:dyDescent="0.25">
      <c r="A11599" s="13"/>
    </row>
    <row r="11600" spans="1:1" x14ac:dyDescent="0.25">
      <c r="A11600" s="13"/>
    </row>
    <row r="11601" spans="1:1" x14ac:dyDescent="0.25">
      <c r="A11601" s="13"/>
    </row>
    <row r="11602" spans="1:1" x14ac:dyDescent="0.25">
      <c r="A11602" s="13"/>
    </row>
    <row r="11603" spans="1:1" x14ac:dyDescent="0.25">
      <c r="A11603" s="13"/>
    </row>
    <row r="11604" spans="1:1" x14ac:dyDescent="0.25">
      <c r="A11604" s="13"/>
    </row>
    <row r="11605" spans="1:1" x14ac:dyDescent="0.25">
      <c r="A11605" s="13"/>
    </row>
    <row r="11606" spans="1:1" x14ac:dyDescent="0.25">
      <c r="A11606" s="13"/>
    </row>
    <row r="11607" spans="1:1" x14ac:dyDescent="0.25">
      <c r="A11607" s="13"/>
    </row>
    <row r="11608" spans="1:1" x14ac:dyDescent="0.25">
      <c r="A11608" s="13"/>
    </row>
    <row r="11609" spans="1:1" x14ac:dyDescent="0.25">
      <c r="A11609" s="13"/>
    </row>
    <row r="11610" spans="1:1" x14ac:dyDescent="0.25">
      <c r="A11610" s="13"/>
    </row>
    <row r="11611" spans="1:1" x14ac:dyDescent="0.25">
      <c r="A11611" s="13"/>
    </row>
    <row r="11612" spans="1:1" x14ac:dyDescent="0.25">
      <c r="A11612" s="13"/>
    </row>
    <row r="11613" spans="1:1" x14ac:dyDescent="0.25">
      <c r="A11613" s="13"/>
    </row>
    <row r="11614" spans="1:1" x14ac:dyDescent="0.25">
      <c r="A11614" s="13"/>
    </row>
    <row r="11615" spans="1:1" x14ac:dyDescent="0.25">
      <c r="A11615" s="13"/>
    </row>
    <row r="11616" spans="1:1" x14ac:dyDescent="0.25">
      <c r="A11616" s="13"/>
    </row>
    <row r="11617" spans="1:1" x14ac:dyDescent="0.25">
      <c r="A11617" s="13"/>
    </row>
    <row r="11618" spans="1:1" x14ac:dyDescent="0.25">
      <c r="A11618" s="13"/>
    </row>
    <row r="11619" spans="1:1" x14ac:dyDescent="0.25">
      <c r="A11619" s="13"/>
    </row>
    <row r="11620" spans="1:1" x14ac:dyDescent="0.25">
      <c r="A11620" s="13"/>
    </row>
    <row r="11621" spans="1:1" x14ac:dyDescent="0.25">
      <c r="A11621" s="13"/>
    </row>
    <row r="11622" spans="1:1" x14ac:dyDescent="0.25">
      <c r="A11622" s="13"/>
    </row>
    <row r="11623" spans="1:1" x14ac:dyDescent="0.25">
      <c r="A11623" s="13"/>
    </row>
    <row r="11624" spans="1:1" x14ac:dyDescent="0.25">
      <c r="A11624" s="13"/>
    </row>
    <row r="11625" spans="1:1" x14ac:dyDescent="0.25">
      <c r="A11625" s="13"/>
    </row>
    <row r="11626" spans="1:1" x14ac:dyDescent="0.25">
      <c r="A11626" s="13"/>
    </row>
    <row r="11627" spans="1:1" x14ac:dyDescent="0.25">
      <c r="A11627" s="13"/>
    </row>
    <row r="11628" spans="1:1" x14ac:dyDescent="0.25">
      <c r="A11628" s="13"/>
    </row>
    <row r="11629" spans="1:1" x14ac:dyDescent="0.25">
      <c r="A11629" s="13"/>
    </row>
    <row r="11630" spans="1:1" x14ac:dyDescent="0.25">
      <c r="A11630" s="13"/>
    </row>
    <row r="11631" spans="1:1" x14ac:dyDescent="0.25">
      <c r="A11631" s="13"/>
    </row>
    <row r="11632" spans="1:1" x14ac:dyDescent="0.25">
      <c r="A11632" s="13"/>
    </row>
    <row r="11633" spans="1:1" x14ac:dyDescent="0.25">
      <c r="A11633" s="13"/>
    </row>
    <row r="11634" spans="1:1" x14ac:dyDescent="0.25">
      <c r="A11634" s="13"/>
    </row>
    <row r="11635" spans="1:1" x14ac:dyDescent="0.25">
      <c r="A11635" s="13"/>
    </row>
    <row r="11636" spans="1:1" x14ac:dyDescent="0.25">
      <c r="A11636" s="13"/>
    </row>
    <row r="11637" spans="1:1" x14ac:dyDescent="0.25">
      <c r="A11637" s="13"/>
    </row>
    <row r="11638" spans="1:1" x14ac:dyDescent="0.25">
      <c r="A11638" s="13"/>
    </row>
    <row r="11639" spans="1:1" x14ac:dyDescent="0.25">
      <c r="A11639" s="13"/>
    </row>
    <row r="11640" spans="1:1" x14ac:dyDescent="0.25">
      <c r="A11640" s="13"/>
    </row>
    <row r="11641" spans="1:1" x14ac:dyDescent="0.25">
      <c r="A11641" s="13"/>
    </row>
    <row r="11642" spans="1:1" x14ac:dyDescent="0.25">
      <c r="A11642" s="13"/>
    </row>
    <row r="11643" spans="1:1" x14ac:dyDescent="0.25">
      <c r="A11643" s="13"/>
    </row>
    <row r="11644" spans="1:1" x14ac:dyDescent="0.25">
      <c r="A11644" s="13"/>
    </row>
    <row r="11645" spans="1:1" x14ac:dyDescent="0.25">
      <c r="A11645" s="13"/>
    </row>
    <row r="11646" spans="1:1" x14ac:dyDescent="0.25">
      <c r="A11646" s="13"/>
    </row>
    <row r="11647" spans="1:1" x14ac:dyDescent="0.25">
      <c r="A11647" s="13"/>
    </row>
    <row r="11648" spans="1:1" x14ac:dyDescent="0.25">
      <c r="A11648" s="13"/>
    </row>
    <row r="11649" spans="1:1" x14ac:dyDescent="0.25">
      <c r="A11649" s="13"/>
    </row>
    <row r="11650" spans="1:1" x14ac:dyDescent="0.25">
      <c r="A11650" s="13"/>
    </row>
    <row r="11651" spans="1:1" x14ac:dyDescent="0.25">
      <c r="A11651" s="13"/>
    </row>
    <row r="11652" spans="1:1" x14ac:dyDescent="0.25">
      <c r="A11652" s="13"/>
    </row>
    <row r="11653" spans="1:1" x14ac:dyDescent="0.25">
      <c r="A11653" s="13"/>
    </row>
    <row r="11654" spans="1:1" x14ac:dyDescent="0.25">
      <c r="A11654" s="13"/>
    </row>
    <row r="11655" spans="1:1" x14ac:dyDescent="0.25">
      <c r="A11655" s="13"/>
    </row>
    <row r="11656" spans="1:1" x14ac:dyDescent="0.25">
      <c r="A11656" s="13"/>
    </row>
    <row r="11657" spans="1:1" x14ac:dyDescent="0.25">
      <c r="A11657" s="13"/>
    </row>
    <row r="11658" spans="1:1" x14ac:dyDescent="0.25">
      <c r="A11658" s="13"/>
    </row>
    <row r="11659" spans="1:1" x14ac:dyDescent="0.25">
      <c r="A11659" s="13"/>
    </row>
    <row r="11660" spans="1:1" x14ac:dyDescent="0.25">
      <c r="A11660" s="13"/>
    </row>
    <row r="11661" spans="1:1" x14ac:dyDescent="0.25">
      <c r="A11661" s="13"/>
    </row>
    <row r="11662" spans="1:1" x14ac:dyDescent="0.25">
      <c r="A11662" s="13"/>
    </row>
    <row r="11663" spans="1:1" x14ac:dyDescent="0.25">
      <c r="A11663" s="13"/>
    </row>
    <row r="11664" spans="1:1" x14ac:dyDescent="0.25">
      <c r="A11664" s="13"/>
    </row>
    <row r="11665" spans="1:1" x14ac:dyDescent="0.25">
      <c r="A11665" s="13"/>
    </row>
    <row r="11666" spans="1:1" x14ac:dyDescent="0.25">
      <c r="A11666" s="13"/>
    </row>
    <row r="11667" spans="1:1" x14ac:dyDescent="0.25">
      <c r="A11667" s="13"/>
    </row>
    <row r="11668" spans="1:1" x14ac:dyDescent="0.25">
      <c r="A11668" s="13"/>
    </row>
    <row r="11669" spans="1:1" x14ac:dyDescent="0.25">
      <c r="A11669" s="13"/>
    </row>
    <row r="11670" spans="1:1" x14ac:dyDescent="0.25">
      <c r="A11670" s="13"/>
    </row>
    <row r="11671" spans="1:1" x14ac:dyDescent="0.25">
      <c r="A11671" s="13"/>
    </row>
    <row r="11672" spans="1:1" x14ac:dyDescent="0.25">
      <c r="A11672" s="13"/>
    </row>
    <row r="11673" spans="1:1" x14ac:dyDescent="0.25">
      <c r="A11673" s="13"/>
    </row>
    <row r="11674" spans="1:1" x14ac:dyDescent="0.25">
      <c r="A11674" s="13"/>
    </row>
    <row r="11675" spans="1:1" x14ac:dyDescent="0.25">
      <c r="A11675" s="13"/>
    </row>
    <row r="11676" spans="1:1" x14ac:dyDescent="0.25">
      <c r="A11676" s="13"/>
    </row>
    <row r="11677" spans="1:1" x14ac:dyDescent="0.25">
      <c r="A11677" s="13"/>
    </row>
    <row r="11678" spans="1:1" x14ac:dyDescent="0.25">
      <c r="A11678" s="13"/>
    </row>
    <row r="11679" spans="1:1" x14ac:dyDescent="0.25">
      <c r="A11679" s="13"/>
    </row>
    <row r="11680" spans="1:1" x14ac:dyDescent="0.25">
      <c r="A11680" s="13"/>
    </row>
    <row r="11681" spans="1:1" x14ac:dyDescent="0.25">
      <c r="A11681" s="13"/>
    </row>
    <row r="11682" spans="1:1" x14ac:dyDescent="0.25">
      <c r="A11682" s="13"/>
    </row>
    <row r="11683" spans="1:1" x14ac:dyDescent="0.25">
      <c r="A11683" s="13"/>
    </row>
    <row r="11684" spans="1:1" x14ac:dyDescent="0.25">
      <c r="A11684" s="13"/>
    </row>
    <row r="11685" spans="1:1" x14ac:dyDescent="0.25">
      <c r="A11685" s="13"/>
    </row>
    <row r="11686" spans="1:1" x14ac:dyDescent="0.25">
      <c r="A11686" s="13"/>
    </row>
    <row r="11687" spans="1:1" x14ac:dyDescent="0.25">
      <c r="A11687" s="13"/>
    </row>
    <row r="11688" spans="1:1" x14ac:dyDescent="0.25">
      <c r="A11688" s="13"/>
    </row>
    <row r="11689" spans="1:1" x14ac:dyDescent="0.25">
      <c r="A11689" s="13"/>
    </row>
    <row r="11690" spans="1:1" x14ac:dyDescent="0.25">
      <c r="A11690" s="13"/>
    </row>
    <row r="11691" spans="1:1" x14ac:dyDescent="0.25">
      <c r="A11691" s="13"/>
    </row>
    <row r="11692" spans="1:1" x14ac:dyDescent="0.25">
      <c r="A11692" s="13"/>
    </row>
    <row r="11693" spans="1:1" x14ac:dyDescent="0.25">
      <c r="A11693" s="13"/>
    </row>
    <row r="11694" spans="1:1" x14ac:dyDescent="0.25">
      <c r="A11694" s="13"/>
    </row>
    <row r="11695" spans="1:1" x14ac:dyDescent="0.25">
      <c r="A11695" s="13"/>
    </row>
    <row r="11696" spans="1:1" x14ac:dyDescent="0.25">
      <c r="A11696" s="13"/>
    </row>
    <row r="11697" spans="1:1" x14ac:dyDescent="0.25">
      <c r="A11697" s="13"/>
    </row>
    <row r="11698" spans="1:1" x14ac:dyDescent="0.25">
      <c r="A11698" s="13"/>
    </row>
    <row r="11699" spans="1:1" x14ac:dyDescent="0.25">
      <c r="A11699" s="13"/>
    </row>
    <row r="11700" spans="1:1" x14ac:dyDescent="0.25">
      <c r="A11700" s="13"/>
    </row>
    <row r="11701" spans="1:1" x14ac:dyDescent="0.25">
      <c r="A11701" s="13"/>
    </row>
    <row r="11702" spans="1:1" x14ac:dyDescent="0.25">
      <c r="A11702" s="13"/>
    </row>
    <row r="11703" spans="1:1" x14ac:dyDescent="0.25">
      <c r="A11703" s="13"/>
    </row>
    <row r="11704" spans="1:1" x14ac:dyDescent="0.25">
      <c r="A11704" s="13"/>
    </row>
    <row r="11705" spans="1:1" x14ac:dyDescent="0.25">
      <c r="A11705" s="13"/>
    </row>
    <row r="11706" spans="1:1" x14ac:dyDescent="0.25">
      <c r="A11706" s="13"/>
    </row>
    <row r="11707" spans="1:1" x14ac:dyDescent="0.25">
      <c r="A11707" s="13"/>
    </row>
    <row r="11708" spans="1:1" x14ac:dyDescent="0.25">
      <c r="A11708" s="13"/>
    </row>
    <row r="11709" spans="1:1" x14ac:dyDescent="0.25">
      <c r="A11709" s="13"/>
    </row>
    <row r="11710" spans="1:1" x14ac:dyDescent="0.25">
      <c r="A11710" s="13"/>
    </row>
    <row r="11711" spans="1:1" x14ac:dyDescent="0.25">
      <c r="A11711" s="13"/>
    </row>
    <row r="11712" spans="1:1" x14ac:dyDescent="0.25">
      <c r="A11712" s="13"/>
    </row>
    <row r="11713" spans="1:1" x14ac:dyDescent="0.25">
      <c r="A11713" s="13"/>
    </row>
    <row r="11714" spans="1:1" x14ac:dyDescent="0.25">
      <c r="A11714" s="13"/>
    </row>
    <row r="11715" spans="1:1" x14ac:dyDescent="0.25">
      <c r="A11715" s="13"/>
    </row>
    <row r="11716" spans="1:1" x14ac:dyDescent="0.25">
      <c r="A11716" s="13"/>
    </row>
    <row r="11717" spans="1:1" x14ac:dyDescent="0.25">
      <c r="A11717" s="13"/>
    </row>
    <row r="11718" spans="1:1" x14ac:dyDescent="0.25">
      <c r="A11718" s="13"/>
    </row>
    <row r="11719" spans="1:1" x14ac:dyDescent="0.25">
      <c r="A11719" s="13"/>
    </row>
    <row r="11720" spans="1:1" x14ac:dyDescent="0.25">
      <c r="A11720" s="13"/>
    </row>
    <row r="11721" spans="1:1" x14ac:dyDescent="0.25">
      <c r="A11721" s="13"/>
    </row>
    <row r="11722" spans="1:1" x14ac:dyDescent="0.25">
      <c r="A11722" s="13"/>
    </row>
    <row r="11723" spans="1:1" x14ac:dyDescent="0.25">
      <c r="A11723" s="13"/>
    </row>
    <row r="11724" spans="1:1" x14ac:dyDescent="0.25">
      <c r="A11724" s="13"/>
    </row>
    <row r="11725" spans="1:1" x14ac:dyDescent="0.25">
      <c r="A11725" s="13"/>
    </row>
    <row r="11726" spans="1:1" x14ac:dyDescent="0.25">
      <c r="A11726" s="13"/>
    </row>
    <row r="11727" spans="1:1" x14ac:dyDescent="0.25">
      <c r="A11727" s="13"/>
    </row>
    <row r="11728" spans="1:1" x14ac:dyDescent="0.25">
      <c r="A11728" s="13"/>
    </row>
    <row r="11729" spans="1:1" x14ac:dyDescent="0.25">
      <c r="A11729" s="13"/>
    </row>
    <row r="11730" spans="1:1" x14ac:dyDescent="0.25">
      <c r="A11730" s="13"/>
    </row>
    <row r="11731" spans="1:1" x14ac:dyDescent="0.25">
      <c r="A11731" s="13"/>
    </row>
    <row r="11732" spans="1:1" x14ac:dyDescent="0.25">
      <c r="A11732" s="13"/>
    </row>
    <row r="11733" spans="1:1" x14ac:dyDescent="0.25">
      <c r="A11733" s="13"/>
    </row>
    <row r="11734" spans="1:1" x14ac:dyDescent="0.25">
      <c r="A11734" s="13"/>
    </row>
    <row r="11735" spans="1:1" x14ac:dyDescent="0.25">
      <c r="A11735" s="13"/>
    </row>
    <row r="11736" spans="1:1" x14ac:dyDescent="0.25">
      <c r="A11736" s="13"/>
    </row>
    <row r="11737" spans="1:1" x14ac:dyDescent="0.25">
      <c r="A11737" s="13"/>
    </row>
    <row r="11738" spans="1:1" x14ac:dyDescent="0.25">
      <c r="A11738" s="13"/>
    </row>
    <row r="11739" spans="1:1" x14ac:dyDescent="0.25">
      <c r="A11739" s="13"/>
    </row>
    <row r="11740" spans="1:1" x14ac:dyDescent="0.25">
      <c r="A11740" s="13"/>
    </row>
    <row r="11741" spans="1:1" x14ac:dyDescent="0.25">
      <c r="A11741" s="13"/>
    </row>
    <row r="11742" spans="1:1" x14ac:dyDescent="0.25">
      <c r="A11742" s="13"/>
    </row>
    <row r="11743" spans="1:1" x14ac:dyDescent="0.25">
      <c r="A11743" s="13"/>
    </row>
    <row r="11744" spans="1:1" x14ac:dyDescent="0.25">
      <c r="A11744" s="13"/>
    </row>
    <row r="11745" spans="1:1" x14ac:dyDescent="0.25">
      <c r="A11745" s="13"/>
    </row>
    <row r="11746" spans="1:1" x14ac:dyDescent="0.25">
      <c r="A11746" s="13"/>
    </row>
    <row r="11747" spans="1:1" x14ac:dyDescent="0.25">
      <c r="A11747" s="13"/>
    </row>
    <row r="11748" spans="1:1" x14ac:dyDescent="0.25">
      <c r="A11748" s="13"/>
    </row>
    <row r="11749" spans="1:1" x14ac:dyDescent="0.25">
      <c r="A11749" s="13"/>
    </row>
    <row r="11750" spans="1:1" x14ac:dyDescent="0.25">
      <c r="A11750" s="13"/>
    </row>
    <row r="11751" spans="1:1" x14ac:dyDescent="0.25">
      <c r="A11751" s="13"/>
    </row>
    <row r="11752" spans="1:1" x14ac:dyDescent="0.25">
      <c r="A11752" s="13"/>
    </row>
    <row r="11753" spans="1:1" x14ac:dyDescent="0.25">
      <c r="A11753" s="13"/>
    </row>
    <row r="11754" spans="1:1" x14ac:dyDescent="0.25">
      <c r="A11754" s="13"/>
    </row>
    <row r="11755" spans="1:1" x14ac:dyDescent="0.25">
      <c r="A11755" s="13"/>
    </row>
    <row r="11756" spans="1:1" x14ac:dyDescent="0.25">
      <c r="A11756" s="13"/>
    </row>
    <row r="11757" spans="1:1" x14ac:dyDescent="0.25">
      <c r="A11757" s="13"/>
    </row>
    <row r="11758" spans="1:1" x14ac:dyDescent="0.25">
      <c r="A11758" s="13"/>
    </row>
    <row r="11759" spans="1:1" x14ac:dyDescent="0.25">
      <c r="A11759" s="13"/>
    </row>
    <row r="11760" spans="1:1" x14ac:dyDescent="0.25">
      <c r="A11760" s="13"/>
    </row>
    <row r="11761" spans="1:1" x14ac:dyDescent="0.25">
      <c r="A11761" s="13"/>
    </row>
    <row r="11762" spans="1:1" x14ac:dyDescent="0.25">
      <c r="A11762" s="13"/>
    </row>
    <row r="11763" spans="1:1" x14ac:dyDescent="0.25">
      <c r="A11763" s="13"/>
    </row>
    <row r="11764" spans="1:1" x14ac:dyDescent="0.25">
      <c r="A11764" s="13"/>
    </row>
    <row r="11765" spans="1:1" x14ac:dyDescent="0.25">
      <c r="A11765" s="13"/>
    </row>
    <row r="11766" spans="1:1" x14ac:dyDescent="0.25">
      <c r="A11766" s="13"/>
    </row>
    <row r="11767" spans="1:1" x14ac:dyDescent="0.25">
      <c r="A11767" s="13"/>
    </row>
    <row r="11768" spans="1:1" x14ac:dyDescent="0.25">
      <c r="A11768" s="13"/>
    </row>
    <row r="11769" spans="1:1" x14ac:dyDescent="0.25">
      <c r="A11769" s="13"/>
    </row>
    <row r="11770" spans="1:1" x14ac:dyDescent="0.25">
      <c r="A11770" s="13"/>
    </row>
    <row r="11771" spans="1:1" x14ac:dyDescent="0.25">
      <c r="A11771" s="13"/>
    </row>
    <row r="11772" spans="1:1" x14ac:dyDescent="0.25">
      <c r="A11772" s="13"/>
    </row>
    <row r="11773" spans="1:1" x14ac:dyDescent="0.25">
      <c r="A11773" s="13"/>
    </row>
    <row r="11774" spans="1:1" x14ac:dyDescent="0.25">
      <c r="A11774" s="13"/>
    </row>
    <row r="11775" spans="1:1" x14ac:dyDescent="0.25">
      <c r="A11775" s="13"/>
    </row>
    <row r="11776" spans="1:1" x14ac:dyDescent="0.25">
      <c r="A11776" s="13"/>
    </row>
    <row r="11777" spans="1:1" x14ac:dyDescent="0.25">
      <c r="A11777" s="13"/>
    </row>
    <row r="11778" spans="1:1" x14ac:dyDescent="0.25">
      <c r="A11778" s="13"/>
    </row>
    <row r="11779" spans="1:1" x14ac:dyDescent="0.25">
      <c r="A11779" s="13"/>
    </row>
    <row r="11780" spans="1:1" x14ac:dyDescent="0.25">
      <c r="A11780" s="13"/>
    </row>
    <row r="11781" spans="1:1" x14ac:dyDescent="0.25">
      <c r="A11781" s="13"/>
    </row>
    <row r="11782" spans="1:1" x14ac:dyDescent="0.25">
      <c r="A11782" s="13"/>
    </row>
    <row r="11783" spans="1:1" x14ac:dyDescent="0.25">
      <c r="A11783" s="13"/>
    </row>
    <row r="11784" spans="1:1" x14ac:dyDescent="0.25">
      <c r="A11784" s="13"/>
    </row>
    <row r="11785" spans="1:1" x14ac:dyDescent="0.25">
      <c r="A11785" s="13"/>
    </row>
    <row r="11786" spans="1:1" x14ac:dyDescent="0.25">
      <c r="A11786" s="13"/>
    </row>
    <row r="11787" spans="1:1" x14ac:dyDescent="0.25">
      <c r="A11787" s="13"/>
    </row>
    <row r="11788" spans="1:1" x14ac:dyDescent="0.25">
      <c r="A11788" s="13"/>
    </row>
    <row r="11789" spans="1:1" x14ac:dyDescent="0.25">
      <c r="A11789" s="13"/>
    </row>
    <row r="11790" spans="1:1" x14ac:dyDescent="0.25">
      <c r="A11790" s="13"/>
    </row>
    <row r="11791" spans="1:1" x14ac:dyDescent="0.25">
      <c r="A11791" s="13"/>
    </row>
    <row r="11792" spans="1:1" x14ac:dyDescent="0.25">
      <c r="A11792" s="13"/>
    </row>
    <row r="11793" spans="1:1" x14ac:dyDescent="0.25">
      <c r="A11793" s="13"/>
    </row>
    <row r="11794" spans="1:1" x14ac:dyDescent="0.25">
      <c r="A11794" s="13"/>
    </row>
    <row r="11795" spans="1:1" x14ac:dyDescent="0.25">
      <c r="A11795" s="13"/>
    </row>
    <row r="11796" spans="1:1" x14ac:dyDescent="0.25">
      <c r="A11796" s="13"/>
    </row>
    <row r="11797" spans="1:1" x14ac:dyDescent="0.25">
      <c r="A11797" s="13"/>
    </row>
    <row r="11798" spans="1:1" x14ac:dyDescent="0.25">
      <c r="A11798" s="13"/>
    </row>
    <row r="11799" spans="1:1" x14ac:dyDescent="0.25">
      <c r="A11799" s="13"/>
    </row>
    <row r="11800" spans="1:1" x14ac:dyDescent="0.25">
      <c r="A11800" s="13"/>
    </row>
    <row r="11801" spans="1:1" x14ac:dyDescent="0.25">
      <c r="A11801" s="13"/>
    </row>
    <row r="11802" spans="1:1" x14ac:dyDescent="0.25">
      <c r="A11802" s="13"/>
    </row>
    <row r="11803" spans="1:1" x14ac:dyDescent="0.25">
      <c r="A11803" s="13"/>
    </row>
    <row r="11804" spans="1:1" x14ac:dyDescent="0.25">
      <c r="A11804" s="13"/>
    </row>
    <row r="11805" spans="1:1" x14ac:dyDescent="0.25">
      <c r="A11805" s="13"/>
    </row>
    <row r="11806" spans="1:1" x14ac:dyDescent="0.25">
      <c r="A11806" s="13"/>
    </row>
    <row r="11807" spans="1:1" x14ac:dyDescent="0.25">
      <c r="A11807" s="13"/>
    </row>
    <row r="11808" spans="1:1" x14ac:dyDescent="0.25">
      <c r="A11808" s="13"/>
    </row>
    <row r="11809" spans="1:1" x14ac:dyDescent="0.25">
      <c r="A11809" s="13"/>
    </row>
    <row r="11810" spans="1:1" x14ac:dyDescent="0.25">
      <c r="A11810" s="13"/>
    </row>
    <row r="11811" spans="1:1" x14ac:dyDescent="0.25">
      <c r="A11811" s="13"/>
    </row>
    <row r="11812" spans="1:1" x14ac:dyDescent="0.25">
      <c r="A11812" s="13"/>
    </row>
    <row r="11813" spans="1:1" x14ac:dyDescent="0.25">
      <c r="A11813" s="13"/>
    </row>
    <row r="11814" spans="1:1" x14ac:dyDescent="0.25">
      <c r="A11814" s="13"/>
    </row>
    <row r="11815" spans="1:1" x14ac:dyDescent="0.25">
      <c r="A11815" s="13"/>
    </row>
    <row r="11816" spans="1:1" x14ac:dyDescent="0.25">
      <c r="A11816" s="13"/>
    </row>
    <row r="11817" spans="1:1" x14ac:dyDescent="0.25">
      <c r="A11817" s="13"/>
    </row>
    <row r="11818" spans="1:1" x14ac:dyDescent="0.25">
      <c r="A11818" s="13"/>
    </row>
    <row r="11819" spans="1:1" x14ac:dyDescent="0.25">
      <c r="A11819" s="13"/>
    </row>
    <row r="11820" spans="1:1" x14ac:dyDescent="0.25">
      <c r="A11820" s="13"/>
    </row>
    <row r="11821" spans="1:1" x14ac:dyDescent="0.25">
      <c r="A11821" s="13"/>
    </row>
    <row r="11822" spans="1:1" x14ac:dyDescent="0.25">
      <c r="A11822" s="13"/>
    </row>
    <row r="11823" spans="1:1" x14ac:dyDescent="0.25">
      <c r="A11823" s="13"/>
    </row>
    <row r="11824" spans="1:1" x14ac:dyDescent="0.25">
      <c r="A11824" s="13"/>
    </row>
    <row r="11825" spans="1:1" x14ac:dyDescent="0.25">
      <c r="A11825" s="13"/>
    </row>
    <row r="11826" spans="1:1" x14ac:dyDescent="0.25">
      <c r="A11826" s="13"/>
    </row>
    <row r="11827" spans="1:1" x14ac:dyDescent="0.25">
      <c r="A11827" s="13"/>
    </row>
    <row r="11828" spans="1:1" x14ac:dyDescent="0.25">
      <c r="A11828" s="13"/>
    </row>
    <row r="11829" spans="1:1" x14ac:dyDescent="0.25">
      <c r="A11829" s="13"/>
    </row>
    <row r="11830" spans="1:1" x14ac:dyDescent="0.25">
      <c r="A11830" s="13"/>
    </row>
    <row r="11831" spans="1:1" x14ac:dyDescent="0.25">
      <c r="A11831" s="13"/>
    </row>
    <row r="11832" spans="1:1" x14ac:dyDescent="0.25">
      <c r="A11832" s="13"/>
    </row>
    <row r="11833" spans="1:1" x14ac:dyDescent="0.25">
      <c r="A11833" s="13"/>
    </row>
    <row r="11834" spans="1:1" x14ac:dyDescent="0.25">
      <c r="A11834" s="13"/>
    </row>
    <row r="11835" spans="1:1" x14ac:dyDescent="0.25">
      <c r="A11835" s="13"/>
    </row>
    <row r="11836" spans="1:1" x14ac:dyDescent="0.25">
      <c r="A11836" s="13"/>
    </row>
    <row r="11837" spans="1:1" x14ac:dyDescent="0.25">
      <c r="A11837" s="13"/>
    </row>
    <row r="11838" spans="1:1" x14ac:dyDescent="0.25">
      <c r="A11838" s="13"/>
    </row>
    <row r="11839" spans="1:1" x14ac:dyDescent="0.25">
      <c r="A11839" s="13"/>
    </row>
    <row r="11840" spans="1:1" x14ac:dyDescent="0.25">
      <c r="A11840" s="13"/>
    </row>
    <row r="11841" spans="1:1" x14ac:dyDescent="0.25">
      <c r="A11841" s="13"/>
    </row>
    <row r="11842" spans="1:1" x14ac:dyDescent="0.25">
      <c r="A11842" s="13"/>
    </row>
    <row r="11843" spans="1:1" x14ac:dyDescent="0.25">
      <c r="A11843" s="13"/>
    </row>
    <row r="11844" spans="1:1" x14ac:dyDescent="0.25">
      <c r="A11844" s="13"/>
    </row>
    <row r="11845" spans="1:1" x14ac:dyDescent="0.25">
      <c r="A11845" s="13"/>
    </row>
    <row r="11846" spans="1:1" x14ac:dyDescent="0.25">
      <c r="A11846" s="13"/>
    </row>
    <row r="11847" spans="1:1" x14ac:dyDescent="0.25">
      <c r="A11847" s="13"/>
    </row>
    <row r="11848" spans="1:1" x14ac:dyDescent="0.25">
      <c r="A11848" s="13"/>
    </row>
    <row r="11849" spans="1:1" x14ac:dyDescent="0.25">
      <c r="A11849" s="13"/>
    </row>
    <row r="11850" spans="1:1" x14ac:dyDescent="0.25">
      <c r="A11850" s="13"/>
    </row>
    <row r="11851" spans="1:1" x14ac:dyDescent="0.25">
      <c r="A11851" s="13"/>
    </row>
    <row r="11852" spans="1:1" x14ac:dyDescent="0.25">
      <c r="A11852" s="13"/>
    </row>
    <row r="11853" spans="1:1" x14ac:dyDescent="0.25">
      <c r="A11853" s="13"/>
    </row>
    <row r="11854" spans="1:1" x14ac:dyDescent="0.25">
      <c r="A11854" s="13"/>
    </row>
    <row r="11855" spans="1:1" x14ac:dyDescent="0.25">
      <c r="A11855" s="13"/>
    </row>
    <row r="11856" spans="1:1" x14ac:dyDescent="0.25">
      <c r="A11856" s="13"/>
    </row>
    <row r="11857" spans="1:1" x14ac:dyDescent="0.25">
      <c r="A11857" s="13"/>
    </row>
    <row r="11858" spans="1:1" x14ac:dyDescent="0.25">
      <c r="A11858" s="13"/>
    </row>
    <row r="11859" spans="1:1" x14ac:dyDescent="0.25">
      <c r="A11859" s="13"/>
    </row>
    <row r="11860" spans="1:1" x14ac:dyDescent="0.25">
      <c r="A11860" s="13"/>
    </row>
    <row r="11861" spans="1:1" x14ac:dyDescent="0.25">
      <c r="A11861" s="13"/>
    </row>
    <row r="11862" spans="1:1" x14ac:dyDescent="0.25">
      <c r="A11862" s="13"/>
    </row>
    <row r="11863" spans="1:1" x14ac:dyDescent="0.25">
      <c r="A11863" s="13"/>
    </row>
    <row r="11864" spans="1:1" x14ac:dyDescent="0.25">
      <c r="A11864" s="13"/>
    </row>
    <row r="11865" spans="1:1" x14ac:dyDescent="0.25">
      <c r="A11865" s="13"/>
    </row>
    <row r="11866" spans="1:1" x14ac:dyDescent="0.25">
      <c r="A11866" s="13"/>
    </row>
    <row r="11867" spans="1:1" x14ac:dyDescent="0.25">
      <c r="A11867" s="13"/>
    </row>
    <row r="11868" spans="1:1" x14ac:dyDescent="0.25">
      <c r="A11868" s="13"/>
    </row>
    <row r="11869" spans="1:1" x14ac:dyDescent="0.25">
      <c r="A11869" s="13"/>
    </row>
    <row r="11870" spans="1:1" x14ac:dyDescent="0.25">
      <c r="A11870" s="13"/>
    </row>
    <row r="11871" spans="1:1" x14ac:dyDescent="0.25">
      <c r="A11871" s="13"/>
    </row>
    <row r="11872" spans="1:1" x14ac:dyDescent="0.25">
      <c r="A11872" s="13"/>
    </row>
    <row r="11873" spans="1:1" x14ac:dyDescent="0.25">
      <c r="A11873" s="13"/>
    </row>
    <row r="11874" spans="1:1" x14ac:dyDescent="0.25">
      <c r="A11874" s="13"/>
    </row>
    <row r="11875" spans="1:1" x14ac:dyDescent="0.25">
      <c r="A11875" s="13"/>
    </row>
    <row r="11876" spans="1:1" x14ac:dyDescent="0.25">
      <c r="A11876" s="13"/>
    </row>
    <row r="11877" spans="1:1" x14ac:dyDescent="0.25">
      <c r="A11877" s="13"/>
    </row>
    <row r="11878" spans="1:1" x14ac:dyDescent="0.25">
      <c r="A11878" s="13"/>
    </row>
    <row r="11879" spans="1:1" x14ac:dyDescent="0.25">
      <c r="A11879" s="13"/>
    </row>
    <row r="11880" spans="1:1" x14ac:dyDescent="0.25">
      <c r="A11880" s="13"/>
    </row>
    <row r="11881" spans="1:1" x14ac:dyDescent="0.25">
      <c r="A11881" s="13"/>
    </row>
    <row r="11882" spans="1:1" x14ac:dyDescent="0.25">
      <c r="A11882" s="13"/>
    </row>
    <row r="11883" spans="1:1" x14ac:dyDescent="0.25">
      <c r="A11883" s="13"/>
    </row>
    <row r="11884" spans="1:1" x14ac:dyDescent="0.25">
      <c r="A11884" s="13"/>
    </row>
    <row r="11885" spans="1:1" x14ac:dyDescent="0.25">
      <c r="A11885" s="13"/>
    </row>
    <row r="11886" spans="1:1" x14ac:dyDescent="0.25">
      <c r="A11886" s="13"/>
    </row>
    <row r="11887" spans="1:1" x14ac:dyDescent="0.25">
      <c r="A11887" s="13"/>
    </row>
    <row r="11888" spans="1:1" x14ac:dyDescent="0.25">
      <c r="A11888" s="13"/>
    </row>
    <row r="11889" spans="1:1" x14ac:dyDescent="0.25">
      <c r="A11889" s="13"/>
    </row>
    <row r="11890" spans="1:1" x14ac:dyDescent="0.25">
      <c r="A11890" s="13"/>
    </row>
    <row r="11891" spans="1:1" x14ac:dyDescent="0.25">
      <c r="A11891" s="13"/>
    </row>
    <row r="11892" spans="1:1" x14ac:dyDescent="0.25">
      <c r="A11892" s="13"/>
    </row>
    <row r="11893" spans="1:1" x14ac:dyDescent="0.25">
      <c r="A11893" s="13"/>
    </row>
    <row r="11894" spans="1:1" x14ac:dyDescent="0.25">
      <c r="A11894" s="13"/>
    </row>
    <row r="11895" spans="1:1" x14ac:dyDescent="0.25">
      <c r="A11895" s="13"/>
    </row>
    <row r="11896" spans="1:1" x14ac:dyDescent="0.25">
      <c r="A11896" s="13"/>
    </row>
    <row r="11897" spans="1:1" x14ac:dyDescent="0.25">
      <c r="A11897" s="13"/>
    </row>
    <row r="11898" spans="1:1" x14ac:dyDescent="0.25">
      <c r="A11898" s="13"/>
    </row>
    <row r="11899" spans="1:1" x14ac:dyDescent="0.25">
      <c r="A11899" s="13"/>
    </row>
    <row r="11900" spans="1:1" x14ac:dyDescent="0.25">
      <c r="A11900" s="13"/>
    </row>
    <row r="11901" spans="1:1" x14ac:dyDescent="0.25">
      <c r="A11901" s="13"/>
    </row>
    <row r="11902" spans="1:1" x14ac:dyDescent="0.25">
      <c r="A11902" s="13"/>
    </row>
    <row r="11903" spans="1:1" x14ac:dyDescent="0.25">
      <c r="A11903" s="13"/>
    </row>
    <row r="11904" spans="1:1" x14ac:dyDescent="0.25">
      <c r="A11904" s="13"/>
    </row>
    <row r="11905" spans="1:1" x14ac:dyDescent="0.25">
      <c r="A11905" s="13"/>
    </row>
    <row r="11906" spans="1:1" x14ac:dyDescent="0.25">
      <c r="A11906" s="13"/>
    </row>
    <row r="11907" spans="1:1" x14ac:dyDescent="0.25">
      <c r="A11907" s="13"/>
    </row>
    <row r="11908" spans="1:1" x14ac:dyDescent="0.25">
      <c r="A11908" s="13"/>
    </row>
    <row r="11909" spans="1:1" x14ac:dyDescent="0.25">
      <c r="A11909" s="13"/>
    </row>
    <row r="11910" spans="1:1" x14ac:dyDescent="0.25">
      <c r="A11910" s="13"/>
    </row>
    <row r="11911" spans="1:1" x14ac:dyDescent="0.25">
      <c r="A11911" s="13"/>
    </row>
    <row r="11912" spans="1:1" x14ac:dyDescent="0.25">
      <c r="A11912" s="13"/>
    </row>
    <row r="11913" spans="1:1" x14ac:dyDescent="0.25">
      <c r="A11913" s="13"/>
    </row>
    <row r="11914" spans="1:1" x14ac:dyDescent="0.25">
      <c r="A11914" s="13"/>
    </row>
    <row r="11915" spans="1:1" x14ac:dyDescent="0.25">
      <c r="A11915" s="13"/>
    </row>
    <row r="11916" spans="1:1" x14ac:dyDescent="0.25">
      <c r="A11916" s="13"/>
    </row>
    <row r="11917" spans="1:1" x14ac:dyDescent="0.25">
      <c r="A11917" s="13"/>
    </row>
    <row r="11918" spans="1:1" x14ac:dyDescent="0.25">
      <c r="A11918" s="13"/>
    </row>
    <row r="11919" spans="1:1" x14ac:dyDescent="0.25">
      <c r="A11919" s="13"/>
    </row>
    <row r="11920" spans="1:1" x14ac:dyDescent="0.25">
      <c r="A11920" s="13"/>
    </row>
    <row r="11921" spans="1:1" x14ac:dyDescent="0.25">
      <c r="A11921" s="13"/>
    </row>
    <row r="11922" spans="1:1" x14ac:dyDescent="0.25">
      <c r="A11922" s="13"/>
    </row>
    <row r="11923" spans="1:1" x14ac:dyDescent="0.25">
      <c r="A11923" s="13"/>
    </row>
    <row r="11924" spans="1:1" x14ac:dyDescent="0.25">
      <c r="A11924" s="13"/>
    </row>
    <row r="11925" spans="1:1" x14ac:dyDescent="0.25">
      <c r="A11925" s="13"/>
    </row>
    <row r="11926" spans="1:1" x14ac:dyDescent="0.25">
      <c r="A11926" s="13"/>
    </row>
    <row r="11927" spans="1:1" x14ac:dyDescent="0.25">
      <c r="A11927" s="13"/>
    </row>
    <row r="11928" spans="1:1" x14ac:dyDescent="0.25">
      <c r="A11928" s="13"/>
    </row>
    <row r="11929" spans="1:1" x14ac:dyDescent="0.25">
      <c r="A11929" s="13"/>
    </row>
    <row r="11930" spans="1:1" x14ac:dyDescent="0.25">
      <c r="A11930" s="13"/>
    </row>
    <row r="11931" spans="1:1" x14ac:dyDescent="0.25">
      <c r="A11931" s="13"/>
    </row>
    <row r="11932" spans="1:1" x14ac:dyDescent="0.25">
      <c r="A11932" s="13"/>
    </row>
    <row r="11933" spans="1:1" x14ac:dyDescent="0.25">
      <c r="A11933" s="13"/>
    </row>
    <row r="11934" spans="1:1" x14ac:dyDescent="0.25">
      <c r="A11934" s="13"/>
    </row>
    <row r="11935" spans="1:1" x14ac:dyDescent="0.25">
      <c r="A11935" s="13"/>
    </row>
    <row r="11936" spans="1:1" x14ac:dyDescent="0.25">
      <c r="A11936" s="13"/>
    </row>
    <row r="11937" spans="1:1" x14ac:dyDescent="0.25">
      <c r="A11937" s="13"/>
    </row>
    <row r="11938" spans="1:1" x14ac:dyDescent="0.25">
      <c r="A11938" s="13"/>
    </row>
    <row r="11939" spans="1:1" x14ac:dyDescent="0.25">
      <c r="A11939" s="13"/>
    </row>
    <row r="11940" spans="1:1" x14ac:dyDescent="0.25">
      <c r="A11940" s="13"/>
    </row>
    <row r="11941" spans="1:1" x14ac:dyDescent="0.25">
      <c r="A11941" s="13"/>
    </row>
    <row r="11942" spans="1:1" x14ac:dyDescent="0.25">
      <c r="A11942" s="13"/>
    </row>
    <row r="11943" spans="1:1" x14ac:dyDescent="0.25">
      <c r="A11943" s="13"/>
    </row>
    <row r="11944" spans="1:1" x14ac:dyDescent="0.25">
      <c r="A11944" s="13"/>
    </row>
    <row r="11945" spans="1:1" x14ac:dyDescent="0.25">
      <c r="A11945" s="13"/>
    </row>
    <row r="11946" spans="1:1" x14ac:dyDescent="0.25">
      <c r="A11946" s="13"/>
    </row>
    <row r="11947" spans="1:1" x14ac:dyDescent="0.25">
      <c r="A11947" s="13"/>
    </row>
    <row r="11948" spans="1:1" x14ac:dyDescent="0.25">
      <c r="A11948" s="13"/>
    </row>
    <row r="11949" spans="1:1" x14ac:dyDescent="0.25">
      <c r="A11949" s="13"/>
    </row>
    <row r="11950" spans="1:1" x14ac:dyDescent="0.25">
      <c r="A11950" s="13"/>
    </row>
    <row r="11951" spans="1:1" x14ac:dyDescent="0.25">
      <c r="A11951" s="13"/>
    </row>
    <row r="11952" spans="1:1" x14ac:dyDescent="0.25">
      <c r="A11952" s="13"/>
    </row>
    <row r="11953" spans="1:1" x14ac:dyDescent="0.25">
      <c r="A11953" s="13"/>
    </row>
    <row r="11954" spans="1:1" x14ac:dyDescent="0.25">
      <c r="A11954" s="13"/>
    </row>
    <row r="11955" spans="1:1" x14ac:dyDescent="0.25">
      <c r="A11955" s="13"/>
    </row>
    <row r="11956" spans="1:1" x14ac:dyDescent="0.25">
      <c r="A11956" s="13"/>
    </row>
    <row r="11957" spans="1:1" x14ac:dyDescent="0.25">
      <c r="A11957" s="13"/>
    </row>
    <row r="11958" spans="1:1" x14ac:dyDescent="0.25">
      <c r="A11958" s="13"/>
    </row>
    <row r="11959" spans="1:1" x14ac:dyDescent="0.25">
      <c r="A11959" s="13"/>
    </row>
    <row r="11960" spans="1:1" x14ac:dyDescent="0.25">
      <c r="A11960" s="13"/>
    </row>
    <row r="11961" spans="1:1" x14ac:dyDescent="0.25">
      <c r="A11961" s="13"/>
    </row>
    <row r="11962" spans="1:1" x14ac:dyDescent="0.25">
      <c r="A11962" s="13"/>
    </row>
    <row r="11963" spans="1:1" x14ac:dyDescent="0.25">
      <c r="A11963" s="13"/>
    </row>
    <row r="11964" spans="1:1" x14ac:dyDescent="0.25">
      <c r="A11964" s="13"/>
    </row>
    <row r="11965" spans="1:1" x14ac:dyDescent="0.25">
      <c r="A11965" s="13"/>
    </row>
    <row r="11966" spans="1:1" x14ac:dyDescent="0.25">
      <c r="A11966" s="13"/>
    </row>
    <row r="11967" spans="1:1" x14ac:dyDescent="0.25">
      <c r="A11967" s="13"/>
    </row>
    <row r="11968" spans="1:1" x14ac:dyDescent="0.25">
      <c r="A11968" s="13"/>
    </row>
    <row r="11969" spans="1:1" x14ac:dyDescent="0.25">
      <c r="A11969" s="13"/>
    </row>
    <row r="11970" spans="1:1" x14ac:dyDescent="0.25">
      <c r="A11970" s="13"/>
    </row>
    <row r="11971" spans="1:1" x14ac:dyDescent="0.25">
      <c r="A11971" s="13"/>
    </row>
    <row r="11972" spans="1:1" x14ac:dyDescent="0.25">
      <c r="A11972" s="13"/>
    </row>
    <row r="11973" spans="1:1" x14ac:dyDescent="0.25">
      <c r="A11973" s="13"/>
    </row>
    <row r="11974" spans="1:1" x14ac:dyDescent="0.25">
      <c r="A11974" s="13"/>
    </row>
    <row r="11975" spans="1:1" x14ac:dyDescent="0.25">
      <c r="A11975" s="13"/>
    </row>
    <row r="11976" spans="1:1" x14ac:dyDescent="0.25">
      <c r="A11976" s="13"/>
    </row>
    <row r="11977" spans="1:1" x14ac:dyDescent="0.25">
      <c r="A11977" s="13"/>
    </row>
    <row r="11978" spans="1:1" x14ac:dyDescent="0.25">
      <c r="A11978" s="13"/>
    </row>
    <row r="11979" spans="1:1" x14ac:dyDescent="0.25">
      <c r="A11979" s="13"/>
    </row>
    <row r="11980" spans="1:1" x14ac:dyDescent="0.25">
      <c r="A11980" s="13"/>
    </row>
    <row r="11981" spans="1:1" x14ac:dyDescent="0.25">
      <c r="A11981" s="13"/>
    </row>
    <row r="11982" spans="1:1" x14ac:dyDescent="0.25">
      <c r="A11982" s="13"/>
    </row>
    <row r="11983" spans="1:1" x14ac:dyDescent="0.25">
      <c r="A11983" s="13"/>
    </row>
    <row r="11984" spans="1:1" x14ac:dyDescent="0.25">
      <c r="A11984" s="13"/>
    </row>
    <row r="11985" spans="1:1" x14ac:dyDescent="0.25">
      <c r="A11985" s="13"/>
    </row>
    <row r="11986" spans="1:1" x14ac:dyDescent="0.25">
      <c r="A11986" s="13"/>
    </row>
    <row r="11987" spans="1:1" x14ac:dyDescent="0.25">
      <c r="A11987" s="13"/>
    </row>
    <row r="11988" spans="1:1" x14ac:dyDescent="0.25">
      <c r="A11988" s="13"/>
    </row>
    <row r="11989" spans="1:1" x14ac:dyDescent="0.25">
      <c r="A11989" s="13"/>
    </row>
    <row r="11990" spans="1:1" x14ac:dyDescent="0.25">
      <c r="A11990" s="13"/>
    </row>
    <row r="11991" spans="1:1" x14ac:dyDescent="0.25">
      <c r="A11991" s="13"/>
    </row>
    <row r="11992" spans="1:1" x14ac:dyDescent="0.25">
      <c r="A11992" s="13"/>
    </row>
    <row r="11993" spans="1:1" x14ac:dyDescent="0.25">
      <c r="A11993" s="13"/>
    </row>
    <row r="11994" spans="1:1" x14ac:dyDescent="0.25">
      <c r="A11994" s="13"/>
    </row>
    <row r="11995" spans="1:1" x14ac:dyDescent="0.25">
      <c r="A11995" s="13"/>
    </row>
    <row r="11996" spans="1:1" x14ac:dyDescent="0.25">
      <c r="A11996" s="13"/>
    </row>
    <row r="11997" spans="1:1" x14ac:dyDescent="0.25">
      <c r="A11997" s="13"/>
    </row>
    <row r="11998" spans="1:1" x14ac:dyDescent="0.25">
      <c r="A11998" s="13"/>
    </row>
    <row r="11999" spans="1:1" x14ac:dyDescent="0.25">
      <c r="A11999" s="13"/>
    </row>
    <row r="12000" spans="1:1" x14ac:dyDescent="0.25">
      <c r="A12000" s="13"/>
    </row>
    <row r="12001" spans="1:1" x14ac:dyDescent="0.25">
      <c r="A12001" s="13"/>
    </row>
    <row r="12002" spans="1:1" x14ac:dyDescent="0.25">
      <c r="A12002" s="13"/>
    </row>
    <row r="12003" spans="1:1" x14ac:dyDescent="0.25">
      <c r="A12003" s="13"/>
    </row>
    <row r="12004" spans="1:1" x14ac:dyDescent="0.25">
      <c r="A12004" s="13"/>
    </row>
    <row r="12005" spans="1:1" x14ac:dyDescent="0.25">
      <c r="A12005" s="13"/>
    </row>
    <row r="12006" spans="1:1" x14ac:dyDescent="0.25">
      <c r="A12006" s="13"/>
    </row>
    <row r="12007" spans="1:1" x14ac:dyDescent="0.25">
      <c r="A12007" s="13"/>
    </row>
    <row r="12008" spans="1:1" x14ac:dyDescent="0.25">
      <c r="A12008" s="13"/>
    </row>
    <row r="12009" spans="1:1" x14ac:dyDescent="0.25">
      <c r="A12009" s="13"/>
    </row>
    <row r="12010" spans="1:1" x14ac:dyDescent="0.25">
      <c r="A12010" s="13"/>
    </row>
    <row r="12011" spans="1:1" x14ac:dyDescent="0.25">
      <c r="A12011" s="13"/>
    </row>
    <row r="12012" spans="1:1" x14ac:dyDescent="0.25">
      <c r="A12012" s="13"/>
    </row>
    <row r="12013" spans="1:1" x14ac:dyDescent="0.25">
      <c r="A12013" s="13"/>
    </row>
    <row r="12014" spans="1:1" x14ac:dyDescent="0.25">
      <c r="A12014" s="13"/>
    </row>
    <row r="12015" spans="1:1" x14ac:dyDescent="0.25">
      <c r="A12015" s="13"/>
    </row>
    <row r="12016" spans="1:1" x14ac:dyDescent="0.25">
      <c r="A12016" s="13"/>
    </row>
    <row r="12017" spans="1:1" x14ac:dyDescent="0.25">
      <c r="A12017" s="13"/>
    </row>
    <row r="12018" spans="1:1" x14ac:dyDescent="0.25">
      <c r="A12018" s="13"/>
    </row>
    <row r="12019" spans="1:1" x14ac:dyDescent="0.25">
      <c r="A12019" s="13"/>
    </row>
    <row r="12020" spans="1:1" x14ac:dyDescent="0.25">
      <c r="A12020" s="13"/>
    </row>
    <row r="12021" spans="1:1" x14ac:dyDescent="0.25">
      <c r="A12021" s="13"/>
    </row>
    <row r="12022" spans="1:1" x14ac:dyDescent="0.25">
      <c r="A12022" s="13"/>
    </row>
    <row r="12023" spans="1:1" x14ac:dyDescent="0.25">
      <c r="A12023" s="13"/>
    </row>
    <row r="12024" spans="1:1" x14ac:dyDescent="0.25">
      <c r="A12024" s="13"/>
    </row>
    <row r="12025" spans="1:1" x14ac:dyDescent="0.25">
      <c r="A12025" s="13"/>
    </row>
    <row r="12026" spans="1:1" x14ac:dyDescent="0.25">
      <c r="A12026" s="13"/>
    </row>
    <row r="12027" spans="1:1" x14ac:dyDescent="0.25">
      <c r="A12027" s="13"/>
    </row>
    <row r="12028" spans="1:1" x14ac:dyDescent="0.25">
      <c r="A12028" s="13"/>
    </row>
    <row r="12029" spans="1:1" x14ac:dyDescent="0.25">
      <c r="A12029" s="13"/>
    </row>
    <row r="12030" spans="1:1" x14ac:dyDescent="0.25">
      <c r="A12030" s="13"/>
    </row>
    <row r="12031" spans="1:1" x14ac:dyDescent="0.25">
      <c r="A12031" s="13"/>
    </row>
    <row r="12032" spans="1:1" x14ac:dyDescent="0.25">
      <c r="A12032" s="13"/>
    </row>
    <row r="12033" spans="1:1" x14ac:dyDescent="0.25">
      <c r="A12033" s="13"/>
    </row>
    <row r="12034" spans="1:1" x14ac:dyDescent="0.25">
      <c r="A12034" s="13"/>
    </row>
    <row r="12035" spans="1:1" x14ac:dyDescent="0.25">
      <c r="A12035" s="13"/>
    </row>
    <row r="12036" spans="1:1" x14ac:dyDescent="0.25">
      <c r="A12036" s="13"/>
    </row>
    <row r="12037" spans="1:1" x14ac:dyDescent="0.25">
      <c r="A12037" s="13"/>
    </row>
    <row r="12038" spans="1:1" x14ac:dyDescent="0.25">
      <c r="A12038" s="13"/>
    </row>
    <row r="12039" spans="1:1" x14ac:dyDescent="0.25">
      <c r="A12039" s="13"/>
    </row>
    <row r="12040" spans="1:1" x14ac:dyDescent="0.25">
      <c r="A12040" s="13"/>
    </row>
    <row r="12041" spans="1:1" x14ac:dyDescent="0.25">
      <c r="A12041" s="13"/>
    </row>
    <row r="12042" spans="1:1" x14ac:dyDescent="0.25">
      <c r="A12042" s="13"/>
    </row>
    <row r="12043" spans="1:1" x14ac:dyDescent="0.25">
      <c r="A12043" s="13"/>
    </row>
    <row r="12044" spans="1:1" x14ac:dyDescent="0.25">
      <c r="A12044" s="13"/>
    </row>
    <row r="12045" spans="1:1" x14ac:dyDescent="0.25">
      <c r="A12045" s="13"/>
    </row>
    <row r="12046" spans="1:1" x14ac:dyDescent="0.25">
      <c r="A12046" s="13"/>
    </row>
    <row r="12047" spans="1:1" x14ac:dyDescent="0.25">
      <c r="A12047" s="13"/>
    </row>
    <row r="12048" spans="1:1" x14ac:dyDescent="0.25">
      <c r="A12048" s="13"/>
    </row>
    <row r="12049" spans="1:1" x14ac:dyDescent="0.25">
      <c r="A12049" s="13"/>
    </row>
    <row r="12050" spans="1:1" x14ac:dyDescent="0.25">
      <c r="A12050" s="13"/>
    </row>
    <row r="12051" spans="1:1" x14ac:dyDescent="0.25">
      <c r="A12051" s="13"/>
    </row>
    <row r="12052" spans="1:1" x14ac:dyDescent="0.25">
      <c r="A12052" s="13"/>
    </row>
    <row r="12053" spans="1:1" x14ac:dyDescent="0.25">
      <c r="A12053" s="13"/>
    </row>
    <row r="12054" spans="1:1" x14ac:dyDescent="0.25">
      <c r="A12054" s="13"/>
    </row>
    <row r="12055" spans="1:1" x14ac:dyDescent="0.25">
      <c r="A12055" s="13"/>
    </row>
    <row r="12056" spans="1:1" x14ac:dyDescent="0.25">
      <c r="A12056" s="13"/>
    </row>
    <row r="12057" spans="1:1" x14ac:dyDescent="0.25">
      <c r="A12057" s="13"/>
    </row>
    <row r="12058" spans="1:1" x14ac:dyDescent="0.25">
      <c r="A12058" s="13"/>
    </row>
    <row r="12059" spans="1:1" x14ac:dyDescent="0.25">
      <c r="A12059" s="13"/>
    </row>
    <row r="12060" spans="1:1" x14ac:dyDescent="0.25">
      <c r="A12060" s="13"/>
    </row>
    <row r="12061" spans="1:1" x14ac:dyDescent="0.25">
      <c r="A12061" s="13"/>
    </row>
    <row r="12062" spans="1:1" x14ac:dyDescent="0.25">
      <c r="A12062" s="13"/>
    </row>
    <row r="12063" spans="1:1" x14ac:dyDescent="0.25">
      <c r="A12063" s="13"/>
    </row>
    <row r="12064" spans="1:1" x14ac:dyDescent="0.25">
      <c r="A12064" s="13"/>
    </row>
    <row r="12065" spans="1:1" x14ac:dyDescent="0.25">
      <c r="A12065" s="13"/>
    </row>
    <row r="12066" spans="1:1" x14ac:dyDescent="0.25">
      <c r="A12066" s="13"/>
    </row>
    <row r="12067" spans="1:1" x14ac:dyDescent="0.25">
      <c r="A12067" s="13"/>
    </row>
    <row r="12068" spans="1:1" x14ac:dyDescent="0.25">
      <c r="A12068" s="13"/>
    </row>
    <row r="12069" spans="1:1" x14ac:dyDescent="0.25">
      <c r="A12069" s="13"/>
    </row>
    <row r="12070" spans="1:1" x14ac:dyDescent="0.25">
      <c r="A12070" s="13"/>
    </row>
    <row r="12071" spans="1:1" x14ac:dyDescent="0.25">
      <c r="A12071" s="13"/>
    </row>
    <row r="12072" spans="1:1" x14ac:dyDescent="0.25">
      <c r="A12072" s="13"/>
    </row>
    <row r="12073" spans="1:1" x14ac:dyDescent="0.25">
      <c r="A12073" s="13"/>
    </row>
    <row r="12074" spans="1:1" x14ac:dyDescent="0.25">
      <c r="A12074" s="13"/>
    </row>
    <row r="12075" spans="1:1" x14ac:dyDescent="0.25">
      <c r="A12075" s="13"/>
    </row>
    <row r="12076" spans="1:1" x14ac:dyDescent="0.25">
      <c r="A12076" s="13"/>
    </row>
    <row r="12077" spans="1:1" x14ac:dyDescent="0.25">
      <c r="A12077" s="13"/>
    </row>
    <row r="12078" spans="1:1" x14ac:dyDescent="0.25">
      <c r="A12078" s="13"/>
    </row>
    <row r="12079" spans="1:1" x14ac:dyDescent="0.25">
      <c r="A12079" s="13"/>
    </row>
    <row r="12080" spans="1:1" x14ac:dyDescent="0.25">
      <c r="A12080" s="13"/>
    </row>
    <row r="12081" spans="1:1" x14ac:dyDescent="0.25">
      <c r="A12081" s="13"/>
    </row>
    <row r="12082" spans="1:1" x14ac:dyDescent="0.25">
      <c r="A12082" s="13"/>
    </row>
    <row r="12083" spans="1:1" x14ac:dyDescent="0.25">
      <c r="A12083" s="13"/>
    </row>
    <row r="12084" spans="1:1" x14ac:dyDescent="0.25">
      <c r="A12084" s="13"/>
    </row>
    <row r="12085" spans="1:1" x14ac:dyDescent="0.25">
      <c r="A12085" s="13"/>
    </row>
    <row r="12086" spans="1:1" x14ac:dyDescent="0.25">
      <c r="A12086" s="13"/>
    </row>
    <row r="12087" spans="1:1" x14ac:dyDescent="0.25">
      <c r="A12087" s="13"/>
    </row>
    <row r="12088" spans="1:1" x14ac:dyDescent="0.25">
      <c r="A12088" s="13"/>
    </row>
    <row r="12089" spans="1:1" x14ac:dyDescent="0.25">
      <c r="A12089" s="13"/>
    </row>
    <row r="12090" spans="1:1" x14ac:dyDescent="0.25">
      <c r="A12090" s="13"/>
    </row>
    <row r="12091" spans="1:1" x14ac:dyDescent="0.25">
      <c r="A12091" s="13"/>
    </row>
    <row r="12092" spans="1:1" x14ac:dyDescent="0.25">
      <c r="A12092" s="13"/>
    </row>
    <row r="12093" spans="1:1" x14ac:dyDescent="0.25">
      <c r="A12093" s="13"/>
    </row>
    <row r="12094" spans="1:1" x14ac:dyDescent="0.25">
      <c r="A12094" s="13"/>
    </row>
    <row r="12095" spans="1:1" x14ac:dyDescent="0.25">
      <c r="A12095" s="13"/>
    </row>
    <row r="12096" spans="1:1" x14ac:dyDescent="0.25">
      <c r="A12096" s="13"/>
    </row>
    <row r="12097" spans="1:1" x14ac:dyDescent="0.25">
      <c r="A12097" s="13"/>
    </row>
    <row r="12098" spans="1:1" x14ac:dyDescent="0.25">
      <c r="A12098" s="13"/>
    </row>
    <row r="12099" spans="1:1" x14ac:dyDescent="0.25">
      <c r="A12099" s="13"/>
    </row>
    <row r="12100" spans="1:1" x14ac:dyDescent="0.25">
      <c r="A12100" s="13"/>
    </row>
    <row r="12101" spans="1:1" x14ac:dyDescent="0.25">
      <c r="A12101" s="13"/>
    </row>
    <row r="12102" spans="1:1" x14ac:dyDescent="0.25">
      <c r="A12102" s="13"/>
    </row>
    <row r="12103" spans="1:1" x14ac:dyDescent="0.25">
      <c r="A12103" s="13"/>
    </row>
    <row r="12104" spans="1:1" x14ac:dyDescent="0.25">
      <c r="A12104" s="13"/>
    </row>
    <row r="12105" spans="1:1" x14ac:dyDescent="0.25">
      <c r="A12105" s="13"/>
    </row>
    <row r="12106" spans="1:1" x14ac:dyDescent="0.25">
      <c r="A12106" s="13"/>
    </row>
    <row r="12107" spans="1:1" x14ac:dyDescent="0.25">
      <c r="A12107" s="13"/>
    </row>
    <row r="12108" spans="1:1" x14ac:dyDescent="0.25">
      <c r="A12108" s="13"/>
    </row>
    <row r="12109" spans="1:1" x14ac:dyDescent="0.25">
      <c r="A12109" s="13"/>
    </row>
    <row r="12110" spans="1:1" x14ac:dyDescent="0.25">
      <c r="A12110" s="13"/>
    </row>
    <row r="12111" spans="1:1" x14ac:dyDescent="0.25">
      <c r="A12111" s="13"/>
    </row>
    <row r="12112" spans="1:1" x14ac:dyDescent="0.25">
      <c r="A12112" s="13"/>
    </row>
    <row r="12113" spans="1:1" x14ac:dyDescent="0.25">
      <c r="A12113" s="13"/>
    </row>
    <row r="12114" spans="1:1" x14ac:dyDescent="0.25">
      <c r="A12114" s="13"/>
    </row>
    <row r="12115" spans="1:1" x14ac:dyDescent="0.25">
      <c r="A12115" s="13"/>
    </row>
    <row r="12116" spans="1:1" x14ac:dyDescent="0.25">
      <c r="A12116" s="13"/>
    </row>
    <row r="12117" spans="1:1" x14ac:dyDescent="0.25">
      <c r="A12117" s="13"/>
    </row>
    <row r="12118" spans="1:1" x14ac:dyDescent="0.25">
      <c r="A12118" s="13"/>
    </row>
    <row r="12119" spans="1:1" x14ac:dyDescent="0.25">
      <c r="A12119" s="13"/>
    </row>
    <row r="12120" spans="1:1" x14ac:dyDescent="0.25">
      <c r="A12120" s="13"/>
    </row>
    <row r="12121" spans="1:1" x14ac:dyDescent="0.25">
      <c r="A12121" s="13"/>
    </row>
    <row r="12122" spans="1:1" x14ac:dyDescent="0.25">
      <c r="A12122" s="13"/>
    </row>
    <row r="12123" spans="1:1" x14ac:dyDescent="0.25">
      <c r="A12123" s="13"/>
    </row>
    <row r="12124" spans="1:1" x14ac:dyDescent="0.25">
      <c r="A12124" s="13"/>
    </row>
    <row r="12125" spans="1:1" x14ac:dyDescent="0.25">
      <c r="A12125" s="13"/>
    </row>
    <row r="12126" spans="1:1" x14ac:dyDescent="0.25">
      <c r="A12126" s="13"/>
    </row>
    <row r="12127" spans="1:1" x14ac:dyDescent="0.25">
      <c r="A12127" s="13"/>
    </row>
    <row r="12128" spans="1:1" x14ac:dyDescent="0.25">
      <c r="A12128" s="13"/>
    </row>
    <row r="12129" spans="1:1" x14ac:dyDescent="0.25">
      <c r="A12129" s="13"/>
    </row>
    <row r="12130" spans="1:1" x14ac:dyDescent="0.25">
      <c r="A12130" s="13"/>
    </row>
    <row r="12131" spans="1:1" x14ac:dyDescent="0.25">
      <c r="A12131" s="13"/>
    </row>
    <row r="12132" spans="1:1" x14ac:dyDescent="0.25">
      <c r="A12132" s="13"/>
    </row>
    <row r="12133" spans="1:1" x14ac:dyDescent="0.25">
      <c r="A12133" s="13"/>
    </row>
    <row r="12134" spans="1:1" x14ac:dyDescent="0.25">
      <c r="A12134" s="13"/>
    </row>
    <row r="12135" spans="1:1" x14ac:dyDescent="0.25">
      <c r="A12135" s="13"/>
    </row>
    <row r="12136" spans="1:1" x14ac:dyDescent="0.25">
      <c r="A12136" s="13"/>
    </row>
    <row r="12137" spans="1:1" x14ac:dyDescent="0.25">
      <c r="A12137" s="13"/>
    </row>
    <row r="12138" spans="1:1" x14ac:dyDescent="0.25">
      <c r="A12138" s="13"/>
    </row>
    <row r="12139" spans="1:1" x14ac:dyDescent="0.25">
      <c r="A12139" s="13"/>
    </row>
    <row r="12140" spans="1:1" x14ac:dyDescent="0.25">
      <c r="A12140" s="13"/>
    </row>
    <row r="12141" spans="1:1" x14ac:dyDescent="0.25">
      <c r="A12141" s="13"/>
    </row>
    <row r="12142" spans="1:1" x14ac:dyDescent="0.25">
      <c r="A12142" s="13"/>
    </row>
    <row r="12143" spans="1:1" x14ac:dyDescent="0.25">
      <c r="A12143" s="13"/>
    </row>
    <row r="12144" spans="1:1" x14ac:dyDescent="0.25">
      <c r="A12144" s="13"/>
    </row>
    <row r="12145" spans="1:1" x14ac:dyDescent="0.25">
      <c r="A12145" s="13"/>
    </row>
    <row r="12146" spans="1:1" x14ac:dyDescent="0.25">
      <c r="A12146" s="13"/>
    </row>
    <row r="12147" spans="1:1" x14ac:dyDescent="0.25">
      <c r="A12147" s="13"/>
    </row>
    <row r="12148" spans="1:1" x14ac:dyDescent="0.25">
      <c r="A12148" s="13"/>
    </row>
    <row r="12149" spans="1:1" x14ac:dyDescent="0.25">
      <c r="A12149" s="13"/>
    </row>
    <row r="12150" spans="1:1" x14ac:dyDescent="0.25">
      <c r="A12150" s="13"/>
    </row>
    <row r="12151" spans="1:1" x14ac:dyDescent="0.25">
      <c r="A12151" s="13"/>
    </row>
    <row r="12152" spans="1:1" x14ac:dyDescent="0.25">
      <c r="A12152" s="13"/>
    </row>
    <row r="12153" spans="1:1" x14ac:dyDescent="0.25">
      <c r="A12153" s="13"/>
    </row>
    <row r="12154" spans="1:1" x14ac:dyDescent="0.25">
      <c r="A12154" s="13"/>
    </row>
    <row r="12155" spans="1:1" x14ac:dyDescent="0.25">
      <c r="A12155" s="13"/>
    </row>
    <row r="12156" spans="1:1" x14ac:dyDescent="0.25">
      <c r="A12156" s="13"/>
    </row>
    <row r="12157" spans="1:1" x14ac:dyDescent="0.25">
      <c r="A12157" s="13"/>
    </row>
    <row r="12158" spans="1:1" x14ac:dyDescent="0.25">
      <c r="A12158" s="13"/>
    </row>
    <row r="12159" spans="1:1" x14ac:dyDescent="0.25">
      <c r="A12159" s="13"/>
    </row>
    <row r="12160" spans="1:1" x14ac:dyDescent="0.25">
      <c r="A12160" s="13"/>
    </row>
    <row r="12161" spans="1:1" x14ac:dyDescent="0.25">
      <c r="A12161" s="13"/>
    </row>
    <row r="12162" spans="1:1" x14ac:dyDescent="0.25">
      <c r="A12162" s="13"/>
    </row>
    <row r="12163" spans="1:1" x14ac:dyDescent="0.25">
      <c r="A12163" s="13"/>
    </row>
    <row r="12164" spans="1:1" x14ac:dyDescent="0.25">
      <c r="A12164" s="13"/>
    </row>
    <row r="12165" spans="1:1" x14ac:dyDescent="0.25">
      <c r="A12165" s="13"/>
    </row>
    <row r="12166" spans="1:1" x14ac:dyDescent="0.25">
      <c r="A12166" s="13"/>
    </row>
    <row r="12167" spans="1:1" x14ac:dyDescent="0.25">
      <c r="A12167" s="13"/>
    </row>
    <row r="12168" spans="1:1" x14ac:dyDescent="0.25">
      <c r="A12168" s="13"/>
    </row>
    <row r="12169" spans="1:1" x14ac:dyDescent="0.25">
      <c r="A12169" s="13"/>
    </row>
    <row r="12170" spans="1:1" x14ac:dyDescent="0.25">
      <c r="A12170" s="13"/>
    </row>
    <row r="12171" spans="1:1" x14ac:dyDescent="0.25">
      <c r="A12171" s="13"/>
    </row>
    <row r="12172" spans="1:1" x14ac:dyDescent="0.25">
      <c r="A12172" s="13"/>
    </row>
    <row r="12173" spans="1:1" x14ac:dyDescent="0.25">
      <c r="A12173" s="13"/>
    </row>
    <row r="12174" spans="1:1" x14ac:dyDescent="0.25">
      <c r="A12174" s="13"/>
    </row>
    <row r="12175" spans="1:1" x14ac:dyDescent="0.25">
      <c r="A12175" s="13"/>
    </row>
    <row r="12176" spans="1:1" x14ac:dyDescent="0.25">
      <c r="A12176" s="13"/>
    </row>
    <row r="12177" spans="1:1" x14ac:dyDescent="0.25">
      <c r="A12177" s="13"/>
    </row>
    <row r="12178" spans="1:1" x14ac:dyDescent="0.25">
      <c r="A12178" s="13"/>
    </row>
    <row r="12179" spans="1:1" x14ac:dyDescent="0.25">
      <c r="A12179" s="13"/>
    </row>
    <row r="12180" spans="1:1" x14ac:dyDescent="0.25">
      <c r="A12180" s="13"/>
    </row>
    <row r="12181" spans="1:1" x14ac:dyDescent="0.25">
      <c r="A12181" s="13"/>
    </row>
    <row r="12182" spans="1:1" x14ac:dyDescent="0.25">
      <c r="A12182" s="13"/>
    </row>
    <row r="12183" spans="1:1" x14ac:dyDescent="0.25">
      <c r="A12183" s="13"/>
    </row>
    <row r="12184" spans="1:1" x14ac:dyDescent="0.25">
      <c r="A12184" s="13"/>
    </row>
    <row r="12185" spans="1:1" x14ac:dyDescent="0.25">
      <c r="A12185" s="13"/>
    </row>
    <row r="12186" spans="1:1" x14ac:dyDescent="0.25">
      <c r="A12186" s="13"/>
    </row>
    <row r="12187" spans="1:1" x14ac:dyDescent="0.25">
      <c r="A12187" s="13"/>
    </row>
    <row r="12188" spans="1:1" x14ac:dyDescent="0.25">
      <c r="A12188" s="13"/>
    </row>
    <row r="12189" spans="1:1" x14ac:dyDescent="0.25">
      <c r="A12189" s="13"/>
    </row>
    <row r="12190" spans="1:1" x14ac:dyDescent="0.25">
      <c r="A12190" s="13"/>
    </row>
    <row r="12191" spans="1:1" x14ac:dyDescent="0.25">
      <c r="A12191" s="13"/>
    </row>
    <row r="12192" spans="1:1" x14ac:dyDescent="0.25">
      <c r="A12192" s="13"/>
    </row>
    <row r="12193" spans="1:1" x14ac:dyDescent="0.25">
      <c r="A12193" s="13"/>
    </row>
    <row r="12194" spans="1:1" x14ac:dyDescent="0.25">
      <c r="A12194" s="13"/>
    </row>
    <row r="12195" spans="1:1" x14ac:dyDescent="0.25">
      <c r="A12195" s="13"/>
    </row>
    <row r="12196" spans="1:1" x14ac:dyDescent="0.25">
      <c r="A12196" s="13"/>
    </row>
    <row r="12197" spans="1:1" x14ac:dyDescent="0.25">
      <c r="A12197" s="13"/>
    </row>
    <row r="12198" spans="1:1" x14ac:dyDescent="0.25">
      <c r="A12198" s="13"/>
    </row>
    <row r="12199" spans="1:1" x14ac:dyDescent="0.25">
      <c r="A12199" s="13"/>
    </row>
    <row r="12200" spans="1:1" x14ac:dyDescent="0.25">
      <c r="A12200" s="13"/>
    </row>
    <row r="12201" spans="1:1" x14ac:dyDescent="0.25">
      <c r="A12201" s="13"/>
    </row>
    <row r="12202" spans="1:1" x14ac:dyDescent="0.25">
      <c r="A12202" s="13"/>
    </row>
    <row r="12203" spans="1:1" x14ac:dyDescent="0.25">
      <c r="A12203" s="13"/>
    </row>
    <row r="12204" spans="1:1" x14ac:dyDescent="0.25">
      <c r="A12204" s="13"/>
    </row>
    <row r="12205" spans="1:1" x14ac:dyDescent="0.25">
      <c r="A12205" s="13"/>
    </row>
    <row r="12206" spans="1:1" x14ac:dyDescent="0.25">
      <c r="A12206" s="13"/>
    </row>
    <row r="12207" spans="1:1" x14ac:dyDescent="0.25">
      <c r="A12207" s="13"/>
    </row>
    <row r="12208" spans="1:1" x14ac:dyDescent="0.25">
      <c r="A12208" s="13"/>
    </row>
    <row r="12209" spans="1:1" x14ac:dyDescent="0.25">
      <c r="A12209" s="13"/>
    </row>
    <row r="12210" spans="1:1" x14ac:dyDescent="0.25">
      <c r="A12210" s="13"/>
    </row>
    <row r="12211" spans="1:1" x14ac:dyDescent="0.25">
      <c r="A12211" s="13"/>
    </row>
    <row r="12212" spans="1:1" x14ac:dyDescent="0.25">
      <c r="A12212" s="13"/>
    </row>
    <row r="12213" spans="1:1" x14ac:dyDescent="0.25">
      <c r="A12213" s="13"/>
    </row>
    <row r="12214" spans="1:1" x14ac:dyDescent="0.25">
      <c r="A12214" s="13"/>
    </row>
    <row r="12215" spans="1:1" x14ac:dyDescent="0.25">
      <c r="A12215" s="13"/>
    </row>
    <row r="12216" spans="1:1" x14ac:dyDescent="0.25">
      <c r="A12216" s="13"/>
    </row>
    <row r="12217" spans="1:1" x14ac:dyDescent="0.25">
      <c r="A12217" s="13"/>
    </row>
    <row r="12218" spans="1:1" x14ac:dyDescent="0.25">
      <c r="A12218" s="13"/>
    </row>
    <row r="12219" spans="1:1" x14ac:dyDescent="0.25">
      <c r="A12219" s="13"/>
    </row>
    <row r="12220" spans="1:1" x14ac:dyDescent="0.25">
      <c r="A12220" s="13"/>
    </row>
    <row r="12221" spans="1:1" x14ac:dyDescent="0.25">
      <c r="A12221" s="13"/>
    </row>
    <row r="12222" spans="1:1" x14ac:dyDescent="0.25">
      <c r="A12222" s="13"/>
    </row>
    <row r="12223" spans="1:1" x14ac:dyDescent="0.25">
      <c r="A12223" s="13"/>
    </row>
    <row r="12224" spans="1:1" x14ac:dyDescent="0.25">
      <c r="A12224" s="13"/>
    </row>
    <row r="12225" spans="1:1" x14ac:dyDescent="0.25">
      <c r="A12225" s="13"/>
    </row>
    <row r="12226" spans="1:1" x14ac:dyDescent="0.25">
      <c r="A12226" s="13"/>
    </row>
    <row r="12227" spans="1:1" x14ac:dyDescent="0.25">
      <c r="A12227" s="13"/>
    </row>
    <row r="12228" spans="1:1" x14ac:dyDescent="0.25">
      <c r="A12228" s="13"/>
    </row>
    <row r="12229" spans="1:1" x14ac:dyDescent="0.25">
      <c r="A12229" s="13"/>
    </row>
    <row r="12230" spans="1:1" x14ac:dyDescent="0.25">
      <c r="A12230" s="13"/>
    </row>
    <row r="12231" spans="1:1" x14ac:dyDescent="0.25">
      <c r="A12231" s="13"/>
    </row>
    <row r="12232" spans="1:1" x14ac:dyDescent="0.25">
      <c r="A12232" s="13"/>
    </row>
    <row r="12233" spans="1:1" x14ac:dyDescent="0.25">
      <c r="A12233" s="13"/>
    </row>
    <row r="12234" spans="1:1" x14ac:dyDescent="0.25">
      <c r="A12234" s="13"/>
    </row>
    <row r="12235" spans="1:1" x14ac:dyDescent="0.25">
      <c r="A12235" s="13"/>
    </row>
    <row r="12236" spans="1:1" x14ac:dyDescent="0.25">
      <c r="A12236" s="13"/>
    </row>
    <row r="12237" spans="1:1" x14ac:dyDescent="0.25">
      <c r="A12237" s="13"/>
    </row>
    <row r="12238" spans="1:1" x14ac:dyDescent="0.25">
      <c r="A12238" s="13"/>
    </row>
    <row r="12239" spans="1:1" x14ac:dyDescent="0.25">
      <c r="A12239" s="13"/>
    </row>
    <row r="12240" spans="1:1" x14ac:dyDescent="0.25">
      <c r="A12240" s="13"/>
    </row>
    <row r="12241" spans="1:1" x14ac:dyDescent="0.25">
      <c r="A12241" s="13"/>
    </row>
    <row r="12242" spans="1:1" x14ac:dyDescent="0.25">
      <c r="A12242" s="13"/>
    </row>
    <row r="12243" spans="1:1" x14ac:dyDescent="0.25">
      <c r="A12243" s="13"/>
    </row>
    <row r="12244" spans="1:1" x14ac:dyDescent="0.25">
      <c r="A12244" s="13"/>
    </row>
    <row r="12245" spans="1:1" x14ac:dyDescent="0.25">
      <c r="A12245" s="13"/>
    </row>
    <row r="12246" spans="1:1" x14ac:dyDescent="0.25">
      <c r="A12246" s="13"/>
    </row>
    <row r="12247" spans="1:1" x14ac:dyDescent="0.25">
      <c r="A12247" s="13"/>
    </row>
    <row r="12248" spans="1:1" x14ac:dyDescent="0.25">
      <c r="A12248" s="13"/>
    </row>
    <row r="12249" spans="1:1" x14ac:dyDescent="0.25">
      <c r="A12249" s="13"/>
    </row>
    <row r="12250" spans="1:1" x14ac:dyDescent="0.25">
      <c r="A12250" s="13"/>
    </row>
    <row r="12251" spans="1:1" x14ac:dyDescent="0.25">
      <c r="A12251" s="13"/>
    </row>
    <row r="12252" spans="1:1" x14ac:dyDescent="0.25">
      <c r="A12252" s="13"/>
    </row>
    <row r="12253" spans="1:1" x14ac:dyDescent="0.25">
      <c r="A12253" s="13"/>
    </row>
    <row r="12254" spans="1:1" x14ac:dyDescent="0.25">
      <c r="A12254" s="13"/>
    </row>
    <row r="12255" spans="1:1" x14ac:dyDescent="0.25">
      <c r="A12255" s="13"/>
    </row>
    <row r="12256" spans="1:1" x14ac:dyDescent="0.25">
      <c r="A12256" s="13"/>
    </row>
    <row r="12257" spans="1:1" x14ac:dyDescent="0.25">
      <c r="A12257" s="13"/>
    </row>
    <row r="12258" spans="1:1" x14ac:dyDescent="0.25">
      <c r="A12258" s="13"/>
    </row>
    <row r="12259" spans="1:1" x14ac:dyDescent="0.25">
      <c r="A12259" s="13"/>
    </row>
    <row r="12260" spans="1:1" x14ac:dyDescent="0.25">
      <c r="A12260" s="13"/>
    </row>
    <row r="12261" spans="1:1" x14ac:dyDescent="0.25">
      <c r="A12261" s="13"/>
    </row>
    <row r="12262" spans="1:1" x14ac:dyDescent="0.25">
      <c r="A12262" s="13"/>
    </row>
    <row r="12263" spans="1:1" x14ac:dyDescent="0.25">
      <c r="A12263" s="13"/>
    </row>
    <row r="12264" spans="1:1" x14ac:dyDescent="0.25">
      <c r="A12264" s="13"/>
    </row>
    <row r="12265" spans="1:1" x14ac:dyDescent="0.25">
      <c r="A12265" s="13"/>
    </row>
    <row r="12266" spans="1:1" x14ac:dyDescent="0.25">
      <c r="A12266" s="13"/>
    </row>
    <row r="12267" spans="1:1" x14ac:dyDescent="0.25">
      <c r="A12267" s="13"/>
    </row>
    <row r="12268" spans="1:1" x14ac:dyDescent="0.25">
      <c r="A12268" s="13"/>
    </row>
    <row r="12269" spans="1:1" x14ac:dyDescent="0.25">
      <c r="A12269" s="13"/>
    </row>
    <row r="12270" spans="1:1" x14ac:dyDescent="0.25">
      <c r="A12270" s="13"/>
    </row>
    <row r="12271" spans="1:1" x14ac:dyDescent="0.25">
      <c r="A12271" s="13"/>
    </row>
    <row r="12272" spans="1:1" x14ac:dyDescent="0.25">
      <c r="A12272" s="13"/>
    </row>
    <row r="12273" spans="1:1" x14ac:dyDescent="0.25">
      <c r="A12273" s="13"/>
    </row>
    <row r="12274" spans="1:1" x14ac:dyDescent="0.25">
      <c r="A12274" s="13"/>
    </row>
    <row r="12275" spans="1:1" x14ac:dyDescent="0.25">
      <c r="A12275" s="13"/>
    </row>
    <row r="12276" spans="1:1" x14ac:dyDescent="0.25">
      <c r="A12276" s="13"/>
    </row>
    <row r="12277" spans="1:1" x14ac:dyDescent="0.25">
      <c r="A12277" s="13"/>
    </row>
    <row r="12278" spans="1:1" x14ac:dyDescent="0.25">
      <c r="A12278" s="13"/>
    </row>
    <row r="12279" spans="1:1" x14ac:dyDescent="0.25">
      <c r="A12279" s="13"/>
    </row>
    <row r="12280" spans="1:1" x14ac:dyDescent="0.25">
      <c r="A12280" s="13"/>
    </row>
    <row r="12281" spans="1:1" x14ac:dyDescent="0.25">
      <c r="A12281" s="13"/>
    </row>
    <row r="12282" spans="1:1" x14ac:dyDescent="0.25">
      <c r="A12282" s="13"/>
    </row>
    <row r="12283" spans="1:1" x14ac:dyDescent="0.25">
      <c r="A12283" s="13"/>
    </row>
    <row r="12284" spans="1:1" x14ac:dyDescent="0.25">
      <c r="A12284" s="13"/>
    </row>
    <row r="12285" spans="1:1" x14ac:dyDescent="0.25">
      <c r="A12285" s="13"/>
    </row>
    <row r="12286" spans="1:1" x14ac:dyDescent="0.25">
      <c r="A12286" s="13"/>
    </row>
    <row r="12287" spans="1:1" x14ac:dyDescent="0.25">
      <c r="A12287" s="13"/>
    </row>
    <row r="12288" spans="1:1" x14ac:dyDescent="0.25">
      <c r="A12288" s="13"/>
    </row>
    <row r="12289" spans="1:1" x14ac:dyDescent="0.25">
      <c r="A12289" s="13"/>
    </row>
    <row r="12290" spans="1:1" x14ac:dyDescent="0.25">
      <c r="A12290" s="13"/>
    </row>
    <row r="12291" spans="1:1" x14ac:dyDescent="0.25">
      <c r="A12291" s="13"/>
    </row>
    <row r="12292" spans="1:1" x14ac:dyDescent="0.25">
      <c r="A12292" s="13"/>
    </row>
    <row r="12293" spans="1:1" x14ac:dyDescent="0.25">
      <c r="A12293" s="13"/>
    </row>
    <row r="12294" spans="1:1" x14ac:dyDescent="0.25">
      <c r="A12294" s="13"/>
    </row>
    <row r="12295" spans="1:1" x14ac:dyDescent="0.25">
      <c r="A12295" s="13"/>
    </row>
    <row r="12296" spans="1:1" x14ac:dyDescent="0.25">
      <c r="A12296" s="13"/>
    </row>
    <row r="12297" spans="1:1" x14ac:dyDescent="0.25">
      <c r="A12297" s="13"/>
    </row>
    <row r="12298" spans="1:1" x14ac:dyDescent="0.25">
      <c r="A12298" s="13"/>
    </row>
    <row r="12299" spans="1:1" x14ac:dyDescent="0.25">
      <c r="A12299" s="13"/>
    </row>
    <row r="12300" spans="1:1" x14ac:dyDescent="0.25">
      <c r="A12300" s="13"/>
    </row>
    <row r="12301" spans="1:1" x14ac:dyDescent="0.25">
      <c r="A12301" s="13"/>
    </row>
    <row r="12302" spans="1:1" x14ac:dyDescent="0.25">
      <c r="A12302" s="13"/>
    </row>
    <row r="12303" spans="1:1" x14ac:dyDescent="0.25">
      <c r="A12303" s="13"/>
    </row>
    <row r="12304" spans="1:1" x14ac:dyDescent="0.25">
      <c r="A12304" s="13"/>
    </row>
    <row r="12305" spans="1:1" x14ac:dyDescent="0.25">
      <c r="A12305" s="13"/>
    </row>
    <row r="12306" spans="1:1" x14ac:dyDescent="0.25">
      <c r="A12306" s="13"/>
    </row>
    <row r="12307" spans="1:1" x14ac:dyDescent="0.25">
      <c r="A12307" s="13"/>
    </row>
    <row r="12308" spans="1:1" x14ac:dyDescent="0.25">
      <c r="A12308" s="13"/>
    </row>
    <row r="12309" spans="1:1" x14ac:dyDescent="0.25">
      <c r="A12309" s="13"/>
    </row>
    <row r="12310" spans="1:1" x14ac:dyDescent="0.25">
      <c r="A12310" s="13"/>
    </row>
    <row r="12311" spans="1:1" x14ac:dyDescent="0.25">
      <c r="A12311" s="13"/>
    </row>
    <row r="12312" spans="1:1" x14ac:dyDescent="0.25">
      <c r="A12312" s="13"/>
    </row>
    <row r="12313" spans="1:1" x14ac:dyDescent="0.25">
      <c r="A12313" s="13"/>
    </row>
    <row r="12314" spans="1:1" x14ac:dyDescent="0.25">
      <c r="A12314" s="13"/>
    </row>
    <row r="12315" spans="1:1" x14ac:dyDescent="0.25">
      <c r="A12315" s="13"/>
    </row>
    <row r="12316" spans="1:1" x14ac:dyDescent="0.25">
      <c r="A12316" s="13"/>
    </row>
    <row r="12317" spans="1:1" x14ac:dyDescent="0.25">
      <c r="A12317" s="13"/>
    </row>
    <row r="12318" spans="1:1" x14ac:dyDescent="0.25">
      <c r="A12318" s="13"/>
    </row>
    <row r="12319" spans="1:1" x14ac:dyDescent="0.25">
      <c r="A12319" s="13"/>
    </row>
    <row r="12320" spans="1:1" x14ac:dyDescent="0.25">
      <c r="A12320" s="13"/>
    </row>
    <row r="12321" spans="1:1" x14ac:dyDescent="0.25">
      <c r="A12321" s="13"/>
    </row>
    <row r="12322" spans="1:1" x14ac:dyDescent="0.25">
      <c r="A12322" s="13"/>
    </row>
    <row r="12323" spans="1:1" x14ac:dyDescent="0.25">
      <c r="A12323" s="13"/>
    </row>
    <row r="12324" spans="1:1" x14ac:dyDescent="0.25">
      <c r="A12324" s="13"/>
    </row>
    <row r="12325" spans="1:1" x14ac:dyDescent="0.25">
      <c r="A12325" s="13"/>
    </row>
    <row r="12326" spans="1:1" x14ac:dyDescent="0.25">
      <c r="A12326" s="13"/>
    </row>
    <row r="12327" spans="1:1" x14ac:dyDescent="0.25">
      <c r="A12327" s="13"/>
    </row>
    <row r="12328" spans="1:1" x14ac:dyDescent="0.25">
      <c r="A12328" s="13"/>
    </row>
    <row r="12329" spans="1:1" x14ac:dyDescent="0.25">
      <c r="A12329" s="13"/>
    </row>
    <row r="12330" spans="1:1" x14ac:dyDescent="0.25">
      <c r="A12330" s="13"/>
    </row>
    <row r="12331" spans="1:1" x14ac:dyDescent="0.25">
      <c r="A12331" s="13"/>
    </row>
    <row r="12332" spans="1:1" x14ac:dyDescent="0.25">
      <c r="A12332" s="13"/>
    </row>
    <row r="12333" spans="1:1" x14ac:dyDescent="0.25">
      <c r="A12333" s="13"/>
    </row>
    <row r="12334" spans="1:1" x14ac:dyDescent="0.25">
      <c r="A12334" s="13"/>
    </row>
    <row r="12335" spans="1:1" x14ac:dyDescent="0.25">
      <c r="A12335" s="13"/>
    </row>
    <row r="12336" spans="1:1" x14ac:dyDescent="0.25">
      <c r="A12336" s="13"/>
    </row>
    <row r="12337" spans="1:1" x14ac:dyDescent="0.25">
      <c r="A12337" s="13"/>
    </row>
    <row r="12338" spans="1:1" x14ac:dyDescent="0.25">
      <c r="A12338" s="13"/>
    </row>
    <row r="12339" spans="1:1" x14ac:dyDescent="0.25">
      <c r="A12339" s="13"/>
    </row>
    <row r="12340" spans="1:1" x14ac:dyDescent="0.25">
      <c r="A12340" s="13"/>
    </row>
    <row r="12341" spans="1:1" x14ac:dyDescent="0.25">
      <c r="A12341" s="13"/>
    </row>
    <row r="12342" spans="1:1" x14ac:dyDescent="0.25">
      <c r="A12342" s="13"/>
    </row>
    <row r="12343" spans="1:1" x14ac:dyDescent="0.25">
      <c r="A12343" s="13"/>
    </row>
    <row r="12344" spans="1:1" x14ac:dyDescent="0.25">
      <c r="A12344" s="13"/>
    </row>
    <row r="12345" spans="1:1" x14ac:dyDescent="0.25">
      <c r="A12345" s="13"/>
    </row>
    <row r="12346" spans="1:1" x14ac:dyDescent="0.25">
      <c r="A12346" s="13"/>
    </row>
    <row r="12347" spans="1:1" x14ac:dyDescent="0.25">
      <c r="A12347" s="13"/>
    </row>
    <row r="12348" spans="1:1" x14ac:dyDescent="0.25">
      <c r="A12348" s="13"/>
    </row>
    <row r="12349" spans="1:1" x14ac:dyDescent="0.25">
      <c r="A12349" s="13"/>
    </row>
    <row r="12350" spans="1:1" x14ac:dyDescent="0.25">
      <c r="A12350" s="13"/>
    </row>
    <row r="12351" spans="1:1" x14ac:dyDescent="0.25">
      <c r="A12351" s="13"/>
    </row>
    <row r="12352" spans="1:1" x14ac:dyDescent="0.25">
      <c r="A12352" s="13"/>
    </row>
    <row r="12353" spans="1:1" x14ac:dyDescent="0.25">
      <c r="A12353" s="13"/>
    </row>
    <row r="12354" spans="1:1" x14ac:dyDescent="0.25">
      <c r="A12354" s="13"/>
    </row>
    <row r="12355" spans="1:1" x14ac:dyDescent="0.25">
      <c r="A12355" s="13"/>
    </row>
    <row r="12356" spans="1:1" x14ac:dyDescent="0.25">
      <c r="A12356" s="13"/>
    </row>
    <row r="12357" spans="1:1" x14ac:dyDescent="0.25">
      <c r="A12357" s="13"/>
    </row>
    <row r="12358" spans="1:1" x14ac:dyDescent="0.25">
      <c r="A12358" s="13"/>
    </row>
    <row r="12359" spans="1:1" x14ac:dyDescent="0.25">
      <c r="A12359" s="13"/>
    </row>
    <row r="12360" spans="1:1" x14ac:dyDescent="0.25">
      <c r="A12360" s="13"/>
    </row>
    <row r="12361" spans="1:1" x14ac:dyDescent="0.25">
      <c r="A12361" s="13"/>
    </row>
    <row r="12362" spans="1:1" x14ac:dyDescent="0.25">
      <c r="A12362" s="13"/>
    </row>
    <row r="12363" spans="1:1" x14ac:dyDescent="0.25">
      <c r="A12363" s="13"/>
    </row>
    <row r="12364" spans="1:1" x14ac:dyDescent="0.25">
      <c r="A12364" s="13"/>
    </row>
    <row r="12365" spans="1:1" x14ac:dyDescent="0.25">
      <c r="A12365" s="13"/>
    </row>
    <row r="12366" spans="1:1" x14ac:dyDescent="0.25">
      <c r="A12366" s="13"/>
    </row>
    <row r="12367" spans="1:1" x14ac:dyDescent="0.25">
      <c r="A12367" s="13"/>
    </row>
    <row r="12368" spans="1:1" x14ac:dyDescent="0.25">
      <c r="A12368" s="13"/>
    </row>
    <row r="12369" spans="1:1" x14ac:dyDescent="0.25">
      <c r="A12369" s="13"/>
    </row>
    <row r="12370" spans="1:1" x14ac:dyDescent="0.25">
      <c r="A12370" s="13"/>
    </row>
    <row r="12371" spans="1:1" x14ac:dyDescent="0.25">
      <c r="A12371" s="13"/>
    </row>
    <row r="12372" spans="1:1" x14ac:dyDescent="0.25">
      <c r="A12372" s="13"/>
    </row>
    <row r="12373" spans="1:1" x14ac:dyDescent="0.25">
      <c r="A12373" s="13"/>
    </row>
    <row r="12374" spans="1:1" x14ac:dyDescent="0.25">
      <c r="A12374" s="13"/>
    </row>
    <row r="12375" spans="1:1" x14ac:dyDescent="0.25">
      <c r="A12375" s="13"/>
    </row>
    <row r="12376" spans="1:1" x14ac:dyDescent="0.25">
      <c r="A12376" s="13"/>
    </row>
    <row r="12377" spans="1:1" x14ac:dyDescent="0.25">
      <c r="A12377" s="13"/>
    </row>
    <row r="12378" spans="1:1" x14ac:dyDescent="0.25">
      <c r="A12378" s="13"/>
    </row>
    <row r="12379" spans="1:1" x14ac:dyDescent="0.25">
      <c r="A12379" s="13"/>
    </row>
    <row r="12380" spans="1:1" x14ac:dyDescent="0.25">
      <c r="A12380" s="13"/>
    </row>
    <row r="12381" spans="1:1" x14ac:dyDescent="0.25">
      <c r="A12381" s="13"/>
    </row>
    <row r="12382" spans="1:1" x14ac:dyDescent="0.25">
      <c r="A12382" s="13"/>
    </row>
    <row r="12383" spans="1:1" x14ac:dyDescent="0.25">
      <c r="A12383" s="13"/>
    </row>
    <row r="12384" spans="1:1" x14ac:dyDescent="0.25">
      <c r="A12384" s="13"/>
    </row>
    <row r="12385" spans="1:1" x14ac:dyDescent="0.25">
      <c r="A12385" s="13"/>
    </row>
    <row r="12386" spans="1:1" x14ac:dyDescent="0.25">
      <c r="A12386" s="13"/>
    </row>
    <row r="12387" spans="1:1" x14ac:dyDescent="0.25">
      <c r="A12387" s="13"/>
    </row>
    <row r="12388" spans="1:1" x14ac:dyDescent="0.25">
      <c r="A12388" s="13"/>
    </row>
    <row r="12389" spans="1:1" x14ac:dyDescent="0.25">
      <c r="A12389" s="13"/>
    </row>
    <row r="12390" spans="1:1" x14ac:dyDescent="0.25">
      <c r="A12390" s="13"/>
    </row>
    <row r="12391" spans="1:1" x14ac:dyDescent="0.25">
      <c r="A12391" s="13"/>
    </row>
    <row r="12392" spans="1:1" x14ac:dyDescent="0.25">
      <c r="A12392" s="13"/>
    </row>
    <row r="12393" spans="1:1" x14ac:dyDescent="0.25">
      <c r="A12393" s="13"/>
    </row>
    <row r="12394" spans="1:1" x14ac:dyDescent="0.25">
      <c r="A12394" s="13"/>
    </row>
    <row r="12395" spans="1:1" x14ac:dyDescent="0.25">
      <c r="A12395" s="13"/>
    </row>
    <row r="12396" spans="1:1" x14ac:dyDescent="0.25">
      <c r="A12396" s="13"/>
    </row>
    <row r="12397" spans="1:1" x14ac:dyDescent="0.25">
      <c r="A12397" s="13"/>
    </row>
    <row r="12398" spans="1:1" x14ac:dyDescent="0.25">
      <c r="A12398" s="13"/>
    </row>
    <row r="12399" spans="1:1" x14ac:dyDescent="0.25">
      <c r="A12399" s="13"/>
    </row>
    <row r="12400" spans="1:1" x14ac:dyDescent="0.25">
      <c r="A12400" s="13"/>
    </row>
    <row r="12401" spans="1:1" x14ac:dyDescent="0.25">
      <c r="A12401" s="13"/>
    </row>
    <row r="12402" spans="1:1" x14ac:dyDescent="0.25">
      <c r="A12402" s="13"/>
    </row>
    <row r="12403" spans="1:1" x14ac:dyDescent="0.25">
      <c r="A12403" s="13"/>
    </row>
    <row r="12404" spans="1:1" x14ac:dyDescent="0.25">
      <c r="A12404" s="13"/>
    </row>
    <row r="12405" spans="1:1" x14ac:dyDescent="0.25">
      <c r="A12405" s="13"/>
    </row>
    <row r="12406" spans="1:1" x14ac:dyDescent="0.25">
      <c r="A12406" s="13"/>
    </row>
    <row r="12407" spans="1:1" x14ac:dyDescent="0.25">
      <c r="A12407" s="13"/>
    </row>
    <row r="12408" spans="1:1" x14ac:dyDescent="0.25">
      <c r="A12408" s="13"/>
    </row>
    <row r="12409" spans="1:1" x14ac:dyDescent="0.25">
      <c r="A12409" s="13"/>
    </row>
    <row r="12410" spans="1:1" x14ac:dyDescent="0.25">
      <c r="A12410" s="13"/>
    </row>
    <row r="12411" spans="1:1" x14ac:dyDescent="0.25">
      <c r="A12411" s="13"/>
    </row>
    <row r="12412" spans="1:1" x14ac:dyDescent="0.25">
      <c r="A12412" s="13"/>
    </row>
    <row r="12413" spans="1:1" x14ac:dyDescent="0.25">
      <c r="A12413" s="13"/>
    </row>
    <row r="12414" spans="1:1" x14ac:dyDescent="0.25">
      <c r="A12414" s="13"/>
    </row>
    <row r="12415" spans="1:1" x14ac:dyDescent="0.25">
      <c r="A12415" s="13"/>
    </row>
    <row r="12416" spans="1:1" x14ac:dyDescent="0.25">
      <c r="A12416" s="13"/>
    </row>
    <row r="12417" spans="1:1" x14ac:dyDescent="0.25">
      <c r="A12417" s="13"/>
    </row>
    <row r="12418" spans="1:1" x14ac:dyDescent="0.25">
      <c r="A12418" s="13"/>
    </row>
    <row r="12419" spans="1:1" x14ac:dyDescent="0.25">
      <c r="A12419" s="13"/>
    </row>
    <row r="12420" spans="1:1" x14ac:dyDescent="0.25">
      <c r="A12420" s="13"/>
    </row>
    <row r="12421" spans="1:1" x14ac:dyDescent="0.25">
      <c r="A12421" s="13"/>
    </row>
    <row r="12422" spans="1:1" x14ac:dyDescent="0.25">
      <c r="A12422" s="13"/>
    </row>
    <row r="12423" spans="1:1" x14ac:dyDescent="0.25">
      <c r="A12423" s="13"/>
    </row>
    <row r="12424" spans="1:1" x14ac:dyDescent="0.25">
      <c r="A12424" s="13"/>
    </row>
    <row r="12425" spans="1:1" x14ac:dyDescent="0.25">
      <c r="A12425" s="13"/>
    </row>
    <row r="12426" spans="1:1" x14ac:dyDescent="0.25">
      <c r="A12426" s="13"/>
    </row>
    <row r="12427" spans="1:1" x14ac:dyDescent="0.25">
      <c r="A12427" s="13"/>
    </row>
    <row r="12428" spans="1:1" x14ac:dyDescent="0.25">
      <c r="A12428" s="13"/>
    </row>
    <row r="12429" spans="1:1" x14ac:dyDescent="0.25">
      <c r="A12429" s="13"/>
    </row>
    <row r="12430" spans="1:1" x14ac:dyDescent="0.25">
      <c r="A12430" s="13"/>
    </row>
    <row r="12431" spans="1:1" x14ac:dyDescent="0.25">
      <c r="A12431" s="13"/>
    </row>
    <row r="12432" spans="1:1" x14ac:dyDescent="0.25">
      <c r="A12432" s="13"/>
    </row>
    <row r="12433" spans="1:1" x14ac:dyDescent="0.25">
      <c r="A12433" s="13"/>
    </row>
    <row r="12434" spans="1:1" x14ac:dyDescent="0.25">
      <c r="A12434" s="13"/>
    </row>
    <row r="12435" spans="1:1" x14ac:dyDescent="0.25">
      <c r="A12435" s="13"/>
    </row>
    <row r="12436" spans="1:1" x14ac:dyDescent="0.25">
      <c r="A12436" s="13"/>
    </row>
    <row r="12437" spans="1:1" x14ac:dyDescent="0.25">
      <c r="A12437" s="13"/>
    </row>
    <row r="12438" spans="1:1" x14ac:dyDescent="0.25">
      <c r="A12438" s="13"/>
    </row>
    <row r="12439" spans="1:1" x14ac:dyDescent="0.25">
      <c r="A12439" s="13"/>
    </row>
    <row r="12440" spans="1:1" x14ac:dyDescent="0.25">
      <c r="A12440" s="13"/>
    </row>
    <row r="12441" spans="1:1" x14ac:dyDescent="0.25">
      <c r="A12441" s="13"/>
    </row>
    <row r="12442" spans="1:1" x14ac:dyDescent="0.25">
      <c r="A12442" s="13"/>
    </row>
    <row r="12443" spans="1:1" x14ac:dyDescent="0.25">
      <c r="A12443" s="13"/>
    </row>
    <row r="12444" spans="1:1" x14ac:dyDescent="0.25">
      <c r="A12444" s="13"/>
    </row>
    <row r="12445" spans="1:1" x14ac:dyDescent="0.25">
      <c r="A12445" s="13"/>
    </row>
    <row r="12446" spans="1:1" x14ac:dyDescent="0.25">
      <c r="A12446" s="13"/>
    </row>
    <row r="12447" spans="1:1" x14ac:dyDescent="0.25">
      <c r="A12447" s="13"/>
    </row>
    <row r="12448" spans="1:1" x14ac:dyDescent="0.25">
      <c r="A12448" s="13"/>
    </row>
    <row r="12449" spans="1:1" x14ac:dyDescent="0.25">
      <c r="A12449" s="13"/>
    </row>
    <row r="12450" spans="1:1" x14ac:dyDescent="0.25">
      <c r="A12450" s="13"/>
    </row>
    <row r="12451" spans="1:1" x14ac:dyDescent="0.25">
      <c r="A12451" s="13"/>
    </row>
    <row r="12452" spans="1:1" x14ac:dyDescent="0.25">
      <c r="A12452" s="13"/>
    </row>
    <row r="12453" spans="1:1" x14ac:dyDescent="0.25">
      <c r="A12453" s="13"/>
    </row>
    <row r="12454" spans="1:1" x14ac:dyDescent="0.25">
      <c r="A12454" s="13"/>
    </row>
    <row r="12455" spans="1:1" x14ac:dyDescent="0.25">
      <c r="A12455" s="13"/>
    </row>
    <row r="12456" spans="1:1" x14ac:dyDescent="0.25">
      <c r="A12456" s="13"/>
    </row>
    <row r="12457" spans="1:1" x14ac:dyDescent="0.25">
      <c r="A12457" s="13"/>
    </row>
    <row r="12458" spans="1:1" x14ac:dyDescent="0.25">
      <c r="A12458" s="13"/>
    </row>
    <row r="12459" spans="1:1" x14ac:dyDescent="0.25">
      <c r="A12459" s="13"/>
    </row>
    <row r="12460" spans="1:1" x14ac:dyDescent="0.25">
      <c r="A12460" s="13"/>
    </row>
    <row r="12461" spans="1:1" x14ac:dyDescent="0.25">
      <c r="A12461" s="13"/>
    </row>
    <row r="12462" spans="1:1" x14ac:dyDescent="0.25">
      <c r="A12462" s="13"/>
    </row>
    <row r="12463" spans="1:1" x14ac:dyDescent="0.25">
      <c r="A12463" s="13"/>
    </row>
    <row r="12464" spans="1:1" x14ac:dyDescent="0.25">
      <c r="A12464" s="13"/>
    </row>
    <row r="12465" spans="1:1" x14ac:dyDescent="0.25">
      <c r="A12465" s="13"/>
    </row>
    <row r="12466" spans="1:1" x14ac:dyDescent="0.25">
      <c r="A12466" s="13"/>
    </row>
    <row r="12467" spans="1:1" x14ac:dyDescent="0.25">
      <c r="A12467" s="13"/>
    </row>
    <row r="12468" spans="1:1" x14ac:dyDescent="0.25">
      <c r="A12468" s="13"/>
    </row>
    <row r="12469" spans="1:1" x14ac:dyDescent="0.25">
      <c r="A12469" s="13"/>
    </row>
    <row r="12470" spans="1:1" x14ac:dyDescent="0.25">
      <c r="A12470" s="13"/>
    </row>
    <row r="12471" spans="1:1" x14ac:dyDescent="0.25">
      <c r="A12471" s="13"/>
    </row>
    <row r="12472" spans="1:1" x14ac:dyDescent="0.25">
      <c r="A12472" s="13"/>
    </row>
    <row r="12473" spans="1:1" x14ac:dyDescent="0.25">
      <c r="A12473" s="13"/>
    </row>
    <row r="12474" spans="1:1" x14ac:dyDescent="0.25">
      <c r="A12474" s="13"/>
    </row>
    <row r="12475" spans="1:1" x14ac:dyDescent="0.25">
      <c r="A12475" s="13"/>
    </row>
    <row r="12476" spans="1:1" x14ac:dyDescent="0.25">
      <c r="A12476" s="13"/>
    </row>
    <row r="12477" spans="1:1" x14ac:dyDescent="0.25">
      <c r="A12477" s="13"/>
    </row>
    <row r="12478" spans="1:1" x14ac:dyDescent="0.25">
      <c r="A12478" s="13"/>
    </row>
    <row r="12479" spans="1:1" x14ac:dyDescent="0.25">
      <c r="A12479" s="13"/>
    </row>
    <row r="12480" spans="1:1" x14ac:dyDescent="0.25">
      <c r="A12480" s="13"/>
    </row>
    <row r="12481" spans="1:1" x14ac:dyDescent="0.25">
      <c r="A12481" s="13"/>
    </row>
    <row r="12482" spans="1:1" x14ac:dyDescent="0.25">
      <c r="A12482" s="13"/>
    </row>
    <row r="12483" spans="1:1" x14ac:dyDescent="0.25">
      <c r="A12483" s="13"/>
    </row>
    <row r="12484" spans="1:1" x14ac:dyDescent="0.25">
      <c r="A12484" s="13"/>
    </row>
    <row r="12485" spans="1:1" x14ac:dyDescent="0.25">
      <c r="A12485" s="13"/>
    </row>
    <row r="12486" spans="1:1" x14ac:dyDescent="0.25">
      <c r="A12486" s="13"/>
    </row>
    <row r="12487" spans="1:1" x14ac:dyDescent="0.25">
      <c r="A12487" s="13"/>
    </row>
    <row r="12488" spans="1:1" x14ac:dyDescent="0.25">
      <c r="A12488" s="13"/>
    </row>
    <row r="12489" spans="1:1" x14ac:dyDescent="0.25">
      <c r="A12489" s="13"/>
    </row>
    <row r="12490" spans="1:1" x14ac:dyDescent="0.25">
      <c r="A12490" s="13"/>
    </row>
    <row r="12491" spans="1:1" x14ac:dyDescent="0.25">
      <c r="A12491" s="13"/>
    </row>
    <row r="12492" spans="1:1" x14ac:dyDescent="0.25">
      <c r="A12492" s="13"/>
    </row>
    <row r="12493" spans="1:1" x14ac:dyDescent="0.25">
      <c r="A12493" s="13"/>
    </row>
    <row r="12494" spans="1:1" x14ac:dyDescent="0.25">
      <c r="A12494" s="13"/>
    </row>
    <row r="12495" spans="1:1" x14ac:dyDescent="0.25">
      <c r="A12495" s="13"/>
    </row>
    <row r="12496" spans="1:1" x14ac:dyDescent="0.25">
      <c r="A12496" s="13"/>
    </row>
    <row r="12497" spans="1:1" x14ac:dyDescent="0.25">
      <c r="A12497" s="13"/>
    </row>
    <row r="12498" spans="1:1" x14ac:dyDescent="0.25">
      <c r="A12498" s="13"/>
    </row>
    <row r="12499" spans="1:1" x14ac:dyDescent="0.25">
      <c r="A12499" s="13"/>
    </row>
    <row r="12500" spans="1:1" x14ac:dyDescent="0.25">
      <c r="A12500" s="13"/>
    </row>
    <row r="12501" spans="1:1" x14ac:dyDescent="0.25">
      <c r="A12501" s="13"/>
    </row>
    <row r="12502" spans="1:1" x14ac:dyDescent="0.25">
      <c r="A12502" s="13"/>
    </row>
    <row r="12503" spans="1:1" x14ac:dyDescent="0.25">
      <c r="A12503" s="13"/>
    </row>
    <row r="12504" spans="1:1" x14ac:dyDescent="0.25">
      <c r="A12504" s="13"/>
    </row>
    <row r="12505" spans="1:1" x14ac:dyDescent="0.25">
      <c r="A12505" s="13"/>
    </row>
    <row r="12506" spans="1:1" x14ac:dyDescent="0.25">
      <c r="A12506" s="13"/>
    </row>
    <row r="12507" spans="1:1" x14ac:dyDescent="0.25">
      <c r="A12507" s="13"/>
    </row>
    <row r="12508" spans="1:1" x14ac:dyDescent="0.25">
      <c r="A12508" s="13"/>
    </row>
    <row r="12509" spans="1:1" x14ac:dyDescent="0.25">
      <c r="A12509" s="13"/>
    </row>
    <row r="12510" spans="1:1" x14ac:dyDescent="0.25">
      <c r="A12510" s="13"/>
    </row>
    <row r="12511" spans="1:1" x14ac:dyDescent="0.25">
      <c r="A12511" s="13"/>
    </row>
    <row r="12512" spans="1:1" x14ac:dyDescent="0.25">
      <c r="A12512" s="13"/>
    </row>
    <row r="12513" spans="1:1" x14ac:dyDescent="0.25">
      <c r="A12513" s="13"/>
    </row>
    <row r="12514" spans="1:1" x14ac:dyDescent="0.25">
      <c r="A12514" s="13"/>
    </row>
    <row r="12515" spans="1:1" x14ac:dyDescent="0.25">
      <c r="A12515" s="13"/>
    </row>
    <row r="12516" spans="1:1" x14ac:dyDescent="0.25">
      <c r="A12516" s="13"/>
    </row>
    <row r="12517" spans="1:1" x14ac:dyDescent="0.25">
      <c r="A12517" s="13"/>
    </row>
    <row r="12518" spans="1:1" x14ac:dyDescent="0.25">
      <c r="A12518" s="13"/>
    </row>
    <row r="12519" spans="1:1" x14ac:dyDescent="0.25">
      <c r="A12519" s="13"/>
    </row>
    <row r="12520" spans="1:1" x14ac:dyDescent="0.25">
      <c r="A12520" s="13"/>
    </row>
    <row r="12521" spans="1:1" x14ac:dyDescent="0.25">
      <c r="A12521" s="13"/>
    </row>
    <row r="12522" spans="1:1" x14ac:dyDescent="0.25">
      <c r="A12522" s="13"/>
    </row>
    <row r="12523" spans="1:1" x14ac:dyDescent="0.25">
      <c r="A12523" s="13"/>
    </row>
    <row r="12524" spans="1:1" x14ac:dyDescent="0.25">
      <c r="A12524" s="13"/>
    </row>
    <row r="12525" spans="1:1" x14ac:dyDescent="0.25">
      <c r="A12525" s="13"/>
    </row>
    <row r="12526" spans="1:1" x14ac:dyDescent="0.25">
      <c r="A12526" s="13"/>
    </row>
    <row r="12527" spans="1:1" x14ac:dyDescent="0.25">
      <c r="A12527" s="13"/>
    </row>
    <row r="12528" spans="1:1" x14ac:dyDescent="0.25">
      <c r="A12528" s="13"/>
    </row>
    <row r="12529" spans="1:1" x14ac:dyDescent="0.25">
      <c r="A12529" s="13"/>
    </row>
    <row r="12530" spans="1:1" x14ac:dyDescent="0.25">
      <c r="A12530" s="13"/>
    </row>
    <row r="12531" spans="1:1" x14ac:dyDescent="0.25">
      <c r="A12531" s="13"/>
    </row>
    <row r="12532" spans="1:1" x14ac:dyDescent="0.25">
      <c r="A12532" s="13"/>
    </row>
    <row r="12533" spans="1:1" x14ac:dyDescent="0.25">
      <c r="A12533" s="13"/>
    </row>
    <row r="12534" spans="1:1" x14ac:dyDescent="0.25">
      <c r="A12534" s="13"/>
    </row>
    <row r="12535" spans="1:1" x14ac:dyDescent="0.25">
      <c r="A12535" s="13"/>
    </row>
    <row r="12536" spans="1:1" x14ac:dyDescent="0.25">
      <c r="A12536" s="13"/>
    </row>
    <row r="12537" spans="1:1" x14ac:dyDescent="0.25">
      <c r="A12537" s="13"/>
    </row>
    <row r="12538" spans="1:1" x14ac:dyDescent="0.25">
      <c r="A12538" s="13"/>
    </row>
    <row r="12539" spans="1:1" x14ac:dyDescent="0.25">
      <c r="A12539" s="13"/>
    </row>
    <row r="12540" spans="1:1" x14ac:dyDescent="0.25">
      <c r="A12540" s="13"/>
    </row>
    <row r="12541" spans="1:1" x14ac:dyDescent="0.25">
      <c r="A12541" s="13"/>
    </row>
    <row r="12542" spans="1:1" x14ac:dyDescent="0.25">
      <c r="A12542" s="13"/>
    </row>
    <row r="12543" spans="1:1" x14ac:dyDescent="0.25">
      <c r="A12543" s="13"/>
    </row>
    <row r="12544" spans="1:1" x14ac:dyDescent="0.25">
      <c r="A12544" s="13"/>
    </row>
    <row r="12545" spans="1:1" x14ac:dyDescent="0.25">
      <c r="A12545" s="13"/>
    </row>
    <row r="12546" spans="1:1" x14ac:dyDescent="0.25">
      <c r="A12546" s="13"/>
    </row>
    <row r="12547" spans="1:1" x14ac:dyDescent="0.25">
      <c r="A12547" s="13"/>
    </row>
    <row r="12548" spans="1:1" x14ac:dyDescent="0.25">
      <c r="A12548" s="13"/>
    </row>
    <row r="12549" spans="1:1" x14ac:dyDescent="0.25">
      <c r="A12549" s="13"/>
    </row>
    <row r="12550" spans="1:1" x14ac:dyDescent="0.25">
      <c r="A12550" s="13"/>
    </row>
    <row r="12551" spans="1:1" x14ac:dyDescent="0.25">
      <c r="A12551" s="13"/>
    </row>
    <row r="12552" spans="1:1" x14ac:dyDescent="0.25">
      <c r="A12552" s="13"/>
    </row>
    <row r="12553" spans="1:1" x14ac:dyDescent="0.25">
      <c r="A12553" s="13"/>
    </row>
    <row r="12554" spans="1:1" x14ac:dyDescent="0.25">
      <c r="A12554" s="13"/>
    </row>
    <row r="12555" spans="1:1" x14ac:dyDescent="0.25">
      <c r="A12555" s="13"/>
    </row>
    <row r="12556" spans="1:1" x14ac:dyDescent="0.25">
      <c r="A12556" s="13"/>
    </row>
    <row r="12557" spans="1:1" x14ac:dyDescent="0.25">
      <c r="A12557" s="13"/>
    </row>
    <row r="12558" spans="1:1" x14ac:dyDescent="0.25">
      <c r="A12558" s="13"/>
    </row>
    <row r="12559" spans="1:1" x14ac:dyDescent="0.25">
      <c r="A12559" s="13"/>
    </row>
    <row r="12560" spans="1:1" x14ac:dyDescent="0.25">
      <c r="A12560" s="13"/>
    </row>
    <row r="12561" spans="1:1" x14ac:dyDescent="0.25">
      <c r="A12561" s="13"/>
    </row>
    <row r="12562" spans="1:1" x14ac:dyDescent="0.25">
      <c r="A12562" s="13"/>
    </row>
    <row r="12563" spans="1:1" x14ac:dyDescent="0.25">
      <c r="A12563" s="13"/>
    </row>
    <row r="12564" spans="1:1" x14ac:dyDescent="0.25">
      <c r="A12564" s="13"/>
    </row>
    <row r="12565" spans="1:1" x14ac:dyDescent="0.25">
      <c r="A12565" s="13"/>
    </row>
    <row r="12566" spans="1:1" x14ac:dyDescent="0.25">
      <c r="A12566" s="13"/>
    </row>
    <row r="12567" spans="1:1" x14ac:dyDescent="0.25">
      <c r="A12567" s="13"/>
    </row>
    <row r="12568" spans="1:1" x14ac:dyDescent="0.25">
      <c r="A12568" s="13"/>
    </row>
    <row r="12569" spans="1:1" x14ac:dyDescent="0.25">
      <c r="A12569" s="13"/>
    </row>
    <row r="12570" spans="1:1" x14ac:dyDescent="0.25">
      <c r="A12570" s="13"/>
    </row>
    <row r="12571" spans="1:1" x14ac:dyDescent="0.25">
      <c r="A12571" s="13"/>
    </row>
    <row r="12572" spans="1:1" x14ac:dyDescent="0.25">
      <c r="A12572" s="13"/>
    </row>
    <row r="12573" spans="1:1" x14ac:dyDescent="0.25">
      <c r="A12573" s="13"/>
    </row>
    <row r="12574" spans="1:1" x14ac:dyDescent="0.25">
      <c r="A12574" s="13"/>
    </row>
    <row r="12575" spans="1:1" x14ac:dyDescent="0.25">
      <c r="A12575" s="13"/>
    </row>
    <row r="12576" spans="1:1" x14ac:dyDescent="0.25">
      <c r="A12576" s="13"/>
    </row>
    <row r="12577" spans="1:1" x14ac:dyDescent="0.25">
      <c r="A12577" s="13"/>
    </row>
    <row r="12578" spans="1:1" x14ac:dyDescent="0.25">
      <c r="A12578" s="13"/>
    </row>
    <row r="12579" spans="1:1" x14ac:dyDescent="0.25">
      <c r="A12579" s="13"/>
    </row>
    <row r="12580" spans="1:1" x14ac:dyDescent="0.25">
      <c r="A12580" s="13"/>
    </row>
    <row r="12581" spans="1:1" x14ac:dyDescent="0.25">
      <c r="A12581" s="13"/>
    </row>
    <row r="12582" spans="1:1" x14ac:dyDescent="0.25">
      <c r="A12582" s="13"/>
    </row>
    <row r="12583" spans="1:1" x14ac:dyDescent="0.25">
      <c r="A12583" s="13"/>
    </row>
    <row r="12584" spans="1:1" x14ac:dyDescent="0.25">
      <c r="A12584" s="13"/>
    </row>
    <row r="12585" spans="1:1" x14ac:dyDescent="0.25">
      <c r="A12585" s="13"/>
    </row>
    <row r="12586" spans="1:1" x14ac:dyDescent="0.25">
      <c r="A12586" s="13"/>
    </row>
    <row r="12587" spans="1:1" x14ac:dyDescent="0.25">
      <c r="A12587" s="13"/>
    </row>
    <row r="12588" spans="1:1" x14ac:dyDescent="0.25">
      <c r="A12588" s="13"/>
    </row>
    <row r="12589" spans="1:1" x14ac:dyDescent="0.25">
      <c r="A12589" s="13"/>
    </row>
    <row r="12590" spans="1:1" x14ac:dyDescent="0.25">
      <c r="A12590" s="13"/>
    </row>
    <row r="12591" spans="1:1" x14ac:dyDescent="0.25">
      <c r="A12591" s="13"/>
    </row>
    <row r="12592" spans="1:1" x14ac:dyDescent="0.25">
      <c r="A12592" s="13"/>
    </row>
    <row r="12593" spans="1:1" x14ac:dyDescent="0.25">
      <c r="A12593" s="13"/>
    </row>
    <row r="12594" spans="1:1" x14ac:dyDescent="0.25">
      <c r="A12594" s="13"/>
    </row>
    <row r="12595" spans="1:1" x14ac:dyDescent="0.25">
      <c r="A12595" s="13"/>
    </row>
    <row r="12596" spans="1:1" x14ac:dyDescent="0.25">
      <c r="A12596" s="13"/>
    </row>
    <row r="12597" spans="1:1" x14ac:dyDescent="0.25">
      <c r="A12597" s="13"/>
    </row>
    <row r="12598" spans="1:1" x14ac:dyDescent="0.25">
      <c r="A12598" s="13"/>
    </row>
    <row r="12599" spans="1:1" x14ac:dyDescent="0.25">
      <c r="A12599" s="13"/>
    </row>
    <row r="12600" spans="1:1" x14ac:dyDescent="0.25">
      <c r="A12600" s="13"/>
    </row>
    <row r="12601" spans="1:1" x14ac:dyDescent="0.25">
      <c r="A12601" s="13"/>
    </row>
    <row r="12602" spans="1:1" x14ac:dyDescent="0.25">
      <c r="A12602" s="13"/>
    </row>
    <row r="12603" spans="1:1" x14ac:dyDescent="0.25">
      <c r="A12603" s="13"/>
    </row>
    <row r="12604" spans="1:1" x14ac:dyDescent="0.25">
      <c r="A12604" s="13"/>
    </row>
    <row r="12605" spans="1:1" x14ac:dyDescent="0.25">
      <c r="A12605" s="13"/>
    </row>
    <row r="12606" spans="1:1" x14ac:dyDescent="0.25">
      <c r="A12606" s="13"/>
    </row>
    <row r="12607" spans="1:1" x14ac:dyDescent="0.25">
      <c r="A12607" s="13"/>
    </row>
    <row r="12608" spans="1:1" x14ac:dyDescent="0.25">
      <c r="A12608" s="13"/>
    </row>
    <row r="12609" spans="1:1" x14ac:dyDescent="0.25">
      <c r="A12609" s="13"/>
    </row>
    <row r="12610" spans="1:1" x14ac:dyDescent="0.25">
      <c r="A12610" s="13"/>
    </row>
    <row r="12611" spans="1:1" x14ac:dyDescent="0.25">
      <c r="A12611" s="13"/>
    </row>
    <row r="12612" spans="1:1" x14ac:dyDescent="0.25">
      <c r="A12612" s="13"/>
    </row>
    <row r="12613" spans="1:1" x14ac:dyDescent="0.25">
      <c r="A12613" s="13"/>
    </row>
    <row r="12614" spans="1:1" x14ac:dyDescent="0.25">
      <c r="A12614" s="13"/>
    </row>
    <row r="12615" spans="1:1" x14ac:dyDescent="0.25">
      <c r="A12615" s="13"/>
    </row>
    <row r="12616" spans="1:1" x14ac:dyDescent="0.25">
      <c r="A12616" s="13"/>
    </row>
    <row r="12617" spans="1:1" x14ac:dyDescent="0.25">
      <c r="A12617" s="13"/>
    </row>
    <row r="12618" spans="1:1" x14ac:dyDescent="0.25">
      <c r="A12618" s="13"/>
    </row>
    <row r="12619" spans="1:1" x14ac:dyDescent="0.25">
      <c r="A12619" s="13"/>
    </row>
    <row r="12620" spans="1:1" x14ac:dyDescent="0.25">
      <c r="A12620" s="13"/>
    </row>
    <row r="12621" spans="1:1" x14ac:dyDescent="0.25">
      <c r="A12621" s="13"/>
    </row>
    <row r="12622" spans="1:1" x14ac:dyDescent="0.25">
      <c r="A12622" s="13"/>
    </row>
    <row r="12623" spans="1:1" x14ac:dyDescent="0.25">
      <c r="A12623" s="13"/>
    </row>
    <row r="12624" spans="1:1" x14ac:dyDescent="0.25">
      <c r="A12624" s="13"/>
    </row>
    <row r="12625" spans="1:1" x14ac:dyDescent="0.25">
      <c r="A12625" s="13"/>
    </row>
    <row r="12626" spans="1:1" x14ac:dyDescent="0.25">
      <c r="A12626" s="13"/>
    </row>
    <row r="12627" spans="1:1" x14ac:dyDescent="0.25">
      <c r="A12627" s="13"/>
    </row>
    <row r="12628" spans="1:1" x14ac:dyDescent="0.25">
      <c r="A12628" s="13"/>
    </row>
    <row r="12629" spans="1:1" x14ac:dyDescent="0.25">
      <c r="A12629" s="13"/>
    </row>
    <row r="12630" spans="1:1" x14ac:dyDescent="0.25">
      <c r="A12630" s="13"/>
    </row>
    <row r="12631" spans="1:1" x14ac:dyDescent="0.25">
      <c r="A12631" s="13"/>
    </row>
    <row r="12632" spans="1:1" x14ac:dyDescent="0.25">
      <c r="A12632" s="13"/>
    </row>
    <row r="12633" spans="1:1" x14ac:dyDescent="0.25">
      <c r="A12633" s="13"/>
    </row>
    <row r="12634" spans="1:1" x14ac:dyDescent="0.25">
      <c r="A12634" s="13"/>
    </row>
    <row r="12635" spans="1:1" x14ac:dyDescent="0.25">
      <c r="A12635" s="13"/>
    </row>
    <row r="12636" spans="1:1" x14ac:dyDescent="0.25">
      <c r="A12636" s="13"/>
    </row>
    <row r="12637" spans="1:1" x14ac:dyDescent="0.25">
      <c r="A12637" s="13"/>
    </row>
    <row r="12638" spans="1:1" x14ac:dyDescent="0.25">
      <c r="A12638" s="13"/>
    </row>
    <row r="12639" spans="1:1" x14ac:dyDescent="0.25">
      <c r="A12639" s="13"/>
    </row>
    <row r="12640" spans="1:1" x14ac:dyDescent="0.25">
      <c r="A12640" s="13"/>
    </row>
    <row r="12641" spans="1:1" x14ac:dyDescent="0.25">
      <c r="A12641" s="13"/>
    </row>
    <row r="12642" spans="1:1" x14ac:dyDescent="0.25">
      <c r="A12642" s="13"/>
    </row>
    <row r="12643" spans="1:1" x14ac:dyDescent="0.25">
      <c r="A12643" s="13"/>
    </row>
    <row r="12644" spans="1:1" x14ac:dyDescent="0.25">
      <c r="A12644" s="13"/>
    </row>
    <row r="12645" spans="1:1" x14ac:dyDescent="0.25">
      <c r="A12645" s="13"/>
    </row>
    <row r="12646" spans="1:1" x14ac:dyDescent="0.25">
      <c r="A12646" s="13"/>
    </row>
    <row r="12647" spans="1:1" x14ac:dyDescent="0.25">
      <c r="A12647" s="13"/>
    </row>
    <row r="12648" spans="1:1" x14ac:dyDescent="0.25">
      <c r="A12648" s="13"/>
    </row>
    <row r="12649" spans="1:1" x14ac:dyDescent="0.25">
      <c r="A12649" s="13"/>
    </row>
    <row r="12650" spans="1:1" x14ac:dyDescent="0.25">
      <c r="A12650" s="13"/>
    </row>
    <row r="12651" spans="1:1" x14ac:dyDescent="0.25">
      <c r="A12651" s="13"/>
    </row>
    <row r="12652" spans="1:1" x14ac:dyDescent="0.25">
      <c r="A12652" s="13"/>
    </row>
    <row r="12653" spans="1:1" x14ac:dyDescent="0.25">
      <c r="A12653" s="13"/>
    </row>
    <row r="12654" spans="1:1" x14ac:dyDescent="0.25">
      <c r="A12654" s="13"/>
    </row>
    <row r="12655" spans="1:1" x14ac:dyDescent="0.25">
      <c r="A12655" s="13"/>
    </row>
    <row r="12656" spans="1:1" x14ac:dyDescent="0.25">
      <c r="A12656" s="13"/>
    </row>
    <row r="12657" spans="1:1" x14ac:dyDescent="0.25">
      <c r="A12657" s="13"/>
    </row>
    <row r="12658" spans="1:1" x14ac:dyDescent="0.25">
      <c r="A12658" s="13"/>
    </row>
    <row r="12659" spans="1:1" x14ac:dyDescent="0.25">
      <c r="A12659" s="13"/>
    </row>
    <row r="12660" spans="1:1" x14ac:dyDescent="0.25">
      <c r="A12660" s="13"/>
    </row>
    <row r="12661" spans="1:1" x14ac:dyDescent="0.25">
      <c r="A12661" s="13"/>
    </row>
    <row r="12662" spans="1:1" x14ac:dyDescent="0.25">
      <c r="A12662" s="13"/>
    </row>
    <row r="12663" spans="1:1" x14ac:dyDescent="0.25">
      <c r="A12663" s="13"/>
    </row>
    <row r="12664" spans="1:1" x14ac:dyDescent="0.25">
      <c r="A12664" s="13"/>
    </row>
    <row r="12665" spans="1:1" x14ac:dyDescent="0.25">
      <c r="A12665" s="13"/>
    </row>
    <row r="12666" spans="1:1" x14ac:dyDescent="0.25">
      <c r="A12666" s="13"/>
    </row>
    <row r="12667" spans="1:1" x14ac:dyDescent="0.25">
      <c r="A12667" s="13"/>
    </row>
    <row r="12668" spans="1:1" x14ac:dyDescent="0.25">
      <c r="A12668" s="13"/>
    </row>
    <row r="12669" spans="1:1" x14ac:dyDescent="0.25">
      <c r="A12669" s="13"/>
    </row>
    <row r="12670" spans="1:1" x14ac:dyDescent="0.25">
      <c r="A12670" s="13"/>
    </row>
    <row r="12671" spans="1:1" x14ac:dyDescent="0.25">
      <c r="A12671" s="13"/>
    </row>
    <row r="12672" spans="1:1" x14ac:dyDescent="0.25">
      <c r="A12672" s="13"/>
    </row>
    <row r="12673" spans="1:1" x14ac:dyDescent="0.25">
      <c r="A12673" s="13"/>
    </row>
    <row r="12674" spans="1:1" x14ac:dyDescent="0.25">
      <c r="A12674" s="13"/>
    </row>
    <row r="12675" spans="1:1" x14ac:dyDescent="0.25">
      <c r="A12675" s="13"/>
    </row>
    <row r="12676" spans="1:1" x14ac:dyDescent="0.25">
      <c r="A12676" s="13"/>
    </row>
    <row r="12677" spans="1:1" x14ac:dyDescent="0.25">
      <c r="A12677" s="13"/>
    </row>
    <row r="12678" spans="1:1" x14ac:dyDescent="0.25">
      <c r="A12678" s="13"/>
    </row>
    <row r="12679" spans="1:1" x14ac:dyDescent="0.25">
      <c r="A12679" s="13"/>
    </row>
    <row r="12680" spans="1:1" x14ac:dyDescent="0.25">
      <c r="A12680" s="13"/>
    </row>
    <row r="12681" spans="1:1" x14ac:dyDescent="0.25">
      <c r="A12681" s="13"/>
    </row>
    <row r="12682" spans="1:1" x14ac:dyDescent="0.25">
      <c r="A12682" s="13"/>
    </row>
    <row r="12683" spans="1:1" x14ac:dyDescent="0.25">
      <c r="A12683" s="13"/>
    </row>
    <row r="12684" spans="1:1" x14ac:dyDescent="0.25">
      <c r="A12684" s="13"/>
    </row>
    <row r="12685" spans="1:1" x14ac:dyDescent="0.25">
      <c r="A12685" s="13"/>
    </row>
    <row r="12686" spans="1:1" x14ac:dyDescent="0.25">
      <c r="A12686" s="13"/>
    </row>
    <row r="12687" spans="1:1" x14ac:dyDescent="0.25">
      <c r="A12687" s="13"/>
    </row>
    <row r="12688" spans="1:1" x14ac:dyDescent="0.25">
      <c r="A12688" s="13"/>
    </row>
    <row r="12689" spans="1:1" x14ac:dyDescent="0.25">
      <c r="A12689" s="13"/>
    </row>
    <row r="12690" spans="1:1" x14ac:dyDescent="0.25">
      <c r="A12690" s="13"/>
    </row>
    <row r="12691" spans="1:1" x14ac:dyDescent="0.25">
      <c r="A12691" s="13"/>
    </row>
    <row r="12692" spans="1:1" x14ac:dyDescent="0.25">
      <c r="A12692" s="13"/>
    </row>
    <row r="12693" spans="1:1" x14ac:dyDescent="0.25">
      <c r="A12693" s="13"/>
    </row>
    <row r="12694" spans="1:1" x14ac:dyDescent="0.25">
      <c r="A12694" s="13"/>
    </row>
    <row r="12695" spans="1:1" x14ac:dyDescent="0.25">
      <c r="A12695" s="13"/>
    </row>
    <row r="12696" spans="1:1" x14ac:dyDescent="0.25">
      <c r="A12696" s="13"/>
    </row>
    <row r="12697" spans="1:1" x14ac:dyDescent="0.25">
      <c r="A12697" s="13"/>
    </row>
    <row r="12698" spans="1:1" x14ac:dyDescent="0.25">
      <c r="A12698" s="13"/>
    </row>
    <row r="12699" spans="1:1" x14ac:dyDescent="0.25">
      <c r="A12699" s="13"/>
    </row>
    <row r="12700" spans="1:1" x14ac:dyDescent="0.25">
      <c r="A12700" s="13"/>
    </row>
    <row r="12701" spans="1:1" x14ac:dyDescent="0.25">
      <c r="A12701" s="13"/>
    </row>
    <row r="12702" spans="1:1" x14ac:dyDescent="0.25">
      <c r="A12702" s="13"/>
    </row>
    <row r="12703" spans="1:1" x14ac:dyDescent="0.25">
      <c r="A12703" s="13"/>
    </row>
    <row r="12704" spans="1:1" x14ac:dyDescent="0.25">
      <c r="A12704" s="13"/>
    </row>
    <row r="12705" spans="1:1" x14ac:dyDescent="0.25">
      <c r="A12705" s="13"/>
    </row>
    <row r="12706" spans="1:1" x14ac:dyDescent="0.25">
      <c r="A12706" s="13"/>
    </row>
    <row r="12707" spans="1:1" x14ac:dyDescent="0.25">
      <c r="A12707" s="13"/>
    </row>
    <row r="12708" spans="1:1" x14ac:dyDescent="0.25">
      <c r="A12708" s="13"/>
    </row>
    <row r="12709" spans="1:1" x14ac:dyDescent="0.25">
      <c r="A12709" s="13"/>
    </row>
    <row r="12710" spans="1:1" x14ac:dyDescent="0.25">
      <c r="A12710" s="13"/>
    </row>
    <row r="12711" spans="1:1" x14ac:dyDescent="0.25">
      <c r="A12711" s="13"/>
    </row>
    <row r="12712" spans="1:1" x14ac:dyDescent="0.25">
      <c r="A12712" s="13"/>
    </row>
    <row r="12713" spans="1:1" x14ac:dyDescent="0.25">
      <c r="A12713" s="13"/>
    </row>
    <row r="12714" spans="1:1" x14ac:dyDescent="0.25">
      <c r="A12714" s="13"/>
    </row>
    <row r="12715" spans="1:1" x14ac:dyDescent="0.25">
      <c r="A12715" s="13"/>
    </row>
    <row r="12716" spans="1:1" x14ac:dyDescent="0.25">
      <c r="A12716" s="13"/>
    </row>
    <row r="12717" spans="1:1" x14ac:dyDescent="0.25">
      <c r="A12717" s="13"/>
    </row>
    <row r="12718" spans="1:1" x14ac:dyDescent="0.25">
      <c r="A12718" s="13"/>
    </row>
    <row r="12719" spans="1:1" x14ac:dyDescent="0.25">
      <c r="A12719" s="13"/>
    </row>
    <row r="12720" spans="1:1" x14ac:dyDescent="0.25">
      <c r="A12720" s="13"/>
    </row>
    <row r="12721" spans="1:1" x14ac:dyDescent="0.25">
      <c r="A12721" s="13"/>
    </row>
    <row r="12722" spans="1:1" x14ac:dyDescent="0.25">
      <c r="A12722" s="13"/>
    </row>
    <row r="12723" spans="1:1" x14ac:dyDescent="0.25">
      <c r="A12723" s="13"/>
    </row>
    <row r="12724" spans="1:1" x14ac:dyDescent="0.25">
      <c r="A12724" s="13"/>
    </row>
    <row r="12725" spans="1:1" x14ac:dyDescent="0.25">
      <c r="A12725" s="13"/>
    </row>
    <row r="12726" spans="1:1" x14ac:dyDescent="0.25">
      <c r="A12726" s="13"/>
    </row>
    <row r="12727" spans="1:1" x14ac:dyDescent="0.25">
      <c r="A12727" s="13"/>
    </row>
    <row r="12728" spans="1:1" x14ac:dyDescent="0.25">
      <c r="A12728" s="13"/>
    </row>
    <row r="12729" spans="1:1" x14ac:dyDescent="0.25">
      <c r="A12729" s="13"/>
    </row>
    <row r="12730" spans="1:1" x14ac:dyDescent="0.25">
      <c r="A12730" s="13"/>
    </row>
    <row r="12731" spans="1:1" x14ac:dyDescent="0.25">
      <c r="A12731" s="13"/>
    </row>
    <row r="12732" spans="1:1" x14ac:dyDescent="0.25">
      <c r="A12732" s="13"/>
    </row>
    <row r="12733" spans="1:1" x14ac:dyDescent="0.25">
      <c r="A12733" s="13"/>
    </row>
    <row r="12734" spans="1:1" x14ac:dyDescent="0.25">
      <c r="A12734" s="13"/>
    </row>
    <row r="12735" spans="1:1" x14ac:dyDescent="0.25">
      <c r="A12735" s="13"/>
    </row>
    <row r="12736" spans="1:1" x14ac:dyDescent="0.25">
      <c r="A12736" s="13"/>
    </row>
    <row r="12737" spans="1:1" x14ac:dyDescent="0.25">
      <c r="A12737" s="13"/>
    </row>
    <row r="12738" spans="1:1" x14ac:dyDescent="0.25">
      <c r="A12738" s="13"/>
    </row>
    <row r="12739" spans="1:1" x14ac:dyDescent="0.25">
      <c r="A12739" s="13"/>
    </row>
    <row r="12740" spans="1:1" x14ac:dyDescent="0.25">
      <c r="A12740" s="13"/>
    </row>
    <row r="12741" spans="1:1" x14ac:dyDescent="0.25">
      <c r="A12741" s="13"/>
    </row>
    <row r="12742" spans="1:1" x14ac:dyDescent="0.25">
      <c r="A12742" s="13"/>
    </row>
    <row r="12743" spans="1:1" x14ac:dyDescent="0.25">
      <c r="A12743" s="13"/>
    </row>
    <row r="12744" spans="1:1" x14ac:dyDescent="0.25">
      <c r="A12744" s="13"/>
    </row>
    <row r="12745" spans="1:1" x14ac:dyDescent="0.25">
      <c r="A12745" s="13"/>
    </row>
    <row r="12746" spans="1:1" x14ac:dyDescent="0.25">
      <c r="A12746" s="13"/>
    </row>
    <row r="12747" spans="1:1" x14ac:dyDescent="0.25">
      <c r="A12747" s="13"/>
    </row>
    <row r="12748" spans="1:1" x14ac:dyDescent="0.25">
      <c r="A12748" s="13"/>
    </row>
    <row r="12749" spans="1:1" x14ac:dyDescent="0.25">
      <c r="A12749" s="13"/>
    </row>
    <row r="12750" spans="1:1" x14ac:dyDescent="0.25">
      <c r="A12750" s="13"/>
    </row>
    <row r="12751" spans="1:1" x14ac:dyDescent="0.25">
      <c r="A12751" s="13"/>
    </row>
    <row r="12752" spans="1:1" x14ac:dyDescent="0.25">
      <c r="A12752" s="13"/>
    </row>
    <row r="12753" spans="1:1" x14ac:dyDescent="0.25">
      <c r="A12753" s="13"/>
    </row>
    <row r="12754" spans="1:1" x14ac:dyDescent="0.25">
      <c r="A12754" s="13"/>
    </row>
    <row r="12755" spans="1:1" x14ac:dyDescent="0.25">
      <c r="A12755" s="13"/>
    </row>
    <row r="12756" spans="1:1" x14ac:dyDescent="0.25">
      <c r="A12756" s="13"/>
    </row>
    <row r="12757" spans="1:1" x14ac:dyDescent="0.25">
      <c r="A12757" s="13"/>
    </row>
    <row r="12758" spans="1:1" x14ac:dyDescent="0.25">
      <c r="A12758" s="13"/>
    </row>
    <row r="12759" spans="1:1" x14ac:dyDescent="0.25">
      <c r="A12759" s="13"/>
    </row>
    <row r="12760" spans="1:1" x14ac:dyDescent="0.25">
      <c r="A12760" s="13"/>
    </row>
    <row r="12761" spans="1:1" x14ac:dyDescent="0.25">
      <c r="A12761" s="13"/>
    </row>
    <row r="12762" spans="1:1" x14ac:dyDescent="0.25">
      <c r="A12762" s="13"/>
    </row>
    <row r="12763" spans="1:1" x14ac:dyDescent="0.25">
      <c r="A12763" s="13"/>
    </row>
    <row r="12764" spans="1:1" x14ac:dyDescent="0.25">
      <c r="A12764" s="13"/>
    </row>
    <row r="12765" spans="1:1" x14ac:dyDescent="0.25">
      <c r="A12765" s="13"/>
    </row>
    <row r="12766" spans="1:1" x14ac:dyDescent="0.25">
      <c r="A12766" s="13"/>
    </row>
    <row r="12767" spans="1:1" x14ac:dyDescent="0.25">
      <c r="A12767" s="13"/>
    </row>
    <row r="12768" spans="1:1" x14ac:dyDescent="0.25">
      <c r="A12768" s="13"/>
    </row>
    <row r="12769" spans="1:1" x14ac:dyDescent="0.25">
      <c r="A12769" s="13"/>
    </row>
    <row r="12770" spans="1:1" x14ac:dyDescent="0.25">
      <c r="A12770" s="13"/>
    </row>
    <row r="12771" spans="1:1" x14ac:dyDescent="0.25">
      <c r="A12771" s="13"/>
    </row>
    <row r="12772" spans="1:1" x14ac:dyDescent="0.25">
      <c r="A12772" s="13"/>
    </row>
    <row r="12773" spans="1:1" x14ac:dyDescent="0.25">
      <c r="A12773" s="13"/>
    </row>
    <row r="12774" spans="1:1" x14ac:dyDescent="0.25">
      <c r="A12774" s="13"/>
    </row>
    <row r="12775" spans="1:1" x14ac:dyDescent="0.25">
      <c r="A12775" s="13"/>
    </row>
    <row r="12776" spans="1:1" x14ac:dyDescent="0.25">
      <c r="A12776" s="13"/>
    </row>
    <row r="12777" spans="1:1" x14ac:dyDescent="0.25">
      <c r="A12777" s="13"/>
    </row>
    <row r="12778" spans="1:1" x14ac:dyDescent="0.25">
      <c r="A12778" s="13"/>
    </row>
    <row r="12779" spans="1:1" x14ac:dyDescent="0.25">
      <c r="A12779" s="13"/>
    </row>
    <row r="12780" spans="1:1" x14ac:dyDescent="0.25">
      <c r="A12780" s="13"/>
    </row>
    <row r="12781" spans="1:1" x14ac:dyDescent="0.25">
      <c r="A12781" s="13"/>
    </row>
    <row r="12782" spans="1:1" x14ac:dyDescent="0.25">
      <c r="A12782" s="13"/>
    </row>
    <row r="12783" spans="1:1" x14ac:dyDescent="0.25">
      <c r="A12783" s="13"/>
    </row>
    <row r="12784" spans="1:1" x14ac:dyDescent="0.25">
      <c r="A12784" s="13"/>
    </row>
    <row r="12785" spans="1:1" x14ac:dyDescent="0.25">
      <c r="A12785" s="13"/>
    </row>
    <row r="12786" spans="1:1" x14ac:dyDescent="0.25">
      <c r="A12786" s="13"/>
    </row>
    <row r="12787" spans="1:1" x14ac:dyDescent="0.25">
      <c r="A12787" s="13"/>
    </row>
    <row r="12788" spans="1:1" x14ac:dyDescent="0.25">
      <c r="A12788" s="13"/>
    </row>
    <row r="12789" spans="1:1" x14ac:dyDescent="0.25">
      <c r="A12789" s="13"/>
    </row>
    <row r="12790" spans="1:1" x14ac:dyDescent="0.25">
      <c r="A12790" s="13"/>
    </row>
    <row r="12791" spans="1:1" x14ac:dyDescent="0.25">
      <c r="A12791" s="13"/>
    </row>
    <row r="12792" spans="1:1" x14ac:dyDescent="0.25">
      <c r="A12792" s="13"/>
    </row>
    <row r="12793" spans="1:1" x14ac:dyDescent="0.25">
      <c r="A12793" s="13"/>
    </row>
    <row r="12794" spans="1:1" x14ac:dyDescent="0.25">
      <c r="A12794" s="13"/>
    </row>
    <row r="12795" spans="1:1" x14ac:dyDescent="0.25">
      <c r="A12795" s="13"/>
    </row>
    <row r="12796" spans="1:1" x14ac:dyDescent="0.25">
      <c r="A12796" s="13"/>
    </row>
    <row r="12797" spans="1:1" x14ac:dyDescent="0.25">
      <c r="A12797" s="13"/>
    </row>
    <row r="12798" spans="1:1" x14ac:dyDescent="0.25">
      <c r="A12798" s="13"/>
    </row>
    <row r="12799" spans="1:1" x14ac:dyDescent="0.25">
      <c r="A12799" s="13"/>
    </row>
    <row r="12800" spans="1:1" x14ac:dyDescent="0.25">
      <c r="A12800" s="13"/>
    </row>
    <row r="12801" spans="1:1" x14ac:dyDescent="0.25">
      <c r="A12801" s="13"/>
    </row>
    <row r="12802" spans="1:1" x14ac:dyDescent="0.25">
      <c r="A12802" s="13"/>
    </row>
    <row r="12803" spans="1:1" x14ac:dyDescent="0.25">
      <c r="A12803" s="13"/>
    </row>
    <row r="12804" spans="1:1" x14ac:dyDescent="0.25">
      <c r="A12804" s="13"/>
    </row>
    <row r="12805" spans="1:1" x14ac:dyDescent="0.25">
      <c r="A12805" s="13"/>
    </row>
    <row r="12806" spans="1:1" x14ac:dyDescent="0.25">
      <c r="A12806" s="13"/>
    </row>
    <row r="12807" spans="1:1" x14ac:dyDescent="0.25">
      <c r="A12807" s="13"/>
    </row>
    <row r="12808" spans="1:1" x14ac:dyDescent="0.25">
      <c r="A12808" s="13"/>
    </row>
    <row r="12809" spans="1:1" x14ac:dyDescent="0.25">
      <c r="A12809" s="13"/>
    </row>
    <row r="12810" spans="1:1" x14ac:dyDescent="0.25">
      <c r="A12810" s="13"/>
    </row>
    <row r="12811" spans="1:1" x14ac:dyDescent="0.25">
      <c r="A12811" s="13"/>
    </row>
    <row r="12812" spans="1:1" x14ac:dyDescent="0.25">
      <c r="A12812" s="13"/>
    </row>
    <row r="12813" spans="1:1" x14ac:dyDescent="0.25">
      <c r="A12813" s="13"/>
    </row>
    <row r="12814" spans="1:1" x14ac:dyDescent="0.25">
      <c r="A12814" s="13"/>
    </row>
    <row r="12815" spans="1:1" x14ac:dyDescent="0.25">
      <c r="A12815" s="13"/>
    </row>
    <row r="12816" spans="1:1" x14ac:dyDescent="0.25">
      <c r="A12816" s="13"/>
    </row>
    <row r="12817" spans="1:1" x14ac:dyDescent="0.25">
      <c r="A12817" s="13"/>
    </row>
    <row r="12818" spans="1:1" x14ac:dyDescent="0.25">
      <c r="A12818" s="13"/>
    </row>
    <row r="12819" spans="1:1" x14ac:dyDescent="0.25">
      <c r="A12819" s="13"/>
    </row>
    <row r="12820" spans="1:1" x14ac:dyDescent="0.25">
      <c r="A12820" s="13"/>
    </row>
    <row r="12821" spans="1:1" x14ac:dyDescent="0.25">
      <c r="A12821" s="13"/>
    </row>
    <row r="12822" spans="1:1" x14ac:dyDescent="0.25">
      <c r="A12822" s="13"/>
    </row>
    <row r="12823" spans="1:1" x14ac:dyDescent="0.25">
      <c r="A12823" s="13"/>
    </row>
    <row r="12824" spans="1:1" x14ac:dyDescent="0.25">
      <c r="A12824" s="13"/>
    </row>
    <row r="12825" spans="1:1" x14ac:dyDescent="0.25">
      <c r="A12825" s="13"/>
    </row>
    <row r="12826" spans="1:1" x14ac:dyDescent="0.25">
      <c r="A12826" s="13"/>
    </row>
    <row r="12827" spans="1:1" x14ac:dyDescent="0.25">
      <c r="A12827" s="13"/>
    </row>
    <row r="12828" spans="1:1" x14ac:dyDescent="0.25">
      <c r="A12828" s="13"/>
    </row>
    <row r="12829" spans="1:1" x14ac:dyDescent="0.25">
      <c r="A12829" s="13"/>
    </row>
    <row r="12830" spans="1:1" x14ac:dyDescent="0.25">
      <c r="A12830" s="13"/>
    </row>
    <row r="12831" spans="1:1" x14ac:dyDescent="0.25">
      <c r="A12831" s="13"/>
    </row>
    <row r="12832" spans="1:1" x14ac:dyDescent="0.25">
      <c r="A12832" s="13"/>
    </row>
    <row r="12833" spans="1:1" x14ac:dyDescent="0.25">
      <c r="A12833" s="13"/>
    </row>
    <row r="12834" spans="1:1" x14ac:dyDescent="0.25">
      <c r="A12834" s="13"/>
    </row>
    <row r="12835" spans="1:1" x14ac:dyDescent="0.25">
      <c r="A12835" s="13"/>
    </row>
    <row r="12836" spans="1:1" x14ac:dyDescent="0.25">
      <c r="A12836" s="13"/>
    </row>
    <row r="12837" spans="1:1" x14ac:dyDescent="0.25">
      <c r="A12837" s="13"/>
    </row>
    <row r="12838" spans="1:1" x14ac:dyDescent="0.25">
      <c r="A12838" s="13"/>
    </row>
    <row r="12839" spans="1:1" x14ac:dyDescent="0.25">
      <c r="A12839" s="13"/>
    </row>
    <row r="12840" spans="1:1" x14ac:dyDescent="0.25">
      <c r="A12840" s="13"/>
    </row>
    <row r="12841" spans="1:1" x14ac:dyDescent="0.25">
      <c r="A12841" s="13"/>
    </row>
    <row r="12842" spans="1:1" x14ac:dyDescent="0.25">
      <c r="A12842" s="13"/>
    </row>
    <row r="12843" spans="1:1" x14ac:dyDescent="0.25">
      <c r="A12843" s="13"/>
    </row>
    <row r="12844" spans="1:1" x14ac:dyDescent="0.25">
      <c r="A12844" s="13"/>
    </row>
    <row r="12845" spans="1:1" x14ac:dyDescent="0.25">
      <c r="A12845" s="13"/>
    </row>
    <row r="12846" spans="1:1" x14ac:dyDescent="0.25">
      <c r="A12846" s="13"/>
    </row>
    <row r="12847" spans="1:1" x14ac:dyDescent="0.25">
      <c r="A12847" s="13"/>
    </row>
    <row r="12848" spans="1:1" x14ac:dyDescent="0.25">
      <c r="A12848" s="13"/>
    </row>
    <row r="12849" spans="1:1" x14ac:dyDescent="0.25">
      <c r="A12849" s="13"/>
    </row>
    <row r="12850" spans="1:1" x14ac:dyDescent="0.25">
      <c r="A12850" s="13"/>
    </row>
    <row r="12851" spans="1:1" x14ac:dyDescent="0.25">
      <c r="A12851" s="13"/>
    </row>
    <row r="12852" spans="1:1" x14ac:dyDescent="0.25">
      <c r="A12852" s="13"/>
    </row>
    <row r="12853" spans="1:1" x14ac:dyDescent="0.25">
      <c r="A12853" s="13"/>
    </row>
    <row r="12854" spans="1:1" x14ac:dyDescent="0.25">
      <c r="A12854" s="13"/>
    </row>
    <row r="12855" spans="1:1" x14ac:dyDescent="0.25">
      <c r="A12855" s="13"/>
    </row>
    <row r="12856" spans="1:1" x14ac:dyDescent="0.25">
      <c r="A12856" s="13"/>
    </row>
    <row r="12857" spans="1:1" x14ac:dyDescent="0.25">
      <c r="A12857" s="13"/>
    </row>
    <row r="12858" spans="1:1" x14ac:dyDescent="0.25">
      <c r="A12858" s="13"/>
    </row>
    <row r="12859" spans="1:1" x14ac:dyDescent="0.25">
      <c r="A12859" s="13"/>
    </row>
    <row r="12860" spans="1:1" x14ac:dyDescent="0.25">
      <c r="A12860" s="13"/>
    </row>
    <row r="12861" spans="1:1" x14ac:dyDescent="0.25">
      <c r="A12861" s="13"/>
    </row>
    <row r="12862" spans="1:1" x14ac:dyDescent="0.25">
      <c r="A12862" s="13"/>
    </row>
    <row r="12863" spans="1:1" x14ac:dyDescent="0.25">
      <c r="A12863" s="13"/>
    </row>
    <row r="12864" spans="1:1" x14ac:dyDescent="0.25">
      <c r="A12864" s="13"/>
    </row>
    <row r="12865" spans="1:1" x14ac:dyDescent="0.25">
      <c r="A12865" s="13"/>
    </row>
    <row r="12866" spans="1:1" x14ac:dyDescent="0.25">
      <c r="A12866" s="13"/>
    </row>
    <row r="12867" spans="1:1" x14ac:dyDescent="0.25">
      <c r="A12867" s="13"/>
    </row>
    <row r="12868" spans="1:1" x14ac:dyDescent="0.25">
      <c r="A12868" s="13"/>
    </row>
    <row r="12869" spans="1:1" x14ac:dyDescent="0.25">
      <c r="A12869" s="13"/>
    </row>
    <row r="12870" spans="1:1" x14ac:dyDescent="0.25">
      <c r="A12870" s="13"/>
    </row>
    <row r="12871" spans="1:1" x14ac:dyDescent="0.25">
      <c r="A12871" s="13"/>
    </row>
    <row r="12872" spans="1:1" x14ac:dyDescent="0.25">
      <c r="A12872" s="13"/>
    </row>
    <row r="12873" spans="1:1" x14ac:dyDescent="0.25">
      <c r="A12873" s="13"/>
    </row>
    <row r="12874" spans="1:1" x14ac:dyDescent="0.25">
      <c r="A12874" s="13"/>
    </row>
    <row r="12875" spans="1:1" x14ac:dyDescent="0.25">
      <c r="A12875" s="13"/>
    </row>
    <row r="12876" spans="1:1" x14ac:dyDescent="0.25">
      <c r="A12876" s="13"/>
    </row>
    <row r="12877" spans="1:1" x14ac:dyDescent="0.25">
      <c r="A12877" s="13"/>
    </row>
    <row r="12878" spans="1:1" x14ac:dyDescent="0.25">
      <c r="A12878" s="13"/>
    </row>
    <row r="12879" spans="1:1" x14ac:dyDescent="0.25">
      <c r="A12879" s="13"/>
    </row>
    <row r="12880" spans="1:1" x14ac:dyDescent="0.25">
      <c r="A12880" s="13"/>
    </row>
    <row r="12881" spans="1:1" x14ac:dyDescent="0.25">
      <c r="A12881" s="13"/>
    </row>
    <row r="12882" spans="1:1" x14ac:dyDescent="0.25">
      <c r="A12882" s="13"/>
    </row>
    <row r="12883" spans="1:1" x14ac:dyDescent="0.25">
      <c r="A12883" s="13"/>
    </row>
    <row r="12884" spans="1:1" x14ac:dyDescent="0.25">
      <c r="A12884" s="13"/>
    </row>
    <row r="12885" spans="1:1" x14ac:dyDescent="0.25">
      <c r="A12885" s="13"/>
    </row>
    <row r="12886" spans="1:1" x14ac:dyDescent="0.25">
      <c r="A12886" s="13"/>
    </row>
    <row r="12887" spans="1:1" x14ac:dyDescent="0.25">
      <c r="A12887" s="13"/>
    </row>
    <row r="12888" spans="1:1" x14ac:dyDescent="0.25">
      <c r="A12888" s="13"/>
    </row>
    <row r="12889" spans="1:1" x14ac:dyDescent="0.25">
      <c r="A12889" s="13"/>
    </row>
    <row r="12890" spans="1:1" x14ac:dyDescent="0.25">
      <c r="A12890" s="13"/>
    </row>
    <row r="12891" spans="1:1" x14ac:dyDescent="0.25">
      <c r="A12891" s="13"/>
    </row>
    <row r="12892" spans="1:1" x14ac:dyDescent="0.25">
      <c r="A12892" s="13"/>
    </row>
    <row r="12893" spans="1:1" x14ac:dyDescent="0.25">
      <c r="A12893" s="13"/>
    </row>
    <row r="12894" spans="1:1" x14ac:dyDescent="0.25">
      <c r="A12894" s="13"/>
    </row>
    <row r="12895" spans="1:1" x14ac:dyDescent="0.25">
      <c r="A12895" s="13"/>
    </row>
    <row r="12896" spans="1:1" x14ac:dyDescent="0.25">
      <c r="A12896" s="13"/>
    </row>
    <row r="12897" spans="1:1" x14ac:dyDescent="0.25">
      <c r="A12897" s="13"/>
    </row>
    <row r="12898" spans="1:1" x14ac:dyDescent="0.25">
      <c r="A12898" s="13"/>
    </row>
    <row r="12899" spans="1:1" x14ac:dyDescent="0.25">
      <c r="A12899" s="13"/>
    </row>
    <row r="12900" spans="1:1" x14ac:dyDescent="0.25">
      <c r="A12900" s="13"/>
    </row>
    <row r="12901" spans="1:1" x14ac:dyDescent="0.25">
      <c r="A12901" s="13"/>
    </row>
    <row r="12902" spans="1:1" x14ac:dyDescent="0.25">
      <c r="A12902" s="13"/>
    </row>
    <row r="12903" spans="1:1" x14ac:dyDescent="0.25">
      <c r="A12903" s="13"/>
    </row>
    <row r="12904" spans="1:1" x14ac:dyDescent="0.25">
      <c r="A12904" s="13"/>
    </row>
    <row r="12905" spans="1:1" x14ac:dyDescent="0.25">
      <c r="A12905" s="13"/>
    </row>
    <row r="12906" spans="1:1" x14ac:dyDescent="0.25">
      <c r="A12906" s="13"/>
    </row>
    <row r="12907" spans="1:1" x14ac:dyDescent="0.25">
      <c r="A12907" s="13"/>
    </row>
    <row r="12908" spans="1:1" x14ac:dyDescent="0.25">
      <c r="A12908" s="13"/>
    </row>
    <row r="12909" spans="1:1" x14ac:dyDescent="0.25">
      <c r="A12909" s="13"/>
    </row>
    <row r="12910" spans="1:1" x14ac:dyDescent="0.25">
      <c r="A12910" s="13"/>
    </row>
    <row r="12911" spans="1:1" x14ac:dyDescent="0.25">
      <c r="A12911" s="13"/>
    </row>
    <row r="12912" spans="1:1" x14ac:dyDescent="0.25">
      <c r="A12912" s="13"/>
    </row>
    <row r="12913" spans="1:1" x14ac:dyDescent="0.25">
      <c r="A12913" s="13"/>
    </row>
    <row r="12914" spans="1:1" x14ac:dyDescent="0.25">
      <c r="A12914" s="13"/>
    </row>
    <row r="12915" spans="1:1" x14ac:dyDescent="0.25">
      <c r="A12915" s="13"/>
    </row>
    <row r="12916" spans="1:1" x14ac:dyDescent="0.25">
      <c r="A12916" s="13"/>
    </row>
    <row r="12917" spans="1:1" x14ac:dyDescent="0.25">
      <c r="A12917" s="13"/>
    </row>
    <row r="12918" spans="1:1" x14ac:dyDescent="0.25">
      <c r="A12918" s="13"/>
    </row>
    <row r="12919" spans="1:1" x14ac:dyDescent="0.25">
      <c r="A12919" s="13"/>
    </row>
    <row r="12920" spans="1:1" x14ac:dyDescent="0.25">
      <c r="A12920" s="13"/>
    </row>
    <row r="12921" spans="1:1" x14ac:dyDescent="0.25">
      <c r="A12921" s="13"/>
    </row>
    <row r="12922" spans="1:1" x14ac:dyDescent="0.25">
      <c r="A12922" s="13"/>
    </row>
    <row r="12923" spans="1:1" x14ac:dyDescent="0.25">
      <c r="A12923" s="13"/>
    </row>
    <row r="12924" spans="1:1" x14ac:dyDescent="0.25">
      <c r="A12924" s="13"/>
    </row>
    <row r="12925" spans="1:1" x14ac:dyDescent="0.25">
      <c r="A12925" s="13"/>
    </row>
    <row r="12926" spans="1:1" x14ac:dyDescent="0.25">
      <c r="A12926" s="13"/>
    </row>
    <row r="12927" spans="1:1" x14ac:dyDescent="0.25">
      <c r="A12927" s="13"/>
    </row>
    <row r="12928" spans="1:1" x14ac:dyDescent="0.25">
      <c r="A12928" s="13"/>
    </row>
    <row r="12929" spans="1:1" x14ac:dyDescent="0.25">
      <c r="A12929" s="13"/>
    </row>
    <row r="12930" spans="1:1" x14ac:dyDescent="0.25">
      <c r="A12930" s="13"/>
    </row>
    <row r="12931" spans="1:1" x14ac:dyDescent="0.25">
      <c r="A12931" s="13"/>
    </row>
    <row r="12932" spans="1:1" x14ac:dyDescent="0.25">
      <c r="A12932" s="13"/>
    </row>
    <row r="12933" spans="1:1" x14ac:dyDescent="0.25">
      <c r="A12933" s="13"/>
    </row>
    <row r="12934" spans="1:1" x14ac:dyDescent="0.25">
      <c r="A12934" s="13"/>
    </row>
    <row r="12935" spans="1:1" x14ac:dyDescent="0.25">
      <c r="A12935" s="13"/>
    </row>
    <row r="12936" spans="1:1" x14ac:dyDescent="0.25">
      <c r="A12936" s="13"/>
    </row>
    <row r="12937" spans="1:1" x14ac:dyDescent="0.25">
      <c r="A12937" s="13"/>
    </row>
    <row r="12938" spans="1:1" x14ac:dyDescent="0.25">
      <c r="A12938" s="13"/>
    </row>
    <row r="12939" spans="1:1" x14ac:dyDescent="0.25">
      <c r="A12939" s="13"/>
    </row>
    <row r="12940" spans="1:1" x14ac:dyDescent="0.25">
      <c r="A12940" s="13"/>
    </row>
    <row r="12941" spans="1:1" x14ac:dyDescent="0.25">
      <c r="A12941" s="13"/>
    </row>
    <row r="12942" spans="1:1" x14ac:dyDescent="0.25">
      <c r="A12942" s="13"/>
    </row>
    <row r="12943" spans="1:1" x14ac:dyDescent="0.25">
      <c r="A12943" s="13"/>
    </row>
    <row r="12944" spans="1:1" x14ac:dyDescent="0.25">
      <c r="A12944" s="13"/>
    </row>
    <row r="12945" spans="1:1" x14ac:dyDescent="0.25">
      <c r="A12945" s="13"/>
    </row>
    <row r="12946" spans="1:1" x14ac:dyDescent="0.25">
      <c r="A12946" s="13"/>
    </row>
    <row r="12947" spans="1:1" x14ac:dyDescent="0.25">
      <c r="A12947" s="13"/>
    </row>
    <row r="12948" spans="1:1" x14ac:dyDescent="0.25">
      <c r="A12948" s="13"/>
    </row>
    <row r="12949" spans="1:1" x14ac:dyDescent="0.25">
      <c r="A12949" s="13"/>
    </row>
    <row r="12950" spans="1:1" x14ac:dyDescent="0.25">
      <c r="A12950" s="13"/>
    </row>
    <row r="12951" spans="1:1" x14ac:dyDescent="0.25">
      <c r="A12951" s="13"/>
    </row>
    <row r="12952" spans="1:1" x14ac:dyDescent="0.25">
      <c r="A12952" s="13"/>
    </row>
    <row r="12953" spans="1:1" x14ac:dyDescent="0.25">
      <c r="A12953" s="13"/>
    </row>
    <row r="12954" spans="1:1" x14ac:dyDescent="0.25">
      <c r="A12954" s="13"/>
    </row>
    <row r="12955" spans="1:1" x14ac:dyDescent="0.25">
      <c r="A12955" s="13"/>
    </row>
    <row r="12956" spans="1:1" x14ac:dyDescent="0.25">
      <c r="A12956" s="13"/>
    </row>
    <row r="12957" spans="1:1" x14ac:dyDescent="0.25">
      <c r="A12957" s="13"/>
    </row>
    <row r="12958" spans="1:1" x14ac:dyDescent="0.25">
      <c r="A12958" s="13"/>
    </row>
    <row r="12959" spans="1:1" x14ac:dyDescent="0.25">
      <c r="A12959" s="13"/>
    </row>
    <row r="12960" spans="1:1" x14ac:dyDescent="0.25">
      <c r="A12960" s="13"/>
    </row>
    <row r="12961" spans="1:1" x14ac:dyDescent="0.25">
      <c r="A12961" s="13"/>
    </row>
    <row r="12962" spans="1:1" x14ac:dyDescent="0.25">
      <c r="A12962" s="13"/>
    </row>
    <row r="12963" spans="1:1" x14ac:dyDescent="0.25">
      <c r="A12963" s="13"/>
    </row>
    <row r="12964" spans="1:1" x14ac:dyDescent="0.25">
      <c r="A12964" s="13"/>
    </row>
    <row r="12965" spans="1:1" x14ac:dyDescent="0.25">
      <c r="A12965" s="13"/>
    </row>
    <row r="12966" spans="1:1" x14ac:dyDescent="0.25">
      <c r="A12966" s="13"/>
    </row>
    <row r="12967" spans="1:1" x14ac:dyDescent="0.25">
      <c r="A12967" s="13"/>
    </row>
    <row r="12968" spans="1:1" x14ac:dyDescent="0.25">
      <c r="A12968" s="13"/>
    </row>
    <row r="12969" spans="1:1" x14ac:dyDescent="0.25">
      <c r="A12969" s="13"/>
    </row>
    <row r="12970" spans="1:1" x14ac:dyDescent="0.25">
      <c r="A12970" s="13"/>
    </row>
    <row r="12971" spans="1:1" x14ac:dyDescent="0.25">
      <c r="A12971" s="13"/>
    </row>
    <row r="12972" spans="1:1" x14ac:dyDescent="0.25">
      <c r="A12972" s="13"/>
    </row>
    <row r="12973" spans="1:1" x14ac:dyDescent="0.25">
      <c r="A12973" s="13"/>
    </row>
    <row r="12974" spans="1:1" x14ac:dyDescent="0.25">
      <c r="A12974" s="13"/>
    </row>
    <row r="12975" spans="1:1" x14ac:dyDescent="0.25">
      <c r="A12975" s="13"/>
    </row>
    <row r="12976" spans="1:1" x14ac:dyDescent="0.25">
      <c r="A12976" s="13"/>
    </row>
    <row r="12977" spans="1:1" x14ac:dyDescent="0.25">
      <c r="A12977" s="13"/>
    </row>
    <row r="12978" spans="1:1" x14ac:dyDescent="0.25">
      <c r="A12978" s="13"/>
    </row>
    <row r="12979" spans="1:1" x14ac:dyDescent="0.25">
      <c r="A12979" s="13"/>
    </row>
    <row r="12980" spans="1:1" x14ac:dyDescent="0.25">
      <c r="A12980" s="13"/>
    </row>
    <row r="12981" spans="1:1" x14ac:dyDescent="0.25">
      <c r="A12981" s="13"/>
    </row>
    <row r="12982" spans="1:1" x14ac:dyDescent="0.25">
      <c r="A12982" s="13"/>
    </row>
    <row r="12983" spans="1:1" x14ac:dyDescent="0.25">
      <c r="A12983" s="13"/>
    </row>
    <row r="12984" spans="1:1" x14ac:dyDescent="0.25">
      <c r="A12984" s="13"/>
    </row>
    <row r="12985" spans="1:1" x14ac:dyDescent="0.25">
      <c r="A12985" s="13"/>
    </row>
    <row r="12986" spans="1:1" x14ac:dyDescent="0.25">
      <c r="A12986" s="13"/>
    </row>
    <row r="12987" spans="1:1" x14ac:dyDescent="0.25">
      <c r="A12987" s="13"/>
    </row>
    <row r="12988" spans="1:1" x14ac:dyDescent="0.25">
      <c r="A12988" s="13"/>
    </row>
    <row r="12989" spans="1:1" x14ac:dyDescent="0.25">
      <c r="A12989" s="13"/>
    </row>
    <row r="12990" spans="1:1" x14ac:dyDescent="0.25">
      <c r="A12990" s="13"/>
    </row>
    <row r="12991" spans="1:1" x14ac:dyDescent="0.25">
      <c r="A12991" s="13"/>
    </row>
    <row r="12992" spans="1:1" x14ac:dyDescent="0.25">
      <c r="A12992" s="13"/>
    </row>
    <row r="12993" spans="1:1" x14ac:dyDescent="0.25">
      <c r="A12993" s="13"/>
    </row>
    <row r="12994" spans="1:1" x14ac:dyDescent="0.25">
      <c r="A12994" s="13"/>
    </row>
    <row r="12995" spans="1:1" x14ac:dyDescent="0.25">
      <c r="A12995" s="13"/>
    </row>
    <row r="12996" spans="1:1" x14ac:dyDescent="0.25">
      <c r="A12996" s="13"/>
    </row>
    <row r="12997" spans="1:1" x14ac:dyDescent="0.25">
      <c r="A12997" s="13"/>
    </row>
    <row r="12998" spans="1:1" x14ac:dyDescent="0.25">
      <c r="A12998" s="13"/>
    </row>
    <row r="12999" spans="1:1" x14ac:dyDescent="0.25">
      <c r="A12999" s="13"/>
    </row>
    <row r="13000" spans="1:1" x14ac:dyDescent="0.25">
      <c r="A13000" s="13"/>
    </row>
    <row r="13001" spans="1:1" x14ac:dyDescent="0.25">
      <c r="A13001" s="13"/>
    </row>
    <row r="13002" spans="1:1" x14ac:dyDescent="0.25">
      <c r="A13002" s="13"/>
    </row>
    <row r="13003" spans="1:1" x14ac:dyDescent="0.25">
      <c r="A13003" s="13"/>
    </row>
    <row r="13004" spans="1:1" x14ac:dyDescent="0.25">
      <c r="A13004" s="13"/>
    </row>
    <row r="13005" spans="1:1" x14ac:dyDescent="0.25">
      <c r="A13005" s="13"/>
    </row>
    <row r="13006" spans="1:1" x14ac:dyDescent="0.25">
      <c r="A13006" s="13"/>
    </row>
    <row r="13007" spans="1:1" x14ac:dyDescent="0.25">
      <c r="A13007" s="13"/>
    </row>
    <row r="13008" spans="1:1" x14ac:dyDescent="0.25">
      <c r="A13008" s="13"/>
    </row>
    <row r="13009" spans="1:1" x14ac:dyDescent="0.25">
      <c r="A13009" s="13"/>
    </row>
    <row r="13010" spans="1:1" x14ac:dyDescent="0.25">
      <c r="A13010" s="13"/>
    </row>
    <row r="13011" spans="1:1" x14ac:dyDescent="0.25">
      <c r="A13011" s="13"/>
    </row>
    <row r="13012" spans="1:1" x14ac:dyDescent="0.25">
      <c r="A13012" s="13"/>
    </row>
    <row r="13013" spans="1:1" x14ac:dyDescent="0.25">
      <c r="A13013" s="13"/>
    </row>
    <row r="13014" spans="1:1" x14ac:dyDescent="0.25">
      <c r="A13014" s="13"/>
    </row>
    <row r="13015" spans="1:1" x14ac:dyDescent="0.25">
      <c r="A13015" s="13"/>
    </row>
    <row r="13016" spans="1:1" x14ac:dyDescent="0.25">
      <c r="A13016" s="13"/>
    </row>
    <row r="13017" spans="1:1" x14ac:dyDescent="0.25">
      <c r="A13017" s="13"/>
    </row>
    <row r="13018" spans="1:1" x14ac:dyDescent="0.25">
      <c r="A13018" s="13"/>
    </row>
    <row r="13019" spans="1:1" x14ac:dyDescent="0.25">
      <c r="A13019" s="13"/>
    </row>
    <row r="13020" spans="1:1" x14ac:dyDescent="0.25">
      <c r="A13020" s="13"/>
    </row>
    <row r="13021" spans="1:1" x14ac:dyDescent="0.25">
      <c r="A13021" s="13"/>
    </row>
    <row r="13022" spans="1:1" x14ac:dyDescent="0.25">
      <c r="A13022" s="13"/>
    </row>
    <row r="13023" spans="1:1" x14ac:dyDescent="0.25">
      <c r="A13023" s="13"/>
    </row>
    <row r="13024" spans="1:1" x14ac:dyDescent="0.25">
      <c r="A13024" s="13"/>
    </row>
    <row r="13025" spans="1:1" x14ac:dyDescent="0.25">
      <c r="A13025" s="13"/>
    </row>
    <row r="13026" spans="1:1" x14ac:dyDescent="0.25">
      <c r="A13026" s="13"/>
    </row>
    <row r="13027" spans="1:1" x14ac:dyDescent="0.25">
      <c r="A13027" s="13"/>
    </row>
    <row r="13028" spans="1:1" x14ac:dyDescent="0.25">
      <c r="A13028" s="13"/>
    </row>
    <row r="13029" spans="1:1" x14ac:dyDescent="0.25">
      <c r="A13029" s="13"/>
    </row>
    <row r="13030" spans="1:1" x14ac:dyDescent="0.25">
      <c r="A13030" s="13"/>
    </row>
    <row r="13031" spans="1:1" x14ac:dyDescent="0.25">
      <c r="A13031" s="13"/>
    </row>
    <row r="13032" spans="1:1" x14ac:dyDescent="0.25">
      <c r="A13032" s="13"/>
    </row>
    <row r="13033" spans="1:1" x14ac:dyDescent="0.25">
      <c r="A13033" s="13"/>
    </row>
    <row r="13034" spans="1:1" x14ac:dyDescent="0.25">
      <c r="A13034" s="13"/>
    </row>
    <row r="13035" spans="1:1" x14ac:dyDescent="0.25">
      <c r="A13035" s="13"/>
    </row>
    <row r="13036" spans="1:1" x14ac:dyDescent="0.25">
      <c r="A13036" s="13"/>
    </row>
    <row r="13037" spans="1:1" x14ac:dyDescent="0.25">
      <c r="A13037" s="13"/>
    </row>
    <row r="13038" spans="1:1" x14ac:dyDescent="0.25">
      <c r="A13038" s="13"/>
    </row>
    <row r="13039" spans="1:1" x14ac:dyDescent="0.25">
      <c r="A13039" s="13"/>
    </row>
    <row r="13040" spans="1:1" x14ac:dyDescent="0.25">
      <c r="A13040" s="13"/>
    </row>
    <row r="13041" spans="1:1" x14ac:dyDescent="0.25">
      <c r="A13041" s="13"/>
    </row>
    <row r="13042" spans="1:1" x14ac:dyDescent="0.25">
      <c r="A13042" s="13"/>
    </row>
    <row r="13043" spans="1:1" x14ac:dyDescent="0.25">
      <c r="A13043" s="13"/>
    </row>
    <row r="13044" spans="1:1" x14ac:dyDescent="0.25">
      <c r="A13044" s="13"/>
    </row>
    <row r="13045" spans="1:1" x14ac:dyDescent="0.25">
      <c r="A13045" s="13"/>
    </row>
    <row r="13046" spans="1:1" x14ac:dyDescent="0.25">
      <c r="A13046" s="13"/>
    </row>
    <row r="13047" spans="1:1" x14ac:dyDescent="0.25">
      <c r="A13047" s="13"/>
    </row>
    <row r="13048" spans="1:1" x14ac:dyDescent="0.25">
      <c r="A13048" s="13"/>
    </row>
    <row r="13049" spans="1:1" x14ac:dyDescent="0.25">
      <c r="A13049" s="13"/>
    </row>
    <row r="13050" spans="1:1" x14ac:dyDescent="0.25">
      <c r="A13050" s="13"/>
    </row>
    <row r="13051" spans="1:1" x14ac:dyDescent="0.25">
      <c r="A13051" s="13"/>
    </row>
    <row r="13052" spans="1:1" x14ac:dyDescent="0.25">
      <c r="A13052" s="13"/>
    </row>
    <row r="13053" spans="1:1" x14ac:dyDescent="0.25">
      <c r="A13053" s="13"/>
    </row>
    <row r="13054" spans="1:1" x14ac:dyDescent="0.25">
      <c r="A13054" s="13"/>
    </row>
    <row r="13055" spans="1:1" x14ac:dyDescent="0.25">
      <c r="A13055" s="13"/>
    </row>
    <row r="13056" spans="1:1" x14ac:dyDescent="0.25">
      <c r="A13056" s="13"/>
    </row>
    <row r="13057" spans="1:1" x14ac:dyDescent="0.25">
      <c r="A13057" s="13"/>
    </row>
    <row r="13058" spans="1:1" x14ac:dyDescent="0.25">
      <c r="A13058" s="13"/>
    </row>
    <row r="13059" spans="1:1" x14ac:dyDescent="0.25">
      <c r="A13059" s="13"/>
    </row>
    <row r="13060" spans="1:1" x14ac:dyDescent="0.25">
      <c r="A13060" s="13"/>
    </row>
    <row r="13061" spans="1:1" x14ac:dyDescent="0.25">
      <c r="A13061" s="13"/>
    </row>
    <row r="13062" spans="1:1" x14ac:dyDescent="0.25">
      <c r="A13062" s="13"/>
    </row>
    <row r="13063" spans="1:1" x14ac:dyDescent="0.25">
      <c r="A13063" s="13"/>
    </row>
    <row r="13064" spans="1:1" x14ac:dyDescent="0.25">
      <c r="A13064" s="13"/>
    </row>
    <row r="13065" spans="1:1" x14ac:dyDescent="0.25">
      <c r="A13065" s="13"/>
    </row>
    <row r="13066" spans="1:1" x14ac:dyDescent="0.25">
      <c r="A13066" s="13"/>
    </row>
    <row r="13067" spans="1:1" x14ac:dyDescent="0.25">
      <c r="A13067" s="13"/>
    </row>
    <row r="13068" spans="1:1" x14ac:dyDescent="0.25">
      <c r="A13068" s="13"/>
    </row>
    <row r="13069" spans="1:1" x14ac:dyDescent="0.25">
      <c r="A13069" s="13"/>
    </row>
    <row r="13070" spans="1:1" x14ac:dyDescent="0.25">
      <c r="A13070" s="13"/>
    </row>
    <row r="13071" spans="1:1" x14ac:dyDescent="0.25">
      <c r="A13071" s="13"/>
    </row>
    <row r="13072" spans="1:1" x14ac:dyDescent="0.25">
      <c r="A13072" s="13"/>
    </row>
    <row r="13073" spans="1:1" x14ac:dyDescent="0.25">
      <c r="A13073" s="13"/>
    </row>
    <row r="13074" spans="1:1" x14ac:dyDescent="0.25">
      <c r="A13074" s="13"/>
    </row>
    <row r="13075" spans="1:1" x14ac:dyDescent="0.25">
      <c r="A13075" s="13"/>
    </row>
    <row r="13076" spans="1:1" x14ac:dyDescent="0.25">
      <c r="A13076" s="13"/>
    </row>
    <row r="13077" spans="1:1" x14ac:dyDescent="0.25">
      <c r="A13077" s="13"/>
    </row>
    <row r="13078" spans="1:1" x14ac:dyDescent="0.25">
      <c r="A13078" s="13"/>
    </row>
    <row r="13079" spans="1:1" x14ac:dyDescent="0.25">
      <c r="A13079" s="13"/>
    </row>
    <row r="13080" spans="1:1" x14ac:dyDescent="0.25">
      <c r="A13080" s="13"/>
    </row>
    <row r="13081" spans="1:1" x14ac:dyDescent="0.25">
      <c r="A13081" s="13"/>
    </row>
    <row r="13082" spans="1:1" x14ac:dyDescent="0.25">
      <c r="A13082" s="13"/>
    </row>
    <row r="13083" spans="1:1" x14ac:dyDescent="0.25">
      <c r="A13083" s="13"/>
    </row>
    <row r="13084" spans="1:1" x14ac:dyDescent="0.25">
      <c r="A13084" s="13"/>
    </row>
    <row r="13085" spans="1:1" x14ac:dyDescent="0.25">
      <c r="A13085" s="13"/>
    </row>
    <row r="13086" spans="1:1" x14ac:dyDescent="0.25">
      <c r="A13086" s="13"/>
    </row>
    <row r="13087" spans="1:1" x14ac:dyDescent="0.25">
      <c r="A13087" s="13"/>
    </row>
    <row r="13088" spans="1:1" x14ac:dyDescent="0.25">
      <c r="A13088" s="13"/>
    </row>
    <row r="13089" spans="1:1" x14ac:dyDescent="0.25">
      <c r="A13089" s="13"/>
    </row>
    <row r="13090" spans="1:1" x14ac:dyDescent="0.25">
      <c r="A13090" s="13"/>
    </row>
    <row r="13091" spans="1:1" x14ac:dyDescent="0.25">
      <c r="A13091" s="13"/>
    </row>
    <row r="13092" spans="1:1" x14ac:dyDescent="0.25">
      <c r="A13092" s="13"/>
    </row>
    <row r="13093" spans="1:1" x14ac:dyDescent="0.25">
      <c r="A13093" s="13"/>
    </row>
    <row r="13094" spans="1:1" x14ac:dyDescent="0.25">
      <c r="A13094" s="13"/>
    </row>
    <row r="13095" spans="1:1" x14ac:dyDescent="0.25">
      <c r="A13095" s="13"/>
    </row>
    <row r="13096" spans="1:1" x14ac:dyDescent="0.25">
      <c r="A13096" s="13"/>
    </row>
    <row r="13097" spans="1:1" x14ac:dyDescent="0.25">
      <c r="A13097" s="13"/>
    </row>
    <row r="13098" spans="1:1" x14ac:dyDescent="0.25">
      <c r="A13098" s="13"/>
    </row>
    <row r="13099" spans="1:1" x14ac:dyDescent="0.25">
      <c r="A13099" s="13"/>
    </row>
    <row r="13100" spans="1:1" x14ac:dyDescent="0.25">
      <c r="A13100" s="13"/>
    </row>
    <row r="13101" spans="1:1" x14ac:dyDescent="0.25">
      <c r="A13101" s="13"/>
    </row>
    <row r="13102" spans="1:1" x14ac:dyDescent="0.25">
      <c r="A13102" s="13"/>
    </row>
    <row r="13103" spans="1:1" x14ac:dyDescent="0.25">
      <c r="A13103" s="13"/>
    </row>
    <row r="13104" spans="1:1" x14ac:dyDescent="0.25">
      <c r="A13104" s="13"/>
    </row>
    <row r="13105" spans="1:1" x14ac:dyDescent="0.25">
      <c r="A13105" s="13"/>
    </row>
    <row r="13106" spans="1:1" x14ac:dyDescent="0.25">
      <c r="A13106" s="13"/>
    </row>
    <row r="13107" spans="1:1" x14ac:dyDescent="0.25">
      <c r="A13107" s="13"/>
    </row>
    <row r="13108" spans="1:1" x14ac:dyDescent="0.25">
      <c r="A13108" s="13"/>
    </row>
    <row r="13109" spans="1:1" x14ac:dyDescent="0.25">
      <c r="A13109" s="13"/>
    </row>
    <row r="13110" spans="1:1" x14ac:dyDescent="0.25">
      <c r="A13110" s="13"/>
    </row>
    <row r="13111" spans="1:1" x14ac:dyDescent="0.25">
      <c r="A13111" s="13"/>
    </row>
    <row r="13112" spans="1:1" x14ac:dyDescent="0.25">
      <c r="A13112" s="13"/>
    </row>
    <row r="13113" spans="1:1" x14ac:dyDescent="0.25">
      <c r="A13113" s="13"/>
    </row>
    <row r="13114" spans="1:1" x14ac:dyDescent="0.25">
      <c r="A13114" s="13"/>
    </row>
    <row r="13115" spans="1:1" x14ac:dyDescent="0.25">
      <c r="A13115" s="13"/>
    </row>
    <row r="13116" spans="1:1" x14ac:dyDescent="0.25">
      <c r="A13116" s="13"/>
    </row>
    <row r="13117" spans="1:1" x14ac:dyDescent="0.25">
      <c r="A13117" s="13"/>
    </row>
    <row r="13118" spans="1:1" x14ac:dyDescent="0.25">
      <c r="A13118" s="13"/>
    </row>
    <row r="13119" spans="1:1" x14ac:dyDescent="0.25">
      <c r="A13119" s="13"/>
    </row>
    <row r="13120" spans="1:1" x14ac:dyDescent="0.25">
      <c r="A13120" s="13"/>
    </row>
    <row r="13121" spans="1:1" x14ac:dyDescent="0.25">
      <c r="A13121" s="13"/>
    </row>
    <row r="13122" spans="1:1" x14ac:dyDescent="0.25">
      <c r="A13122" s="13"/>
    </row>
    <row r="13123" spans="1:1" x14ac:dyDescent="0.25">
      <c r="A13123" s="13"/>
    </row>
    <row r="13124" spans="1:1" x14ac:dyDescent="0.25">
      <c r="A13124" s="13"/>
    </row>
    <row r="13125" spans="1:1" x14ac:dyDescent="0.25">
      <c r="A13125" s="13"/>
    </row>
    <row r="13126" spans="1:1" x14ac:dyDescent="0.25">
      <c r="A13126" s="13"/>
    </row>
    <row r="13127" spans="1:1" x14ac:dyDescent="0.25">
      <c r="A13127" s="13"/>
    </row>
    <row r="13128" spans="1:1" x14ac:dyDescent="0.25">
      <c r="A13128" s="13"/>
    </row>
    <row r="13129" spans="1:1" x14ac:dyDescent="0.25">
      <c r="A13129" s="13"/>
    </row>
    <row r="13130" spans="1:1" x14ac:dyDescent="0.25">
      <c r="A13130" s="13"/>
    </row>
    <row r="13131" spans="1:1" x14ac:dyDescent="0.25">
      <c r="A13131" s="13"/>
    </row>
    <row r="13132" spans="1:1" x14ac:dyDescent="0.25">
      <c r="A13132" s="13"/>
    </row>
    <row r="13133" spans="1:1" x14ac:dyDescent="0.25">
      <c r="A13133" s="13"/>
    </row>
    <row r="13134" spans="1:1" x14ac:dyDescent="0.25">
      <c r="A13134" s="13"/>
    </row>
    <row r="13135" spans="1:1" x14ac:dyDescent="0.25">
      <c r="A13135" s="13"/>
    </row>
    <row r="13136" spans="1:1" x14ac:dyDescent="0.25">
      <c r="A13136" s="13"/>
    </row>
    <row r="13137" spans="1:1" x14ac:dyDescent="0.25">
      <c r="A13137" s="13"/>
    </row>
    <row r="13138" spans="1:1" x14ac:dyDescent="0.25">
      <c r="A13138" s="13"/>
    </row>
    <row r="13139" spans="1:1" x14ac:dyDescent="0.25">
      <c r="A13139" s="13"/>
    </row>
    <row r="13140" spans="1:1" x14ac:dyDescent="0.25">
      <c r="A13140" s="13"/>
    </row>
    <row r="13141" spans="1:1" x14ac:dyDescent="0.25">
      <c r="A13141" s="13"/>
    </row>
    <row r="13142" spans="1:1" x14ac:dyDescent="0.25">
      <c r="A13142" s="13"/>
    </row>
    <row r="13143" spans="1:1" x14ac:dyDescent="0.25">
      <c r="A13143" s="13"/>
    </row>
    <row r="13144" spans="1:1" x14ac:dyDescent="0.25">
      <c r="A13144" s="13"/>
    </row>
    <row r="13145" spans="1:1" x14ac:dyDescent="0.25">
      <c r="A13145" s="13"/>
    </row>
    <row r="13146" spans="1:1" x14ac:dyDescent="0.25">
      <c r="A13146" s="13"/>
    </row>
    <row r="13147" spans="1:1" x14ac:dyDescent="0.25">
      <c r="A13147" s="13"/>
    </row>
    <row r="13148" spans="1:1" x14ac:dyDescent="0.25">
      <c r="A13148" s="13"/>
    </row>
    <row r="13149" spans="1:1" x14ac:dyDescent="0.25">
      <c r="A13149" s="13"/>
    </row>
    <row r="13150" spans="1:1" x14ac:dyDescent="0.25">
      <c r="A13150" s="13"/>
    </row>
    <row r="13151" spans="1:1" x14ac:dyDescent="0.25">
      <c r="A13151" s="13"/>
    </row>
    <row r="13152" spans="1:1" x14ac:dyDescent="0.25">
      <c r="A13152" s="13"/>
    </row>
    <row r="13153" spans="1:1" x14ac:dyDescent="0.25">
      <c r="A13153" s="13"/>
    </row>
    <row r="13154" spans="1:1" x14ac:dyDescent="0.25">
      <c r="A13154" s="13"/>
    </row>
    <row r="13155" spans="1:1" x14ac:dyDescent="0.25">
      <c r="A13155" s="13"/>
    </row>
    <row r="13156" spans="1:1" x14ac:dyDescent="0.25">
      <c r="A13156" s="13"/>
    </row>
    <row r="13157" spans="1:1" x14ac:dyDescent="0.25">
      <c r="A13157" s="13"/>
    </row>
    <row r="13158" spans="1:1" x14ac:dyDescent="0.25">
      <c r="A13158" s="13"/>
    </row>
    <row r="13159" spans="1:1" x14ac:dyDescent="0.25">
      <c r="A13159" s="13"/>
    </row>
    <row r="13160" spans="1:1" x14ac:dyDescent="0.25">
      <c r="A13160" s="13"/>
    </row>
    <row r="13161" spans="1:1" x14ac:dyDescent="0.25">
      <c r="A13161" s="13"/>
    </row>
    <row r="13162" spans="1:1" x14ac:dyDescent="0.25">
      <c r="A13162" s="13"/>
    </row>
    <row r="13163" spans="1:1" x14ac:dyDescent="0.25">
      <c r="A13163" s="13"/>
    </row>
    <row r="13164" spans="1:1" x14ac:dyDescent="0.25">
      <c r="A13164" s="13"/>
    </row>
    <row r="13165" spans="1:1" x14ac:dyDescent="0.25">
      <c r="A13165" s="13"/>
    </row>
    <row r="13166" spans="1:1" x14ac:dyDescent="0.25">
      <c r="A13166" s="13"/>
    </row>
    <row r="13167" spans="1:1" x14ac:dyDescent="0.25">
      <c r="A13167" s="13"/>
    </row>
    <row r="13168" spans="1:1" x14ac:dyDescent="0.25">
      <c r="A13168" s="13"/>
    </row>
    <row r="13169" spans="1:1" x14ac:dyDescent="0.25">
      <c r="A13169" s="13"/>
    </row>
    <row r="13170" spans="1:1" x14ac:dyDescent="0.25">
      <c r="A13170" s="13"/>
    </row>
    <row r="13171" spans="1:1" x14ac:dyDescent="0.25">
      <c r="A13171" s="13"/>
    </row>
    <row r="13172" spans="1:1" x14ac:dyDescent="0.25">
      <c r="A13172" s="13"/>
    </row>
    <row r="13173" spans="1:1" x14ac:dyDescent="0.25">
      <c r="A13173" s="13"/>
    </row>
    <row r="13174" spans="1:1" x14ac:dyDescent="0.25">
      <c r="A13174" s="13"/>
    </row>
    <row r="13175" spans="1:1" x14ac:dyDescent="0.25">
      <c r="A13175" s="13"/>
    </row>
    <row r="13176" spans="1:1" x14ac:dyDescent="0.25">
      <c r="A13176" s="13"/>
    </row>
    <row r="13177" spans="1:1" x14ac:dyDescent="0.25">
      <c r="A13177" s="13"/>
    </row>
    <row r="13178" spans="1:1" x14ac:dyDescent="0.25">
      <c r="A13178" s="13"/>
    </row>
    <row r="13179" spans="1:1" x14ac:dyDescent="0.25">
      <c r="A13179" s="13"/>
    </row>
    <row r="13180" spans="1:1" x14ac:dyDescent="0.25">
      <c r="A13180" s="13"/>
    </row>
    <row r="13181" spans="1:1" x14ac:dyDescent="0.25">
      <c r="A13181" s="13"/>
    </row>
    <row r="13182" spans="1:1" x14ac:dyDescent="0.25">
      <c r="A13182" s="13"/>
    </row>
    <row r="13183" spans="1:1" x14ac:dyDescent="0.25">
      <c r="A13183" s="13"/>
    </row>
    <row r="13184" spans="1:1" x14ac:dyDescent="0.25">
      <c r="A13184" s="13"/>
    </row>
    <row r="13185" spans="1:1" x14ac:dyDescent="0.25">
      <c r="A13185" s="13"/>
    </row>
    <row r="13186" spans="1:1" x14ac:dyDescent="0.25">
      <c r="A13186" s="13"/>
    </row>
    <row r="13187" spans="1:1" x14ac:dyDescent="0.25">
      <c r="A13187" s="13"/>
    </row>
    <row r="13188" spans="1:1" x14ac:dyDescent="0.25">
      <c r="A13188" s="13"/>
    </row>
    <row r="13189" spans="1:1" x14ac:dyDescent="0.25">
      <c r="A13189" s="13"/>
    </row>
    <row r="13190" spans="1:1" x14ac:dyDescent="0.25">
      <c r="A13190" s="13"/>
    </row>
    <row r="13191" spans="1:1" x14ac:dyDescent="0.25">
      <c r="A13191" s="13"/>
    </row>
    <row r="13192" spans="1:1" x14ac:dyDescent="0.25">
      <c r="A13192" s="13"/>
    </row>
    <row r="13193" spans="1:1" x14ac:dyDescent="0.25">
      <c r="A13193" s="13"/>
    </row>
    <row r="13194" spans="1:1" x14ac:dyDescent="0.25">
      <c r="A13194" s="13"/>
    </row>
    <row r="13195" spans="1:1" x14ac:dyDescent="0.25">
      <c r="A13195" s="13"/>
    </row>
    <row r="13196" spans="1:1" x14ac:dyDescent="0.25">
      <c r="A13196" s="13"/>
    </row>
    <row r="13197" spans="1:1" x14ac:dyDescent="0.25">
      <c r="A13197" s="13"/>
    </row>
    <row r="13198" spans="1:1" x14ac:dyDescent="0.25">
      <c r="A13198" s="13"/>
    </row>
    <row r="13199" spans="1:1" x14ac:dyDescent="0.25">
      <c r="A13199" s="13"/>
    </row>
    <row r="13200" spans="1:1" x14ac:dyDescent="0.25">
      <c r="A13200" s="13"/>
    </row>
    <row r="13201" spans="1:1" x14ac:dyDescent="0.25">
      <c r="A13201" s="13"/>
    </row>
    <row r="13202" spans="1:1" x14ac:dyDescent="0.25">
      <c r="A13202" s="13"/>
    </row>
    <row r="13203" spans="1:1" x14ac:dyDescent="0.25">
      <c r="A13203" s="13"/>
    </row>
    <row r="13204" spans="1:1" x14ac:dyDescent="0.25">
      <c r="A13204" s="13"/>
    </row>
    <row r="13205" spans="1:1" x14ac:dyDescent="0.25">
      <c r="A13205" s="13"/>
    </row>
    <row r="13206" spans="1:1" x14ac:dyDescent="0.25">
      <c r="A13206" s="13"/>
    </row>
    <row r="13207" spans="1:1" x14ac:dyDescent="0.25">
      <c r="A13207" s="13"/>
    </row>
    <row r="13208" spans="1:1" x14ac:dyDescent="0.25">
      <c r="A13208" s="13"/>
    </row>
    <row r="13209" spans="1:1" x14ac:dyDescent="0.25">
      <c r="A13209" s="13"/>
    </row>
    <row r="13210" spans="1:1" x14ac:dyDescent="0.25">
      <c r="A13210" s="13"/>
    </row>
    <row r="13211" spans="1:1" x14ac:dyDescent="0.25">
      <c r="A13211" s="13"/>
    </row>
    <row r="13212" spans="1:1" x14ac:dyDescent="0.25">
      <c r="A13212" s="13"/>
    </row>
    <row r="13213" spans="1:1" x14ac:dyDescent="0.25">
      <c r="A13213" s="13"/>
    </row>
    <row r="13214" spans="1:1" x14ac:dyDescent="0.25">
      <c r="A13214" s="13"/>
    </row>
    <row r="13215" spans="1:1" x14ac:dyDescent="0.25">
      <c r="A13215" s="13"/>
    </row>
    <row r="13216" spans="1:1" x14ac:dyDescent="0.25">
      <c r="A13216" s="13"/>
    </row>
    <row r="13217" spans="1:1" x14ac:dyDescent="0.25">
      <c r="A13217" s="13"/>
    </row>
    <row r="13218" spans="1:1" x14ac:dyDescent="0.25">
      <c r="A13218" s="13"/>
    </row>
    <row r="13219" spans="1:1" x14ac:dyDescent="0.25">
      <c r="A13219" s="13"/>
    </row>
    <row r="13220" spans="1:1" x14ac:dyDescent="0.25">
      <c r="A13220" s="13"/>
    </row>
    <row r="13221" spans="1:1" x14ac:dyDescent="0.25">
      <c r="A13221" s="13"/>
    </row>
    <row r="13222" spans="1:1" x14ac:dyDescent="0.25">
      <c r="A13222" s="13"/>
    </row>
    <row r="13223" spans="1:1" x14ac:dyDescent="0.25">
      <c r="A13223" s="13"/>
    </row>
    <row r="13224" spans="1:1" x14ac:dyDescent="0.25">
      <c r="A13224" s="13"/>
    </row>
    <row r="13225" spans="1:1" x14ac:dyDescent="0.25">
      <c r="A13225" s="13"/>
    </row>
    <row r="13226" spans="1:1" x14ac:dyDescent="0.25">
      <c r="A13226" s="13"/>
    </row>
    <row r="13227" spans="1:1" x14ac:dyDescent="0.25">
      <c r="A13227" s="13"/>
    </row>
    <row r="13228" spans="1:1" x14ac:dyDescent="0.25">
      <c r="A13228" s="13"/>
    </row>
    <row r="13229" spans="1:1" x14ac:dyDescent="0.25">
      <c r="A13229" s="13"/>
    </row>
    <row r="13230" spans="1:1" x14ac:dyDescent="0.25">
      <c r="A13230" s="13"/>
    </row>
    <row r="13231" spans="1:1" x14ac:dyDescent="0.25">
      <c r="A13231" s="13"/>
    </row>
    <row r="13232" spans="1:1" x14ac:dyDescent="0.25">
      <c r="A13232" s="13"/>
    </row>
    <row r="13233" spans="1:1" x14ac:dyDescent="0.25">
      <c r="A13233" s="13"/>
    </row>
    <row r="13234" spans="1:1" x14ac:dyDescent="0.25">
      <c r="A13234" s="13"/>
    </row>
    <row r="13235" spans="1:1" x14ac:dyDescent="0.25">
      <c r="A13235" s="13"/>
    </row>
    <row r="13236" spans="1:1" x14ac:dyDescent="0.25">
      <c r="A13236" s="13"/>
    </row>
    <row r="13237" spans="1:1" x14ac:dyDescent="0.25">
      <c r="A13237" s="13"/>
    </row>
    <row r="13238" spans="1:1" x14ac:dyDescent="0.25">
      <c r="A13238" s="13"/>
    </row>
    <row r="13239" spans="1:1" x14ac:dyDescent="0.25">
      <c r="A13239" s="13"/>
    </row>
    <row r="13240" spans="1:1" x14ac:dyDescent="0.25">
      <c r="A13240" s="13"/>
    </row>
    <row r="13241" spans="1:1" x14ac:dyDescent="0.25">
      <c r="A13241" s="13"/>
    </row>
    <row r="13242" spans="1:1" x14ac:dyDescent="0.25">
      <c r="A13242" s="13"/>
    </row>
    <row r="13243" spans="1:1" x14ac:dyDescent="0.25">
      <c r="A13243" s="13"/>
    </row>
    <row r="13244" spans="1:1" x14ac:dyDescent="0.25">
      <c r="A13244" s="13"/>
    </row>
    <row r="13245" spans="1:1" x14ac:dyDescent="0.25">
      <c r="A13245" s="13"/>
    </row>
    <row r="13246" spans="1:1" x14ac:dyDescent="0.25">
      <c r="A13246" s="13"/>
    </row>
    <row r="13247" spans="1:1" x14ac:dyDescent="0.25">
      <c r="A13247" s="13"/>
    </row>
    <row r="13248" spans="1:1" x14ac:dyDescent="0.25">
      <c r="A13248" s="13"/>
    </row>
    <row r="13249" spans="1:1" x14ac:dyDescent="0.25">
      <c r="A13249" s="13"/>
    </row>
    <row r="13250" spans="1:1" x14ac:dyDescent="0.25">
      <c r="A13250" s="13"/>
    </row>
    <row r="13251" spans="1:1" x14ac:dyDescent="0.25">
      <c r="A13251" s="13"/>
    </row>
    <row r="13252" spans="1:1" x14ac:dyDescent="0.25">
      <c r="A13252" s="13"/>
    </row>
    <row r="13253" spans="1:1" x14ac:dyDescent="0.25">
      <c r="A13253" s="13"/>
    </row>
    <row r="13254" spans="1:1" x14ac:dyDescent="0.25">
      <c r="A13254" s="13"/>
    </row>
    <row r="13255" spans="1:1" x14ac:dyDescent="0.25">
      <c r="A13255" s="13"/>
    </row>
    <row r="13256" spans="1:1" x14ac:dyDescent="0.25">
      <c r="A13256" s="13"/>
    </row>
    <row r="13257" spans="1:1" x14ac:dyDescent="0.25">
      <c r="A13257" s="13"/>
    </row>
    <row r="13258" spans="1:1" x14ac:dyDescent="0.25">
      <c r="A13258" s="13"/>
    </row>
    <row r="13259" spans="1:1" x14ac:dyDescent="0.25">
      <c r="A13259" s="13"/>
    </row>
    <row r="13260" spans="1:1" x14ac:dyDescent="0.25">
      <c r="A13260" s="13"/>
    </row>
    <row r="13261" spans="1:1" x14ac:dyDescent="0.25">
      <c r="A13261" s="13"/>
    </row>
    <row r="13262" spans="1:1" x14ac:dyDescent="0.25">
      <c r="A13262" s="13"/>
    </row>
    <row r="13263" spans="1:1" x14ac:dyDescent="0.25">
      <c r="A13263" s="13"/>
    </row>
    <row r="13264" spans="1:1" x14ac:dyDescent="0.25">
      <c r="A13264" s="13"/>
    </row>
    <row r="13265" spans="1:1" x14ac:dyDescent="0.25">
      <c r="A13265" s="13"/>
    </row>
    <row r="13266" spans="1:1" x14ac:dyDescent="0.25">
      <c r="A13266" s="13"/>
    </row>
    <row r="13267" spans="1:1" x14ac:dyDescent="0.25">
      <c r="A13267" s="13"/>
    </row>
    <row r="13268" spans="1:1" x14ac:dyDescent="0.25">
      <c r="A13268" s="13"/>
    </row>
    <row r="13269" spans="1:1" x14ac:dyDescent="0.25">
      <c r="A13269" s="13"/>
    </row>
    <row r="13270" spans="1:1" x14ac:dyDescent="0.25">
      <c r="A13270" s="13"/>
    </row>
    <row r="13271" spans="1:1" x14ac:dyDescent="0.25">
      <c r="A13271" s="13"/>
    </row>
    <row r="13272" spans="1:1" x14ac:dyDescent="0.25">
      <c r="A13272" s="13"/>
    </row>
    <row r="13273" spans="1:1" x14ac:dyDescent="0.25">
      <c r="A13273" s="13"/>
    </row>
    <row r="13274" spans="1:1" x14ac:dyDescent="0.25">
      <c r="A13274" s="13"/>
    </row>
    <row r="13275" spans="1:1" x14ac:dyDescent="0.25">
      <c r="A13275" s="13"/>
    </row>
    <row r="13276" spans="1:1" x14ac:dyDescent="0.25">
      <c r="A13276" s="13"/>
    </row>
    <row r="13277" spans="1:1" x14ac:dyDescent="0.25">
      <c r="A13277" s="13"/>
    </row>
    <row r="13278" spans="1:1" x14ac:dyDescent="0.25">
      <c r="A13278" s="13"/>
    </row>
    <row r="13279" spans="1:1" x14ac:dyDescent="0.25">
      <c r="A13279" s="13"/>
    </row>
    <row r="13280" spans="1:1" x14ac:dyDescent="0.25">
      <c r="A13280" s="13"/>
    </row>
    <row r="13281" spans="1:1" x14ac:dyDescent="0.25">
      <c r="A13281" s="13"/>
    </row>
    <row r="13282" spans="1:1" x14ac:dyDescent="0.25">
      <c r="A13282" s="13"/>
    </row>
    <row r="13283" spans="1:1" x14ac:dyDescent="0.25">
      <c r="A13283" s="13"/>
    </row>
    <row r="13284" spans="1:1" x14ac:dyDescent="0.25">
      <c r="A13284" s="13"/>
    </row>
    <row r="13285" spans="1:1" x14ac:dyDescent="0.25">
      <c r="A13285" s="13"/>
    </row>
    <row r="13286" spans="1:1" x14ac:dyDescent="0.25">
      <c r="A13286" s="13"/>
    </row>
    <row r="13287" spans="1:1" x14ac:dyDescent="0.25">
      <c r="A13287" s="13"/>
    </row>
    <row r="13288" spans="1:1" x14ac:dyDescent="0.25">
      <c r="A13288" s="13"/>
    </row>
    <row r="13289" spans="1:1" x14ac:dyDescent="0.25">
      <c r="A13289" s="13"/>
    </row>
    <row r="13290" spans="1:1" x14ac:dyDescent="0.25">
      <c r="A13290" s="13"/>
    </row>
    <row r="13291" spans="1:1" x14ac:dyDescent="0.25">
      <c r="A13291" s="13"/>
    </row>
    <row r="13292" spans="1:1" x14ac:dyDescent="0.25">
      <c r="A13292" s="13"/>
    </row>
    <row r="13293" spans="1:1" x14ac:dyDescent="0.25">
      <c r="A13293" s="13"/>
    </row>
    <row r="13294" spans="1:1" x14ac:dyDescent="0.25">
      <c r="A13294" s="13"/>
    </row>
    <row r="13295" spans="1:1" x14ac:dyDescent="0.25">
      <c r="A13295" s="13"/>
    </row>
    <row r="13296" spans="1:1" x14ac:dyDescent="0.25">
      <c r="A13296" s="13"/>
    </row>
    <row r="13297" spans="1:1" x14ac:dyDescent="0.25">
      <c r="A13297" s="13"/>
    </row>
    <row r="13298" spans="1:1" x14ac:dyDescent="0.25">
      <c r="A13298" s="13"/>
    </row>
    <row r="13299" spans="1:1" x14ac:dyDescent="0.25">
      <c r="A13299" s="13"/>
    </row>
    <row r="13300" spans="1:1" x14ac:dyDescent="0.25">
      <c r="A13300" s="13"/>
    </row>
    <row r="13301" spans="1:1" x14ac:dyDescent="0.25">
      <c r="A13301" s="13"/>
    </row>
    <row r="13302" spans="1:1" x14ac:dyDescent="0.25">
      <c r="A13302" s="13"/>
    </row>
    <row r="13303" spans="1:1" x14ac:dyDescent="0.25">
      <c r="A13303" s="13"/>
    </row>
    <row r="13304" spans="1:1" x14ac:dyDescent="0.25">
      <c r="A13304" s="13"/>
    </row>
    <row r="13305" spans="1:1" x14ac:dyDescent="0.25">
      <c r="A13305" s="13"/>
    </row>
    <row r="13306" spans="1:1" x14ac:dyDescent="0.25">
      <c r="A13306" s="13"/>
    </row>
    <row r="13307" spans="1:1" x14ac:dyDescent="0.25">
      <c r="A13307" s="13"/>
    </row>
    <row r="13308" spans="1:1" x14ac:dyDescent="0.25">
      <c r="A13308" s="13"/>
    </row>
    <row r="13309" spans="1:1" x14ac:dyDescent="0.25">
      <c r="A13309" s="13"/>
    </row>
    <row r="13310" spans="1:1" x14ac:dyDescent="0.25">
      <c r="A13310" s="13"/>
    </row>
    <row r="13311" spans="1:1" x14ac:dyDescent="0.25">
      <c r="A13311" s="13"/>
    </row>
    <row r="13312" spans="1:1" x14ac:dyDescent="0.25">
      <c r="A13312" s="13"/>
    </row>
    <row r="13313" spans="1:1" x14ac:dyDescent="0.25">
      <c r="A13313" s="13"/>
    </row>
    <row r="13314" spans="1:1" x14ac:dyDescent="0.25">
      <c r="A13314" s="13"/>
    </row>
    <row r="13315" spans="1:1" x14ac:dyDescent="0.25">
      <c r="A13315" s="13"/>
    </row>
    <row r="13316" spans="1:1" x14ac:dyDescent="0.25">
      <c r="A13316" s="13"/>
    </row>
    <row r="13317" spans="1:1" x14ac:dyDescent="0.25">
      <c r="A13317" s="13"/>
    </row>
    <row r="13318" spans="1:1" x14ac:dyDescent="0.25">
      <c r="A13318" s="13"/>
    </row>
    <row r="13319" spans="1:1" x14ac:dyDescent="0.25">
      <c r="A13319" s="13"/>
    </row>
    <row r="13320" spans="1:1" x14ac:dyDescent="0.25">
      <c r="A13320" s="13"/>
    </row>
    <row r="13321" spans="1:1" x14ac:dyDescent="0.25">
      <c r="A13321" s="13"/>
    </row>
    <row r="13322" spans="1:1" x14ac:dyDescent="0.25">
      <c r="A13322" s="13"/>
    </row>
    <row r="13323" spans="1:1" x14ac:dyDescent="0.25">
      <c r="A13323" s="13"/>
    </row>
    <row r="13324" spans="1:1" x14ac:dyDescent="0.25">
      <c r="A13324" s="13"/>
    </row>
    <row r="13325" spans="1:1" x14ac:dyDescent="0.25">
      <c r="A13325" s="13"/>
    </row>
    <row r="13326" spans="1:1" x14ac:dyDescent="0.25">
      <c r="A13326" s="13"/>
    </row>
    <row r="13327" spans="1:1" x14ac:dyDescent="0.25">
      <c r="A13327" s="13"/>
    </row>
    <row r="13328" spans="1:1" x14ac:dyDescent="0.25">
      <c r="A13328" s="13"/>
    </row>
    <row r="13329" spans="1:1" x14ac:dyDescent="0.25">
      <c r="A13329" s="13"/>
    </row>
    <row r="13330" spans="1:1" x14ac:dyDescent="0.25">
      <c r="A13330" s="13"/>
    </row>
    <row r="13331" spans="1:1" x14ac:dyDescent="0.25">
      <c r="A13331" s="13"/>
    </row>
    <row r="13332" spans="1:1" x14ac:dyDescent="0.25">
      <c r="A13332" s="13"/>
    </row>
    <row r="13333" spans="1:1" x14ac:dyDescent="0.25">
      <c r="A13333" s="13"/>
    </row>
    <row r="13334" spans="1:1" x14ac:dyDescent="0.25">
      <c r="A13334" s="13"/>
    </row>
    <row r="13335" spans="1:1" x14ac:dyDescent="0.25">
      <c r="A13335" s="13"/>
    </row>
    <row r="13336" spans="1:1" x14ac:dyDescent="0.25">
      <c r="A13336" s="13"/>
    </row>
    <row r="13337" spans="1:1" x14ac:dyDescent="0.25">
      <c r="A13337" s="13"/>
    </row>
    <row r="13338" spans="1:1" x14ac:dyDescent="0.25">
      <c r="A13338" s="13"/>
    </row>
    <row r="13339" spans="1:1" x14ac:dyDescent="0.25">
      <c r="A13339" s="13"/>
    </row>
    <row r="13340" spans="1:1" x14ac:dyDescent="0.25">
      <c r="A13340" s="13"/>
    </row>
    <row r="13341" spans="1:1" x14ac:dyDescent="0.25">
      <c r="A13341" s="13"/>
    </row>
    <row r="13342" spans="1:1" x14ac:dyDescent="0.25">
      <c r="A13342" s="13"/>
    </row>
    <row r="13343" spans="1:1" x14ac:dyDescent="0.25">
      <c r="A13343" s="13"/>
    </row>
    <row r="13344" spans="1:1" x14ac:dyDescent="0.25">
      <c r="A13344" s="13"/>
    </row>
    <row r="13345" spans="1:1" x14ac:dyDescent="0.25">
      <c r="A13345" s="13"/>
    </row>
    <row r="13346" spans="1:1" x14ac:dyDescent="0.25">
      <c r="A13346" s="13"/>
    </row>
    <row r="13347" spans="1:1" x14ac:dyDescent="0.25">
      <c r="A13347" s="13"/>
    </row>
    <row r="13348" spans="1:1" x14ac:dyDescent="0.25">
      <c r="A13348" s="13"/>
    </row>
    <row r="13349" spans="1:1" x14ac:dyDescent="0.25">
      <c r="A13349" s="13"/>
    </row>
    <row r="13350" spans="1:1" x14ac:dyDescent="0.25">
      <c r="A13350" s="13"/>
    </row>
    <row r="13351" spans="1:1" x14ac:dyDescent="0.25">
      <c r="A13351" s="13"/>
    </row>
    <row r="13352" spans="1:1" x14ac:dyDescent="0.25">
      <c r="A13352" s="13"/>
    </row>
    <row r="13353" spans="1:1" x14ac:dyDescent="0.25">
      <c r="A13353" s="13"/>
    </row>
    <row r="13354" spans="1:1" x14ac:dyDescent="0.25">
      <c r="A13354" s="13"/>
    </row>
    <row r="13355" spans="1:1" x14ac:dyDescent="0.25">
      <c r="A13355" s="13"/>
    </row>
    <row r="13356" spans="1:1" x14ac:dyDescent="0.25">
      <c r="A13356" s="13"/>
    </row>
    <row r="13357" spans="1:1" x14ac:dyDescent="0.25">
      <c r="A13357" s="13"/>
    </row>
    <row r="13358" spans="1:1" x14ac:dyDescent="0.25">
      <c r="A13358" s="13"/>
    </row>
    <row r="13359" spans="1:1" x14ac:dyDescent="0.25">
      <c r="A13359" s="13"/>
    </row>
    <row r="13360" spans="1:1" x14ac:dyDescent="0.25">
      <c r="A13360" s="13"/>
    </row>
    <row r="13361" spans="1:1" x14ac:dyDescent="0.25">
      <c r="A13361" s="13"/>
    </row>
    <row r="13362" spans="1:1" x14ac:dyDescent="0.25">
      <c r="A13362" s="13"/>
    </row>
    <row r="13363" spans="1:1" x14ac:dyDescent="0.25">
      <c r="A13363" s="13"/>
    </row>
    <row r="13364" spans="1:1" x14ac:dyDescent="0.25">
      <c r="A13364" s="13"/>
    </row>
    <row r="13365" spans="1:1" x14ac:dyDescent="0.25">
      <c r="A13365" s="13"/>
    </row>
    <row r="13366" spans="1:1" x14ac:dyDescent="0.25">
      <c r="A13366" s="13"/>
    </row>
    <row r="13367" spans="1:1" x14ac:dyDescent="0.25">
      <c r="A13367" s="13"/>
    </row>
    <row r="13368" spans="1:1" x14ac:dyDescent="0.25">
      <c r="A13368" s="13"/>
    </row>
    <row r="13369" spans="1:1" x14ac:dyDescent="0.25">
      <c r="A13369" s="13"/>
    </row>
    <row r="13370" spans="1:1" x14ac:dyDescent="0.25">
      <c r="A13370" s="13"/>
    </row>
    <row r="13371" spans="1:1" x14ac:dyDescent="0.25">
      <c r="A13371" s="13"/>
    </row>
    <row r="13372" spans="1:1" x14ac:dyDescent="0.25">
      <c r="A13372" s="13"/>
    </row>
    <row r="13373" spans="1:1" x14ac:dyDescent="0.25">
      <c r="A13373" s="13"/>
    </row>
    <row r="13374" spans="1:1" x14ac:dyDescent="0.25">
      <c r="A13374" s="13"/>
    </row>
    <row r="13375" spans="1:1" x14ac:dyDescent="0.25">
      <c r="A13375" s="13"/>
    </row>
    <row r="13376" spans="1:1" x14ac:dyDescent="0.25">
      <c r="A13376" s="13"/>
    </row>
    <row r="13377" spans="1:1" x14ac:dyDescent="0.25">
      <c r="A13377" s="13"/>
    </row>
    <row r="13378" spans="1:1" x14ac:dyDescent="0.25">
      <c r="A13378" s="13"/>
    </row>
    <row r="13379" spans="1:1" x14ac:dyDescent="0.25">
      <c r="A13379" s="13"/>
    </row>
    <row r="13380" spans="1:1" x14ac:dyDescent="0.25">
      <c r="A13380" s="13"/>
    </row>
    <row r="13381" spans="1:1" x14ac:dyDescent="0.25">
      <c r="A13381" s="13"/>
    </row>
    <row r="13382" spans="1:1" x14ac:dyDescent="0.25">
      <c r="A13382" s="13"/>
    </row>
    <row r="13383" spans="1:1" x14ac:dyDescent="0.25">
      <c r="A13383" s="13"/>
    </row>
    <row r="13384" spans="1:1" x14ac:dyDescent="0.25">
      <c r="A13384" s="13"/>
    </row>
    <row r="13385" spans="1:1" x14ac:dyDescent="0.25">
      <c r="A13385" s="13"/>
    </row>
    <row r="13386" spans="1:1" x14ac:dyDescent="0.25">
      <c r="A13386" s="13"/>
    </row>
    <row r="13387" spans="1:1" x14ac:dyDescent="0.25">
      <c r="A13387" s="13"/>
    </row>
    <row r="13388" spans="1:1" x14ac:dyDescent="0.25">
      <c r="A13388" s="13"/>
    </row>
    <row r="13389" spans="1:1" x14ac:dyDescent="0.25">
      <c r="A13389" s="13"/>
    </row>
    <row r="13390" spans="1:1" x14ac:dyDescent="0.25">
      <c r="A13390" s="13"/>
    </row>
    <row r="13391" spans="1:1" x14ac:dyDescent="0.25">
      <c r="A13391" s="13"/>
    </row>
    <row r="13392" spans="1:1" x14ac:dyDescent="0.25">
      <c r="A13392" s="13"/>
    </row>
    <row r="13393" spans="1:1" x14ac:dyDescent="0.25">
      <c r="A13393" s="13"/>
    </row>
    <row r="13394" spans="1:1" x14ac:dyDescent="0.25">
      <c r="A13394" s="13"/>
    </row>
    <row r="13395" spans="1:1" x14ac:dyDescent="0.25">
      <c r="A13395" s="13"/>
    </row>
    <row r="13396" spans="1:1" x14ac:dyDescent="0.25">
      <c r="A13396" s="13"/>
    </row>
    <row r="13397" spans="1:1" x14ac:dyDescent="0.25">
      <c r="A13397" s="13"/>
    </row>
    <row r="13398" spans="1:1" x14ac:dyDescent="0.25">
      <c r="A13398" s="13"/>
    </row>
    <row r="13399" spans="1:1" x14ac:dyDescent="0.25">
      <c r="A13399" s="13"/>
    </row>
    <row r="13400" spans="1:1" x14ac:dyDescent="0.25">
      <c r="A13400" s="13"/>
    </row>
    <row r="13401" spans="1:1" x14ac:dyDescent="0.25">
      <c r="A13401" s="13"/>
    </row>
    <row r="13402" spans="1:1" x14ac:dyDescent="0.25">
      <c r="A13402" s="13"/>
    </row>
    <row r="13403" spans="1:1" x14ac:dyDescent="0.25">
      <c r="A13403" s="13"/>
    </row>
    <row r="13404" spans="1:1" x14ac:dyDescent="0.25">
      <c r="A13404" s="13"/>
    </row>
    <row r="13405" spans="1:1" x14ac:dyDescent="0.25">
      <c r="A13405" s="13"/>
    </row>
    <row r="13406" spans="1:1" x14ac:dyDescent="0.25">
      <c r="A13406" s="13"/>
    </row>
    <row r="13407" spans="1:1" x14ac:dyDescent="0.25">
      <c r="A13407" s="13"/>
    </row>
    <row r="13408" spans="1:1" x14ac:dyDescent="0.25">
      <c r="A13408" s="13"/>
    </row>
    <row r="13409" spans="1:1" x14ac:dyDescent="0.25">
      <c r="A13409" s="13"/>
    </row>
    <row r="13410" spans="1:1" x14ac:dyDescent="0.25">
      <c r="A13410" s="13"/>
    </row>
    <row r="13411" spans="1:1" x14ac:dyDescent="0.25">
      <c r="A13411" s="13"/>
    </row>
    <row r="13412" spans="1:1" x14ac:dyDescent="0.25">
      <c r="A13412" s="13"/>
    </row>
    <row r="13413" spans="1:1" x14ac:dyDescent="0.25">
      <c r="A13413" s="13"/>
    </row>
    <row r="13414" spans="1:1" x14ac:dyDescent="0.25">
      <c r="A13414" s="13"/>
    </row>
    <row r="13415" spans="1:1" x14ac:dyDescent="0.25">
      <c r="A13415" s="13"/>
    </row>
    <row r="13416" spans="1:1" x14ac:dyDescent="0.25">
      <c r="A13416" s="13"/>
    </row>
    <row r="13417" spans="1:1" x14ac:dyDescent="0.25">
      <c r="A13417" s="13"/>
    </row>
    <row r="13418" spans="1:1" x14ac:dyDescent="0.25">
      <c r="A13418" s="13"/>
    </row>
    <row r="13419" spans="1:1" x14ac:dyDescent="0.25">
      <c r="A13419" s="13"/>
    </row>
    <row r="13420" spans="1:1" x14ac:dyDescent="0.25">
      <c r="A13420" s="13"/>
    </row>
    <row r="13421" spans="1:1" x14ac:dyDescent="0.25">
      <c r="A13421" s="13"/>
    </row>
    <row r="13422" spans="1:1" x14ac:dyDescent="0.25">
      <c r="A13422" s="13"/>
    </row>
    <row r="13423" spans="1:1" x14ac:dyDescent="0.25">
      <c r="A13423" s="13"/>
    </row>
    <row r="13424" spans="1:1" x14ac:dyDescent="0.25">
      <c r="A13424" s="13"/>
    </row>
    <row r="13425" spans="1:1" x14ac:dyDescent="0.25">
      <c r="A13425" s="13"/>
    </row>
    <row r="13426" spans="1:1" x14ac:dyDescent="0.25">
      <c r="A13426" s="13"/>
    </row>
    <row r="13427" spans="1:1" x14ac:dyDescent="0.25">
      <c r="A13427" s="13"/>
    </row>
    <row r="13428" spans="1:1" x14ac:dyDescent="0.25">
      <c r="A13428" s="13"/>
    </row>
    <row r="13429" spans="1:1" x14ac:dyDescent="0.25">
      <c r="A13429" s="13"/>
    </row>
    <row r="13430" spans="1:1" x14ac:dyDescent="0.25">
      <c r="A13430" s="13"/>
    </row>
    <row r="13431" spans="1:1" x14ac:dyDescent="0.25">
      <c r="A13431" s="13"/>
    </row>
    <row r="13432" spans="1:1" x14ac:dyDescent="0.25">
      <c r="A13432" s="13"/>
    </row>
    <row r="13433" spans="1:1" x14ac:dyDescent="0.25">
      <c r="A13433" s="13"/>
    </row>
    <row r="13434" spans="1:1" x14ac:dyDescent="0.25">
      <c r="A13434" s="13"/>
    </row>
    <row r="13435" spans="1:1" x14ac:dyDescent="0.25">
      <c r="A13435" s="13"/>
    </row>
    <row r="13436" spans="1:1" x14ac:dyDescent="0.25">
      <c r="A13436" s="13"/>
    </row>
    <row r="13437" spans="1:1" x14ac:dyDescent="0.25">
      <c r="A13437" s="13"/>
    </row>
    <row r="13438" spans="1:1" x14ac:dyDescent="0.25">
      <c r="A13438" s="13"/>
    </row>
    <row r="13439" spans="1:1" x14ac:dyDescent="0.25">
      <c r="A13439" s="13"/>
    </row>
    <row r="13440" spans="1:1" x14ac:dyDescent="0.25">
      <c r="A13440" s="13"/>
    </row>
    <row r="13441" spans="1:1" x14ac:dyDescent="0.25">
      <c r="A13441" s="13"/>
    </row>
    <row r="13442" spans="1:1" x14ac:dyDescent="0.25">
      <c r="A13442" s="13"/>
    </row>
    <row r="13443" spans="1:1" x14ac:dyDescent="0.25">
      <c r="A13443" s="13"/>
    </row>
    <row r="13444" spans="1:1" x14ac:dyDescent="0.25">
      <c r="A13444" s="13"/>
    </row>
    <row r="13445" spans="1:1" x14ac:dyDescent="0.25">
      <c r="A13445" s="13"/>
    </row>
    <row r="13446" spans="1:1" x14ac:dyDescent="0.25">
      <c r="A13446" s="13"/>
    </row>
    <row r="13447" spans="1:1" x14ac:dyDescent="0.25">
      <c r="A13447" s="13"/>
    </row>
    <row r="13448" spans="1:1" x14ac:dyDescent="0.25">
      <c r="A13448" s="13"/>
    </row>
    <row r="13449" spans="1:1" x14ac:dyDescent="0.25">
      <c r="A13449" s="13"/>
    </row>
    <row r="13450" spans="1:1" x14ac:dyDescent="0.25">
      <c r="A13450" s="13"/>
    </row>
    <row r="13451" spans="1:1" x14ac:dyDescent="0.25">
      <c r="A13451" s="13"/>
    </row>
    <row r="13452" spans="1:1" x14ac:dyDescent="0.25">
      <c r="A13452" s="13"/>
    </row>
    <row r="13453" spans="1:1" x14ac:dyDescent="0.25">
      <c r="A13453" s="13"/>
    </row>
    <row r="13454" spans="1:1" x14ac:dyDescent="0.25">
      <c r="A13454" s="13"/>
    </row>
    <row r="13455" spans="1:1" x14ac:dyDescent="0.25">
      <c r="A13455" s="13"/>
    </row>
    <row r="13456" spans="1:1" x14ac:dyDescent="0.25">
      <c r="A13456" s="13"/>
    </row>
    <row r="13457" spans="1:1" x14ac:dyDescent="0.25">
      <c r="A13457" s="13"/>
    </row>
    <row r="13458" spans="1:1" x14ac:dyDescent="0.25">
      <c r="A13458" s="13"/>
    </row>
    <row r="13459" spans="1:1" x14ac:dyDescent="0.25">
      <c r="A13459" s="13"/>
    </row>
    <row r="13460" spans="1:1" x14ac:dyDescent="0.25">
      <c r="A13460" s="13"/>
    </row>
    <row r="13461" spans="1:1" x14ac:dyDescent="0.25">
      <c r="A13461" s="13"/>
    </row>
    <row r="13462" spans="1:1" x14ac:dyDescent="0.25">
      <c r="A13462" s="13"/>
    </row>
    <row r="13463" spans="1:1" x14ac:dyDescent="0.25">
      <c r="A13463" s="13"/>
    </row>
    <row r="13464" spans="1:1" x14ac:dyDescent="0.25">
      <c r="A13464" s="13"/>
    </row>
    <row r="13465" spans="1:1" x14ac:dyDescent="0.25">
      <c r="A13465" s="13"/>
    </row>
    <row r="13466" spans="1:1" x14ac:dyDescent="0.25">
      <c r="A13466" s="13"/>
    </row>
    <row r="13467" spans="1:1" x14ac:dyDescent="0.25">
      <c r="A13467" s="13"/>
    </row>
    <row r="13468" spans="1:1" x14ac:dyDescent="0.25">
      <c r="A13468" s="13"/>
    </row>
    <row r="13469" spans="1:1" x14ac:dyDescent="0.25">
      <c r="A13469" s="13"/>
    </row>
    <row r="13470" spans="1:1" x14ac:dyDescent="0.25">
      <c r="A13470" s="13"/>
    </row>
    <row r="13471" spans="1:1" x14ac:dyDescent="0.25">
      <c r="A13471" s="13"/>
    </row>
    <row r="13472" spans="1:1" x14ac:dyDescent="0.25">
      <c r="A13472" s="13"/>
    </row>
    <row r="13473" spans="1:1" x14ac:dyDescent="0.25">
      <c r="A13473" s="13"/>
    </row>
    <row r="13474" spans="1:1" x14ac:dyDescent="0.25">
      <c r="A13474" s="13"/>
    </row>
    <row r="13475" spans="1:1" x14ac:dyDescent="0.25">
      <c r="A13475" s="13"/>
    </row>
    <row r="13476" spans="1:1" x14ac:dyDescent="0.25">
      <c r="A13476" s="13"/>
    </row>
    <row r="13477" spans="1:1" x14ac:dyDescent="0.25">
      <c r="A13477" s="13"/>
    </row>
    <row r="13478" spans="1:1" x14ac:dyDescent="0.25">
      <c r="A13478" s="13"/>
    </row>
    <row r="13479" spans="1:1" x14ac:dyDescent="0.25">
      <c r="A13479" s="13"/>
    </row>
    <row r="13480" spans="1:1" x14ac:dyDescent="0.25">
      <c r="A13480" s="13"/>
    </row>
    <row r="13481" spans="1:1" x14ac:dyDescent="0.25">
      <c r="A13481" s="13"/>
    </row>
    <row r="13482" spans="1:1" x14ac:dyDescent="0.25">
      <c r="A13482" s="13"/>
    </row>
    <row r="13483" spans="1:1" x14ac:dyDescent="0.25">
      <c r="A13483" s="13"/>
    </row>
    <row r="13484" spans="1:1" x14ac:dyDescent="0.25">
      <c r="A13484" s="13"/>
    </row>
    <row r="13485" spans="1:1" x14ac:dyDescent="0.25">
      <c r="A13485" s="13"/>
    </row>
    <row r="13486" spans="1:1" x14ac:dyDescent="0.25">
      <c r="A13486" s="13"/>
    </row>
    <row r="13487" spans="1:1" x14ac:dyDescent="0.25">
      <c r="A13487" s="13"/>
    </row>
    <row r="13488" spans="1:1" x14ac:dyDescent="0.25">
      <c r="A13488" s="13"/>
    </row>
    <row r="13489" spans="1:1" x14ac:dyDescent="0.25">
      <c r="A13489" s="13"/>
    </row>
    <row r="13490" spans="1:1" x14ac:dyDescent="0.25">
      <c r="A13490" s="13"/>
    </row>
    <row r="13491" spans="1:1" x14ac:dyDescent="0.25">
      <c r="A13491" s="13"/>
    </row>
    <row r="13492" spans="1:1" x14ac:dyDescent="0.25">
      <c r="A13492" s="13"/>
    </row>
    <row r="13493" spans="1:1" x14ac:dyDescent="0.25">
      <c r="A13493" s="13"/>
    </row>
    <row r="13494" spans="1:1" x14ac:dyDescent="0.25">
      <c r="A13494" s="13"/>
    </row>
    <row r="13495" spans="1:1" x14ac:dyDescent="0.25">
      <c r="A13495" s="13"/>
    </row>
    <row r="13496" spans="1:1" x14ac:dyDescent="0.25">
      <c r="A13496" s="13"/>
    </row>
    <row r="13497" spans="1:1" x14ac:dyDescent="0.25">
      <c r="A13497" s="13"/>
    </row>
    <row r="13498" spans="1:1" x14ac:dyDescent="0.25">
      <c r="A13498" s="13"/>
    </row>
    <row r="13499" spans="1:1" x14ac:dyDescent="0.25">
      <c r="A13499" s="13"/>
    </row>
    <row r="13500" spans="1:1" x14ac:dyDescent="0.25">
      <c r="A13500" s="13"/>
    </row>
    <row r="13501" spans="1:1" x14ac:dyDescent="0.25">
      <c r="A13501" s="13"/>
    </row>
    <row r="13502" spans="1:1" x14ac:dyDescent="0.25">
      <c r="A13502" s="13"/>
    </row>
    <row r="13503" spans="1:1" x14ac:dyDescent="0.25">
      <c r="A13503" s="13"/>
    </row>
    <row r="13504" spans="1:1" x14ac:dyDescent="0.25">
      <c r="A13504" s="13"/>
    </row>
    <row r="13505" spans="1:1" x14ac:dyDescent="0.25">
      <c r="A13505" s="13"/>
    </row>
    <row r="13506" spans="1:1" x14ac:dyDescent="0.25">
      <c r="A13506" s="13"/>
    </row>
    <row r="13507" spans="1:1" x14ac:dyDescent="0.25">
      <c r="A13507" s="13"/>
    </row>
    <row r="13508" spans="1:1" x14ac:dyDescent="0.25">
      <c r="A13508" s="13"/>
    </row>
    <row r="13509" spans="1:1" x14ac:dyDescent="0.25">
      <c r="A13509" s="13"/>
    </row>
    <row r="13510" spans="1:1" x14ac:dyDescent="0.25">
      <c r="A13510" s="13"/>
    </row>
    <row r="13511" spans="1:1" x14ac:dyDescent="0.25">
      <c r="A13511" s="13"/>
    </row>
    <row r="13512" spans="1:1" x14ac:dyDescent="0.25">
      <c r="A13512" s="13"/>
    </row>
    <row r="13513" spans="1:1" x14ac:dyDescent="0.25">
      <c r="A13513" s="13"/>
    </row>
    <row r="13514" spans="1:1" x14ac:dyDescent="0.25">
      <c r="A13514" s="13"/>
    </row>
    <row r="13515" spans="1:1" x14ac:dyDescent="0.25">
      <c r="A13515" s="13"/>
    </row>
    <row r="13516" spans="1:1" x14ac:dyDescent="0.25">
      <c r="A13516" s="13"/>
    </row>
    <row r="13517" spans="1:1" x14ac:dyDescent="0.25">
      <c r="A13517" s="13"/>
    </row>
    <row r="13518" spans="1:1" x14ac:dyDescent="0.25">
      <c r="A13518" s="13"/>
    </row>
    <row r="13519" spans="1:1" x14ac:dyDescent="0.25">
      <c r="A13519" s="13"/>
    </row>
    <row r="13520" spans="1:1" x14ac:dyDescent="0.25">
      <c r="A13520" s="13"/>
    </row>
    <row r="13521" spans="1:1" x14ac:dyDescent="0.25">
      <c r="A13521" s="13"/>
    </row>
    <row r="13522" spans="1:1" x14ac:dyDescent="0.25">
      <c r="A13522" s="13"/>
    </row>
    <row r="13523" spans="1:1" x14ac:dyDescent="0.25">
      <c r="A13523" s="13"/>
    </row>
    <row r="13524" spans="1:1" x14ac:dyDescent="0.25">
      <c r="A13524" s="13"/>
    </row>
    <row r="13525" spans="1:1" x14ac:dyDescent="0.25">
      <c r="A13525" s="13"/>
    </row>
    <row r="13526" spans="1:1" x14ac:dyDescent="0.25">
      <c r="A13526" s="13"/>
    </row>
    <row r="13527" spans="1:1" x14ac:dyDescent="0.25">
      <c r="A13527" s="13"/>
    </row>
    <row r="13528" spans="1:1" x14ac:dyDescent="0.25">
      <c r="A13528" s="13"/>
    </row>
    <row r="13529" spans="1:1" x14ac:dyDescent="0.25">
      <c r="A13529" s="13"/>
    </row>
    <row r="13530" spans="1:1" x14ac:dyDescent="0.25">
      <c r="A13530" s="13"/>
    </row>
    <row r="13531" spans="1:1" x14ac:dyDescent="0.25">
      <c r="A13531" s="13"/>
    </row>
    <row r="13532" spans="1:1" x14ac:dyDescent="0.25">
      <c r="A13532" s="13"/>
    </row>
    <row r="13533" spans="1:1" x14ac:dyDescent="0.25">
      <c r="A13533" s="13"/>
    </row>
    <row r="13534" spans="1:1" x14ac:dyDescent="0.25">
      <c r="A13534" s="13"/>
    </row>
    <row r="13535" spans="1:1" x14ac:dyDescent="0.25">
      <c r="A13535" s="13"/>
    </row>
    <row r="13536" spans="1:1" x14ac:dyDescent="0.25">
      <c r="A13536" s="13"/>
    </row>
    <row r="13537" spans="1:1" x14ac:dyDescent="0.25">
      <c r="A13537" s="13"/>
    </row>
    <row r="13538" spans="1:1" x14ac:dyDescent="0.25">
      <c r="A13538" s="13"/>
    </row>
    <row r="13539" spans="1:1" x14ac:dyDescent="0.25">
      <c r="A13539" s="13"/>
    </row>
    <row r="13540" spans="1:1" x14ac:dyDescent="0.25">
      <c r="A13540" s="13"/>
    </row>
    <row r="13541" spans="1:1" x14ac:dyDescent="0.25">
      <c r="A13541" s="13"/>
    </row>
    <row r="13542" spans="1:1" x14ac:dyDescent="0.25">
      <c r="A13542" s="13"/>
    </row>
    <row r="13543" spans="1:1" x14ac:dyDescent="0.25">
      <c r="A13543" s="13"/>
    </row>
    <row r="13544" spans="1:1" x14ac:dyDescent="0.25">
      <c r="A13544" s="13"/>
    </row>
    <row r="13545" spans="1:1" x14ac:dyDescent="0.25">
      <c r="A13545" s="13"/>
    </row>
    <row r="13546" spans="1:1" x14ac:dyDescent="0.25">
      <c r="A13546" s="13"/>
    </row>
    <row r="13547" spans="1:1" x14ac:dyDescent="0.25">
      <c r="A13547" s="13"/>
    </row>
    <row r="13548" spans="1:1" x14ac:dyDescent="0.25">
      <c r="A13548" s="13"/>
    </row>
    <row r="13549" spans="1:1" x14ac:dyDescent="0.25">
      <c r="A13549" s="13"/>
    </row>
    <row r="13550" spans="1:1" x14ac:dyDescent="0.25">
      <c r="A13550" s="13"/>
    </row>
    <row r="13551" spans="1:1" x14ac:dyDescent="0.25">
      <c r="A13551" s="13"/>
    </row>
    <row r="13552" spans="1:1" x14ac:dyDescent="0.25">
      <c r="A13552" s="13"/>
    </row>
    <row r="13553" spans="1:1" x14ac:dyDescent="0.25">
      <c r="A13553" s="13"/>
    </row>
    <row r="13554" spans="1:1" x14ac:dyDescent="0.25">
      <c r="A13554" s="13"/>
    </row>
    <row r="13555" spans="1:1" x14ac:dyDescent="0.25">
      <c r="A13555" s="13"/>
    </row>
    <row r="13556" spans="1:1" x14ac:dyDescent="0.25">
      <c r="A13556" s="13"/>
    </row>
    <row r="13557" spans="1:1" x14ac:dyDescent="0.25">
      <c r="A13557" s="13"/>
    </row>
    <row r="13558" spans="1:1" x14ac:dyDescent="0.25">
      <c r="A13558" s="13"/>
    </row>
    <row r="13559" spans="1:1" x14ac:dyDescent="0.25">
      <c r="A13559" s="13"/>
    </row>
    <row r="13560" spans="1:1" x14ac:dyDescent="0.25">
      <c r="A13560" s="13"/>
    </row>
    <row r="13561" spans="1:1" x14ac:dyDescent="0.25">
      <c r="A13561" s="13"/>
    </row>
    <row r="13562" spans="1:1" x14ac:dyDescent="0.25">
      <c r="A13562" s="13"/>
    </row>
    <row r="13563" spans="1:1" x14ac:dyDescent="0.25">
      <c r="A13563" s="13"/>
    </row>
    <row r="13564" spans="1:1" x14ac:dyDescent="0.25">
      <c r="A13564" s="13"/>
    </row>
    <row r="13565" spans="1:1" x14ac:dyDescent="0.25">
      <c r="A13565" s="13"/>
    </row>
    <row r="13566" spans="1:1" x14ac:dyDescent="0.25">
      <c r="A13566" s="13"/>
    </row>
    <row r="13567" spans="1:1" x14ac:dyDescent="0.25">
      <c r="A13567" s="13"/>
    </row>
    <row r="13568" spans="1:1" x14ac:dyDescent="0.25">
      <c r="A13568" s="13"/>
    </row>
    <row r="13569" spans="1:1" x14ac:dyDescent="0.25">
      <c r="A13569" s="13"/>
    </row>
    <row r="13570" spans="1:1" x14ac:dyDescent="0.25">
      <c r="A13570" s="13"/>
    </row>
    <row r="13571" spans="1:1" x14ac:dyDescent="0.25">
      <c r="A13571" s="13"/>
    </row>
    <row r="13572" spans="1:1" x14ac:dyDescent="0.25">
      <c r="A13572" s="13"/>
    </row>
    <row r="13573" spans="1:1" x14ac:dyDescent="0.25">
      <c r="A13573" s="13"/>
    </row>
    <row r="13574" spans="1:1" x14ac:dyDescent="0.25">
      <c r="A13574" s="13"/>
    </row>
    <row r="13575" spans="1:1" x14ac:dyDescent="0.25">
      <c r="A13575" s="13"/>
    </row>
    <row r="13576" spans="1:1" x14ac:dyDescent="0.25">
      <c r="A13576" s="13"/>
    </row>
    <row r="13577" spans="1:1" x14ac:dyDescent="0.25">
      <c r="A13577" s="13"/>
    </row>
    <row r="13578" spans="1:1" x14ac:dyDescent="0.25">
      <c r="A13578" s="13"/>
    </row>
    <row r="13579" spans="1:1" x14ac:dyDescent="0.25">
      <c r="A13579" s="13"/>
    </row>
    <row r="13580" spans="1:1" x14ac:dyDescent="0.25">
      <c r="A13580" s="13"/>
    </row>
    <row r="13581" spans="1:1" x14ac:dyDescent="0.25">
      <c r="A13581" s="13"/>
    </row>
    <row r="13582" spans="1:1" x14ac:dyDescent="0.25">
      <c r="A13582" s="13"/>
    </row>
    <row r="13583" spans="1:1" x14ac:dyDescent="0.25">
      <c r="A13583" s="13"/>
    </row>
    <row r="13584" spans="1:1" x14ac:dyDescent="0.25">
      <c r="A13584" s="13"/>
    </row>
    <row r="13585" spans="1:1" x14ac:dyDescent="0.25">
      <c r="A13585" s="13"/>
    </row>
    <row r="13586" spans="1:1" x14ac:dyDescent="0.25">
      <c r="A13586" s="13"/>
    </row>
    <row r="13587" spans="1:1" x14ac:dyDescent="0.25">
      <c r="A13587" s="13"/>
    </row>
    <row r="13588" spans="1:1" x14ac:dyDescent="0.25">
      <c r="A13588" s="13"/>
    </row>
    <row r="13589" spans="1:1" x14ac:dyDescent="0.25">
      <c r="A13589" s="13"/>
    </row>
    <row r="13590" spans="1:1" x14ac:dyDescent="0.25">
      <c r="A13590" s="13"/>
    </row>
    <row r="13591" spans="1:1" x14ac:dyDescent="0.25">
      <c r="A13591" s="13"/>
    </row>
    <row r="13592" spans="1:1" x14ac:dyDescent="0.25">
      <c r="A13592" s="13"/>
    </row>
    <row r="13593" spans="1:1" x14ac:dyDescent="0.25">
      <c r="A13593" s="13"/>
    </row>
    <row r="13594" spans="1:1" x14ac:dyDescent="0.25">
      <c r="A13594" s="13"/>
    </row>
    <row r="13595" spans="1:1" x14ac:dyDescent="0.25">
      <c r="A13595" s="13"/>
    </row>
    <row r="13596" spans="1:1" x14ac:dyDescent="0.25">
      <c r="A13596" s="13"/>
    </row>
    <row r="13597" spans="1:1" x14ac:dyDescent="0.25">
      <c r="A13597" s="13"/>
    </row>
    <row r="13598" spans="1:1" x14ac:dyDescent="0.25">
      <c r="A13598" s="13"/>
    </row>
    <row r="13599" spans="1:1" x14ac:dyDescent="0.25">
      <c r="A13599" s="13"/>
    </row>
    <row r="13600" spans="1:1" x14ac:dyDescent="0.25">
      <c r="A13600" s="13"/>
    </row>
    <row r="13601" spans="1:1" x14ac:dyDescent="0.25">
      <c r="A13601" s="13"/>
    </row>
    <row r="13602" spans="1:1" x14ac:dyDescent="0.25">
      <c r="A13602" s="13"/>
    </row>
    <row r="13603" spans="1:1" x14ac:dyDescent="0.25">
      <c r="A13603" s="13"/>
    </row>
    <row r="13604" spans="1:1" x14ac:dyDescent="0.25">
      <c r="A13604" s="13"/>
    </row>
    <row r="13605" spans="1:1" x14ac:dyDescent="0.25">
      <c r="A13605" s="13"/>
    </row>
    <row r="13606" spans="1:1" x14ac:dyDescent="0.25">
      <c r="A13606" s="13"/>
    </row>
    <row r="13607" spans="1:1" x14ac:dyDescent="0.25">
      <c r="A13607" s="13"/>
    </row>
    <row r="13608" spans="1:1" x14ac:dyDescent="0.25">
      <c r="A13608" s="13"/>
    </row>
    <row r="13609" spans="1:1" x14ac:dyDescent="0.25">
      <c r="A13609" s="13"/>
    </row>
    <row r="13610" spans="1:1" x14ac:dyDescent="0.25">
      <c r="A13610" s="13"/>
    </row>
    <row r="13611" spans="1:1" x14ac:dyDescent="0.25">
      <c r="A13611" s="13"/>
    </row>
    <row r="13612" spans="1:1" x14ac:dyDescent="0.25">
      <c r="A13612" s="13"/>
    </row>
    <row r="13613" spans="1:1" x14ac:dyDescent="0.25">
      <c r="A13613" s="13"/>
    </row>
    <row r="13614" spans="1:1" x14ac:dyDescent="0.25">
      <c r="A13614" s="13"/>
    </row>
    <row r="13615" spans="1:1" x14ac:dyDescent="0.25">
      <c r="A13615" s="13"/>
    </row>
    <row r="13616" spans="1:1" x14ac:dyDescent="0.25">
      <c r="A13616" s="13"/>
    </row>
    <row r="13617" spans="1:1" x14ac:dyDescent="0.25">
      <c r="A13617" s="13"/>
    </row>
    <row r="13618" spans="1:1" x14ac:dyDescent="0.25">
      <c r="A13618" s="13"/>
    </row>
    <row r="13619" spans="1:1" x14ac:dyDescent="0.25">
      <c r="A13619" s="13"/>
    </row>
    <row r="13620" spans="1:1" x14ac:dyDescent="0.25">
      <c r="A13620" s="13"/>
    </row>
    <row r="13621" spans="1:1" x14ac:dyDescent="0.25">
      <c r="A13621" s="13"/>
    </row>
    <row r="13622" spans="1:1" x14ac:dyDescent="0.25">
      <c r="A13622" s="13"/>
    </row>
    <row r="13623" spans="1:1" x14ac:dyDescent="0.25">
      <c r="A13623" s="13"/>
    </row>
    <row r="13624" spans="1:1" x14ac:dyDescent="0.25">
      <c r="A13624" s="13"/>
    </row>
    <row r="13625" spans="1:1" x14ac:dyDescent="0.25">
      <c r="A13625" s="13"/>
    </row>
    <row r="13626" spans="1:1" x14ac:dyDescent="0.25">
      <c r="A13626" s="13"/>
    </row>
    <row r="13627" spans="1:1" x14ac:dyDescent="0.25">
      <c r="A13627" s="13"/>
    </row>
    <row r="13628" spans="1:1" x14ac:dyDescent="0.25">
      <c r="A13628" s="13"/>
    </row>
    <row r="13629" spans="1:1" x14ac:dyDescent="0.25">
      <c r="A13629" s="13"/>
    </row>
    <row r="13630" spans="1:1" x14ac:dyDescent="0.25">
      <c r="A13630" s="13"/>
    </row>
    <row r="13631" spans="1:1" x14ac:dyDescent="0.25">
      <c r="A13631" s="13"/>
    </row>
    <row r="13632" spans="1:1" x14ac:dyDescent="0.25">
      <c r="A13632" s="13"/>
    </row>
    <row r="13633" spans="1:1" x14ac:dyDescent="0.25">
      <c r="A13633" s="13"/>
    </row>
    <row r="13634" spans="1:1" x14ac:dyDescent="0.25">
      <c r="A13634" s="13"/>
    </row>
    <row r="13635" spans="1:1" x14ac:dyDescent="0.25">
      <c r="A13635" s="13"/>
    </row>
    <row r="13636" spans="1:1" x14ac:dyDescent="0.25">
      <c r="A13636" s="13"/>
    </row>
    <row r="13637" spans="1:1" x14ac:dyDescent="0.25">
      <c r="A13637" s="13"/>
    </row>
    <row r="13638" spans="1:1" x14ac:dyDescent="0.25">
      <c r="A13638" s="13"/>
    </row>
    <row r="13639" spans="1:1" x14ac:dyDescent="0.25">
      <c r="A13639" s="13"/>
    </row>
    <row r="13640" spans="1:1" x14ac:dyDescent="0.25">
      <c r="A13640" s="13"/>
    </row>
    <row r="13641" spans="1:1" x14ac:dyDescent="0.25">
      <c r="A13641" s="13"/>
    </row>
    <row r="13642" spans="1:1" x14ac:dyDescent="0.25">
      <c r="A13642" s="13"/>
    </row>
    <row r="13643" spans="1:1" x14ac:dyDescent="0.25">
      <c r="A13643" s="13"/>
    </row>
    <row r="13644" spans="1:1" x14ac:dyDescent="0.25">
      <c r="A13644" s="13"/>
    </row>
    <row r="13645" spans="1:1" x14ac:dyDescent="0.25">
      <c r="A13645" s="13"/>
    </row>
    <row r="13646" spans="1:1" x14ac:dyDescent="0.25">
      <c r="A13646" s="13"/>
    </row>
    <row r="13647" spans="1:1" x14ac:dyDescent="0.25">
      <c r="A13647" s="13"/>
    </row>
    <row r="13648" spans="1:1" x14ac:dyDescent="0.25">
      <c r="A13648" s="13"/>
    </row>
    <row r="13649" spans="1:1" x14ac:dyDescent="0.25">
      <c r="A13649" s="13"/>
    </row>
    <row r="13650" spans="1:1" x14ac:dyDescent="0.25">
      <c r="A13650" s="13"/>
    </row>
    <row r="13651" spans="1:1" x14ac:dyDescent="0.25">
      <c r="A13651" s="13"/>
    </row>
    <row r="13652" spans="1:1" x14ac:dyDescent="0.25">
      <c r="A13652" s="13"/>
    </row>
    <row r="13653" spans="1:1" x14ac:dyDescent="0.25">
      <c r="A13653" s="13"/>
    </row>
    <row r="13654" spans="1:1" x14ac:dyDescent="0.25">
      <c r="A13654" s="13"/>
    </row>
    <row r="13655" spans="1:1" x14ac:dyDescent="0.25">
      <c r="A13655" s="13"/>
    </row>
    <row r="13656" spans="1:1" x14ac:dyDescent="0.25">
      <c r="A13656" s="13"/>
    </row>
    <row r="13657" spans="1:1" x14ac:dyDescent="0.25">
      <c r="A13657" s="13"/>
    </row>
    <row r="13658" spans="1:1" x14ac:dyDescent="0.25">
      <c r="A13658" s="13"/>
    </row>
    <row r="13659" spans="1:1" x14ac:dyDescent="0.25">
      <c r="A13659" s="13"/>
    </row>
    <row r="13660" spans="1:1" x14ac:dyDescent="0.25">
      <c r="A13660" s="13"/>
    </row>
    <row r="13661" spans="1:1" x14ac:dyDescent="0.25">
      <c r="A13661" s="13"/>
    </row>
    <row r="13662" spans="1:1" x14ac:dyDescent="0.25">
      <c r="A13662" s="13"/>
    </row>
    <row r="13663" spans="1:1" x14ac:dyDescent="0.25">
      <c r="A13663" s="13"/>
    </row>
    <row r="13664" spans="1:1" x14ac:dyDescent="0.25">
      <c r="A13664" s="13"/>
    </row>
    <row r="13665" spans="1:1" x14ac:dyDescent="0.25">
      <c r="A13665" s="13"/>
    </row>
    <row r="13666" spans="1:1" x14ac:dyDescent="0.25">
      <c r="A13666" s="13"/>
    </row>
    <row r="13667" spans="1:1" x14ac:dyDescent="0.25">
      <c r="A13667" s="13"/>
    </row>
    <row r="13668" spans="1:1" x14ac:dyDescent="0.25">
      <c r="A13668" s="13"/>
    </row>
    <row r="13669" spans="1:1" x14ac:dyDescent="0.25">
      <c r="A13669" s="13"/>
    </row>
    <row r="13670" spans="1:1" x14ac:dyDescent="0.25">
      <c r="A13670" s="13"/>
    </row>
    <row r="13671" spans="1:1" x14ac:dyDescent="0.25">
      <c r="A13671" s="13"/>
    </row>
    <row r="13672" spans="1:1" x14ac:dyDescent="0.25">
      <c r="A13672" s="13"/>
    </row>
    <row r="13673" spans="1:1" x14ac:dyDescent="0.25">
      <c r="A13673" s="13"/>
    </row>
    <row r="13674" spans="1:1" x14ac:dyDescent="0.25">
      <c r="A13674" s="13"/>
    </row>
    <row r="13675" spans="1:1" x14ac:dyDescent="0.25">
      <c r="A13675" s="13"/>
    </row>
    <row r="13676" spans="1:1" x14ac:dyDescent="0.25">
      <c r="A13676" s="13"/>
    </row>
    <row r="13677" spans="1:1" x14ac:dyDescent="0.25">
      <c r="A13677" s="13"/>
    </row>
    <row r="13678" spans="1:1" x14ac:dyDescent="0.25">
      <c r="A13678" s="13"/>
    </row>
    <row r="13679" spans="1:1" x14ac:dyDescent="0.25">
      <c r="A13679" s="13"/>
    </row>
    <row r="13680" spans="1:1" x14ac:dyDescent="0.25">
      <c r="A13680" s="13"/>
    </row>
    <row r="13681" spans="1:1" x14ac:dyDescent="0.25">
      <c r="A13681" s="13"/>
    </row>
    <row r="13682" spans="1:1" x14ac:dyDescent="0.25">
      <c r="A13682" s="13"/>
    </row>
    <row r="13683" spans="1:1" x14ac:dyDescent="0.25">
      <c r="A13683" s="13"/>
    </row>
    <row r="13684" spans="1:1" x14ac:dyDescent="0.25">
      <c r="A13684" s="13"/>
    </row>
    <row r="13685" spans="1:1" x14ac:dyDescent="0.25">
      <c r="A13685" s="13"/>
    </row>
    <row r="13686" spans="1:1" x14ac:dyDescent="0.25">
      <c r="A13686" s="13"/>
    </row>
    <row r="13687" spans="1:1" x14ac:dyDescent="0.25">
      <c r="A13687" s="13"/>
    </row>
    <row r="13688" spans="1:1" x14ac:dyDescent="0.25">
      <c r="A13688" s="13"/>
    </row>
    <row r="13689" spans="1:1" x14ac:dyDescent="0.25">
      <c r="A13689" s="13"/>
    </row>
    <row r="13690" spans="1:1" x14ac:dyDescent="0.25">
      <c r="A13690" s="13"/>
    </row>
    <row r="13691" spans="1:1" x14ac:dyDescent="0.25">
      <c r="A13691" s="13"/>
    </row>
    <row r="13692" spans="1:1" x14ac:dyDescent="0.25">
      <c r="A13692" s="13"/>
    </row>
    <row r="13693" spans="1:1" x14ac:dyDescent="0.25">
      <c r="A13693" s="13"/>
    </row>
    <row r="13694" spans="1:1" x14ac:dyDescent="0.25">
      <c r="A13694" s="13"/>
    </row>
    <row r="13695" spans="1:1" x14ac:dyDescent="0.25">
      <c r="A13695" s="13"/>
    </row>
    <row r="13696" spans="1:1" x14ac:dyDescent="0.25">
      <c r="A13696" s="13"/>
    </row>
    <row r="13697" spans="1:1" x14ac:dyDescent="0.25">
      <c r="A13697" s="13"/>
    </row>
    <row r="13698" spans="1:1" x14ac:dyDescent="0.25">
      <c r="A13698" s="13"/>
    </row>
    <row r="13699" spans="1:1" x14ac:dyDescent="0.25">
      <c r="A13699" s="13"/>
    </row>
    <row r="13700" spans="1:1" x14ac:dyDescent="0.25">
      <c r="A13700" s="13"/>
    </row>
    <row r="13701" spans="1:1" x14ac:dyDescent="0.25">
      <c r="A13701" s="13"/>
    </row>
    <row r="13702" spans="1:1" x14ac:dyDescent="0.25">
      <c r="A13702" s="13"/>
    </row>
    <row r="13703" spans="1:1" x14ac:dyDescent="0.25">
      <c r="A13703" s="13"/>
    </row>
    <row r="13704" spans="1:1" x14ac:dyDescent="0.25">
      <c r="A13704" s="13"/>
    </row>
    <row r="13705" spans="1:1" x14ac:dyDescent="0.25">
      <c r="A13705" s="13"/>
    </row>
    <row r="13706" spans="1:1" x14ac:dyDescent="0.25">
      <c r="A13706" s="13"/>
    </row>
    <row r="13707" spans="1:1" x14ac:dyDescent="0.25">
      <c r="A13707" s="13"/>
    </row>
    <row r="13708" spans="1:1" x14ac:dyDescent="0.25">
      <c r="A13708" s="13"/>
    </row>
    <row r="13709" spans="1:1" x14ac:dyDescent="0.25">
      <c r="A13709" s="13"/>
    </row>
    <row r="13710" spans="1:1" x14ac:dyDescent="0.25">
      <c r="A13710" s="13"/>
    </row>
    <row r="13711" spans="1:1" x14ac:dyDescent="0.25">
      <c r="A13711" s="13"/>
    </row>
    <row r="13712" spans="1:1" x14ac:dyDescent="0.25">
      <c r="A13712" s="13"/>
    </row>
    <row r="13713" spans="1:1" x14ac:dyDescent="0.25">
      <c r="A13713" s="13"/>
    </row>
    <row r="13714" spans="1:1" x14ac:dyDescent="0.25">
      <c r="A13714" s="13"/>
    </row>
    <row r="13715" spans="1:1" x14ac:dyDescent="0.25">
      <c r="A13715" s="13"/>
    </row>
    <row r="13716" spans="1:1" x14ac:dyDescent="0.25">
      <c r="A13716" s="13"/>
    </row>
    <row r="13717" spans="1:1" x14ac:dyDescent="0.25">
      <c r="A13717" s="13"/>
    </row>
    <row r="13718" spans="1:1" x14ac:dyDescent="0.25">
      <c r="A13718" s="13"/>
    </row>
    <row r="13719" spans="1:1" x14ac:dyDescent="0.25">
      <c r="A13719" s="13"/>
    </row>
    <row r="13720" spans="1:1" x14ac:dyDescent="0.25">
      <c r="A13720" s="13"/>
    </row>
    <row r="13721" spans="1:1" x14ac:dyDescent="0.25">
      <c r="A13721" s="13"/>
    </row>
    <row r="13722" spans="1:1" x14ac:dyDescent="0.25">
      <c r="A13722" s="13"/>
    </row>
    <row r="13723" spans="1:1" x14ac:dyDescent="0.25">
      <c r="A13723" s="13"/>
    </row>
    <row r="13724" spans="1:1" x14ac:dyDescent="0.25">
      <c r="A13724" s="13"/>
    </row>
    <row r="13725" spans="1:1" x14ac:dyDescent="0.25">
      <c r="A13725" s="13"/>
    </row>
    <row r="13726" spans="1:1" x14ac:dyDescent="0.25">
      <c r="A13726" s="13"/>
    </row>
    <row r="13727" spans="1:1" x14ac:dyDescent="0.25">
      <c r="A13727" s="13"/>
    </row>
    <row r="13728" spans="1:1" x14ac:dyDescent="0.25">
      <c r="A13728" s="13"/>
    </row>
    <row r="13729" spans="1:1" x14ac:dyDescent="0.25">
      <c r="A13729" s="13"/>
    </row>
    <row r="13730" spans="1:1" x14ac:dyDescent="0.25">
      <c r="A13730" s="13"/>
    </row>
    <row r="13731" spans="1:1" x14ac:dyDescent="0.25">
      <c r="A13731" s="13"/>
    </row>
    <row r="13732" spans="1:1" x14ac:dyDescent="0.25">
      <c r="A13732" s="13"/>
    </row>
    <row r="13733" spans="1:1" x14ac:dyDescent="0.25">
      <c r="A13733" s="13"/>
    </row>
    <row r="13734" spans="1:1" x14ac:dyDescent="0.25">
      <c r="A13734" s="13"/>
    </row>
    <row r="13735" spans="1:1" x14ac:dyDescent="0.25">
      <c r="A13735" s="13"/>
    </row>
    <row r="13736" spans="1:1" x14ac:dyDescent="0.25">
      <c r="A13736" s="13"/>
    </row>
    <row r="13737" spans="1:1" x14ac:dyDescent="0.25">
      <c r="A13737" s="13"/>
    </row>
    <row r="13738" spans="1:1" x14ac:dyDescent="0.25">
      <c r="A13738" s="13"/>
    </row>
    <row r="13739" spans="1:1" x14ac:dyDescent="0.25">
      <c r="A13739" s="13"/>
    </row>
    <row r="13740" spans="1:1" x14ac:dyDescent="0.25">
      <c r="A13740" s="13"/>
    </row>
    <row r="13741" spans="1:1" x14ac:dyDescent="0.25">
      <c r="A13741" s="13"/>
    </row>
    <row r="13742" spans="1:1" x14ac:dyDescent="0.25">
      <c r="A13742" s="13"/>
    </row>
    <row r="13743" spans="1:1" x14ac:dyDescent="0.25">
      <c r="A13743" s="13"/>
    </row>
    <row r="13744" spans="1:1" x14ac:dyDescent="0.25">
      <c r="A13744" s="13"/>
    </row>
    <row r="13745" spans="1:1" x14ac:dyDescent="0.25">
      <c r="A13745" s="13"/>
    </row>
    <row r="13746" spans="1:1" x14ac:dyDescent="0.25">
      <c r="A13746" s="13"/>
    </row>
    <row r="13747" spans="1:1" x14ac:dyDescent="0.25">
      <c r="A13747" s="13"/>
    </row>
    <row r="13748" spans="1:1" x14ac:dyDescent="0.25">
      <c r="A13748" s="13"/>
    </row>
    <row r="13749" spans="1:1" x14ac:dyDescent="0.25">
      <c r="A13749" s="13"/>
    </row>
    <row r="13750" spans="1:1" x14ac:dyDescent="0.25">
      <c r="A13750" s="13"/>
    </row>
    <row r="13751" spans="1:1" x14ac:dyDescent="0.25">
      <c r="A13751" s="13"/>
    </row>
    <row r="13752" spans="1:1" x14ac:dyDescent="0.25">
      <c r="A13752" s="13"/>
    </row>
    <row r="13753" spans="1:1" x14ac:dyDescent="0.25">
      <c r="A13753" s="13"/>
    </row>
    <row r="13754" spans="1:1" x14ac:dyDescent="0.25">
      <c r="A13754" s="13"/>
    </row>
    <row r="13755" spans="1:1" x14ac:dyDescent="0.25">
      <c r="A13755" s="13"/>
    </row>
    <row r="13756" spans="1:1" x14ac:dyDescent="0.25">
      <c r="A13756" s="13"/>
    </row>
    <row r="13757" spans="1:1" x14ac:dyDescent="0.25">
      <c r="A13757" s="13"/>
    </row>
    <row r="13758" spans="1:1" x14ac:dyDescent="0.25">
      <c r="A13758" s="13"/>
    </row>
    <row r="13759" spans="1:1" x14ac:dyDescent="0.25">
      <c r="A13759" s="13"/>
    </row>
    <row r="13760" spans="1:1" x14ac:dyDescent="0.25">
      <c r="A13760" s="13"/>
    </row>
    <row r="13761" spans="1:1" x14ac:dyDescent="0.25">
      <c r="A13761" s="13"/>
    </row>
    <row r="13762" spans="1:1" x14ac:dyDescent="0.25">
      <c r="A13762" s="13"/>
    </row>
    <row r="13763" spans="1:1" x14ac:dyDescent="0.25">
      <c r="A13763" s="13"/>
    </row>
    <row r="13764" spans="1:1" x14ac:dyDescent="0.25">
      <c r="A13764" s="13"/>
    </row>
    <row r="13765" spans="1:1" x14ac:dyDescent="0.25">
      <c r="A13765" s="13"/>
    </row>
    <row r="13766" spans="1:1" x14ac:dyDescent="0.25">
      <c r="A13766" s="13"/>
    </row>
    <row r="13767" spans="1:1" x14ac:dyDescent="0.25">
      <c r="A13767" s="13"/>
    </row>
    <row r="13768" spans="1:1" x14ac:dyDescent="0.25">
      <c r="A13768" s="13"/>
    </row>
    <row r="13769" spans="1:1" x14ac:dyDescent="0.25">
      <c r="A13769" s="13"/>
    </row>
    <row r="13770" spans="1:1" x14ac:dyDescent="0.25">
      <c r="A13770" s="13"/>
    </row>
    <row r="13771" spans="1:1" x14ac:dyDescent="0.25">
      <c r="A13771" s="13"/>
    </row>
    <row r="13772" spans="1:1" x14ac:dyDescent="0.25">
      <c r="A13772" s="13"/>
    </row>
    <row r="13773" spans="1:1" x14ac:dyDescent="0.25">
      <c r="A13773" s="13"/>
    </row>
    <row r="13774" spans="1:1" x14ac:dyDescent="0.25">
      <c r="A13774" s="13"/>
    </row>
    <row r="13775" spans="1:1" x14ac:dyDescent="0.25">
      <c r="A13775" s="13"/>
    </row>
    <row r="13776" spans="1:1" x14ac:dyDescent="0.25">
      <c r="A13776" s="13"/>
    </row>
    <row r="13777" spans="1:1" x14ac:dyDescent="0.25">
      <c r="A13777" s="13"/>
    </row>
    <row r="13778" spans="1:1" x14ac:dyDescent="0.25">
      <c r="A13778" s="13"/>
    </row>
    <row r="13779" spans="1:1" x14ac:dyDescent="0.25">
      <c r="A13779" s="13"/>
    </row>
    <row r="13780" spans="1:1" x14ac:dyDescent="0.25">
      <c r="A13780" s="13"/>
    </row>
    <row r="13781" spans="1:1" x14ac:dyDescent="0.25">
      <c r="A13781" s="13"/>
    </row>
    <row r="13782" spans="1:1" x14ac:dyDescent="0.25">
      <c r="A13782" s="13"/>
    </row>
    <row r="13783" spans="1:1" x14ac:dyDescent="0.25">
      <c r="A13783" s="13"/>
    </row>
    <row r="13784" spans="1:1" x14ac:dyDescent="0.25">
      <c r="A13784" s="13"/>
    </row>
    <row r="13785" spans="1:1" x14ac:dyDescent="0.25">
      <c r="A13785" s="13"/>
    </row>
    <row r="13786" spans="1:1" x14ac:dyDescent="0.25">
      <c r="A13786" s="13"/>
    </row>
    <row r="13787" spans="1:1" x14ac:dyDescent="0.25">
      <c r="A13787" s="13"/>
    </row>
    <row r="13788" spans="1:1" x14ac:dyDescent="0.25">
      <c r="A13788" s="13"/>
    </row>
    <row r="13789" spans="1:1" x14ac:dyDescent="0.25">
      <c r="A13789" s="13"/>
    </row>
    <row r="13790" spans="1:1" x14ac:dyDescent="0.25">
      <c r="A13790" s="13"/>
    </row>
    <row r="13791" spans="1:1" x14ac:dyDescent="0.25">
      <c r="A13791" s="13"/>
    </row>
    <row r="13792" spans="1:1" x14ac:dyDescent="0.25">
      <c r="A13792" s="13"/>
    </row>
    <row r="13793" spans="1:1" x14ac:dyDescent="0.25">
      <c r="A13793" s="13"/>
    </row>
    <row r="13794" spans="1:1" x14ac:dyDescent="0.25">
      <c r="A13794" s="13"/>
    </row>
    <row r="13795" spans="1:1" x14ac:dyDescent="0.25">
      <c r="A13795" s="13"/>
    </row>
    <row r="13796" spans="1:1" x14ac:dyDescent="0.25">
      <c r="A13796" s="13"/>
    </row>
    <row r="13797" spans="1:1" x14ac:dyDescent="0.25">
      <c r="A13797" s="13"/>
    </row>
    <row r="13798" spans="1:1" x14ac:dyDescent="0.25">
      <c r="A13798" s="13"/>
    </row>
    <row r="13799" spans="1:1" x14ac:dyDescent="0.25">
      <c r="A13799" s="13"/>
    </row>
    <row r="13800" spans="1:1" x14ac:dyDescent="0.25">
      <c r="A13800" s="13"/>
    </row>
    <row r="13801" spans="1:1" x14ac:dyDescent="0.25">
      <c r="A13801" s="13"/>
    </row>
    <row r="13802" spans="1:1" x14ac:dyDescent="0.25">
      <c r="A13802" s="13"/>
    </row>
    <row r="13803" spans="1:1" x14ac:dyDescent="0.25">
      <c r="A13803" s="13"/>
    </row>
    <row r="13804" spans="1:1" x14ac:dyDescent="0.25">
      <c r="A13804" s="13"/>
    </row>
    <row r="13805" spans="1:1" x14ac:dyDescent="0.25">
      <c r="A13805" s="13"/>
    </row>
    <row r="13806" spans="1:1" x14ac:dyDescent="0.25">
      <c r="A13806" s="13"/>
    </row>
    <row r="13807" spans="1:1" x14ac:dyDescent="0.25">
      <c r="A13807" s="13"/>
    </row>
    <row r="13808" spans="1:1" x14ac:dyDescent="0.25">
      <c r="A13808" s="13"/>
    </row>
    <row r="13809" spans="1:1" x14ac:dyDescent="0.25">
      <c r="A13809" s="13"/>
    </row>
    <row r="13810" spans="1:1" x14ac:dyDescent="0.25">
      <c r="A13810" s="13"/>
    </row>
    <row r="13811" spans="1:1" x14ac:dyDescent="0.25">
      <c r="A13811" s="13"/>
    </row>
    <row r="13812" spans="1:1" x14ac:dyDescent="0.25">
      <c r="A13812" s="13"/>
    </row>
    <row r="13813" spans="1:1" x14ac:dyDescent="0.25">
      <c r="A13813" s="13"/>
    </row>
    <row r="13814" spans="1:1" x14ac:dyDescent="0.25">
      <c r="A13814" s="13"/>
    </row>
    <row r="13815" spans="1:1" x14ac:dyDescent="0.25">
      <c r="A13815" s="13"/>
    </row>
    <row r="13816" spans="1:1" x14ac:dyDescent="0.25">
      <c r="A13816" s="13"/>
    </row>
    <row r="13817" spans="1:1" x14ac:dyDescent="0.25">
      <c r="A13817" s="13"/>
    </row>
    <row r="13818" spans="1:1" x14ac:dyDescent="0.25">
      <c r="A13818" s="13"/>
    </row>
    <row r="13819" spans="1:1" x14ac:dyDescent="0.25">
      <c r="A13819" s="13"/>
    </row>
    <row r="13820" spans="1:1" x14ac:dyDescent="0.25">
      <c r="A13820" s="13"/>
    </row>
    <row r="13821" spans="1:1" x14ac:dyDescent="0.25">
      <c r="A13821" s="13"/>
    </row>
    <row r="13822" spans="1:1" x14ac:dyDescent="0.25">
      <c r="A13822" s="13"/>
    </row>
    <row r="13823" spans="1:1" x14ac:dyDescent="0.25">
      <c r="A13823" s="13"/>
    </row>
    <row r="13824" spans="1:1" x14ac:dyDescent="0.25">
      <c r="A13824" s="13"/>
    </row>
    <row r="13825" spans="1:1" x14ac:dyDescent="0.25">
      <c r="A13825" s="13"/>
    </row>
    <row r="13826" spans="1:1" x14ac:dyDescent="0.25">
      <c r="A13826" s="13"/>
    </row>
    <row r="13827" spans="1:1" x14ac:dyDescent="0.25">
      <c r="A13827" s="13"/>
    </row>
    <row r="13828" spans="1:1" x14ac:dyDescent="0.25">
      <c r="A13828" s="13"/>
    </row>
    <row r="13829" spans="1:1" x14ac:dyDescent="0.25">
      <c r="A13829" s="13"/>
    </row>
    <row r="13830" spans="1:1" x14ac:dyDescent="0.25">
      <c r="A13830" s="13"/>
    </row>
    <row r="13831" spans="1:1" x14ac:dyDescent="0.25">
      <c r="A13831" s="13"/>
    </row>
    <row r="13832" spans="1:1" x14ac:dyDescent="0.25">
      <c r="A13832" s="13"/>
    </row>
    <row r="13833" spans="1:1" x14ac:dyDescent="0.25">
      <c r="A13833" s="13"/>
    </row>
    <row r="13834" spans="1:1" x14ac:dyDescent="0.25">
      <c r="A13834" s="13"/>
    </row>
    <row r="13835" spans="1:1" x14ac:dyDescent="0.25">
      <c r="A13835" s="13"/>
    </row>
    <row r="13836" spans="1:1" x14ac:dyDescent="0.25">
      <c r="A13836" s="13"/>
    </row>
    <row r="13837" spans="1:1" x14ac:dyDescent="0.25">
      <c r="A13837" s="13"/>
    </row>
    <row r="13838" spans="1:1" x14ac:dyDescent="0.25">
      <c r="A13838" s="13"/>
    </row>
    <row r="13839" spans="1:1" x14ac:dyDescent="0.25">
      <c r="A13839" s="13"/>
    </row>
    <row r="13840" spans="1:1" x14ac:dyDescent="0.25">
      <c r="A13840" s="13"/>
    </row>
    <row r="13841" spans="1:1" x14ac:dyDescent="0.25">
      <c r="A13841" s="13"/>
    </row>
    <row r="13842" spans="1:1" x14ac:dyDescent="0.25">
      <c r="A13842" s="13"/>
    </row>
    <row r="13843" spans="1:1" x14ac:dyDescent="0.25">
      <c r="A13843" s="13"/>
    </row>
    <row r="13844" spans="1:1" x14ac:dyDescent="0.25">
      <c r="A13844" s="13"/>
    </row>
    <row r="13845" spans="1:1" x14ac:dyDescent="0.25">
      <c r="A13845" s="13"/>
    </row>
    <row r="13846" spans="1:1" x14ac:dyDescent="0.25">
      <c r="A13846" s="13"/>
    </row>
    <row r="13847" spans="1:1" x14ac:dyDescent="0.25">
      <c r="A13847" s="13"/>
    </row>
    <row r="13848" spans="1:1" x14ac:dyDescent="0.25">
      <c r="A13848" s="13"/>
    </row>
    <row r="13849" spans="1:1" x14ac:dyDescent="0.25">
      <c r="A13849" s="13"/>
    </row>
    <row r="13850" spans="1:1" x14ac:dyDescent="0.25">
      <c r="A13850" s="13"/>
    </row>
    <row r="13851" spans="1:1" x14ac:dyDescent="0.25">
      <c r="A13851" s="13"/>
    </row>
    <row r="13852" spans="1:1" x14ac:dyDescent="0.25">
      <c r="A13852" s="13"/>
    </row>
    <row r="13853" spans="1:1" x14ac:dyDescent="0.25">
      <c r="A13853" s="13"/>
    </row>
    <row r="13854" spans="1:1" x14ac:dyDescent="0.25">
      <c r="A13854" s="13"/>
    </row>
    <row r="13855" spans="1:1" x14ac:dyDescent="0.25">
      <c r="A13855" s="13"/>
    </row>
    <row r="13856" spans="1:1" x14ac:dyDescent="0.25">
      <c r="A13856" s="13"/>
    </row>
    <row r="13857" spans="1:1" x14ac:dyDescent="0.25">
      <c r="A13857" s="13"/>
    </row>
    <row r="13858" spans="1:1" x14ac:dyDescent="0.25">
      <c r="A13858" s="13"/>
    </row>
    <row r="13859" spans="1:1" x14ac:dyDescent="0.25">
      <c r="A13859" s="13"/>
    </row>
    <row r="13860" spans="1:1" x14ac:dyDescent="0.25">
      <c r="A13860" s="13"/>
    </row>
    <row r="13861" spans="1:1" x14ac:dyDescent="0.25">
      <c r="A13861" s="13"/>
    </row>
    <row r="13862" spans="1:1" x14ac:dyDescent="0.25">
      <c r="A13862" s="13"/>
    </row>
    <row r="13863" spans="1:1" x14ac:dyDescent="0.25">
      <c r="A13863" s="13"/>
    </row>
    <row r="13864" spans="1:1" x14ac:dyDescent="0.25">
      <c r="A13864" s="13"/>
    </row>
    <row r="13865" spans="1:1" x14ac:dyDescent="0.25">
      <c r="A13865" s="13"/>
    </row>
    <row r="13866" spans="1:1" x14ac:dyDescent="0.25">
      <c r="A13866" s="13"/>
    </row>
    <row r="13867" spans="1:1" x14ac:dyDescent="0.25">
      <c r="A13867" s="13"/>
    </row>
    <row r="13868" spans="1:1" x14ac:dyDescent="0.25">
      <c r="A13868" s="13"/>
    </row>
    <row r="13869" spans="1:1" x14ac:dyDescent="0.25">
      <c r="A13869" s="13"/>
    </row>
    <row r="13870" spans="1:1" x14ac:dyDescent="0.25">
      <c r="A13870" s="13"/>
    </row>
    <row r="13871" spans="1:1" x14ac:dyDescent="0.25">
      <c r="A13871" s="13"/>
    </row>
    <row r="13872" spans="1:1" x14ac:dyDescent="0.25">
      <c r="A13872" s="13"/>
    </row>
    <row r="13873" spans="1:1" x14ac:dyDescent="0.25">
      <c r="A13873" s="13"/>
    </row>
    <row r="13874" spans="1:1" x14ac:dyDescent="0.25">
      <c r="A13874" s="13"/>
    </row>
    <row r="13875" spans="1:1" x14ac:dyDescent="0.25">
      <c r="A13875" s="13"/>
    </row>
    <row r="13876" spans="1:1" x14ac:dyDescent="0.25">
      <c r="A13876" s="13"/>
    </row>
    <row r="13877" spans="1:1" x14ac:dyDescent="0.25">
      <c r="A13877" s="13"/>
    </row>
    <row r="13878" spans="1:1" x14ac:dyDescent="0.25">
      <c r="A13878" s="13"/>
    </row>
    <row r="13879" spans="1:1" x14ac:dyDescent="0.25">
      <c r="A13879" s="13"/>
    </row>
    <row r="13880" spans="1:1" x14ac:dyDescent="0.25">
      <c r="A13880" s="13"/>
    </row>
    <row r="13881" spans="1:1" x14ac:dyDescent="0.25">
      <c r="A13881" s="13"/>
    </row>
    <row r="13882" spans="1:1" x14ac:dyDescent="0.25">
      <c r="A13882" s="13"/>
    </row>
    <row r="13883" spans="1:1" x14ac:dyDescent="0.25">
      <c r="A13883" s="13"/>
    </row>
    <row r="13884" spans="1:1" x14ac:dyDescent="0.25">
      <c r="A13884" s="13"/>
    </row>
    <row r="13885" spans="1:1" x14ac:dyDescent="0.25">
      <c r="A13885" s="13"/>
    </row>
    <row r="13886" spans="1:1" x14ac:dyDescent="0.25">
      <c r="A13886" s="13"/>
    </row>
    <row r="13887" spans="1:1" x14ac:dyDescent="0.25">
      <c r="A13887" s="13"/>
    </row>
    <row r="13888" spans="1:1" x14ac:dyDescent="0.25">
      <c r="A13888" s="13"/>
    </row>
    <row r="13889" spans="1:1" x14ac:dyDescent="0.25">
      <c r="A13889" s="13"/>
    </row>
    <row r="13890" spans="1:1" x14ac:dyDescent="0.25">
      <c r="A13890" s="13"/>
    </row>
    <row r="13891" spans="1:1" x14ac:dyDescent="0.25">
      <c r="A13891" s="13"/>
    </row>
    <row r="13892" spans="1:1" x14ac:dyDescent="0.25">
      <c r="A13892" s="13"/>
    </row>
    <row r="13893" spans="1:1" x14ac:dyDescent="0.25">
      <c r="A13893" s="13"/>
    </row>
    <row r="13894" spans="1:1" x14ac:dyDescent="0.25">
      <c r="A13894" s="13"/>
    </row>
    <row r="13895" spans="1:1" x14ac:dyDescent="0.25">
      <c r="A13895" s="13"/>
    </row>
    <row r="13896" spans="1:1" x14ac:dyDescent="0.25">
      <c r="A13896" s="13"/>
    </row>
    <row r="13897" spans="1:1" x14ac:dyDescent="0.25">
      <c r="A13897" s="13"/>
    </row>
    <row r="13898" spans="1:1" x14ac:dyDescent="0.25">
      <c r="A13898" s="13"/>
    </row>
    <row r="13899" spans="1:1" x14ac:dyDescent="0.25">
      <c r="A13899" s="13"/>
    </row>
    <row r="13900" spans="1:1" x14ac:dyDescent="0.25">
      <c r="A13900" s="13"/>
    </row>
    <row r="13901" spans="1:1" x14ac:dyDescent="0.25">
      <c r="A13901" s="13"/>
    </row>
    <row r="13902" spans="1:1" x14ac:dyDescent="0.25">
      <c r="A13902" s="13"/>
    </row>
    <row r="13903" spans="1:1" x14ac:dyDescent="0.25">
      <c r="A13903" s="13"/>
    </row>
    <row r="13904" spans="1:1" x14ac:dyDescent="0.25">
      <c r="A13904" s="13"/>
    </row>
    <row r="13905" spans="1:1" x14ac:dyDescent="0.25">
      <c r="A13905" s="13"/>
    </row>
    <row r="13906" spans="1:1" x14ac:dyDescent="0.25">
      <c r="A13906" s="13"/>
    </row>
    <row r="13907" spans="1:1" x14ac:dyDescent="0.25">
      <c r="A13907" s="13"/>
    </row>
    <row r="13908" spans="1:1" x14ac:dyDescent="0.25">
      <c r="A13908" s="13"/>
    </row>
    <row r="13909" spans="1:1" x14ac:dyDescent="0.25">
      <c r="A13909" s="13"/>
    </row>
    <row r="13910" spans="1:1" x14ac:dyDescent="0.25">
      <c r="A13910" s="13"/>
    </row>
    <row r="13911" spans="1:1" x14ac:dyDescent="0.25">
      <c r="A13911" s="13"/>
    </row>
    <row r="13912" spans="1:1" x14ac:dyDescent="0.25">
      <c r="A13912" s="13"/>
    </row>
    <row r="13913" spans="1:1" x14ac:dyDescent="0.25">
      <c r="A13913" s="13"/>
    </row>
    <row r="13914" spans="1:1" x14ac:dyDescent="0.25">
      <c r="A13914" s="13"/>
    </row>
    <row r="13915" spans="1:1" x14ac:dyDescent="0.25">
      <c r="A13915" s="13"/>
    </row>
    <row r="13916" spans="1:1" x14ac:dyDescent="0.25">
      <c r="A13916" s="13"/>
    </row>
    <row r="13917" spans="1:1" x14ac:dyDescent="0.25">
      <c r="A13917" s="13"/>
    </row>
    <row r="13918" spans="1:1" x14ac:dyDescent="0.25">
      <c r="A13918" s="13"/>
    </row>
    <row r="13919" spans="1:1" x14ac:dyDescent="0.25">
      <c r="A13919" s="13"/>
    </row>
    <row r="13920" spans="1:1" x14ac:dyDescent="0.25">
      <c r="A13920" s="13"/>
    </row>
    <row r="13921" spans="1:1" x14ac:dyDescent="0.25">
      <c r="A13921" s="13"/>
    </row>
    <row r="13922" spans="1:1" x14ac:dyDescent="0.25">
      <c r="A13922" s="13"/>
    </row>
    <row r="13923" spans="1:1" x14ac:dyDescent="0.25">
      <c r="A13923" s="13"/>
    </row>
    <row r="13924" spans="1:1" x14ac:dyDescent="0.25">
      <c r="A13924" s="13"/>
    </row>
    <row r="13925" spans="1:1" x14ac:dyDescent="0.25">
      <c r="A13925" s="13"/>
    </row>
    <row r="13926" spans="1:1" x14ac:dyDescent="0.25">
      <c r="A13926" s="13"/>
    </row>
    <row r="13927" spans="1:1" x14ac:dyDescent="0.25">
      <c r="A13927" s="13"/>
    </row>
    <row r="13928" spans="1:1" x14ac:dyDescent="0.25">
      <c r="A13928" s="13"/>
    </row>
    <row r="13929" spans="1:1" x14ac:dyDescent="0.25">
      <c r="A13929" s="13"/>
    </row>
    <row r="13930" spans="1:1" x14ac:dyDescent="0.25">
      <c r="A13930" s="13"/>
    </row>
    <row r="13931" spans="1:1" x14ac:dyDescent="0.25">
      <c r="A13931" s="13"/>
    </row>
    <row r="13932" spans="1:1" x14ac:dyDescent="0.25">
      <c r="A13932" s="13"/>
    </row>
    <row r="13933" spans="1:1" x14ac:dyDescent="0.25">
      <c r="A13933" s="13"/>
    </row>
    <row r="13934" spans="1:1" x14ac:dyDescent="0.25">
      <c r="A13934" s="13"/>
    </row>
    <row r="13935" spans="1:1" x14ac:dyDescent="0.25">
      <c r="A13935" s="13"/>
    </row>
    <row r="13936" spans="1:1" x14ac:dyDescent="0.25">
      <c r="A13936" s="13"/>
    </row>
    <row r="13937" spans="1:1" x14ac:dyDescent="0.25">
      <c r="A13937" s="13"/>
    </row>
    <row r="13938" spans="1:1" x14ac:dyDescent="0.25">
      <c r="A13938" s="13"/>
    </row>
    <row r="13939" spans="1:1" x14ac:dyDescent="0.25">
      <c r="A13939" s="13"/>
    </row>
    <row r="13940" spans="1:1" x14ac:dyDescent="0.25">
      <c r="A13940" s="13"/>
    </row>
    <row r="13941" spans="1:1" x14ac:dyDescent="0.25">
      <c r="A13941" s="13"/>
    </row>
    <row r="13942" spans="1:1" x14ac:dyDescent="0.25">
      <c r="A13942" s="13"/>
    </row>
    <row r="13943" spans="1:1" x14ac:dyDescent="0.25">
      <c r="A13943" s="13"/>
    </row>
    <row r="13944" spans="1:1" x14ac:dyDescent="0.25">
      <c r="A13944" s="13"/>
    </row>
    <row r="13945" spans="1:1" x14ac:dyDescent="0.25">
      <c r="A13945" s="13"/>
    </row>
    <row r="13946" spans="1:1" x14ac:dyDescent="0.25">
      <c r="A13946" s="13"/>
    </row>
    <row r="13947" spans="1:1" x14ac:dyDescent="0.25">
      <c r="A13947" s="13"/>
    </row>
    <row r="13948" spans="1:1" x14ac:dyDescent="0.25">
      <c r="A13948" s="13"/>
    </row>
    <row r="13949" spans="1:1" x14ac:dyDescent="0.25">
      <c r="A13949" s="13"/>
    </row>
    <row r="13950" spans="1:1" x14ac:dyDescent="0.25">
      <c r="A13950" s="13"/>
    </row>
    <row r="13951" spans="1:1" x14ac:dyDescent="0.25">
      <c r="A13951" s="13"/>
    </row>
    <row r="13952" spans="1:1" x14ac:dyDescent="0.25">
      <c r="A13952" s="13"/>
    </row>
    <row r="13953" spans="1:1" x14ac:dyDescent="0.25">
      <c r="A13953" s="13"/>
    </row>
    <row r="13954" spans="1:1" x14ac:dyDescent="0.25">
      <c r="A13954" s="13"/>
    </row>
    <row r="13955" spans="1:1" x14ac:dyDescent="0.25">
      <c r="A13955" s="13"/>
    </row>
    <row r="13956" spans="1:1" x14ac:dyDescent="0.25">
      <c r="A13956" s="13"/>
    </row>
    <row r="13957" spans="1:1" x14ac:dyDescent="0.25">
      <c r="A13957" s="13"/>
    </row>
    <row r="13958" spans="1:1" x14ac:dyDescent="0.25">
      <c r="A13958" s="13"/>
    </row>
    <row r="13959" spans="1:1" x14ac:dyDescent="0.25">
      <c r="A13959" s="13"/>
    </row>
    <row r="13960" spans="1:1" x14ac:dyDescent="0.25">
      <c r="A13960" s="13"/>
    </row>
    <row r="13961" spans="1:1" x14ac:dyDescent="0.25">
      <c r="A13961" s="13"/>
    </row>
    <row r="13962" spans="1:1" x14ac:dyDescent="0.25">
      <c r="A13962" s="13"/>
    </row>
    <row r="13963" spans="1:1" x14ac:dyDescent="0.25">
      <c r="A13963" s="13"/>
    </row>
    <row r="13964" spans="1:1" x14ac:dyDescent="0.25">
      <c r="A13964" s="13"/>
    </row>
    <row r="13965" spans="1:1" x14ac:dyDescent="0.25">
      <c r="A13965" s="13"/>
    </row>
    <row r="13966" spans="1:1" x14ac:dyDescent="0.25">
      <c r="A13966" s="13"/>
    </row>
    <row r="13967" spans="1:1" x14ac:dyDescent="0.25">
      <c r="A13967" s="13"/>
    </row>
    <row r="13968" spans="1:1" x14ac:dyDescent="0.25">
      <c r="A13968" s="13"/>
    </row>
    <row r="13969" spans="1:1" x14ac:dyDescent="0.25">
      <c r="A13969" s="13"/>
    </row>
    <row r="13970" spans="1:1" x14ac:dyDescent="0.25">
      <c r="A13970" s="13"/>
    </row>
    <row r="13971" spans="1:1" x14ac:dyDescent="0.25">
      <c r="A13971" s="13"/>
    </row>
    <row r="13972" spans="1:1" x14ac:dyDescent="0.25">
      <c r="A13972" s="13"/>
    </row>
    <row r="13973" spans="1:1" x14ac:dyDescent="0.25">
      <c r="A13973" s="13"/>
    </row>
    <row r="13974" spans="1:1" x14ac:dyDescent="0.25">
      <c r="A13974" s="13"/>
    </row>
    <row r="13975" spans="1:1" x14ac:dyDescent="0.25">
      <c r="A13975" s="13"/>
    </row>
    <row r="13976" spans="1:1" x14ac:dyDescent="0.25">
      <c r="A13976" s="13"/>
    </row>
    <row r="13977" spans="1:1" x14ac:dyDescent="0.25">
      <c r="A13977" s="13"/>
    </row>
    <row r="13978" spans="1:1" x14ac:dyDescent="0.25">
      <c r="A13978" s="13"/>
    </row>
    <row r="13979" spans="1:1" x14ac:dyDescent="0.25">
      <c r="A13979" s="13"/>
    </row>
    <row r="13980" spans="1:1" x14ac:dyDescent="0.25">
      <c r="A13980" s="13"/>
    </row>
    <row r="13981" spans="1:1" x14ac:dyDescent="0.25">
      <c r="A13981" s="13"/>
    </row>
    <row r="13982" spans="1:1" x14ac:dyDescent="0.25">
      <c r="A13982" s="13"/>
    </row>
    <row r="13983" spans="1:1" x14ac:dyDescent="0.25">
      <c r="A13983" s="13"/>
    </row>
    <row r="13984" spans="1:1" x14ac:dyDescent="0.25">
      <c r="A13984" s="13"/>
    </row>
    <row r="13985" spans="1:1" x14ac:dyDescent="0.25">
      <c r="A13985" s="13"/>
    </row>
    <row r="13986" spans="1:1" x14ac:dyDescent="0.25">
      <c r="A13986" s="13"/>
    </row>
    <row r="13987" spans="1:1" x14ac:dyDescent="0.25">
      <c r="A13987" s="13"/>
    </row>
    <row r="13988" spans="1:1" x14ac:dyDescent="0.25">
      <c r="A13988" s="13"/>
    </row>
    <row r="13989" spans="1:1" x14ac:dyDescent="0.25">
      <c r="A13989" s="13"/>
    </row>
    <row r="13990" spans="1:1" x14ac:dyDescent="0.25">
      <c r="A13990" s="13"/>
    </row>
    <row r="13991" spans="1:1" x14ac:dyDescent="0.25">
      <c r="A13991" s="13"/>
    </row>
    <row r="13992" spans="1:1" x14ac:dyDescent="0.25">
      <c r="A13992" s="13"/>
    </row>
    <row r="13993" spans="1:1" x14ac:dyDescent="0.25">
      <c r="A13993" s="13"/>
    </row>
    <row r="13994" spans="1:1" x14ac:dyDescent="0.25">
      <c r="A13994" s="13"/>
    </row>
    <row r="13995" spans="1:1" x14ac:dyDescent="0.25">
      <c r="A13995" s="13"/>
    </row>
    <row r="13996" spans="1:1" x14ac:dyDescent="0.25">
      <c r="A13996" s="13"/>
    </row>
    <row r="13997" spans="1:1" x14ac:dyDescent="0.25">
      <c r="A13997" s="13"/>
    </row>
    <row r="13998" spans="1:1" x14ac:dyDescent="0.25">
      <c r="A13998" s="13"/>
    </row>
    <row r="13999" spans="1:1" x14ac:dyDescent="0.25">
      <c r="A13999" s="13"/>
    </row>
    <row r="14000" spans="1:1" x14ac:dyDescent="0.25">
      <c r="A14000" s="13"/>
    </row>
    <row r="14001" spans="1:1" x14ac:dyDescent="0.25">
      <c r="A14001" s="13"/>
    </row>
    <row r="14002" spans="1:1" x14ac:dyDescent="0.25">
      <c r="A14002" s="13"/>
    </row>
    <row r="14003" spans="1:1" x14ac:dyDescent="0.25">
      <c r="A14003" s="13"/>
    </row>
    <row r="14004" spans="1:1" x14ac:dyDescent="0.25">
      <c r="A14004" s="13"/>
    </row>
    <row r="14005" spans="1:1" x14ac:dyDescent="0.25">
      <c r="A14005" s="13"/>
    </row>
    <row r="14006" spans="1:1" x14ac:dyDescent="0.25">
      <c r="A14006" s="13"/>
    </row>
    <row r="14007" spans="1:1" x14ac:dyDescent="0.25">
      <c r="A14007" s="13"/>
    </row>
    <row r="14008" spans="1:1" x14ac:dyDescent="0.25">
      <c r="A14008" s="13"/>
    </row>
    <row r="14009" spans="1:1" x14ac:dyDescent="0.25">
      <c r="A14009" s="13"/>
    </row>
    <row r="14010" spans="1:1" x14ac:dyDescent="0.25">
      <c r="A14010" s="13"/>
    </row>
    <row r="14011" spans="1:1" x14ac:dyDescent="0.25">
      <c r="A14011" s="13"/>
    </row>
    <row r="14012" spans="1:1" x14ac:dyDescent="0.25">
      <c r="A14012" s="13"/>
    </row>
    <row r="14013" spans="1:1" x14ac:dyDescent="0.25">
      <c r="A14013" s="13"/>
    </row>
    <row r="14014" spans="1:1" x14ac:dyDescent="0.25">
      <c r="A14014" s="13"/>
    </row>
    <row r="14015" spans="1:1" x14ac:dyDescent="0.25">
      <c r="A14015" s="13"/>
    </row>
    <row r="14016" spans="1:1" x14ac:dyDescent="0.25">
      <c r="A14016" s="13"/>
    </row>
    <row r="14017" spans="1:1" x14ac:dyDescent="0.25">
      <c r="A14017" s="13"/>
    </row>
    <row r="14018" spans="1:1" x14ac:dyDescent="0.25">
      <c r="A14018" s="13"/>
    </row>
    <row r="14019" spans="1:1" x14ac:dyDescent="0.25">
      <c r="A14019" s="13"/>
    </row>
    <row r="14020" spans="1:1" x14ac:dyDescent="0.25">
      <c r="A14020" s="13"/>
    </row>
    <row r="14021" spans="1:1" x14ac:dyDescent="0.25">
      <c r="A14021" s="13"/>
    </row>
    <row r="14022" spans="1:1" x14ac:dyDescent="0.25">
      <c r="A14022" s="13"/>
    </row>
    <row r="14023" spans="1:1" x14ac:dyDescent="0.25">
      <c r="A14023" s="13"/>
    </row>
    <row r="14024" spans="1:1" x14ac:dyDescent="0.25">
      <c r="A14024" s="13"/>
    </row>
    <row r="14025" spans="1:1" x14ac:dyDescent="0.25">
      <c r="A14025" s="13"/>
    </row>
    <row r="14026" spans="1:1" x14ac:dyDescent="0.25">
      <c r="A14026" s="13"/>
    </row>
    <row r="14027" spans="1:1" x14ac:dyDescent="0.25">
      <c r="A14027" s="13"/>
    </row>
    <row r="14028" spans="1:1" x14ac:dyDescent="0.25">
      <c r="A14028" s="13"/>
    </row>
    <row r="14029" spans="1:1" x14ac:dyDescent="0.25">
      <c r="A14029" s="13"/>
    </row>
    <row r="14030" spans="1:1" x14ac:dyDescent="0.25">
      <c r="A14030" s="13"/>
    </row>
    <row r="14031" spans="1:1" x14ac:dyDescent="0.25">
      <c r="A14031" s="13"/>
    </row>
    <row r="14032" spans="1:1" x14ac:dyDescent="0.25">
      <c r="A14032" s="13"/>
    </row>
    <row r="14033" spans="1:1" x14ac:dyDescent="0.25">
      <c r="A14033" s="13"/>
    </row>
    <row r="14034" spans="1:1" x14ac:dyDescent="0.25">
      <c r="A14034" s="13"/>
    </row>
    <row r="14035" spans="1:1" x14ac:dyDescent="0.25">
      <c r="A14035" s="13"/>
    </row>
    <row r="14036" spans="1:1" x14ac:dyDescent="0.25">
      <c r="A14036" s="13"/>
    </row>
    <row r="14037" spans="1:1" x14ac:dyDescent="0.25">
      <c r="A14037" s="13"/>
    </row>
    <row r="14038" spans="1:1" x14ac:dyDescent="0.25">
      <c r="A14038" s="13"/>
    </row>
    <row r="14039" spans="1:1" x14ac:dyDescent="0.25">
      <c r="A14039" s="13"/>
    </row>
    <row r="14040" spans="1:1" x14ac:dyDescent="0.25">
      <c r="A14040" s="13"/>
    </row>
    <row r="14041" spans="1:1" x14ac:dyDescent="0.25">
      <c r="A14041" s="13"/>
    </row>
    <row r="14042" spans="1:1" x14ac:dyDescent="0.25">
      <c r="A14042" s="13"/>
    </row>
    <row r="14043" spans="1:1" x14ac:dyDescent="0.25">
      <c r="A14043" s="13"/>
    </row>
    <row r="14044" spans="1:1" x14ac:dyDescent="0.25">
      <c r="A14044" s="13"/>
    </row>
    <row r="14045" spans="1:1" x14ac:dyDescent="0.25">
      <c r="A14045" s="13"/>
    </row>
    <row r="14046" spans="1:1" x14ac:dyDescent="0.25">
      <c r="A14046" s="13"/>
    </row>
    <row r="14047" spans="1:1" x14ac:dyDescent="0.25">
      <c r="A14047" s="13"/>
    </row>
    <row r="14048" spans="1:1" x14ac:dyDescent="0.25">
      <c r="A14048" s="13"/>
    </row>
    <row r="14049" spans="1:1" x14ac:dyDescent="0.25">
      <c r="A14049" s="13"/>
    </row>
    <row r="14050" spans="1:1" x14ac:dyDescent="0.25">
      <c r="A14050" s="13"/>
    </row>
    <row r="14051" spans="1:1" x14ac:dyDescent="0.25">
      <c r="A14051" s="13"/>
    </row>
    <row r="14052" spans="1:1" x14ac:dyDescent="0.25">
      <c r="A14052" s="13"/>
    </row>
    <row r="14053" spans="1:1" x14ac:dyDescent="0.25">
      <c r="A14053" s="13"/>
    </row>
    <row r="14054" spans="1:1" x14ac:dyDescent="0.25">
      <c r="A14054" s="13"/>
    </row>
    <row r="14055" spans="1:1" x14ac:dyDescent="0.25">
      <c r="A14055" s="13"/>
    </row>
    <row r="14056" spans="1:1" x14ac:dyDescent="0.25">
      <c r="A14056" s="13"/>
    </row>
    <row r="14057" spans="1:1" x14ac:dyDescent="0.25">
      <c r="A14057" s="13"/>
    </row>
    <row r="14058" spans="1:1" x14ac:dyDescent="0.25">
      <c r="A14058" s="13"/>
    </row>
    <row r="14059" spans="1:1" x14ac:dyDescent="0.25">
      <c r="A14059" s="13"/>
    </row>
    <row r="14060" spans="1:1" x14ac:dyDescent="0.25">
      <c r="A14060" s="13"/>
    </row>
    <row r="14061" spans="1:1" x14ac:dyDescent="0.25">
      <c r="A14061" s="13"/>
    </row>
    <row r="14062" spans="1:1" x14ac:dyDescent="0.25">
      <c r="A14062" s="13"/>
    </row>
    <row r="14063" spans="1:1" x14ac:dyDescent="0.25">
      <c r="A14063" s="13"/>
    </row>
    <row r="14064" spans="1:1" x14ac:dyDescent="0.25">
      <c r="A14064" s="13"/>
    </row>
    <row r="14065" spans="1:1" x14ac:dyDescent="0.25">
      <c r="A14065" s="13"/>
    </row>
    <row r="14066" spans="1:1" x14ac:dyDescent="0.25">
      <c r="A14066" s="13"/>
    </row>
    <row r="14067" spans="1:1" x14ac:dyDescent="0.25">
      <c r="A14067" s="13"/>
    </row>
    <row r="14068" spans="1:1" x14ac:dyDescent="0.25">
      <c r="A14068" s="13"/>
    </row>
    <row r="14069" spans="1:1" x14ac:dyDescent="0.25">
      <c r="A14069" s="13"/>
    </row>
    <row r="14070" spans="1:1" x14ac:dyDescent="0.25">
      <c r="A14070" s="13"/>
    </row>
    <row r="14071" spans="1:1" x14ac:dyDescent="0.25">
      <c r="A14071" s="13"/>
    </row>
    <row r="14072" spans="1:1" x14ac:dyDescent="0.25">
      <c r="A14072" s="13"/>
    </row>
    <row r="14073" spans="1:1" x14ac:dyDescent="0.25">
      <c r="A14073" s="13"/>
    </row>
    <row r="14074" spans="1:1" x14ac:dyDescent="0.25">
      <c r="A14074" s="13"/>
    </row>
    <row r="14075" spans="1:1" x14ac:dyDescent="0.25">
      <c r="A14075" s="13"/>
    </row>
    <row r="14076" spans="1:1" x14ac:dyDescent="0.25">
      <c r="A14076" s="13"/>
    </row>
    <row r="14077" spans="1:1" x14ac:dyDescent="0.25">
      <c r="A14077" s="13"/>
    </row>
    <row r="14078" spans="1:1" x14ac:dyDescent="0.25">
      <c r="A14078" s="13"/>
    </row>
    <row r="14079" spans="1:1" x14ac:dyDescent="0.25">
      <c r="A14079" s="13"/>
    </row>
    <row r="14080" spans="1:1" x14ac:dyDescent="0.25">
      <c r="A14080" s="13"/>
    </row>
    <row r="14081" spans="1:1" x14ac:dyDescent="0.25">
      <c r="A14081" s="13"/>
    </row>
    <row r="14082" spans="1:1" x14ac:dyDescent="0.25">
      <c r="A14082" s="13"/>
    </row>
    <row r="14083" spans="1:1" x14ac:dyDescent="0.25">
      <c r="A14083" s="13"/>
    </row>
    <row r="14084" spans="1:1" x14ac:dyDescent="0.25">
      <c r="A14084" s="13"/>
    </row>
    <row r="14085" spans="1:1" x14ac:dyDescent="0.25">
      <c r="A14085" s="13"/>
    </row>
    <row r="14086" spans="1:1" x14ac:dyDescent="0.25">
      <c r="A14086" s="13"/>
    </row>
    <row r="14087" spans="1:1" x14ac:dyDescent="0.25">
      <c r="A14087" s="13"/>
    </row>
    <row r="14088" spans="1:1" x14ac:dyDescent="0.25">
      <c r="A14088" s="13"/>
    </row>
    <row r="14089" spans="1:1" x14ac:dyDescent="0.25">
      <c r="A14089" s="13"/>
    </row>
    <row r="14090" spans="1:1" x14ac:dyDescent="0.25">
      <c r="A14090" s="13"/>
    </row>
    <row r="14091" spans="1:1" x14ac:dyDescent="0.25">
      <c r="A14091" s="13"/>
    </row>
    <row r="14092" spans="1:1" x14ac:dyDescent="0.25">
      <c r="A14092" s="13"/>
    </row>
    <row r="14093" spans="1:1" x14ac:dyDescent="0.25">
      <c r="A14093" s="13"/>
    </row>
    <row r="14094" spans="1:1" x14ac:dyDescent="0.25">
      <c r="A14094" s="13"/>
    </row>
    <row r="14095" spans="1:1" x14ac:dyDescent="0.25">
      <c r="A14095" s="13"/>
    </row>
    <row r="14096" spans="1:1" x14ac:dyDescent="0.25">
      <c r="A14096" s="13"/>
    </row>
    <row r="14097" spans="1:1" x14ac:dyDescent="0.25">
      <c r="A14097" s="13"/>
    </row>
    <row r="14098" spans="1:1" x14ac:dyDescent="0.25">
      <c r="A14098" s="13"/>
    </row>
    <row r="14099" spans="1:1" x14ac:dyDescent="0.25">
      <c r="A14099" s="13"/>
    </row>
    <row r="14100" spans="1:1" x14ac:dyDescent="0.25">
      <c r="A14100" s="13"/>
    </row>
    <row r="14101" spans="1:1" x14ac:dyDescent="0.25">
      <c r="A14101" s="13"/>
    </row>
    <row r="14102" spans="1:1" x14ac:dyDescent="0.25">
      <c r="A14102" s="13"/>
    </row>
    <row r="14103" spans="1:1" x14ac:dyDescent="0.25">
      <c r="A14103" s="13"/>
    </row>
    <row r="14104" spans="1:1" x14ac:dyDescent="0.25">
      <c r="A14104" s="13"/>
    </row>
    <row r="14105" spans="1:1" x14ac:dyDescent="0.25">
      <c r="A14105" s="13"/>
    </row>
    <row r="14106" spans="1:1" x14ac:dyDescent="0.25">
      <c r="A14106" s="13"/>
    </row>
    <row r="14107" spans="1:1" x14ac:dyDescent="0.25">
      <c r="A14107" s="13"/>
    </row>
    <row r="14108" spans="1:1" x14ac:dyDescent="0.25">
      <c r="A14108" s="13"/>
    </row>
    <row r="14109" spans="1:1" x14ac:dyDescent="0.25">
      <c r="A14109" s="13"/>
    </row>
    <row r="14110" spans="1:1" x14ac:dyDescent="0.25">
      <c r="A14110" s="13"/>
    </row>
    <row r="14111" spans="1:1" x14ac:dyDescent="0.25">
      <c r="A14111" s="13"/>
    </row>
    <row r="14112" spans="1:1" x14ac:dyDescent="0.25">
      <c r="A14112" s="13"/>
    </row>
    <row r="14113" spans="1:1" x14ac:dyDescent="0.25">
      <c r="A14113" s="13"/>
    </row>
    <row r="14114" spans="1:1" x14ac:dyDescent="0.25">
      <c r="A14114" s="13"/>
    </row>
    <row r="14115" spans="1:1" x14ac:dyDescent="0.25">
      <c r="A14115" s="13"/>
    </row>
    <row r="14116" spans="1:1" x14ac:dyDescent="0.25">
      <c r="A14116" s="13"/>
    </row>
    <row r="14117" spans="1:1" x14ac:dyDescent="0.25">
      <c r="A14117" s="13"/>
    </row>
    <row r="14118" spans="1:1" x14ac:dyDescent="0.25">
      <c r="A14118" s="13"/>
    </row>
    <row r="14119" spans="1:1" x14ac:dyDescent="0.25">
      <c r="A14119" s="13"/>
    </row>
    <row r="14120" spans="1:1" x14ac:dyDescent="0.25">
      <c r="A14120" s="13"/>
    </row>
    <row r="14121" spans="1:1" x14ac:dyDescent="0.25">
      <c r="A14121" s="13"/>
    </row>
    <row r="14122" spans="1:1" x14ac:dyDescent="0.25">
      <c r="A14122" s="13"/>
    </row>
    <row r="14123" spans="1:1" x14ac:dyDescent="0.25">
      <c r="A14123" s="13"/>
    </row>
    <row r="14124" spans="1:1" x14ac:dyDescent="0.25">
      <c r="A14124" s="13"/>
    </row>
    <row r="14125" spans="1:1" x14ac:dyDescent="0.25">
      <c r="A14125" s="13"/>
    </row>
    <row r="14126" spans="1:1" x14ac:dyDescent="0.25">
      <c r="A14126" s="13"/>
    </row>
    <row r="14127" spans="1:1" x14ac:dyDescent="0.25">
      <c r="A14127" s="13"/>
    </row>
    <row r="14128" spans="1:1" x14ac:dyDescent="0.25">
      <c r="A14128" s="13"/>
    </row>
    <row r="14129" spans="1:1" x14ac:dyDescent="0.25">
      <c r="A14129" s="13"/>
    </row>
    <row r="14130" spans="1:1" x14ac:dyDescent="0.25">
      <c r="A14130" s="13"/>
    </row>
    <row r="14131" spans="1:1" x14ac:dyDescent="0.25">
      <c r="A14131" s="13"/>
    </row>
    <row r="14132" spans="1:1" x14ac:dyDescent="0.25">
      <c r="A14132" s="13"/>
    </row>
    <row r="14133" spans="1:1" x14ac:dyDescent="0.25">
      <c r="A14133" s="13"/>
    </row>
    <row r="14134" spans="1:1" x14ac:dyDescent="0.25">
      <c r="A14134" s="13"/>
    </row>
    <row r="14135" spans="1:1" x14ac:dyDescent="0.25">
      <c r="A14135" s="13"/>
    </row>
    <row r="14136" spans="1:1" x14ac:dyDescent="0.25">
      <c r="A14136" s="13"/>
    </row>
    <row r="14137" spans="1:1" x14ac:dyDescent="0.25">
      <c r="A14137" s="13"/>
    </row>
    <row r="14138" spans="1:1" x14ac:dyDescent="0.25">
      <c r="A14138" s="13"/>
    </row>
    <row r="14139" spans="1:1" x14ac:dyDescent="0.25">
      <c r="A14139" s="13"/>
    </row>
    <row r="14140" spans="1:1" x14ac:dyDescent="0.25">
      <c r="A14140" s="13"/>
    </row>
    <row r="14141" spans="1:1" x14ac:dyDescent="0.25">
      <c r="A14141" s="13"/>
    </row>
    <row r="14142" spans="1:1" x14ac:dyDescent="0.25">
      <c r="A14142" s="13"/>
    </row>
    <row r="14143" spans="1:1" x14ac:dyDescent="0.25">
      <c r="A14143" s="13"/>
    </row>
    <row r="14144" spans="1:1" x14ac:dyDescent="0.25">
      <c r="A14144" s="13"/>
    </row>
    <row r="14145" spans="1:1" x14ac:dyDescent="0.25">
      <c r="A14145" s="13"/>
    </row>
    <row r="14146" spans="1:1" x14ac:dyDescent="0.25">
      <c r="A14146" s="13"/>
    </row>
    <row r="14147" spans="1:1" x14ac:dyDescent="0.25">
      <c r="A14147" s="13"/>
    </row>
    <row r="14148" spans="1:1" x14ac:dyDescent="0.25">
      <c r="A14148" s="13"/>
    </row>
    <row r="14149" spans="1:1" x14ac:dyDescent="0.25">
      <c r="A14149" s="13"/>
    </row>
    <row r="14150" spans="1:1" x14ac:dyDescent="0.25">
      <c r="A14150" s="13"/>
    </row>
    <row r="14151" spans="1:1" x14ac:dyDescent="0.25">
      <c r="A14151" s="13"/>
    </row>
    <row r="14152" spans="1:1" x14ac:dyDescent="0.25">
      <c r="A14152" s="13"/>
    </row>
    <row r="14153" spans="1:1" x14ac:dyDescent="0.25">
      <c r="A14153" s="13"/>
    </row>
    <row r="14154" spans="1:1" x14ac:dyDescent="0.25">
      <c r="A14154" s="13"/>
    </row>
    <row r="14155" spans="1:1" x14ac:dyDescent="0.25">
      <c r="A14155" s="13"/>
    </row>
    <row r="14156" spans="1:1" x14ac:dyDescent="0.25">
      <c r="A14156" s="13"/>
    </row>
    <row r="14157" spans="1:1" x14ac:dyDescent="0.25">
      <c r="A14157" s="13"/>
    </row>
    <row r="14158" spans="1:1" x14ac:dyDescent="0.25">
      <c r="A14158" s="13"/>
    </row>
    <row r="14159" spans="1:1" x14ac:dyDescent="0.25">
      <c r="A14159" s="13"/>
    </row>
    <row r="14160" spans="1:1" x14ac:dyDescent="0.25">
      <c r="A14160" s="13"/>
    </row>
    <row r="14161" spans="1:1" x14ac:dyDescent="0.25">
      <c r="A14161" s="13"/>
    </row>
    <row r="14162" spans="1:1" x14ac:dyDescent="0.25">
      <c r="A14162" s="13"/>
    </row>
    <row r="14163" spans="1:1" x14ac:dyDescent="0.25">
      <c r="A14163" s="13"/>
    </row>
    <row r="14164" spans="1:1" x14ac:dyDescent="0.25">
      <c r="A14164" s="13"/>
    </row>
    <row r="14165" spans="1:1" x14ac:dyDescent="0.25">
      <c r="A14165" s="13"/>
    </row>
    <row r="14166" spans="1:1" x14ac:dyDescent="0.25">
      <c r="A14166" s="13"/>
    </row>
    <row r="14167" spans="1:1" x14ac:dyDescent="0.25">
      <c r="A14167" s="13"/>
    </row>
    <row r="14168" spans="1:1" x14ac:dyDescent="0.25">
      <c r="A14168" s="13"/>
    </row>
    <row r="14169" spans="1:1" x14ac:dyDescent="0.25">
      <c r="A14169" s="13"/>
    </row>
    <row r="14170" spans="1:1" x14ac:dyDescent="0.25">
      <c r="A14170" s="13"/>
    </row>
    <row r="14171" spans="1:1" x14ac:dyDescent="0.25">
      <c r="A14171" s="13"/>
    </row>
    <row r="14172" spans="1:1" x14ac:dyDescent="0.25">
      <c r="A14172" s="13"/>
    </row>
    <row r="14173" spans="1:1" x14ac:dyDescent="0.25">
      <c r="A14173" s="13"/>
    </row>
    <row r="14174" spans="1:1" x14ac:dyDescent="0.25">
      <c r="A14174" s="13"/>
    </row>
    <row r="14175" spans="1:1" x14ac:dyDescent="0.25">
      <c r="A14175" s="13"/>
    </row>
    <row r="14176" spans="1:1" x14ac:dyDescent="0.25">
      <c r="A14176" s="13"/>
    </row>
    <row r="14177" spans="1:1" x14ac:dyDescent="0.25">
      <c r="A14177" s="13"/>
    </row>
    <row r="14178" spans="1:1" x14ac:dyDescent="0.25">
      <c r="A14178" s="13"/>
    </row>
    <row r="14179" spans="1:1" x14ac:dyDescent="0.25">
      <c r="A14179" s="13"/>
    </row>
    <row r="14180" spans="1:1" x14ac:dyDescent="0.25">
      <c r="A14180" s="13"/>
    </row>
    <row r="14181" spans="1:1" x14ac:dyDescent="0.25">
      <c r="A14181" s="13"/>
    </row>
    <row r="14182" spans="1:1" x14ac:dyDescent="0.25">
      <c r="A14182" s="13"/>
    </row>
    <row r="14183" spans="1:1" x14ac:dyDescent="0.25">
      <c r="A14183" s="13"/>
    </row>
    <row r="14184" spans="1:1" x14ac:dyDescent="0.25">
      <c r="A14184" s="13"/>
    </row>
    <row r="14185" spans="1:1" x14ac:dyDescent="0.25">
      <c r="A14185" s="13"/>
    </row>
    <row r="14186" spans="1:1" x14ac:dyDescent="0.25">
      <c r="A14186" s="13"/>
    </row>
    <row r="14187" spans="1:1" x14ac:dyDescent="0.25">
      <c r="A14187" s="13"/>
    </row>
    <row r="14188" spans="1:1" x14ac:dyDescent="0.25">
      <c r="A14188" s="13"/>
    </row>
    <row r="14189" spans="1:1" x14ac:dyDescent="0.25">
      <c r="A14189" s="13"/>
    </row>
    <row r="14190" spans="1:1" x14ac:dyDescent="0.25">
      <c r="A14190" s="13"/>
    </row>
    <row r="14191" spans="1:1" x14ac:dyDescent="0.25">
      <c r="A14191" s="13"/>
    </row>
    <row r="14192" spans="1:1" x14ac:dyDescent="0.25">
      <c r="A14192" s="13"/>
    </row>
    <row r="14193" spans="1:1" x14ac:dyDescent="0.25">
      <c r="A14193" s="13"/>
    </row>
    <row r="14194" spans="1:1" x14ac:dyDescent="0.25">
      <c r="A14194" s="13"/>
    </row>
    <row r="14195" spans="1:1" x14ac:dyDescent="0.25">
      <c r="A14195" s="13"/>
    </row>
    <row r="14196" spans="1:1" x14ac:dyDescent="0.25">
      <c r="A14196" s="13"/>
    </row>
    <row r="14197" spans="1:1" x14ac:dyDescent="0.25">
      <c r="A14197" s="13"/>
    </row>
    <row r="14198" spans="1:1" x14ac:dyDescent="0.25">
      <c r="A14198" s="13"/>
    </row>
    <row r="14199" spans="1:1" x14ac:dyDescent="0.25">
      <c r="A14199" s="13"/>
    </row>
    <row r="14200" spans="1:1" x14ac:dyDescent="0.25">
      <c r="A14200" s="13"/>
    </row>
    <row r="14201" spans="1:1" x14ac:dyDescent="0.25">
      <c r="A14201" s="13"/>
    </row>
    <row r="14202" spans="1:1" x14ac:dyDescent="0.25">
      <c r="A14202" s="13"/>
    </row>
    <row r="14203" spans="1:1" x14ac:dyDescent="0.25">
      <c r="A14203" s="13"/>
    </row>
    <row r="14204" spans="1:1" x14ac:dyDescent="0.25">
      <c r="A14204" s="13"/>
    </row>
    <row r="14205" spans="1:1" x14ac:dyDescent="0.25">
      <c r="A14205" s="13"/>
    </row>
    <row r="14206" spans="1:1" x14ac:dyDescent="0.25">
      <c r="A14206" s="13"/>
    </row>
    <row r="14207" spans="1:1" x14ac:dyDescent="0.25">
      <c r="A14207" s="13"/>
    </row>
    <row r="14208" spans="1:1" x14ac:dyDescent="0.25">
      <c r="A14208" s="13"/>
    </row>
    <row r="14209" spans="1:1" x14ac:dyDescent="0.25">
      <c r="A14209" s="13"/>
    </row>
    <row r="14210" spans="1:1" x14ac:dyDescent="0.25">
      <c r="A14210" s="13"/>
    </row>
    <row r="14211" spans="1:1" x14ac:dyDescent="0.25">
      <c r="A14211" s="13"/>
    </row>
    <row r="14212" spans="1:1" x14ac:dyDescent="0.25">
      <c r="A14212" s="13"/>
    </row>
    <row r="14213" spans="1:1" x14ac:dyDescent="0.25">
      <c r="A14213" s="13"/>
    </row>
    <row r="14214" spans="1:1" x14ac:dyDescent="0.25">
      <c r="A14214" s="13"/>
    </row>
    <row r="14215" spans="1:1" x14ac:dyDescent="0.25">
      <c r="A14215" s="13"/>
    </row>
    <row r="14216" spans="1:1" x14ac:dyDescent="0.25">
      <c r="A14216" s="13"/>
    </row>
    <row r="14217" spans="1:1" x14ac:dyDescent="0.25">
      <c r="A14217" s="13"/>
    </row>
    <row r="14218" spans="1:1" x14ac:dyDescent="0.25">
      <c r="A14218" s="13"/>
    </row>
    <row r="14219" spans="1:1" x14ac:dyDescent="0.25">
      <c r="A14219" s="13"/>
    </row>
    <row r="14220" spans="1:1" x14ac:dyDescent="0.25">
      <c r="A14220" s="13"/>
    </row>
    <row r="14221" spans="1:1" x14ac:dyDescent="0.25">
      <c r="A14221" s="13"/>
    </row>
    <row r="14222" spans="1:1" x14ac:dyDescent="0.25">
      <c r="A14222" s="13"/>
    </row>
    <row r="14223" spans="1:1" x14ac:dyDescent="0.25">
      <c r="A14223" s="13"/>
    </row>
    <row r="14224" spans="1:1" x14ac:dyDescent="0.25">
      <c r="A14224" s="13"/>
    </row>
    <row r="14225" spans="1:1" x14ac:dyDescent="0.25">
      <c r="A14225" s="13"/>
    </row>
    <row r="14226" spans="1:1" x14ac:dyDescent="0.25">
      <c r="A14226" s="13"/>
    </row>
    <row r="14227" spans="1:1" x14ac:dyDescent="0.25">
      <c r="A14227" s="13"/>
    </row>
    <row r="14228" spans="1:1" x14ac:dyDescent="0.25">
      <c r="A14228" s="13"/>
    </row>
    <row r="14229" spans="1:1" x14ac:dyDescent="0.25">
      <c r="A14229" s="13"/>
    </row>
    <row r="14230" spans="1:1" x14ac:dyDescent="0.25">
      <c r="A14230" s="13"/>
    </row>
    <row r="14231" spans="1:1" x14ac:dyDescent="0.25">
      <c r="A14231" s="13"/>
    </row>
    <row r="14232" spans="1:1" x14ac:dyDescent="0.25">
      <c r="A14232" s="13"/>
    </row>
    <row r="14233" spans="1:1" x14ac:dyDescent="0.25">
      <c r="A14233" s="13"/>
    </row>
    <row r="14234" spans="1:1" x14ac:dyDescent="0.25">
      <c r="A14234" s="13"/>
    </row>
    <row r="14235" spans="1:1" x14ac:dyDescent="0.25">
      <c r="A14235" s="13"/>
    </row>
    <row r="14236" spans="1:1" x14ac:dyDescent="0.25">
      <c r="A14236" s="13"/>
    </row>
    <row r="14237" spans="1:1" x14ac:dyDescent="0.25">
      <c r="A14237" s="13"/>
    </row>
    <row r="14238" spans="1:1" x14ac:dyDescent="0.25">
      <c r="A14238" s="13"/>
    </row>
    <row r="14239" spans="1:1" x14ac:dyDescent="0.25">
      <c r="A14239" s="13"/>
    </row>
    <row r="14240" spans="1:1" x14ac:dyDescent="0.25">
      <c r="A14240" s="13"/>
    </row>
    <row r="14241" spans="1:1" x14ac:dyDescent="0.25">
      <c r="A14241" s="13"/>
    </row>
    <row r="14242" spans="1:1" x14ac:dyDescent="0.25">
      <c r="A14242" s="13"/>
    </row>
    <row r="14243" spans="1:1" x14ac:dyDescent="0.25">
      <c r="A14243" s="13"/>
    </row>
    <row r="14244" spans="1:1" x14ac:dyDescent="0.25">
      <c r="A14244" s="13"/>
    </row>
    <row r="14245" spans="1:1" x14ac:dyDescent="0.25">
      <c r="A14245" s="13"/>
    </row>
    <row r="14246" spans="1:1" x14ac:dyDescent="0.25">
      <c r="A14246" s="13"/>
    </row>
    <row r="14247" spans="1:1" x14ac:dyDescent="0.25">
      <c r="A14247" s="13"/>
    </row>
    <row r="14248" spans="1:1" x14ac:dyDescent="0.25">
      <c r="A14248" s="13"/>
    </row>
    <row r="14249" spans="1:1" x14ac:dyDescent="0.25">
      <c r="A14249" s="13"/>
    </row>
    <row r="14250" spans="1:1" x14ac:dyDescent="0.25">
      <c r="A14250" s="13"/>
    </row>
    <row r="14251" spans="1:1" x14ac:dyDescent="0.25">
      <c r="A14251" s="13"/>
    </row>
    <row r="14252" spans="1:1" x14ac:dyDescent="0.25">
      <c r="A14252" s="13"/>
    </row>
    <row r="14253" spans="1:1" x14ac:dyDescent="0.25">
      <c r="A14253" s="13"/>
    </row>
    <row r="14254" spans="1:1" x14ac:dyDescent="0.25">
      <c r="A14254" s="13"/>
    </row>
    <row r="14255" spans="1:1" x14ac:dyDescent="0.25">
      <c r="A14255" s="13"/>
    </row>
    <row r="14256" spans="1:1" x14ac:dyDescent="0.25">
      <c r="A14256" s="13"/>
    </row>
    <row r="14257" spans="1:1" x14ac:dyDescent="0.25">
      <c r="A14257" s="13"/>
    </row>
    <row r="14258" spans="1:1" x14ac:dyDescent="0.25">
      <c r="A14258" s="13"/>
    </row>
    <row r="14259" spans="1:1" x14ac:dyDescent="0.25">
      <c r="A14259" s="13"/>
    </row>
    <row r="14260" spans="1:1" x14ac:dyDescent="0.25">
      <c r="A14260" s="13"/>
    </row>
    <row r="14261" spans="1:1" x14ac:dyDescent="0.25">
      <c r="A14261" s="13"/>
    </row>
    <row r="14262" spans="1:1" x14ac:dyDescent="0.25">
      <c r="A14262" s="13"/>
    </row>
    <row r="14263" spans="1:1" x14ac:dyDescent="0.25">
      <c r="A14263" s="13"/>
    </row>
    <row r="14264" spans="1:1" x14ac:dyDescent="0.25">
      <c r="A14264" s="13"/>
    </row>
    <row r="14265" spans="1:1" x14ac:dyDescent="0.25">
      <c r="A14265" s="13"/>
    </row>
    <row r="14266" spans="1:1" x14ac:dyDescent="0.25">
      <c r="A14266" s="13"/>
    </row>
    <row r="14267" spans="1:1" x14ac:dyDescent="0.25">
      <c r="A14267" s="13"/>
    </row>
    <row r="14268" spans="1:1" x14ac:dyDescent="0.25">
      <c r="A14268" s="13"/>
    </row>
    <row r="14269" spans="1:1" x14ac:dyDescent="0.25">
      <c r="A14269" s="13"/>
    </row>
    <row r="14270" spans="1:1" x14ac:dyDescent="0.25">
      <c r="A14270" s="13"/>
    </row>
    <row r="14271" spans="1:1" x14ac:dyDescent="0.25">
      <c r="A14271" s="13"/>
    </row>
    <row r="14272" spans="1:1" x14ac:dyDescent="0.25">
      <c r="A14272" s="13"/>
    </row>
    <row r="14273" spans="1:1" x14ac:dyDescent="0.25">
      <c r="A14273" s="13"/>
    </row>
    <row r="14274" spans="1:1" x14ac:dyDescent="0.25">
      <c r="A14274" s="13"/>
    </row>
    <row r="14275" spans="1:1" x14ac:dyDescent="0.25">
      <c r="A14275" s="13"/>
    </row>
    <row r="14276" spans="1:1" x14ac:dyDescent="0.25">
      <c r="A14276" s="13"/>
    </row>
    <row r="14277" spans="1:1" x14ac:dyDescent="0.25">
      <c r="A14277" s="13"/>
    </row>
    <row r="14278" spans="1:1" x14ac:dyDescent="0.25">
      <c r="A14278" s="13"/>
    </row>
    <row r="14279" spans="1:1" x14ac:dyDescent="0.25">
      <c r="A14279" s="13"/>
    </row>
    <row r="14280" spans="1:1" x14ac:dyDescent="0.25">
      <c r="A14280" s="13"/>
    </row>
    <row r="14281" spans="1:1" x14ac:dyDescent="0.25">
      <c r="A14281" s="13"/>
    </row>
    <row r="14282" spans="1:1" x14ac:dyDescent="0.25">
      <c r="A14282" s="13"/>
    </row>
    <row r="14283" spans="1:1" x14ac:dyDescent="0.25">
      <c r="A14283" s="13"/>
    </row>
    <row r="14284" spans="1:1" x14ac:dyDescent="0.25">
      <c r="A14284" s="13"/>
    </row>
    <row r="14285" spans="1:1" x14ac:dyDescent="0.25">
      <c r="A14285" s="13"/>
    </row>
    <row r="14286" spans="1:1" x14ac:dyDescent="0.25">
      <c r="A14286" s="13"/>
    </row>
    <row r="14287" spans="1:1" x14ac:dyDescent="0.25">
      <c r="A14287" s="13"/>
    </row>
    <row r="14288" spans="1:1" x14ac:dyDescent="0.25">
      <c r="A14288" s="13"/>
    </row>
    <row r="14289" spans="1:1" x14ac:dyDescent="0.25">
      <c r="A14289" s="13"/>
    </row>
    <row r="14290" spans="1:1" x14ac:dyDescent="0.25">
      <c r="A14290" s="13"/>
    </row>
    <row r="14291" spans="1:1" x14ac:dyDescent="0.25">
      <c r="A14291" s="13"/>
    </row>
    <row r="14292" spans="1:1" x14ac:dyDescent="0.25">
      <c r="A14292" s="13"/>
    </row>
    <row r="14293" spans="1:1" x14ac:dyDescent="0.25">
      <c r="A14293" s="13"/>
    </row>
    <row r="14294" spans="1:1" x14ac:dyDescent="0.25">
      <c r="A14294" s="13"/>
    </row>
    <row r="14295" spans="1:1" x14ac:dyDescent="0.25">
      <c r="A14295" s="13"/>
    </row>
    <row r="14296" spans="1:1" x14ac:dyDescent="0.25">
      <c r="A14296" s="13"/>
    </row>
    <row r="14297" spans="1:1" x14ac:dyDescent="0.25">
      <c r="A14297" s="13"/>
    </row>
    <row r="14298" spans="1:1" x14ac:dyDescent="0.25">
      <c r="A14298" s="13"/>
    </row>
    <row r="14299" spans="1:1" x14ac:dyDescent="0.25">
      <c r="A14299" s="13"/>
    </row>
    <row r="14300" spans="1:1" x14ac:dyDescent="0.25">
      <c r="A14300" s="13"/>
    </row>
    <row r="14301" spans="1:1" x14ac:dyDescent="0.25">
      <c r="A14301" s="13"/>
    </row>
    <row r="14302" spans="1:1" x14ac:dyDescent="0.25">
      <c r="A14302" s="13"/>
    </row>
    <row r="14303" spans="1:1" x14ac:dyDescent="0.25">
      <c r="A14303" s="13"/>
    </row>
    <row r="14304" spans="1:1" x14ac:dyDescent="0.25">
      <c r="A14304" s="13"/>
    </row>
    <row r="14305" spans="1:1" x14ac:dyDescent="0.25">
      <c r="A14305" s="13"/>
    </row>
    <row r="14306" spans="1:1" x14ac:dyDescent="0.25">
      <c r="A14306" s="13"/>
    </row>
    <row r="14307" spans="1:1" x14ac:dyDescent="0.25">
      <c r="A14307" s="13"/>
    </row>
    <row r="14308" spans="1:1" x14ac:dyDescent="0.25">
      <c r="A14308" s="13"/>
    </row>
    <row r="14309" spans="1:1" x14ac:dyDescent="0.25">
      <c r="A14309" s="13"/>
    </row>
    <row r="14310" spans="1:1" x14ac:dyDescent="0.25">
      <c r="A14310" s="13"/>
    </row>
    <row r="14311" spans="1:1" x14ac:dyDescent="0.25">
      <c r="A14311" s="13"/>
    </row>
    <row r="14312" spans="1:1" x14ac:dyDescent="0.25">
      <c r="A14312" s="13"/>
    </row>
    <row r="14313" spans="1:1" x14ac:dyDescent="0.25">
      <c r="A14313" s="13"/>
    </row>
    <row r="14314" spans="1:1" x14ac:dyDescent="0.25">
      <c r="A14314" s="13"/>
    </row>
    <row r="14315" spans="1:1" x14ac:dyDescent="0.25">
      <c r="A14315" s="13"/>
    </row>
    <row r="14316" spans="1:1" x14ac:dyDescent="0.25">
      <c r="A14316" s="13"/>
    </row>
    <row r="14317" spans="1:1" x14ac:dyDescent="0.25">
      <c r="A14317" s="13"/>
    </row>
    <row r="14318" spans="1:1" x14ac:dyDescent="0.25">
      <c r="A14318" s="13"/>
    </row>
    <row r="14319" spans="1:1" x14ac:dyDescent="0.25">
      <c r="A14319" s="13"/>
    </row>
    <row r="14320" spans="1:1" x14ac:dyDescent="0.25">
      <c r="A14320" s="13"/>
    </row>
    <row r="14321" spans="1:1" x14ac:dyDescent="0.25">
      <c r="A14321" s="13"/>
    </row>
    <row r="14322" spans="1:1" x14ac:dyDescent="0.25">
      <c r="A14322" s="13"/>
    </row>
    <row r="14323" spans="1:1" x14ac:dyDescent="0.25">
      <c r="A14323" s="13"/>
    </row>
    <row r="14324" spans="1:1" x14ac:dyDescent="0.25">
      <c r="A14324" s="13"/>
    </row>
    <row r="14325" spans="1:1" x14ac:dyDescent="0.25">
      <c r="A14325" s="13"/>
    </row>
    <row r="14326" spans="1:1" x14ac:dyDescent="0.25">
      <c r="A14326" s="13"/>
    </row>
    <row r="14327" spans="1:1" x14ac:dyDescent="0.25">
      <c r="A14327" s="13"/>
    </row>
    <row r="14328" spans="1:1" x14ac:dyDescent="0.25">
      <c r="A14328" s="13"/>
    </row>
    <row r="14329" spans="1:1" x14ac:dyDescent="0.25">
      <c r="A14329" s="13"/>
    </row>
    <row r="14330" spans="1:1" x14ac:dyDescent="0.25">
      <c r="A14330" s="13"/>
    </row>
    <row r="14331" spans="1:1" x14ac:dyDescent="0.25">
      <c r="A14331" s="13"/>
    </row>
    <row r="14332" spans="1:1" x14ac:dyDescent="0.25">
      <c r="A14332" s="13"/>
    </row>
    <row r="14333" spans="1:1" x14ac:dyDescent="0.25">
      <c r="A14333" s="13"/>
    </row>
    <row r="14334" spans="1:1" x14ac:dyDescent="0.25">
      <c r="A14334" s="13"/>
    </row>
    <row r="14335" spans="1:1" x14ac:dyDescent="0.25">
      <c r="A14335" s="13"/>
    </row>
    <row r="14336" spans="1:1" x14ac:dyDescent="0.25">
      <c r="A14336" s="13"/>
    </row>
    <row r="14337" spans="1:1" x14ac:dyDescent="0.25">
      <c r="A14337" s="13"/>
    </row>
    <row r="14338" spans="1:1" x14ac:dyDescent="0.25">
      <c r="A14338" s="13"/>
    </row>
    <row r="14339" spans="1:1" x14ac:dyDescent="0.25">
      <c r="A14339" s="13"/>
    </row>
    <row r="14340" spans="1:1" x14ac:dyDescent="0.25">
      <c r="A14340" s="13"/>
    </row>
    <row r="14341" spans="1:1" x14ac:dyDescent="0.25">
      <c r="A14341" s="13"/>
    </row>
    <row r="14342" spans="1:1" x14ac:dyDescent="0.25">
      <c r="A14342" s="13"/>
    </row>
    <row r="14343" spans="1:1" x14ac:dyDescent="0.25">
      <c r="A14343" s="13"/>
    </row>
    <row r="14344" spans="1:1" x14ac:dyDescent="0.25">
      <c r="A14344" s="13"/>
    </row>
    <row r="14345" spans="1:1" x14ac:dyDescent="0.25">
      <c r="A14345" s="13"/>
    </row>
    <row r="14346" spans="1:1" x14ac:dyDescent="0.25">
      <c r="A14346" s="13"/>
    </row>
    <row r="14347" spans="1:1" x14ac:dyDescent="0.25">
      <c r="A14347" s="13"/>
    </row>
    <row r="14348" spans="1:1" x14ac:dyDescent="0.25">
      <c r="A14348" s="13"/>
    </row>
    <row r="14349" spans="1:1" x14ac:dyDescent="0.25">
      <c r="A14349" s="13"/>
    </row>
    <row r="14350" spans="1:1" x14ac:dyDescent="0.25">
      <c r="A14350" s="13"/>
    </row>
    <row r="14351" spans="1:1" x14ac:dyDescent="0.25">
      <c r="A14351" s="13"/>
    </row>
    <row r="14352" spans="1:1" x14ac:dyDescent="0.25">
      <c r="A14352" s="13"/>
    </row>
    <row r="14353" spans="1:1" x14ac:dyDescent="0.25">
      <c r="A14353" s="13"/>
    </row>
    <row r="14354" spans="1:1" x14ac:dyDescent="0.25">
      <c r="A14354" s="13"/>
    </row>
    <row r="14355" spans="1:1" x14ac:dyDescent="0.25">
      <c r="A14355" s="13"/>
    </row>
    <row r="14356" spans="1:1" x14ac:dyDescent="0.25">
      <c r="A14356" s="13"/>
    </row>
    <row r="14357" spans="1:1" x14ac:dyDescent="0.25">
      <c r="A14357" s="13"/>
    </row>
    <row r="14358" spans="1:1" x14ac:dyDescent="0.25">
      <c r="A14358" s="13"/>
    </row>
    <row r="14359" spans="1:1" x14ac:dyDescent="0.25">
      <c r="A14359" s="13"/>
    </row>
    <row r="14360" spans="1:1" x14ac:dyDescent="0.25">
      <c r="A14360" s="13"/>
    </row>
    <row r="14361" spans="1:1" x14ac:dyDescent="0.25">
      <c r="A14361" s="13"/>
    </row>
    <row r="14362" spans="1:1" x14ac:dyDescent="0.25">
      <c r="A14362" s="13"/>
    </row>
    <row r="14363" spans="1:1" x14ac:dyDescent="0.25">
      <c r="A14363" s="13"/>
    </row>
    <row r="14364" spans="1:1" x14ac:dyDescent="0.25">
      <c r="A14364" s="13"/>
    </row>
    <row r="14365" spans="1:1" x14ac:dyDescent="0.25">
      <c r="A14365" s="13"/>
    </row>
    <row r="14366" spans="1:1" x14ac:dyDescent="0.25">
      <c r="A14366" s="13"/>
    </row>
    <row r="14367" spans="1:1" x14ac:dyDescent="0.25">
      <c r="A14367" s="13"/>
    </row>
    <row r="14368" spans="1:1" x14ac:dyDescent="0.25">
      <c r="A14368" s="13"/>
    </row>
    <row r="14369" spans="1:1" x14ac:dyDescent="0.25">
      <c r="A14369" s="13"/>
    </row>
    <row r="14370" spans="1:1" x14ac:dyDescent="0.25">
      <c r="A14370" s="13"/>
    </row>
    <row r="14371" spans="1:1" x14ac:dyDescent="0.25">
      <c r="A14371" s="13"/>
    </row>
    <row r="14372" spans="1:1" x14ac:dyDescent="0.25">
      <c r="A14372" s="13"/>
    </row>
    <row r="14373" spans="1:1" x14ac:dyDescent="0.25">
      <c r="A14373" s="13"/>
    </row>
    <row r="14374" spans="1:1" x14ac:dyDescent="0.25">
      <c r="A14374" s="13"/>
    </row>
    <row r="14375" spans="1:1" x14ac:dyDescent="0.25">
      <c r="A14375" s="13"/>
    </row>
    <row r="14376" spans="1:1" x14ac:dyDescent="0.25">
      <c r="A14376" s="13"/>
    </row>
    <row r="14377" spans="1:1" x14ac:dyDescent="0.25">
      <c r="A14377" s="13"/>
    </row>
    <row r="14378" spans="1:1" x14ac:dyDescent="0.25">
      <c r="A14378" s="13"/>
    </row>
    <row r="14379" spans="1:1" x14ac:dyDescent="0.25">
      <c r="A14379" s="13"/>
    </row>
    <row r="14380" spans="1:1" x14ac:dyDescent="0.25">
      <c r="A14380" s="13"/>
    </row>
    <row r="14381" spans="1:1" x14ac:dyDescent="0.25">
      <c r="A14381" s="13"/>
    </row>
    <row r="14382" spans="1:1" x14ac:dyDescent="0.25">
      <c r="A14382" s="13"/>
    </row>
    <row r="14383" spans="1:1" x14ac:dyDescent="0.25">
      <c r="A14383" s="13"/>
    </row>
    <row r="14384" spans="1:1" x14ac:dyDescent="0.25">
      <c r="A14384" s="13"/>
    </row>
    <row r="14385" spans="1:1" x14ac:dyDescent="0.25">
      <c r="A14385" s="13"/>
    </row>
    <row r="14386" spans="1:1" x14ac:dyDescent="0.25">
      <c r="A14386" s="13"/>
    </row>
    <row r="14387" spans="1:1" x14ac:dyDescent="0.25">
      <c r="A14387" s="13"/>
    </row>
    <row r="14388" spans="1:1" x14ac:dyDescent="0.25">
      <c r="A14388" s="13"/>
    </row>
    <row r="14389" spans="1:1" x14ac:dyDescent="0.25">
      <c r="A14389" s="13"/>
    </row>
    <row r="14390" spans="1:1" x14ac:dyDescent="0.25">
      <c r="A14390" s="13"/>
    </row>
    <row r="14391" spans="1:1" x14ac:dyDescent="0.25">
      <c r="A14391" s="13"/>
    </row>
    <row r="14392" spans="1:1" x14ac:dyDescent="0.25">
      <c r="A14392" s="13"/>
    </row>
    <row r="14393" spans="1:1" x14ac:dyDescent="0.25">
      <c r="A14393" s="13"/>
    </row>
    <row r="14394" spans="1:1" x14ac:dyDescent="0.25">
      <c r="A14394" s="13"/>
    </row>
    <row r="14395" spans="1:1" x14ac:dyDescent="0.25">
      <c r="A14395" s="13"/>
    </row>
    <row r="14396" spans="1:1" x14ac:dyDescent="0.25">
      <c r="A14396" s="13"/>
    </row>
    <row r="14397" spans="1:1" x14ac:dyDescent="0.25">
      <c r="A14397" s="13"/>
    </row>
    <row r="14398" spans="1:1" x14ac:dyDescent="0.25">
      <c r="A14398" s="13"/>
    </row>
    <row r="14399" spans="1:1" x14ac:dyDescent="0.25">
      <c r="A14399" s="13"/>
    </row>
    <row r="14400" spans="1:1" x14ac:dyDescent="0.25">
      <c r="A14400" s="13"/>
    </row>
    <row r="14401" spans="1:1" x14ac:dyDescent="0.25">
      <c r="A14401" s="13"/>
    </row>
    <row r="14402" spans="1:1" x14ac:dyDescent="0.25">
      <c r="A14402" s="13"/>
    </row>
    <row r="14403" spans="1:1" x14ac:dyDescent="0.25">
      <c r="A14403" s="13"/>
    </row>
    <row r="14404" spans="1:1" x14ac:dyDescent="0.25">
      <c r="A14404" s="13"/>
    </row>
    <row r="14405" spans="1:1" x14ac:dyDescent="0.25">
      <c r="A14405" s="13"/>
    </row>
    <row r="14406" spans="1:1" x14ac:dyDescent="0.25">
      <c r="A14406" s="13"/>
    </row>
    <row r="14407" spans="1:1" x14ac:dyDescent="0.25">
      <c r="A14407" s="13"/>
    </row>
    <row r="14408" spans="1:1" x14ac:dyDescent="0.25">
      <c r="A14408" s="13"/>
    </row>
    <row r="14409" spans="1:1" x14ac:dyDescent="0.25">
      <c r="A14409" s="13"/>
    </row>
    <row r="14410" spans="1:1" x14ac:dyDescent="0.25">
      <c r="A14410" s="13"/>
    </row>
    <row r="14411" spans="1:1" x14ac:dyDescent="0.25">
      <c r="A14411" s="13"/>
    </row>
    <row r="14412" spans="1:1" x14ac:dyDescent="0.25">
      <c r="A14412" s="13"/>
    </row>
    <row r="14413" spans="1:1" x14ac:dyDescent="0.25">
      <c r="A14413" s="13"/>
    </row>
    <row r="14414" spans="1:1" x14ac:dyDescent="0.25">
      <c r="A14414" s="13"/>
    </row>
    <row r="14415" spans="1:1" x14ac:dyDescent="0.25">
      <c r="A14415" s="13"/>
    </row>
    <row r="14416" spans="1:1" x14ac:dyDescent="0.25">
      <c r="A14416" s="13"/>
    </row>
    <row r="14417" spans="1:1" x14ac:dyDescent="0.25">
      <c r="A14417" s="13"/>
    </row>
    <row r="14418" spans="1:1" x14ac:dyDescent="0.25">
      <c r="A14418" s="13"/>
    </row>
    <row r="14419" spans="1:1" x14ac:dyDescent="0.25">
      <c r="A14419" s="13"/>
    </row>
    <row r="14420" spans="1:1" x14ac:dyDescent="0.25">
      <c r="A14420" s="13"/>
    </row>
    <row r="14421" spans="1:1" x14ac:dyDescent="0.25">
      <c r="A14421" s="13"/>
    </row>
    <row r="14422" spans="1:1" x14ac:dyDescent="0.25">
      <c r="A14422" s="13"/>
    </row>
    <row r="14423" spans="1:1" x14ac:dyDescent="0.25">
      <c r="A14423" s="13"/>
    </row>
    <row r="14424" spans="1:1" x14ac:dyDescent="0.25">
      <c r="A14424" s="13"/>
    </row>
    <row r="14425" spans="1:1" x14ac:dyDescent="0.25">
      <c r="A14425" s="13"/>
    </row>
    <row r="14426" spans="1:1" x14ac:dyDescent="0.25">
      <c r="A14426" s="13"/>
    </row>
    <row r="14427" spans="1:1" x14ac:dyDescent="0.25">
      <c r="A14427" s="13"/>
    </row>
    <row r="14428" spans="1:1" x14ac:dyDescent="0.25">
      <c r="A14428" s="13"/>
    </row>
    <row r="14429" spans="1:1" x14ac:dyDescent="0.25">
      <c r="A14429" s="13"/>
    </row>
    <row r="14430" spans="1:1" x14ac:dyDescent="0.25">
      <c r="A14430" s="13"/>
    </row>
    <row r="14431" spans="1:1" x14ac:dyDescent="0.25">
      <c r="A14431" s="13"/>
    </row>
    <row r="14432" spans="1:1" x14ac:dyDescent="0.25">
      <c r="A14432" s="13"/>
    </row>
    <row r="14433" spans="1:1" x14ac:dyDescent="0.25">
      <c r="A14433" s="13"/>
    </row>
    <row r="14434" spans="1:1" x14ac:dyDescent="0.25">
      <c r="A14434" s="13"/>
    </row>
    <row r="14435" spans="1:1" x14ac:dyDescent="0.25">
      <c r="A14435" s="13"/>
    </row>
    <row r="14436" spans="1:1" x14ac:dyDescent="0.25">
      <c r="A14436" s="13"/>
    </row>
    <row r="14437" spans="1:1" x14ac:dyDescent="0.25">
      <c r="A14437" s="13"/>
    </row>
    <row r="14438" spans="1:1" x14ac:dyDescent="0.25">
      <c r="A14438" s="13"/>
    </row>
    <row r="14439" spans="1:1" x14ac:dyDescent="0.25">
      <c r="A14439" s="13"/>
    </row>
    <row r="14440" spans="1:1" x14ac:dyDescent="0.25">
      <c r="A14440" s="13"/>
    </row>
    <row r="14441" spans="1:1" x14ac:dyDescent="0.25">
      <c r="A14441" s="13"/>
    </row>
    <row r="14442" spans="1:1" x14ac:dyDescent="0.25">
      <c r="A14442" s="13"/>
    </row>
    <row r="14443" spans="1:1" x14ac:dyDescent="0.25">
      <c r="A14443" s="13"/>
    </row>
    <row r="14444" spans="1:1" x14ac:dyDescent="0.25">
      <c r="A14444" s="13"/>
    </row>
    <row r="14445" spans="1:1" x14ac:dyDescent="0.25">
      <c r="A14445" s="13"/>
    </row>
    <row r="14446" spans="1:1" x14ac:dyDescent="0.25">
      <c r="A14446" s="13"/>
    </row>
    <row r="14447" spans="1:1" x14ac:dyDescent="0.25">
      <c r="A14447" s="13"/>
    </row>
    <row r="14448" spans="1:1" x14ac:dyDescent="0.25">
      <c r="A14448" s="13"/>
    </row>
    <row r="14449" spans="1:1" x14ac:dyDescent="0.25">
      <c r="A14449" s="13"/>
    </row>
    <row r="14450" spans="1:1" x14ac:dyDescent="0.25">
      <c r="A14450" s="13"/>
    </row>
    <row r="14451" spans="1:1" x14ac:dyDescent="0.25">
      <c r="A14451" s="13"/>
    </row>
    <row r="14452" spans="1:1" x14ac:dyDescent="0.25">
      <c r="A14452" s="13"/>
    </row>
    <row r="14453" spans="1:1" x14ac:dyDescent="0.25">
      <c r="A14453" s="13"/>
    </row>
    <row r="14454" spans="1:1" x14ac:dyDescent="0.25">
      <c r="A14454" s="13"/>
    </row>
    <row r="14455" spans="1:1" x14ac:dyDescent="0.25">
      <c r="A14455" s="13"/>
    </row>
    <row r="14456" spans="1:1" x14ac:dyDescent="0.25">
      <c r="A14456" s="13"/>
    </row>
    <row r="14457" spans="1:1" x14ac:dyDescent="0.25">
      <c r="A14457" s="13"/>
    </row>
    <row r="14458" spans="1:1" x14ac:dyDescent="0.25">
      <c r="A14458" s="13"/>
    </row>
    <row r="14459" spans="1:1" x14ac:dyDescent="0.25">
      <c r="A14459" s="13"/>
    </row>
    <row r="14460" spans="1:1" x14ac:dyDescent="0.25">
      <c r="A14460" s="13"/>
    </row>
    <row r="14461" spans="1:1" x14ac:dyDescent="0.25">
      <c r="A14461" s="13"/>
    </row>
    <row r="14462" spans="1:1" x14ac:dyDescent="0.25">
      <c r="A14462" s="13"/>
    </row>
    <row r="14463" spans="1:1" x14ac:dyDescent="0.25">
      <c r="A14463" s="13"/>
    </row>
    <row r="14464" spans="1:1" x14ac:dyDescent="0.25">
      <c r="A14464" s="13"/>
    </row>
    <row r="14465" spans="1:1" x14ac:dyDescent="0.25">
      <c r="A14465" s="13"/>
    </row>
    <row r="14466" spans="1:1" x14ac:dyDescent="0.25">
      <c r="A14466" s="13"/>
    </row>
    <row r="14467" spans="1:1" x14ac:dyDescent="0.25">
      <c r="A14467" s="13"/>
    </row>
    <row r="14468" spans="1:1" x14ac:dyDescent="0.25">
      <c r="A14468" s="13"/>
    </row>
    <row r="14469" spans="1:1" x14ac:dyDescent="0.25">
      <c r="A14469" s="13"/>
    </row>
    <row r="14470" spans="1:1" x14ac:dyDescent="0.25">
      <c r="A14470" s="13"/>
    </row>
    <row r="14471" spans="1:1" x14ac:dyDescent="0.25">
      <c r="A14471" s="13"/>
    </row>
    <row r="14472" spans="1:1" x14ac:dyDescent="0.25">
      <c r="A14472" s="13"/>
    </row>
    <row r="14473" spans="1:1" x14ac:dyDescent="0.25">
      <c r="A14473" s="13"/>
    </row>
    <row r="14474" spans="1:1" x14ac:dyDescent="0.25">
      <c r="A14474" s="13"/>
    </row>
    <row r="14475" spans="1:1" x14ac:dyDescent="0.25">
      <c r="A14475" s="13"/>
    </row>
    <row r="14476" spans="1:1" x14ac:dyDescent="0.25">
      <c r="A14476" s="13"/>
    </row>
    <row r="14477" spans="1:1" x14ac:dyDescent="0.25">
      <c r="A14477" s="13"/>
    </row>
    <row r="14478" spans="1:1" x14ac:dyDescent="0.25">
      <c r="A14478" s="13"/>
    </row>
    <row r="14479" spans="1:1" x14ac:dyDescent="0.25">
      <c r="A14479" s="13"/>
    </row>
    <row r="14480" spans="1:1" x14ac:dyDescent="0.25">
      <c r="A14480" s="13"/>
    </row>
    <row r="14481" spans="1:1" x14ac:dyDescent="0.25">
      <c r="A14481" s="13"/>
    </row>
    <row r="14482" spans="1:1" x14ac:dyDescent="0.25">
      <c r="A14482" s="13"/>
    </row>
    <row r="14483" spans="1:1" x14ac:dyDescent="0.25">
      <c r="A14483" s="13"/>
    </row>
    <row r="14484" spans="1:1" x14ac:dyDescent="0.25">
      <c r="A14484" s="13"/>
    </row>
    <row r="14485" spans="1:1" x14ac:dyDescent="0.25">
      <c r="A14485" s="13"/>
    </row>
    <row r="14486" spans="1:1" x14ac:dyDescent="0.25">
      <c r="A14486" s="13"/>
    </row>
    <row r="14487" spans="1:1" x14ac:dyDescent="0.25">
      <c r="A14487" s="13"/>
    </row>
    <row r="14488" spans="1:1" x14ac:dyDescent="0.25">
      <c r="A14488" s="13"/>
    </row>
    <row r="14489" spans="1:1" x14ac:dyDescent="0.25">
      <c r="A14489" s="13"/>
    </row>
    <row r="14490" spans="1:1" x14ac:dyDescent="0.25">
      <c r="A14490" s="13"/>
    </row>
    <row r="14491" spans="1:1" x14ac:dyDescent="0.25">
      <c r="A14491" s="13"/>
    </row>
    <row r="14492" spans="1:1" x14ac:dyDescent="0.25">
      <c r="A14492" s="13"/>
    </row>
    <row r="14493" spans="1:1" x14ac:dyDescent="0.25">
      <c r="A14493" s="13"/>
    </row>
    <row r="14494" spans="1:1" x14ac:dyDescent="0.25">
      <c r="A14494" s="13"/>
    </row>
    <row r="14495" spans="1:1" x14ac:dyDescent="0.25">
      <c r="A14495" s="13"/>
    </row>
    <row r="14496" spans="1:1" x14ac:dyDescent="0.25">
      <c r="A14496" s="13"/>
    </row>
    <row r="14497" spans="1:1" x14ac:dyDescent="0.25">
      <c r="A14497" s="13"/>
    </row>
    <row r="14498" spans="1:1" x14ac:dyDescent="0.25">
      <c r="A14498" s="13"/>
    </row>
    <row r="14499" spans="1:1" x14ac:dyDescent="0.25">
      <c r="A14499" s="13"/>
    </row>
    <row r="14500" spans="1:1" x14ac:dyDescent="0.25">
      <c r="A14500" s="13"/>
    </row>
    <row r="14501" spans="1:1" x14ac:dyDescent="0.25">
      <c r="A14501" s="13"/>
    </row>
    <row r="14502" spans="1:1" x14ac:dyDescent="0.25">
      <c r="A14502" s="13"/>
    </row>
    <row r="14503" spans="1:1" x14ac:dyDescent="0.25">
      <c r="A14503" s="13"/>
    </row>
    <row r="14504" spans="1:1" x14ac:dyDescent="0.25">
      <c r="A14504" s="13"/>
    </row>
    <row r="14505" spans="1:1" x14ac:dyDescent="0.25">
      <c r="A14505" s="13"/>
    </row>
    <row r="14506" spans="1:1" x14ac:dyDescent="0.25">
      <c r="A14506" s="13"/>
    </row>
    <row r="14507" spans="1:1" x14ac:dyDescent="0.25">
      <c r="A14507" s="13"/>
    </row>
    <row r="14508" spans="1:1" x14ac:dyDescent="0.25">
      <c r="A14508" s="13"/>
    </row>
    <row r="14509" spans="1:1" x14ac:dyDescent="0.25">
      <c r="A14509" s="13"/>
    </row>
    <row r="14510" spans="1:1" x14ac:dyDescent="0.25">
      <c r="A14510" s="13"/>
    </row>
    <row r="14511" spans="1:1" x14ac:dyDescent="0.25">
      <c r="A14511" s="13"/>
    </row>
    <row r="14512" spans="1:1" x14ac:dyDescent="0.25">
      <c r="A14512" s="13"/>
    </row>
    <row r="14513" spans="1:1" x14ac:dyDescent="0.25">
      <c r="A14513" s="13"/>
    </row>
    <row r="14514" spans="1:1" x14ac:dyDescent="0.25">
      <c r="A14514" s="13"/>
    </row>
    <row r="14515" spans="1:1" x14ac:dyDescent="0.25">
      <c r="A14515" s="13"/>
    </row>
    <row r="14516" spans="1:1" x14ac:dyDescent="0.25">
      <c r="A14516" s="13"/>
    </row>
    <row r="14517" spans="1:1" x14ac:dyDescent="0.25">
      <c r="A14517" s="13"/>
    </row>
    <row r="14518" spans="1:1" x14ac:dyDescent="0.25">
      <c r="A14518" s="13"/>
    </row>
    <row r="14519" spans="1:1" x14ac:dyDescent="0.25">
      <c r="A14519" s="13"/>
    </row>
    <row r="14520" spans="1:1" x14ac:dyDescent="0.25">
      <c r="A14520" s="13"/>
    </row>
    <row r="14521" spans="1:1" x14ac:dyDescent="0.25">
      <c r="A14521" s="13"/>
    </row>
    <row r="14522" spans="1:1" x14ac:dyDescent="0.25">
      <c r="A14522" s="13"/>
    </row>
    <row r="14523" spans="1:1" x14ac:dyDescent="0.25">
      <c r="A14523" s="13"/>
    </row>
    <row r="14524" spans="1:1" x14ac:dyDescent="0.25">
      <c r="A14524" s="13"/>
    </row>
    <row r="14525" spans="1:1" x14ac:dyDescent="0.25">
      <c r="A14525" s="13"/>
    </row>
    <row r="14526" spans="1:1" x14ac:dyDescent="0.25">
      <c r="A14526" s="13"/>
    </row>
    <row r="14527" spans="1:1" x14ac:dyDescent="0.25">
      <c r="A14527" s="13"/>
    </row>
    <row r="14528" spans="1:1" x14ac:dyDescent="0.25">
      <c r="A14528" s="13"/>
    </row>
    <row r="14529" spans="1:1" x14ac:dyDescent="0.25">
      <c r="A14529" s="13"/>
    </row>
    <row r="14530" spans="1:1" x14ac:dyDescent="0.25">
      <c r="A14530" s="13"/>
    </row>
    <row r="14531" spans="1:1" x14ac:dyDescent="0.25">
      <c r="A14531" s="13"/>
    </row>
    <row r="14532" spans="1:1" x14ac:dyDescent="0.25">
      <c r="A14532" s="13"/>
    </row>
    <row r="14533" spans="1:1" x14ac:dyDescent="0.25">
      <c r="A14533" s="13"/>
    </row>
    <row r="14534" spans="1:1" x14ac:dyDescent="0.25">
      <c r="A14534" s="13"/>
    </row>
    <row r="14535" spans="1:1" x14ac:dyDescent="0.25">
      <c r="A14535" s="13"/>
    </row>
    <row r="14536" spans="1:1" x14ac:dyDescent="0.25">
      <c r="A14536" s="13"/>
    </row>
    <row r="14537" spans="1:1" x14ac:dyDescent="0.25">
      <c r="A14537" s="13"/>
    </row>
    <row r="14538" spans="1:1" x14ac:dyDescent="0.25">
      <c r="A14538" s="13"/>
    </row>
    <row r="14539" spans="1:1" x14ac:dyDescent="0.25">
      <c r="A14539" s="13"/>
    </row>
    <row r="14540" spans="1:1" x14ac:dyDescent="0.25">
      <c r="A14540" s="13"/>
    </row>
    <row r="14541" spans="1:1" x14ac:dyDescent="0.25">
      <c r="A14541" s="13"/>
    </row>
    <row r="14542" spans="1:1" x14ac:dyDescent="0.25">
      <c r="A14542" s="13"/>
    </row>
    <row r="14543" spans="1:1" x14ac:dyDescent="0.25">
      <c r="A14543" s="13"/>
    </row>
    <row r="14544" spans="1:1" x14ac:dyDescent="0.25">
      <c r="A14544" s="13"/>
    </row>
    <row r="14545" spans="1:1" x14ac:dyDescent="0.25">
      <c r="A14545" s="13"/>
    </row>
    <row r="14546" spans="1:1" x14ac:dyDescent="0.25">
      <c r="A14546" s="13"/>
    </row>
    <row r="14547" spans="1:1" x14ac:dyDescent="0.25">
      <c r="A14547" s="13"/>
    </row>
    <row r="14548" spans="1:1" x14ac:dyDescent="0.25">
      <c r="A14548" s="13"/>
    </row>
    <row r="14549" spans="1:1" x14ac:dyDescent="0.25">
      <c r="A14549" s="13"/>
    </row>
    <row r="14550" spans="1:1" x14ac:dyDescent="0.25">
      <c r="A14550" s="13"/>
    </row>
    <row r="14551" spans="1:1" x14ac:dyDescent="0.25">
      <c r="A14551" s="13"/>
    </row>
    <row r="14552" spans="1:1" x14ac:dyDescent="0.25">
      <c r="A14552" s="13"/>
    </row>
    <row r="14553" spans="1:1" x14ac:dyDescent="0.25">
      <c r="A14553" s="13"/>
    </row>
    <row r="14554" spans="1:1" x14ac:dyDescent="0.25">
      <c r="A14554" s="13"/>
    </row>
    <row r="14555" spans="1:1" x14ac:dyDescent="0.25">
      <c r="A14555" s="13"/>
    </row>
    <row r="14556" spans="1:1" x14ac:dyDescent="0.25">
      <c r="A14556" s="13"/>
    </row>
    <row r="14557" spans="1:1" x14ac:dyDescent="0.25">
      <c r="A14557" s="13"/>
    </row>
    <row r="14558" spans="1:1" x14ac:dyDescent="0.25">
      <c r="A14558" s="13"/>
    </row>
    <row r="14559" spans="1:1" x14ac:dyDescent="0.25">
      <c r="A14559" s="13"/>
    </row>
    <row r="14560" spans="1:1" x14ac:dyDescent="0.25">
      <c r="A14560" s="13"/>
    </row>
    <row r="14561" spans="1:1" x14ac:dyDescent="0.25">
      <c r="A14561" s="13"/>
    </row>
    <row r="14562" spans="1:1" x14ac:dyDescent="0.25">
      <c r="A14562" s="13"/>
    </row>
    <row r="14563" spans="1:1" x14ac:dyDescent="0.25">
      <c r="A14563" s="13"/>
    </row>
    <row r="14564" spans="1:1" x14ac:dyDescent="0.25">
      <c r="A14564" s="13"/>
    </row>
    <row r="14565" spans="1:1" x14ac:dyDescent="0.25">
      <c r="A14565" s="13"/>
    </row>
    <row r="14566" spans="1:1" x14ac:dyDescent="0.25">
      <c r="A14566" s="13"/>
    </row>
    <row r="14567" spans="1:1" x14ac:dyDescent="0.25">
      <c r="A14567" s="13"/>
    </row>
    <row r="14568" spans="1:1" x14ac:dyDescent="0.25">
      <c r="A14568" s="13"/>
    </row>
    <row r="14569" spans="1:1" x14ac:dyDescent="0.25">
      <c r="A14569" s="13"/>
    </row>
    <row r="14570" spans="1:1" x14ac:dyDescent="0.25">
      <c r="A14570" s="13"/>
    </row>
    <row r="14571" spans="1:1" x14ac:dyDescent="0.25">
      <c r="A14571" s="13"/>
    </row>
    <row r="14572" spans="1:1" x14ac:dyDescent="0.25">
      <c r="A14572" s="13"/>
    </row>
    <row r="14573" spans="1:1" x14ac:dyDescent="0.25">
      <c r="A14573" s="13"/>
    </row>
    <row r="14574" spans="1:1" x14ac:dyDescent="0.25">
      <c r="A14574" s="13"/>
    </row>
    <row r="14575" spans="1:1" x14ac:dyDescent="0.25">
      <c r="A14575" s="13"/>
    </row>
    <row r="14576" spans="1:1" x14ac:dyDescent="0.25">
      <c r="A14576" s="13"/>
    </row>
    <row r="14577" spans="1:1" x14ac:dyDescent="0.25">
      <c r="A14577" s="13"/>
    </row>
    <row r="14578" spans="1:1" x14ac:dyDescent="0.25">
      <c r="A14578" s="13"/>
    </row>
    <row r="14579" spans="1:1" x14ac:dyDescent="0.25">
      <c r="A14579" s="13"/>
    </row>
    <row r="14580" spans="1:1" x14ac:dyDescent="0.25">
      <c r="A14580" s="13"/>
    </row>
    <row r="14581" spans="1:1" x14ac:dyDescent="0.25">
      <c r="A14581" s="13"/>
    </row>
    <row r="14582" spans="1:1" x14ac:dyDescent="0.25">
      <c r="A14582" s="13"/>
    </row>
    <row r="14583" spans="1:1" x14ac:dyDescent="0.25">
      <c r="A14583" s="13"/>
    </row>
    <row r="14584" spans="1:1" x14ac:dyDescent="0.25">
      <c r="A14584" s="13"/>
    </row>
    <row r="14585" spans="1:1" x14ac:dyDescent="0.25">
      <c r="A14585" s="13"/>
    </row>
    <row r="14586" spans="1:1" x14ac:dyDescent="0.25">
      <c r="A14586" s="13"/>
    </row>
    <row r="14587" spans="1:1" x14ac:dyDescent="0.25">
      <c r="A14587" s="13"/>
    </row>
    <row r="14588" spans="1:1" x14ac:dyDescent="0.25">
      <c r="A14588" s="13"/>
    </row>
    <row r="14589" spans="1:1" x14ac:dyDescent="0.25">
      <c r="A14589" s="13"/>
    </row>
    <row r="14590" spans="1:1" x14ac:dyDescent="0.25">
      <c r="A14590" s="13"/>
    </row>
    <row r="14591" spans="1:1" x14ac:dyDescent="0.25">
      <c r="A14591" s="13"/>
    </row>
    <row r="14592" spans="1:1" x14ac:dyDescent="0.25">
      <c r="A14592" s="13"/>
    </row>
    <row r="14593" spans="1:1" x14ac:dyDescent="0.25">
      <c r="A14593" s="13"/>
    </row>
    <row r="14594" spans="1:1" x14ac:dyDescent="0.25">
      <c r="A14594" s="13"/>
    </row>
    <row r="14595" spans="1:1" x14ac:dyDescent="0.25">
      <c r="A14595" s="13"/>
    </row>
    <row r="14596" spans="1:1" x14ac:dyDescent="0.25">
      <c r="A14596" s="13"/>
    </row>
    <row r="14597" spans="1:1" x14ac:dyDescent="0.25">
      <c r="A14597" s="13"/>
    </row>
    <row r="14598" spans="1:1" x14ac:dyDescent="0.25">
      <c r="A14598" s="13"/>
    </row>
    <row r="14599" spans="1:1" x14ac:dyDescent="0.25">
      <c r="A14599" s="13"/>
    </row>
    <row r="14600" spans="1:1" x14ac:dyDescent="0.25">
      <c r="A14600" s="13"/>
    </row>
    <row r="14601" spans="1:1" x14ac:dyDescent="0.25">
      <c r="A14601" s="13"/>
    </row>
    <row r="14602" spans="1:1" x14ac:dyDescent="0.25">
      <c r="A14602" s="13"/>
    </row>
    <row r="14603" spans="1:1" x14ac:dyDescent="0.25">
      <c r="A14603" s="13"/>
    </row>
    <row r="14604" spans="1:1" x14ac:dyDescent="0.25">
      <c r="A14604" s="13"/>
    </row>
    <row r="14605" spans="1:1" x14ac:dyDescent="0.25">
      <c r="A14605" s="13"/>
    </row>
    <row r="14606" spans="1:1" x14ac:dyDescent="0.25">
      <c r="A14606" s="13"/>
    </row>
    <row r="14607" spans="1:1" x14ac:dyDescent="0.25">
      <c r="A14607" s="13"/>
    </row>
    <row r="14608" spans="1:1" x14ac:dyDescent="0.25">
      <c r="A14608" s="13"/>
    </row>
    <row r="14609" spans="1:1" x14ac:dyDescent="0.25">
      <c r="A14609" s="13"/>
    </row>
    <row r="14610" spans="1:1" x14ac:dyDescent="0.25">
      <c r="A14610" s="13"/>
    </row>
    <row r="14611" spans="1:1" x14ac:dyDescent="0.25">
      <c r="A14611" s="13"/>
    </row>
    <row r="14612" spans="1:1" x14ac:dyDescent="0.25">
      <c r="A14612" s="13"/>
    </row>
    <row r="14613" spans="1:1" x14ac:dyDescent="0.25">
      <c r="A14613" s="13"/>
    </row>
    <row r="14614" spans="1:1" x14ac:dyDescent="0.25">
      <c r="A14614" s="13"/>
    </row>
    <row r="14615" spans="1:1" x14ac:dyDescent="0.25">
      <c r="A14615" s="13"/>
    </row>
    <row r="14616" spans="1:1" x14ac:dyDescent="0.25">
      <c r="A14616" s="13"/>
    </row>
    <row r="14617" spans="1:1" x14ac:dyDescent="0.25">
      <c r="A14617" s="13"/>
    </row>
    <row r="14618" spans="1:1" x14ac:dyDescent="0.25">
      <c r="A14618" s="13"/>
    </row>
    <row r="14619" spans="1:1" x14ac:dyDescent="0.25">
      <c r="A14619" s="13"/>
    </row>
    <row r="14620" spans="1:1" x14ac:dyDescent="0.25">
      <c r="A14620" s="13"/>
    </row>
    <row r="14621" spans="1:1" x14ac:dyDescent="0.25">
      <c r="A14621" s="13"/>
    </row>
    <row r="14622" spans="1:1" x14ac:dyDescent="0.25">
      <c r="A14622" s="13"/>
    </row>
    <row r="14623" spans="1:1" x14ac:dyDescent="0.25">
      <c r="A14623" s="13"/>
    </row>
    <row r="14624" spans="1:1" x14ac:dyDescent="0.25">
      <c r="A14624" s="13"/>
    </row>
    <row r="14625" spans="1:1" x14ac:dyDescent="0.25">
      <c r="A14625" s="13"/>
    </row>
    <row r="14626" spans="1:1" x14ac:dyDescent="0.25">
      <c r="A14626" s="13"/>
    </row>
    <row r="14627" spans="1:1" x14ac:dyDescent="0.25">
      <c r="A14627" s="13"/>
    </row>
    <row r="14628" spans="1:1" x14ac:dyDescent="0.25">
      <c r="A14628" s="13"/>
    </row>
    <row r="14629" spans="1:1" x14ac:dyDescent="0.25">
      <c r="A14629" s="13"/>
    </row>
    <row r="14630" spans="1:1" x14ac:dyDescent="0.25">
      <c r="A14630" s="13"/>
    </row>
    <row r="14631" spans="1:1" x14ac:dyDescent="0.25">
      <c r="A14631" s="13"/>
    </row>
    <row r="14632" spans="1:1" x14ac:dyDescent="0.25">
      <c r="A14632" s="13"/>
    </row>
    <row r="14633" spans="1:1" x14ac:dyDescent="0.25">
      <c r="A14633" s="13"/>
    </row>
    <row r="14634" spans="1:1" x14ac:dyDescent="0.25">
      <c r="A14634" s="13"/>
    </row>
    <row r="14635" spans="1:1" x14ac:dyDescent="0.25">
      <c r="A14635" s="13"/>
    </row>
    <row r="14636" spans="1:1" x14ac:dyDescent="0.25">
      <c r="A14636" s="13"/>
    </row>
    <row r="14637" spans="1:1" x14ac:dyDescent="0.25">
      <c r="A14637" s="13"/>
    </row>
    <row r="14638" spans="1:1" x14ac:dyDescent="0.25">
      <c r="A14638" s="13"/>
    </row>
    <row r="14639" spans="1:1" x14ac:dyDescent="0.25">
      <c r="A14639" s="13"/>
    </row>
    <row r="14640" spans="1:1" x14ac:dyDescent="0.25">
      <c r="A14640" s="13"/>
    </row>
    <row r="14641" spans="1:1" x14ac:dyDescent="0.25">
      <c r="A14641" s="13"/>
    </row>
    <row r="14642" spans="1:1" x14ac:dyDescent="0.25">
      <c r="A14642" s="13"/>
    </row>
    <row r="14643" spans="1:1" x14ac:dyDescent="0.25">
      <c r="A14643" s="13"/>
    </row>
    <row r="14644" spans="1:1" x14ac:dyDescent="0.25">
      <c r="A14644" s="13"/>
    </row>
    <row r="14645" spans="1:1" x14ac:dyDescent="0.25">
      <c r="A14645" s="13"/>
    </row>
    <row r="14646" spans="1:1" x14ac:dyDescent="0.25">
      <c r="A14646" s="13"/>
    </row>
    <row r="14647" spans="1:1" x14ac:dyDescent="0.25">
      <c r="A14647" s="13"/>
    </row>
    <row r="14648" spans="1:1" x14ac:dyDescent="0.25">
      <c r="A14648" s="13"/>
    </row>
    <row r="14649" spans="1:1" x14ac:dyDescent="0.25">
      <c r="A14649" s="13"/>
    </row>
    <row r="14650" spans="1:1" x14ac:dyDescent="0.25">
      <c r="A14650" s="13"/>
    </row>
    <row r="14651" spans="1:1" x14ac:dyDescent="0.25">
      <c r="A14651" s="13"/>
    </row>
    <row r="14652" spans="1:1" x14ac:dyDescent="0.25">
      <c r="A14652" s="13"/>
    </row>
    <row r="14653" spans="1:1" x14ac:dyDescent="0.25">
      <c r="A14653" s="13"/>
    </row>
    <row r="14654" spans="1:1" x14ac:dyDescent="0.25">
      <c r="A14654" s="13"/>
    </row>
    <row r="14655" spans="1:1" x14ac:dyDescent="0.25">
      <c r="A14655" s="13"/>
    </row>
    <row r="14656" spans="1:1" x14ac:dyDescent="0.25">
      <c r="A14656" s="13"/>
    </row>
    <row r="14657" spans="1:1" x14ac:dyDescent="0.25">
      <c r="A14657" s="13"/>
    </row>
    <row r="14658" spans="1:1" x14ac:dyDescent="0.25">
      <c r="A14658" s="13"/>
    </row>
    <row r="14659" spans="1:1" x14ac:dyDescent="0.25">
      <c r="A14659" s="13"/>
    </row>
    <row r="14660" spans="1:1" x14ac:dyDescent="0.25">
      <c r="A14660" s="13"/>
    </row>
    <row r="14661" spans="1:1" x14ac:dyDescent="0.25">
      <c r="A14661" s="13"/>
    </row>
    <row r="14662" spans="1:1" x14ac:dyDescent="0.25">
      <c r="A14662" s="13"/>
    </row>
    <row r="14663" spans="1:1" x14ac:dyDescent="0.25">
      <c r="A14663" s="13"/>
    </row>
    <row r="14664" spans="1:1" x14ac:dyDescent="0.25">
      <c r="A14664" s="13"/>
    </row>
    <row r="14665" spans="1:1" x14ac:dyDescent="0.25">
      <c r="A14665" s="13"/>
    </row>
    <row r="14666" spans="1:1" x14ac:dyDescent="0.25">
      <c r="A14666" s="13"/>
    </row>
    <row r="14667" spans="1:1" x14ac:dyDescent="0.25">
      <c r="A14667" s="13"/>
    </row>
    <row r="14668" spans="1:1" x14ac:dyDescent="0.25">
      <c r="A14668" s="13"/>
    </row>
    <row r="14669" spans="1:1" x14ac:dyDescent="0.25">
      <c r="A14669" s="13"/>
    </row>
    <row r="14670" spans="1:1" x14ac:dyDescent="0.25">
      <c r="A14670" s="13"/>
    </row>
    <row r="14671" spans="1:1" x14ac:dyDescent="0.25">
      <c r="A14671" s="13"/>
    </row>
    <row r="14672" spans="1:1" x14ac:dyDescent="0.25">
      <c r="A14672" s="13"/>
    </row>
    <row r="14673" spans="1:1" x14ac:dyDescent="0.25">
      <c r="A14673" s="13"/>
    </row>
    <row r="14674" spans="1:1" x14ac:dyDescent="0.25">
      <c r="A14674" s="13"/>
    </row>
    <row r="14675" spans="1:1" x14ac:dyDescent="0.25">
      <c r="A14675" s="13"/>
    </row>
    <row r="14676" spans="1:1" x14ac:dyDescent="0.25">
      <c r="A14676" s="13"/>
    </row>
    <row r="14677" spans="1:1" x14ac:dyDescent="0.25">
      <c r="A14677" s="13"/>
    </row>
    <row r="14678" spans="1:1" x14ac:dyDescent="0.25">
      <c r="A14678" s="13"/>
    </row>
    <row r="14679" spans="1:1" x14ac:dyDescent="0.25">
      <c r="A14679" s="13"/>
    </row>
    <row r="14680" spans="1:1" x14ac:dyDescent="0.25">
      <c r="A14680" s="13"/>
    </row>
    <row r="14681" spans="1:1" x14ac:dyDescent="0.25">
      <c r="A14681" s="13"/>
    </row>
    <row r="14682" spans="1:1" x14ac:dyDescent="0.25">
      <c r="A14682" s="13"/>
    </row>
    <row r="14683" spans="1:1" x14ac:dyDescent="0.25">
      <c r="A14683" s="13"/>
    </row>
    <row r="14684" spans="1:1" x14ac:dyDescent="0.25">
      <c r="A14684" s="13"/>
    </row>
    <row r="14685" spans="1:1" x14ac:dyDescent="0.25">
      <c r="A14685" s="13"/>
    </row>
    <row r="14686" spans="1:1" x14ac:dyDescent="0.25">
      <c r="A14686" s="13"/>
    </row>
    <row r="14687" spans="1:1" x14ac:dyDescent="0.25">
      <c r="A14687" s="13"/>
    </row>
    <row r="14688" spans="1:1" x14ac:dyDescent="0.25">
      <c r="A14688" s="13"/>
    </row>
    <row r="14689" spans="1:1" x14ac:dyDescent="0.25">
      <c r="A14689" s="13"/>
    </row>
    <row r="14690" spans="1:1" x14ac:dyDescent="0.25">
      <c r="A14690" s="13"/>
    </row>
    <row r="14691" spans="1:1" x14ac:dyDescent="0.25">
      <c r="A14691" s="13"/>
    </row>
    <row r="14692" spans="1:1" x14ac:dyDescent="0.25">
      <c r="A14692" s="13"/>
    </row>
    <row r="14693" spans="1:1" x14ac:dyDescent="0.25">
      <c r="A14693" s="13"/>
    </row>
    <row r="14694" spans="1:1" x14ac:dyDescent="0.25">
      <c r="A14694" s="13"/>
    </row>
    <row r="14695" spans="1:1" x14ac:dyDescent="0.25">
      <c r="A14695" s="13"/>
    </row>
    <row r="14696" spans="1:1" x14ac:dyDescent="0.25">
      <c r="A14696" s="13"/>
    </row>
    <row r="14697" spans="1:1" x14ac:dyDescent="0.25">
      <c r="A14697" s="13"/>
    </row>
    <row r="14698" spans="1:1" x14ac:dyDescent="0.25">
      <c r="A14698" s="13"/>
    </row>
    <row r="14699" spans="1:1" x14ac:dyDescent="0.25">
      <c r="A14699" s="13"/>
    </row>
    <row r="14700" spans="1:1" x14ac:dyDescent="0.25">
      <c r="A14700" s="13"/>
    </row>
    <row r="14701" spans="1:1" x14ac:dyDescent="0.25">
      <c r="A14701" s="13"/>
    </row>
    <row r="14702" spans="1:1" x14ac:dyDescent="0.25">
      <c r="A14702" s="13"/>
    </row>
    <row r="14703" spans="1:1" x14ac:dyDescent="0.25">
      <c r="A14703" s="13"/>
    </row>
    <row r="14704" spans="1:1" x14ac:dyDescent="0.25">
      <c r="A14704" s="13"/>
    </row>
    <row r="14705" spans="1:1" x14ac:dyDescent="0.25">
      <c r="A14705" s="13"/>
    </row>
    <row r="14706" spans="1:1" x14ac:dyDescent="0.25">
      <c r="A14706" s="13"/>
    </row>
    <row r="14707" spans="1:1" x14ac:dyDescent="0.25">
      <c r="A14707" s="13"/>
    </row>
    <row r="14708" spans="1:1" x14ac:dyDescent="0.25">
      <c r="A14708" s="13"/>
    </row>
    <row r="14709" spans="1:1" x14ac:dyDescent="0.25">
      <c r="A14709" s="13"/>
    </row>
    <row r="14710" spans="1:1" x14ac:dyDescent="0.25">
      <c r="A14710" s="13"/>
    </row>
    <row r="14711" spans="1:1" x14ac:dyDescent="0.25">
      <c r="A14711" s="13"/>
    </row>
    <row r="14712" spans="1:1" x14ac:dyDescent="0.25">
      <c r="A14712" s="13"/>
    </row>
    <row r="14713" spans="1:1" x14ac:dyDescent="0.25">
      <c r="A14713" s="13"/>
    </row>
    <row r="14714" spans="1:1" x14ac:dyDescent="0.25">
      <c r="A14714" s="13"/>
    </row>
    <row r="14715" spans="1:1" x14ac:dyDescent="0.25">
      <c r="A14715" s="13"/>
    </row>
    <row r="14716" spans="1:1" x14ac:dyDescent="0.25">
      <c r="A14716" s="13"/>
    </row>
    <row r="14717" spans="1:1" x14ac:dyDescent="0.25">
      <c r="A14717" s="13"/>
    </row>
    <row r="14718" spans="1:1" x14ac:dyDescent="0.25">
      <c r="A14718" s="13"/>
    </row>
    <row r="14719" spans="1:1" x14ac:dyDescent="0.25">
      <c r="A14719" s="13"/>
    </row>
    <row r="14720" spans="1:1" x14ac:dyDescent="0.25">
      <c r="A14720" s="13"/>
    </row>
    <row r="14721" spans="1:1" x14ac:dyDescent="0.25">
      <c r="A14721" s="13"/>
    </row>
    <row r="14722" spans="1:1" x14ac:dyDescent="0.25">
      <c r="A14722" s="13"/>
    </row>
    <row r="14723" spans="1:1" x14ac:dyDescent="0.25">
      <c r="A14723" s="13"/>
    </row>
    <row r="14724" spans="1:1" x14ac:dyDescent="0.25">
      <c r="A14724" s="13"/>
    </row>
    <row r="14725" spans="1:1" x14ac:dyDescent="0.25">
      <c r="A14725" s="13"/>
    </row>
    <row r="14726" spans="1:1" x14ac:dyDescent="0.25">
      <c r="A14726" s="13"/>
    </row>
    <row r="14727" spans="1:1" x14ac:dyDescent="0.25">
      <c r="A14727" s="13"/>
    </row>
    <row r="14728" spans="1:1" x14ac:dyDescent="0.25">
      <c r="A14728" s="13"/>
    </row>
    <row r="14729" spans="1:1" x14ac:dyDescent="0.25">
      <c r="A14729" s="13"/>
    </row>
    <row r="14730" spans="1:1" x14ac:dyDescent="0.25">
      <c r="A14730" s="13"/>
    </row>
    <row r="14731" spans="1:1" x14ac:dyDescent="0.25">
      <c r="A14731" s="13"/>
    </row>
    <row r="14732" spans="1:1" x14ac:dyDescent="0.25">
      <c r="A14732" s="13"/>
    </row>
    <row r="14733" spans="1:1" x14ac:dyDescent="0.25">
      <c r="A14733" s="13"/>
    </row>
    <row r="14734" spans="1:1" x14ac:dyDescent="0.25">
      <c r="A14734" s="13"/>
    </row>
    <row r="14735" spans="1:1" x14ac:dyDescent="0.25">
      <c r="A14735" s="13"/>
    </row>
    <row r="14736" spans="1:1" x14ac:dyDescent="0.25">
      <c r="A14736" s="13"/>
    </row>
    <row r="14737" spans="1:1" x14ac:dyDescent="0.25">
      <c r="A14737" s="13"/>
    </row>
    <row r="14738" spans="1:1" x14ac:dyDescent="0.25">
      <c r="A14738" s="13"/>
    </row>
    <row r="14739" spans="1:1" x14ac:dyDescent="0.25">
      <c r="A14739" s="13"/>
    </row>
    <row r="14740" spans="1:1" x14ac:dyDescent="0.25">
      <c r="A14740" s="13"/>
    </row>
    <row r="14741" spans="1:1" x14ac:dyDescent="0.25">
      <c r="A14741" s="13"/>
    </row>
    <row r="14742" spans="1:1" x14ac:dyDescent="0.25">
      <c r="A14742" s="13"/>
    </row>
    <row r="14743" spans="1:1" x14ac:dyDescent="0.25">
      <c r="A14743" s="13"/>
    </row>
    <row r="14744" spans="1:1" x14ac:dyDescent="0.25">
      <c r="A14744" s="13"/>
    </row>
    <row r="14745" spans="1:1" x14ac:dyDescent="0.25">
      <c r="A14745" s="13"/>
    </row>
    <row r="14746" spans="1:1" x14ac:dyDescent="0.25">
      <c r="A14746" s="13"/>
    </row>
    <row r="14747" spans="1:1" x14ac:dyDescent="0.25">
      <c r="A14747" s="13"/>
    </row>
    <row r="14748" spans="1:1" x14ac:dyDescent="0.25">
      <c r="A14748" s="13"/>
    </row>
    <row r="14749" spans="1:1" x14ac:dyDescent="0.25">
      <c r="A14749" s="13"/>
    </row>
    <row r="14750" spans="1:1" x14ac:dyDescent="0.25">
      <c r="A14750" s="13"/>
    </row>
    <row r="14751" spans="1:1" x14ac:dyDescent="0.25">
      <c r="A14751" s="13"/>
    </row>
    <row r="14752" spans="1:1" x14ac:dyDescent="0.25">
      <c r="A14752" s="13"/>
    </row>
    <row r="14753" spans="1:1" x14ac:dyDescent="0.25">
      <c r="A14753" s="13"/>
    </row>
    <row r="14754" spans="1:1" x14ac:dyDescent="0.25">
      <c r="A14754" s="13"/>
    </row>
    <row r="14755" spans="1:1" x14ac:dyDescent="0.25">
      <c r="A14755" s="13"/>
    </row>
    <row r="14756" spans="1:1" x14ac:dyDescent="0.25">
      <c r="A14756" s="13"/>
    </row>
    <row r="14757" spans="1:1" x14ac:dyDescent="0.25">
      <c r="A14757" s="13"/>
    </row>
    <row r="14758" spans="1:1" x14ac:dyDescent="0.25">
      <c r="A14758" s="13"/>
    </row>
    <row r="14759" spans="1:1" x14ac:dyDescent="0.25">
      <c r="A14759" s="13"/>
    </row>
    <row r="14760" spans="1:1" x14ac:dyDescent="0.25">
      <c r="A14760" s="13"/>
    </row>
    <row r="14761" spans="1:1" x14ac:dyDescent="0.25">
      <c r="A14761" s="13"/>
    </row>
    <row r="14762" spans="1:1" x14ac:dyDescent="0.25">
      <c r="A14762" s="13"/>
    </row>
    <row r="14763" spans="1:1" x14ac:dyDescent="0.25">
      <c r="A14763" s="13"/>
    </row>
    <row r="14764" spans="1:1" x14ac:dyDescent="0.25">
      <c r="A14764" s="13"/>
    </row>
    <row r="14765" spans="1:1" x14ac:dyDescent="0.25">
      <c r="A14765" s="13"/>
    </row>
    <row r="14766" spans="1:1" x14ac:dyDescent="0.25">
      <c r="A14766" s="13"/>
    </row>
    <row r="14767" spans="1:1" x14ac:dyDescent="0.25">
      <c r="A14767" s="13"/>
    </row>
    <row r="14768" spans="1:1" x14ac:dyDescent="0.25">
      <c r="A14768" s="13"/>
    </row>
    <row r="14769" spans="1:1" x14ac:dyDescent="0.25">
      <c r="A14769" s="13"/>
    </row>
    <row r="14770" spans="1:1" x14ac:dyDescent="0.25">
      <c r="A14770" s="13"/>
    </row>
    <row r="14771" spans="1:1" x14ac:dyDescent="0.25">
      <c r="A14771" s="13"/>
    </row>
    <row r="14772" spans="1:1" x14ac:dyDescent="0.25">
      <c r="A14772" s="13"/>
    </row>
    <row r="14773" spans="1:1" x14ac:dyDescent="0.25">
      <c r="A14773" s="13"/>
    </row>
    <row r="14774" spans="1:1" x14ac:dyDescent="0.25">
      <c r="A14774" s="13"/>
    </row>
    <row r="14775" spans="1:1" x14ac:dyDescent="0.25">
      <c r="A14775" s="13"/>
    </row>
    <row r="14776" spans="1:1" x14ac:dyDescent="0.25">
      <c r="A14776" s="13"/>
    </row>
    <row r="14777" spans="1:1" x14ac:dyDescent="0.25">
      <c r="A14777" s="13"/>
    </row>
    <row r="14778" spans="1:1" x14ac:dyDescent="0.25">
      <c r="A14778" s="13"/>
    </row>
    <row r="14779" spans="1:1" x14ac:dyDescent="0.25">
      <c r="A14779" s="13"/>
    </row>
    <row r="14780" spans="1:1" x14ac:dyDescent="0.25">
      <c r="A14780" s="13"/>
    </row>
    <row r="14781" spans="1:1" x14ac:dyDescent="0.25">
      <c r="A14781" s="13"/>
    </row>
    <row r="14782" spans="1:1" x14ac:dyDescent="0.25">
      <c r="A14782" s="13"/>
    </row>
    <row r="14783" spans="1:1" x14ac:dyDescent="0.25">
      <c r="A14783" s="13"/>
    </row>
    <row r="14784" spans="1:1" x14ac:dyDescent="0.25">
      <c r="A14784" s="13"/>
    </row>
    <row r="14785" spans="1:1" x14ac:dyDescent="0.25">
      <c r="A14785" s="13"/>
    </row>
    <row r="14786" spans="1:1" x14ac:dyDescent="0.25">
      <c r="A14786" s="13"/>
    </row>
    <row r="14787" spans="1:1" x14ac:dyDescent="0.25">
      <c r="A14787" s="13"/>
    </row>
    <row r="14788" spans="1:1" x14ac:dyDescent="0.25">
      <c r="A14788" s="13"/>
    </row>
    <row r="14789" spans="1:1" x14ac:dyDescent="0.25">
      <c r="A14789" s="13"/>
    </row>
    <row r="14790" spans="1:1" x14ac:dyDescent="0.25">
      <c r="A14790" s="13"/>
    </row>
    <row r="14791" spans="1:1" x14ac:dyDescent="0.25">
      <c r="A14791" s="13"/>
    </row>
    <row r="14792" spans="1:1" x14ac:dyDescent="0.25">
      <c r="A14792" s="13"/>
    </row>
    <row r="14793" spans="1:1" x14ac:dyDescent="0.25">
      <c r="A14793" s="13"/>
    </row>
    <row r="14794" spans="1:1" x14ac:dyDescent="0.25">
      <c r="A14794" s="13"/>
    </row>
    <row r="14795" spans="1:1" x14ac:dyDescent="0.25">
      <c r="A14795" s="13"/>
    </row>
    <row r="14796" spans="1:1" x14ac:dyDescent="0.25">
      <c r="A14796" s="13"/>
    </row>
    <row r="14797" spans="1:1" x14ac:dyDescent="0.25">
      <c r="A14797" s="13"/>
    </row>
    <row r="14798" spans="1:1" x14ac:dyDescent="0.25">
      <c r="A14798" s="13"/>
    </row>
    <row r="14799" spans="1:1" x14ac:dyDescent="0.25">
      <c r="A14799" s="13"/>
    </row>
    <row r="14800" spans="1:1" x14ac:dyDescent="0.25">
      <c r="A14800" s="13"/>
    </row>
    <row r="14801" spans="1:1" x14ac:dyDescent="0.25">
      <c r="A14801" s="13"/>
    </row>
    <row r="14802" spans="1:1" x14ac:dyDescent="0.25">
      <c r="A14802" s="13"/>
    </row>
    <row r="14803" spans="1:1" x14ac:dyDescent="0.25">
      <c r="A14803" s="13"/>
    </row>
    <row r="14804" spans="1:1" x14ac:dyDescent="0.25">
      <c r="A14804" s="13"/>
    </row>
    <row r="14805" spans="1:1" x14ac:dyDescent="0.25">
      <c r="A14805" s="13"/>
    </row>
    <row r="14806" spans="1:1" x14ac:dyDescent="0.25">
      <c r="A14806" s="13"/>
    </row>
    <row r="14807" spans="1:1" x14ac:dyDescent="0.25">
      <c r="A14807" s="13"/>
    </row>
    <row r="14808" spans="1:1" x14ac:dyDescent="0.25">
      <c r="A14808" s="13"/>
    </row>
    <row r="14809" spans="1:1" x14ac:dyDescent="0.25">
      <c r="A14809" s="13"/>
    </row>
    <row r="14810" spans="1:1" x14ac:dyDescent="0.25">
      <c r="A14810" s="13"/>
    </row>
    <row r="14811" spans="1:1" x14ac:dyDescent="0.25">
      <c r="A14811" s="13"/>
    </row>
    <row r="14812" spans="1:1" x14ac:dyDescent="0.25">
      <c r="A14812" s="13"/>
    </row>
    <row r="14813" spans="1:1" x14ac:dyDescent="0.25">
      <c r="A14813" s="13"/>
    </row>
    <row r="14814" spans="1:1" x14ac:dyDescent="0.25">
      <c r="A14814" s="13"/>
    </row>
    <row r="14815" spans="1:1" x14ac:dyDescent="0.25">
      <c r="A14815" s="13"/>
    </row>
    <row r="14816" spans="1:1" x14ac:dyDescent="0.25">
      <c r="A14816" s="13"/>
    </row>
    <row r="14817" spans="1:1" x14ac:dyDescent="0.25">
      <c r="A14817" s="13"/>
    </row>
    <row r="14818" spans="1:1" x14ac:dyDescent="0.25">
      <c r="A14818" s="13"/>
    </row>
    <row r="14819" spans="1:1" x14ac:dyDescent="0.25">
      <c r="A14819" s="13"/>
    </row>
    <row r="14820" spans="1:1" x14ac:dyDescent="0.25">
      <c r="A14820" s="13"/>
    </row>
    <row r="14821" spans="1:1" x14ac:dyDescent="0.25">
      <c r="A14821" s="13"/>
    </row>
    <row r="14822" spans="1:1" x14ac:dyDescent="0.25">
      <c r="A14822" s="13"/>
    </row>
    <row r="14823" spans="1:1" x14ac:dyDescent="0.25">
      <c r="A14823" s="13"/>
    </row>
    <row r="14824" spans="1:1" x14ac:dyDescent="0.25">
      <c r="A14824" s="13"/>
    </row>
    <row r="14825" spans="1:1" x14ac:dyDescent="0.25">
      <c r="A14825" s="13"/>
    </row>
    <row r="14826" spans="1:1" x14ac:dyDescent="0.25">
      <c r="A14826" s="13"/>
    </row>
    <row r="14827" spans="1:1" x14ac:dyDescent="0.25">
      <c r="A14827" s="13"/>
    </row>
    <row r="14828" spans="1:1" x14ac:dyDescent="0.25">
      <c r="A14828" s="13"/>
    </row>
    <row r="14829" spans="1:1" x14ac:dyDescent="0.25">
      <c r="A14829" s="13"/>
    </row>
    <row r="14830" spans="1:1" x14ac:dyDescent="0.25">
      <c r="A14830" s="13"/>
    </row>
    <row r="14831" spans="1:1" x14ac:dyDescent="0.25">
      <c r="A14831" s="13"/>
    </row>
    <row r="14832" spans="1:1" x14ac:dyDescent="0.25">
      <c r="A14832" s="13"/>
    </row>
    <row r="14833" spans="1:1" x14ac:dyDescent="0.25">
      <c r="A14833" s="13"/>
    </row>
    <row r="14834" spans="1:1" x14ac:dyDescent="0.25">
      <c r="A14834" s="13"/>
    </row>
    <row r="14835" spans="1:1" x14ac:dyDescent="0.25">
      <c r="A14835" s="13"/>
    </row>
    <row r="14836" spans="1:1" x14ac:dyDescent="0.25">
      <c r="A14836" s="13"/>
    </row>
    <row r="14837" spans="1:1" x14ac:dyDescent="0.25">
      <c r="A14837" s="13"/>
    </row>
    <row r="14838" spans="1:1" x14ac:dyDescent="0.25">
      <c r="A14838" s="13"/>
    </row>
    <row r="14839" spans="1:1" x14ac:dyDescent="0.25">
      <c r="A14839" s="13"/>
    </row>
    <row r="14840" spans="1:1" x14ac:dyDescent="0.25">
      <c r="A14840" s="13"/>
    </row>
    <row r="14841" spans="1:1" x14ac:dyDescent="0.25">
      <c r="A14841" s="13"/>
    </row>
    <row r="14842" spans="1:1" x14ac:dyDescent="0.25">
      <c r="A14842" s="13"/>
    </row>
    <row r="14843" spans="1:1" x14ac:dyDescent="0.25">
      <c r="A14843" s="13"/>
    </row>
    <row r="14844" spans="1:1" x14ac:dyDescent="0.25">
      <c r="A14844" s="13"/>
    </row>
    <row r="14845" spans="1:1" x14ac:dyDescent="0.25">
      <c r="A14845" s="13"/>
    </row>
    <row r="14846" spans="1:1" x14ac:dyDescent="0.25">
      <c r="A14846" s="13"/>
    </row>
    <row r="14847" spans="1:1" x14ac:dyDescent="0.25">
      <c r="A14847" s="13"/>
    </row>
    <row r="14848" spans="1:1" x14ac:dyDescent="0.25">
      <c r="A14848" s="13"/>
    </row>
    <row r="14849" spans="1:1" x14ac:dyDescent="0.25">
      <c r="A14849" s="13"/>
    </row>
    <row r="14850" spans="1:1" x14ac:dyDescent="0.25">
      <c r="A14850" s="13"/>
    </row>
    <row r="14851" spans="1:1" x14ac:dyDescent="0.25">
      <c r="A14851" s="13"/>
    </row>
    <row r="14852" spans="1:1" x14ac:dyDescent="0.25">
      <c r="A14852" s="13"/>
    </row>
    <row r="14853" spans="1:1" x14ac:dyDescent="0.25">
      <c r="A14853" s="13"/>
    </row>
    <row r="14854" spans="1:1" x14ac:dyDescent="0.25">
      <c r="A14854" s="13"/>
    </row>
    <row r="14855" spans="1:1" x14ac:dyDescent="0.25">
      <c r="A14855" s="13"/>
    </row>
    <row r="14856" spans="1:1" x14ac:dyDescent="0.25">
      <c r="A14856" s="13"/>
    </row>
    <row r="14857" spans="1:1" x14ac:dyDescent="0.25">
      <c r="A14857" s="13"/>
    </row>
    <row r="14858" spans="1:1" x14ac:dyDescent="0.25">
      <c r="A14858" s="13"/>
    </row>
    <row r="14859" spans="1:1" x14ac:dyDescent="0.25">
      <c r="A14859" s="13"/>
    </row>
    <row r="14860" spans="1:1" x14ac:dyDescent="0.25">
      <c r="A14860" s="13"/>
    </row>
    <row r="14861" spans="1:1" x14ac:dyDescent="0.25">
      <c r="A14861" s="13"/>
    </row>
    <row r="14862" spans="1:1" x14ac:dyDescent="0.25">
      <c r="A14862" s="13"/>
    </row>
    <row r="14863" spans="1:1" x14ac:dyDescent="0.25">
      <c r="A14863" s="13"/>
    </row>
    <row r="14864" spans="1:1" x14ac:dyDescent="0.25">
      <c r="A14864" s="13"/>
    </row>
    <row r="14865" spans="1:1" x14ac:dyDescent="0.25">
      <c r="A14865" s="13"/>
    </row>
    <row r="14866" spans="1:1" x14ac:dyDescent="0.25">
      <c r="A14866" s="13"/>
    </row>
    <row r="14867" spans="1:1" x14ac:dyDescent="0.25">
      <c r="A14867" s="13"/>
    </row>
    <row r="14868" spans="1:1" x14ac:dyDescent="0.25">
      <c r="A14868" s="13"/>
    </row>
    <row r="14869" spans="1:1" x14ac:dyDescent="0.25">
      <c r="A14869" s="13"/>
    </row>
    <row r="14870" spans="1:1" x14ac:dyDescent="0.25">
      <c r="A14870" s="13"/>
    </row>
    <row r="14871" spans="1:1" x14ac:dyDescent="0.25">
      <c r="A14871" s="13"/>
    </row>
    <row r="14872" spans="1:1" x14ac:dyDescent="0.25">
      <c r="A14872" s="13"/>
    </row>
    <row r="14873" spans="1:1" x14ac:dyDescent="0.25">
      <c r="A14873" s="13"/>
    </row>
    <row r="14874" spans="1:1" x14ac:dyDescent="0.25">
      <c r="A14874" s="13"/>
    </row>
    <row r="14875" spans="1:1" x14ac:dyDescent="0.25">
      <c r="A14875" s="13"/>
    </row>
    <row r="14876" spans="1:1" x14ac:dyDescent="0.25">
      <c r="A14876" s="13"/>
    </row>
    <row r="14877" spans="1:1" x14ac:dyDescent="0.25">
      <c r="A14877" s="13"/>
    </row>
    <row r="14878" spans="1:1" x14ac:dyDescent="0.25">
      <c r="A14878" s="13"/>
    </row>
    <row r="14879" spans="1:1" x14ac:dyDescent="0.25">
      <c r="A14879" s="13"/>
    </row>
    <row r="14880" spans="1:1" x14ac:dyDescent="0.25">
      <c r="A14880" s="13"/>
    </row>
    <row r="14881" spans="1:1" x14ac:dyDescent="0.25">
      <c r="A14881" s="13"/>
    </row>
    <row r="14882" spans="1:1" x14ac:dyDescent="0.25">
      <c r="A14882" s="13"/>
    </row>
    <row r="14883" spans="1:1" x14ac:dyDescent="0.25">
      <c r="A14883" s="13"/>
    </row>
    <row r="14884" spans="1:1" x14ac:dyDescent="0.25">
      <c r="A14884" s="13"/>
    </row>
    <row r="14885" spans="1:1" x14ac:dyDescent="0.25">
      <c r="A14885" s="13"/>
    </row>
    <row r="14886" spans="1:1" x14ac:dyDescent="0.25">
      <c r="A14886" s="13"/>
    </row>
    <row r="14887" spans="1:1" x14ac:dyDescent="0.25">
      <c r="A14887" s="13"/>
    </row>
    <row r="14888" spans="1:1" x14ac:dyDescent="0.25">
      <c r="A14888" s="13"/>
    </row>
    <row r="14889" spans="1:1" x14ac:dyDescent="0.25">
      <c r="A14889" s="13"/>
    </row>
    <row r="14890" spans="1:1" x14ac:dyDescent="0.25">
      <c r="A14890" s="13"/>
    </row>
    <row r="14891" spans="1:1" x14ac:dyDescent="0.25">
      <c r="A14891" s="13"/>
    </row>
    <row r="14892" spans="1:1" x14ac:dyDescent="0.25">
      <c r="A14892" s="13"/>
    </row>
    <row r="14893" spans="1:1" x14ac:dyDescent="0.25">
      <c r="A14893" s="13"/>
    </row>
    <row r="14894" spans="1:1" x14ac:dyDescent="0.25">
      <c r="A14894" s="13"/>
    </row>
    <row r="14895" spans="1:1" x14ac:dyDescent="0.25">
      <c r="A14895" s="13"/>
    </row>
    <row r="14896" spans="1:1" x14ac:dyDescent="0.25">
      <c r="A14896" s="13"/>
    </row>
    <row r="14897" spans="1:1" x14ac:dyDescent="0.25">
      <c r="A14897" s="13"/>
    </row>
    <row r="14898" spans="1:1" x14ac:dyDescent="0.25">
      <c r="A14898" s="13"/>
    </row>
    <row r="14899" spans="1:1" x14ac:dyDescent="0.25">
      <c r="A14899" s="13"/>
    </row>
    <row r="14900" spans="1:1" x14ac:dyDescent="0.25">
      <c r="A14900" s="13"/>
    </row>
    <row r="14901" spans="1:1" x14ac:dyDescent="0.25">
      <c r="A14901" s="13"/>
    </row>
    <row r="14902" spans="1:1" x14ac:dyDescent="0.25">
      <c r="A14902" s="13"/>
    </row>
    <row r="14903" spans="1:1" x14ac:dyDescent="0.25">
      <c r="A14903" s="13"/>
    </row>
    <row r="14904" spans="1:1" x14ac:dyDescent="0.25">
      <c r="A14904" s="13"/>
    </row>
    <row r="14905" spans="1:1" x14ac:dyDescent="0.25">
      <c r="A14905" s="13"/>
    </row>
    <row r="14906" spans="1:1" x14ac:dyDescent="0.25">
      <c r="A14906" s="13"/>
    </row>
    <row r="14907" spans="1:1" x14ac:dyDescent="0.25">
      <c r="A14907" s="13"/>
    </row>
    <row r="14908" spans="1:1" x14ac:dyDescent="0.25">
      <c r="A14908" s="13"/>
    </row>
    <row r="14909" spans="1:1" x14ac:dyDescent="0.25">
      <c r="A14909" s="13"/>
    </row>
    <row r="14910" spans="1:1" x14ac:dyDescent="0.25">
      <c r="A14910" s="13"/>
    </row>
    <row r="14911" spans="1:1" x14ac:dyDescent="0.25">
      <c r="A14911" s="13"/>
    </row>
    <row r="14912" spans="1:1" x14ac:dyDescent="0.25">
      <c r="A14912" s="13"/>
    </row>
    <row r="14913" spans="1:1" x14ac:dyDescent="0.25">
      <c r="A14913" s="13"/>
    </row>
    <row r="14914" spans="1:1" x14ac:dyDescent="0.25">
      <c r="A14914" s="13"/>
    </row>
    <row r="14915" spans="1:1" x14ac:dyDescent="0.25">
      <c r="A14915" s="13"/>
    </row>
    <row r="14916" spans="1:1" x14ac:dyDescent="0.25">
      <c r="A14916" s="13"/>
    </row>
    <row r="14917" spans="1:1" x14ac:dyDescent="0.25">
      <c r="A14917" s="13"/>
    </row>
    <row r="14918" spans="1:1" x14ac:dyDescent="0.25">
      <c r="A14918" s="13"/>
    </row>
    <row r="14919" spans="1:1" x14ac:dyDescent="0.25">
      <c r="A14919" s="13"/>
    </row>
    <row r="14920" spans="1:1" x14ac:dyDescent="0.25">
      <c r="A14920" s="13"/>
    </row>
    <row r="14921" spans="1:1" x14ac:dyDescent="0.25">
      <c r="A14921" s="13"/>
    </row>
    <row r="14922" spans="1:1" x14ac:dyDescent="0.25">
      <c r="A14922" s="13"/>
    </row>
    <row r="14923" spans="1:1" x14ac:dyDescent="0.25">
      <c r="A14923" s="13"/>
    </row>
    <row r="14924" spans="1:1" x14ac:dyDescent="0.25">
      <c r="A14924" s="13"/>
    </row>
    <row r="14925" spans="1:1" x14ac:dyDescent="0.25">
      <c r="A14925" s="13"/>
    </row>
    <row r="14926" spans="1:1" x14ac:dyDescent="0.25">
      <c r="A14926" s="13"/>
    </row>
    <row r="14927" spans="1:1" x14ac:dyDescent="0.25">
      <c r="A14927" s="13"/>
    </row>
    <row r="14928" spans="1:1" x14ac:dyDescent="0.25">
      <c r="A14928" s="13"/>
    </row>
    <row r="14929" spans="1:1" x14ac:dyDescent="0.25">
      <c r="A14929" s="13"/>
    </row>
    <row r="14930" spans="1:1" x14ac:dyDescent="0.25">
      <c r="A14930" s="13"/>
    </row>
    <row r="14931" spans="1:1" x14ac:dyDescent="0.25">
      <c r="A14931" s="13"/>
    </row>
    <row r="14932" spans="1:1" x14ac:dyDescent="0.25">
      <c r="A14932" s="13"/>
    </row>
    <row r="14933" spans="1:1" x14ac:dyDescent="0.25">
      <c r="A14933" s="13"/>
    </row>
    <row r="14934" spans="1:1" x14ac:dyDescent="0.25">
      <c r="A14934" s="13"/>
    </row>
    <row r="14935" spans="1:1" x14ac:dyDescent="0.25">
      <c r="A14935" s="13"/>
    </row>
    <row r="14936" spans="1:1" x14ac:dyDescent="0.25">
      <c r="A14936" s="13"/>
    </row>
    <row r="14937" spans="1:1" x14ac:dyDescent="0.25">
      <c r="A14937" s="13"/>
    </row>
    <row r="14938" spans="1:1" x14ac:dyDescent="0.25">
      <c r="A14938" s="13"/>
    </row>
    <row r="14939" spans="1:1" x14ac:dyDescent="0.25">
      <c r="A14939" s="13"/>
    </row>
    <row r="14940" spans="1:1" x14ac:dyDescent="0.25">
      <c r="A14940" s="13"/>
    </row>
    <row r="14941" spans="1:1" x14ac:dyDescent="0.25">
      <c r="A14941" s="13"/>
    </row>
    <row r="14942" spans="1:1" x14ac:dyDescent="0.25">
      <c r="A14942" s="13"/>
    </row>
    <row r="14943" spans="1:1" x14ac:dyDescent="0.25">
      <c r="A14943" s="13"/>
    </row>
    <row r="14944" spans="1:1" x14ac:dyDescent="0.25">
      <c r="A14944" s="13"/>
    </row>
    <row r="14945" spans="1:1" x14ac:dyDescent="0.25">
      <c r="A14945" s="13"/>
    </row>
    <row r="14946" spans="1:1" x14ac:dyDescent="0.25">
      <c r="A14946" s="13"/>
    </row>
    <row r="14947" spans="1:1" x14ac:dyDescent="0.25">
      <c r="A14947" s="13"/>
    </row>
    <row r="14948" spans="1:1" x14ac:dyDescent="0.25">
      <c r="A14948" s="13"/>
    </row>
    <row r="14949" spans="1:1" x14ac:dyDescent="0.25">
      <c r="A14949" s="13"/>
    </row>
    <row r="14950" spans="1:1" x14ac:dyDescent="0.25">
      <c r="A14950" s="13"/>
    </row>
    <row r="14951" spans="1:1" x14ac:dyDescent="0.25">
      <c r="A14951" s="13"/>
    </row>
    <row r="14952" spans="1:1" x14ac:dyDescent="0.25">
      <c r="A14952" s="13"/>
    </row>
    <row r="14953" spans="1:1" x14ac:dyDescent="0.25">
      <c r="A14953" s="13"/>
    </row>
    <row r="14954" spans="1:1" x14ac:dyDescent="0.25">
      <c r="A14954" s="13"/>
    </row>
    <row r="14955" spans="1:1" x14ac:dyDescent="0.25">
      <c r="A14955" s="13"/>
    </row>
    <row r="14956" spans="1:1" x14ac:dyDescent="0.25">
      <c r="A14956" s="13"/>
    </row>
    <row r="14957" spans="1:1" x14ac:dyDescent="0.25">
      <c r="A14957" s="13"/>
    </row>
    <row r="14958" spans="1:1" x14ac:dyDescent="0.25">
      <c r="A14958" s="13"/>
    </row>
    <row r="14959" spans="1:1" x14ac:dyDescent="0.25">
      <c r="A14959" s="13"/>
    </row>
    <row r="14960" spans="1:1" x14ac:dyDescent="0.25">
      <c r="A14960" s="13"/>
    </row>
    <row r="14961" spans="1:1" x14ac:dyDescent="0.25">
      <c r="A14961" s="13"/>
    </row>
    <row r="14962" spans="1:1" x14ac:dyDescent="0.25">
      <c r="A14962" s="13"/>
    </row>
    <row r="14963" spans="1:1" x14ac:dyDescent="0.25">
      <c r="A14963" s="13"/>
    </row>
    <row r="14964" spans="1:1" x14ac:dyDescent="0.25">
      <c r="A14964" s="13"/>
    </row>
    <row r="14965" spans="1:1" x14ac:dyDescent="0.25">
      <c r="A14965" s="13"/>
    </row>
    <row r="14966" spans="1:1" x14ac:dyDescent="0.25">
      <c r="A14966" s="13"/>
    </row>
    <row r="14967" spans="1:1" x14ac:dyDescent="0.25">
      <c r="A14967" s="13"/>
    </row>
    <row r="14968" spans="1:1" x14ac:dyDescent="0.25">
      <c r="A14968" s="13"/>
    </row>
    <row r="14969" spans="1:1" x14ac:dyDescent="0.25">
      <c r="A14969" s="13"/>
    </row>
    <row r="14970" spans="1:1" x14ac:dyDescent="0.25">
      <c r="A14970" s="13"/>
    </row>
    <row r="14971" spans="1:1" x14ac:dyDescent="0.25">
      <c r="A14971" s="13"/>
    </row>
    <row r="14972" spans="1:1" x14ac:dyDescent="0.25">
      <c r="A14972" s="13"/>
    </row>
    <row r="14973" spans="1:1" x14ac:dyDescent="0.25">
      <c r="A14973" s="13"/>
    </row>
    <row r="14974" spans="1:1" x14ac:dyDescent="0.25">
      <c r="A14974" s="13"/>
    </row>
    <row r="14975" spans="1:1" x14ac:dyDescent="0.25">
      <c r="A14975" s="13"/>
    </row>
    <row r="14976" spans="1:1" x14ac:dyDescent="0.25">
      <c r="A14976" s="13"/>
    </row>
    <row r="14977" spans="1:1" x14ac:dyDescent="0.25">
      <c r="A14977" s="13"/>
    </row>
    <row r="14978" spans="1:1" x14ac:dyDescent="0.25">
      <c r="A14978" s="13"/>
    </row>
    <row r="14979" spans="1:1" x14ac:dyDescent="0.25">
      <c r="A14979" s="13"/>
    </row>
    <row r="14980" spans="1:1" x14ac:dyDescent="0.25">
      <c r="A14980" s="13"/>
    </row>
    <row r="14981" spans="1:1" x14ac:dyDescent="0.25">
      <c r="A14981" s="13"/>
    </row>
    <row r="14982" spans="1:1" x14ac:dyDescent="0.25">
      <c r="A14982" s="13"/>
    </row>
    <row r="14983" spans="1:1" x14ac:dyDescent="0.25">
      <c r="A14983" s="13"/>
    </row>
    <row r="14984" spans="1:1" x14ac:dyDescent="0.25">
      <c r="A14984" s="13"/>
    </row>
    <row r="14985" spans="1:1" x14ac:dyDescent="0.25">
      <c r="A14985" s="13"/>
    </row>
    <row r="14986" spans="1:1" x14ac:dyDescent="0.25">
      <c r="A14986" s="13"/>
    </row>
    <row r="14987" spans="1:1" x14ac:dyDescent="0.25">
      <c r="A14987" s="13"/>
    </row>
    <row r="14988" spans="1:1" x14ac:dyDescent="0.25">
      <c r="A14988" s="13"/>
    </row>
    <row r="14989" spans="1:1" x14ac:dyDescent="0.25">
      <c r="A14989" s="13"/>
    </row>
    <row r="14990" spans="1:1" x14ac:dyDescent="0.25">
      <c r="A14990" s="13"/>
    </row>
    <row r="14991" spans="1:1" x14ac:dyDescent="0.25">
      <c r="A14991" s="13"/>
    </row>
    <row r="14992" spans="1:1" x14ac:dyDescent="0.25">
      <c r="A14992" s="13"/>
    </row>
    <row r="14993" spans="1:1" x14ac:dyDescent="0.25">
      <c r="A14993" s="13"/>
    </row>
    <row r="14994" spans="1:1" x14ac:dyDescent="0.25">
      <c r="A14994" s="13"/>
    </row>
    <row r="14995" spans="1:1" x14ac:dyDescent="0.25">
      <c r="A14995" s="13"/>
    </row>
    <row r="14996" spans="1:1" x14ac:dyDescent="0.25">
      <c r="A14996" s="13"/>
    </row>
    <row r="14997" spans="1:1" x14ac:dyDescent="0.25">
      <c r="A14997" s="13"/>
    </row>
    <row r="14998" spans="1:1" x14ac:dyDescent="0.25">
      <c r="A14998" s="13"/>
    </row>
    <row r="14999" spans="1:1" x14ac:dyDescent="0.25">
      <c r="A14999" s="13"/>
    </row>
    <row r="15000" spans="1:1" x14ac:dyDescent="0.25">
      <c r="A15000" s="13"/>
    </row>
    <row r="15001" spans="1:1" x14ac:dyDescent="0.25">
      <c r="A15001" s="13"/>
    </row>
    <row r="15002" spans="1:1" x14ac:dyDescent="0.25">
      <c r="A15002" s="13"/>
    </row>
    <row r="15003" spans="1:1" x14ac:dyDescent="0.25">
      <c r="A15003" s="13"/>
    </row>
    <row r="15004" spans="1:1" x14ac:dyDescent="0.25">
      <c r="A15004" s="13"/>
    </row>
    <row r="15005" spans="1:1" x14ac:dyDescent="0.25">
      <c r="A15005" s="13"/>
    </row>
    <row r="15006" spans="1:1" x14ac:dyDescent="0.25">
      <c r="A15006" s="13"/>
    </row>
    <row r="15007" spans="1:1" x14ac:dyDescent="0.25">
      <c r="A15007" s="13"/>
    </row>
    <row r="15008" spans="1:1" x14ac:dyDescent="0.25">
      <c r="A15008" s="13"/>
    </row>
    <row r="15009" spans="1:1" x14ac:dyDescent="0.25">
      <c r="A15009" s="13"/>
    </row>
    <row r="15010" spans="1:1" x14ac:dyDescent="0.25">
      <c r="A15010" s="13"/>
    </row>
    <row r="15011" spans="1:1" x14ac:dyDescent="0.25">
      <c r="A15011" s="13"/>
    </row>
    <row r="15012" spans="1:1" x14ac:dyDescent="0.25">
      <c r="A15012" s="13"/>
    </row>
    <row r="15013" spans="1:1" x14ac:dyDescent="0.25">
      <c r="A15013" s="13"/>
    </row>
    <row r="15014" spans="1:1" x14ac:dyDescent="0.25">
      <c r="A15014" s="13"/>
    </row>
    <row r="15015" spans="1:1" x14ac:dyDescent="0.25">
      <c r="A15015" s="13"/>
    </row>
    <row r="15016" spans="1:1" x14ac:dyDescent="0.25">
      <c r="A15016" s="13"/>
    </row>
    <row r="15017" spans="1:1" x14ac:dyDescent="0.25">
      <c r="A15017" s="13"/>
    </row>
    <row r="15018" spans="1:1" x14ac:dyDescent="0.25">
      <c r="A15018" s="13"/>
    </row>
    <row r="15019" spans="1:1" x14ac:dyDescent="0.25">
      <c r="A15019" s="13"/>
    </row>
    <row r="15020" spans="1:1" x14ac:dyDescent="0.25">
      <c r="A15020" s="13"/>
    </row>
    <row r="15021" spans="1:1" x14ac:dyDescent="0.25">
      <c r="A15021" s="13"/>
    </row>
    <row r="15022" spans="1:1" x14ac:dyDescent="0.25">
      <c r="A15022" s="13"/>
    </row>
    <row r="15023" spans="1:1" x14ac:dyDescent="0.25">
      <c r="A15023" s="13"/>
    </row>
    <row r="15024" spans="1:1" x14ac:dyDescent="0.25">
      <c r="A15024" s="13"/>
    </row>
    <row r="15025" spans="1:1" x14ac:dyDescent="0.25">
      <c r="A15025" s="13"/>
    </row>
    <row r="15026" spans="1:1" x14ac:dyDescent="0.25">
      <c r="A15026" s="13"/>
    </row>
    <row r="15027" spans="1:1" x14ac:dyDescent="0.25">
      <c r="A15027" s="13"/>
    </row>
    <row r="15028" spans="1:1" x14ac:dyDescent="0.25">
      <c r="A15028" s="13"/>
    </row>
    <row r="15029" spans="1:1" x14ac:dyDescent="0.25">
      <c r="A15029" s="13"/>
    </row>
    <row r="15030" spans="1:1" x14ac:dyDescent="0.25">
      <c r="A15030" s="13"/>
    </row>
    <row r="15031" spans="1:1" x14ac:dyDescent="0.25">
      <c r="A15031" s="13"/>
    </row>
    <row r="15032" spans="1:1" x14ac:dyDescent="0.25">
      <c r="A15032" s="13"/>
    </row>
    <row r="15033" spans="1:1" x14ac:dyDescent="0.25">
      <c r="A15033" s="13"/>
    </row>
    <row r="15034" spans="1:1" x14ac:dyDescent="0.25">
      <c r="A15034" s="13"/>
    </row>
    <row r="15035" spans="1:1" x14ac:dyDescent="0.25">
      <c r="A15035" s="13"/>
    </row>
    <row r="15036" spans="1:1" x14ac:dyDescent="0.25">
      <c r="A15036" s="13"/>
    </row>
    <row r="15037" spans="1:1" x14ac:dyDescent="0.25">
      <c r="A15037" s="13"/>
    </row>
    <row r="15038" spans="1:1" x14ac:dyDescent="0.25">
      <c r="A15038" s="13"/>
    </row>
    <row r="15039" spans="1:1" x14ac:dyDescent="0.25">
      <c r="A15039" s="13"/>
    </row>
    <row r="15040" spans="1:1" x14ac:dyDescent="0.25">
      <c r="A15040" s="13"/>
    </row>
    <row r="15041" spans="1:1" x14ac:dyDescent="0.25">
      <c r="A15041" s="13"/>
    </row>
    <row r="15042" spans="1:1" x14ac:dyDescent="0.25">
      <c r="A15042" s="13"/>
    </row>
    <row r="15043" spans="1:1" x14ac:dyDescent="0.25">
      <c r="A15043" s="13"/>
    </row>
    <row r="15044" spans="1:1" x14ac:dyDescent="0.25">
      <c r="A15044" s="13"/>
    </row>
    <row r="15045" spans="1:1" x14ac:dyDescent="0.25">
      <c r="A15045" s="13"/>
    </row>
    <row r="15046" spans="1:1" x14ac:dyDescent="0.25">
      <c r="A15046" s="13"/>
    </row>
    <row r="15047" spans="1:1" x14ac:dyDescent="0.25">
      <c r="A15047" s="13"/>
    </row>
    <row r="15048" spans="1:1" x14ac:dyDescent="0.25">
      <c r="A15048" s="13"/>
    </row>
    <row r="15049" spans="1:1" x14ac:dyDescent="0.25">
      <c r="A15049" s="13"/>
    </row>
    <row r="15050" spans="1:1" x14ac:dyDescent="0.25">
      <c r="A15050" s="13"/>
    </row>
    <row r="15051" spans="1:1" x14ac:dyDescent="0.25">
      <c r="A15051" s="13"/>
    </row>
    <row r="15052" spans="1:1" x14ac:dyDescent="0.25">
      <c r="A15052" s="13"/>
    </row>
    <row r="15053" spans="1:1" x14ac:dyDescent="0.25">
      <c r="A15053" s="13"/>
    </row>
    <row r="15054" spans="1:1" x14ac:dyDescent="0.25">
      <c r="A15054" s="13"/>
    </row>
    <row r="15055" spans="1:1" x14ac:dyDescent="0.25">
      <c r="A15055" s="13"/>
    </row>
    <row r="15056" spans="1:1" x14ac:dyDescent="0.25">
      <c r="A15056" s="13"/>
    </row>
    <row r="15057" spans="1:1" x14ac:dyDescent="0.25">
      <c r="A15057" s="13"/>
    </row>
    <row r="15058" spans="1:1" x14ac:dyDescent="0.25">
      <c r="A15058" s="13"/>
    </row>
    <row r="15059" spans="1:1" x14ac:dyDescent="0.25">
      <c r="A15059" s="13"/>
    </row>
    <row r="15060" spans="1:1" x14ac:dyDescent="0.25">
      <c r="A15060" s="13"/>
    </row>
    <row r="15061" spans="1:1" x14ac:dyDescent="0.25">
      <c r="A15061" s="13"/>
    </row>
    <row r="15062" spans="1:1" x14ac:dyDescent="0.25">
      <c r="A15062" s="13"/>
    </row>
    <row r="15063" spans="1:1" x14ac:dyDescent="0.25">
      <c r="A15063" s="13"/>
    </row>
    <row r="15064" spans="1:1" x14ac:dyDescent="0.25">
      <c r="A15064" s="13"/>
    </row>
    <row r="15065" spans="1:1" x14ac:dyDescent="0.25">
      <c r="A15065" s="13"/>
    </row>
    <row r="15066" spans="1:1" x14ac:dyDescent="0.25">
      <c r="A15066" s="13"/>
    </row>
    <row r="15067" spans="1:1" x14ac:dyDescent="0.25">
      <c r="A15067" s="13"/>
    </row>
    <row r="15068" spans="1:1" x14ac:dyDescent="0.25">
      <c r="A15068" s="13"/>
    </row>
    <row r="15069" spans="1:1" x14ac:dyDescent="0.25">
      <c r="A15069" s="13"/>
    </row>
    <row r="15070" spans="1:1" x14ac:dyDescent="0.25">
      <c r="A15070" s="13"/>
    </row>
    <row r="15071" spans="1:1" x14ac:dyDescent="0.25">
      <c r="A15071" s="13"/>
    </row>
    <row r="15072" spans="1:1" x14ac:dyDescent="0.25">
      <c r="A15072" s="13"/>
    </row>
    <row r="15073" spans="1:1" x14ac:dyDescent="0.25">
      <c r="A15073" s="13"/>
    </row>
    <row r="15074" spans="1:1" x14ac:dyDescent="0.25">
      <c r="A15074" s="13"/>
    </row>
    <row r="15075" spans="1:1" x14ac:dyDescent="0.25">
      <c r="A15075" s="13"/>
    </row>
    <row r="15076" spans="1:1" x14ac:dyDescent="0.25">
      <c r="A15076" s="13"/>
    </row>
    <row r="15077" spans="1:1" x14ac:dyDescent="0.25">
      <c r="A15077" s="13"/>
    </row>
    <row r="15078" spans="1:1" x14ac:dyDescent="0.25">
      <c r="A15078" s="13"/>
    </row>
    <row r="15079" spans="1:1" x14ac:dyDescent="0.25">
      <c r="A15079" s="13"/>
    </row>
    <row r="15080" spans="1:1" x14ac:dyDescent="0.25">
      <c r="A15080" s="13"/>
    </row>
    <row r="15081" spans="1:1" x14ac:dyDescent="0.25">
      <c r="A15081" s="13"/>
    </row>
    <row r="15082" spans="1:1" x14ac:dyDescent="0.25">
      <c r="A15082" s="13"/>
    </row>
    <row r="15083" spans="1:1" x14ac:dyDescent="0.25">
      <c r="A15083" s="13"/>
    </row>
    <row r="15084" spans="1:1" x14ac:dyDescent="0.25">
      <c r="A15084" s="13"/>
    </row>
    <row r="15085" spans="1:1" x14ac:dyDescent="0.25">
      <c r="A15085" s="13"/>
    </row>
    <row r="15086" spans="1:1" x14ac:dyDescent="0.25">
      <c r="A15086" s="13"/>
    </row>
    <row r="15087" spans="1:1" x14ac:dyDescent="0.25">
      <c r="A15087" s="13"/>
    </row>
    <row r="15088" spans="1:1" x14ac:dyDescent="0.25">
      <c r="A15088" s="13"/>
    </row>
    <row r="15089" spans="1:1" x14ac:dyDescent="0.25">
      <c r="A15089" s="13"/>
    </row>
    <row r="15090" spans="1:1" x14ac:dyDescent="0.25">
      <c r="A15090" s="13"/>
    </row>
    <row r="15091" spans="1:1" x14ac:dyDescent="0.25">
      <c r="A15091" s="13"/>
    </row>
    <row r="15092" spans="1:1" x14ac:dyDescent="0.25">
      <c r="A15092" s="13"/>
    </row>
    <row r="15093" spans="1:1" x14ac:dyDescent="0.25">
      <c r="A15093" s="13"/>
    </row>
    <row r="15094" spans="1:1" x14ac:dyDescent="0.25">
      <c r="A15094" s="13"/>
    </row>
    <row r="15095" spans="1:1" x14ac:dyDescent="0.25">
      <c r="A15095" s="13"/>
    </row>
    <row r="15096" spans="1:1" x14ac:dyDescent="0.25">
      <c r="A15096" s="13"/>
    </row>
    <row r="15097" spans="1:1" x14ac:dyDescent="0.25">
      <c r="A15097" s="13"/>
    </row>
    <row r="15098" spans="1:1" x14ac:dyDescent="0.25">
      <c r="A15098" s="13"/>
    </row>
    <row r="15099" spans="1:1" x14ac:dyDescent="0.25">
      <c r="A15099" s="13"/>
    </row>
    <row r="15100" spans="1:1" x14ac:dyDescent="0.25">
      <c r="A15100" s="13"/>
    </row>
    <row r="15101" spans="1:1" x14ac:dyDescent="0.25">
      <c r="A15101" s="13"/>
    </row>
    <row r="15102" spans="1:1" x14ac:dyDescent="0.25">
      <c r="A15102" s="13"/>
    </row>
    <row r="15103" spans="1:1" x14ac:dyDescent="0.25">
      <c r="A15103" s="13"/>
    </row>
    <row r="15104" spans="1:1" x14ac:dyDescent="0.25">
      <c r="A15104" s="13"/>
    </row>
    <row r="15105" spans="1:1" x14ac:dyDescent="0.25">
      <c r="A15105" s="13"/>
    </row>
    <row r="15106" spans="1:1" x14ac:dyDescent="0.25">
      <c r="A15106" s="13"/>
    </row>
    <row r="15107" spans="1:1" x14ac:dyDescent="0.25">
      <c r="A15107" s="13"/>
    </row>
    <row r="15108" spans="1:1" x14ac:dyDescent="0.25">
      <c r="A15108" s="13"/>
    </row>
    <row r="15109" spans="1:1" x14ac:dyDescent="0.25">
      <c r="A15109" s="13"/>
    </row>
    <row r="15110" spans="1:1" x14ac:dyDescent="0.25">
      <c r="A15110" s="13"/>
    </row>
    <row r="15111" spans="1:1" x14ac:dyDescent="0.25">
      <c r="A15111" s="13"/>
    </row>
    <row r="15112" spans="1:1" x14ac:dyDescent="0.25">
      <c r="A15112" s="13"/>
    </row>
    <row r="15113" spans="1:1" x14ac:dyDescent="0.25">
      <c r="A15113" s="13"/>
    </row>
    <row r="15114" spans="1:1" x14ac:dyDescent="0.25">
      <c r="A15114" s="13"/>
    </row>
    <row r="15115" spans="1:1" x14ac:dyDescent="0.25">
      <c r="A15115" s="13"/>
    </row>
    <row r="15116" spans="1:1" x14ac:dyDescent="0.25">
      <c r="A15116" s="13"/>
    </row>
    <row r="15117" spans="1:1" x14ac:dyDescent="0.25">
      <c r="A15117" s="13"/>
    </row>
    <row r="15118" spans="1:1" x14ac:dyDescent="0.25">
      <c r="A15118" s="13"/>
    </row>
    <row r="15119" spans="1:1" x14ac:dyDescent="0.25">
      <c r="A15119" s="13"/>
    </row>
    <row r="15120" spans="1:1" x14ac:dyDescent="0.25">
      <c r="A15120" s="13"/>
    </row>
    <row r="15121" spans="1:1" x14ac:dyDescent="0.25">
      <c r="A15121" s="13"/>
    </row>
    <row r="15122" spans="1:1" x14ac:dyDescent="0.25">
      <c r="A15122" s="13"/>
    </row>
    <row r="15123" spans="1:1" x14ac:dyDescent="0.25">
      <c r="A15123" s="13"/>
    </row>
    <row r="15124" spans="1:1" x14ac:dyDescent="0.25">
      <c r="A15124" s="13"/>
    </row>
    <row r="15125" spans="1:1" x14ac:dyDescent="0.25">
      <c r="A15125" s="13"/>
    </row>
    <row r="15126" spans="1:1" x14ac:dyDescent="0.25">
      <c r="A15126" s="13"/>
    </row>
    <row r="15127" spans="1:1" x14ac:dyDescent="0.25">
      <c r="A15127" s="13"/>
    </row>
    <row r="15128" spans="1:1" x14ac:dyDescent="0.25">
      <c r="A15128" s="13"/>
    </row>
    <row r="15129" spans="1:1" x14ac:dyDescent="0.25">
      <c r="A15129" s="13"/>
    </row>
    <row r="15130" spans="1:1" x14ac:dyDescent="0.25">
      <c r="A15130" s="13"/>
    </row>
    <row r="15131" spans="1:1" x14ac:dyDescent="0.25">
      <c r="A15131" s="13"/>
    </row>
    <row r="15132" spans="1:1" x14ac:dyDescent="0.25">
      <c r="A15132" s="13"/>
    </row>
    <row r="15133" spans="1:1" x14ac:dyDescent="0.25">
      <c r="A15133" s="13"/>
    </row>
    <row r="15134" spans="1:1" x14ac:dyDescent="0.25">
      <c r="A15134" s="13"/>
    </row>
    <row r="15135" spans="1:1" x14ac:dyDescent="0.25">
      <c r="A15135" s="13"/>
    </row>
    <row r="15136" spans="1:1" x14ac:dyDescent="0.25">
      <c r="A15136" s="13"/>
    </row>
    <row r="15137" spans="1:1" x14ac:dyDescent="0.25">
      <c r="A15137" s="13"/>
    </row>
    <row r="15138" spans="1:1" x14ac:dyDescent="0.25">
      <c r="A15138" s="13"/>
    </row>
    <row r="15139" spans="1:1" x14ac:dyDescent="0.25">
      <c r="A15139" s="13"/>
    </row>
    <row r="15140" spans="1:1" x14ac:dyDescent="0.25">
      <c r="A15140" s="13"/>
    </row>
    <row r="15141" spans="1:1" x14ac:dyDescent="0.25">
      <c r="A15141" s="13"/>
    </row>
    <row r="15142" spans="1:1" x14ac:dyDescent="0.25">
      <c r="A15142" s="13"/>
    </row>
    <row r="15143" spans="1:1" x14ac:dyDescent="0.25">
      <c r="A15143" s="13"/>
    </row>
    <row r="15144" spans="1:1" x14ac:dyDescent="0.25">
      <c r="A15144" s="13"/>
    </row>
    <row r="15145" spans="1:1" x14ac:dyDescent="0.25">
      <c r="A15145" s="13"/>
    </row>
    <row r="15146" spans="1:1" x14ac:dyDescent="0.25">
      <c r="A15146" s="13"/>
    </row>
    <row r="15147" spans="1:1" x14ac:dyDescent="0.25">
      <c r="A15147" s="13"/>
    </row>
    <row r="15148" spans="1:1" x14ac:dyDescent="0.25">
      <c r="A15148" s="13"/>
    </row>
    <row r="15149" spans="1:1" x14ac:dyDescent="0.25">
      <c r="A15149" s="13"/>
    </row>
    <row r="15150" spans="1:1" x14ac:dyDescent="0.25">
      <c r="A15150" s="13"/>
    </row>
    <row r="15151" spans="1:1" x14ac:dyDescent="0.25">
      <c r="A15151" s="13"/>
    </row>
    <row r="15152" spans="1:1" x14ac:dyDescent="0.25">
      <c r="A15152" s="13"/>
    </row>
    <row r="15153" spans="1:1" x14ac:dyDescent="0.25">
      <c r="A15153" s="13"/>
    </row>
    <row r="15154" spans="1:1" x14ac:dyDescent="0.25">
      <c r="A15154" s="13"/>
    </row>
    <row r="15155" spans="1:1" x14ac:dyDescent="0.25">
      <c r="A15155" s="13"/>
    </row>
    <row r="15156" spans="1:1" x14ac:dyDescent="0.25">
      <c r="A15156" s="13"/>
    </row>
    <row r="15157" spans="1:1" x14ac:dyDescent="0.25">
      <c r="A15157" s="13"/>
    </row>
    <row r="15158" spans="1:1" x14ac:dyDescent="0.25">
      <c r="A15158" s="13"/>
    </row>
    <row r="15159" spans="1:1" x14ac:dyDescent="0.25">
      <c r="A15159" s="13"/>
    </row>
    <row r="15160" spans="1:1" x14ac:dyDescent="0.25">
      <c r="A15160" s="13"/>
    </row>
    <row r="15161" spans="1:1" x14ac:dyDescent="0.25">
      <c r="A15161" s="13"/>
    </row>
    <row r="15162" spans="1:1" x14ac:dyDescent="0.25">
      <c r="A15162" s="13"/>
    </row>
    <row r="15163" spans="1:1" x14ac:dyDescent="0.25">
      <c r="A15163" s="13"/>
    </row>
    <row r="15164" spans="1:1" x14ac:dyDescent="0.25">
      <c r="A15164" s="13"/>
    </row>
    <row r="15165" spans="1:1" x14ac:dyDescent="0.25">
      <c r="A15165" s="13"/>
    </row>
    <row r="15166" spans="1:1" x14ac:dyDescent="0.25">
      <c r="A15166" s="13"/>
    </row>
    <row r="15167" spans="1:1" x14ac:dyDescent="0.25">
      <c r="A15167" s="13"/>
    </row>
    <row r="15168" spans="1:1" x14ac:dyDescent="0.25">
      <c r="A15168" s="13"/>
    </row>
    <row r="15169" spans="1:1" x14ac:dyDescent="0.25">
      <c r="A15169" s="13"/>
    </row>
    <row r="15170" spans="1:1" x14ac:dyDescent="0.25">
      <c r="A15170" s="13"/>
    </row>
    <row r="15171" spans="1:1" x14ac:dyDescent="0.25">
      <c r="A15171" s="13"/>
    </row>
    <row r="15172" spans="1:1" x14ac:dyDescent="0.25">
      <c r="A15172" s="13"/>
    </row>
    <row r="15173" spans="1:1" x14ac:dyDescent="0.25">
      <c r="A15173" s="13"/>
    </row>
    <row r="15174" spans="1:1" x14ac:dyDescent="0.25">
      <c r="A15174" s="13"/>
    </row>
    <row r="15175" spans="1:1" x14ac:dyDescent="0.25">
      <c r="A15175" s="13"/>
    </row>
    <row r="15176" spans="1:1" x14ac:dyDescent="0.25">
      <c r="A15176" s="13"/>
    </row>
    <row r="15177" spans="1:1" x14ac:dyDescent="0.25">
      <c r="A15177" s="13"/>
    </row>
    <row r="15178" spans="1:1" x14ac:dyDescent="0.25">
      <c r="A15178" s="13"/>
    </row>
    <row r="15179" spans="1:1" x14ac:dyDescent="0.25">
      <c r="A15179" s="13"/>
    </row>
    <row r="15180" spans="1:1" x14ac:dyDescent="0.25">
      <c r="A15180" s="13"/>
    </row>
    <row r="15181" spans="1:1" x14ac:dyDescent="0.25">
      <c r="A15181" s="13"/>
    </row>
    <row r="15182" spans="1:1" x14ac:dyDescent="0.25">
      <c r="A15182" s="13"/>
    </row>
    <row r="15183" spans="1:1" x14ac:dyDescent="0.25">
      <c r="A15183" s="13"/>
    </row>
    <row r="15184" spans="1:1" x14ac:dyDescent="0.25">
      <c r="A15184" s="13"/>
    </row>
    <row r="15185" spans="1:1" x14ac:dyDescent="0.25">
      <c r="A15185" s="13"/>
    </row>
    <row r="15186" spans="1:1" x14ac:dyDescent="0.25">
      <c r="A15186" s="13"/>
    </row>
    <row r="15187" spans="1:1" x14ac:dyDescent="0.25">
      <c r="A15187" s="13"/>
    </row>
    <row r="15188" spans="1:1" x14ac:dyDescent="0.25">
      <c r="A15188" s="13"/>
    </row>
    <row r="15189" spans="1:1" x14ac:dyDescent="0.25">
      <c r="A15189" s="13"/>
    </row>
    <row r="15190" spans="1:1" x14ac:dyDescent="0.25">
      <c r="A15190" s="13"/>
    </row>
    <row r="15191" spans="1:1" x14ac:dyDescent="0.25">
      <c r="A15191" s="13"/>
    </row>
    <row r="15192" spans="1:1" x14ac:dyDescent="0.25">
      <c r="A15192" s="13"/>
    </row>
    <row r="15193" spans="1:1" x14ac:dyDescent="0.25">
      <c r="A15193" s="13"/>
    </row>
    <row r="15194" spans="1:1" x14ac:dyDescent="0.25">
      <c r="A15194" s="13"/>
    </row>
    <row r="15195" spans="1:1" x14ac:dyDescent="0.25">
      <c r="A15195" s="13"/>
    </row>
    <row r="15196" spans="1:1" x14ac:dyDescent="0.25">
      <c r="A15196" s="13"/>
    </row>
    <row r="15197" spans="1:1" x14ac:dyDescent="0.25">
      <c r="A15197" s="13"/>
    </row>
    <row r="15198" spans="1:1" x14ac:dyDescent="0.25">
      <c r="A15198" s="13"/>
    </row>
    <row r="15199" spans="1:1" x14ac:dyDescent="0.25">
      <c r="A15199" s="13"/>
    </row>
    <row r="15200" spans="1:1" x14ac:dyDescent="0.25">
      <c r="A15200" s="13"/>
    </row>
    <row r="15201" spans="1:1" x14ac:dyDescent="0.25">
      <c r="A15201" s="13"/>
    </row>
    <row r="15202" spans="1:1" x14ac:dyDescent="0.25">
      <c r="A15202" s="13"/>
    </row>
    <row r="15203" spans="1:1" x14ac:dyDescent="0.25">
      <c r="A15203" s="13"/>
    </row>
    <row r="15204" spans="1:1" x14ac:dyDescent="0.25">
      <c r="A15204" s="13"/>
    </row>
    <row r="15205" spans="1:1" x14ac:dyDescent="0.25">
      <c r="A15205" s="13"/>
    </row>
    <row r="15206" spans="1:1" x14ac:dyDescent="0.25">
      <c r="A15206" s="13"/>
    </row>
    <row r="15207" spans="1:1" x14ac:dyDescent="0.25">
      <c r="A15207" s="13"/>
    </row>
    <row r="15208" spans="1:1" x14ac:dyDescent="0.25">
      <c r="A15208" s="13"/>
    </row>
    <row r="15209" spans="1:1" x14ac:dyDescent="0.25">
      <c r="A15209" s="13"/>
    </row>
    <row r="15210" spans="1:1" x14ac:dyDescent="0.25">
      <c r="A15210" s="13"/>
    </row>
    <row r="15211" spans="1:1" x14ac:dyDescent="0.25">
      <c r="A15211" s="13"/>
    </row>
    <row r="15212" spans="1:1" x14ac:dyDescent="0.25">
      <c r="A15212" s="13"/>
    </row>
    <row r="15213" spans="1:1" x14ac:dyDescent="0.25">
      <c r="A15213" s="13"/>
    </row>
    <row r="15214" spans="1:1" x14ac:dyDescent="0.25">
      <c r="A15214" s="13"/>
    </row>
    <row r="15215" spans="1:1" x14ac:dyDescent="0.25">
      <c r="A15215" s="13"/>
    </row>
    <row r="15216" spans="1:1" x14ac:dyDescent="0.25">
      <c r="A15216" s="13"/>
    </row>
    <row r="15217" spans="1:1" x14ac:dyDescent="0.25">
      <c r="A15217" s="13"/>
    </row>
    <row r="15218" spans="1:1" x14ac:dyDescent="0.25">
      <c r="A15218" s="13"/>
    </row>
    <row r="15219" spans="1:1" x14ac:dyDescent="0.25">
      <c r="A15219" s="13"/>
    </row>
    <row r="15220" spans="1:1" x14ac:dyDescent="0.25">
      <c r="A15220" s="13"/>
    </row>
    <row r="15221" spans="1:1" x14ac:dyDescent="0.25">
      <c r="A15221" s="13"/>
    </row>
    <row r="15222" spans="1:1" x14ac:dyDescent="0.25">
      <c r="A15222" s="13"/>
    </row>
    <row r="15223" spans="1:1" x14ac:dyDescent="0.25">
      <c r="A15223" s="13"/>
    </row>
    <row r="15224" spans="1:1" x14ac:dyDescent="0.25">
      <c r="A15224" s="13"/>
    </row>
    <row r="15225" spans="1:1" x14ac:dyDescent="0.25">
      <c r="A15225" s="13"/>
    </row>
    <row r="15226" spans="1:1" x14ac:dyDescent="0.25">
      <c r="A15226" s="13"/>
    </row>
    <row r="15227" spans="1:1" x14ac:dyDescent="0.25">
      <c r="A15227" s="13"/>
    </row>
    <row r="15228" spans="1:1" x14ac:dyDescent="0.25">
      <c r="A15228" s="13"/>
    </row>
    <row r="15229" spans="1:1" x14ac:dyDescent="0.25">
      <c r="A15229" s="13"/>
    </row>
    <row r="15230" spans="1:1" x14ac:dyDescent="0.25">
      <c r="A15230" s="13"/>
    </row>
    <row r="15231" spans="1:1" x14ac:dyDescent="0.25">
      <c r="A15231" s="13"/>
    </row>
    <row r="15232" spans="1:1" x14ac:dyDescent="0.25">
      <c r="A15232" s="13"/>
    </row>
    <row r="15233" spans="1:1" x14ac:dyDescent="0.25">
      <c r="A15233" s="13"/>
    </row>
    <row r="15234" spans="1:1" x14ac:dyDescent="0.25">
      <c r="A15234" s="13"/>
    </row>
    <row r="15235" spans="1:1" x14ac:dyDescent="0.25">
      <c r="A15235" s="13"/>
    </row>
    <row r="15236" spans="1:1" x14ac:dyDescent="0.25">
      <c r="A15236" s="13"/>
    </row>
    <row r="15237" spans="1:1" x14ac:dyDescent="0.25">
      <c r="A15237" s="13"/>
    </row>
    <row r="15238" spans="1:1" x14ac:dyDescent="0.25">
      <c r="A15238" s="13"/>
    </row>
    <row r="15239" spans="1:1" x14ac:dyDescent="0.25">
      <c r="A15239" s="13"/>
    </row>
    <row r="15240" spans="1:1" x14ac:dyDescent="0.25">
      <c r="A15240" s="13"/>
    </row>
    <row r="15241" spans="1:1" x14ac:dyDescent="0.25">
      <c r="A15241" s="13"/>
    </row>
    <row r="15242" spans="1:1" x14ac:dyDescent="0.25">
      <c r="A15242" s="13"/>
    </row>
    <row r="15243" spans="1:1" x14ac:dyDescent="0.25">
      <c r="A15243" s="13"/>
    </row>
    <row r="15244" spans="1:1" x14ac:dyDescent="0.25">
      <c r="A15244" s="13"/>
    </row>
    <row r="15245" spans="1:1" x14ac:dyDescent="0.25">
      <c r="A15245" s="13"/>
    </row>
    <row r="15246" spans="1:1" x14ac:dyDescent="0.25">
      <c r="A15246" s="13"/>
    </row>
    <row r="15247" spans="1:1" x14ac:dyDescent="0.25">
      <c r="A15247" s="13"/>
    </row>
    <row r="15248" spans="1:1" x14ac:dyDescent="0.25">
      <c r="A15248" s="13"/>
    </row>
    <row r="15249" spans="1:1" x14ac:dyDescent="0.25">
      <c r="A15249" s="13"/>
    </row>
    <row r="15250" spans="1:1" x14ac:dyDescent="0.25">
      <c r="A15250" s="13"/>
    </row>
    <row r="15251" spans="1:1" x14ac:dyDescent="0.25">
      <c r="A15251" s="13"/>
    </row>
    <row r="15252" spans="1:1" x14ac:dyDescent="0.25">
      <c r="A15252" s="13"/>
    </row>
    <row r="15253" spans="1:1" x14ac:dyDescent="0.25">
      <c r="A15253" s="13"/>
    </row>
    <row r="15254" spans="1:1" x14ac:dyDescent="0.25">
      <c r="A15254" s="13"/>
    </row>
    <row r="15255" spans="1:1" x14ac:dyDescent="0.25">
      <c r="A15255" s="13"/>
    </row>
    <row r="15256" spans="1:1" x14ac:dyDescent="0.25">
      <c r="A15256" s="13"/>
    </row>
    <row r="15257" spans="1:1" x14ac:dyDescent="0.25">
      <c r="A15257" s="13"/>
    </row>
    <row r="15258" spans="1:1" x14ac:dyDescent="0.25">
      <c r="A15258" s="13"/>
    </row>
    <row r="15259" spans="1:1" x14ac:dyDescent="0.25">
      <c r="A15259" s="13"/>
    </row>
    <row r="15260" spans="1:1" x14ac:dyDescent="0.25">
      <c r="A15260" s="13"/>
    </row>
    <row r="15261" spans="1:1" x14ac:dyDescent="0.25">
      <c r="A15261" s="13"/>
    </row>
    <row r="15262" spans="1:1" x14ac:dyDescent="0.25">
      <c r="A15262" s="13"/>
    </row>
    <row r="15263" spans="1:1" x14ac:dyDescent="0.25">
      <c r="A15263" s="13"/>
    </row>
    <row r="15264" spans="1:1" x14ac:dyDescent="0.25">
      <c r="A15264" s="13"/>
    </row>
    <row r="15265" spans="1:1" x14ac:dyDescent="0.25">
      <c r="A15265" s="13"/>
    </row>
    <row r="15266" spans="1:1" x14ac:dyDescent="0.25">
      <c r="A15266" s="13"/>
    </row>
    <row r="15267" spans="1:1" x14ac:dyDescent="0.25">
      <c r="A15267" s="13"/>
    </row>
    <row r="15268" spans="1:1" x14ac:dyDescent="0.25">
      <c r="A15268" s="13"/>
    </row>
    <row r="15269" spans="1:1" x14ac:dyDescent="0.25">
      <c r="A15269" s="13"/>
    </row>
    <row r="15270" spans="1:1" x14ac:dyDescent="0.25">
      <c r="A15270" s="13"/>
    </row>
    <row r="15271" spans="1:1" x14ac:dyDescent="0.25">
      <c r="A15271" s="13"/>
    </row>
    <row r="15272" spans="1:1" x14ac:dyDescent="0.25">
      <c r="A15272" s="13"/>
    </row>
    <row r="15273" spans="1:1" x14ac:dyDescent="0.25">
      <c r="A15273" s="13"/>
    </row>
    <row r="15274" spans="1:1" x14ac:dyDescent="0.25">
      <c r="A15274" s="13"/>
    </row>
    <row r="15275" spans="1:1" x14ac:dyDescent="0.25">
      <c r="A15275" s="13"/>
    </row>
    <row r="15276" spans="1:1" x14ac:dyDescent="0.25">
      <c r="A15276" s="13"/>
    </row>
    <row r="15277" spans="1:1" x14ac:dyDescent="0.25">
      <c r="A15277" s="13"/>
    </row>
    <row r="15278" spans="1:1" x14ac:dyDescent="0.25">
      <c r="A15278" s="13"/>
    </row>
    <row r="15279" spans="1:1" x14ac:dyDescent="0.25">
      <c r="A15279" s="13"/>
    </row>
    <row r="15280" spans="1:1" x14ac:dyDescent="0.25">
      <c r="A15280" s="13"/>
    </row>
    <row r="15281" spans="1:1" x14ac:dyDescent="0.25">
      <c r="A15281" s="13"/>
    </row>
    <row r="15282" spans="1:1" x14ac:dyDescent="0.25">
      <c r="A15282" s="13"/>
    </row>
    <row r="15283" spans="1:1" x14ac:dyDescent="0.25">
      <c r="A15283" s="13"/>
    </row>
    <row r="15284" spans="1:1" x14ac:dyDescent="0.25">
      <c r="A15284" s="13"/>
    </row>
    <row r="15285" spans="1:1" x14ac:dyDescent="0.25">
      <c r="A15285" s="13"/>
    </row>
    <row r="15286" spans="1:1" x14ac:dyDescent="0.25">
      <c r="A15286" s="13"/>
    </row>
    <row r="15287" spans="1:1" x14ac:dyDescent="0.25">
      <c r="A15287" s="13"/>
    </row>
    <row r="15288" spans="1:1" x14ac:dyDescent="0.25">
      <c r="A15288" s="13"/>
    </row>
    <row r="15289" spans="1:1" x14ac:dyDescent="0.25">
      <c r="A15289" s="13"/>
    </row>
    <row r="15290" spans="1:1" x14ac:dyDescent="0.25">
      <c r="A15290" s="13"/>
    </row>
    <row r="15291" spans="1:1" x14ac:dyDescent="0.25">
      <c r="A15291" s="13"/>
    </row>
    <row r="15292" spans="1:1" x14ac:dyDescent="0.25">
      <c r="A15292" s="13"/>
    </row>
    <row r="15293" spans="1:1" x14ac:dyDescent="0.25">
      <c r="A15293" s="13"/>
    </row>
    <row r="15294" spans="1:1" x14ac:dyDescent="0.25">
      <c r="A15294" s="13"/>
    </row>
    <row r="15295" spans="1:1" x14ac:dyDescent="0.25">
      <c r="A15295" s="13"/>
    </row>
    <row r="15296" spans="1:1" x14ac:dyDescent="0.25">
      <c r="A15296" s="13"/>
    </row>
    <row r="15297" spans="1:1" x14ac:dyDescent="0.25">
      <c r="A15297" s="13"/>
    </row>
    <row r="15298" spans="1:1" x14ac:dyDescent="0.25">
      <c r="A15298" s="13"/>
    </row>
    <row r="15299" spans="1:1" x14ac:dyDescent="0.25">
      <c r="A15299" s="13"/>
    </row>
    <row r="15300" spans="1:1" x14ac:dyDescent="0.25">
      <c r="A15300" s="13"/>
    </row>
    <row r="15301" spans="1:1" x14ac:dyDescent="0.25">
      <c r="A15301" s="13"/>
    </row>
    <row r="15302" spans="1:1" x14ac:dyDescent="0.25">
      <c r="A15302" s="13"/>
    </row>
    <row r="15303" spans="1:1" x14ac:dyDescent="0.25">
      <c r="A15303" s="13"/>
    </row>
    <row r="15304" spans="1:1" x14ac:dyDescent="0.25">
      <c r="A15304" s="13"/>
    </row>
    <row r="15305" spans="1:1" x14ac:dyDescent="0.25">
      <c r="A15305" s="13"/>
    </row>
    <row r="15306" spans="1:1" x14ac:dyDescent="0.25">
      <c r="A15306" s="13"/>
    </row>
    <row r="15307" spans="1:1" x14ac:dyDescent="0.25">
      <c r="A15307" s="13"/>
    </row>
    <row r="15308" spans="1:1" x14ac:dyDescent="0.25">
      <c r="A15308" s="13"/>
    </row>
    <row r="15309" spans="1:1" x14ac:dyDescent="0.25">
      <c r="A15309" s="13"/>
    </row>
    <row r="15310" spans="1:1" x14ac:dyDescent="0.25">
      <c r="A15310" s="13"/>
    </row>
    <row r="15311" spans="1:1" x14ac:dyDescent="0.25">
      <c r="A15311" s="13"/>
    </row>
    <row r="15312" spans="1:1" x14ac:dyDescent="0.25">
      <c r="A15312" s="13"/>
    </row>
    <row r="15313" spans="1:1" x14ac:dyDescent="0.25">
      <c r="A15313" s="13"/>
    </row>
    <row r="15314" spans="1:1" x14ac:dyDescent="0.25">
      <c r="A15314" s="13"/>
    </row>
    <row r="15315" spans="1:1" x14ac:dyDescent="0.25">
      <c r="A15315" s="13"/>
    </row>
    <row r="15316" spans="1:1" x14ac:dyDescent="0.25">
      <c r="A15316" s="13"/>
    </row>
    <row r="15317" spans="1:1" x14ac:dyDescent="0.25">
      <c r="A15317" s="13"/>
    </row>
    <row r="15318" spans="1:1" x14ac:dyDescent="0.25">
      <c r="A15318" s="13"/>
    </row>
    <row r="15319" spans="1:1" x14ac:dyDescent="0.25">
      <c r="A15319" s="13"/>
    </row>
    <row r="15320" spans="1:1" x14ac:dyDescent="0.25">
      <c r="A15320" s="13"/>
    </row>
    <row r="15321" spans="1:1" x14ac:dyDescent="0.25">
      <c r="A15321" s="13"/>
    </row>
    <row r="15322" spans="1:1" x14ac:dyDescent="0.25">
      <c r="A15322" s="13"/>
    </row>
    <row r="15323" spans="1:1" x14ac:dyDescent="0.25">
      <c r="A15323" s="13"/>
    </row>
    <row r="15324" spans="1:1" x14ac:dyDescent="0.25">
      <c r="A15324" s="13"/>
    </row>
    <row r="15325" spans="1:1" x14ac:dyDescent="0.25">
      <c r="A15325" s="13"/>
    </row>
    <row r="15326" spans="1:1" x14ac:dyDescent="0.25">
      <c r="A15326" s="13"/>
    </row>
    <row r="15327" spans="1:1" x14ac:dyDescent="0.25">
      <c r="A15327" s="13"/>
    </row>
    <row r="15328" spans="1:1" x14ac:dyDescent="0.25">
      <c r="A15328" s="13"/>
    </row>
    <row r="15329" spans="1:1" x14ac:dyDescent="0.25">
      <c r="A15329" s="13"/>
    </row>
    <row r="15330" spans="1:1" x14ac:dyDescent="0.25">
      <c r="A15330" s="13"/>
    </row>
    <row r="15331" spans="1:1" x14ac:dyDescent="0.25">
      <c r="A15331" s="13"/>
    </row>
    <row r="15332" spans="1:1" x14ac:dyDescent="0.25">
      <c r="A15332" s="13"/>
    </row>
    <row r="15333" spans="1:1" x14ac:dyDescent="0.25">
      <c r="A15333" s="13"/>
    </row>
    <row r="15334" spans="1:1" x14ac:dyDescent="0.25">
      <c r="A15334" s="13"/>
    </row>
    <row r="15335" spans="1:1" x14ac:dyDescent="0.25">
      <c r="A15335" s="13"/>
    </row>
    <row r="15336" spans="1:1" x14ac:dyDescent="0.25">
      <c r="A15336" s="13"/>
    </row>
    <row r="15337" spans="1:1" x14ac:dyDescent="0.25">
      <c r="A15337" s="13"/>
    </row>
    <row r="15338" spans="1:1" x14ac:dyDescent="0.25">
      <c r="A15338" s="13"/>
    </row>
    <row r="15339" spans="1:1" x14ac:dyDescent="0.25">
      <c r="A15339" s="13"/>
    </row>
    <row r="15340" spans="1:1" x14ac:dyDescent="0.25">
      <c r="A15340" s="13"/>
    </row>
    <row r="15341" spans="1:1" x14ac:dyDescent="0.25">
      <c r="A15341" s="13"/>
    </row>
    <row r="15342" spans="1:1" x14ac:dyDescent="0.25">
      <c r="A15342" s="13"/>
    </row>
    <row r="15343" spans="1:1" x14ac:dyDescent="0.25">
      <c r="A15343" s="13"/>
    </row>
    <row r="15344" spans="1:1" x14ac:dyDescent="0.25">
      <c r="A15344" s="13"/>
    </row>
    <row r="15345" spans="1:1" x14ac:dyDescent="0.25">
      <c r="A15345" s="13"/>
    </row>
    <row r="15346" spans="1:1" x14ac:dyDescent="0.25">
      <c r="A15346" s="13"/>
    </row>
    <row r="15347" spans="1:1" x14ac:dyDescent="0.25">
      <c r="A15347" s="13"/>
    </row>
    <row r="15348" spans="1:1" x14ac:dyDescent="0.25">
      <c r="A15348" s="13"/>
    </row>
    <row r="15349" spans="1:1" x14ac:dyDescent="0.25">
      <c r="A15349" s="13"/>
    </row>
    <row r="15350" spans="1:1" x14ac:dyDescent="0.25">
      <c r="A15350" s="13"/>
    </row>
    <row r="15351" spans="1:1" x14ac:dyDescent="0.25">
      <c r="A15351" s="13"/>
    </row>
    <row r="15352" spans="1:1" x14ac:dyDescent="0.25">
      <c r="A15352" s="13"/>
    </row>
    <row r="15353" spans="1:1" x14ac:dyDescent="0.25">
      <c r="A15353" s="13"/>
    </row>
    <row r="15354" spans="1:1" x14ac:dyDescent="0.25">
      <c r="A15354" s="13"/>
    </row>
    <row r="15355" spans="1:1" x14ac:dyDescent="0.25">
      <c r="A15355" s="13"/>
    </row>
    <row r="15356" spans="1:1" x14ac:dyDescent="0.25">
      <c r="A15356" s="13"/>
    </row>
    <row r="15357" spans="1:1" x14ac:dyDescent="0.25">
      <c r="A15357" s="13"/>
    </row>
    <row r="15358" spans="1:1" x14ac:dyDescent="0.25">
      <c r="A15358" s="13"/>
    </row>
    <row r="15359" spans="1:1" x14ac:dyDescent="0.25">
      <c r="A15359" s="13"/>
    </row>
    <row r="15360" spans="1:1" x14ac:dyDescent="0.25">
      <c r="A15360" s="13"/>
    </row>
    <row r="15361" spans="1:1" x14ac:dyDescent="0.25">
      <c r="A15361" s="13"/>
    </row>
    <row r="15362" spans="1:1" x14ac:dyDescent="0.25">
      <c r="A15362" s="13"/>
    </row>
    <row r="15363" spans="1:1" x14ac:dyDescent="0.25">
      <c r="A15363" s="13"/>
    </row>
    <row r="15364" spans="1:1" x14ac:dyDescent="0.25">
      <c r="A15364" s="13"/>
    </row>
    <row r="15365" spans="1:1" x14ac:dyDescent="0.25">
      <c r="A15365" s="13"/>
    </row>
    <row r="15366" spans="1:1" x14ac:dyDescent="0.25">
      <c r="A15366" s="13"/>
    </row>
    <row r="15367" spans="1:1" x14ac:dyDescent="0.25">
      <c r="A15367" s="13"/>
    </row>
    <row r="15368" spans="1:1" x14ac:dyDescent="0.25">
      <c r="A15368" s="13"/>
    </row>
    <row r="15369" spans="1:1" x14ac:dyDescent="0.25">
      <c r="A15369" s="13"/>
    </row>
    <row r="15370" spans="1:1" x14ac:dyDescent="0.25">
      <c r="A15370" s="13"/>
    </row>
    <row r="15371" spans="1:1" x14ac:dyDescent="0.25">
      <c r="A15371" s="13"/>
    </row>
    <row r="15372" spans="1:1" x14ac:dyDescent="0.25">
      <c r="A15372" s="13"/>
    </row>
    <row r="15373" spans="1:1" x14ac:dyDescent="0.25">
      <c r="A15373" s="13"/>
    </row>
    <row r="15374" spans="1:1" x14ac:dyDescent="0.25">
      <c r="A15374" s="13"/>
    </row>
    <row r="15375" spans="1:1" x14ac:dyDescent="0.25">
      <c r="A15375" s="13"/>
    </row>
    <row r="15376" spans="1:1" x14ac:dyDescent="0.25">
      <c r="A15376" s="13"/>
    </row>
    <row r="15377" spans="1:1" x14ac:dyDescent="0.25">
      <c r="A15377" s="13"/>
    </row>
    <row r="15378" spans="1:1" x14ac:dyDescent="0.25">
      <c r="A15378" s="13"/>
    </row>
    <row r="15379" spans="1:1" x14ac:dyDescent="0.25">
      <c r="A15379" s="13"/>
    </row>
    <row r="15380" spans="1:1" x14ac:dyDescent="0.25">
      <c r="A15380" s="13"/>
    </row>
    <row r="15381" spans="1:1" x14ac:dyDescent="0.25">
      <c r="A15381" s="13"/>
    </row>
    <row r="15382" spans="1:1" x14ac:dyDescent="0.25">
      <c r="A15382" s="13"/>
    </row>
    <row r="15383" spans="1:1" x14ac:dyDescent="0.25">
      <c r="A15383" s="13"/>
    </row>
    <row r="15384" spans="1:1" x14ac:dyDescent="0.25">
      <c r="A15384" s="13"/>
    </row>
    <row r="15385" spans="1:1" x14ac:dyDescent="0.25">
      <c r="A15385" s="13"/>
    </row>
    <row r="15386" spans="1:1" x14ac:dyDescent="0.25">
      <c r="A15386" s="13"/>
    </row>
    <row r="15387" spans="1:1" x14ac:dyDescent="0.25">
      <c r="A15387" s="13"/>
    </row>
    <row r="15388" spans="1:1" x14ac:dyDescent="0.25">
      <c r="A15388" s="13"/>
    </row>
    <row r="15389" spans="1:1" x14ac:dyDescent="0.25">
      <c r="A15389" s="13"/>
    </row>
    <row r="15390" spans="1:1" x14ac:dyDescent="0.25">
      <c r="A15390" s="13"/>
    </row>
    <row r="15391" spans="1:1" x14ac:dyDescent="0.25">
      <c r="A15391" s="13"/>
    </row>
    <row r="15392" spans="1:1" x14ac:dyDescent="0.25">
      <c r="A15392" s="13"/>
    </row>
    <row r="15393" spans="1:1" x14ac:dyDescent="0.25">
      <c r="A15393" s="13"/>
    </row>
    <row r="15394" spans="1:1" x14ac:dyDescent="0.25">
      <c r="A15394" s="13"/>
    </row>
    <row r="15395" spans="1:1" x14ac:dyDescent="0.25">
      <c r="A15395" s="13"/>
    </row>
    <row r="15396" spans="1:1" x14ac:dyDescent="0.25">
      <c r="A15396" s="13"/>
    </row>
    <row r="15397" spans="1:1" x14ac:dyDescent="0.25">
      <c r="A15397" s="13"/>
    </row>
    <row r="15398" spans="1:1" x14ac:dyDescent="0.25">
      <c r="A15398" s="13"/>
    </row>
    <row r="15399" spans="1:1" x14ac:dyDescent="0.25">
      <c r="A15399" s="13"/>
    </row>
    <row r="15400" spans="1:1" x14ac:dyDescent="0.25">
      <c r="A15400" s="13"/>
    </row>
    <row r="15401" spans="1:1" x14ac:dyDescent="0.25">
      <c r="A15401" s="13"/>
    </row>
    <row r="15402" spans="1:1" x14ac:dyDescent="0.25">
      <c r="A15402" s="13"/>
    </row>
    <row r="15403" spans="1:1" x14ac:dyDescent="0.25">
      <c r="A15403" s="13"/>
    </row>
    <row r="15404" spans="1:1" x14ac:dyDescent="0.25">
      <c r="A15404" s="13"/>
    </row>
    <row r="15405" spans="1:1" x14ac:dyDescent="0.25">
      <c r="A15405" s="13"/>
    </row>
    <row r="15406" spans="1:1" x14ac:dyDescent="0.25">
      <c r="A15406" s="13"/>
    </row>
    <row r="15407" spans="1:1" x14ac:dyDescent="0.25">
      <c r="A15407" s="13"/>
    </row>
    <row r="15408" spans="1:1" x14ac:dyDescent="0.25">
      <c r="A15408" s="13"/>
    </row>
    <row r="15409" spans="1:1" x14ac:dyDescent="0.25">
      <c r="A15409" s="13"/>
    </row>
    <row r="15410" spans="1:1" x14ac:dyDescent="0.25">
      <c r="A15410" s="13"/>
    </row>
    <row r="15411" spans="1:1" x14ac:dyDescent="0.25">
      <c r="A15411" s="13"/>
    </row>
    <row r="15412" spans="1:1" x14ac:dyDescent="0.25">
      <c r="A15412" s="13"/>
    </row>
    <row r="15413" spans="1:1" x14ac:dyDescent="0.25">
      <c r="A15413" s="13"/>
    </row>
    <row r="15414" spans="1:1" x14ac:dyDescent="0.25">
      <c r="A15414" s="13"/>
    </row>
    <row r="15415" spans="1:1" x14ac:dyDescent="0.25">
      <c r="A15415" s="13"/>
    </row>
    <row r="15416" spans="1:1" x14ac:dyDescent="0.25">
      <c r="A15416" s="13"/>
    </row>
    <row r="15417" spans="1:1" x14ac:dyDescent="0.25">
      <c r="A15417" s="13"/>
    </row>
    <row r="15418" spans="1:1" x14ac:dyDescent="0.25">
      <c r="A15418" s="13"/>
    </row>
    <row r="15419" spans="1:1" x14ac:dyDescent="0.25">
      <c r="A15419" s="13"/>
    </row>
    <row r="15420" spans="1:1" x14ac:dyDescent="0.25">
      <c r="A15420" s="13"/>
    </row>
    <row r="15421" spans="1:1" x14ac:dyDescent="0.25">
      <c r="A15421" s="13"/>
    </row>
    <row r="15422" spans="1:1" x14ac:dyDescent="0.25">
      <c r="A15422" s="13"/>
    </row>
    <row r="15423" spans="1:1" x14ac:dyDescent="0.25">
      <c r="A15423" s="13"/>
    </row>
    <row r="15424" spans="1:1" x14ac:dyDescent="0.25">
      <c r="A15424" s="13"/>
    </row>
    <row r="15425" spans="1:1" x14ac:dyDescent="0.25">
      <c r="A15425" s="13"/>
    </row>
    <row r="15426" spans="1:1" x14ac:dyDescent="0.25">
      <c r="A15426" s="13"/>
    </row>
    <row r="15427" spans="1:1" x14ac:dyDescent="0.25">
      <c r="A15427" s="13"/>
    </row>
    <row r="15428" spans="1:1" x14ac:dyDescent="0.25">
      <c r="A15428" s="13"/>
    </row>
    <row r="15429" spans="1:1" x14ac:dyDescent="0.25">
      <c r="A15429" s="13"/>
    </row>
    <row r="15430" spans="1:1" x14ac:dyDescent="0.25">
      <c r="A15430" s="13"/>
    </row>
    <row r="15431" spans="1:1" x14ac:dyDescent="0.25">
      <c r="A15431" s="13"/>
    </row>
    <row r="15432" spans="1:1" x14ac:dyDescent="0.25">
      <c r="A15432" s="13"/>
    </row>
    <row r="15433" spans="1:1" x14ac:dyDescent="0.25">
      <c r="A15433" s="13"/>
    </row>
    <row r="15434" spans="1:1" x14ac:dyDescent="0.25">
      <c r="A15434" s="13"/>
    </row>
    <row r="15435" spans="1:1" x14ac:dyDescent="0.25">
      <c r="A15435" s="13"/>
    </row>
    <row r="15436" spans="1:1" x14ac:dyDescent="0.25">
      <c r="A15436" s="13"/>
    </row>
    <row r="15437" spans="1:1" x14ac:dyDescent="0.25">
      <c r="A15437" s="13"/>
    </row>
    <row r="15438" spans="1:1" x14ac:dyDescent="0.25">
      <c r="A15438" s="13"/>
    </row>
    <row r="15439" spans="1:1" x14ac:dyDescent="0.25">
      <c r="A15439" s="13"/>
    </row>
    <row r="15440" spans="1:1" x14ac:dyDescent="0.25">
      <c r="A15440" s="13"/>
    </row>
    <row r="15441" spans="1:1" x14ac:dyDescent="0.25">
      <c r="A15441" s="13"/>
    </row>
    <row r="15442" spans="1:1" x14ac:dyDescent="0.25">
      <c r="A15442" s="13"/>
    </row>
    <row r="15443" spans="1:1" x14ac:dyDescent="0.25">
      <c r="A15443" s="13"/>
    </row>
    <row r="15444" spans="1:1" x14ac:dyDescent="0.25">
      <c r="A15444" s="13"/>
    </row>
    <row r="15445" spans="1:1" x14ac:dyDescent="0.25">
      <c r="A15445" s="13"/>
    </row>
    <row r="15446" spans="1:1" x14ac:dyDescent="0.25">
      <c r="A15446" s="13"/>
    </row>
    <row r="15447" spans="1:1" x14ac:dyDescent="0.25">
      <c r="A15447" s="13"/>
    </row>
    <row r="15448" spans="1:1" x14ac:dyDescent="0.25">
      <c r="A15448" s="13"/>
    </row>
    <row r="15449" spans="1:1" x14ac:dyDescent="0.25">
      <c r="A15449" s="13"/>
    </row>
    <row r="15450" spans="1:1" x14ac:dyDescent="0.25">
      <c r="A15450" s="13"/>
    </row>
    <row r="15451" spans="1:1" x14ac:dyDescent="0.25">
      <c r="A15451" s="13"/>
    </row>
    <row r="15452" spans="1:1" x14ac:dyDescent="0.25">
      <c r="A15452" s="13"/>
    </row>
    <row r="15453" spans="1:1" x14ac:dyDescent="0.25">
      <c r="A15453" s="13"/>
    </row>
    <row r="15454" spans="1:1" x14ac:dyDescent="0.25">
      <c r="A15454" s="13"/>
    </row>
    <row r="15455" spans="1:1" x14ac:dyDescent="0.25">
      <c r="A15455" s="13"/>
    </row>
    <row r="15456" spans="1:1" x14ac:dyDescent="0.25">
      <c r="A15456" s="13"/>
    </row>
    <row r="15457" spans="1:1" x14ac:dyDescent="0.25">
      <c r="A15457" s="13"/>
    </row>
    <row r="15458" spans="1:1" x14ac:dyDescent="0.25">
      <c r="A15458" s="13"/>
    </row>
    <row r="15459" spans="1:1" x14ac:dyDescent="0.25">
      <c r="A15459" s="13"/>
    </row>
    <row r="15460" spans="1:1" x14ac:dyDescent="0.25">
      <c r="A15460" s="13"/>
    </row>
    <row r="15461" spans="1:1" x14ac:dyDescent="0.25">
      <c r="A15461" s="13"/>
    </row>
    <row r="15462" spans="1:1" x14ac:dyDescent="0.25">
      <c r="A15462" s="13"/>
    </row>
    <row r="15463" spans="1:1" x14ac:dyDescent="0.25">
      <c r="A15463" s="13"/>
    </row>
    <row r="15464" spans="1:1" x14ac:dyDescent="0.25">
      <c r="A15464" s="13"/>
    </row>
    <row r="15465" spans="1:1" x14ac:dyDescent="0.25">
      <c r="A15465" s="13"/>
    </row>
    <row r="15466" spans="1:1" x14ac:dyDescent="0.25">
      <c r="A15466" s="13"/>
    </row>
    <row r="15467" spans="1:1" x14ac:dyDescent="0.25">
      <c r="A15467" s="13"/>
    </row>
    <row r="15468" spans="1:1" x14ac:dyDescent="0.25">
      <c r="A15468" s="13"/>
    </row>
    <row r="15469" spans="1:1" x14ac:dyDescent="0.25">
      <c r="A15469" s="13"/>
    </row>
    <row r="15470" spans="1:1" x14ac:dyDescent="0.25">
      <c r="A15470" s="13"/>
    </row>
    <row r="15471" spans="1:1" x14ac:dyDescent="0.25">
      <c r="A15471" s="13"/>
    </row>
    <row r="15472" spans="1:1" x14ac:dyDescent="0.25">
      <c r="A15472" s="13"/>
    </row>
    <row r="15473" spans="1:1" x14ac:dyDescent="0.25">
      <c r="A15473" s="13"/>
    </row>
    <row r="15474" spans="1:1" x14ac:dyDescent="0.25">
      <c r="A15474" s="13"/>
    </row>
    <row r="15475" spans="1:1" x14ac:dyDescent="0.25">
      <c r="A15475" s="13"/>
    </row>
    <row r="15476" spans="1:1" x14ac:dyDescent="0.25">
      <c r="A15476" s="13"/>
    </row>
    <row r="15477" spans="1:1" x14ac:dyDescent="0.25">
      <c r="A15477" s="13"/>
    </row>
    <row r="15478" spans="1:1" x14ac:dyDescent="0.25">
      <c r="A15478" s="13"/>
    </row>
    <row r="15479" spans="1:1" x14ac:dyDescent="0.25">
      <c r="A15479" s="13"/>
    </row>
    <row r="15480" spans="1:1" x14ac:dyDescent="0.25">
      <c r="A15480" s="13"/>
    </row>
    <row r="15481" spans="1:1" x14ac:dyDescent="0.25">
      <c r="A15481" s="13"/>
    </row>
    <row r="15482" spans="1:1" x14ac:dyDescent="0.25">
      <c r="A15482" s="13"/>
    </row>
    <row r="15483" spans="1:1" x14ac:dyDescent="0.25">
      <c r="A15483" s="13"/>
    </row>
    <row r="15484" spans="1:1" x14ac:dyDescent="0.25">
      <c r="A15484" s="13"/>
    </row>
    <row r="15485" spans="1:1" x14ac:dyDescent="0.25">
      <c r="A15485" s="13"/>
    </row>
    <row r="15486" spans="1:1" x14ac:dyDescent="0.25">
      <c r="A15486" s="13"/>
    </row>
    <row r="15487" spans="1:1" x14ac:dyDescent="0.25">
      <c r="A15487" s="13"/>
    </row>
    <row r="15488" spans="1:1" x14ac:dyDescent="0.25">
      <c r="A15488" s="13"/>
    </row>
    <row r="15489" spans="1:1" x14ac:dyDescent="0.25">
      <c r="A15489" s="13"/>
    </row>
    <row r="15490" spans="1:1" x14ac:dyDescent="0.25">
      <c r="A15490" s="13"/>
    </row>
    <row r="15491" spans="1:1" x14ac:dyDescent="0.25">
      <c r="A15491" s="13"/>
    </row>
    <row r="15492" spans="1:1" x14ac:dyDescent="0.25">
      <c r="A15492" s="13"/>
    </row>
    <row r="15493" spans="1:1" x14ac:dyDescent="0.25">
      <c r="A15493" s="13"/>
    </row>
    <row r="15494" spans="1:1" x14ac:dyDescent="0.25">
      <c r="A15494" s="13"/>
    </row>
    <row r="15495" spans="1:1" x14ac:dyDescent="0.25">
      <c r="A15495" s="13"/>
    </row>
    <row r="15496" spans="1:1" x14ac:dyDescent="0.25">
      <c r="A15496" s="13"/>
    </row>
    <row r="15497" spans="1:1" x14ac:dyDescent="0.25">
      <c r="A15497" s="13"/>
    </row>
    <row r="15498" spans="1:1" x14ac:dyDescent="0.25">
      <c r="A15498" s="13"/>
    </row>
    <row r="15499" spans="1:1" x14ac:dyDescent="0.25">
      <c r="A15499" s="13"/>
    </row>
    <row r="15500" spans="1:1" x14ac:dyDescent="0.25">
      <c r="A15500" s="13"/>
    </row>
    <row r="15501" spans="1:1" x14ac:dyDescent="0.25">
      <c r="A15501" s="13"/>
    </row>
    <row r="15502" spans="1:1" x14ac:dyDescent="0.25">
      <c r="A15502" s="13"/>
    </row>
    <row r="15503" spans="1:1" x14ac:dyDescent="0.25">
      <c r="A15503" s="13"/>
    </row>
    <row r="15504" spans="1:1" x14ac:dyDescent="0.25">
      <c r="A15504" s="13"/>
    </row>
    <row r="15505" spans="1:1" x14ac:dyDescent="0.25">
      <c r="A15505" s="13"/>
    </row>
    <row r="15506" spans="1:1" x14ac:dyDescent="0.25">
      <c r="A15506" s="13"/>
    </row>
    <row r="15507" spans="1:1" x14ac:dyDescent="0.25">
      <c r="A15507" s="13"/>
    </row>
    <row r="15508" spans="1:1" x14ac:dyDescent="0.25">
      <c r="A15508" s="13"/>
    </row>
    <row r="15509" spans="1:1" x14ac:dyDescent="0.25">
      <c r="A15509" s="13"/>
    </row>
    <row r="15510" spans="1:1" x14ac:dyDescent="0.25">
      <c r="A15510" s="13"/>
    </row>
    <row r="15511" spans="1:1" x14ac:dyDescent="0.25">
      <c r="A15511" s="13"/>
    </row>
    <row r="15512" spans="1:1" x14ac:dyDescent="0.25">
      <c r="A15512" s="13"/>
    </row>
    <row r="15513" spans="1:1" x14ac:dyDescent="0.25">
      <c r="A15513" s="13"/>
    </row>
    <row r="15514" spans="1:1" x14ac:dyDescent="0.25">
      <c r="A15514" s="13"/>
    </row>
    <row r="15515" spans="1:1" x14ac:dyDescent="0.25">
      <c r="A15515" s="13"/>
    </row>
    <row r="15516" spans="1:1" x14ac:dyDescent="0.25">
      <c r="A15516" s="13"/>
    </row>
    <row r="15517" spans="1:1" x14ac:dyDescent="0.25">
      <c r="A15517" s="13"/>
    </row>
    <row r="15518" spans="1:1" x14ac:dyDescent="0.25">
      <c r="A15518" s="13"/>
    </row>
    <row r="15519" spans="1:1" x14ac:dyDescent="0.25">
      <c r="A15519" s="13"/>
    </row>
    <row r="15520" spans="1:1" x14ac:dyDescent="0.25">
      <c r="A15520" s="13"/>
    </row>
    <row r="15521" spans="1:1" x14ac:dyDescent="0.25">
      <c r="A15521" s="13"/>
    </row>
    <row r="15522" spans="1:1" x14ac:dyDescent="0.25">
      <c r="A15522" s="13"/>
    </row>
    <row r="15523" spans="1:1" x14ac:dyDescent="0.25">
      <c r="A15523" s="13"/>
    </row>
    <row r="15524" spans="1:1" x14ac:dyDescent="0.25">
      <c r="A15524" s="13"/>
    </row>
    <row r="15525" spans="1:1" x14ac:dyDescent="0.25">
      <c r="A15525" s="13"/>
    </row>
    <row r="15526" spans="1:1" x14ac:dyDescent="0.25">
      <c r="A15526" s="13"/>
    </row>
    <row r="15527" spans="1:1" x14ac:dyDescent="0.25">
      <c r="A15527" s="13"/>
    </row>
    <row r="15528" spans="1:1" x14ac:dyDescent="0.25">
      <c r="A15528" s="13"/>
    </row>
    <row r="15529" spans="1:1" x14ac:dyDescent="0.25">
      <c r="A15529" s="13"/>
    </row>
    <row r="15530" spans="1:1" x14ac:dyDescent="0.25">
      <c r="A15530" s="13"/>
    </row>
    <row r="15531" spans="1:1" x14ac:dyDescent="0.25">
      <c r="A15531" s="13"/>
    </row>
    <row r="15532" spans="1:1" x14ac:dyDescent="0.25">
      <c r="A15532" s="13"/>
    </row>
    <row r="15533" spans="1:1" x14ac:dyDescent="0.25">
      <c r="A15533" s="13"/>
    </row>
    <row r="15534" spans="1:1" x14ac:dyDescent="0.25">
      <c r="A15534" s="13"/>
    </row>
    <row r="15535" spans="1:1" x14ac:dyDescent="0.25">
      <c r="A15535" s="13"/>
    </row>
    <row r="15536" spans="1:1" x14ac:dyDescent="0.25">
      <c r="A15536" s="13"/>
    </row>
    <row r="15537" spans="1:1" x14ac:dyDescent="0.25">
      <c r="A15537" s="13"/>
    </row>
    <row r="15538" spans="1:1" x14ac:dyDescent="0.25">
      <c r="A15538" s="13"/>
    </row>
    <row r="15539" spans="1:1" x14ac:dyDescent="0.25">
      <c r="A15539" s="13"/>
    </row>
    <row r="15540" spans="1:1" x14ac:dyDescent="0.25">
      <c r="A15540" s="13"/>
    </row>
    <row r="15541" spans="1:1" x14ac:dyDescent="0.25">
      <c r="A15541" s="13"/>
    </row>
    <row r="15542" spans="1:1" x14ac:dyDescent="0.25">
      <c r="A15542" s="13"/>
    </row>
    <row r="15543" spans="1:1" x14ac:dyDescent="0.25">
      <c r="A15543" s="13"/>
    </row>
    <row r="15544" spans="1:1" x14ac:dyDescent="0.25">
      <c r="A15544" s="13"/>
    </row>
    <row r="15545" spans="1:1" x14ac:dyDescent="0.25">
      <c r="A15545" s="13"/>
    </row>
    <row r="15546" spans="1:1" x14ac:dyDescent="0.25">
      <c r="A15546" s="13"/>
    </row>
    <row r="15547" spans="1:1" x14ac:dyDescent="0.25">
      <c r="A15547" s="13"/>
    </row>
    <row r="15548" spans="1:1" x14ac:dyDescent="0.25">
      <c r="A15548" s="13"/>
    </row>
    <row r="15549" spans="1:1" x14ac:dyDescent="0.25">
      <c r="A15549" s="13"/>
    </row>
    <row r="15550" spans="1:1" x14ac:dyDescent="0.25">
      <c r="A15550" s="13"/>
    </row>
    <row r="15551" spans="1:1" x14ac:dyDescent="0.25">
      <c r="A15551" s="13"/>
    </row>
    <row r="15552" spans="1:1" x14ac:dyDescent="0.25">
      <c r="A15552" s="13"/>
    </row>
    <row r="15553" spans="1:1" x14ac:dyDescent="0.25">
      <c r="A15553" s="13"/>
    </row>
    <row r="15554" spans="1:1" x14ac:dyDescent="0.25">
      <c r="A15554" s="13"/>
    </row>
    <row r="15555" spans="1:1" x14ac:dyDescent="0.25">
      <c r="A15555" s="13"/>
    </row>
    <row r="15556" spans="1:1" x14ac:dyDescent="0.25">
      <c r="A15556" s="13"/>
    </row>
    <row r="15557" spans="1:1" x14ac:dyDescent="0.25">
      <c r="A15557" s="13"/>
    </row>
    <row r="15558" spans="1:1" x14ac:dyDescent="0.25">
      <c r="A15558" s="13"/>
    </row>
    <row r="15559" spans="1:1" x14ac:dyDescent="0.25">
      <c r="A15559" s="13"/>
    </row>
    <row r="15560" spans="1:1" x14ac:dyDescent="0.25">
      <c r="A15560" s="13"/>
    </row>
    <row r="15561" spans="1:1" x14ac:dyDescent="0.25">
      <c r="A15561" s="13"/>
    </row>
    <row r="15562" spans="1:1" x14ac:dyDescent="0.25">
      <c r="A15562" s="13"/>
    </row>
    <row r="15563" spans="1:1" x14ac:dyDescent="0.25">
      <c r="A15563" s="13"/>
    </row>
    <row r="15564" spans="1:1" x14ac:dyDescent="0.25">
      <c r="A15564" s="13"/>
    </row>
    <row r="15565" spans="1:1" x14ac:dyDescent="0.25">
      <c r="A15565" s="13"/>
    </row>
    <row r="15566" spans="1:1" x14ac:dyDescent="0.25">
      <c r="A15566" s="13"/>
    </row>
    <row r="15567" spans="1:1" x14ac:dyDescent="0.25">
      <c r="A15567" s="13"/>
    </row>
    <row r="15568" spans="1:1" x14ac:dyDescent="0.25">
      <c r="A15568" s="13"/>
    </row>
    <row r="15569" spans="1:1" x14ac:dyDescent="0.25">
      <c r="A15569" s="13"/>
    </row>
    <row r="15570" spans="1:1" x14ac:dyDescent="0.25">
      <c r="A15570" s="13"/>
    </row>
    <row r="15571" spans="1:1" x14ac:dyDescent="0.25">
      <c r="A15571" s="13"/>
    </row>
    <row r="15572" spans="1:1" x14ac:dyDescent="0.25">
      <c r="A15572" s="13"/>
    </row>
    <row r="15573" spans="1:1" x14ac:dyDescent="0.25">
      <c r="A15573" s="13"/>
    </row>
    <row r="15574" spans="1:1" x14ac:dyDescent="0.25">
      <c r="A15574" s="13"/>
    </row>
    <row r="15575" spans="1:1" x14ac:dyDescent="0.25">
      <c r="A15575" s="13"/>
    </row>
    <row r="15576" spans="1:1" x14ac:dyDescent="0.25">
      <c r="A15576" s="13"/>
    </row>
    <row r="15577" spans="1:1" x14ac:dyDescent="0.25">
      <c r="A15577" s="13"/>
    </row>
    <row r="15578" spans="1:1" x14ac:dyDescent="0.25">
      <c r="A15578" s="13"/>
    </row>
    <row r="15579" spans="1:1" x14ac:dyDescent="0.25">
      <c r="A15579" s="13"/>
    </row>
    <row r="15580" spans="1:1" x14ac:dyDescent="0.25">
      <c r="A15580" s="13"/>
    </row>
    <row r="15581" spans="1:1" x14ac:dyDescent="0.25">
      <c r="A15581" s="13"/>
    </row>
    <row r="15582" spans="1:1" x14ac:dyDescent="0.25">
      <c r="A15582" s="13"/>
    </row>
    <row r="15583" spans="1:1" x14ac:dyDescent="0.25">
      <c r="A15583" s="13"/>
    </row>
    <row r="15584" spans="1:1" x14ac:dyDescent="0.25">
      <c r="A15584" s="13"/>
    </row>
    <row r="15585" spans="1:1" x14ac:dyDescent="0.25">
      <c r="A15585" s="13"/>
    </row>
    <row r="15586" spans="1:1" x14ac:dyDescent="0.25">
      <c r="A15586" s="13"/>
    </row>
    <row r="15587" spans="1:1" x14ac:dyDescent="0.25">
      <c r="A15587" s="13"/>
    </row>
    <row r="15588" spans="1:1" x14ac:dyDescent="0.25">
      <c r="A15588" s="13"/>
    </row>
    <row r="15589" spans="1:1" x14ac:dyDescent="0.25">
      <c r="A15589" s="13"/>
    </row>
    <row r="15590" spans="1:1" x14ac:dyDescent="0.25">
      <c r="A15590" s="13"/>
    </row>
    <row r="15591" spans="1:1" x14ac:dyDescent="0.25">
      <c r="A15591" s="13"/>
    </row>
    <row r="15592" spans="1:1" x14ac:dyDescent="0.25">
      <c r="A15592" s="13"/>
    </row>
    <row r="15593" spans="1:1" x14ac:dyDescent="0.25">
      <c r="A15593" s="13"/>
    </row>
    <row r="15594" spans="1:1" x14ac:dyDescent="0.25">
      <c r="A15594" s="13"/>
    </row>
    <row r="15595" spans="1:1" x14ac:dyDescent="0.25">
      <c r="A15595" s="13"/>
    </row>
    <row r="15596" spans="1:1" x14ac:dyDescent="0.25">
      <c r="A15596" s="13"/>
    </row>
    <row r="15597" spans="1:1" x14ac:dyDescent="0.25">
      <c r="A15597" s="13"/>
    </row>
    <row r="15598" spans="1:1" x14ac:dyDescent="0.25">
      <c r="A15598" s="13"/>
    </row>
    <row r="15599" spans="1:1" x14ac:dyDescent="0.25">
      <c r="A15599" s="13"/>
    </row>
    <row r="15600" spans="1:1" x14ac:dyDescent="0.25">
      <c r="A15600" s="13"/>
    </row>
    <row r="15601" spans="1:1" x14ac:dyDescent="0.25">
      <c r="A15601" s="13"/>
    </row>
    <row r="15602" spans="1:1" x14ac:dyDescent="0.25">
      <c r="A15602" s="13"/>
    </row>
    <row r="15603" spans="1:1" x14ac:dyDescent="0.25">
      <c r="A15603" s="13"/>
    </row>
    <row r="15604" spans="1:1" x14ac:dyDescent="0.25">
      <c r="A15604" s="13"/>
    </row>
    <row r="15605" spans="1:1" x14ac:dyDescent="0.25">
      <c r="A15605" s="13"/>
    </row>
    <row r="15606" spans="1:1" x14ac:dyDescent="0.25">
      <c r="A15606" s="13"/>
    </row>
    <row r="15607" spans="1:1" x14ac:dyDescent="0.25">
      <c r="A15607" s="13"/>
    </row>
    <row r="15608" spans="1:1" x14ac:dyDescent="0.25">
      <c r="A15608" s="13"/>
    </row>
    <row r="15609" spans="1:1" x14ac:dyDescent="0.25">
      <c r="A15609" s="13"/>
    </row>
    <row r="15610" spans="1:1" x14ac:dyDescent="0.25">
      <c r="A15610" s="13"/>
    </row>
    <row r="15611" spans="1:1" x14ac:dyDescent="0.25">
      <c r="A15611" s="13"/>
    </row>
    <row r="15612" spans="1:1" x14ac:dyDescent="0.25">
      <c r="A15612" s="13"/>
    </row>
    <row r="15613" spans="1:1" x14ac:dyDescent="0.25">
      <c r="A15613" s="13"/>
    </row>
    <row r="15614" spans="1:1" x14ac:dyDescent="0.25">
      <c r="A15614" s="13"/>
    </row>
    <row r="15615" spans="1:1" x14ac:dyDescent="0.25">
      <c r="A15615" s="13"/>
    </row>
    <row r="15616" spans="1:1" x14ac:dyDescent="0.25">
      <c r="A15616" s="13"/>
    </row>
    <row r="15617" spans="1:1" x14ac:dyDescent="0.25">
      <c r="A15617" s="13"/>
    </row>
    <row r="15618" spans="1:1" x14ac:dyDescent="0.25">
      <c r="A15618" s="13"/>
    </row>
    <row r="15619" spans="1:1" x14ac:dyDescent="0.25">
      <c r="A15619" s="13"/>
    </row>
    <row r="15620" spans="1:1" x14ac:dyDescent="0.25">
      <c r="A15620" s="13"/>
    </row>
    <row r="15621" spans="1:1" x14ac:dyDescent="0.25">
      <c r="A15621" s="13"/>
    </row>
    <row r="15622" spans="1:1" x14ac:dyDescent="0.25">
      <c r="A15622" s="13"/>
    </row>
    <row r="15623" spans="1:1" x14ac:dyDescent="0.25">
      <c r="A15623" s="13"/>
    </row>
    <row r="15624" spans="1:1" x14ac:dyDescent="0.25">
      <c r="A15624" s="13"/>
    </row>
    <row r="15625" spans="1:1" x14ac:dyDescent="0.25">
      <c r="A15625" s="13"/>
    </row>
    <row r="15626" spans="1:1" x14ac:dyDescent="0.25">
      <c r="A15626" s="13"/>
    </row>
    <row r="15627" spans="1:1" x14ac:dyDescent="0.25">
      <c r="A15627" s="13"/>
    </row>
    <row r="15628" spans="1:1" x14ac:dyDescent="0.25">
      <c r="A15628" s="13"/>
    </row>
    <row r="15629" spans="1:1" x14ac:dyDescent="0.25">
      <c r="A15629" s="13"/>
    </row>
    <row r="15630" spans="1:1" x14ac:dyDescent="0.25">
      <c r="A15630" s="13"/>
    </row>
    <row r="15631" spans="1:1" x14ac:dyDescent="0.25">
      <c r="A15631" s="13"/>
    </row>
    <row r="15632" spans="1:1" x14ac:dyDescent="0.25">
      <c r="A15632" s="13"/>
    </row>
    <row r="15633" spans="1:1" x14ac:dyDescent="0.25">
      <c r="A15633" s="13"/>
    </row>
    <row r="15634" spans="1:1" x14ac:dyDescent="0.25">
      <c r="A15634" s="13"/>
    </row>
    <row r="15635" spans="1:1" x14ac:dyDescent="0.25">
      <c r="A15635" s="13"/>
    </row>
    <row r="15636" spans="1:1" x14ac:dyDescent="0.25">
      <c r="A15636" s="13"/>
    </row>
    <row r="15637" spans="1:1" x14ac:dyDescent="0.25">
      <c r="A15637" s="13"/>
    </row>
    <row r="15638" spans="1:1" x14ac:dyDescent="0.25">
      <c r="A15638" s="13"/>
    </row>
    <row r="15639" spans="1:1" x14ac:dyDescent="0.25">
      <c r="A15639" s="13"/>
    </row>
    <row r="15640" spans="1:1" x14ac:dyDescent="0.25">
      <c r="A15640" s="13"/>
    </row>
    <row r="15641" spans="1:1" x14ac:dyDescent="0.25">
      <c r="A15641" s="13"/>
    </row>
    <row r="15642" spans="1:1" x14ac:dyDescent="0.25">
      <c r="A15642" s="13"/>
    </row>
    <row r="15643" spans="1:1" x14ac:dyDescent="0.25">
      <c r="A15643" s="13"/>
    </row>
    <row r="15644" spans="1:1" x14ac:dyDescent="0.25">
      <c r="A15644" s="13"/>
    </row>
    <row r="15645" spans="1:1" x14ac:dyDescent="0.25">
      <c r="A15645" s="13"/>
    </row>
    <row r="15646" spans="1:1" x14ac:dyDescent="0.25">
      <c r="A15646" s="13"/>
    </row>
    <row r="15647" spans="1:1" x14ac:dyDescent="0.25">
      <c r="A15647" s="13"/>
    </row>
    <row r="15648" spans="1:1" x14ac:dyDescent="0.25">
      <c r="A15648" s="13"/>
    </row>
    <row r="15649" spans="1:1" x14ac:dyDescent="0.25">
      <c r="A15649" s="13"/>
    </row>
    <row r="15650" spans="1:1" x14ac:dyDescent="0.25">
      <c r="A15650" s="13"/>
    </row>
    <row r="15651" spans="1:1" x14ac:dyDescent="0.25">
      <c r="A15651" s="13"/>
    </row>
    <row r="15652" spans="1:1" x14ac:dyDescent="0.25">
      <c r="A15652" s="13"/>
    </row>
    <row r="15653" spans="1:1" x14ac:dyDescent="0.25">
      <c r="A15653" s="13"/>
    </row>
    <row r="15654" spans="1:1" x14ac:dyDescent="0.25">
      <c r="A15654" s="13"/>
    </row>
    <row r="15655" spans="1:1" x14ac:dyDescent="0.25">
      <c r="A15655" s="13"/>
    </row>
    <row r="15656" spans="1:1" x14ac:dyDescent="0.25">
      <c r="A15656" s="13"/>
    </row>
    <row r="15657" spans="1:1" x14ac:dyDescent="0.25">
      <c r="A15657" s="13"/>
    </row>
    <row r="15658" spans="1:1" x14ac:dyDescent="0.25">
      <c r="A15658" s="13"/>
    </row>
    <row r="15659" spans="1:1" x14ac:dyDescent="0.25">
      <c r="A15659" s="13"/>
    </row>
    <row r="15660" spans="1:1" x14ac:dyDescent="0.25">
      <c r="A15660" s="13"/>
    </row>
    <row r="15661" spans="1:1" x14ac:dyDescent="0.25">
      <c r="A15661" s="13"/>
    </row>
    <row r="15662" spans="1:1" x14ac:dyDescent="0.25">
      <c r="A15662" s="13"/>
    </row>
    <row r="15663" spans="1:1" x14ac:dyDescent="0.25">
      <c r="A15663" s="13"/>
    </row>
    <row r="15664" spans="1:1" x14ac:dyDescent="0.25">
      <c r="A15664" s="13"/>
    </row>
    <row r="15665" spans="1:1" x14ac:dyDescent="0.25">
      <c r="A15665" s="13"/>
    </row>
    <row r="15666" spans="1:1" x14ac:dyDescent="0.25">
      <c r="A15666" s="13"/>
    </row>
    <row r="15667" spans="1:1" x14ac:dyDescent="0.25">
      <c r="A15667" s="13"/>
    </row>
    <row r="15668" spans="1:1" x14ac:dyDescent="0.25">
      <c r="A15668" s="13"/>
    </row>
    <row r="15669" spans="1:1" x14ac:dyDescent="0.25">
      <c r="A15669" s="13"/>
    </row>
    <row r="15670" spans="1:1" x14ac:dyDescent="0.25">
      <c r="A15670" s="13"/>
    </row>
    <row r="15671" spans="1:1" x14ac:dyDescent="0.25">
      <c r="A15671" s="13"/>
    </row>
    <row r="15672" spans="1:1" x14ac:dyDescent="0.25">
      <c r="A15672" s="13"/>
    </row>
    <row r="15673" spans="1:1" x14ac:dyDescent="0.25">
      <c r="A15673" s="13"/>
    </row>
    <row r="15674" spans="1:1" x14ac:dyDescent="0.25">
      <c r="A15674" s="13"/>
    </row>
    <row r="15675" spans="1:1" x14ac:dyDescent="0.25">
      <c r="A15675" s="13"/>
    </row>
    <row r="15676" spans="1:1" x14ac:dyDescent="0.25">
      <c r="A15676" s="13"/>
    </row>
    <row r="15677" spans="1:1" x14ac:dyDescent="0.25">
      <c r="A15677" s="13"/>
    </row>
    <row r="15678" spans="1:1" x14ac:dyDescent="0.25">
      <c r="A15678" s="13"/>
    </row>
    <row r="15679" spans="1:1" x14ac:dyDescent="0.25">
      <c r="A15679" s="13"/>
    </row>
    <row r="15680" spans="1:1" x14ac:dyDescent="0.25">
      <c r="A15680" s="13"/>
    </row>
    <row r="15681" spans="1:1" x14ac:dyDescent="0.25">
      <c r="A15681" s="13"/>
    </row>
    <row r="15682" spans="1:1" x14ac:dyDescent="0.25">
      <c r="A15682" s="13"/>
    </row>
    <row r="15683" spans="1:1" x14ac:dyDescent="0.25">
      <c r="A15683" s="13"/>
    </row>
    <row r="15684" spans="1:1" x14ac:dyDescent="0.25">
      <c r="A15684" s="13"/>
    </row>
    <row r="15685" spans="1:1" x14ac:dyDescent="0.25">
      <c r="A15685" s="13"/>
    </row>
    <row r="15686" spans="1:1" x14ac:dyDescent="0.25">
      <c r="A15686" s="13"/>
    </row>
    <row r="15687" spans="1:1" x14ac:dyDescent="0.25">
      <c r="A15687" s="13"/>
    </row>
    <row r="15688" spans="1:1" x14ac:dyDescent="0.25">
      <c r="A15688" s="13"/>
    </row>
    <row r="15689" spans="1:1" x14ac:dyDescent="0.25">
      <c r="A15689" s="13"/>
    </row>
    <row r="15690" spans="1:1" x14ac:dyDescent="0.25">
      <c r="A15690" s="13"/>
    </row>
    <row r="15691" spans="1:1" x14ac:dyDescent="0.25">
      <c r="A15691" s="13"/>
    </row>
    <row r="15692" spans="1:1" x14ac:dyDescent="0.25">
      <c r="A15692" s="13"/>
    </row>
    <row r="15693" spans="1:1" x14ac:dyDescent="0.25">
      <c r="A15693" s="13"/>
    </row>
    <row r="15694" spans="1:1" x14ac:dyDescent="0.25">
      <c r="A15694" s="13"/>
    </row>
    <row r="15695" spans="1:1" x14ac:dyDescent="0.25">
      <c r="A15695" s="13"/>
    </row>
    <row r="15696" spans="1:1" x14ac:dyDescent="0.25">
      <c r="A15696" s="13"/>
    </row>
    <row r="15697" spans="1:1" x14ac:dyDescent="0.25">
      <c r="A15697" s="13"/>
    </row>
    <row r="15698" spans="1:1" x14ac:dyDescent="0.25">
      <c r="A15698" s="13"/>
    </row>
    <row r="15699" spans="1:1" x14ac:dyDescent="0.25">
      <c r="A15699" s="13"/>
    </row>
    <row r="15700" spans="1:1" x14ac:dyDescent="0.25">
      <c r="A15700" s="13"/>
    </row>
    <row r="15701" spans="1:1" x14ac:dyDescent="0.25">
      <c r="A15701" s="13"/>
    </row>
    <row r="15702" spans="1:1" x14ac:dyDescent="0.25">
      <c r="A15702" s="13"/>
    </row>
    <row r="15703" spans="1:1" x14ac:dyDescent="0.25">
      <c r="A15703" s="13"/>
    </row>
    <row r="15704" spans="1:1" x14ac:dyDescent="0.25">
      <c r="A15704" s="13"/>
    </row>
    <row r="15705" spans="1:1" x14ac:dyDescent="0.25">
      <c r="A15705" s="13"/>
    </row>
    <row r="15706" spans="1:1" x14ac:dyDescent="0.25">
      <c r="A15706" s="13"/>
    </row>
    <row r="15707" spans="1:1" x14ac:dyDescent="0.25">
      <c r="A15707" s="13"/>
    </row>
    <row r="15708" spans="1:1" x14ac:dyDescent="0.25">
      <c r="A15708" s="13"/>
    </row>
    <row r="15709" spans="1:1" x14ac:dyDescent="0.25">
      <c r="A15709" s="13"/>
    </row>
    <row r="15710" spans="1:1" x14ac:dyDescent="0.25">
      <c r="A15710" s="13"/>
    </row>
    <row r="15711" spans="1:1" x14ac:dyDescent="0.25">
      <c r="A15711" s="13"/>
    </row>
    <row r="15712" spans="1:1" x14ac:dyDescent="0.25">
      <c r="A15712" s="13"/>
    </row>
    <row r="15713" spans="1:1" x14ac:dyDescent="0.25">
      <c r="A15713" s="13"/>
    </row>
    <row r="15714" spans="1:1" x14ac:dyDescent="0.25">
      <c r="A15714" s="13"/>
    </row>
    <row r="15715" spans="1:1" x14ac:dyDescent="0.25">
      <c r="A15715" s="13"/>
    </row>
    <row r="15716" spans="1:1" x14ac:dyDescent="0.25">
      <c r="A15716" s="13"/>
    </row>
    <row r="15717" spans="1:1" x14ac:dyDescent="0.25">
      <c r="A15717" s="13"/>
    </row>
    <row r="15718" spans="1:1" x14ac:dyDescent="0.25">
      <c r="A15718" s="13"/>
    </row>
    <row r="15719" spans="1:1" x14ac:dyDescent="0.25">
      <c r="A15719" s="13"/>
    </row>
    <row r="15720" spans="1:1" x14ac:dyDescent="0.25">
      <c r="A15720" s="13"/>
    </row>
    <row r="15721" spans="1:1" x14ac:dyDescent="0.25">
      <c r="A15721" s="13"/>
    </row>
    <row r="15722" spans="1:1" x14ac:dyDescent="0.25">
      <c r="A15722" s="13"/>
    </row>
    <row r="15723" spans="1:1" x14ac:dyDescent="0.25">
      <c r="A15723" s="13"/>
    </row>
    <row r="15724" spans="1:1" x14ac:dyDescent="0.25">
      <c r="A15724" s="13"/>
    </row>
    <row r="15725" spans="1:1" x14ac:dyDescent="0.25">
      <c r="A15725" s="13"/>
    </row>
    <row r="15726" spans="1:1" x14ac:dyDescent="0.25">
      <c r="A15726" s="13"/>
    </row>
    <row r="15727" spans="1:1" x14ac:dyDescent="0.25">
      <c r="A15727" s="13"/>
    </row>
    <row r="15728" spans="1:1" x14ac:dyDescent="0.25">
      <c r="A15728" s="13"/>
    </row>
    <row r="15729" spans="1:1" x14ac:dyDescent="0.25">
      <c r="A15729" s="13"/>
    </row>
    <row r="15730" spans="1:1" x14ac:dyDescent="0.25">
      <c r="A15730" s="13"/>
    </row>
    <row r="15731" spans="1:1" x14ac:dyDescent="0.25">
      <c r="A15731" s="13"/>
    </row>
    <row r="15732" spans="1:1" x14ac:dyDescent="0.25">
      <c r="A15732" s="13"/>
    </row>
    <row r="15733" spans="1:1" x14ac:dyDescent="0.25">
      <c r="A15733" s="13"/>
    </row>
    <row r="15734" spans="1:1" x14ac:dyDescent="0.25">
      <c r="A15734" s="13"/>
    </row>
    <row r="15735" spans="1:1" x14ac:dyDescent="0.25">
      <c r="A15735" s="13"/>
    </row>
    <row r="15736" spans="1:1" x14ac:dyDescent="0.25">
      <c r="A15736" s="13"/>
    </row>
    <row r="15737" spans="1:1" x14ac:dyDescent="0.25">
      <c r="A15737" s="13"/>
    </row>
    <row r="15738" spans="1:1" x14ac:dyDescent="0.25">
      <c r="A15738" s="13"/>
    </row>
    <row r="15739" spans="1:1" x14ac:dyDescent="0.25">
      <c r="A15739" s="13"/>
    </row>
    <row r="15740" spans="1:1" x14ac:dyDescent="0.25">
      <c r="A15740" s="13"/>
    </row>
    <row r="15741" spans="1:1" x14ac:dyDescent="0.25">
      <c r="A15741" s="13"/>
    </row>
    <row r="15742" spans="1:1" x14ac:dyDescent="0.25">
      <c r="A15742" s="13"/>
    </row>
    <row r="15743" spans="1:1" x14ac:dyDescent="0.25">
      <c r="A15743" s="13"/>
    </row>
    <row r="15744" spans="1:1" x14ac:dyDescent="0.25">
      <c r="A15744" s="13"/>
    </row>
    <row r="15745" spans="1:1" x14ac:dyDescent="0.25">
      <c r="A15745" s="13"/>
    </row>
    <row r="15746" spans="1:1" x14ac:dyDescent="0.25">
      <c r="A15746" s="13"/>
    </row>
    <row r="15747" spans="1:1" x14ac:dyDescent="0.25">
      <c r="A15747" s="13"/>
    </row>
    <row r="15748" spans="1:1" x14ac:dyDescent="0.25">
      <c r="A15748" s="13"/>
    </row>
    <row r="15749" spans="1:1" x14ac:dyDescent="0.25">
      <c r="A15749" s="13"/>
    </row>
    <row r="15750" spans="1:1" x14ac:dyDescent="0.25">
      <c r="A15750" s="13"/>
    </row>
    <row r="15751" spans="1:1" x14ac:dyDescent="0.25">
      <c r="A15751" s="13"/>
    </row>
    <row r="15752" spans="1:1" x14ac:dyDescent="0.25">
      <c r="A15752" s="13"/>
    </row>
    <row r="15753" spans="1:1" x14ac:dyDescent="0.25">
      <c r="A15753" s="13"/>
    </row>
    <row r="15754" spans="1:1" x14ac:dyDescent="0.25">
      <c r="A15754" s="13"/>
    </row>
    <row r="15755" spans="1:1" x14ac:dyDescent="0.25">
      <c r="A15755" s="13"/>
    </row>
    <row r="15756" spans="1:1" x14ac:dyDescent="0.25">
      <c r="A15756" s="13"/>
    </row>
    <row r="15757" spans="1:1" x14ac:dyDescent="0.25">
      <c r="A15757" s="13"/>
    </row>
    <row r="15758" spans="1:1" x14ac:dyDescent="0.25">
      <c r="A15758" s="13"/>
    </row>
    <row r="15759" spans="1:1" x14ac:dyDescent="0.25">
      <c r="A15759" s="13"/>
    </row>
    <row r="15760" spans="1:1" x14ac:dyDescent="0.25">
      <c r="A15760" s="13"/>
    </row>
    <row r="15761" spans="1:1" x14ac:dyDescent="0.25">
      <c r="A15761" s="13"/>
    </row>
    <row r="15762" spans="1:1" x14ac:dyDescent="0.25">
      <c r="A15762" s="13"/>
    </row>
    <row r="15763" spans="1:1" x14ac:dyDescent="0.25">
      <c r="A15763" s="13"/>
    </row>
    <row r="15764" spans="1:1" x14ac:dyDescent="0.25">
      <c r="A15764" s="13"/>
    </row>
    <row r="15765" spans="1:1" x14ac:dyDescent="0.25">
      <c r="A15765" s="13"/>
    </row>
    <row r="15766" spans="1:1" x14ac:dyDescent="0.25">
      <c r="A15766" s="13"/>
    </row>
    <row r="15767" spans="1:1" x14ac:dyDescent="0.25">
      <c r="A15767" s="13"/>
    </row>
    <row r="15768" spans="1:1" x14ac:dyDescent="0.25">
      <c r="A15768" s="13"/>
    </row>
    <row r="15769" spans="1:1" x14ac:dyDescent="0.25">
      <c r="A15769" s="13"/>
    </row>
    <row r="15770" spans="1:1" x14ac:dyDescent="0.25">
      <c r="A15770" s="13"/>
    </row>
    <row r="15771" spans="1:1" x14ac:dyDescent="0.25">
      <c r="A15771" s="13"/>
    </row>
    <row r="15772" spans="1:1" x14ac:dyDescent="0.25">
      <c r="A15772" s="13"/>
    </row>
    <row r="15773" spans="1:1" x14ac:dyDescent="0.25">
      <c r="A15773" s="13"/>
    </row>
    <row r="15774" spans="1:1" x14ac:dyDescent="0.25">
      <c r="A15774" s="13"/>
    </row>
    <row r="15775" spans="1:1" x14ac:dyDescent="0.25">
      <c r="A15775" s="13"/>
    </row>
    <row r="15776" spans="1:1" x14ac:dyDescent="0.25">
      <c r="A15776" s="13"/>
    </row>
    <row r="15777" spans="1:1" x14ac:dyDescent="0.25">
      <c r="A15777" s="13"/>
    </row>
    <row r="15778" spans="1:1" x14ac:dyDescent="0.25">
      <c r="A15778" s="13"/>
    </row>
    <row r="15779" spans="1:1" x14ac:dyDescent="0.25">
      <c r="A15779" s="13"/>
    </row>
    <row r="15780" spans="1:1" x14ac:dyDescent="0.25">
      <c r="A15780" s="13"/>
    </row>
    <row r="15781" spans="1:1" x14ac:dyDescent="0.25">
      <c r="A15781" s="13"/>
    </row>
    <row r="15782" spans="1:1" x14ac:dyDescent="0.25">
      <c r="A15782" s="13"/>
    </row>
    <row r="15783" spans="1:1" x14ac:dyDescent="0.25">
      <c r="A15783" s="13"/>
    </row>
    <row r="15784" spans="1:1" x14ac:dyDescent="0.25">
      <c r="A15784" s="13"/>
    </row>
    <row r="15785" spans="1:1" x14ac:dyDescent="0.25">
      <c r="A15785" s="13"/>
    </row>
    <row r="15786" spans="1:1" x14ac:dyDescent="0.25">
      <c r="A15786" s="13"/>
    </row>
    <row r="15787" spans="1:1" x14ac:dyDescent="0.25">
      <c r="A15787" s="13"/>
    </row>
    <row r="15788" spans="1:1" x14ac:dyDescent="0.25">
      <c r="A15788" s="13"/>
    </row>
    <row r="15789" spans="1:1" x14ac:dyDescent="0.25">
      <c r="A15789" s="13"/>
    </row>
    <row r="15790" spans="1:1" x14ac:dyDescent="0.25">
      <c r="A15790" s="13"/>
    </row>
    <row r="15791" spans="1:1" x14ac:dyDescent="0.25">
      <c r="A15791" s="13"/>
    </row>
    <row r="15792" spans="1:1" x14ac:dyDescent="0.25">
      <c r="A15792" s="13"/>
    </row>
    <row r="15793" spans="1:1" x14ac:dyDescent="0.25">
      <c r="A15793" s="13"/>
    </row>
    <row r="15794" spans="1:1" x14ac:dyDescent="0.25">
      <c r="A15794" s="13"/>
    </row>
    <row r="15795" spans="1:1" x14ac:dyDescent="0.25">
      <c r="A15795" s="13"/>
    </row>
    <row r="15796" spans="1:1" x14ac:dyDescent="0.25">
      <c r="A15796" s="13"/>
    </row>
    <row r="15797" spans="1:1" x14ac:dyDescent="0.25">
      <c r="A15797" s="13"/>
    </row>
    <row r="15798" spans="1:1" x14ac:dyDescent="0.25">
      <c r="A15798" s="13"/>
    </row>
    <row r="15799" spans="1:1" x14ac:dyDescent="0.25">
      <c r="A15799" s="13"/>
    </row>
    <row r="15800" spans="1:1" x14ac:dyDescent="0.25">
      <c r="A15800" s="13"/>
    </row>
    <row r="15801" spans="1:1" x14ac:dyDescent="0.25">
      <c r="A15801" s="13"/>
    </row>
    <row r="15802" spans="1:1" x14ac:dyDescent="0.25">
      <c r="A15802" s="13"/>
    </row>
    <row r="15803" spans="1:1" x14ac:dyDescent="0.25">
      <c r="A15803" s="13"/>
    </row>
    <row r="15804" spans="1:1" x14ac:dyDescent="0.25">
      <c r="A15804" s="13"/>
    </row>
    <row r="15805" spans="1:1" x14ac:dyDescent="0.25">
      <c r="A15805" s="13"/>
    </row>
    <row r="15806" spans="1:1" x14ac:dyDescent="0.25">
      <c r="A15806" s="13"/>
    </row>
    <row r="15807" spans="1:1" x14ac:dyDescent="0.25">
      <c r="A15807" s="13"/>
    </row>
    <row r="15808" spans="1:1" x14ac:dyDescent="0.25">
      <c r="A15808" s="13"/>
    </row>
    <row r="15809" spans="1:1" x14ac:dyDescent="0.25">
      <c r="A15809" s="13"/>
    </row>
    <row r="15810" spans="1:1" x14ac:dyDescent="0.25">
      <c r="A15810" s="13"/>
    </row>
    <row r="15811" spans="1:1" x14ac:dyDescent="0.25">
      <c r="A15811" s="13"/>
    </row>
    <row r="15812" spans="1:1" x14ac:dyDescent="0.25">
      <c r="A15812" s="13"/>
    </row>
    <row r="15813" spans="1:1" x14ac:dyDescent="0.25">
      <c r="A15813" s="13"/>
    </row>
    <row r="15814" spans="1:1" x14ac:dyDescent="0.25">
      <c r="A15814" s="13"/>
    </row>
    <row r="15815" spans="1:1" x14ac:dyDescent="0.25">
      <c r="A15815" s="13"/>
    </row>
    <row r="15816" spans="1:1" x14ac:dyDescent="0.25">
      <c r="A15816" s="13"/>
    </row>
    <row r="15817" spans="1:1" x14ac:dyDescent="0.25">
      <c r="A15817" s="13"/>
    </row>
    <row r="15818" spans="1:1" x14ac:dyDescent="0.25">
      <c r="A15818" s="13"/>
    </row>
    <row r="15819" spans="1:1" x14ac:dyDescent="0.25">
      <c r="A15819" s="13"/>
    </row>
    <row r="15820" spans="1:1" x14ac:dyDescent="0.25">
      <c r="A15820" s="13"/>
    </row>
    <row r="15821" spans="1:1" x14ac:dyDescent="0.25">
      <c r="A15821" s="13"/>
    </row>
    <row r="15822" spans="1:1" x14ac:dyDescent="0.25">
      <c r="A15822" s="13"/>
    </row>
    <row r="15823" spans="1:1" x14ac:dyDescent="0.25">
      <c r="A15823" s="13"/>
    </row>
    <row r="15824" spans="1:1" x14ac:dyDescent="0.25">
      <c r="A15824" s="13"/>
    </row>
    <row r="15825" spans="1:1" x14ac:dyDescent="0.25">
      <c r="A15825" s="13"/>
    </row>
    <row r="15826" spans="1:1" x14ac:dyDescent="0.25">
      <c r="A15826" s="13"/>
    </row>
    <row r="15827" spans="1:1" x14ac:dyDescent="0.25">
      <c r="A15827" s="13"/>
    </row>
    <row r="15828" spans="1:1" x14ac:dyDescent="0.25">
      <c r="A15828" s="13"/>
    </row>
    <row r="15829" spans="1:1" x14ac:dyDescent="0.25">
      <c r="A15829" s="13"/>
    </row>
    <row r="15830" spans="1:1" x14ac:dyDescent="0.25">
      <c r="A15830" s="13"/>
    </row>
    <row r="15831" spans="1:1" x14ac:dyDescent="0.25">
      <c r="A15831" s="13"/>
    </row>
    <row r="15832" spans="1:1" x14ac:dyDescent="0.25">
      <c r="A15832" s="13"/>
    </row>
    <row r="15833" spans="1:1" x14ac:dyDescent="0.25">
      <c r="A15833" s="13"/>
    </row>
    <row r="15834" spans="1:1" x14ac:dyDescent="0.25">
      <c r="A15834" s="13"/>
    </row>
    <row r="15835" spans="1:1" x14ac:dyDescent="0.25">
      <c r="A15835" s="13"/>
    </row>
    <row r="15836" spans="1:1" x14ac:dyDescent="0.25">
      <c r="A15836" s="13"/>
    </row>
    <row r="15837" spans="1:1" x14ac:dyDescent="0.25">
      <c r="A15837" s="13"/>
    </row>
    <row r="15838" spans="1:1" x14ac:dyDescent="0.25">
      <c r="A15838" s="13"/>
    </row>
    <row r="15839" spans="1:1" x14ac:dyDescent="0.25">
      <c r="A15839" s="13"/>
    </row>
    <row r="15840" spans="1:1" x14ac:dyDescent="0.25">
      <c r="A15840" s="13"/>
    </row>
    <row r="15841" spans="1:1" x14ac:dyDescent="0.25">
      <c r="A15841" s="13"/>
    </row>
    <row r="15842" spans="1:1" x14ac:dyDescent="0.25">
      <c r="A15842" s="13"/>
    </row>
    <row r="15843" spans="1:1" x14ac:dyDescent="0.25">
      <c r="A15843" s="13"/>
    </row>
    <row r="15844" spans="1:1" x14ac:dyDescent="0.25">
      <c r="A15844" s="13"/>
    </row>
    <row r="15845" spans="1:1" x14ac:dyDescent="0.25">
      <c r="A15845" s="13"/>
    </row>
    <row r="15846" spans="1:1" x14ac:dyDescent="0.25">
      <c r="A15846" s="13"/>
    </row>
    <row r="15847" spans="1:1" x14ac:dyDescent="0.25">
      <c r="A15847" s="13"/>
    </row>
    <row r="15848" spans="1:1" x14ac:dyDescent="0.25">
      <c r="A15848" s="13"/>
    </row>
    <row r="15849" spans="1:1" x14ac:dyDescent="0.25">
      <c r="A15849" s="13"/>
    </row>
    <row r="15850" spans="1:1" x14ac:dyDescent="0.25">
      <c r="A15850" s="13"/>
    </row>
    <row r="15851" spans="1:1" x14ac:dyDescent="0.25">
      <c r="A15851" s="13"/>
    </row>
    <row r="15852" spans="1:1" x14ac:dyDescent="0.25">
      <c r="A15852" s="13"/>
    </row>
    <row r="15853" spans="1:1" x14ac:dyDescent="0.25">
      <c r="A15853" s="13"/>
    </row>
    <row r="15854" spans="1:1" x14ac:dyDescent="0.25">
      <c r="A15854" s="13"/>
    </row>
    <row r="15855" spans="1:1" x14ac:dyDescent="0.25">
      <c r="A15855" s="13"/>
    </row>
    <row r="15856" spans="1:1" x14ac:dyDescent="0.25">
      <c r="A15856" s="13"/>
    </row>
    <row r="15857" spans="1:1" x14ac:dyDescent="0.25">
      <c r="A15857" s="13"/>
    </row>
    <row r="15858" spans="1:1" x14ac:dyDescent="0.25">
      <c r="A15858" s="13"/>
    </row>
    <row r="15859" spans="1:1" x14ac:dyDescent="0.25">
      <c r="A15859" s="13"/>
    </row>
    <row r="15860" spans="1:1" x14ac:dyDescent="0.25">
      <c r="A15860" s="13"/>
    </row>
    <row r="15861" spans="1:1" x14ac:dyDescent="0.25">
      <c r="A15861" s="13"/>
    </row>
    <row r="15862" spans="1:1" x14ac:dyDescent="0.25">
      <c r="A15862" s="13"/>
    </row>
    <row r="15863" spans="1:1" x14ac:dyDescent="0.25">
      <c r="A15863" s="13"/>
    </row>
    <row r="15864" spans="1:1" x14ac:dyDescent="0.25">
      <c r="A15864" s="13"/>
    </row>
    <row r="15865" spans="1:1" x14ac:dyDescent="0.25">
      <c r="A15865" s="13"/>
    </row>
    <row r="15866" spans="1:1" x14ac:dyDescent="0.25">
      <c r="A15866" s="13"/>
    </row>
    <row r="15867" spans="1:1" x14ac:dyDescent="0.25">
      <c r="A15867" s="13"/>
    </row>
    <row r="15868" spans="1:1" x14ac:dyDescent="0.25">
      <c r="A15868" s="13"/>
    </row>
    <row r="15869" spans="1:1" x14ac:dyDescent="0.25">
      <c r="A15869" s="13"/>
    </row>
    <row r="15870" spans="1:1" x14ac:dyDescent="0.25">
      <c r="A15870" s="13"/>
    </row>
    <row r="15871" spans="1:1" x14ac:dyDescent="0.25">
      <c r="A15871" s="13"/>
    </row>
    <row r="15872" spans="1:1" x14ac:dyDescent="0.25">
      <c r="A15872" s="13"/>
    </row>
    <row r="15873" spans="1:1" x14ac:dyDescent="0.25">
      <c r="A15873" s="13"/>
    </row>
    <row r="15874" spans="1:1" x14ac:dyDescent="0.25">
      <c r="A15874" s="13"/>
    </row>
    <row r="15875" spans="1:1" x14ac:dyDescent="0.25">
      <c r="A15875" s="13"/>
    </row>
    <row r="15876" spans="1:1" x14ac:dyDescent="0.25">
      <c r="A15876" s="13"/>
    </row>
    <row r="15877" spans="1:1" x14ac:dyDescent="0.25">
      <c r="A15877" s="13"/>
    </row>
    <row r="15878" spans="1:1" x14ac:dyDescent="0.25">
      <c r="A15878" s="13"/>
    </row>
    <row r="15879" spans="1:1" x14ac:dyDescent="0.25">
      <c r="A15879" s="13"/>
    </row>
    <row r="15880" spans="1:1" x14ac:dyDescent="0.25">
      <c r="A15880" s="13"/>
    </row>
    <row r="15881" spans="1:1" x14ac:dyDescent="0.25">
      <c r="A15881" s="13"/>
    </row>
    <row r="15882" spans="1:1" x14ac:dyDescent="0.25">
      <c r="A15882" s="13"/>
    </row>
    <row r="15883" spans="1:1" x14ac:dyDescent="0.25">
      <c r="A15883" s="13"/>
    </row>
    <row r="15884" spans="1:1" x14ac:dyDescent="0.25">
      <c r="A15884" s="13"/>
    </row>
    <row r="15885" spans="1:1" x14ac:dyDescent="0.25">
      <c r="A15885" s="13"/>
    </row>
    <row r="15886" spans="1:1" x14ac:dyDescent="0.25">
      <c r="A15886" s="13"/>
    </row>
    <row r="15887" spans="1:1" x14ac:dyDescent="0.25">
      <c r="A15887" s="13"/>
    </row>
    <row r="15888" spans="1:1" x14ac:dyDescent="0.25">
      <c r="A15888" s="13"/>
    </row>
    <row r="15889" spans="1:1" x14ac:dyDescent="0.25">
      <c r="A15889" s="13"/>
    </row>
    <row r="15890" spans="1:1" x14ac:dyDescent="0.25">
      <c r="A15890" s="13"/>
    </row>
    <row r="15891" spans="1:1" x14ac:dyDescent="0.25">
      <c r="A15891" s="13"/>
    </row>
    <row r="15892" spans="1:1" x14ac:dyDescent="0.25">
      <c r="A15892" s="13"/>
    </row>
    <row r="15893" spans="1:1" x14ac:dyDescent="0.25">
      <c r="A15893" s="13"/>
    </row>
    <row r="15894" spans="1:1" x14ac:dyDescent="0.25">
      <c r="A15894" s="13"/>
    </row>
    <row r="15895" spans="1:1" x14ac:dyDescent="0.25">
      <c r="A15895" s="13"/>
    </row>
    <row r="15896" spans="1:1" x14ac:dyDescent="0.25">
      <c r="A15896" s="13"/>
    </row>
    <row r="15897" spans="1:1" x14ac:dyDescent="0.25">
      <c r="A15897" s="13"/>
    </row>
    <row r="15898" spans="1:1" x14ac:dyDescent="0.25">
      <c r="A15898" s="13"/>
    </row>
    <row r="15899" spans="1:1" x14ac:dyDescent="0.25">
      <c r="A15899" s="13"/>
    </row>
    <row r="15900" spans="1:1" x14ac:dyDescent="0.25">
      <c r="A15900" s="13"/>
    </row>
    <row r="15901" spans="1:1" x14ac:dyDescent="0.25">
      <c r="A15901" s="13"/>
    </row>
    <row r="15902" spans="1:1" x14ac:dyDescent="0.25">
      <c r="A15902" s="13"/>
    </row>
    <row r="15903" spans="1:1" x14ac:dyDescent="0.25">
      <c r="A15903" s="13"/>
    </row>
    <row r="15904" spans="1:1" x14ac:dyDescent="0.25">
      <c r="A15904" s="13"/>
    </row>
    <row r="15905" spans="1:1" x14ac:dyDescent="0.25">
      <c r="A15905" s="13"/>
    </row>
    <row r="15906" spans="1:1" x14ac:dyDescent="0.25">
      <c r="A15906" s="13"/>
    </row>
    <row r="15907" spans="1:1" x14ac:dyDescent="0.25">
      <c r="A15907" s="13"/>
    </row>
    <row r="15908" spans="1:1" x14ac:dyDescent="0.25">
      <c r="A15908" s="13"/>
    </row>
    <row r="15909" spans="1:1" x14ac:dyDescent="0.25">
      <c r="A15909" s="13"/>
    </row>
    <row r="15910" spans="1:1" x14ac:dyDescent="0.25">
      <c r="A15910" s="13"/>
    </row>
    <row r="15911" spans="1:1" x14ac:dyDescent="0.25">
      <c r="A15911" s="13"/>
    </row>
    <row r="15912" spans="1:1" x14ac:dyDescent="0.25">
      <c r="A15912" s="13"/>
    </row>
    <row r="15913" spans="1:1" x14ac:dyDescent="0.25">
      <c r="A15913" s="13"/>
    </row>
    <row r="15914" spans="1:1" x14ac:dyDescent="0.25">
      <c r="A15914" s="13"/>
    </row>
    <row r="15915" spans="1:1" x14ac:dyDescent="0.25">
      <c r="A15915" s="13"/>
    </row>
    <row r="15916" spans="1:1" x14ac:dyDescent="0.25">
      <c r="A15916" s="13"/>
    </row>
    <row r="15917" spans="1:1" x14ac:dyDescent="0.25">
      <c r="A15917" s="13"/>
    </row>
    <row r="15918" spans="1:1" x14ac:dyDescent="0.25">
      <c r="A15918" s="13"/>
    </row>
    <row r="15919" spans="1:1" x14ac:dyDescent="0.25">
      <c r="A15919" s="13"/>
    </row>
    <row r="15920" spans="1:1" x14ac:dyDescent="0.25">
      <c r="A15920" s="13"/>
    </row>
    <row r="15921" spans="1:1" x14ac:dyDescent="0.25">
      <c r="A15921" s="13"/>
    </row>
    <row r="15922" spans="1:1" x14ac:dyDescent="0.25">
      <c r="A15922" s="13"/>
    </row>
    <row r="15923" spans="1:1" x14ac:dyDescent="0.25">
      <c r="A15923" s="13"/>
    </row>
    <row r="15924" spans="1:1" x14ac:dyDescent="0.25">
      <c r="A15924" s="13"/>
    </row>
    <row r="15925" spans="1:1" x14ac:dyDescent="0.25">
      <c r="A15925" s="13"/>
    </row>
    <row r="15926" spans="1:1" x14ac:dyDescent="0.25">
      <c r="A15926" s="13"/>
    </row>
    <row r="15927" spans="1:1" x14ac:dyDescent="0.25">
      <c r="A15927" s="13"/>
    </row>
    <row r="15928" spans="1:1" x14ac:dyDescent="0.25">
      <c r="A15928" s="13"/>
    </row>
    <row r="15929" spans="1:1" x14ac:dyDescent="0.25">
      <c r="A15929" s="13"/>
    </row>
    <row r="15930" spans="1:1" x14ac:dyDescent="0.25">
      <c r="A15930" s="13"/>
    </row>
    <row r="15931" spans="1:1" x14ac:dyDescent="0.25">
      <c r="A15931" s="13"/>
    </row>
    <row r="15932" spans="1:1" x14ac:dyDescent="0.25">
      <c r="A15932" s="13"/>
    </row>
    <row r="15933" spans="1:1" x14ac:dyDescent="0.25">
      <c r="A15933" s="13"/>
    </row>
    <row r="15934" spans="1:1" x14ac:dyDescent="0.25">
      <c r="A15934" s="13"/>
    </row>
    <row r="15935" spans="1:1" x14ac:dyDescent="0.25">
      <c r="A15935" s="13"/>
    </row>
    <row r="15936" spans="1:1" x14ac:dyDescent="0.25">
      <c r="A15936" s="13"/>
    </row>
    <row r="15937" spans="1:1" x14ac:dyDescent="0.25">
      <c r="A15937" s="13"/>
    </row>
    <row r="15938" spans="1:1" x14ac:dyDescent="0.25">
      <c r="A15938" s="13"/>
    </row>
    <row r="15939" spans="1:1" x14ac:dyDescent="0.25">
      <c r="A15939" s="13"/>
    </row>
    <row r="15940" spans="1:1" x14ac:dyDescent="0.25">
      <c r="A15940" s="13"/>
    </row>
    <row r="15941" spans="1:1" x14ac:dyDescent="0.25">
      <c r="A15941" s="13"/>
    </row>
    <row r="15942" spans="1:1" x14ac:dyDescent="0.25">
      <c r="A15942" s="13"/>
    </row>
    <row r="15943" spans="1:1" x14ac:dyDescent="0.25">
      <c r="A15943" s="13"/>
    </row>
    <row r="15944" spans="1:1" x14ac:dyDescent="0.25">
      <c r="A15944" s="13"/>
    </row>
    <row r="15945" spans="1:1" x14ac:dyDescent="0.25">
      <c r="A15945" s="13"/>
    </row>
    <row r="15946" spans="1:1" x14ac:dyDescent="0.25">
      <c r="A15946" s="13"/>
    </row>
    <row r="15947" spans="1:1" x14ac:dyDescent="0.25">
      <c r="A15947" s="13"/>
    </row>
    <row r="15948" spans="1:1" x14ac:dyDescent="0.25">
      <c r="A15948" s="13"/>
    </row>
    <row r="15949" spans="1:1" x14ac:dyDescent="0.25">
      <c r="A15949" s="13"/>
    </row>
    <row r="15950" spans="1:1" x14ac:dyDescent="0.25">
      <c r="A15950" s="13"/>
    </row>
    <row r="15951" spans="1:1" x14ac:dyDescent="0.25">
      <c r="A15951" s="13"/>
    </row>
    <row r="15952" spans="1:1" x14ac:dyDescent="0.25">
      <c r="A15952" s="13"/>
    </row>
    <row r="15953" spans="1:1" x14ac:dyDescent="0.25">
      <c r="A15953" s="13"/>
    </row>
    <row r="15954" spans="1:1" x14ac:dyDescent="0.25">
      <c r="A15954" s="13"/>
    </row>
    <row r="15955" spans="1:1" x14ac:dyDescent="0.25">
      <c r="A15955" s="13"/>
    </row>
    <row r="15956" spans="1:1" x14ac:dyDescent="0.25">
      <c r="A15956" s="13"/>
    </row>
    <row r="15957" spans="1:1" x14ac:dyDescent="0.25">
      <c r="A15957" s="13"/>
    </row>
    <row r="15958" spans="1:1" x14ac:dyDescent="0.25">
      <c r="A15958" s="13"/>
    </row>
    <row r="15959" spans="1:1" x14ac:dyDescent="0.25">
      <c r="A15959" s="13"/>
    </row>
    <row r="15960" spans="1:1" x14ac:dyDescent="0.25">
      <c r="A15960" s="13"/>
    </row>
    <row r="15961" spans="1:1" x14ac:dyDescent="0.25">
      <c r="A15961" s="13"/>
    </row>
    <row r="15962" spans="1:1" x14ac:dyDescent="0.25">
      <c r="A15962" s="13"/>
    </row>
    <row r="15963" spans="1:1" x14ac:dyDescent="0.25">
      <c r="A15963" s="13"/>
    </row>
    <row r="15964" spans="1:1" x14ac:dyDescent="0.25">
      <c r="A15964" s="13"/>
    </row>
    <row r="15965" spans="1:1" x14ac:dyDescent="0.25">
      <c r="A15965" s="13"/>
    </row>
    <row r="15966" spans="1:1" x14ac:dyDescent="0.25">
      <c r="A15966" s="13"/>
    </row>
    <row r="15967" spans="1:1" x14ac:dyDescent="0.25">
      <c r="A15967" s="13"/>
    </row>
    <row r="15968" spans="1:1" x14ac:dyDescent="0.25">
      <c r="A15968" s="13"/>
    </row>
    <row r="15969" spans="1:1" x14ac:dyDescent="0.25">
      <c r="A15969" s="13"/>
    </row>
    <row r="15970" spans="1:1" x14ac:dyDescent="0.25">
      <c r="A15970" s="13"/>
    </row>
    <row r="15971" spans="1:1" x14ac:dyDescent="0.25">
      <c r="A15971" s="13"/>
    </row>
    <row r="15972" spans="1:1" x14ac:dyDescent="0.25">
      <c r="A15972" s="13"/>
    </row>
    <row r="15973" spans="1:1" x14ac:dyDescent="0.25">
      <c r="A15973" s="13"/>
    </row>
    <row r="15974" spans="1:1" x14ac:dyDescent="0.25">
      <c r="A15974" s="13"/>
    </row>
    <row r="15975" spans="1:1" x14ac:dyDescent="0.25">
      <c r="A15975" s="13"/>
    </row>
    <row r="15976" spans="1:1" x14ac:dyDescent="0.25">
      <c r="A15976" s="13"/>
    </row>
    <row r="15977" spans="1:1" x14ac:dyDescent="0.25">
      <c r="A15977" s="13"/>
    </row>
    <row r="15978" spans="1:1" x14ac:dyDescent="0.25">
      <c r="A15978" s="13"/>
    </row>
    <row r="15979" spans="1:1" x14ac:dyDescent="0.25">
      <c r="A15979" s="13"/>
    </row>
    <row r="15980" spans="1:1" x14ac:dyDescent="0.25">
      <c r="A15980" s="13"/>
    </row>
    <row r="15981" spans="1:1" x14ac:dyDescent="0.25">
      <c r="A15981" s="13"/>
    </row>
    <row r="15982" spans="1:1" x14ac:dyDescent="0.25">
      <c r="A15982" s="13"/>
    </row>
    <row r="15983" spans="1:1" x14ac:dyDescent="0.25">
      <c r="A15983" s="13"/>
    </row>
    <row r="15984" spans="1:1" x14ac:dyDescent="0.25">
      <c r="A15984" s="13"/>
    </row>
    <row r="15985" spans="1:1" x14ac:dyDescent="0.25">
      <c r="A15985" s="13"/>
    </row>
    <row r="15986" spans="1:1" x14ac:dyDescent="0.25">
      <c r="A15986" s="13"/>
    </row>
    <row r="15987" spans="1:1" x14ac:dyDescent="0.25">
      <c r="A15987" s="13"/>
    </row>
    <row r="15988" spans="1:1" x14ac:dyDescent="0.25">
      <c r="A15988" s="13"/>
    </row>
    <row r="15989" spans="1:1" x14ac:dyDescent="0.25">
      <c r="A15989" s="13"/>
    </row>
    <row r="15990" spans="1:1" x14ac:dyDescent="0.25">
      <c r="A15990" s="13"/>
    </row>
    <row r="15991" spans="1:1" x14ac:dyDescent="0.25">
      <c r="A15991" s="13"/>
    </row>
    <row r="15992" spans="1:1" x14ac:dyDescent="0.25">
      <c r="A15992" s="13"/>
    </row>
    <row r="15993" spans="1:1" x14ac:dyDescent="0.25">
      <c r="A15993" s="13"/>
    </row>
    <row r="15994" spans="1:1" x14ac:dyDescent="0.25">
      <c r="A15994" s="13"/>
    </row>
    <row r="15995" spans="1:1" x14ac:dyDescent="0.25">
      <c r="A15995" s="13"/>
    </row>
    <row r="15996" spans="1:1" x14ac:dyDescent="0.25">
      <c r="A15996" s="13"/>
    </row>
    <row r="15997" spans="1:1" x14ac:dyDescent="0.25">
      <c r="A15997" s="13"/>
    </row>
    <row r="15998" spans="1:1" x14ac:dyDescent="0.25">
      <c r="A15998" s="13"/>
    </row>
    <row r="15999" spans="1:1" x14ac:dyDescent="0.25">
      <c r="A15999" s="13"/>
    </row>
    <row r="16000" spans="1:1" x14ac:dyDescent="0.25">
      <c r="A16000" s="13"/>
    </row>
    <row r="16001" spans="1:1" x14ac:dyDescent="0.25">
      <c r="A16001" s="13"/>
    </row>
    <row r="16002" spans="1:1" x14ac:dyDescent="0.25">
      <c r="A16002" s="13"/>
    </row>
    <row r="16003" spans="1:1" x14ac:dyDescent="0.25">
      <c r="A16003" s="13"/>
    </row>
    <row r="16004" spans="1:1" x14ac:dyDescent="0.25">
      <c r="A16004" s="13"/>
    </row>
    <row r="16005" spans="1:1" x14ac:dyDescent="0.25">
      <c r="A16005" s="13"/>
    </row>
    <row r="16006" spans="1:1" x14ac:dyDescent="0.25">
      <c r="A16006" s="13"/>
    </row>
    <row r="16007" spans="1:1" x14ac:dyDescent="0.25">
      <c r="A16007" s="13"/>
    </row>
    <row r="16008" spans="1:1" x14ac:dyDescent="0.25">
      <c r="A16008" s="13"/>
    </row>
    <row r="16009" spans="1:1" x14ac:dyDescent="0.25">
      <c r="A16009" s="13"/>
    </row>
    <row r="16010" spans="1:1" x14ac:dyDescent="0.25">
      <c r="A16010" s="13"/>
    </row>
    <row r="16011" spans="1:1" x14ac:dyDescent="0.25">
      <c r="A16011" s="13"/>
    </row>
    <row r="16012" spans="1:1" x14ac:dyDescent="0.25">
      <c r="A16012" s="13"/>
    </row>
    <row r="16013" spans="1:1" x14ac:dyDescent="0.25">
      <c r="A16013" s="13"/>
    </row>
    <row r="16014" spans="1:1" x14ac:dyDescent="0.25">
      <c r="A16014" s="13"/>
    </row>
    <row r="16015" spans="1:1" x14ac:dyDescent="0.25">
      <c r="A16015" s="13"/>
    </row>
    <row r="16016" spans="1:1" x14ac:dyDescent="0.25">
      <c r="A16016" s="13"/>
    </row>
    <row r="16017" spans="1:1" x14ac:dyDescent="0.25">
      <c r="A16017" s="13"/>
    </row>
    <row r="16018" spans="1:1" x14ac:dyDescent="0.25">
      <c r="A16018" s="13"/>
    </row>
    <row r="16019" spans="1:1" x14ac:dyDescent="0.25">
      <c r="A16019" s="13"/>
    </row>
    <row r="16020" spans="1:1" x14ac:dyDescent="0.25">
      <c r="A16020" s="13"/>
    </row>
    <row r="16021" spans="1:1" x14ac:dyDescent="0.25">
      <c r="A16021" s="13"/>
    </row>
    <row r="16022" spans="1:1" x14ac:dyDescent="0.25">
      <c r="A16022" s="13"/>
    </row>
    <row r="16023" spans="1:1" x14ac:dyDescent="0.25">
      <c r="A16023" s="13"/>
    </row>
    <row r="16024" spans="1:1" x14ac:dyDescent="0.25">
      <c r="A16024" s="13"/>
    </row>
    <row r="16025" spans="1:1" x14ac:dyDescent="0.25">
      <c r="A16025" s="13"/>
    </row>
    <row r="16026" spans="1:1" x14ac:dyDescent="0.25">
      <c r="A16026" s="13"/>
    </row>
    <row r="16027" spans="1:1" x14ac:dyDescent="0.25">
      <c r="A16027" s="13"/>
    </row>
    <row r="16028" spans="1:1" x14ac:dyDescent="0.25">
      <c r="A16028" s="13"/>
    </row>
    <row r="16029" spans="1:1" x14ac:dyDescent="0.25">
      <c r="A16029" s="13"/>
    </row>
    <row r="16030" spans="1:1" x14ac:dyDescent="0.25">
      <c r="A16030" s="13"/>
    </row>
    <row r="16031" spans="1:1" x14ac:dyDescent="0.25">
      <c r="A16031" s="13"/>
    </row>
    <row r="16032" spans="1:1" x14ac:dyDescent="0.25">
      <c r="A16032" s="13"/>
    </row>
    <row r="16033" spans="1:1" x14ac:dyDescent="0.25">
      <c r="A16033" s="13"/>
    </row>
    <row r="16034" spans="1:1" x14ac:dyDescent="0.25">
      <c r="A16034" s="13"/>
    </row>
    <row r="16035" spans="1:1" x14ac:dyDescent="0.25">
      <c r="A16035" s="13"/>
    </row>
    <row r="16036" spans="1:1" x14ac:dyDescent="0.25">
      <c r="A16036" s="13"/>
    </row>
    <row r="16037" spans="1:1" x14ac:dyDescent="0.25">
      <c r="A16037" s="13"/>
    </row>
    <row r="16038" spans="1:1" x14ac:dyDescent="0.25">
      <c r="A16038" s="13"/>
    </row>
    <row r="16039" spans="1:1" x14ac:dyDescent="0.25">
      <c r="A16039" s="13"/>
    </row>
    <row r="16040" spans="1:1" x14ac:dyDescent="0.25">
      <c r="A16040" s="13"/>
    </row>
    <row r="16041" spans="1:1" x14ac:dyDescent="0.25">
      <c r="A16041" s="13"/>
    </row>
    <row r="16042" spans="1:1" x14ac:dyDescent="0.25">
      <c r="A16042" s="13"/>
    </row>
    <row r="16043" spans="1:1" x14ac:dyDescent="0.25">
      <c r="A16043" s="13"/>
    </row>
    <row r="16044" spans="1:1" x14ac:dyDescent="0.25">
      <c r="A16044" s="13"/>
    </row>
    <row r="16045" spans="1:1" x14ac:dyDescent="0.25">
      <c r="A16045" s="13"/>
    </row>
    <row r="16046" spans="1:1" x14ac:dyDescent="0.25">
      <c r="A16046" s="13"/>
    </row>
    <row r="16047" spans="1:1" x14ac:dyDescent="0.25">
      <c r="A16047" s="13"/>
    </row>
    <row r="16048" spans="1:1" x14ac:dyDescent="0.25">
      <c r="A16048" s="13"/>
    </row>
    <row r="16049" spans="1:1" x14ac:dyDescent="0.25">
      <c r="A16049" s="13"/>
    </row>
    <row r="16050" spans="1:1" x14ac:dyDescent="0.25">
      <c r="A16050" s="13"/>
    </row>
    <row r="16051" spans="1:1" x14ac:dyDescent="0.25">
      <c r="A16051" s="13"/>
    </row>
    <row r="16052" spans="1:1" x14ac:dyDescent="0.25">
      <c r="A16052" s="13"/>
    </row>
    <row r="16053" spans="1:1" x14ac:dyDescent="0.25">
      <c r="A16053" s="13"/>
    </row>
    <row r="16054" spans="1:1" x14ac:dyDescent="0.25">
      <c r="A16054" s="13"/>
    </row>
    <row r="16055" spans="1:1" x14ac:dyDescent="0.25">
      <c r="A16055" s="13"/>
    </row>
    <row r="16056" spans="1:1" x14ac:dyDescent="0.25">
      <c r="A16056" s="13"/>
    </row>
    <row r="16057" spans="1:1" x14ac:dyDescent="0.25">
      <c r="A16057" s="13"/>
    </row>
    <row r="16058" spans="1:1" x14ac:dyDescent="0.25">
      <c r="A16058" s="13"/>
    </row>
    <row r="16059" spans="1:1" x14ac:dyDescent="0.25">
      <c r="A16059" s="13"/>
    </row>
    <row r="16060" spans="1:1" x14ac:dyDescent="0.25">
      <c r="A16060" s="13"/>
    </row>
    <row r="16061" spans="1:1" x14ac:dyDescent="0.25">
      <c r="A16061" s="13"/>
    </row>
    <row r="16062" spans="1:1" x14ac:dyDescent="0.25">
      <c r="A16062" s="13"/>
    </row>
    <row r="16063" spans="1:1" x14ac:dyDescent="0.25">
      <c r="A16063" s="13"/>
    </row>
    <row r="16064" spans="1:1" x14ac:dyDescent="0.25">
      <c r="A16064" s="13"/>
    </row>
    <row r="16065" spans="1:1" x14ac:dyDescent="0.25">
      <c r="A16065" s="13"/>
    </row>
    <row r="16066" spans="1:1" x14ac:dyDescent="0.25">
      <c r="A16066" s="13"/>
    </row>
    <row r="16067" spans="1:1" x14ac:dyDescent="0.25">
      <c r="A16067" s="13"/>
    </row>
    <row r="16068" spans="1:1" x14ac:dyDescent="0.25">
      <c r="A16068" s="13"/>
    </row>
    <row r="16069" spans="1:1" x14ac:dyDescent="0.25">
      <c r="A16069" s="13"/>
    </row>
    <row r="16070" spans="1:1" x14ac:dyDescent="0.25">
      <c r="A16070" s="13"/>
    </row>
    <row r="16071" spans="1:1" x14ac:dyDescent="0.25">
      <c r="A16071" s="13"/>
    </row>
    <row r="16072" spans="1:1" x14ac:dyDescent="0.25">
      <c r="A16072" s="13"/>
    </row>
    <row r="16073" spans="1:1" x14ac:dyDescent="0.25">
      <c r="A16073" s="13"/>
    </row>
    <row r="16074" spans="1:1" x14ac:dyDescent="0.25">
      <c r="A16074" s="13"/>
    </row>
    <row r="16075" spans="1:1" x14ac:dyDescent="0.25">
      <c r="A16075" s="13"/>
    </row>
    <row r="16076" spans="1:1" x14ac:dyDescent="0.25">
      <c r="A16076" s="13"/>
    </row>
    <row r="16077" spans="1:1" x14ac:dyDescent="0.25">
      <c r="A16077" s="13"/>
    </row>
    <row r="16078" spans="1:1" x14ac:dyDescent="0.25">
      <c r="A16078" s="13"/>
    </row>
    <row r="16079" spans="1:1" x14ac:dyDescent="0.25">
      <c r="A16079" s="13"/>
    </row>
    <row r="16080" spans="1:1" x14ac:dyDescent="0.25">
      <c r="A16080" s="13"/>
    </row>
    <row r="16081" spans="1:1" x14ac:dyDescent="0.25">
      <c r="A16081" s="13"/>
    </row>
    <row r="16082" spans="1:1" x14ac:dyDescent="0.25">
      <c r="A16082" s="13"/>
    </row>
    <row r="16083" spans="1:1" x14ac:dyDescent="0.25">
      <c r="A16083" s="13"/>
    </row>
    <row r="16084" spans="1:1" x14ac:dyDescent="0.25">
      <c r="A16084" s="13"/>
    </row>
    <row r="16085" spans="1:1" x14ac:dyDescent="0.25">
      <c r="A16085" s="13"/>
    </row>
    <row r="16086" spans="1:1" x14ac:dyDescent="0.25">
      <c r="A16086" s="13"/>
    </row>
    <row r="16087" spans="1:1" x14ac:dyDescent="0.25">
      <c r="A16087" s="13"/>
    </row>
    <row r="16088" spans="1:1" x14ac:dyDescent="0.25">
      <c r="A16088" s="13"/>
    </row>
    <row r="16089" spans="1:1" x14ac:dyDescent="0.25">
      <c r="A16089" s="13"/>
    </row>
    <row r="16090" spans="1:1" x14ac:dyDescent="0.25">
      <c r="A16090" s="13"/>
    </row>
    <row r="16091" spans="1:1" x14ac:dyDescent="0.25">
      <c r="A16091" s="13"/>
    </row>
    <row r="16092" spans="1:1" x14ac:dyDescent="0.25">
      <c r="A16092" s="13"/>
    </row>
    <row r="16093" spans="1:1" x14ac:dyDescent="0.25">
      <c r="A16093" s="13"/>
    </row>
    <row r="16094" spans="1:1" x14ac:dyDescent="0.25">
      <c r="A16094" s="13"/>
    </row>
    <row r="16095" spans="1:1" x14ac:dyDescent="0.25">
      <c r="A16095" s="13"/>
    </row>
    <row r="16096" spans="1:1" x14ac:dyDescent="0.25">
      <c r="A16096" s="13"/>
    </row>
    <row r="16097" spans="1:1" x14ac:dyDescent="0.25">
      <c r="A16097" s="13"/>
    </row>
    <row r="16098" spans="1:1" x14ac:dyDescent="0.25">
      <c r="A16098" s="13"/>
    </row>
    <row r="16099" spans="1:1" x14ac:dyDescent="0.25">
      <c r="A16099" s="13"/>
    </row>
    <row r="16100" spans="1:1" x14ac:dyDescent="0.25">
      <c r="A16100" s="13"/>
    </row>
    <row r="16101" spans="1:1" x14ac:dyDescent="0.25">
      <c r="A16101" s="13"/>
    </row>
    <row r="16102" spans="1:1" x14ac:dyDescent="0.25">
      <c r="A16102" s="13"/>
    </row>
    <row r="16103" spans="1:1" x14ac:dyDescent="0.25">
      <c r="A16103" s="13"/>
    </row>
    <row r="16104" spans="1:1" x14ac:dyDescent="0.25">
      <c r="A16104" s="13"/>
    </row>
    <row r="16105" spans="1:1" x14ac:dyDescent="0.25">
      <c r="A16105" s="13"/>
    </row>
    <row r="16106" spans="1:1" x14ac:dyDescent="0.25">
      <c r="A16106" s="13"/>
    </row>
    <row r="16107" spans="1:1" x14ac:dyDescent="0.25">
      <c r="A16107" s="13"/>
    </row>
    <row r="16108" spans="1:1" x14ac:dyDescent="0.25">
      <c r="A16108" s="13"/>
    </row>
    <row r="16109" spans="1:1" x14ac:dyDescent="0.25">
      <c r="A16109" s="13"/>
    </row>
    <row r="16110" spans="1:1" x14ac:dyDescent="0.25">
      <c r="A16110" s="13"/>
    </row>
    <row r="16111" spans="1:1" x14ac:dyDescent="0.25">
      <c r="A16111" s="13"/>
    </row>
    <row r="16112" spans="1:1" x14ac:dyDescent="0.25">
      <c r="A16112" s="13"/>
    </row>
    <row r="16113" spans="1:1" x14ac:dyDescent="0.25">
      <c r="A16113" s="13"/>
    </row>
    <row r="16114" spans="1:1" x14ac:dyDescent="0.25">
      <c r="A16114" s="13"/>
    </row>
    <row r="16115" spans="1:1" x14ac:dyDescent="0.25">
      <c r="A16115" s="13"/>
    </row>
    <row r="16116" spans="1:1" x14ac:dyDescent="0.25">
      <c r="A16116" s="13"/>
    </row>
    <row r="16117" spans="1:1" x14ac:dyDescent="0.25">
      <c r="A16117" s="13"/>
    </row>
    <row r="16118" spans="1:1" x14ac:dyDescent="0.25">
      <c r="A16118" s="13"/>
    </row>
    <row r="16119" spans="1:1" x14ac:dyDescent="0.25">
      <c r="A16119" s="13"/>
    </row>
    <row r="16120" spans="1:1" x14ac:dyDescent="0.25">
      <c r="A16120" s="13"/>
    </row>
    <row r="16121" spans="1:1" x14ac:dyDescent="0.25">
      <c r="A16121" s="13"/>
    </row>
    <row r="16122" spans="1:1" x14ac:dyDescent="0.25">
      <c r="A16122" s="13"/>
    </row>
    <row r="16123" spans="1:1" x14ac:dyDescent="0.25">
      <c r="A16123" s="13"/>
    </row>
    <row r="16124" spans="1:1" x14ac:dyDescent="0.25">
      <c r="A16124" s="13"/>
    </row>
    <row r="16125" spans="1:1" x14ac:dyDescent="0.25">
      <c r="A16125" s="13"/>
    </row>
    <row r="16126" spans="1:1" x14ac:dyDescent="0.25">
      <c r="A16126" s="13"/>
    </row>
    <row r="16127" spans="1:1" x14ac:dyDescent="0.25">
      <c r="A16127" s="13"/>
    </row>
    <row r="16128" spans="1:1" x14ac:dyDescent="0.25">
      <c r="A16128" s="13"/>
    </row>
    <row r="16129" spans="1:1" x14ac:dyDescent="0.25">
      <c r="A16129" s="13"/>
    </row>
    <row r="16130" spans="1:1" x14ac:dyDescent="0.25">
      <c r="A16130" s="13"/>
    </row>
    <row r="16131" spans="1:1" x14ac:dyDescent="0.25">
      <c r="A16131" s="13"/>
    </row>
    <row r="16132" spans="1:1" x14ac:dyDescent="0.25">
      <c r="A16132" s="13"/>
    </row>
    <row r="16133" spans="1:1" x14ac:dyDescent="0.25">
      <c r="A16133" s="13"/>
    </row>
    <row r="16134" spans="1:1" x14ac:dyDescent="0.25">
      <c r="A16134" s="13"/>
    </row>
    <row r="16135" spans="1:1" x14ac:dyDescent="0.25">
      <c r="A16135" s="13"/>
    </row>
    <row r="16136" spans="1:1" x14ac:dyDescent="0.25">
      <c r="A16136" s="13"/>
    </row>
    <row r="16137" spans="1:1" x14ac:dyDescent="0.25">
      <c r="A16137" s="13"/>
    </row>
    <row r="16138" spans="1:1" x14ac:dyDescent="0.25">
      <c r="A16138" s="13"/>
    </row>
    <row r="16139" spans="1:1" x14ac:dyDescent="0.25">
      <c r="A16139" s="13"/>
    </row>
    <row r="16140" spans="1:1" x14ac:dyDescent="0.25">
      <c r="A16140" s="13"/>
    </row>
    <row r="16141" spans="1:1" x14ac:dyDescent="0.25">
      <c r="A16141" s="13"/>
    </row>
    <row r="16142" spans="1:1" x14ac:dyDescent="0.25">
      <c r="A16142" s="13"/>
    </row>
    <row r="16143" spans="1:1" x14ac:dyDescent="0.25">
      <c r="A16143" s="13"/>
    </row>
    <row r="16144" spans="1:1" x14ac:dyDescent="0.25">
      <c r="A16144" s="13"/>
    </row>
    <row r="16145" spans="1:1" x14ac:dyDescent="0.25">
      <c r="A16145" s="13"/>
    </row>
    <row r="16146" spans="1:1" x14ac:dyDescent="0.25">
      <c r="A16146" s="13"/>
    </row>
    <row r="16147" spans="1:1" x14ac:dyDescent="0.25">
      <c r="A16147" s="13"/>
    </row>
    <row r="16148" spans="1:1" x14ac:dyDescent="0.25">
      <c r="A16148" s="13"/>
    </row>
    <row r="16149" spans="1:1" x14ac:dyDescent="0.25">
      <c r="A16149" s="13"/>
    </row>
    <row r="16150" spans="1:1" x14ac:dyDescent="0.25">
      <c r="A16150" s="13"/>
    </row>
    <row r="16151" spans="1:1" x14ac:dyDescent="0.25">
      <c r="A16151" s="13"/>
    </row>
    <row r="16152" spans="1:1" x14ac:dyDescent="0.25">
      <c r="A16152" s="13"/>
    </row>
    <row r="16153" spans="1:1" x14ac:dyDescent="0.25">
      <c r="A16153" s="13"/>
    </row>
    <row r="16154" spans="1:1" x14ac:dyDescent="0.25">
      <c r="A16154" s="13"/>
    </row>
    <row r="16155" spans="1:1" x14ac:dyDescent="0.25">
      <c r="A16155" s="13"/>
    </row>
    <row r="16156" spans="1:1" x14ac:dyDescent="0.25">
      <c r="A16156" s="13"/>
    </row>
    <row r="16157" spans="1:1" x14ac:dyDescent="0.25">
      <c r="A16157" s="13"/>
    </row>
    <row r="16158" spans="1:1" x14ac:dyDescent="0.25">
      <c r="A16158" s="13"/>
    </row>
    <row r="16159" spans="1:1" x14ac:dyDescent="0.25">
      <c r="A16159" s="13"/>
    </row>
    <row r="16160" spans="1:1" x14ac:dyDescent="0.25">
      <c r="A16160" s="13"/>
    </row>
    <row r="16161" spans="1:1" x14ac:dyDescent="0.25">
      <c r="A16161" s="13"/>
    </row>
    <row r="16162" spans="1:1" x14ac:dyDescent="0.25">
      <c r="A16162" s="13"/>
    </row>
    <row r="16163" spans="1:1" x14ac:dyDescent="0.25">
      <c r="A16163" s="13"/>
    </row>
    <row r="16164" spans="1:1" x14ac:dyDescent="0.25">
      <c r="A16164" s="13"/>
    </row>
    <row r="16165" spans="1:1" x14ac:dyDescent="0.25">
      <c r="A16165" s="13"/>
    </row>
    <row r="16166" spans="1:1" x14ac:dyDescent="0.25">
      <c r="A16166" s="13"/>
    </row>
    <row r="16167" spans="1:1" x14ac:dyDescent="0.25">
      <c r="A16167" s="13"/>
    </row>
    <row r="16168" spans="1:1" x14ac:dyDescent="0.25">
      <c r="A16168" s="13"/>
    </row>
    <row r="16169" spans="1:1" x14ac:dyDescent="0.25">
      <c r="A16169" s="13"/>
    </row>
    <row r="16170" spans="1:1" x14ac:dyDescent="0.25">
      <c r="A16170" s="13"/>
    </row>
    <row r="16171" spans="1:1" x14ac:dyDescent="0.25">
      <c r="A16171" s="13"/>
    </row>
    <row r="16172" spans="1:1" x14ac:dyDescent="0.25">
      <c r="A16172" s="13"/>
    </row>
    <row r="16173" spans="1:1" x14ac:dyDescent="0.25">
      <c r="A16173" s="13"/>
    </row>
    <row r="16174" spans="1:1" x14ac:dyDescent="0.25">
      <c r="A16174" s="13"/>
    </row>
    <row r="16175" spans="1:1" x14ac:dyDescent="0.25">
      <c r="A16175" s="13"/>
    </row>
    <row r="16176" spans="1:1" x14ac:dyDescent="0.25">
      <c r="A16176" s="13"/>
    </row>
    <row r="16177" spans="1:1" x14ac:dyDescent="0.25">
      <c r="A16177" s="13"/>
    </row>
    <row r="16178" spans="1:1" x14ac:dyDescent="0.25">
      <c r="A16178" s="13"/>
    </row>
    <row r="16179" spans="1:1" x14ac:dyDescent="0.25">
      <c r="A16179" s="13"/>
    </row>
    <row r="16180" spans="1:1" x14ac:dyDescent="0.25">
      <c r="A16180" s="13"/>
    </row>
    <row r="16181" spans="1:1" x14ac:dyDescent="0.25">
      <c r="A16181" s="13"/>
    </row>
    <row r="16182" spans="1:1" x14ac:dyDescent="0.25">
      <c r="A16182" s="13"/>
    </row>
    <row r="16183" spans="1:1" x14ac:dyDescent="0.25">
      <c r="A16183" s="13"/>
    </row>
    <row r="16184" spans="1:1" x14ac:dyDescent="0.25">
      <c r="A16184" s="13"/>
    </row>
    <row r="16185" spans="1:1" x14ac:dyDescent="0.25">
      <c r="A16185" s="13"/>
    </row>
    <row r="16186" spans="1:1" x14ac:dyDescent="0.25">
      <c r="A16186" s="13"/>
    </row>
    <row r="16187" spans="1:1" x14ac:dyDescent="0.25">
      <c r="A16187" s="13"/>
    </row>
    <row r="16188" spans="1:1" x14ac:dyDescent="0.25">
      <c r="A16188" s="13"/>
    </row>
    <row r="16189" spans="1:1" x14ac:dyDescent="0.25">
      <c r="A16189" s="13"/>
    </row>
    <row r="16190" spans="1:1" x14ac:dyDescent="0.25">
      <c r="A16190" s="13"/>
    </row>
    <row r="16191" spans="1:1" x14ac:dyDescent="0.25">
      <c r="A16191" s="13"/>
    </row>
    <row r="16192" spans="1:1" x14ac:dyDescent="0.25">
      <c r="A16192" s="13"/>
    </row>
    <row r="16193" spans="1:1" x14ac:dyDescent="0.25">
      <c r="A16193" s="13"/>
    </row>
    <row r="16194" spans="1:1" x14ac:dyDescent="0.25">
      <c r="A16194" s="13"/>
    </row>
    <row r="16195" spans="1:1" x14ac:dyDescent="0.25">
      <c r="A16195" s="13"/>
    </row>
    <row r="16196" spans="1:1" x14ac:dyDescent="0.25">
      <c r="A16196" s="13"/>
    </row>
    <row r="16197" spans="1:1" x14ac:dyDescent="0.25">
      <c r="A16197" s="13"/>
    </row>
    <row r="16198" spans="1:1" x14ac:dyDescent="0.25">
      <c r="A16198" s="13"/>
    </row>
    <row r="16199" spans="1:1" x14ac:dyDescent="0.25">
      <c r="A16199" s="13"/>
    </row>
    <row r="16200" spans="1:1" x14ac:dyDescent="0.25">
      <c r="A16200" s="13"/>
    </row>
    <row r="16201" spans="1:1" x14ac:dyDescent="0.25">
      <c r="A16201" s="13"/>
    </row>
    <row r="16202" spans="1:1" x14ac:dyDescent="0.25">
      <c r="A16202" s="13"/>
    </row>
    <row r="16203" spans="1:1" x14ac:dyDescent="0.25">
      <c r="A16203" s="13"/>
    </row>
    <row r="16204" spans="1:1" x14ac:dyDescent="0.25">
      <c r="A16204" s="13"/>
    </row>
    <row r="16205" spans="1:1" x14ac:dyDescent="0.25">
      <c r="A16205" s="13"/>
    </row>
    <row r="16206" spans="1:1" x14ac:dyDescent="0.25">
      <c r="A16206" s="13"/>
    </row>
    <row r="16207" spans="1:1" x14ac:dyDescent="0.25">
      <c r="A16207" s="13"/>
    </row>
    <row r="16208" spans="1:1" x14ac:dyDescent="0.25">
      <c r="A16208" s="13"/>
    </row>
    <row r="16209" spans="1:1" x14ac:dyDescent="0.25">
      <c r="A16209" s="13"/>
    </row>
    <row r="16210" spans="1:1" x14ac:dyDescent="0.25">
      <c r="A16210" s="13"/>
    </row>
    <row r="16211" spans="1:1" x14ac:dyDescent="0.25">
      <c r="A16211" s="13"/>
    </row>
    <row r="16212" spans="1:1" x14ac:dyDescent="0.25">
      <c r="A16212" s="13"/>
    </row>
    <row r="16213" spans="1:1" x14ac:dyDescent="0.25">
      <c r="A16213" s="13"/>
    </row>
    <row r="16214" spans="1:1" x14ac:dyDescent="0.25">
      <c r="A16214" s="13"/>
    </row>
    <row r="16215" spans="1:1" x14ac:dyDescent="0.25">
      <c r="A16215" s="13"/>
    </row>
    <row r="16216" spans="1:1" x14ac:dyDescent="0.25">
      <c r="A16216" s="13"/>
    </row>
    <row r="16217" spans="1:1" x14ac:dyDescent="0.25">
      <c r="A16217" s="13"/>
    </row>
    <row r="16218" spans="1:1" x14ac:dyDescent="0.25">
      <c r="A16218" s="13"/>
    </row>
    <row r="16219" spans="1:1" x14ac:dyDescent="0.25">
      <c r="A16219" s="13"/>
    </row>
    <row r="16220" spans="1:1" x14ac:dyDescent="0.25">
      <c r="A16220" s="13"/>
    </row>
    <row r="16221" spans="1:1" x14ac:dyDescent="0.25">
      <c r="A16221" s="13"/>
    </row>
    <row r="16222" spans="1:1" x14ac:dyDescent="0.25">
      <c r="A16222" s="13"/>
    </row>
    <row r="16223" spans="1:1" x14ac:dyDescent="0.25">
      <c r="A16223" s="13"/>
    </row>
    <row r="16224" spans="1:1" x14ac:dyDescent="0.25">
      <c r="A16224" s="13"/>
    </row>
    <row r="16225" spans="1:1" x14ac:dyDescent="0.25">
      <c r="A16225" s="13"/>
    </row>
    <row r="16226" spans="1:1" x14ac:dyDescent="0.25">
      <c r="A16226" s="13"/>
    </row>
    <row r="16227" spans="1:1" x14ac:dyDescent="0.25">
      <c r="A16227" s="13"/>
    </row>
    <row r="16228" spans="1:1" x14ac:dyDescent="0.25">
      <c r="A16228" s="13"/>
    </row>
    <row r="16229" spans="1:1" x14ac:dyDescent="0.25">
      <c r="A16229" s="13"/>
    </row>
    <row r="16230" spans="1:1" x14ac:dyDescent="0.25">
      <c r="A16230" s="13"/>
    </row>
    <row r="16231" spans="1:1" x14ac:dyDescent="0.25">
      <c r="A16231" s="13"/>
    </row>
    <row r="16232" spans="1:1" x14ac:dyDescent="0.25">
      <c r="A16232" s="13"/>
    </row>
    <row r="16233" spans="1:1" x14ac:dyDescent="0.25">
      <c r="A16233" s="13"/>
    </row>
    <row r="16234" spans="1:1" x14ac:dyDescent="0.25">
      <c r="A16234" s="13"/>
    </row>
    <row r="16235" spans="1:1" x14ac:dyDescent="0.25">
      <c r="A16235" s="13"/>
    </row>
    <row r="16236" spans="1:1" x14ac:dyDescent="0.25">
      <c r="A16236" s="13"/>
    </row>
    <row r="16237" spans="1:1" x14ac:dyDescent="0.25">
      <c r="A16237" s="13"/>
    </row>
    <row r="16238" spans="1:1" x14ac:dyDescent="0.25">
      <c r="A16238" s="13"/>
    </row>
    <row r="16239" spans="1:1" x14ac:dyDescent="0.25">
      <c r="A16239" s="13"/>
    </row>
    <row r="16240" spans="1:1" x14ac:dyDescent="0.25">
      <c r="A16240" s="13"/>
    </row>
    <row r="16241" spans="1:1" x14ac:dyDescent="0.25">
      <c r="A16241" s="13"/>
    </row>
    <row r="16242" spans="1:1" x14ac:dyDescent="0.25">
      <c r="A16242" s="13"/>
    </row>
    <row r="16243" spans="1:1" x14ac:dyDescent="0.25">
      <c r="A16243" s="13"/>
    </row>
    <row r="16244" spans="1:1" x14ac:dyDescent="0.25">
      <c r="A16244" s="13"/>
    </row>
    <row r="16245" spans="1:1" x14ac:dyDescent="0.25">
      <c r="A16245" s="13"/>
    </row>
    <row r="16246" spans="1:1" x14ac:dyDescent="0.25">
      <c r="A16246" s="13"/>
    </row>
    <row r="16247" spans="1:1" x14ac:dyDescent="0.25">
      <c r="A16247" s="13"/>
    </row>
    <row r="16248" spans="1:1" x14ac:dyDescent="0.25">
      <c r="A16248" s="13"/>
    </row>
    <row r="16249" spans="1:1" x14ac:dyDescent="0.25">
      <c r="A16249" s="13"/>
    </row>
    <row r="16250" spans="1:1" x14ac:dyDescent="0.25">
      <c r="A16250" s="13"/>
    </row>
    <row r="16251" spans="1:1" x14ac:dyDescent="0.25">
      <c r="A16251" s="13"/>
    </row>
    <row r="16252" spans="1:1" x14ac:dyDescent="0.25">
      <c r="A16252" s="13"/>
    </row>
    <row r="16253" spans="1:1" x14ac:dyDescent="0.25">
      <c r="A16253" s="13"/>
    </row>
    <row r="16254" spans="1:1" x14ac:dyDescent="0.25">
      <c r="A16254" s="13"/>
    </row>
    <row r="16255" spans="1:1" x14ac:dyDescent="0.25">
      <c r="A16255" s="13"/>
    </row>
    <row r="16256" spans="1:1" x14ac:dyDescent="0.25">
      <c r="A16256" s="13"/>
    </row>
    <row r="16257" spans="1:1" x14ac:dyDescent="0.25">
      <c r="A16257" s="13"/>
    </row>
    <row r="16258" spans="1:1" x14ac:dyDescent="0.25">
      <c r="A16258" s="13"/>
    </row>
    <row r="16259" spans="1:1" x14ac:dyDescent="0.25">
      <c r="A16259" s="13"/>
    </row>
    <row r="16260" spans="1:1" x14ac:dyDescent="0.25">
      <c r="A16260" s="13"/>
    </row>
    <row r="16261" spans="1:1" x14ac:dyDescent="0.25">
      <c r="A16261" s="13"/>
    </row>
    <row r="16262" spans="1:1" x14ac:dyDescent="0.25">
      <c r="A16262" s="13"/>
    </row>
    <row r="16263" spans="1:1" x14ac:dyDescent="0.25">
      <c r="A16263" s="13"/>
    </row>
    <row r="16264" spans="1:1" x14ac:dyDescent="0.25">
      <c r="A16264" s="13"/>
    </row>
    <row r="16265" spans="1:1" x14ac:dyDescent="0.25">
      <c r="A16265" s="13"/>
    </row>
    <row r="16266" spans="1:1" x14ac:dyDescent="0.25">
      <c r="A16266" s="13"/>
    </row>
    <row r="16267" spans="1:1" x14ac:dyDescent="0.25">
      <c r="A16267" s="13"/>
    </row>
    <row r="16268" spans="1:1" x14ac:dyDescent="0.25">
      <c r="A16268" s="13"/>
    </row>
    <row r="16269" spans="1:1" x14ac:dyDescent="0.25">
      <c r="A16269" s="13"/>
    </row>
    <row r="16270" spans="1:1" x14ac:dyDescent="0.25">
      <c r="A16270" s="13"/>
    </row>
    <row r="16271" spans="1:1" x14ac:dyDescent="0.25">
      <c r="A16271" s="13"/>
    </row>
    <row r="16272" spans="1:1" x14ac:dyDescent="0.25">
      <c r="A16272" s="13"/>
    </row>
    <row r="16273" spans="1:1" x14ac:dyDescent="0.25">
      <c r="A16273" s="13"/>
    </row>
    <row r="16274" spans="1:1" x14ac:dyDescent="0.25">
      <c r="A16274" s="13"/>
    </row>
    <row r="16275" spans="1:1" x14ac:dyDescent="0.25">
      <c r="A16275" s="13"/>
    </row>
    <row r="16276" spans="1:1" x14ac:dyDescent="0.25">
      <c r="A16276" s="13"/>
    </row>
    <row r="16277" spans="1:1" x14ac:dyDescent="0.25">
      <c r="A16277" s="13"/>
    </row>
    <row r="16278" spans="1:1" x14ac:dyDescent="0.25">
      <c r="A16278" s="13"/>
    </row>
    <row r="16279" spans="1:1" x14ac:dyDescent="0.25">
      <c r="A16279" s="13"/>
    </row>
    <row r="16280" spans="1:1" x14ac:dyDescent="0.25">
      <c r="A16280" s="13"/>
    </row>
    <row r="16281" spans="1:1" x14ac:dyDescent="0.25">
      <c r="A16281" s="13"/>
    </row>
    <row r="16282" spans="1:1" x14ac:dyDescent="0.25">
      <c r="A16282" s="13"/>
    </row>
    <row r="16283" spans="1:1" x14ac:dyDescent="0.25">
      <c r="A16283" s="13"/>
    </row>
    <row r="16284" spans="1:1" x14ac:dyDescent="0.25">
      <c r="A16284" s="13"/>
    </row>
    <row r="16285" spans="1:1" x14ac:dyDescent="0.25">
      <c r="A16285" s="13"/>
    </row>
    <row r="16286" spans="1:1" x14ac:dyDescent="0.25">
      <c r="A16286" s="13"/>
    </row>
    <row r="16287" spans="1:1" x14ac:dyDescent="0.25">
      <c r="A16287" s="13"/>
    </row>
    <row r="16288" spans="1:1" x14ac:dyDescent="0.25">
      <c r="A16288" s="13"/>
    </row>
    <row r="16289" spans="1:1" x14ac:dyDescent="0.25">
      <c r="A16289" s="13"/>
    </row>
    <row r="16290" spans="1:1" x14ac:dyDescent="0.25">
      <c r="A16290" s="13"/>
    </row>
    <row r="16291" spans="1:1" x14ac:dyDescent="0.25">
      <c r="A16291" s="13"/>
    </row>
    <row r="16292" spans="1:1" x14ac:dyDescent="0.25">
      <c r="A16292" s="13"/>
    </row>
    <row r="16293" spans="1:1" x14ac:dyDescent="0.25">
      <c r="A16293" s="13"/>
    </row>
    <row r="16294" spans="1:1" x14ac:dyDescent="0.25">
      <c r="A16294" s="13"/>
    </row>
    <row r="16295" spans="1:1" x14ac:dyDescent="0.25">
      <c r="A16295" s="13"/>
    </row>
    <row r="16296" spans="1:1" x14ac:dyDescent="0.25">
      <c r="A16296" s="13"/>
    </row>
    <row r="16297" spans="1:1" x14ac:dyDescent="0.25">
      <c r="A16297" s="13"/>
    </row>
    <row r="16298" spans="1:1" x14ac:dyDescent="0.25">
      <c r="A16298" s="13"/>
    </row>
    <row r="16299" spans="1:1" x14ac:dyDescent="0.25">
      <c r="A16299" s="13"/>
    </row>
    <row r="16300" spans="1:1" x14ac:dyDescent="0.25">
      <c r="A16300" s="13"/>
    </row>
    <row r="16301" spans="1:1" x14ac:dyDescent="0.25">
      <c r="A16301" s="13"/>
    </row>
    <row r="16302" spans="1:1" x14ac:dyDescent="0.25">
      <c r="A16302" s="13"/>
    </row>
    <row r="16303" spans="1:1" x14ac:dyDescent="0.25">
      <c r="A16303" s="13"/>
    </row>
    <row r="16304" spans="1:1" x14ac:dyDescent="0.25">
      <c r="A16304" s="13"/>
    </row>
    <row r="16305" spans="1:1" x14ac:dyDescent="0.25">
      <c r="A16305" s="13"/>
    </row>
    <row r="16306" spans="1:1" x14ac:dyDescent="0.25">
      <c r="A16306" s="13"/>
    </row>
    <row r="16307" spans="1:1" x14ac:dyDescent="0.25">
      <c r="A16307" s="13"/>
    </row>
    <row r="16308" spans="1:1" x14ac:dyDescent="0.25">
      <c r="A16308" s="13"/>
    </row>
    <row r="16309" spans="1:1" x14ac:dyDescent="0.25">
      <c r="A16309" s="13"/>
    </row>
    <row r="16310" spans="1:1" x14ac:dyDescent="0.25">
      <c r="A16310" s="13"/>
    </row>
    <row r="16311" spans="1:1" x14ac:dyDescent="0.25">
      <c r="A16311" s="13"/>
    </row>
    <row r="16312" spans="1:1" x14ac:dyDescent="0.25">
      <c r="A16312" s="13"/>
    </row>
    <row r="16313" spans="1:1" x14ac:dyDescent="0.25">
      <c r="A16313" s="13"/>
    </row>
    <row r="16314" spans="1:1" x14ac:dyDescent="0.25">
      <c r="A16314" s="13"/>
    </row>
    <row r="16315" spans="1:1" x14ac:dyDescent="0.25">
      <c r="A16315" s="13"/>
    </row>
    <row r="16316" spans="1:1" x14ac:dyDescent="0.25">
      <c r="A16316" s="13"/>
    </row>
    <row r="16317" spans="1:1" x14ac:dyDescent="0.25">
      <c r="A16317" s="13"/>
    </row>
    <row r="16318" spans="1:1" x14ac:dyDescent="0.25">
      <c r="A16318" s="13"/>
    </row>
    <row r="16319" spans="1:1" x14ac:dyDescent="0.25">
      <c r="A16319" s="13"/>
    </row>
    <row r="16320" spans="1:1" x14ac:dyDescent="0.25">
      <c r="A16320" s="13"/>
    </row>
    <row r="16321" spans="1:1" x14ac:dyDescent="0.25">
      <c r="A16321" s="13"/>
    </row>
    <row r="16322" spans="1:1" x14ac:dyDescent="0.25">
      <c r="A16322" s="13"/>
    </row>
    <row r="16323" spans="1:1" x14ac:dyDescent="0.25">
      <c r="A16323" s="13"/>
    </row>
    <row r="16324" spans="1:1" x14ac:dyDescent="0.25">
      <c r="A16324" s="13"/>
    </row>
    <row r="16325" spans="1:1" x14ac:dyDescent="0.25">
      <c r="A16325" s="13"/>
    </row>
    <row r="16326" spans="1:1" x14ac:dyDescent="0.25">
      <c r="A16326" s="13"/>
    </row>
    <row r="16327" spans="1:1" x14ac:dyDescent="0.25">
      <c r="A16327" s="13"/>
    </row>
    <row r="16328" spans="1:1" x14ac:dyDescent="0.25">
      <c r="A16328" s="13"/>
    </row>
    <row r="16329" spans="1:1" x14ac:dyDescent="0.25">
      <c r="A16329" s="13"/>
    </row>
    <row r="16330" spans="1:1" x14ac:dyDescent="0.25">
      <c r="A16330" s="13"/>
    </row>
    <row r="16331" spans="1:1" x14ac:dyDescent="0.25">
      <c r="A16331" s="13"/>
    </row>
    <row r="16332" spans="1:1" x14ac:dyDescent="0.25">
      <c r="A16332" s="13"/>
    </row>
    <row r="16333" spans="1:1" x14ac:dyDescent="0.25">
      <c r="A16333" s="13"/>
    </row>
    <row r="16334" spans="1:1" x14ac:dyDescent="0.25">
      <c r="A16334" s="13"/>
    </row>
    <row r="16335" spans="1:1" x14ac:dyDescent="0.25">
      <c r="A16335" s="13"/>
    </row>
    <row r="16336" spans="1:1" x14ac:dyDescent="0.25">
      <c r="A16336" s="13"/>
    </row>
    <row r="16337" spans="1:1" x14ac:dyDescent="0.25">
      <c r="A16337" s="13"/>
    </row>
    <row r="16338" spans="1:1" x14ac:dyDescent="0.25">
      <c r="A16338" s="13"/>
    </row>
    <row r="16339" spans="1:1" x14ac:dyDescent="0.25">
      <c r="A16339" s="13"/>
    </row>
    <row r="16340" spans="1:1" x14ac:dyDescent="0.25">
      <c r="A16340" s="13"/>
    </row>
    <row r="16341" spans="1:1" x14ac:dyDescent="0.25">
      <c r="A16341" s="13"/>
    </row>
    <row r="16342" spans="1:1" x14ac:dyDescent="0.25">
      <c r="A16342" s="13"/>
    </row>
    <row r="16343" spans="1:1" x14ac:dyDescent="0.25">
      <c r="A16343" s="13"/>
    </row>
    <row r="16344" spans="1:1" x14ac:dyDescent="0.25">
      <c r="A16344" s="13"/>
    </row>
    <row r="16345" spans="1:1" x14ac:dyDescent="0.25">
      <c r="A16345" s="13"/>
    </row>
    <row r="16346" spans="1:1" x14ac:dyDescent="0.25">
      <c r="A16346" s="13"/>
    </row>
    <row r="16347" spans="1:1" x14ac:dyDescent="0.25">
      <c r="A16347" s="13"/>
    </row>
    <row r="16348" spans="1:1" x14ac:dyDescent="0.25">
      <c r="A16348" s="13"/>
    </row>
    <row r="16349" spans="1:1" x14ac:dyDescent="0.25">
      <c r="A16349" s="13"/>
    </row>
    <row r="16350" spans="1:1" x14ac:dyDescent="0.25">
      <c r="A16350" s="13"/>
    </row>
    <row r="16351" spans="1:1" x14ac:dyDescent="0.25">
      <c r="A16351" s="13"/>
    </row>
    <row r="16352" spans="1:1" x14ac:dyDescent="0.25">
      <c r="A16352" s="13"/>
    </row>
    <row r="16353" spans="1:1" x14ac:dyDescent="0.25">
      <c r="A16353" s="13"/>
    </row>
    <row r="16354" spans="1:1" x14ac:dyDescent="0.25">
      <c r="A16354" s="13"/>
    </row>
    <row r="16355" spans="1:1" x14ac:dyDescent="0.25">
      <c r="A16355" s="13"/>
    </row>
    <row r="16356" spans="1:1" x14ac:dyDescent="0.25">
      <c r="A16356" s="13"/>
    </row>
    <row r="16357" spans="1:1" x14ac:dyDescent="0.25">
      <c r="A16357" s="13"/>
    </row>
    <row r="16358" spans="1:1" x14ac:dyDescent="0.25">
      <c r="A16358" s="13"/>
    </row>
    <row r="16359" spans="1:1" x14ac:dyDescent="0.25">
      <c r="A16359" s="13"/>
    </row>
    <row r="16360" spans="1:1" x14ac:dyDescent="0.25">
      <c r="A16360" s="13"/>
    </row>
    <row r="16361" spans="1:1" x14ac:dyDescent="0.25">
      <c r="A16361" s="13"/>
    </row>
    <row r="16362" spans="1:1" x14ac:dyDescent="0.25">
      <c r="A16362" s="13"/>
    </row>
    <row r="16363" spans="1:1" x14ac:dyDescent="0.25">
      <c r="A16363" s="13"/>
    </row>
    <row r="16364" spans="1:1" x14ac:dyDescent="0.25">
      <c r="A16364" s="13"/>
    </row>
    <row r="16365" spans="1:1" x14ac:dyDescent="0.25">
      <c r="A16365" s="13"/>
    </row>
    <row r="16366" spans="1:1" x14ac:dyDescent="0.25">
      <c r="A16366" s="13"/>
    </row>
    <row r="16367" spans="1:1" x14ac:dyDescent="0.25">
      <c r="A16367" s="13"/>
    </row>
    <row r="16368" spans="1:1" x14ac:dyDescent="0.25">
      <c r="A16368" s="13"/>
    </row>
    <row r="16369" spans="1:1" x14ac:dyDescent="0.25">
      <c r="A16369" s="13"/>
    </row>
    <row r="16370" spans="1:1" x14ac:dyDescent="0.25">
      <c r="A16370" s="13"/>
    </row>
    <row r="16371" spans="1:1" x14ac:dyDescent="0.25">
      <c r="A16371" s="13"/>
    </row>
    <row r="16372" spans="1:1" x14ac:dyDescent="0.25">
      <c r="A16372" s="13"/>
    </row>
    <row r="16373" spans="1:1" x14ac:dyDescent="0.25">
      <c r="A16373" s="13"/>
    </row>
    <row r="16374" spans="1:1" x14ac:dyDescent="0.25">
      <c r="A16374" s="13"/>
    </row>
    <row r="16375" spans="1:1" x14ac:dyDescent="0.25">
      <c r="A16375" s="13"/>
    </row>
    <row r="16376" spans="1:1" x14ac:dyDescent="0.25">
      <c r="A16376" s="13"/>
    </row>
    <row r="16377" spans="1:1" x14ac:dyDescent="0.25">
      <c r="A16377" s="13"/>
    </row>
    <row r="16378" spans="1:1" x14ac:dyDescent="0.25">
      <c r="A16378" s="13"/>
    </row>
    <row r="16379" spans="1:1" x14ac:dyDescent="0.25">
      <c r="A16379" s="13"/>
    </row>
    <row r="16380" spans="1:1" x14ac:dyDescent="0.25">
      <c r="A16380" s="13"/>
    </row>
    <row r="16381" spans="1:1" x14ac:dyDescent="0.25">
      <c r="A16381" s="13"/>
    </row>
    <row r="16382" spans="1:1" x14ac:dyDescent="0.25">
      <c r="A16382" s="13"/>
    </row>
    <row r="16383" spans="1:1" x14ac:dyDescent="0.25">
      <c r="A16383" s="13"/>
    </row>
    <row r="16384" spans="1:1" x14ac:dyDescent="0.25">
      <c r="A16384" s="13"/>
    </row>
    <row r="16385" spans="1:1" x14ac:dyDescent="0.25">
      <c r="A16385" s="13"/>
    </row>
  </sheetData>
  <autoFilter ref="A1:A16385" xr:uid="{BD93CFFC-90BD-4C9F-B58A-795CBD5457BD}">
    <sortState xmlns:xlrd2="http://schemas.microsoft.com/office/spreadsheetml/2017/richdata2" ref="A2:A16385">
      <sortCondition ref="A1:A16385"/>
    </sortState>
  </autoFilter>
  <pageMargins left="0.7" right="0.7" top="0.75" bottom="0.75" header="0.3" footer="0.3"/>
  <customProperties>
    <customPr name="layoutContexts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7DCC-6694-4B08-B0C0-D0F04102FB94}">
  <dimension ref="A1:C904"/>
  <sheetViews>
    <sheetView topLeftCell="A885" workbookViewId="0">
      <selection activeCell="C2" sqref="C2:D904"/>
    </sheetView>
  </sheetViews>
  <sheetFormatPr defaultRowHeight="15" x14ac:dyDescent="0.25"/>
  <cols>
    <col min="1" max="1" width="19.5703125" customWidth="1"/>
  </cols>
  <sheetData>
    <row r="1" spans="1:3" x14ac:dyDescent="0.25">
      <c r="A1" t="s">
        <v>1412</v>
      </c>
      <c r="B1" t="s">
        <v>1</v>
      </c>
    </row>
    <row r="2" spans="1:3" x14ac:dyDescent="0.25">
      <c r="A2" s="13" t="s">
        <v>26</v>
      </c>
      <c r="C2" t="str">
        <f>_xlfn.CONCAT(A2,B2)</f>
        <v>RecordNo</v>
      </c>
    </row>
    <row r="3" spans="1:3" x14ac:dyDescent="0.25">
      <c r="A3" s="13" t="s">
        <v>35</v>
      </c>
      <c r="C3" t="str">
        <f t="shared" ref="C3:C66" si="0">_xlfn.CONCAT(A3,B3)</f>
        <v>Version</v>
      </c>
    </row>
    <row r="4" spans="1:3" x14ac:dyDescent="0.25">
      <c r="A4" s="13" t="s">
        <v>37</v>
      </c>
      <c r="C4" t="str">
        <f t="shared" si="0"/>
        <v>qName</v>
      </c>
    </row>
    <row r="5" spans="1:3" x14ac:dyDescent="0.25">
      <c r="A5" s="13" t="s">
        <v>40</v>
      </c>
      <c r="C5" t="str">
        <f t="shared" si="0"/>
        <v>qCompany</v>
      </c>
    </row>
    <row r="6" spans="1:3" x14ac:dyDescent="0.25">
      <c r="A6" s="13" t="s">
        <v>42</v>
      </c>
      <c r="C6" t="str">
        <f t="shared" si="0"/>
        <v>qJobtitle</v>
      </c>
    </row>
    <row r="7" spans="1:3" x14ac:dyDescent="0.25">
      <c r="A7" s="13" t="s">
        <v>44</v>
      </c>
      <c r="C7" t="str">
        <f t="shared" si="0"/>
        <v>qEmail</v>
      </c>
    </row>
    <row r="8" spans="1:3" x14ac:dyDescent="0.25">
      <c r="A8" s="13" t="s">
        <v>46</v>
      </c>
      <c r="C8" t="str">
        <f t="shared" si="0"/>
        <v>qTelephone</v>
      </c>
    </row>
    <row r="9" spans="1:3" x14ac:dyDescent="0.25">
      <c r="A9" s="13" t="s">
        <v>48</v>
      </c>
      <c r="C9" t="str">
        <f t="shared" si="0"/>
        <v>qCountry</v>
      </c>
    </row>
    <row r="10" spans="1:3" x14ac:dyDescent="0.25">
      <c r="A10" s="13" t="s">
        <v>50</v>
      </c>
      <c r="C10" t="str">
        <f t="shared" si="0"/>
        <v>qCurrency</v>
      </c>
    </row>
    <row r="11" spans="1:3" x14ac:dyDescent="0.25">
      <c r="A11" s="13" t="s">
        <v>53</v>
      </c>
      <c r="C11" t="str">
        <f t="shared" si="0"/>
        <v>qCurrencyOther</v>
      </c>
    </row>
    <row r="12" spans="1:3" x14ac:dyDescent="0.25">
      <c r="A12" s="13" t="s">
        <v>55</v>
      </c>
      <c r="C12" t="str">
        <f t="shared" si="0"/>
        <v>q1</v>
      </c>
    </row>
    <row r="13" spans="1:3" x14ac:dyDescent="0.25">
      <c r="A13" s="13" t="s">
        <v>57</v>
      </c>
      <c r="C13" t="str">
        <f t="shared" si="0"/>
        <v>q2</v>
      </c>
    </row>
    <row r="14" spans="1:3" x14ac:dyDescent="0.25">
      <c r="A14" s="13" t="s">
        <v>59</v>
      </c>
      <c r="C14" t="str">
        <f t="shared" si="0"/>
        <v>q2other</v>
      </c>
    </row>
    <row r="15" spans="1:3" x14ac:dyDescent="0.25">
      <c r="A15" s="13" t="s">
        <v>69</v>
      </c>
      <c r="C15" t="str">
        <f t="shared" si="0"/>
        <v>q31_1</v>
      </c>
    </row>
    <row r="16" spans="1:3" x14ac:dyDescent="0.25">
      <c r="A16" s="13" t="s">
        <v>71</v>
      </c>
      <c r="C16" t="str">
        <f t="shared" si="0"/>
        <v>q31_2</v>
      </c>
    </row>
    <row r="17" spans="1:3" x14ac:dyDescent="0.25">
      <c r="A17" s="13" t="s">
        <v>73</v>
      </c>
      <c r="C17" t="str">
        <f t="shared" si="0"/>
        <v>q31_3</v>
      </c>
    </row>
    <row r="18" spans="1:3" x14ac:dyDescent="0.25">
      <c r="A18" s="13" t="s">
        <v>75</v>
      </c>
      <c r="C18" t="str">
        <f t="shared" si="0"/>
        <v>q31_4</v>
      </c>
    </row>
    <row r="19" spans="1:3" x14ac:dyDescent="0.25">
      <c r="A19" s="13" t="s">
        <v>77</v>
      </c>
      <c r="C19" t="str">
        <f t="shared" si="0"/>
        <v>q31_5</v>
      </c>
    </row>
    <row r="20" spans="1:3" x14ac:dyDescent="0.25">
      <c r="A20" s="13" t="s">
        <v>79</v>
      </c>
      <c r="C20" t="str">
        <f t="shared" si="0"/>
        <v>q31_6</v>
      </c>
    </row>
    <row r="21" spans="1:3" x14ac:dyDescent="0.25">
      <c r="A21" s="13" t="s">
        <v>81</v>
      </c>
      <c r="C21" t="str">
        <f t="shared" si="0"/>
        <v>q3ROW1_hidden</v>
      </c>
    </row>
    <row r="22" spans="1:3" x14ac:dyDescent="0.25">
      <c r="A22" s="13" t="s">
        <v>83</v>
      </c>
      <c r="C22" t="str">
        <f t="shared" si="0"/>
        <v>q32_1</v>
      </c>
    </row>
    <row r="23" spans="1:3" x14ac:dyDescent="0.25">
      <c r="A23" s="13" t="s">
        <v>85</v>
      </c>
      <c r="C23" t="str">
        <f t="shared" si="0"/>
        <v>q32_2</v>
      </c>
    </row>
    <row r="24" spans="1:3" x14ac:dyDescent="0.25">
      <c r="A24" s="13" t="s">
        <v>87</v>
      </c>
      <c r="C24" t="str">
        <f t="shared" si="0"/>
        <v>q32_3</v>
      </c>
    </row>
    <row r="25" spans="1:3" x14ac:dyDescent="0.25">
      <c r="A25" s="13" t="s">
        <v>89</v>
      </c>
      <c r="C25" t="str">
        <f t="shared" si="0"/>
        <v>q32_4</v>
      </c>
    </row>
    <row r="26" spans="1:3" x14ac:dyDescent="0.25">
      <c r="A26" s="13" t="s">
        <v>91</v>
      </c>
      <c r="C26" t="str">
        <f t="shared" si="0"/>
        <v>q32_5</v>
      </c>
    </row>
    <row r="27" spans="1:3" x14ac:dyDescent="0.25">
      <c r="A27" s="13" t="s">
        <v>93</v>
      </c>
      <c r="C27" t="str">
        <f t="shared" si="0"/>
        <v>q32_6</v>
      </c>
    </row>
    <row r="28" spans="1:3" x14ac:dyDescent="0.25">
      <c r="A28" s="13" t="s">
        <v>95</v>
      </c>
      <c r="C28" t="str">
        <f t="shared" si="0"/>
        <v>q3ROW2_hidden</v>
      </c>
    </row>
    <row r="29" spans="1:3" x14ac:dyDescent="0.25">
      <c r="A29" s="13" t="s">
        <v>97</v>
      </c>
      <c r="C29" t="str">
        <f t="shared" si="0"/>
        <v>q33_1</v>
      </c>
    </row>
    <row r="30" spans="1:3" x14ac:dyDescent="0.25">
      <c r="A30" s="13" t="s">
        <v>99</v>
      </c>
      <c r="C30" t="str">
        <f t="shared" si="0"/>
        <v>q33_2</v>
      </c>
    </row>
    <row r="31" spans="1:3" x14ac:dyDescent="0.25">
      <c r="A31" s="13" t="s">
        <v>101</v>
      </c>
      <c r="C31" t="str">
        <f t="shared" si="0"/>
        <v>q33_3</v>
      </c>
    </row>
    <row r="32" spans="1:3" x14ac:dyDescent="0.25">
      <c r="A32" s="13" t="s">
        <v>103</v>
      </c>
      <c r="C32" t="str">
        <f t="shared" si="0"/>
        <v>q33_4</v>
      </c>
    </row>
    <row r="33" spans="1:3" x14ac:dyDescent="0.25">
      <c r="A33" s="13" t="s">
        <v>105</v>
      </c>
      <c r="C33" t="str">
        <f t="shared" si="0"/>
        <v>q33_5</v>
      </c>
    </row>
    <row r="34" spans="1:3" x14ac:dyDescent="0.25">
      <c r="A34" s="13" t="s">
        <v>107</v>
      </c>
      <c r="C34" t="str">
        <f t="shared" si="0"/>
        <v>q33_6</v>
      </c>
    </row>
    <row r="35" spans="1:3" x14ac:dyDescent="0.25">
      <c r="A35" s="13" t="s">
        <v>109</v>
      </c>
      <c r="C35" t="str">
        <f t="shared" si="0"/>
        <v>q3ROW3_hidden</v>
      </c>
    </row>
    <row r="36" spans="1:3" x14ac:dyDescent="0.25">
      <c r="A36" s="13" t="s">
        <v>111</v>
      </c>
      <c r="C36" t="str">
        <f t="shared" si="0"/>
        <v>q34_1</v>
      </c>
    </row>
    <row r="37" spans="1:3" x14ac:dyDescent="0.25">
      <c r="A37" s="13" t="s">
        <v>113</v>
      </c>
      <c r="C37" t="str">
        <f t="shared" si="0"/>
        <v>q34_2</v>
      </c>
    </row>
    <row r="38" spans="1:3" x14ac:dyDescent="0.25">
      <c r="A38" s="13" t="s">
        <v>115</v>
      </c>
      <c r="C38" t="str">
        <f t="shared" si="0"/>
        <v>q34_3</v>
      </c>
    </row>
    <row r="39" spans="1:3" x14ac:dyDescent="0.25">
      <c r="A39" s="13" t="s">
        <v>117</v>
      </c>
      <c r="C39" t="str">
        <f t="shared" si="0"/>
        <v>q34_4</v>
      </c>
    </row>
    <row r="40" spans="1:3" x14ac:dyDescent="0.25">
      <c r="A40" s="13" t="s">
        <v>119</v>
      </c>
      <c r="C40" t="str">
        <f t="shared" si="0"/>
        <v>q34_5</v>
      </c>
    </row>
    <row r="41" spans="1:3" x14ac:dyDescent="0.25">
      <c r="A41" s="13" t="s">
        <v>121</v>
      </c>
      <c r="C41" t="str">
        <f t="shared" si="0"/>
        <v>q34_6</v>
      </c>
    </row>
    <row r="42" spans="1:3" x14ac:dyDescent="0.25">
      <c r="A42" s="13" t="s">
        <v>123</v>
      </c>
      <c r="C42" t="str">
        <f t="shared" si="0"/>
        <v>q3ROW4_hidden</v>
      </c>
    </row>
    <row r="43" spans="1:3" x14ac:dyDescent="0.25">
      <c r="A43" s="13" t="s">
        <v>125</v>
      </c>
      <c r="C43" t="str">
        <f t="shared" si="0"/>
        <v>q35_1</v>
      </c>
    </row>
    <row r="44" spans="1:3" x14ac:dyDescent="0.25">
      <c r="A44" s="13" t="s">
        <v>127</v>
      </c>
      <c r="C44" t="str">
        <f t="shared" si="0"/>
        <v>q35_2</v>
      </c>
    </row>
    <row r="45" spans="1:3" x14ac:dyDescent="0.25">
      <c r="A45" s="13" t="s">
        <v>129</v>
      </c>
      <c r="C45" t="str">
        <f t="shared" si="0"/>
        <v>q35_3</v>
      </c>
    </row>
    <row r="46" spans="1:3" x14ac:dyDescent="0.25">
      <c r="A46" s="13" t="s">
        <v>131</v>
      </c>
      <c r="C46" t="str">
        <f t="shared" si="0"/>
        <v>q35_4</v>
      </c>
    </row>
    <row r="47" spans="1:3" x14ac:dyDescent="0.25">
      <c r="A47" s="13" t="s">
        <v>133</v>
      </c>
      <c r="C47" t="str">
        <f t="shared" si="0"/>
        <v>q35_5</v>
      </c>
    </row>
    <row r="48" spans="1:3" x14ac:dyDescent="0.25">
      <c r="A48" s="13" t="s">
        <v>135</v>
      </c>
      <c r="C48" t="str">
        <f t="shared" si="0"/>
        <v>q35_6</v>
      </c>
    </row>
    <row r="49" spans="1:3" x14ac:dyDescent="0.25">
      <c r="A49" s="13" t="s">
        <v>137</v>
      </c>
      <c r="C49" t="str">
        <f t="shared" si="0"/>
        <v>q3ROW5_hidden</v>
      </c>
    </row>
    <row r="50" spans="1:3" x14ac:dyDescent="0.25">
      <c r="A50" s="13" t="s">
        <v>139</v>
      </c>
      <c r="C50" t="str">
        <f t="shared" si="0"/>
        <v>q36_1</v>
      </c>
    </row>
    <row r="51" spans="1:3" x14ac:dyDescent="0.25">
      <c r="A51" s="13" t="s">
        <v>141</v>
      </c>
      <c r="C51" t="str">
        <f t="shared" si="0"/>
        <v>q36_2</v>
      </c>
    </row>
    <row r="52" spans="1:3" x14ac:dyDescent="0.25">
      <c r="A52" s="13" t="s">
        <v>143</v>
      </c>
      <c r="C52" t="str">
        <f t="shared" si="0"/>
        <v>q36_3</v>
      </c>
    </row>
    <row r="53" spans="1:3" x14ac:dyDescent="0.25">
      <c r="A53" s="13" t="s">
        <v>145</v>
      </c>
      <c r="C53" t="str">
        <f t="shared" si="0"/>
        <v>q36_4</v>
      </c>
    </row>
    <row r="54" spans="1:3" x14ac:dyDescent="0.25">
      <c r="A54" s="13" t="s">
        <v>147</v>
      </c>
      <c r="C54" t="str">
        <f t="shared" si="0"/>
        <v>q36_5</v>
      </c>
    </row>
    <row r="55" spans="1:3" x14ac:dyDescent="0.25">
      <c r="A55" s="13" t="s">
        <v>149</v>
      </c>
      <c r="C55" t="str">
        <f t="shared" si="0"/>
        <v>q36_6</v>
      </c>
    </row>
    <row r="56" spans="1:3" x14ac:dyDescent="0.25">
      <c r="A56" s="13" t="s">
        <v>151</v>
      </c>
      <c r="C56" t="str">
        <f t="shared" si="0"/>
        <v>q3ROW6_hidden</v>
      </c>
    </row>
    <row r="57" spans="1:3" x14ac:dyDescent="0.25">
      <c r="A57" s="13" t="s">
        <v>153</v>
      </c>
      <c r="C57" t="str">
        <f t="shared" si="0"/>
        <v>q3COL1_hidden</v>
      </c>
    </row>
    <row r="58" spans="1:3" x14ac:dyDescent="0.25">
      <c r="A58" s="13" t="s">
        <v>155</v>
      </c>
      <c r="C58" t="str">
        <f t="shared" si="0"/>
        <v>q3COL2_hidden</v>
      </c>
    </row>
    <row r="59" spans="1:3" x14ac:dyDescent="0.25">
      <c r="A59" s="13" t="s">
        <v>157</v>
      </c>
      <c r="C59" t="str">
        <f t="shared" si="0"/>
        <v>q3COL3_hidden</v>
      </c>
    </row>
    <row r="60" spans="1:3" x14ac:dyDescent="0.25">
      <c r="A60" s="13" t="s">
        <v>159</v>
      </c>
      <c r="C60" t="str">
        <f t="shared" si="0"/>
        <v>q3COL4_hidden</v>
      </c>
    </row>
    <row r="61" spans="1:3" x14ac:dyDescent="0.25">
      <c r="A61" s="13" t="s">
        <v>161</v>
      </c>
      <c r="C61" t="str">
        <f t="shared" si="0"/>
        <v>q3COL5_hidden</v>
      </c>
    </row>
    <row r="62" spans="1:3" x14ac:dyDescent="0.25">
      <c r="A62" s="13" t="s">
        <v>163</v>
      </c>
      <c r="C62" t="str">
        <f t="shared" si="0"/>
        <v>q3COL6_hidden</v>
      </c>
    </row>
    <row r="63" spans="1:3" x14ac:dyDescent="0.25">
      <c r="A63" s="13" t="s">
        <v>165</v>
      </c>
      <c r="C63" t="str">
        <f t="shared" si="0"/>
        <v>q3GRANDTotal_hidden</v>
      </c>
    </row>
    <row r="64" spans="1:3" x14ac:dyDescent="0.25">
      <c r="A64" s="13" t="s">
        <v>166</v>
      </c>
      <c r="C64" t="str">
        <f t="shared" si="0"/>
        <v>q41_1</v>
      </c>
    </row>
    <row r="65" spans="1:3" x14ac:dyDescent="0.25">
      <c r="A65" s="13" t="s">
        <v>168</v>
      </c>
      <c r="C65" t="str">
        <f t="shared" si="0"/>
        <v>q41_2</v>
      </c>
    </row>
    <row r="66" spans="1:3" x14ac:dyDescent="0.25">
      <c r="A66" s="13" t="s">
        <v>169</v>
      </c>
      <c r="C66" t="str">
        <f t="shared" si="0"/>
        <v>q41_3</v>
      </c>
    </row>
    <row r="67" spans="1:3" x14ac:dyDescent="0.25">
      <c r="A67" s="13" t="s">
        <v>170</v>
      </c>
      <c r="C67" t="str">
        <f t="shared" ref="C67:C130" si="1">_xlfn.CONCAT(A67,B67)</f>
        <v>q41_4</v>
      </c>
    </row>
    <row r="68" spans="1:3" x14ac:dyDescent="0.25">
      <c r="A68" s="13" t="s">
        <v>171</v>
      </c>
      <c r="C68" t="str">
        <f t="shared" si="1"/>
        <v>q41_5</v>
      </c>
    </row>
    <row r="69" spans="1:3" x14ac:dyDescent="0.25">
      <c r="A69" s="13" t="s">
        <v>172</v>
      </c>
      <c r="C69" t="str">
        <f t="shared" si="1"/>
        <v>q41_6</v>
      </c>
    </row>
    <row r="70" spans="1:3" x14ac:dyDescent="0.25">
      <c r="A70" s="13" t="s">
        <v>173</v>
      </c>
      <c r="C70" t="str">
        <f t="shared" si="1"/>
        <v>q4ROW1_hidden</v>
      </c>
    </row>
    <row r="71" spans="1:3" x14ac:dyDescent="0.25">
      <c r="A71" s="13" t="s">
        <v>174</v>
      </c>
      <c r="C71" t="str">
        <f t="shared" si="1"/>
        <v>q42_1</v>
      </c>
    </row>
    <row r="72" spans="1:3" x14ac:dyDescent="0.25">
      <c r="A72" s="13" t="s">
        <v>175</v>
      </c>
      <c r="C72" t="str">
        <f t="shared" si="1"/>
        <v>q42_2</v>
      </c>
    </row>
    <row r="73" spans="1:3" x14ac:dyDescent="0.25">
      <c r="A73" s="13" t="s">
        <v>176</v>
      </c>
      <c r="C73" t="str">
        <f t="shared" si="1"/>
        <v>q42_3</v>
      </c>
    </row>
    <row r="74" spans="1:3" x14ac:dyDescent="0.25">
      <c r="A74" s="13" t="s">
        <v>177</v>
      </c>
      <c r="C74" t="str">
        <f t="shared" si="1"/>
        <v>q42_4</v>
      </c>
    </row>
    <row r="75" spans="1:3" x14ac:dyDescent="0.25">
      <c r="A75" s="13" t="s">
        <v>178</v>
      </c>
      <c r="C75" t="str">
        <f t="shared" si="1"/>
        <v>q42_5</v>
      </c>
    </row>
    <row r="76" spans="1:3" x14ac:dyDescent="0.25">
      <c r="A76" s="13" t="s">
        <v>179</v>
      </c>
      <c r="C76" t="str">
        <f t="shared" si="1"/>
        <v>q42_6</v>
      </c>
    </row>
    <row r="77" spans="1:3" x14ac:dyDescent="0.25">
      <c r="A77" s="13" t="s">
        <v>180</v>
      </c>
      <c r="C77" t="str">
        <f t="shared" si="1"/>
        <v>q4ROW2_hidden</v>
      </c>
    </row>
    <row r="78" spans="1:3" x14ac:dyDescent="0.25">
      <c r="A78" s="13" t="s">
        <v>181</v>
      </c>
      <c r="C78" t="str">
        <f t="shared" si="1"/>
        <v>q43_1</v>
      </c>
    </row>
    <row r="79" spans="1:3" x14ac:dyDescent="0.25">
      <c r="A79" s="13" t="s">
        <v>182</v>
      </c>
      <c r="C79" t="str">
        <f t="shared" si="1"/>
        <v>q43_2</v>
      </c>
    </row>
    <row r="80" spans="1:3" x14ac:dyDescent="0.25">
      <c r="A80" s="13" t="s">
        <v>183</v>
      </c>
      <c r="C80" t="str">
        <f t="shared" si="1"/>
        <v>q43_3</v>
      </c>
    </row>
    <row r="81" spans="1:3" x14ac:dyDescent="0.25">
      <c r="A81" s="13" t="s">
        <v>184</v>
      </c>
      <c r="C81" t="str">
        <f t="shared" si="1"/>
        <v>q43_4</v>
      </c>
    </row>
    <row r="82" spans="1:3" x14ac:dyDescent="0.25">
      <c r="A82" s="13" t="s">
        <v>185</v>
      </c>
      <c r="C82" t="str">
        <f t="shared" si="1"/>
        <v>q43_5</v>
      </c>
    </row>
    <row r="83" spans="1:3" x14ac:dyDescent="0.25">
      <c r="A83" s="13" t="s">
        <v>186</v>
      </c>
      <c r="C83" t="str">
        <f t="shared" si="1"/>
        <v>q43_6</v>
      </c>
    </row>
    <row r="84" spans="1:3" x14ac:dyDescent="0.25">
      <c r="A84" s="13" t="s">
        <v>187</v>
      </c>
      <c r="C84" t="str">
        <f t="shared" si="1"/>
        <v>q4ROW3_hidden</v>
      </c>
    </row>
    <row r="85" spans="1:3" x14ac:dyDescent="0.25">
      <c r="A85" s="13" t="s">
        <v>188</v>
      </c>
      <c r="C85" t="str">
        <f t="shared" si="1"/>
        <v>q44_1</v>
      </c>
    </row>
    <row r="86" spans="1:3" x14ac:dyDescent="0.25">
      <c r="A86" s="13" t="s">
        <v>189</v>
      </c>
      <c r="C86" t="str">
        <f t="shared" si="1"/>
        <v>q44_2</v>
      </c>
    </row>
    <row r="87" spans="1:3" x14ac:dyDescent="0.25">
      <c r="A87" s="13" t="s">
        <v>190</v>
      </c>
      <c r="C87" t="str">
        <f t="shared" si="1"/>
        <v>q44_3</v>
      </c>
    </row>
    <row r="88" spans="1:3" x14ac:dyDescent="0.25">
      <c r="A88" s="13" t="s">
        <v>191</v>
      </c>
      <c r="C88" t="str">
        <f t="shared" si="1"/>
        <v>q44_4</v>
      </c>
    </row>
    <row r="89" spans="1:3" x14ac:dyDescent="0.25">
      <c r="A89" s="13" t="s">
        <v>192</v>
      </c>
      <c r="C89" t="str">
        <f t="shared" si="1"/>
        <v>q44_5</v>
      </c>
    </row>
    <row r="90" spans="1:3" x14ac:dyDescent="0.25">
      <c r="A90" s="13" t="s">
        <v>193</v>
      </c>
      <c r="C90" t="str">
        <f t="shared" si="1"/>
        <v>q44_6</v>
      </c>
    </row>
    <row r="91" spans="1:3" x14ac:dyDescent="0.25">
      <c r="A91" s="13" t="s">
        <v>194</v>
      </c>
      <c r="C91" t="str">
        <f t="shared" si="1"/>
        <v>q4ROW4_hidden</v>
      </c>
    </row>
    <row r="92" spans="1:3" x14ac:dyDescent="0.25">
      <c r="A92" s="13" t="s">
        <v>195</v>
      </c>
      <c r="C92" t="str">
        <f t="shared" si="1"/>
        <v>q45_1</v>
      </c>
    </row>
    <row r="93" spans="1:3" x14ac:dyDescent="0.25">
      <c r="A93" s="13" t="s">
        <v>196</v>
      </c>
      <c r="C93" t="str">
        <f t="shared" si="1"/>
        <v>q45_2</v>
      </c>
    </row>
    <row r="94" spans="1:3" x14ac:dyDescent="0.25">
      <c r="A94" s="13" t="s">
        <v>197</v>
      </c>
      <c r="C94" t="str">
        <f t="shared" si="1"/>
        <v>q45_3</v>
      </c>
    </row>
    <row r="95" spans="1:3" x14ac:dyDescent="0.25">
      <c r="A95" s="13" t="s">
        <v>198</v>
      </c>
      <c r="C95" t="str">
        <f t="shared" si="1"/>
        <v>q45_4</v>
      </c>
    </row>
    <row r="96" spans="1:3" x14ac:dyDescent="0.25">
      <c r="A96" s="13" t="s">
        <v>199</v>
      </c>
      <c r="C96" t="str">
        <f t="shared" si="1"/>
        <v>q45_5</v>
      </c>
    </row>
    <row r="97" spans="1:3" x14ac:dyDescent="0.25">
      <c r="A97" s="13" t="s">
        <v>200</v>
      </c>
      <c r="C97" t="str">
        <f t="shared" si="1"/>
        <v>q45_6</v>
      </c>
    </row>
    <row r="98" spans="1:3" x14ac:dyDescent="0.25">
      <c r="A98" s="13" t="s">
        <v>201</v>
      </c>
      <c r="C98" t="str">
        <f t="shared" si="1"/>
        <v>q4ROW5_hidden</v>
      </c>
    </row>
    <row r="99" spans="1:3" x14ac:dyDescent="0.25">
      <c r="A99" s="13" t="s">
        <v>202</v>
      </c>
      <c r="C99" t="str">
        <f t="shared" si="1"/>
        <v>q46_1</v>
      </c>
    </row>
    <row r="100" spans="1:3" x14ac:dyDescent="0.25">
      <c r="A100" s="13" t="s">
        <v>203</v>
      </c>
      <c r="C100" t="str">
        <f t="shared" si="1"/>
        <v>q46_2</v>
      </c>
    </row>
    <row r="101" spans="1:3" x14ac:dyDescent="0.25">
      <c r="A101" s="13" t="s">
        <v>204</v>
      </c>
      <c r="C101" t="str">
        <f t="shared" si="1"/>
        <v>q46_3</v>
      </c>
    </row>
    <row r="102" spans="1:3" x14ac:dyDescent="0.25">
      <c r="A102" s="13" t="s">
        <v>205</v>
      </c>
      <c r="C102" t="str">
        <f t="shared" si="1"/>
        <v>q46_4</v>
      </c>
    </row>
    <row r="103" spans="1:3" x14ac:dyDescent="0.25">
      <c r="A103" s="13" t="s">
        <v>206</v>
      </c>
      <c r="C103" t="str">
        <f t="shared" si="1"/>
        <v>q46_5</v>
      </c>
    </row>
    <row r="104" spans="1:3" x14ac:dyDescent="0.25">
      <c r="A104" s="13" t="s">
        <v>207</v>
      </c>
      <c r="C104" t="str">
        <f t="shared" si="1"/>
        <v>q46_6</v>
      </c>
    </row>
    <row r="105" spans="1:3" x14ac:dyDescent="0.25">
      <c r="A105" s="13" t="s">
        <v>208</v>
      </c>
      <c r="C105" t="str">
        <f t="shared" si="1"/>
        <v>q4ROW6_hidden</v>
      </c>
    </row>
    <row r="106" spans="1:3" x14ac:dyDescent="0.25">
      <c r="A106" s="13" t="s">
        <v>209</v>
      </c>
      <c r="C106" t="str">
        <f t="shared" si="1"/>
        <v>q4COL1_hidden</v>
      </c>
    </row>
    <row r="107" spans="1:3" x14ac:dyDescent="0.25">
      <c r="A107" s="13" t="s">
        <v>210</v>
      </c>
      <c r="C107" t="str">
        <f t="shared" si="1"/>
        <v>q4COL2_hidden</v>
      </c>
    </row>
    <row r="108" spans="1:3" x14ac:dyDescent="0.25">
      <c r="A108" s="13" t="s">
        <v>211</v>
      </c>
      <c r="C108" t="str">
        <f t="shared" si="1"/>
        <v>q4COL3_hidden</v>
      </c>
    </row>
    <row r="109" spans="1:3" x14ac:dyDescent="0.25">
      <c r="A109" s="13" t="s">
        <v>212</v>
      </c>
      <c r="C109" t="str">
        <f t="shared" si="1"/>
        <v>q4COL4_hidden</v>
      </c>
    </row>
    <row r="110" spans="1:3" x14ac:dyDescent="0.25">
      <c r="A110" s="13" t="s">
        <v>213</v>
      </c>
      <c r="C110" t="str">
        <f t="shared" si="1"/>
        <v>q4COL5_hidden</v>
      </c>
    </row>
    <row r="111" spans="1:3" x14ac:dyDescent="0.25">
      <c r="A111" s="13" t="s">
        <v>214</v>
      </c>
      <c r="C111" t="str">
        <f t="shared" si="1"/>
        <v>q4COL6_hidden</v>
      </c>
    </row>
    <row r="112" spans="1:3" x14ac:dyDescent="0.25">
      <c r="A112" s="13" t="s">
        <v>215</v>
      </c>
      <c r="C112" t="str">
        <f t="shared" si="1"/>
        <v>q4GRANDTotal_hidden</v>
      </c>
    </row>
    <row r="113" spans="1:3" x14ac:dyDescent="0.25">
      <c r="A113" s="13" t="s">
        <v>216</v>
      </c>
      <c r="C113" t="str">
        <f t="shared" si="1"/>
        <v>Alert41_1</v>
      </c>
    </row>
    <row r="114" spans="1:3" x14ac:dyDescent="0.25">
      <c r="A114" s="13" t="s">
        <v>218</v>
      </c>
      <c r="C114" t="str">
        <f t="shared" si="1"/>
        <v>Alert41_2</v>
      </c>
    </row>
    <row r="115" spans="1:3" x14ac:dyDescent="0.25">
      <c r="A115" s="13" t="s">
        <v>219</v>
      </c>
      <c r="C115" t="str">
        <f t="shared" si="1"/>
        <v>Alert41_3</v>
      </c>
    </row>
    <row r="116" spans="1:3" x14ac:dyDescent="0.25">
      <c r="A116" s="13" t="s">
        <v>220</v>
      </c>
      <c r="C116" t="str">
        <f t="shared" si="1"/>
        <v>Alert41_4</v>
      </c>
    </row>
    <row r="117" spans="1:3" x14ac:dyDescent="0.25">
      <c r="A117" s="13" t="s">
        <v>221</v>
      </c>
      <c r="C117" t="str">
        <f t="shared" si="1"/>
        <v>Alert41_5</v>
      </c>
    </row>
    <row r="118" spans="1:3" x14ac:dyDescent="0.25">
      <c r="A118" s="13" t="s">
        <v>222</v>
      </c>
      <c r="C118" t="str">
        <f t="shared" si="1"/>
        <v>Alert41_6</v>
      </c>
    </row>
    <row r="119" spans="1:3" x14ac:dyDescent="0.25">
      <c r="A119" s="13" t="s">
        <v>223</v>
      </c>
      <c r="C119" t="str">
        <f t="shared" si="1"/>
        <v>Alert42_1</v>
      </c>
    </row>
    <row r="120" spans="1:3" x14ac:dyDescent="0.25">
      <c r="A120" s="13" t="s">
        <v>224</v>
      </c>
      <c r="C120" t="str">
        <f t="shared" si="1"/>
        <v>Alert42_2</v>
      </c>
    </row>
    <row r="121" spans="1:3" x14ac:dyDescent="0.25">
      <c r="A121" s="13" t="s">
        <v>225</v>
      </c>
      <c r="C121" t="str">
        <f t="shared" si="1"/>
        <v>Alert42_3</v>
      </c>
    </row>
    <row r="122" spans="1:3" x14ac:dyDescent="0.25">
      <c r="A122" s="13" t="s">
        <v>226</v>
      </c>
      <c r="C122" t="str">
        <f t="shared" si="1"/>
        <v>Alert42_4</v>
      </c>
    </row>
    <row r="123" spans="1:3" x14ac:dyDescent="0.25">
      <c r="A123" s="13" t="s">
        <v>227</v>
      </c>
      <c r="C123" t="str">
        <f t="shared" si="1"/>
        <v>Alert42_5</v>
      </c>
    </row>
    <row r="124" spans="1:3" x14ac:dyDescent="0.25">
      <c r="A124" s="13" t="s">
        <v>228</v>
      </c>
      <c r="C124" t="str">
        <f t="shared" si="1"/>
        <v>Alert42_6</v>
      </c>
    </row>
    <row r="125" spans="1:3" x14ac:dyDescent="0.25">
      <c r="A125" s="13" t="s">
        <v>229</v>
      </c>
      <c r="C125" t="str">
        <f t="shared" si="1"/>
        <v>Alert43_1</v>
      </c>
    </row>
    <row r="126" spans="1:3" x14ac:dyDescent="0.25">
      <c r="A126" s="13" t="s">
        <v>230</v>
      </c>
      <c r="C126" t="str">
        <f t="shared" si="1"/>
        <v>Alert43_2</v>
      </c>
    </row>
    <row r="127" spans="1:3" x14ac:dyDescent="0.25">
      <c r="A127" s="13" t="s">
        <v>231</v>
      </c>
      <c r="C127" t="str">
        <f t="shared" si="1"/>
        <v>Alert43_3</v>
      </c>
    </row>
    <row r="128" spans="1:3" x14ac:dyDescent="0.25">
      <c r="A128" s="13" t="s">
        <v>232</v>
      </c>
      <c r="C128" t="str">
        <f t="shared" si="1"/>
        <v>Alert43_4</v>
      </c>
    </row>
    <row r="129" spans="1:3" x14ac:dyDescent="0.25">
      <c r="A129" s="13" t="s">
        <v>233</v>
      </c>
      <c r="C129" t="str">
        <f t="shared" si="1"/>
        <v>Alert43_5</v>
      </c>
    </row>
    <row r="130" spans="1:3" x14ac:dyDescent="0.25">
      <c r="A130" s="13" t="s">
        <v>234</v>
      </c>
      <c r="C130" t="str">
        <f t="shared" si="1"/>
        <v>Alert43_6</v>
      </c>
    </row>
    <row r="131" spans="1:3" x14ac:dyDescent="0.25">
      <c r="A131" s="13" t="s">
        <v>235</v>
      </c>
      <c r="C131" t="str">
        <f t="shared" ref="C131:C194" si="2">_xlfn.CONCAT(A131,B131)</f>
        <v>Alert44_1</v>
      </c>
    </row>
    <row r="132" spans="1:3" x14ac:dyDescent="0.25">
      <c r="A132" s="13" t="s">
        <v>236</v>
      </c>
      <c r="C132" t="str">
        <f t="shared" si="2"/>
        <v>Alert44_2</v>
      </c>
    </row>
    <row r="133" spans="1:3" x14ac:dyDescent="0.25">
      <c r="A133" s="13" t="s">
        <v>237</v>
      </c>
      <c r="C133" t="str">
        <f t="shared" si="2"/>
        <v>Alert44_3</v>
      </c>
    </row>
    <row r="134" spans="1:3" x14ac:dyDescent="0.25">
      <c r="A134" s="13" t="s">
        <v>238</v>
      </c>
      <c r="C134" t="str">
        <f t="shared" si="2"/>
        <v>Alert44_4</v>
      </c>
    </row>
    <row r="135" spans="1:3" x14ac:dyDescent="0.25">
      <c r="A135" s="13" t="s">
        <v>239</v>
      </c>
      <c r="C135" t="str">
        <f t="shared" si="2"/>
        <v>Alert44_5</v>
      </c>
    </row>
    <row r="136" spans="1:3" x14ac:dyDescent="0.25">
      <c r="A136" s="13" t="s">
        <v>240</v>
      </c>
      <c r="C136" t="str">
        <f t="shared" si="2"/>
        <v>Alert44_6</v>
      </c>
    </row>
    <row r="137" spans="1:3" x14ac:dyDescent="0.25">
      <c r="A137" s="13" t="s">
        <v>241</v>
      </c>
      <c r="C137" t="str">
        <f t="shared" si="2"/>
        <v>Alert45_1</v>
      </c>
    </row>
    <row r="138" spans="1:3" x14ac:dyDescent="0.25">
      <c r="A138" s="13" t="s">
        <v>242</v>
      </c>
      <c r="C138" t="str">
        <f t="shared" si="2"/>
        <v>Alert45_2</v>
      </c>
    </row>
    <row r="139" spans="1:3" x14ac:dyDescent="0.25">
      <c r="A139" s="13" t="s">
        <v>243</v>
      </c>
      <c r="C139" t="str">
        <f t="shared" si="2"/>
        <v>Alert45_3</v>
      </c>
    </row>
    <row r="140" spans="1:3" x14ac:dyDescent="0.25">
      <c r="A140" s="13" t="s">
        <v>244</v>
      </c>
      <c r="C140" t="str">
        <f t="shared" si="2"/>
        <v>Alert45_4</v>
      </c>
    </row>
    <row r="141" spans="1:3" x14ac:dyDescent="0.25">
      <c r="A141" s="13" t="s">
        <v>245</v>
      </c>
      <c r="C141" t="str">
        <f t="shared" si="2"/>
        <v>Alert45_5</v>
      </c>
    </row>
    <row r="142" spans="1:3" x14ac:dyDescent="0.25">
      <c r="A142" s="13" t="s">
        <v>246</v>
      </c>
      <c r="C142" t="str">
        <f t="shared" si="2"/>
        <v>Alert45_6</v>
      </c>
    </row>
    <row r="143" spans="1:3" x14ac:dyDescent="0.25">
      <c r="A143" s="13" t="s">
        <v>247</v>
      </c>
      <c r="C143" t="str">
        <f t="shared" si="2"/>
        <v>Alert46_1</v>
      </c>
    </row>
    <row r="144" spans="1:3" x14ac:dyDescent="0.25">
      <c r="A144" s="13" t="s">
        <v>248</v>
      </c>
      <c r="C144" t="str">
        <f t="shared" si="2"/>
        <v>Alert46_2</v>
      </c>
    </row>
    <row r="145" spans="1:3" x14ac:dyDescent="0.25">
      <c r="A145" s="13" t="s">
        <v>249</v>
      </c>
      <c r="C145" t="str">
        <f t="shared" si="2"/>
        <v>Alert46_3</v>
      </c>
    </row>
    <row r="146" spans="1:3" x14ac:dyDescent="0.25">
      <c r="A146" s="13" t="s">
        <v>250</v>
      </c>
      <c r="C146" t="str">
        <f t="shared" si="2"/>
        <v>Alert46_4</v>
      </c>
    </row>
    <row r="147" spans="1:3" x14ac:dyDescent="0.25">
      <c r="A147" s="13" t="s">
        <v>251</v>
      </c>
      <c r="C147" t="str">
        <f t="shared" si="2"/>
        <v>Alert46_5</v>
      </c>
    </row>
    <row r="148" spans="1:3" x14ac:dyDescent="0.25">
      <c r="A148" s="13" t="s">
        <v>252</v>
      </c>
      <c r="C148" t="str">
        <f t="shared" si="2"/>
        <v>Alert46_6</v>
      </c>
    </row>
    <row r="149" spans="1:3" x14ac:dyDescent="0.25">
      <c r="A149" s="13" t="s">
        <v>253</v>
      </c>
      <c r="C149" t="str">
        <f t="shared" si="2"/>
        <v>q51_1</v>
      </c>
    </row>
    <row r="150" spans="1:3" x14ac:dyDescent="0.25">
      <c r="A150" s="13" t="s">
        <v>255</v>
      </c>
      <c r="C150" t="str">
        <f t="shared" si="2"/>
        <v>q51_2</v>
      </c>
    </row>
    <row r="151" spans="1:3" x14ac:dyDescent="0.25">
      <c r="A151" s="13" t="s">
        <v>257</v>
      </c>
      <c r="C151" t="str">
        <f t="shared" si="2"/>
        <v>q51_3</v>
      </c>
    </row>
    <row r="152" spans="1:3" x14ac:dyDescent="0.25">
      <c r="A152" s="13" t="s">
        <v>259</v>
      </c>
      <c r="C152" t="str">
        <f t="shared" si="2"/>
        <v>q51_4</v>
      </c>
    </row>
    <row r="153" spans="1:3" x14ac:dyDescent="0.25">
      <c r="A153" s="13" t="s">
        <v>261</v>
      </c>
      <c r="C153" t="str">
        <f t="shared" si="2"/>
        <v>q51_5</v>
      </c>
    </row>
    <row r="154" spans="1:3" x14ac:dyDescent="0.25">
      <c r="A154" s="13" t="s">
        <v>263</v>
      </c>
      <c r="C154" t="str">
        <f t="shared" si="2"/>
        <v>q51_6</v>
      </c>
    </row>
    <row r="155" spans="1:3" x14ac:dyDescent="0.25">
      <c r="A155" s="13" t="s">
        <v>265</v>
      </c>
      <c r="C155" t="str">
        <f t="shared" si="2"/>
        <v>q5ROW1_hidden</v>
      </c>
    </row>
    <row r="156" spans="1:3" x14ac:dyDescent="0.25">
      <c r="A156" s="13" t="s">
        <v>267</v>
      </c>
      <c r="C156" t="str">
        <f t="shared" si="2"/>
        <v>q52_1</v>
      </c>
    </row>
    <row r="157" spans="1:3" x14ac:dyDescent="0.25">
      <c r="A157" s="13" t="s">
        <v>269</v>
      </c>
      <c r="C157" t="str">
        <f t="shared" si="2"/>
        <v>q52_2</v>
      </c>
    </row>
    <row r="158" spans="1:3" x14ac:dyDescent="0.25">
      <c r="A158" s="13" t="s">
        <v>271</v>
      </c>
      <c r="C158" t="str">
        <f t="shared" si="2"/>
        <v>q52_3</v>
      </c>
    </row>
    <row r="159" spans="1:3" x14ac:dyDescent="0.25">
      <c r="A159" s="13" t="s">
        <v>273</v>
      </c>
      <c r="C159" t="str">
        <f t="shared" si="2"/>
        <v>q52_4</v>
      </c>
    </row>
    <row r="160" spans="1:3" x14ac:dyDescent="0.25">
      <c r="A160" s="13" t="s">
        <v>275</v>
      </c>
      <c r="C160" t="str">
        <f t="shared" si="2"/>
        <v>q52_5</v>
      </c>
    </row>
    <row r="161" spans="1:3" x14ac:dyDescent="0.25">
      <c r="A161" s="13" t="s">
        <v>277</v>
      </c>
      <c r="C161" t="str">
        <f t="shared" si="2"/>
        <v>q52_6</v>
      </c>
    </row>
    <row r="162" spans="1:3" x14ac:dyDescent="0.25">
      <c r="A162" s="13" t="s">
        <v>279</v>
      </c>
      <c r="C162" t="str">
        <f t="shared" si="2"/>
        <v>q5ROW2_hidden</v>
      </c>
    </row>
    <row r="163" spans="1:3" x14ac:dyDescent="0.25">
      <c r="A163" s="13" t="s">
        <v>281</v>
      </c>
      <c r="C163" t="str">
        <f t="shared" si="2"/>
        <v>q53_1</v>
      </c>
    </row>
    <row r="164" spans="1:3" x14ac:dyDescent="0.25">
      <c r="A164" s="13" t="s">
        <v>283</v>
      </c>
      <c r="C164" t="str">
        <f t="shared" si="2"/>
        <v>q53_2</v>
      </c>
    </row>
    <row r="165" spans="1:3" x14ac:dyDescent="0.25">
      <c r="A165" s="13" t="s">
        <v>285</v>
      </c>
      <c r="C165" t="str">
        <f t="shared" si="2"/>
        <v>q53_3</v>
      </c>
    </row>
    <row r="166" spans="1:3" x14ac:dyDescent="0.25">
      <c r="A166" s="13" t="s">
        <v>287</v>
      </c>
      <c r="C166" t="str">
        <f t="shared" si="2"/>
        <v>q53_4</v>
      </c>
    </row>
    <row r="167" spans="1:3" x14ac:dyDescent="0.25">
      <c r="A167" s="13" t="s">
        <v>289</v>
      </c>
      <c r="C167" t="str">
        <f t="shared" si="2"/>
        <v>q53_5</v>
      </c>
    </row>
    <row r="168" spans="1:3" x14ac:dyDescent="0.25">
      <c r="A168" s="13" t="s">
        <v>291</v>
      </c>
      <c r="C168" t="str">
        <f t="shared" si="2"/>
        <v>q53_6</v>
      </c>
    </row>
    <row r="169" spans="1:3" x14ac:dyDescent="0.25">
      <c r="A169" s="13" t="s">
        <v>293</v>
      </c>
      <c r="C169" t="str">
        <f t="shared" si="2"/>
        <v>q5ROW3_hidden</v>
      </c>
    </row>
    <row r="170" spans="1:3" x14ac:dyDescent="0.25">
      <c r="A170" s="13" t="s">
        <v>295</v>
      </c>
      <c r="C170" t="str">
        <f t="shared" si="2"/>
        <v>q54_1</v>
      </c>
    </row>
    <row r="171" spans="1:3" x14ac:dyDescent="0.25">
      <c r="A171" s="13" t="s">
        <v>297</v>
      </c>
      <c r="C171" t="str">
        <f t="shared" si="2"/>
        <v>q54_2</v>
      </c>
    </row>
    <row r="172" spans="1:3" x14ac:dyDescent="0.25">
      <c r="A172" s="13" t="s">
        <v>299</v>
      </c>
      <c r="C172" t="str">
        <f t="shared" si="2"/>
        <v>q54_3</v>
      </c>
    </row>
    <row r="173" spans="1:3" x14ac:dyDescent="0.25">
      <c r="A173" s="13" t="s">
        <v>301</v>
      </c>
      <c r="C173" t="str">
        <f t="shared" si="2"/>
        <v>q54_4</v>
      </c>
    </row>
    <row r="174" spans="1:3" x14ac:dyDescent="0.25">
      <c r="A174" s="13" t="s">
        <v>303</v>
      </c>
      <c r="C174" t="str">
        <f t="shared" si="2"/>
        <v>q54_5</v>
      </c>
    </row>
    <row r="175" spans="1:3" x14ac:dyDescent="0.25">
      <c r="A175" s="13" t="s">
        <v>305</v>
      </c>
      <c r="C175" t="str">
        <f t="shared" si="2"/>
        <v>q54_6</v>
      </c>
    </row>
    <row r="176" spans="1:3" x14ac:dyDescent="0.25">
      <c r="A176" s="13" t="s">
        <v>307</v>
      </c>
      <c r="C176" t="str">
        <f t="shared" si="2"/>
        <v>q5ROW4_hidden</v>
      </c>
    </row>
    <row r="177" spans="1:3" x14ac:dyDescent="0.25">
      <c r="A177" s="13" t="s">
        <v>309</v>
      </c>
      <c r="C177" t="str">
        <f t="shared" si="2"/>
        <v>q55_1</v>
      </c>
    </row>
    <row r="178" spans="1:3" x14ac:dyDescent="0.25">
      <c r="A178" s="13" t="s">
        <v>311</v>
      </c>
      <c r="C178" t="str">
        <f t="shared" si="2"/>
        <v>q55_2</v>
      </c>
    </row>
    <row r="179" spans="1:3" x14ac:dyDescent="0.25">
      <c r="A179" s="13" t="s">
        <v>313</v>
      </c>
      <c r="C179" t="str">
        <f t="shared" si="2"/>
        <v>q55_3</v>
      </c>
    </row>
    <row r="180" spans="1:3" x14ac:dyDescent="0.25">
      <c r="A180" s="13" t="s">
        <v>315</v>
      </c>
      <c r="C180" t="str">
        <f t="shared" si="2"/>
        <v>q55_4</v>
      </c>
    </row>
    <row r="181" spans="1:3" x14ac:dyDescent="0.25">
      <c r="A181" s="13" t="s">
        <v>317</v>
      </c>
      <c r="C181" t="str">
        <f t="shared" si="2"/>
        <v>q55_5</v>
      </c>
    </row>
    <row r="182" spans="1:3" x14ac:dyDescent="0.25">
      <c r="A182" s="13" t="s">
        <v>319</v>
      </c>
      <c r="C182" t="str">
        <f t="shared" si="2"/>
        <v>q55_6</v>
      </c>
    </row>
    <row r="183" spans="1:3" x14ac:dyDescent="0.25">
      <c r="A183" s="13" t="s">
        <v>321</v>
      </c>
      <c r="C183" t="str">
        <f t="shared" si="2"/>
        <v>q5ROW5_hidden</v>
      </c>
    </row>
    <row r="184" spans="1:3" x14ac:dyDescent="0.25">
      <c r="A184" s="13" t="s">
        <v>323</v>
      </c>
      <c r="C184" t="str">
        <f t="shared" si="2"/>
        <v>q56_1</v>
      </c>
    </row>
    <row r="185" spans="1:3" x14ac:dyDescent="0.25">
      <c r="A185" s="13" t="s">
        <v>325</v>
      </c>
      <c r="C185" t="str">
        <f t="shared" si="2"/>
        <v>q56_2</v>
      </c>
    </row>
    <row r="186" spans="1:3" x14ac:dyDescent="0.25">
      <c r="A186" s="13" t="s">
        <v>327</v>
      </c>
      <c r="C186" t="str">
        <f t="shared" si="2"/>
        <v>q56_3</v>
      </c>
    </row>
    <row r="187" spans="1:3" x14ac:dyDescent="0.25">
      <c r="A187" s="13" t="s">
        <v>329</v>
      </c>
      <c r="C187" t="str">
        <f t="shared" si="2"/>
        <v>q56_4</v>
      </c>
    </row>
    <row r="188" spans="1:3" x14ac:dyDescent="0.25">
      <c r="A188" s="13" t="s">
        <v>331</v>
      </c>
      <c r="C188" t="str">
        <f t="shared" si="2"/>
        <v>q56_5</v>
      </c>
    </row>
    <row r="189" spans="1:3" x14ac:dyDescent="0.25">
      <c r="A189" s="13" t="s">
        <v>333</v>
      </c>
      <c r="C189" t="str">
        <f t="shared" si="2"/>
        <v>q56_6</v>
      </c>
    </row>
    <row r="190" spans="1:3" x14ac:dyDescent="0.25">
      <c r="A190" s="13" t="s">
        <v>335</v>
      </c>
      <c r="C190" t="str">
        <f t="shared" si="2"/>
        <v>q5ROW6_hidden</v>
      </c>
    </row>
    <row r="191" spans="1:3" x14ac:dyDescent="0.25">
      <c r="A191" s="13" t="s">
        <v>336</v>
      </c>
      <c r="C191" t="str">
        <f t="shared" si="2"/>
        <v>q57_1</v>
      </c>
    </row>
    <row r="192" spans="1:3" x14ac:dyDescent="0.25">
      <c r="A192" s="13" t="s">
        <v>338</v>
      </c>
      <c r="C192" t="str">
        <f t="shared" si="2"/>
        <v>q57_2</v>
      </c>
    </row>
    <row r="193" spans="1:3" x14ac:dyDescent="0.25">
      <c r="A193" s="13" t="s">
        <v>340</v>
      </c>
      <c r="C193" t="str">
        <f t="shared" si="2"/>
        <v>q57_3</v>
      </c>
    </row>
    <row r="194" spans="1:3" x14ac:dyDescent="0.25">
      <c r="A194" s="13" t="s">
        <v>342</v>
      </c>
      <c r="C194" t="str">
        <f t="shared" si="2"/>
        <v>q57_4</v>
      </c>
    </row>
    <row r="195" spans="1:3" x14ac:dyDescent="0.25">
      <c r="A195" s="13" t="s">
        <v>344</v>
      </c>
      <c r="C195" t="str">
        <f t="shared" ref="C195:C258" si="3">_xlfn.CONCAT(A195,B195)</f>
        <v>q57_5</v>
      </c>
    </row>
    <row r="196" spans="1:3" x14ac:dyDescent="0.25">
      <c r="A196" s="13" t="s">
        <v>346</v>
      </c>
      <c r="C196" t="str">
        <f t="shared" si="3"/>
        <v>q57_6</v>
      </c>
    </row>
    <row r="197" spans="1:3" x14ac:dyDescent="0.25">
      <c r="A197" s="13" t="s">
        <v>348</v>
      </c>
      <c r="C197" t="str">
        <f t="shared" si="3"/>
        <v>q5ROW7_hidden</v>
      </c>
    </row>
    <row r="198" spans="1:3" x14ac:dyDescent="0.25">
      <c r="A198" s="13" t="s">
        <v>350</v>
      </c>
      <c r="C198" t="str">
        <f t="shared" si="3"/>
        <v>q5other</v>
      </c>
    </row>
    <row r="199" spans="1:3" x14ac:dyDescent="0.25">
      <c r="A199" s="13" t="s">
        <v>352</v>
      </c>
      <c r="C199" t="str">
        <f t="shared" si="3"/>
        <v>q58_1</v>
      </c>
    </row>
    <row r="200" spans="1:3" x14ac:dyDescent="0.25">
      <c r="A200" s="13" t="s">
        <v>354</v>
      </c>
      <c r="C200" t="str">
        <f t="shared" si="3"/>
        <v>q58_2</v>
      </c>
    </row>
    <row r="201" spans="1:3" x14ac:dyDescent="0.25">
      <c r="A201" s="13" t="s">
        <v>356</v>
      </c>
      <c r="C201" t="str">
        <f t="shared" si="3"/>
        <v>q58_3</v>
      </c>
    </row>
    <row r="202" spans="1:3" x14ac:dyDescent="0.25">
      <c r="A202" s="13" t="s">
        <v>358</v>
      </c>
      <c r="C202" t="str">
        <f t="shared" si="3"/>
        <v>q58_4</v>
      </c>
    </row>
    <row r="203" spans="1:3" x14ac:dyDescent="0.25">
      <c r="A203" s="13" t="s">
        <v>360</v>
      </c>
      <c r="C203" t="str">
        <f t="shared" si="3"/>
        <v>q58_5</v>
      </c>
    </row>
    <row r="204" spans="1:3" x14ac:dyDescent="0.25">
      <c r="A204" s="13" t="s">
        <v>362</v>
      </c>
      <c r="C204" t="str">
        <f t="shared" si="3"/>
        <v>q58_6</v>
      </c>
    </row>
    <row r="205" spans="1:3" x14ac:dyDescent="0.25">
      <c r="A205" s="13" t="s">
        <v>364</v>
      </c>
      <c r="C205" t="str">
        <f t="shared" si="3"/>
        <v>q5ROW8_hidden</v>
      </c>
    </row>
    <row r="206" spans="1:3" x14ac:dyDescent="0.25">
      <c r="A206" s="13" t="s">
        <v>366</v>
      </c>
      <c r="C206" t="str">
        <f t="shared" si="3"/>
        <v>q5COL1_hidden</v>
      </c>
    </row>
    <row r="207" spans="1:3" x14ac:dyDescent="0.25">
      <c r="A207" s="13" t="s">
        <v>367</v>
      </c>
      <c r="C207" t="str">
        <f t="shared" si="3"/>
        <v>q5COL2_hidden</v>
      </c>
    </row>
    <row r="208" spans="1:3" x14ac:dyDescent="0.25">
      <c r="A208" s="13" t="s">
        <v>368</v>
      </c>
      <c r="C208" t="str">
        <f t="shared" si="3"/>
        <v>q5COL3_hidden</v>
      </c>
    </row>
    <row r="209" spans="1:3" x14ac:dyDescent="0.25">
      <c r="A209" s="13" t="s">
        <v>369</v>
      </c>
      <c r="C209" t="str">
        <f t="shared" si="3"/>
        <v>q5COL4_hidden</v>
      </c>
    </row>
    <row r="210" spans="1:3" x14ac:dyDescent="0.25">
      <c r="A210" s="13" t="s">
        <v>370</v>
      </c>
      <c r="C210" t="str">
        <f t="shared" si="3"/>
        <v>q5COL5_hidden</v>
      </c>
    </row>
    <row r="211" spans="1:3" x14ac:dyDescent="0.25">
      <c r="A211" s="13" t="s">
        <v>371</v>
      </c>
      <c r="C211" t="str">
        <f t="shared" si="3"/>
        <v>q5COL6_hidden</v>
      </c>
    </row>
    <row r="212" spans="1:3" x14ac:dyDescent="0.25">
      <c r="A212" s="13" t="s">
        <v>372</v>
      </c>
      <c r="C212" t="str">
        <f t="shared" si="3"/>
        <v>q5GRANDTotal_hidden</v>
      </c>
    </row>
    <row r="213" spans="1:3" x14ac:dyDescent="0.25">
      <c r="A213" s="13" t="s">
        <v>373</v>
      </c>
      <c r="C213" t="str">
        <f t="shared" si="3"/>
        <v>q61_1</v>
      </c>
    </row>
    <row r="214" spans="1:3" x14ac:dyDescent="0.25">
      <c r="A214" s="13" t="s">
        <v>375</v>
      </c>
      <c r="C214" t="str">
        <f t="shared" si="3"/>
        <v>q61_2</v>
      </c>
    </row>
    <row r="215" spans="1:3" x14ac:dyDescent="0.25">
      <c r="A215" s="13" t="s">
        <v>377</v>
      </c>
      <c r="C215" t="str">
        <f t="shared" si="3"/>
        <v>q61_3</v>
      </c>
    </row>
    <row r="216" spans="1:3" x14ac:dyDescent="0.25">
      <c r="A216" s="13" t="s">
        <v>379</v>
      </c>
      <c r="C216" t="str">
        <f t="shared" si="3"/>
        <v>q61_4</v>
      </c>
    </row>
    <row r="217" spans="1:3" x14ac:dyDescent="0.25">
      <c r="A217" s="13" t="s">
        <v>381</v>
      </c>
      <c r="C217" t="str">
        <f t="shared" si="3"/>
        <v>q61_5</v>
      </c>
    </row>
    <row r="218" spans="1:3" x14ac:dyDescent="0.25">
      <c r="A218" s="13" t="s">
        <v>383</v>
      </c>
      <c r="C218" t="str">
        <f t="shared" si="3"/>
        <v>q61_6</v>
      </c>
    </row>
    <row r="219" spans="1:3" x14ac:dyDescent="0.25">
      <c r="A219" s="13" t="s">
        <v>385</v>
      </c>
      <c r="C219" t="str">
        <f t="shared" si="3"/>
        <v>q6ROW1_hidden</v>
      </c>
    </row>
    <row r="220" spans="1:3" x14ac:dyDescent="0.25">
      <c r="A220" s="13" t="s">
        <v>387</v>
      </c>
      <c r="C220" t="str">
        <f t="shared" si="3"/>
        <v>q62_1</v>
      </c>
    </row>
    <row r="221" spans="1:3" x14ac:dyDescent="0.25">
      <c r="A221" s="13" t="s">
        <v>389</v>
      </c>
      <c r="C221" t="str">
        <f t="shared" si="3"/>
        <v>q62_2</v>
      </c>
    </row>
    <row r="222" spans="1:3" x14ac:dyDescent="0.25">
      <c r="A222" s="13" t="s">
        <v>391</v>
      </c>
      <c r="C222" t="str">
        <f t="shared" si="3"/>
        <v>q62_3</v>
      </c>
    </row>
    <row r="223" spans="1:3" x14ac:dyDescent="0.25">
      <c r="A223" s="13" t="s">
        <v>393</v>
      </c>
      <c r="C223" t="str">
        <f t="shared" si="3"/>
        <v>q62_4</v>
      </c>
    </row>
    <row r="224" spans="1:3" x14ac:dyDescent="0.25">
      <c r="A224" s="13" t="s">
        <v>395</v>
      </c>
      <c r="C224" t="str">
        <f t="shared" si="3"/>
        <v>q62_5</v>
      </c>
    </row>
    <row r="225" spans="1:3" x14ac:dyDescent="0.25">
      <c r="A225" s="13" t="s">
        <v>397</v>
      </c>
      <c r="C225" t="str">
        <f t="shared" si="3"/>
        <v>q62_6</v>
      </c>
    </row>
    <row r="226" spans="1:3" x14ac:dyDescent="0.25">
      <c r="A226" s="13" t="s">
        <v>399</v>
      </c>
      <c r="C226" t="str">
        <f t="shared" si="3"/>
        <v>q6ROW2_hidden</v>
      </c>
    </row>
    <row r="227" spans="1:3" x14ac:dyDescent="0.25">
      <c r="A227" s="13" t="s">
        <v>401</v>
      </c>
      <c r="C227" t="str">
        <f t="shared" si="3"/>
        <v>q63_1</v>
      </c>
    </row>
    <row r="228" spans="1:3" x14ac:dyDescent="0.25">
      <c r="A228" s="13" t="s">
        <v>403</v>
      </c>
      <c r="C228" t="str">
        <f t="shared" si="3"/>
        <v>q63_2</v>
      </c>
    </row>
    <row r="229" spans="1:3" x14ac:dyDescent="0.25">
      <c r="A229" s="13" t="s">
        <v>405</v>
      </c>
      <c r="C229" t="str">
        <f t="shared" si="3"/>
        <v>q63_3</v>
      </c>
    </row>
    <row r="230" spans="1:3" x14ac:dyDescent="0.25">
      <c r="A230" s="13" t="s">
        <v>407</v>
      </c>
      <c r="C230" t="str">
        <f t="shared" si="3"/>
        <v>q63_4</v>
      </c>
    </row>
    <row r="231" spans="1:3" x14ac:dyDescent="0.25">
      <c r="A231" s="13" t="s">
        <v>409</v>
      </c>
      <c r="C231" t="str">
        <f t="shared" si="3"/>
        <v>q63_5</v>
      </c>
    </row>
    <row r="232" spans="1:3" x14ac:dyDescent="0.25">
      <c r="A232" s="13" t="s">
        <v>411</v>
      </c>
      <c r="C232" t="str">
        <f t="shared" si="3"/>
        <v>q63_6</v>
      </c>
    </row>
    <row r="233" spans="1:3" x14ac:dyDescent="0.25">
      <c r="A233" s="13" t="s">
        <v>413</v>
      </c>
      <c r="C233" t="str">
        <f t="shared" si="3"/>
        <v>q6ROW3_hidden</v>
      </c>
    </row>
    <row r="234" spans="1:3" x14ac:dyDescent="0.25">
      <c r="A234" s="13" t="s">
        <v>415</v>
      </c>
      <c r="C234" t="str">
        <f t="shared" si="3"/>
        <v>q64_1</v>
      </c>
    </row>
    <row r="235" spans="1:3" x14ac:dyDescent="0.25">
      <c r="A235" s="13" t="s">
        <v>417</v>
      </c>
      <c r="C235" t="str">
        <f t="shared" si="3"/>
        <v>q64_2</v>
      </c>
    </row>
    <row r="236" spans="1:3" x14ac:dyDescent="0.25">
      <c r="A236" s="13" t="s">
        <v>419</v>
      </c>
      <c r="C236" t="str">
        <f t="shared" si="3"/>
        <v>q64_3</v>
      </c>
    </row>
    <row r="237" spans="1:3" x14ac:dyDescent="0.25">
      <c r="A237" s="13" t="s">
        <v>421</v>
      </c>
      <c r="C237" t="str">
        <f t="shared" si="3"/>
        <v>q64_4</v>
      </c>
    </row>
    <row r="238" spans="1:3" x14ac:dyDescent="0.25">
      <c r="A238" s="13" t="s">
        <v>423</v>
      </c>
      <c r="C238" t="str">
        <f t="shared" si="3"/>
        <v>q64_5</v>
      </c>
    </row>
    <row r="239" spans="1:3" x14ac:dyDescent="0.25">
      <c r="A239" s="13" t="s">
        <v>425</v>
      </c>
      <c r="C239" t="str">
        <f t="shared" si="3"/>
        <v>q64_6</v>
      </c>
    </row>
    <row r="240" spans="1:3" x14ac:dyDescent="0.25">
      <c r="A240" s="13" t="s">
        <v>427</v>
      </c>
      <c r="C240" t="str">
        <f t="shared" si="3"/>
        <v>q6ROW4_hidden</v>
      </c>
    </row>
    <row r="241" spans="1:3" x14ac:dyDescent="0.25">
      <c r="A241" s="13" t="s">
        <v>429</v>
      </c>
      <c r="C241" t="str">
        <f t="shared" si="3"/>
        <v>q65_1</v>
      </c>
    </row>
    <row r="242" spans="1:3" x14ac:dyDescent="0.25">
      <c r="A242" s="13" t="s">
        <v>431</v>
      </c>
      <c r="C242" t="str">
        <f t="shared" si="3"/>
        <v>q65_2</v>
      </c>
    </row>
    <row r="243" spans="1:3" x14ac:dyDescent="0.25">
      <c r="A243" s="13" t="s">
        <v>433</v>
      </c>
      <c r="C243" t="str">
        <f t="shared" si="3"/>
        <v>q65_3</v>
      </c>
    </row>
    <row r="244" spans="1:3" x14ac:dyDescent="0.25">
      <c r="A244" s="13" t="s">
        <v>435</v>
      </c>
      <c r="C244" t="str">
        <f t="shared" si="3"/>
        <v>q65_4</v>
      </c>
    </row>
    <row r="245" spans="1:3" x14ac:dyDescent="0.25">
      <c r="A245" s="13" t="s">
        <v>437</v>
      </c>
      <c r="C245" t="str">
        <f t="shared" si="3"/>
        <v>q65_5</v>
      </c>
    </row>
    <row r="246" spans="1:3" x14ac:dyDescent="0.25">
      <c r="A246" s="13" t="s">
        <v>439</v>
      </c>
      <c r="C246" t="str">
        <f t="shared" si="3"/>
        <v>q65_6</v>
      </c>
    </row>
    <row r="247" spans="1:3" x14ac:dyDescent="0.25">
      <c r="A247" s="13" t="s">
        <v>441</v>
      </c>
      <c r="C247" t="str">
        <f t="shared" si="3"/>
        <v>q6ROW5_hidden</v>
      </c>
    </row>
    <row r="248" spans="1:3" x14ac:dyDescent="0.25">
      <c r="A248" s="13" t="s">
        <v>443</v>
      </c>
      <c r="C248" t="str">
        <f t="shared" si="3"/>
        <v>q6COL1_hidden</v>
      </c>
    </row>
    <row r="249" spans="1:3" x14ac:dyDescent="0.25">
      <c r="A249" s="13" t="s">
        <v>444</v>
      </c>
      <c r="C249" t="str">
        <f t="shared" si="3"/>
        <v>q6COL2_hidden</v>
      </c>
    </row>
    <row r="250" spans="1:3" x14ac:dyDescent="0.25">
      <c r="A250" s="13" t="s">
        <v>445</v>
      </c>
      <c r="C250" t="str">
        <f t="shared" si="3"/>
        <v>q6COL3_hidden</v>
      </c>
    </row>
    <row r="251" spans="1:3" x14ac:dyDescent="0.25">
      <c r="A251" s="13" t="s">
        <v>446</v>
      </c>
      <c r="C251" t="str">
        <f t="shared" si="3"/>
        <v>q6COL4_hidden</v>
      </c>
    </row>
    <row r="252" spans="1:3" x14ac:dyDescent="0.25">
      <c r="A252" s="13" t="s">
        <v>447</v>
      </c>
      <c r="C252" t="str">
        <f t="shared" si="3"/>
        <v>q6COL5_hidden</v>
      </c>
    </row>
    <row r="253" spans="1:3" x14ac:dyDescent="0.25">
      <c r="A253" s="13" t="s">
        <v>448</v>
      </c>
      <c r="C253" t="str">
        <f t="shared" si="3"/>
        <v>q6COL6_hidden</v>
      </c>
    </row>
    <row r="254" spans="1:3" x14ac:dyDescent="0.25">
      <c r="A254" s="13" t="s">
        <v>449</v>
      </c>
      <c r="C254" t="str">
        <f t="shared" si="3"/>
        <v>q6GRANDTotal_hidden</v>
      </c>
    </row>
    <row r="255" spans="1:3" x14ac:dyDescent="0.25">
      <c r="A255" s="13" t="s">
        <v>451</v>
      </c>
      <c r="C255" t="str">
        <f t="shared" si="3"/>
        <v>q7_1</v>
      </c>
    </row>
    <row r="256" spans="1:3" x14ac:dyDescent="0.25">
      <c r="A256" s="13" t="s">
        <v>454</v>
      </c>
      <c r="C256" t="str">
        <f t="shared" si="3"/>
        <v>q7_2</v>
      </c>
    </row>
    <row r="257" spans="1:3" x14ac:dyDescent="0.25">
      <c r="A257" s="13" t="s">
        <v>456</v>
      </c>
      <c r="C257" t="str">
        <f t="shared" si="3"/>
        <v>q7_3</v>
      </c>
    </row>
    <row r="258" spans="1:3" x14ac:dyDescent="0.25">
      <c r="A258" s="13" t="s">
        <v>458</v>
      </c>
      <c r="C258" t="str">
        <f t="shared" si="3"/>
        <v>q7other</v>
      </c>
    </row>
    <row r="259" spans="1:3" x14ac:dyDescent="0.25">
      <c r="A259" s="13" t="s">
        <v>459</v>
      </c>
      <c r="C259" t="str">
        <f t="shared" ref="C259:C322" si="4">_xlfn.CONCAT(A259,B259)</f>
        <v>q7_4</v>
      </c>
    </row>
    <row r="260" spans="1:3" x14ac:dyDescent="0.25">
      <c r="A260" s="13" t="s">
        <v>461</v>
      </c>
      <c r="C260" t="str">
        <f t="shared" si="4"/>
        <v>q8</v>
      </c>
    </row>
    <row r="261" spans="1:3" x14ac:dyDescent="0.25">
      <c r="A261" s="13" t="s">
        <v>463</v>
      </c>
      <c r="C261" t="str">
        <f t="shared" si="4"/>
        <v>q9</v>
      </c>
    </row>
    <row r="262" spans="1:3" x14ac:dyDescent="0.25">
      <c r="A262" s="13" t="s">
        <v>465</v>
      </c>
      <c r="C262" t="str">
        <f t="shared" si="4"/>
        <v>q91</v>
      </c>
    </row>
    <row r="263" spans="1:3" x14ac:dyDescent="0.25">
      <c r="A263" s="13" t="s">
        <v>468</v>
      </c>
      <c r="B263" t="s">
        <v>467</v>
      </c>
      <c r="C263" t="str">
        <f t="shared" si="4"/>
        <v>ASIA PACIFIC_apac</v>
      </c>
    </row>
    <row r="264" spans="1:3" x14ac:dyDescent="0.25">
      <c r="A264" s="13" t="s">
        <v>469</v>
      </c>
      <c r="B264" t="str">
        <f t="shared" ref="B264:B295" si="5">B263</f>
        <v>_apac</v>
      </c>
      <c r="C264" t="str">
        <f t="shared" si="4"/>
        <v>q101_1_apac</v>
      </c>
    </row>
    <row r="265" spans="1:3" x14ac:dyDescent="0.25">
      <c r="A265" s="13" t="s">
        <v>470</v>
      </c>
      <c r="B265" t="str">
        <f t="shared" si="5"/>
        <v>_apac</v>
      </c>
      <c r="C265" t="str">
        <f t="shared" si="4"/>
        <v>q101_2_apac</v>
      </c>
    </row>
    <row r="266" spans="1:3" x14ac:dyDescent="0.25">
      <c r="A266" s="13" t="s">
        <v>471</v>
      </c>
      <c r="B266" t="str">
        <f t="shared" si="5"/>
        <v>_apac</v>
      </c>
      <c r="C266" t="str">
        <f t="shared" si="4"/>
        <v>q101_3_apac</v>
      </c>
    </row>
    <row r="267" spans="1:3" x14ac:dyDescent="0.25">
      <c r="A267" s="13" t="s">
        <v>472</v>
      </c>
      <c r="B267" t="str">
        <f t="shared" si="5"/>
        <v>_apac</v>
      </c>
      <c r="C267" t="str">
        <f t="shared" si="4"/>
        <v>q101_4_apac</v>
      </c>
    </row>
    <row r="268" spans="1:3" x14ac:dyDescent="0.25">
      <c r="A268" s="13" t="s">
        <v>473</v>
      </c>
      <c r="B268" t="str">
        <f t="shared" si="5"/>
        <v>_apac</v>
      </c>
      <c r="C268" t="str">
        <f t="shared" si="4"/>
        <v>q101_5_apac</v>
      </c>
    </row>
    <row r="269" spans="1:3" x14ac:dyDescent="0.25">
      <c r="A269" s="13" t="s">
        <v>474</v>
      </c>
      <c r="B269" t="str">
        <f t="shared" si="5"/>
        <v>_apac</v>
      </c>
      <c r="C269" t="str">
        <f t="shared" si="4"/>
        <v>q101_6_apac</v>
      </c>
    </row>
    <row r="270" spans="1:3" x14ac:dyDescent="0.25">
      <c r="A270" s="13" t="s">
        <v>475</v>
      </c>
      <c r="B270" t="str">
        <f t="shared" si="5"/>
        <v>_apac</v>
      </c>
      <c r="C270" t="str">
        <f t="shared" si="4"/>
        <v>q10ROW1_hidden_apac</v>
      </c>
    </row>
    <row r="271" spans="1:3" x14ac:dyDescent="0.25">
      <c r="A271" s="13" t="s">
        <v>476</v>
      </c>
      <c r="B271" t="str">
        <f t="shared" si="5"/>
        <v>_apac</v>
      </c>
      <c r="C271" t="str">
        <f t="shared" si="4"/>
        <v>q102_1_apac</v>
      </c>
    </row>
    <row r="272" spans="1:3" x14ac:dyDescent="0.25">
      <c r="A272" s="13" t="s">
        <v>477</v>
      </c>
      <c r="B272" t="str">
        <f t="shared" si="5"/>
        <v>_apac</v>
      </c>
      <c r="C272" t="str">
        <f t="shared" si="4"/>
        <v>q102_2_apac</v>
      </c>
    </row>
    <row r="273" spans="1:3" x14ac:dyDescent="0.25">
      <c r="A273" s="13" t="s">
        <v>478</v>
      </c>
      <c r="B273" t="str">
        <f t="shared" si="5"/>
        <v>_apac</v>
      </c>
      <c r="C273" t="str">
        <f t="shared" si="4"/>
        <v>q102_3_apac</v>
      </c>
    </row>
    <row r="274" spans="1:3" x14ac:dyDescent="0.25">
      <c r="A274" s="13" t="s">
        <v>479</v>
      </c>
      <c r="B274" t="str">
        <f t="shared" si="5"/>
        <v>_apac</v>
      </c>
      <c r="C274" t="str">
        <f t="shared" si="4"/>
        <v>q102_4_apac</v>
      </c>
    </row>
    <row r="275" spans="1:3" x14ac:dyDescent="0.25">
      <c r="A275" s="13" t="s">
        <v>480</v>
      </c>
      <c r="B275" t="str">
        <f t="shared" si="5"/>
        <v>_apac</v>
      </c>
      <c r="C275" t="str">
        <f t="shared" si="4"/>
        <v>q102_5_apac</v>
      </c>
    </row>
    <row r="276" spans="1:3" x14ac:dyDescent="0.25">
      <c r="A276" s="13" t="s">
        <v>481</v>
      </c>
      <c r="B276" t="str">
        <f t="shared" si="5"/>
        <v>_apac</v>
      </c>
      <c r="C276" t="str">
        <f t="shared" si="4"/>
        <v>q102_6_apac</v>
      </c>
    </row>
    <row r="277" spans="1:3" x14ac:dyDescent="0.25">
      <c r="A277" s="13" t="s">
        <v>482</v>
      </c>
      <c r="B277" t="str">
        <f t="shared" si="5"/>
        <v>_apac</v>
      </c>
      <c r="C277" t="str">
        <f t="shared" si="4"/>
        <v>q10ROW2_hidden_apac</v>
      </c>
    </row>
    <row r="278" spans="1:3" x14ac:dyDescent="0.25">
      <c r="A278" s="13" t="s">
        <v>483</v>
      </c>
      <c r="B278" t="str">
        <f t="shared" si="5"/>
        <v>_apac</v>
      </c>
      <c r="C278" t="str">
        <f t="shared" si="4"/>
        <v>q103_1_apac</v>
      </c>
    </row>
    <row r="279" spans="1:3" x14ac:dyDescent="0.25">
      <c r="A279" s="13" t="s">
        <v>484</v>
      </c>
      <c r="B279" t="str">
        <f t="shared" si="5"/>
        <v>_apac</v>
      </c>
      <c r="C279" t="str">
        <f t="shared" si="4"/>
        <v>q103_2_apac</v>
      </c>
    </row>
    <row r="280" spans="1:3" x14ac:dyDescent="0.25">
      <c r="A280" s="13" t="s">
        <v>485</v>
      </c>
      <c r="B280" t="str">
        <f t="shared" si="5"/>
        <v>_apac</v>
      </c>
      <c r="C280" t="str">
        <f t="shared" si="4"/>
        <v>q103_3_apac</v>
      </c>
    </row>
    <row r="281" spans="1:3" x14ac:dyDescent="0.25">
      <c r="A281" s="13" t="s">
        <v>486</v>
      </c>
      <c r="B281" t="str">
        <f t="shared" si="5"/>
        <v>_apac</v>
      </c>
      <c r="C281" t="str">
        <f t="shared" si="4"/>
        <v>q103_4_apac</v>
      </c>
    </row>
    <row r="282" spans="1:3" x14ac:dyDescent="0.25">
      <c r="A282" s="13" t="s">
        <v>487</v>
      </c>
      <c r="B282" t="str">
        <f t="shared" si="5"/>
        <v>_apac</v>
      </c>
      <c r="C282" t="str">
        <f t="shared" si="4"/>
        <v>q103_5_apac</v>
      </c>
    </row>
    <row r="283" spans="1:3" x14ac:dyDescent="0.25">
      <c r="A283" s="13" t="s">
        <v>488</v>
      </c>
      <c r="B283" t="str">
        <f t="shared" si="5"/>
        <v>_apac</v>
      </c>
      <c r="C283" t="str">
        <f t="shared" si="4"/>
        <v>q103_6_apac</v>
      </c>
    </row>
    <row r="284" spans="1:3" x14ac:dyDescent="0.25">
      <c r="A284" s="13" t="s">
        <v>489</v>
      </c>
      <c r="B284" t="str">
        <f t="shared" si="5"/>
        <v>_apac</v>
      </c>
      <c r="C284" t="str">
        <f t="shared" si="4"/>
        <v>q10ROW3_hidden_apac</v>
      </c>
    </row>
    <row r="285" spans="1:3" x14ac:dyDescent="0.25">
      <c r="A285" s="13" t="s">
        <v>490</v>
      </c>
      <c r="B285" t="str">
        <f t="shared" si="5"/>
        <v>_apac</v>
      </c>
      <c r="C285" t="str">
        <f t="shared" si="4"/>
        <v>q104_1_apac</v>
      </c>
    </row>
    <row r="286" spans="1:3" x14ac:dyDescent="0.25">
      <c r="A286" s="13" t="s">
        <v>491</v>
      </c>
      <c r="B286" t="str">
        <f t="shared" si="5"/>
        <v>_apac</v>
      </c>
      <c r="C286" t="str">
        <f t="shared" si="4"/>
        <v>q104_2_apac</v>
      </c>
    </row>
    <row r="287" spans="1:3" x14ac:dyDescent="0.25">
      <c r="A287" s="13" t="s">
        <v>492</v>
      </c>
      <c r="B287" t="str">
        <f t="shared" si="5"/>
        <v>_apac</v>
      </c>
      <c r="C287" t="str">
        <f t="shared" si="4"/>
        <v>q104_3_apac</v>
      </c>
    </row>
    <row r="288" spans="1:3" x14ac:dyDescent="0.25">
      <c r="A288" s="13" t="s">
        <v>493</v>
      </c>
      <c r="B288" t="str">
        <f t="shared" si="5"/>
        <v>_apac</v>
      </c>
      <c r="C288" t="str">
        <f t="shared" si="4"/>
        <v>q104_4_apac</v>
      </c>
    </row>
    <row r="289" spans="1:3" x14ac:dyDescent="0.25">
      <c r="A289" s="13" t="s">
        <v>494</v>
      </c>
      <c r="B289" t="str">
        <f t="shared" si="5"/>
        <v>_apac</v>
      </c>
      <c r="C289" t="str">
        <f t="shared" si="4"/>
        <v>q104_5_apac</v>
      </c>
    </row>
    <row r="290" spans="1:3" x14ac:dyDescent="0.25">
      <c r="A290" s="13" t="s">
        <v>495</v>
      </c>
      <c r="B290" t="str">
        <f t="shared" si="5"/>
        <v>_apac</v>
      </c>
      <c r="C290" t="str">
        <f t="shared" si="4"/>
        <v>q104_6_apac</v>
      </c>
    </row>
    <row r="291" spans="1:3" x14ac:dyDescent="0.25">
      <c r="A291" s="13" t="s">
        <v>496</v>
      </c>
      <c r="B291" t="str">
        <f t="shared" si="5"/>
        <v>_apac</v>
      </c>
      <c r="C291" t="str">
        <f t="shared" si="4"/>
        <v>q10ROW4_hidden_apac</v>
      </c>
    </row>
    <row r="292" spans="1:3" x14ac:dyDescent="0.25">
      <c r="A292" s="13" t="s">
        <v>497</v>
      </c>
      <c r="B292" t="str">
        <f t="shared" si="5"/>
        <v>_apac</v>
      </c>
      <c r="C292" t="str">
        <f t="shared" si="4"/>
        <v>q105_1_apac</v>
      </c>
    </row>
    <row r="293" spans="1:3" x14ac:dyDescent="0.25">
      <c r="A293" s="13" t="s">
        <v>498</v>
      </c>
      <c r="B293" t="str">
        <f t="shared" si="5"/>
        <v>_apac</v>
      </c>
      <c r="C293" t="str">
        <f t="shared" si="4"/>
        <v>q105_2_apac</v>
      </c>
    </row>
    <row r="294" spans="1:3" x14ac:dyDescent="0.25">
      <c r="A294" s="13" t="s">
        <v>499</v>
      </c>
      <c r="B294" t="str">
        <f t="shared" si="5"/>
        <v>_apac</v>
      </c>
      <c r="C294" t="str">
        <f t="shared" si="4"/>
        <v>q105_3_apac</v>
      </c>
    </row>
    <row r="295" spans="1:3" x14ac:dyDescent="0.25">
      <c r="A295" s="13" t="s">
        <v>500</v>
      </c>
      <c r="B295" t="str">
        <f t="shared" si="5"/>
        <v>_apac</v>
      </c>
      <c r="C295" t="str">
        <f t="shared" si="4"/>
        <v>q105_4_apac</v>
      </c>
    </row>
    <row r="296" spans="1:3" x14ac:dyDescent="0.25">
      <c r="A296" s="13" t="s">
        <v>501</v>
      </c>
      <c r="B296" t="str">
        <f t="shared" ref="B296:B327" si="6">B295</f>
        <v>_apac</v>
      </c>
      <c r="C296" t="str">
        <f t="shared" si="4"/>
        <v>q105_5_apac</v>
      </c>
    </row>
    <row r="297" spans="1:3" x14ac:dyDescent="0.25">
      <c r="A297" s="13" t="s">
        <v>502</v>
      </c>
      <c r="B297" t="str">
        <f t="shared" si="6"/>
        <v>_apac</v>
      </c>
      <c r="C297" t="str">
        <f t="shared" si="4"/>
        <v>q105_6_apac</v>
      </c>
    </row>
    <row r="298" spans="1:3" x14ac:dyDescent="0.25">
      <c r="A298" s="13" t="s">
        <v>503</v>
      </c>
      <c r="B298" t="str">
        <f t="shared" si="6"/>
        <v>_apac</v>
      </c>
      <c r="C298" t="str">
        <f t="shared" si="4"/>
        <v>q10ROW5_hidden_apac</v>
      </c>
    </row>
    <row r="299" spans="1:3" x14ac:dyDescent="0.25">
      <c r="A299" s="13" t="s">
        <v>504</v>
      </c>
      <c r="B299" t="str">
        <f t="shared" si="6"/>
        <v>_apac</v>
      </c>
      <c r="C299" t="str">
        <f t="shared" si="4"/>
        <v>q106_1_apac</v>
      </c>
    </row>
    <row r="300" spans="1:3" x14ac:dyDescent="0.25">
      <c r="A300" s="13" t="s">
        <v>505</v>
      </c>
      <c r="B300" t="str">
        <f t="shared" si="6"/>
        <v>_apac</v>
      </c>
      <c r="C300" t="str">
        <f t="shared" si="4"/>
        <v>q106_2_apac</v>
      </c>
    </row>
    <row r="301" spans="1:3" x14ac:dyDescent="0.25">
      <c r="A301" s="13" t="s">
        <v>506</v>
      </c>
      <c r="B301" t="str">
        <f t="shared" si="6"/>
        <v>_apac</v>
      </c>
      <c r="C301" t="str">
        <f t="shared" si="4"/>
        <v>q106_3_apac</v>
      </c>
    </row>
    <row r="302" spans="1:3" x14ac:dyDescent="0.25">
      <c r="A302" s="13" t="s">
        <v>507</v>
      </c>
      <c r="B302" t="str">
        <f t="shared" si="6"/>
        <v>_apac</v>
      </c>
      <c r="C302" t="str">
        <f t="shared" si="4"/>
        <v>q106_4_apac</v>
      </c>
    </row>
    <row r="303" spans="1:3" x14ac:dyDescent="0.25">
      <c r="A303" s="13" t="s">
        <v>508</v>
      </c>
      <c r="B303" t="str">
        <f t="shared" si="6"/>
        <v>_apac</v>
      </c>
      <c r="C303" t="str">
        <f t="shared" si="4"/>
        <v>q106_5_apac</v>
      </c>
    </row>
    <row r="304" spans="1:3" x14ac:dyDescent="0.25">
      <c r="A304" s="13" t="s">
        <v>509</v>
      </c>
      <c r="B304" t="str">
        <f t="shared" si="6"/>
        <v>_apac</v>
      </c>
      <c r="C304" t="str">
        <f t="shared" si="4"/>
        <v>q106_6_apac</v>
      </c>
    </row>
    <row r="305" spans="1:3" x14ac:dyDescent="0.25">
      <c r="A305" s="13" t="s">
        <v>510</v>
      </c>
      <c r="B305" t="str">
        <f t="shared" si="6"/>
        <v>_apac</v>
      </c>
      <c r="C305" t="str">
        <f t="shared" si="4"/>
        <v>q10ROW6_hidden_apac</v>
      </c>
    </row>
    <row r="306" spans="1:3" x14ac:dyDescent="0.25">
      <c r="A306" s="13" t="s">
        <v>511</v>
      </c>
      <c r="B306" t="str">
        <f t="shared" si="6"/>
        <v>_apac</v>
      </c>
      <c r="C306" t="str">
        <f t="shared" si="4"/>
        <v>q107_1_apac</v>
      </c>
    </row>
    <row r="307" spans="1:3" x14ac:dyDescent="0.25">
      <c r="A307" s="13" t="s">
        <v>512</v>
      </c>
      <c r="B307" t="str">
        <f t="shared" si="6"/>
        <v>_apac</v>
      </c>
      <c r="C307" t="str">
        <f t="shared" si="4"/>
        <v>q107_2_apac</v>
      </c>
    </row>
    <row r="308" spans="1:3" x14ac:dyDescent="0.25">
      <c r="A308" s="13" t="s">
        <v>513</v>
      </c>
      <c r="B308" t="str">
        <f t="shared" si="6"/>
        <v>_apac</v>
      </c>
      <c r="C308" t="str">
        <f t="shared" si="4"/>
        <v>q107_3_apac</v>
      </c>
    </row>
    <row r="309" spans="1:3" x14ac:dyDescent="0.25">
      <c r="A309" s="13" t="s">
        <v>514</v>
      </c>
      <c r="B309" t="str">
        <f t="shared" si="6"/>
        <v>_apac</v>
      </c>
      <c r="C309" t="str">
        <f t="shared" si="4"/>
        <v>q107_4_apac</v>
      </c>
    </row>
    <row r="310" spans="1:3" x14ac:dyDescent="0.25">
      <c r="A310" s="13" t="s">
        <v>515</v>
      </c>
      <c r="B310" t="str">
        <f t="shared" si="6"/>
        <v>_apac</v>
      </c>
      <c r="C310" t="str">
        <f t="shared" si="4"/>
        <v>q107_5_apac</v>
      </c>
    </row>
    <row r="311" spans="1:3" x14ac:dyDescent="0.25">
      <c r="A311" s="13" t="s">
        <v>516</v>
      </c>
      <c r="B311" t="str">
        <f t="shared" si="6"/>
        <v>_apac</v>
      </c>
      <c r="C311" t="str">
        <f t="shared" si="4"/>
        <v>q107_6_apac</v>
      </c>
    </row>
    <row r="312" spans="1:3" x14ac:dyDescent="0.25">
      <c r="A312" s="13" t="s">
        <v>517</v>
      </c>
      <c r="B312" t="str">
        <f t="shared" si="6"/>
        <v>_apac</v>
      </c>
      <c r="C312" t="str">
        <f t="shared" si="4"/>
        <v>q10ROW7_hidden_apac</v>
      </c>
    </row>
    <row r="313" spans="1:3" x14ac:dyDescent="0.25">
      <c r="A313" s="13" t="s">
        <v>518</v>
      </c>
      <c r="B313" t="str">
        <f t="shared" si="6"/>
        <v>_apac</v>
      </c>
      <c r="C313" t="str">
        <f t="shared" si="4"/>
        <v>q10other_apac</v>
      </c>
    </row>
    <row r="314" spans="1:3" x14ac:dyDescent="0.25">
      <c r="A314" s="13" t="s">
        <v>519</v>
      </c>
      <c r="B314" t="str">
        <f t="shared" si="6"/>
        <v>_apac</v>
      </c>
      <c r="C314" t="str">
        <f t="shared" si="4"/>
        <v>q108_1_apac</v>
      </c>
    </row>
    <row r="315" spans="1:3" x14ac:dyDescent="0.25">
      <c r="A315" s="13" t="s">
        <v>520</v>
      </c>
      <c r="B315" t="str">
        <f t="shared" si="6"/>
        <v>_apac</v>
      </c>
      <c r="C315" t="str">
        <f t="shared" si="4"/>
        <v>q108_2_apac</v>
      </c>
    </row>
    <row r="316" spans="1:3" x14ac:dyDescent="0.25">
      <c r="A316" s="13" t="s">
        <v>521</v>
      </c>
      <c r="B316" t="str">
        <f t="shared" si="6"/>
        <v>_apac</v>
      </c>
      <c r="C316" t="str">
        <f t="shared" si="4"/>
        <v>q108_3_apac</v>
      </c>
    </row>
    <row r="317" spans="1:3" x14ac:dyDescent="0.25">
      <c r="A317" s="13" t="s">
        <v>522</v>
      </c>
      <c r="B317" t="str">
        <f t="shared" si="6"/>
        <v>_apac</v>
      </c>
      <c r="C317" t="str">
        <f t="shared" si="4"/>
        <v>q108_4_apac</v>
      </c>
    </row>
    <row r="318" spans="1:3" x14ac:dyDescent="0.25">
      <c r="A318" s="13" t="s">
        <v>523</v>
      </c>
      <c r="B318" t="str">
        <f t="shared" si="6"/>
        <v>_apac</v>
      </c>
      <c r="C318" t="str">
        <f t="shared" si="4"/>
        <v>q108_5_apac</v>
      </c>
    </row>
    <row r="319" spans="1:3" x14ac:dyDescent="0.25">
      <c r="A319" s="13" t="s">
        <v>524</v>
      </c>
      <c r="B319" t="str">
        <f t="shared" si="6"/>
        <v>_apac</v>
      </c>
      <c r="C319" t="str">
        <f t="shared" si="4"/>
        <v>q108_6_apac</v>
      </c>
    </row>
    <row r="320" spans="1:3" x14ac:dyDescent="0.25">
      <c r="A320" s="13" t="s">
        <v>525</v>
      </c>
      <c r="B320" t="str">
        <f t="shared" si="6"/>
        <v>_apac</v>
      </c>
      <c r="C320" t="str">
        <f t="shared" si="4"/>
        <v>q10ROW8_hidden_apac</v>
      </c>
    </row>
    <row r="321" spans="1:3" x14ac:dyDescent="0.25">
      <c r="A321" s="13" t="s">
        <v>526</v>
      </c>
      <c r="B321" t="str">
        <f t="shared" si="6"/>
        <v>_apac</v>
      </c>
      <c r="C321" t="str">
        <f t="shared" si="4"/>
        <v>q10COL1_hidden_apac</v>
      </c>
    </row>
    <row r="322" spans="1:3" x14ac:dyDescent="0.25">
      <c r="A322" s="13" t="s">
        <v>527</v>
      </c>
      <c r="B322" t="str">
        <f t="shared" si="6"/>
        <v>_apac</v>
      </c>
      <c r="C322" t="str">
        <f t="shared" si="4"/>
        <v>q10COL2_hidden_apac</v>
      </c>
    </row>
    <row r="323" spans="1:3" x14ac:dyDescent="0.25">
      <c r="A323" s="13" t="s">
        <v>528</v>
      </c>
      <c r="B323" t="str">
        <f t="shared" si="6"/>
        <v>_apac</v>
      </c>
      <c r="C323" t="str">
        <f t="shared" ref="C323:C386" si="7">_xlfn.CONCAT(A323,B323)</f>
        <v>q10COL3_hidden_apac</v>
      </c>
    </row>
    <row r="324" spans="1:3" x14ac:dyDescent="0.25">
      <c r="A324" s="13" t="s">
        <v>529</v>
      </c>
      <c r="B324" t="str">
        <f t="shared" si="6"/>
        <v>_apac</v>
      </c>
      <c r="C324" t="str">
        <f t="shared" si="7"/>
        <v>q10COL4_hidden_apac</v>
      </c>
    </row>
    <row r="325" spans="1:3" x14ac:dyDescent="0.25">
      <c r="A325" s="13" t="s">
        <v>530</v>
      </c>
      <c r="B325" t="str">
        <f t="shared" si="6"/>
        <v>_apac</v>
      </c>
      <c r="C325" t="str">
        <f t="shared" si="7"/>
        <v>q10COL5_hidden_apac</v>
      </c>
    </row>
    <row r="326" spans="1:3" x14ac:dyDescent="0.25">
      <c r="A326" s="13" t="s">
        <v>531</v>
      </c>
      <c r="B326" t="str">
        <f t="shared" si="6"/>
        <v>_apac</v>
      </c>
      <c r="C326" t="str">
        <f t="shared" si="7"/>
        <v>q10COL6_hidden_apac</v>
      </c>
    </row>
    <row r="327" spans="1:3" x14ac:dyDescent="0.25">
      <c r="A327" s="13" t="s">
        <v>532</v>
      </c>
      <c r="B327" t="str">
        <f t="shared" si="6"/>
        <v>_apac</v>
      </c>
      <c r="C327" t="str">
        <f t="shared" si="7"/>
        <v>q10GRANDTotal_hidden_apac</v>
      </c>
    </row>
    <row r="328" spans="1:3" x14ac:dyDescent="0.25">
      <c r="A328" s="13" t="s">
        <v>534</v>
      </c>
      <c r="B328" t="str">
        <f t="shared" ref="B328:B359" si="8">B327</f>
        <v>_apac</v>
      </c>
      <c r="C328" t="str">
        <f t="shared" si="7"/>
        <v>q111_1_apac</v>
      </c>
    </row>
    <row r="329" spans="1:3" x14ac:dyDescent="0.25">
      <c r="A329" s="13" t="s">
        <v>535</v>
      </c>
      <c r="B329" t="str">
        <f t="shared" si="8"/>
        <v>_apac</v>
      </c>
      <c r="C329" t="str">
        <f t="shared" si="7"/>
        <v>q111_2_apac</v>
      </c>
    </row>
    <row r="330" spans="1:3" x14ac:dyDescent="0.25">
      <c r="A330" s="13" t="s">
        <v>536</v>
      </c>
      <c r="B330" t="str">
        <f t="shared" si="8"/>
        <v>_apac</v>
      </c>
      <c r="C330" t="str">
        <f t="shared" si="7"/>
        <v>q111_3_apac</v>
      </c>
    </row>
    <row r="331" spans="1:3" x14ac:dyDescent="0.25">
      <c r="A331" s="13" t="s">
        <v>537</v>
      </c>
      <c r="B331" t="str">
        <f t="shared" si="8"/>
        <v>_apac</v>
      </c>
      <c r="C331" t="str">
        <f t="shared" si="7"/>
        <v>q111_4_apac</v>
      </c>
    </row>
    <row r="332" spans="1:3" x14ac:dyDescent="0.25">
      <c r="A332" s="13" t="s">
        <v>538</v>
      </c>
      <c r="B332" t="str">
        <f t="shared" si="8"/>
        <v>_apac</v>
      </c>
      <c r="C332" t="str">
        <f t="shared" si="7"/>
        <v>q111_5_apac</v>
      </c>
    </row>
    <row r="333" spans="1:3" x14ac:dyDescent="0.25">
      <c r="A333" s="13" t="s">
        <v>539</v>
      </c>
      <c r="B333" t="str">
        <f t="shared" si="8"/>
        <v>_apac</v>
      </c>
      <c r="C333" t="str">
        <f t="shared" si="7"/>
        <v>q111_6_apac</v>
      </c>
    </row>
    <row r="334" spans="1:3" x14ac:dyDescent="0.25">
      <c r="A334" s="13" t="s">
        <v>540</v>
      </c>
      <c r="B334" t="str">
        <f t="shared" si="8"/>
        <v>_apac</v>
      </c>
      <c r="C334" t="str">
        <f t="shared" si="7"/>
        <v>q11ROW1_hidden_apac</v>
      </c>
    </row>
    <row r="335" spans="1:3" x14ac:dyDescent="0.25">
      <c r="A335" s="13" t="s">
        <v>542</v>
      </c>
      <c r="B335" t="str">
        <f t="shared" si="8"/>
        <v>_apac</v>
      </c>
      <c r="C335" t="str">
        <f t="shared" si="7"/>
        <v>q112_1_apac</v>
      </c>
    </row>
    <row r="336" spans="1:3" x14ac:dyDescent="0.25">
      <c r="A336" s="13" t="s">
        <v>543</v>
      </c>
      <c r="B336" t="str">
        <f t="shared" si="8"/>
        <v>_apac</v>
      </c>
      <c r="C336" t="str">
        <f t="shared" si="7"/>
        <v>q112_2_apac</v>
      </c>
    </row>
    <row r="337" spans="1:3" x14ac:dyDescent="0.25">
      <c r="A337" s="13" t="s">
        <v>544</v>
      </c>
      <c r="B337" t="str">
        <f t="shared" si="8"/>
        <v>_apac</v>
      </c>
      <c r="C337" t="str">
        <f t="shared" si="7"/>
        <v>q112_3_apac</v>
      </c>
    </row>
    <row r="338" spans="1:3" x14ac:dyDescent="0.25">
      <c r="A338" s="13" t="s">
        <v>545</v>
      </c>
      <c r="B338" t="str">
        <f t="shared" si="8"/>
        <v>_apac</v>
      </c>
      <c r="C338" t="str">
        <f t="shared" si="7"/>
        <v>q112_4_apac</v>
      </c>
    </row>
    <row r="339" spans="1:3" x14ac:dyDescent="0.25">
      <c r="A339" s="13" t="s">
        <v>546</v>
      </c>
      <c r="B339" t="str">
        <f t="shared" si="8"/>
        <v>_apac</v>
      </c>
      <c r="C339" t="str">
        <f t="shared" si="7"/>
        <v>q112_5_apac</v>
      </c>
    </row>
    <row r="340" spans="1:3" x14ac:dyDescent="0.25">
      <c r="A340" s="13" t="s">
        <v>547</v>
      </c>
      <c r="B340" t="str">
        <f t="shared" si="8"/>
        <v>_apac</v>
      </c>
      <c r="C340" t="str">
        <f t="shared" si="7"/>
        <v>q112_6_apac</v>
      </c>
    </row>
    <row r="341" spans="1:3" x14ac:dyDescent="0.25">
      <c r="A341" s="13" t="s">
        <v>548</v>
      </c>
      <c r="B341" t="str">
        <f t="shared" si="8"/>
        <v>_apac</v>
      </c>
      <c r="C341" t="str">
        <f t="shared" si="7"/>
        <v>q11ROW2_hidden_apac</v>
      </c>
    </row>
    <row r="342" spans="1:3" x14ac:dyDescent="0.25">
      <c r="A342" s="13" t="s">
        <v>550</v>
      </c>
      <c r="B342" t="str">
        <f t="shared" si="8"/>
        <v>_apac</v>
      </c>
      <c r="C342" t="str">
        <f t="shared" si="7"/>
        <v>q113_1_apac</v>
      </c>
    </row>
    <row r="343" spans="1:3" x14ac:dyDescent="0.25">
      <c r="A343" s="13" t="s">
        <v>551</v>
      </c>
      <c r="B343" t="str">
        <f t="shared" si="8"/>
        <v>_apac</v>
      </c>
      <c r="C343" t="str">
        <f t="shared" si="7"/>
        <v>q113_2_apac</v>
      </c>
    </row>
    <row r="344" spans="1:3" x14ac:dyDescent="0.25">
      <c r="A344" s="13" t="s">
        <v>552</v>
      </c>
      <c r="B344" t="str">
        <f t="shared" si="8"/>
        <v>_apac</v>
      </c>
      <c r="C344" t="str">
        <f t="shared" si="7"/>
        <v>q113_3_apac</v>
      </c>
    </row>
    <row r="345" spans="1:3" x14ac:dyDescent="0.25">
      <c r="A345" s="13" t="s">
        <v>553</v>
      </c>
      <c r="B345" t="str">
        <f t="shared" si="8"/>
        <v>_apac</v>
      </c>
      <c r="C345" t="str">
        <f t="shared" si="7"/>
        <v>q113_4_apac</v>
      </c>
    </row>
    <row r="346" spans="1:3" x14ac:dyDescent="0.25">
      <c r="A346" s="13" t="s">
        <v>554</v>
      </c>
      <c r="B346" t="str">
        <f t="shared" si="8"/>
        <v>_apac</v>
      </c>
      <c r="C346" t="str">
        <f t="shared" si="7"/>
        <v>q113_5_apac</v>
      </c>
    </row>
    <row r="347" spans="1:3" x14ac:dyDescent="0.25">
      <c r="A347" s="13" t="s">
        <v>555</v>
      </c>
      <c r="B347" t="str">
        <f t="shared" si="8"/>
        <v>_apac</v>
      </c>
      <c r="C347" t="str">
        <f t="shared" si="7"/>
        <v>q113_6_apac</v>
      </c>
    </row>
    <row r="348" spans="1:3" x14ac:dyDescent="0.25">
      <c r="A348" s="13" t="s">
        <v>556</v>
      </c>
      <c r="B348" t="str">
        <f t="shared" si="8"/>
        <v>_apac</v>
      </c>
      <c r="C348" t="str">
        <f t="shared" si="7"/>
        <v>q11ROW3_hidden_apac</v>
      </c>
    </row>
    <row r="349" spans="1:3" x14ac:dyDescent="0.25">
      <c r="A349" s="13" t="s">
        <v>558</v>
      </c>
      <c r="B349" t="str">
        <f t="shared" si="8"/>
        <v>_apac</v>
      </c>
      <c r="C349" t="str">
        <f t="shared" si="7"/>
        <v>q114_1_apac</v>
      </c>
    </row>
    <row r="350" spans="1:3" x14ac:dyDescent="0.25">
      <c r="A350" s="13" t="s">
        <v>559</v>
      </c>
      <c r="B350" t="str">
        <f t="shared" si="8"/>
        <v>_apac</v>
      </c>
      <c r="C350" t="str">
        <f t="shared" si="7"/>
        <v>q114_2_apac</v>
      </c>
    </row>
    <row r="351" spans="1:3" x14ac:dyDescent="0.25">
      <c r="A351" s="13" t="s">
        <v>560</v>
      </c>
      <c r="B351" t="str">
        <f t="shared" si="8"/>
        <v>_apac</v>
      </c>
      <c r="C351" t="str">
        <f t="shared" si="7"/>
        <v>q114_3_apac</v>
      </c>
    </row>
    <row r="352" spans="1:3" x14ac:dyDescent="0.25">
      <c r="A352" s="13" t="s">
        <v>561</v>
      </c>
      <c r="B352" t="str">
        <f t="shared" si="8"/>
        <v>_apac</v>
      </c>
      <c r="C352" t="str">
        <f t="shared" si="7"/>
        <v>q114_4_apac</v>
      </c>
    </row>
    <row r="353" spans="1:3" x14ac:dyDescent="0.25">
      <c r="A353" s="13" t="s">
        <v>562</v>
      </c>
      <c r="B353" t="str">
        <f t="shared" si="8"/>
        <v>_apac</v>
      </c>
      <c r="C353" t="str">
        <f t="shared" si="7"/>
        <v>q114_5_apac</v>
      </c>
    </row>
    <row r="354" spans="1:3" x14ac:dyDescent="0.25">
      <c r="A354" s="13" t="s">
        <v>563</v>
      </c>
      <c r="B354" t="str">
        <f t="shared" si="8"/>
        <v>_apac</v>
      </c>
      <c r="C354" t="str">
        <f t="shared" si="7"/>
        <v>q114_6_apac</v>
      </c>
    </row>
    <row r="355" spans="1:3" x14ac:dyDescent="0.25">
      <c r="A355" s="13" t="s">
        <v>564</v>
      </c>
      <c r="B355" t="str">
        <f t="shared" si="8"/>
        <v>_apac</v>
      </c>
      <c r="C355" t="str">
        <f t="shared" si="7"/>
        <v>q11ROW4_hidden_apac</v>
      </c>
    </row>
    <row r="356" spans="1:3" x14ac:dyDescent="0.25">
      <c r="A356" s="13" t="s">
        <v>566</v>
      </c>
      <c r="B356" t="str">
        <f t="shared" si="8"/>
        <v>_apac</v>
      </c>
      <c r="C356" t="str">
        <f t="shared" si="7"/>
        <v>q115_1_apac</v>
      </c>
    </row>
    <row r="357" spans="1:3" x14ac:dyDescent="0.25">
      <c r="A357" s="13" t="s">
        <v>567</v>
      </c>
      <c r="B357" t="str">
        <f t="shared" si="8"/>
        <v>_apac</v>
      </c>
      <c r="C357" t="str">
        <f t="shared" si="7"/>
        <v>q115_2_apac</v>
      </c>
    </row>
    <row r="358" spans="1:3" x14ac:dyDescent="0.25">
      <c r="A358" s="13" t="s">
        <v>568</v>
      </c>
      <c r="B358" t="str">
        <f t="shared" si="8"/>
        <v>_apac</v>
      </c>
      <c r="C358" t="str">
        <f t="shared" si="7"/>
        <v>q115_3_apac</v>
      </c>
    </row>
    <row r="359" spans="1:3" x14ac:dyDescent="0.25">
      <c r="A359" s="13" t="s">
        <v>569</v>
      </c>
      <c r="B359" t="str">
        <f t="shared" si="8"/>
        <v>_apac</v>
      </c>
      <c r="C359" t="str">
        <f t="shared" si="7"/>
        <v>q115_4_apac</v>
      </c>
    </row>
    <row r="360" spans="1:3" x14ac:dyDescent="0.25">
      <c r="A360" s="13" t="s">
        <v>570</v>
      </c>
      <c r="B360" t="str">
        <f t="shared" ref="B360:B369" si="9">B359</f>
        <v>_apac</v>
      </c>
      <c r="C360" t="str">
        <f t="shared" si="7"/>
        <v>q115_5_apac</v>
      </c>
    </row>
    <row r="361" spans="1:3" x14ac:dyDescent="0.25">
      <c r="A361" s="13" t="s">
        <v>571</v>
      </c>
      <c r="B361" t="str">
        <f t="shared" si="9"/>
        <v>_apac</v>
      </c>
      <c r="C361" t="str">
        <f t="shared" si="7"/>
        <v>q115_6_apac</v>
      </c>
    </row>
    <row r="362" spans="1:3" x14ac:dyDescent="0.25">
      <c r="A362" s="13" t="s">
        <v>572</v>
      </c>
      <c r="B362" t="str">
        <f t="shared" si="9"/>
        <v>_apac</v>
      </c>
      <c r="C362" t="str">
        <f t="shared" si="7"/>
        <v>q11ROW5_hidden_apac</v>
      </c>
    </row>
    <row r="363" spans="1:3" x14ac:dyDescent="0.25">
      <c r="A363" s="13" t="s">
        <v>573</v>
      </c>
      <c r="B363" t="str">
        <f t="shared" si="9"/>
        <v>_apac</v>
      </c>
      <c r="C363" t="str">
        <f t="shared" si="7"/>
        <v>q11COL1_hidden_apac</v>
      </c>
    </row>
    <row r="364" spans="1:3" x14ac:dyDescent="0.25">
      <c r="A364" s="13" t="s">
        <v>574</v>
      </c>
      <c r="B364" t="str">
        <f t="shared" si="9"/>
        <v>_apac</v>
      </c>
      <c r="C364" t="str">
        <f t="shared" si="7"/>
        <v>q11COL2_hidden_apac</v>
      </c>
    </row>
    <row r="365" spans="1:3" x14ac:dyDescent="0.25">
      <c r="A365" s="13" t="s">
        <v>575</v>
      </c>
      <c r="B365" t="str">
        <f t="shared" si="9"/>
        <v>_apac</v>
      </c>
      <c r="C365" t="str">
        <f t="shared" si="7"/>
        <v>q11COL3_hidden_apac</v>
      </c>
    </row>
    <row r="366" spans="1:3" x14ac:dyDescent="0.25">
      <c r="A366" s="13" t="s">
        <v>576</v>
      </c>
      <c r="B366" t="str">
        <f t="shared" si="9"/>
        <v>_apac</v>
      </c>
      <c r="C366" t="str">
        <f t="shared" si="7"/>
        <v>q11COL4_hidden_apac</v>
      </c>
    </row>
    <row r="367" spans="1:3" x14ac:dyDescent="0.25">
      <c r="A367" s="13" t="s">
        <v>577</v>
      </c>
      <c r="B367" t="str">
        <f t="shared" si="9"/>
        <v>_apac</v>
      </c>
      <c r="C367" t="str">
        <f t="shared" si="7"/>
        <v>q11COL5_hidden_apac</v>
      </c>
    </row>
    <row r="368" spans="1:3" x14ac:dyDescent="0.25">
      <c r="A368" s="13" t="s">
        <v>578</v>
      </c>
      <c r="B368" t="str">
        <f t="shared" si="9"/>
        <v>_apac</v>
      </c>
      <c r="C368" t="str">
        <f t="shared" si="7"/>
        <v>q11COL6_hidden_apac</v>
      </c>
    </row>
    <row r="369" spans="1:3" x14ac:dyDescent="0.25">
      <c r="A369" s="13" t="s">
        <v>579</v>
      </c>
      <c r="B369" t="str">
        <f t="shared" si="9"/>
        <v>_apac</v>
      </c>
      <c r="C369" t="str">
        <f t="shared" si="7"/>
        <v>q11GRANDTotal_hidden_apac</v>
      </c>
    </row>
    <row r="370" spans="1:3" x14ac:dyDescent="0.25">
      <c r="A370" s="13" t="s">
        <v>582</v>
      </c>
      <c r="B370" t="s">
        <v>581</v>
      </c>
      <c r="C370" t="str">
        <f t="shared" si="7"/>
        <v>EUROPE_europe</v>
      </c>
    </row>
    <row r="371" spans="1:3" x14ac:dyDescent="0.25">
      <c r="A371" s="13" t="s">
        <v>469</v>
      </c>
      <c r="B371" t="str">
        <f t="shared" ref="B371:B402" si="10">B370</f>
        <v>_europe</v>
      </c>
      <c r="C371" t="str">
        <f t="shared" si="7"/>
        <v>q101_1_europe</v>
      </c>
    </row>
    <row r="372" spans="1:3" x14ac:dyDescent="0.25">
      <c r="A372" s="13" t="s">
        <v>470</v>
      </c>
      <c r="B372" t="str">
        <f t="shared" si="10"/>
        <v>_europe</v>
      </c>
      <c r="C372" t="str">
        <f t="shared" si="7"/>
        <v>q101_2_europe</v>
      </c>
    </row>
    <row r="373" spans="1:3" x14ac:dyDescent="0.25">
      <c r="A373" s="13" t="s">
        <v>471</v>
      </c>
      <c r="B373" t="str">
        <f t="shared" si="10"/>
        <v>_europe</v>
      </c>
      <c r="C373" t="str">
        <f t="shared" si="7"/>
        <v>q101_3_europe</v>
      </c>
    </row>
    <row r="374" spans="1:3" x14ac:dyDescent="0.25">
      <c r="A374" s="13" t="s">
        <v>472</v>
      </c>
      <c r="B374" t="str">
        <f t="shared" si="10"/>
        <v>_europe</v>
      </c>
      <c r="C374" t="str">
        <f t="shared" si="7"/>
        <v>q101_4_europe</v>
      </c>
    </row>
    <row r="375" spans="1:3" x14ac:dyDescent="0.25">
      <c r="A375" s="13" t="s">
        <v>473</v>
      </c>
      <c r="B375" t="str">
        <f t="shared" si="10"/>
        <v>_europe</v>
      </c>
      <c r="C375" t="str">
        <f t="shared" si="7"/>
        <v>q101_5_europe</v>
      </c>
    </row>
    <row r="376" spans="1:3" x14ac:dyDescent="0.25">
      <c r="A376" s="13" t="s">
        <v>474</v>
      </c>
      <c r="B376" t="str">
        <f t="shared" si="10"/>
        <v>_europe</v>
      </c>
      <c r="C376" t="str">
        <f t="shared" si="7"/>
        <v>q101_6_europe</v>
      </c>
    </row>
    <row r="377" spans="1:3" x14ac:dyDescent="0.25">
      <c r="A377" s="13" t="s">
        <v>475</v>
      </c>
      <c r="B377" t="str">
        <f t="shared" si="10"/>
        <v>_europe</v>
      </c>
      <c r="C377" t="str">
        <f t="shared" si="7"/>
        <v>q10ROW1_hidden_europe</v>
      </c>
    </row>
    <row r="378" spans="1:3" x14ac:dyDescent="0.25">
      <c r="A378" s="13" t="s">
        <v>476</v>
      </c>
      <c r="B378" t="str">
        <f t="shared" si="10"/>
        <v>_europe</v>
      </c>
      <c r="C378" t="str">
        <f t="shared" si="7"/>
        <v>q102_1_europe</v>
      </c>
    </row>
    <row r="379" spans="1:3" x14ac:dyDescent="0.25">
      <c r="A379" s="13" t="s">
        <v>477</v>
      </c>
      <c r="B379" t="str">
        <f t="shared" si="10"/>
        <v>_europe</v>
      </c>
      <c r="C379" t="str">
        <f t="shared" si="7"/>
        <v>q102_2_europe</v>
      </c>
    </row>
    <row r="380" spans="1:3" x14ac:dyDescent="0.25">
      <c r="A380" s="13" t="s">
        <v>478</v>
      </c>
      <c r="B380" t="str">
        <f t="shared" si="10"/>
        <v>_europe</v>
      </c>
      <c r="C380" t="str">
        <f t="shared" si="7"/>
        <v>q102_3_europe</v>
      </c>
    </row>
    <row r="381" spans="1:3" x14ac:dyDescent="0.25">
      <c r="A381" s="13" t="s">
        <v>479</v>
      </c>
      <c r="B381" t="str">
        <f t="shared" si="10"/>
        <v>_europe</v>
      </c>
      <c r="C381" t="str">
        <f t="shared" si="7"/>
        <v>q102_4_europe</v>
      </c>
    </row>
    <row r="382" spans="1:3" x14ac:dyDescent="0.25">
      <c r="A382" s="13" t="s">
        <v>480</v>
      </c>
      <c r="B382" t="str">
        <f t="shared" si="10"/>
        <v>_europe</v>
      </c>
      <c r="C382" t="str">
        <f t="shared" si="7"/>
        <v>q102_5_europe</v>
      </c>
    </row>
    <row r="383" spans="1:3" x14ac:dyDescent="0.25">
      <c r="A383" s="13" t="s">
        <v>481</v>
      </c>
      <c r="B383" t="str">
        <f t="shared" si="10"/>
        <v>_europe</v>
      </c>
      <c r="C383" t="str">
        <f t="shared" si="7"/>
        <v>q102_6_europe</v>
      </c>
    </row>
    <row r="384" spans="1:3" x14ac:dyDescent="0.25">
      <c r="A384" s="13" t="s">
        <v>482</v>
      </c>
      <c r="B384" t="str">
        <f t="shared" si="10"/>
        <v>_europe</v>
      </c>
      <c r="C384" t="str">
        <f t="shared" si="7"/>
        <v>q10ROW2_hidden_europe</v>
      </c>
    </row>
    <row r="385" spans="1:3" x14ac:dyDescent="0.25">
      <c r="A385" s="13" t="s">
        <v>483</v>
      </c>
      <c r="B385" t="str">
        <f t="shared" si="10"/>
        <v>_europe</v>
      </c>
      <c r="C385" t="str">
        <f t="shared" si="7"/>
        <v>q103_1_europe</v>
      </c>
    </row>
    <row r="386" spans="1:3" x14ac:dyDescent="0.25">
      <c r="A386" s="13" t="s">
        <v>484</v>
      </c>
      <c r="B386" t="str">
        <f t="shared" si="10"/>
        <v>_europe</v>
      </c>
      <c r="C386" t="str">
        <f t="shared" si="7"/>
        <v>q103_2_europe</v>
      </c>
    </row>
    <row r="387" spans="1:3" x14ac:dyDescent="0.25">
      <c r="A387" s="13" t="s">
        <v>485</v>
      </c>
      <c r="B387" t="str">
        <f t="shared" si="10"/>
        <v>_europe</v>
      </c>
      <c r="C387" t="str">
        <f t="shared" ref="C387:C450" si="11">_xlfn.CONCAT(A387,B387)</f>
        <v>q103_3_europe</v>
      </c>
    </row>
    <row r="388" spans="1:3" x14ac:dyDescent="0.25">
      <c r="A388" s="13" t="s">
        <v>486</v>
      </c>
      <c r="B388" t="str">
        <f t="shared" si="10"/>
        <v>_europe</v>
      </c>
      <c r="C388" t="str">
        <f t="shared" si="11"/>
        <v>q103_4_europe</v>
      </c>
    </row>
    <row r="389" spans="1:3" x14ac:dyDescent="0.25">
      <c r="A389" s="13" t="s">
        <v>487</v>
      </c>
      <c r="B389" t="str">
        <f t="shared" si="10"/>
        <v>_europe</v>
      </c>
      <c r="C389" t="str">
        <f t="shared" si="11"/>
        <v>q103_5_europe</v>
      </c>
    </row>
    <row r="390" spans="1:3" x14ac:dyDescent="0.25">
      <c r="A390" s="13" t="s">
        <v>488</v>
      </c>
      <c r="B390" t="str">
        <f t="shared" si="10"/>
        <v>_europe</v>
      </c>
      <c r="C390" t="str">
        <f t="shared" si="11"/>
        <v>q103_6_europe</v>
      </c>
    </row>
    <row r="391" spans="1:3" x14ac:dyDescent="0.25">
      <c r="A391" s="13" t="s">
        <v>489</v>
      </c>
      <c r="B391" t="str">
        <f t="shared" si="10"/>
        <v>_europe</v>
      </c>
      <c r="C391" t="str">
        <f t="shared" si="11"/>
        <v>q10ROW3_hidden_europe</v>
      </c>
    </row>
    <row r="392" spans="1:3" x14ac:dyDescent="0.25">
      <c r="A392" s="13" t="s">
        <v>490</v>
      </c>
      <c r="B392" t="str">
        <f t="shared" si="10"/>
        <v>_europe</v>
      </c>
      <c r="C392" t="str">
        <f t="shared" si="11"/>
        <v>q104_1_europe</v>
      </c>
    </row>
    <row r="393" spans="1:3" x14ac:dyDescent="0.25">
      <c r="A393" s="13" t="s">
        <v>491</v>
      </c>
      <c r="B393" t="str">
        <f t="shared" si="10"/>
        <v>_europe</v>
      </c>
      <c r="C393" t="str">
        <f t="shared" si="11"/>
        <v>q104_2_europe</v>
      </c>
    </row>
    <row r="394" spans="1:3" x14ac:dyDescent="0.25">
      <c r="A394" s="13" t="s">
        <v>492</v>
      </c>
      <c r="B394" t="str">
        <f t="shared" si="10"/>
        <v>_europe</v>
      </c>
      <c r="C394" t="str">
        <f t="shared" si="11"/>
        <v>q104_3_europe</v>
      </c>
    </row>
    <row r="395" spans="1:3" x14ac:dyDescent="0.25">
      <c r="A395" s="13" t="s">
        <v>493</v>
      </c>
      <c r="B395" t="str">
        <f t="shared" si="10"/>
        <v>_europe</v>
      </c>
      <c r="C395" t="str">
        <f t="shared" si="11"/>
        <v>q104_4_europe</v>
      </c>
    </row>
    <row r="396" spans="1:3" x14ac:dyDescent="0.25">
      <c r="A396" s="13" t="s">
        <v>494</v>
      </c>
      <c r="B396" t="str">
        <f t="shared" si="10"/>
        <v>_europe</v>
      </c>
      <c r="C396" t="str">
        <f t="shared" si="11"/>
        <v>q104_5_europe</v>
      </c>
    </row>
    <row r="397" spans="1:3" x14ac:dyDescent="0.25">
      <c r="A397" s="13" t="s">
        <v>495</v>
      </c>
      <c r="B397" t="str">
        <f t="shared" si="10"/>
        <v>_europe</v>
      </c>
      <c r="C397" t="str">
        <f t="shared" si="11"/>
        <v>q104_6_europe</v>
      </c>
    </row>
    <row r="398" spans="1:3" x14ac:dyDescent="0.25">
      <c r="A398" s="13" t="s">
        <v>496</v>
      </c>
      <c r="B398" t="str">
        <f t="shared" si="10"/>
        <v>_europe</v>
      </c>
      <c r="C398" t="str">
        <f t="shared" si="11"/>
        <v>q10ROW4_hidden_europe</v>
      </c>
    </row>
    <row r="399" spans="1:3" x14ac:dyDescent="0.25">
      <c r="A399" s="13" t="s">
        <v>497</v>
      </c>
      <c r="B399" t="str">
        <f t="shared" si="10"/>
        <v>_europe</v>
      </c>
      <c r="C399" t="str">
        <f t="shared" si="11"/>
        <v>q105_1_europe</v>
      </c>
    </row>
    <row r="400" spans="1:3" x14ac:dyDescent="0.25">
      <c r="A400" s="13" t="s">
        <v>498</v>
      </c>
      <c r="B400" t="str">
        <f t="shared" si="10"/>
        <v>_europe</v>
      </c>
      <c r="C400" t="str">
        <f t="shared" si="11"/>
        <v>q105_2_europe</v>
      </c>
    </row>
    <row r="401" spans="1:3" x14ac:dyDescent="0.25">
      <c r="A401" s="13" t="s">
        <v>499</v>
      </c>
      <c r="B401" t="str">
        <f t="shared" si="10"/>
        <v>_europe</v>
      </c>
      <c r="C401" t="str">
        <f t="shared" si="11"/>
        <v>q105_3_europe</v>
      </c>
    </row>
    <row r="402" spans="1:3" x14ac:dyDescent="0.25">
      <c r="A402" s="13" t="s">
        <v>500</v>
      </c>
      <c r="B402" t="str">
        <f t="shared" si="10"/>
        <v>_europe</v>
      </c>
      <c r="C402" t="str">
        <f t="shared" si="11"/>
        <v>q105_4_europe</v>
      </c>
    </row>
    <row r="403" spans="1:3" x14ac:dyDescent="0.25">
      <c r="A403" s="13" t="s">
        <v>501</v>
      </c>
      <c r="B403" t="str">
        <f t="shared" ref="B403:B434" si="12">B402</f>
        <v>_europe</v>
      </c>
      <c r="C403" t="str">
        <f t="shared" si="11"/>
        <v>q105_5_europe</v>
      </c>
    </row>
    <row r="404" spans="1:3" x14ac:dyDescent="0.25">
      <c r="A404" s="13" t="s">
        <v>502</v>
      </c>
      <c r="B404" t="str">
        <f t="shared" si="12"/>
        <v>_europe</v>
      </c>
      <c r="C404" t="str">
        <f t="shared" si="11"/>
        <v>q105_6_europe</v>
      </c>
    </row>
    <row r="405" spans="1:3" x14ac:dyDescent="0.25">
      <c r="A405" s="13" t="s">
        <v>503</v>
      </c>
      <c r="B405" t="str">
        <f t="shared" si="12"/>
        <v>_europe</v>
      </c>
      <c r="C405" t="str">
        <f t="shared" si="11"/>
        <v>q10ROW5_hidden_europe</v>
      </c>
    </row>
    <row r="406" spans="1:3" x14ac:dyDescent="0.25">
      <c r="A406" s="13" t="s">
        <v>504</v>
      </c>
      <c r="B406" t="str">
        <f t="shared" si="12"/>
        <v>_europe</v>
      </c>
      <c r="C406" t="str">
        <f t="shared" si="11"/>
        <v>q106_1_europe</v>
      </c>
    </row>
    <row r="407" spans="1:3" x14ac:dyDescent="0.25">
      <c r="A407" s="13" t="s">
        <v>505</v>
      </c>
      <c r="B407" t="str">
        <f t="shared" si="12"/>
        <v>_europe</v>
      </c>
      <c r="C407" t="str">
        <f t="shared" si="11"/>
        <v>q106_2_europe</v>
      </c>
    </row>
    <row r="408" spans="1:3" x14ac:dyDescent="0.25">
      <c r="A408" s="13" t="s">
        <v>506</v>
      </c>
      <c r="B408" t="str">
        <f t="shared" si="12"/>
        <v>_europe</v>
      </c>
      <c r="C408" t="str">
        <f t="shared" si="11"/>
        <v>q106_3_europe</v>
      </c>
    </row>
    <row r="409" spans="1:3" x14ac:dyDescent="0.25">
      <c r="A409" s="13" t="s">
        <v>507</v>
      </c>
      <c r="B409" t="str">
        <f t="shared" si="12"/>
        <v>_europe</v>
      </c>
      <c r="C409" t="str">
        <f t="shared" si="11"/>
        <v>q106_4_europe</v>
      </c>
    </row>
    <row r="410" spans="1:3" x14ac:dyDescent="0.25">
      <c r="A410" s="13" t="s">
        <v>508</v>
      </c>
      <c r="B410" t="str">
        <f t="shared" si="12"/>
        <v>_europe</v>
      </c>
      <c r="C410" t="str">
        <f t="shared" si="11"/>
        <v>q106_5_europe</v>
      </c>
    </row>
    <row r="411" spans="1:3" x14ac:dyDescent="0.25">
      <c r="A411" s="13" t="s">
        <v>509</v>
      </c>
      <c r="B411" t="str">
        <f t="shared" si="12"/>
        <v>_europe</v>
      </c>
      <c r="C411" t="str">
        <f t="shared" si="11"/>
        <v>q106_6_europe</v>
      </c>
    </row>
    <row r="412" spans="1:3" x14ac:dyDescent="0.25">
      <c r="A412" s="13" t="s">
        <v>510</v>
      </c>
      <c r="B412" t="str">
        <f t="shared" si="12"/>
        <v>_europe</v>
      </c>
      <c r="C412" t="str">
        <f t="shared" si="11"/>
        <v>q10ROW6_hidden_europe</v>
      </c>
    </row>
    <row r="413" spans="1:3" x14ac:dyDescent="0.25">
      <c r="A413" s="13" t="s">
        <v>511</v>
      </c>
      <c r="B413" t="str">
        <f t="shared" si="12"/>
        <v>_europe</v>
      </c>
      <c r="C413" t="str">
        <f t="shared" si="11"/>
        <v>q107_1_europe</v>
      </c>
    </row>
    <row r="414" spans="1:3" x14ac:dyDescent="0.25">
      <c r="A414" s="13" t="s">
        <v>512</v>
      </c>
      <c r="B414" t="str">
        <f t="shared" si="12"/>
        <v>_europe</v>
      </c>
      <c r="C414" t="str">
        <f t="shared" si="11"/>
        <v>q107_2_europe</v>
      </c>
    </row>
    <row r="415" spans="1:3" x14ac:dyDescent="0.25">
      <c r="A415" s="13" t="s">
        <v>513</v>
      </c>
      <c r="B415" t="str">
        <f t="shared" si="12"/>
        <v>_europe</v>
      </c>
      <c r="C415" t="str">
        <f t="shared" si="11"/>
        <v>q107_3_europe</v>
      </c>
    </row>
    <row r="416" spans="1:3" x14ac:dyDescent="0.25">
      <c r="A416" s="13" t="s">
        <v>514</v>
      </c>
      <c r="B416" t="str">
        <f t="shared" si="12"/>
        <v>_europe</v>
      </c>
      <c r="C416" t="str">
        <f t="shared" si="11"/>
        <v>q107_4_europe</v>
      </c>
    </row>
    <row r="417" spans="1:3" x14ac:dyDescent="0.25">
      <c r="A417" s="13" t="s">
        <v>515</v>
      </c>
      <c r="B417" t="str">
        <f t="shared" si="12"/>
        <v>_europe</v>
      </c>
      <c r="C417" t="str">
        <f t="shared" si="11"/>
        <v>q107_5_europe</v>
      </c>
    </row>
    <row r="418" spans="1:3" x14ac:dyDescent="0.25">
      <c r="A418" s="13" t="s">
        <v>516</v>
      </c>
      <c r="B418" t="str">
        <f t="shared" si="12"/>
        <v>_europe</v>
      </c>
      <c r="C418" t="str">
        <f t="shared" si="11"/>
        <v>q107_6_europe</v>
      </c>
    </row>
    <row r="419" spans="1:3" x14ac:dyDescent="0.25">
      <c r="A419" s="13" t="s">
        <v>517</v>
      </c>
      <c r="B419" t="str">
        <f t="shared" si="12"/>
        <v>_europe</v>
      </c>
      <c r="C419" t="str">
        <f t="shared" si="11"/>
        <v>q10ROW7_hidden_europe</v>
      </c>
    </row>
    <row r="420" spans="1:3" x14ac:dyDescent="0.25">
      <c r="A420" s="13" t="s">
        <v>518</v>
      </c>
      <c r="B420" t="str">
        <f t="shared" si="12"/>
        <v>_europe</v>
      </c>
      <c r="C420" t="str">
        <f t="shared" si="11"/>
        <v>q10other_europe</v>
      </c>
    </row>
    <row r="421" spans="1:3" x14ac:dyDescent="0.25">
      <c r="A421" s="13" t="s">
        <v>519</v>
      </c>
      <c r="B421" t="str">
        <f t="shared" si="12"/>
        <v>_europe</v>
      </c>
      <c r="C421" t="str">
        <f t="shared" si="11"/>
        <v>q108_1_europe</v>
      </c>
    </row>
    <row r="422" spans="1:3" x14ac:dyDescent="0.25">
      <c r="A422" s="13" t="s">
        <v>520</v>
      </c>
      <c r="B422" t="str">
        <f t="shared" si="12"/>
        <v>_europe</v>
      </c>
      <c r="C422" t="str">
        <f t="shared" si="11"/>
        <v>q108_2_europe</v>
      </c>
    </row>
    <row r="423" spans="1:3" x14ac:dyDescent="0.25">
      <c r="A423" s="13" t="s">
        <v>521</v>
      </c>
      <c r="B423" t="str">
        <f t="shared" si="12"/>
        <v>_europe</v>
      </c>
      <c r="C423" t="str">
        <f t="shared" si="11"/>
        <v>q108_3_europe</v>
      </c>
    </row>
    <row r="424" spans="1:3" x14ac:dyDescent="0.25">
      <c r="A424" s="13" t="s">
        <v>522</v>
      </c>
      <c r="B424" t="str">
        <f t="shared" si="12"/>
        <v>_europe</v>
      </c>
      <c r="C424" t="str">
        <f t="shared" si="11"/>
        <v>q108_4_europe</v>
      </c>
    </row>
    <row r="425" spans="1:3" x14ac:dyDescent="0.25">
      <c r="A425" s="13" t="s">
        <v>523</v>
      </c>
      <c r="B425" t="str">
        <f t="shared" si="12"/>
        <v>_europe</v>
      </c>
      <c r="C425" t="str">
        <f t="shared" si="11"/>
        <v>q108_5_europe</v>
      </c>
    </row>
    <row r="426" spans="1:3" x14ac:dyDescent="0.25">
      <c r="A426" s="13" t="s">
        <v>524</v>
      </c>
      <c r="B426" t="str">
        <f t="shared" si="12"/>
        <v>_europe</v>
      </c>
      <c r="C426" t="str">
        <f t="shared" si="11"/>
        <v>q108_6_europe</v>
      </c>
    </row>
    <row r="427" spans="1:3" x14ac:dyDescent="0.25">
      <c r="A427" s="13" t="s">
        <v>525</v>
      </c>
      <c r="B427" t="str">
        <f t="shared" si="12"/>
        <v>_europe</v>
      </c>
      <c r="C427" t="str">
        <f t="shared" si="11"/>
        <v>q10ROW8_hidden_europe</v>
      </c>
    </row>
    <row r="428" spans="1:3" x14ac:dyDescent="0.25">
      <c r="A428" s="13" t="s">
        <v>526</v>
      </c>
      <c r="B428" t="str">
        <f t="shared" si="12"/>
        <v>_europe</v>
      </c>
      <c r="C428" t="str">
        <f t="shared" si="11"/>
        <v>q10COL1_hidden_europe</v>
      </c>
    </row>
    <row r="429" spans="1:3" x14ac:dyDescent="0.25">
      <c r="A429" s="13" t="s">
        <v>527</v>
      </c>
      <c r="B429" t="str">
        <f t="shared" si="12"/>
        <v>_europe</v>
      </c>
      <c r="C429" t="str">
        <f t="shared" si="11"/>
        <v>q10COL2_hidden_europe</v>
      </c>
    </row>
    <row r="430" spans="1:3" x14ac:dyDescent="0.25">
      <c r="A430" s="13" t="s">
        <v>528</v>
      </c>
      <c r="B430" t="str">
        <f t="shared" si="12"/>
        <v>_europe</v>
      </c>
      <c r="C430" t="str">
        <f t="shared" si="11"/>
        <v>q10COL3_hidden_europe</v>
      </c>
    </row>
    <row r="431" spans="1:3" x14ac:dyDescent="0.25">
      <c r="A431" s="13" t="s">
        <v>529</v>
      </c>
      <c r="B431" t="str">
        <f t="shared" si="12"/>
        <v>_europe</v>
      </c>
      <c r="C431" t="str">
        <f t="shared" si="11"/>
        <v>q10COL4_hidden_europe</v>
      </c>
    </row>
    <row r="432" spans="1:3" x14ac:dyDescent="0.25">
      <c r="A432" s="13" t="s">
        <v>530</v>
      </c>
      <c r="B432" t="str">
        <f t="shared" si="12"/>
        <v>_europe</v>
      </c>
      <c r="C432" t="str">
        <f t="shared" si="11"/>
        <v>q10COL5_hidden_europe</v>
      </c>
    </row>
    <row r="433" spans="1:3" x14ac:dyDescent="0.25">
      <c r="A433" s="13" t="s">
        <v>531</v>
      </c>
      <c r="B433" t="str">
        <f t="shared" si="12"/>
        <v>_europe</v>
      </c>
      <c r="C433" t="str">
        <f t="shared" si="11"/>
        <v>q10COL6_hidden_europe</v>
      </c>
    </row>
    <row r="434" spans="1:3" x14ac:dyDescent="0.25">
      <c r="A434" s="13" t="s">
        <v>532</v>
      </c>
      <c r="B434" t="str">
        <f t="shared" si="12"/>
        <v>_europe</v>
      </c>
      <c r="C434" t="str">
        <f t="shared" si="11"/>
        <v>q10GRANDTotal_hidden_europe</v>
      </c>
    </row>
    <row r="435" spans="1:3" x14ac:dyDescent="0.25">
      <c r="A435" s="13" t="s">
        <v>534</v>
      </c>
      <c r="B435" t="str">
        <f t="shared" ref="B435:B466" si="13">B434</f>
        <v>_europe</v>
      </c>
      <c r="C435" t="str">
        <f t="shared" si="11"/>
        <v>q111_1_europe</v>
      </c>
    </row>
    <row r="436" spans="1:3" x14ac:dyDescent="0.25">
      <c r="A436" s="13" t="s">
        <v>535</v>
      </c>
      <c r="B436" t="str">
        <f t="shared" si="13"/>
        <v>_europe</v>
      </c>
      <c r="C436" t="str">
        <f t="shared" si="11"/>
        <v>q111_2_europe</v>
      </c>
    </row>
    <row r="437" spans="1:3" x14ac:dyDescent="0.25">
      <c r="A437" s="13" t="s">
        <v>536</v>
      </c>
      <c r="B437" t="str">
        <f t="shared" si="13"/>
        <v>_europe</v>
      </c>
      <c r="C437" t="str">
        <f t="shared" si="11"/>
        <v>q111_3_europe</v>
      </c>
    </row>
    <row r="438" spans="1:3" x14ac:dyDescent="0.25">
      <c r="A438" s="13" t="s">
        <v>537</v>
      </c>
      <c r="B438" t="str">
        <f t="shared" si="13"/>
        <v>_europe</v>
      </c>
      <c r="C438" t="str">
        <f t="shared" si="11"/>
        <v>q111_4_europe</v>
      </c>
    </row>
    <row r="439" spans="1:3" x14ac:dyDescent="0.25">
      <c r="A439" s="13" t="s">
        <v>538</v>
      </c>
      <c r="B439" t="str">
        <f t="shared" si="13"/>
        <v>_europe</v>
      </c>
      <c r="C439" t="str">
        <f t="shared" si="11"/>
        <v>q111_5_europe</v>
      </c>
    </row>
    <row r="440" spans="1:3" x14ac:dyDescent="0.25">
      <c r="A440" s="13" t="s">
        <v>539</v>
      </c>
      <c r="B440" t="str">
        <f t="shared" si="13"/>
        <v>_europe</v>
      </c>
      <c r="C440" t="str">
        <f t="shared" si="11"/>
        <v>q111_6_europe</v>
      </c>
    </row>
    <row r="441" spans="1:3" x14ac:dyDescent="0.25">
      <c r="A441" s="13" t="s">
        <v>540</v>
      </c>
      <c r="B441" t="str">
        <f t="shared" si="13"/>
        <v>_europe</v>
      </c>
      <c r="C441" t="str">
        <f t="shared" si="11"/>
        <v>q11ROW1_hidden_europe</v>
      </c>
    </row>
    <row r="442" spans="1:3" x14ac:dyDescent="0.25">
      <c r="A442" s="13" t="s">
        <v>542</v>
      </c>
      <c r="B442" t="str">
        <f t="shared" si="13"/>
        <v>_europe</v>
      </c>
      <c r="C442" t="str">
        <f t="shared" si="11"/>
        <v>q112_1_europe</v>
      </c>
    </row>
    <row r="443" spans="1:3" x14ac:dyDescent="0.25">
      <c r="A443" s="13" t="s">
        <v>543</v>
      </c>
      <c r="B443" t="str">
        <f t="shared" si="13"/>
        <v>_europe</v>
      </c>
      <c r="C443" t="str">
        <f t="shared" si="11"/>
        <v>q112_2_europe</v>
      </c>
    </row>
    <row r="444" spans="1:3" x14ac:dyDescent="0.25">
      <c r="A444" s="13" t="s">
        <v>544</v>
      </c>
      <c r="B444" t="str">
        <f t="shared" si="13"/>
        <v>_europe</v>
      </c>
      <c r="C444" t="str">
        <f t="shared" si="11"/>
        <v>q112_3_europe</v>
      </c>
    </row>
    <row r="445" spans="1:3" x14ac:dyDescent="0.25">
      <c r="A445" s="13" t="s">
        <v>545</v>
      </c>
      <c r="B445" t="str">
        <f t="shared" si="13"/>
        <v>_europe</v>
      </c>
      <c r="C445" t="str">
        <f t="shared" si="11"/>
        <v>q112_4_europe</v>
      </c>
    </row>
    <row r="446" spans="1:3" x14ac:dyDescent="0.25">
      <c r="A446" s="13" t="s">
        <v>546</v>
      </c>
      <c r="B446" t="str">
        <f t="shared" si="13"/>
        <v>_europe</v>
      </c>
      <c r="C446" t="str">
        <f t="shared" si="11"/>
        <v>q112_5_europe</v>
      </c>
    </row>
    <row r="447" spans="1:3" x14ac:dyDescent="0.25">
      <c r="A447" s="13" t="s">
        <v>547</v>
      </c>
      <c r="B447" t="str">
        <f t="shared" si="13"/>
        <v>_europe</v>
      </c>
      <c r="C447" t="str">
        <f t="shared" si="11"/>
        <v>q112_6_europe</v>
      </c>
    </row>
    <row r="448" spans="1:3" x14ac:dyDescent="0.25">
      <c r="A448" s="13" t="s">
        <v>548</v>
      </c>
      <c r="B448" t="str">
        <f t="shared" si="13"/>
        <v>_europe</v>
      </c>
      <c r="C448" t="str">
        <f t="shared" si="11"/>
        <v>q11ROW2_hidden_europe</v>
      </c>
    </row>
    <row r="449" spans="1:3" x14ac:dyDescent="0.25">
      <c r="A449" s="13" t="s">
        <v>550</v>
      </c>
      <c r="B449" t="str">
        <f t="shared" si="13"/>
        <v>_europe</v>
      </c>
      <c r="C449" t="str">
        <f t="shared" si="11"/>
        <v>q113_1_europe</v>
      </c>
    </row>
    <row r="450" spans="1:3" x14ac:dyDescent="0.25">
      <c r="A450" s="13" t="s">
        <v>551</v>
      </c>
      <c r="B450" t="str">
        <f t="shared" si="13"/>
        <v>_europe</v>
      </c>
      <c r="C450" t="str">
        <f t="shared" si="11"/>
        <v>q113_2_europe</v>
      </c>
    </row>
    <row r="451" spans="1:3" x14ac:dyDescent="0.25">
      <c r="A451" s="13" t="s">
        <v>552</v>
      </c>
      <c r="B451" t="str">
        <f t="shared" si="13"/>
        <v>_europe</v>
      </c>
      <c r="C451" t="str">
        <f t="shared" ref="C451:C514" si="14">_xlfn.CONCAT(A451,B451)</f>
        <v>q113_3_europe</v>
      </c>
    </row>
    <row r="452" spans="1:3" x14ac:dyDescent="0.25">
      <c r="A452" s="13" t="s">
        <v>553</v>
      </c>
      <c r="B452" t="str">
        <f t="shared" si="13"/>
        <v>_europe</v>
      </c>
      <c r="C452" t="str">
        <f t="shared" si="14"/>
        <v>q113_4_europe</v>
      </c>
    </row>
    <row r="453" spans="1:3" x14ac:dyDescent="0.25">
      <c r="A453" s="13" t="s">
        <v>554</v>
      </c>
      <c r="B453" t="str">
        <f t="shared" si="13"/>
        <v>_europe</v>
      </c>
      <c r="C453" t="str">
        <f t="shared" si="14"/>
        <v>q113_5_europe</v>
      </c>
    </row>
    <row r="454" spans="1:3" x14ac:dyDescent="0.25">
      <c r="A454" s="13" t="s">
        <v>555</v>
      </c>
      <c r="B454" t="str">
        <f t="shared" si="13"/>
        <v>_europe</v>
      </c>
      <c r="C454" t="str">
        <f t="shared" si="14"/>
        <v>q113_6_europe</v>
      </c>
    </row>
    <row r="455" spans="1:3" x14ac:dyDescent="0.25">
      <c r="A455" s="13" t="s">
        <v>556</v>
      </c>
      <c r="B455" t="str">
        <f t="shared" si="13"/>
        <v>_europe</v>
      </c>
      <c r="C455" t="str">
        <f t="shared" si="14"/>
        <v>q11ROW3_hidden_europe</v>
      </c>
    </row>
    <row r="456" spans="1:3" x14ac:dyDescent="0.25">
      <c r="A456" s="13" t="s">
        <v>558</v>
      </c>
      <c r="B456" t="str">
        <f t="shared" si="13"/>
        <v>_europe</v>
      </c>
      <c r="C456" t="str">
        <f t="shared" si="14"/>
        <v>q114_1_europe</v>
      </c>
    </row>
    <row r="457" spans="1:3" x14ac:dyDescent="0.25">
      <c r="A457" s="13" t="s">
        <v>559</v>
      </c>
      <c r="B457" t="str">
        <f t="shared" si="13"/>
        <v>_europe</v>
      </c>
      <c r="C457" t="str">
        <f t="shared" si="14"/>
        <v>q114_2_europe</v>
      </c>
    </row>
    <row r="458" spans="1:3" x14ac:dyDescent="0.25">
      <c r="A458" s="13" t="s">
        <v>560</v>
      </c>
      <c r="B458" t="str">
        <f t="shared" si="13"/>
        <v>_europe</v>
      </c>
      <c r="C458" t="str">
        <f t="shared" si="14"/>
        <v>q114_3_europe</v>
      </c>
    </row>
    <row r="459" spans="1:3" x14ac:dyDescent="0.25">
      <c r="A459" s="13" t="s">
        <v>561</v>
      </c>
      <c r="B459" t="str">
        <f t="shared" si="13"/>
        <v>_europe</v>
      </c>
      <c r="C459" t="str">
        <f t="shared" si="14"/>
        <v>q114_4_europe</v>
      </c>
    </row>
    <row r="460" spans="1:3" x14ac:dyDescent="0.25">
      <c r="A460" s="13" t="s">
        <v>562</v>
      </c>
      <c r="B460" t="str">
        <f t="shared" si="13"/>
        <v>_europe</v>
      </c>
      <c r="C460" t="str">
        <f t="shared" si="14"/>
        <v>q114_5_europe</v>
      </c>
    </row>
    <row r="461" spans="1:3" x14ac:dyDescent="0.25">
      <c r="A461" s="13" t="s">
        <v>563</v>
      </c>
      <c r="B461" t="str">
        <f t="shared" si="13"/>
        <v>_europe</v>
      </c>
      <c r="C461" t="str">
        <f t="shared" si="14"/>
        <v>q114_6_europe</v>
      </c>
    </row>
    <row r="462" spans="1:3" x14ac:dyDescent="0.25">
      <c r="A462" s="13" t="s">
        <v>564</v>
      </c>
      <c r="B462" t="str">
        <f t="shared" si="13"/>
        <v>_europe</v>
      </c>
      <c r="C462" t="str">
        <f t="shared" si="14"/>
        <v>q11ROW4_hidden_europe</v>
      </c>
    </row>
    <row r="463" spans="1:3" x14ac:dyDescent="0.25">
      <c r="A463" s="13" t="s">
        <v>566</v>
      </c>
      <c r="B463" t="str">
        <f t="shared" si="13"/>
        <v>_europe</v>
      </c>
      <c r="C463" t="str">
        <f t="shared" si="14"/>
        <v>q115_1_europe</v>
      </c>
    </row>
    <row r="464" spans="1:3" x14ac:dyDescent="0.25">
      <c r="A464" s="13" t="s">
        <v>567</v>
      </c>
      <c r="B464" t="str">
        <f t="shared" si="13"/>
        <v>_europe</v>
      </c>
      <c r="C464" t="str">
        <f t="shared" si="14"/>
        <v>q115_2_europe</v>
      </c>
    </row>
    <row r="465" spans="1:3" x14ac:dyDescent="0.25">
      <c r="A465" s="13" t="s">
        <v>568</v>
      </c>
      <c r="B465" t="str">
        <f t="shared" si="13"/>
        <v>_europe</v>
      </c>
      <c r="C465" t="str">
        <f t="shared" si="14"/>
        <v>q115_3_europe</v>
      </c>
    </row>
    <row r="466" spans="1:3" x14ac:dyDescent="0.25">
      <c r="A466" s="13" t="s">
        <v>569</v>
      </c>
      <c r="B466" t="str">
        <f t="shared" si="13"/>
        <v>_europe</v>
      </c>
      <c r="C466" t="str">
        <f t="shared" si="14"/>
        <v>q115_4_europe</v>
      </c>
    </row>
    <row r="467" spans="1:3" x14ac:dyDescent="0.25">
      <c r="A467" s="13" t="s">
        <v>570</v>
      </c>
      <c r="B467" t="str">
        <f t="shared" ref="B467:B476" si="15">B466</f>
        <v>_europe</v>
      </c>
      <c r="C467" t="str">
        <f t="shared" si="14"/>
        <v>q115_5_europe</v>
      </c>
    </row>
    <row r="468" spans="1:3" x14ac:dyDescent="0.25">
      <c r="A468" s="13" t="s">
        <v>571</v>
      </c>
      <c r="B468" t="str">
        <f t="shared" si="15"/>
        <v>_europe</v>
      </c>
      <c r="C468" t="str">
        <f t="shared" si="14"/>
        <v>q115_6_europe</v>
      </c>
    </row>
    <row r="469" spans="1:3" x14ac:dyDescent="0.25">
      <c r="A469" s="13" t="s">
        <v>572</v>
      </c>
      <c r="B469" t="str">
        <f t="shared" si="15"/>
        <v>_europe</v>
      </c>
      <c r="C469" t="str">
        <f t="shared" si="14"/>
        <v>q11ROW5_hidden_europe</v>
      </c>
    </row>
    <row r="470" spans="1:3" x14ac:dyDescent="0.25">
      <c r="A470" s="13" t="s">
        <v>573</v>
      </c>
      <c r="B470" t="str">
        <f t="shared" si="15"/>
        <v>_europe</v>
      </c>
      <c r="C470" t="str">
        <f t="shared" si="14"/>
        <v>q11COL1_hidden_europe</v>
      </c>
    </row>
    <row r="471" spans="1:3" x14ac:dyDescent="0.25">
      <c r="A471" s="13" t="s">
        <v>574</v>
      </c>
      <c r="B471" t="str">
        <f t="shared" si="15"/>
        <v>_europe</v>
      </c>
      <c r="C471" t="str">
        <f t="shared" si="14"/>
        <v>q11COL2_hidden_europe</v>
      </c>
    </row>
    <row r="472" spans="1:3" x14ac:dyDescent="0.25">
      <c r="A472" s="13" t="s">
        <v>575</v>
      </c>
      <c r="B472" t="str">
        <f t="shared" si="15"/>
        <v>_europe</v>
      </c>
      <c r="C472" t="str">
        <f t="shared" si="14"/>
        <v>q11COL3_hidden_europe</v>
      </c>
    </row>
    <row r="473" spans="1:3" x14ac:dyDescent="0.25">
      <c r="A473" s="13" t="s">
        <v>576</v>
      </c>
      <c r="B473" t="str">
        <f t="shared" si="15"/>
        <v>_europe</v>
      </c>
      <c r="C473" t="str">
        <f t="shared" si="14"/>
        <v>q11COL4_hidden_europe</v>
      </c>
    </row>
    <row r="474" spans="1:3" x14ac:dyDescent="0.25">
      <c r="A474" s="13" t="s">
        <v>577</v>
      </c>
      <c r="B474" t="str">
        <f t="shared" si="15"/>
        <v>_europe</v>
      </c>
      <c r="C474" t="str">
        <f t="shared" si="14"/>
        <v>q11COL5_hidden_europe</v>
      </c>
    </row>
    <row r="475" spans="1:3" x14ac:dyDescent="0.25">
      <c r="A475" s="13" t="s">
        <v>578</v>
      </c>
      <c r="B475" t="str">
        <f t="shared" si="15"/>
        <v>_europe</v>
      </c>
      <c r="C475" t="str">
        <f t="shared" si="14"/>
        <v>q11COL6_hidden_europe</v>
      </c>
    </row>
    <row r="476" spans="1:3" x14ac:dyDescent="0.25">
      <c r="A476" s="13" t="s">
        <v>579</v>
      </c>
      <c r="B476" t="str">
        <f t="shared" si="15"/>
        <v>_europe</v>
      </c>
      <c r="C476" t="str">
        <f t="shared" si="14"/>
        <v>q11GRANDTotal_hidden_europe</v>
      </c>
    </row>
    <row r="477" spans="1:3" x14ac:dyDescent="0.25">
      <c r="A477" s="13" t="s">
        <v>583</v>
      </c>
      <c r="B477" t="s">
        <v>1413</v>
      </c>
      <c r="C477" t="str">
        <f t="shared" si="14"/>
        <v>NORTH AMERICA_northamerica</v>
      </c>
    </row>
    <row r="478" spans="1:3" x14ac:dyDescent="0.25">
      <c r="A478" s="13" t="s">
        <v>469</v>
      </c>
      <c r="B478" t="str">
        <f t="shared" ref="B478:B509" si="16">B477</f>
        <v>_northamerica</v>
      </c>
      <c r="C478" t="str">
        <f t="shared" si="14"/>
        <v>q101_1_northamerica</v>
      </c>
    </row>
    <row r="479" spans="1:3" x14ac:dyDescent="0.25">
      <c r="A479" s="13" t="s">
        <v>470</v>
      </c>
      <c r="B479" t="str">
        <f t="shared" si="16"/>
        <v>_northamerica</v>
      </c>
      <c r="C479" t="str">
        <f t="shared" si="14"/>
        <v>q101_2_northamerica</v>
      </c>
    </row>
    <row r="480" spans="1:3" x14ac:dyDescent="0.25">
      <c r="A480" s="13" t="s">
        <v>471</v>
      </c>
      <c r="B480" t="str">
        <f t="shared" si="16"/>
        <v>_northamerica</v>
      </c>
      <c r="C480" t="str">
        <f t="shared" si="14"/>
        <v>q101_3_northamerica</v>
      </c>
    </row>
    <row r="481" spans="1:3" x14ac:dyDescent="0.25">
      <c r="A481" s="13" t="s">
        <v>472</v>
      </c>
      <c r="B481" t="str">
        <f t="shared" si="16"/>
        <v>_northamerica</v>
      </c>
      <c r="C481" t="str">
        <f t="shared" si="14"/>
        <v>q101_4_northamerica</v>
      </c>
    </row>
    <row r="482" spans="1:3" x14ac:dyDescent="0.25">
      <c r="A482" s="13" t="s">
        <v>473</v>
      </c>
      <c r="B482" t="str">
        <f t="shared" si="16"/>
        <v>_northamerica</v>
      </c>
      <c r="C482" t="str">
        <f t="shared" si="14"/>
        <v>q101_5_northamerica</v>
      </c>
    </row>
    <row r="483" spans="1:3" x14ac:dyDescent="0.25">
      <c r="A483" s="13" t="s">
        <v>474</v>
      </c>
      <c r="B483" t="str">
        <f t="shared" si="16"/>
        <v>_northamerica</v>
      </c>
      <c r="C483" t="str">
        <f t="shared" si="14"/>
        <v>q101_6_northamerica</v>
      </c>
    </row>
    <row r="484" spans="1:3" x14ac:dyDescent="0.25">
      <c r="A484" s="13" t="s">
        <v>475</v>
      </c>
      <c r="B484" t="str">
        <f t="shared" si="16"/>
        <v>_northamerica</v>
      </c>
      <c r="C484" t="str">
        <f t="shared" si="14"/>
        <v>q10ROW1_hidden_northamerica</v>
      </c>
    </row>
    <row r="485" spans="1:3" x14ac:dyDescent="0.25">
      <c r="A485" s="13" t="s">
        <v>476</v>
      </c>
      <c r="B485" t="str">
        <f t="shared" si="16"/>
        <v>_northamerica</v>
      </c>
      <c r="C485" t="str">
        <f t="shared" si="14"/>
        <v>q102_1_northamerica</v>
      </c>
    </row>
    <row r="486" spans="1:3" x14ac:dyDescent="0.25">
      <c r="A486" s="13" t="s">
        <v>477</v>
      </c>
      <c r="B486" t="str">
        <f t="shared" si="16"/>
        <v>_northamerica</v>
      </c>
      <c r="C486" t="str">
        <f t="shared" si="14"/>
        <v>q102_2_northamerica</v>
      </c>
    </row>
    <row r="487" spans="1:3" x14ac:dyDescent="0.25">
      <c r="A487" s="13" t="s">
        <v>478</v>
      </c>
      <c r="B487" t="str">
        <f t="shared" si="16"/>
        <v>_northamerica</v>
      </c>
      <c r="C487" t="str">
        <f t="shared" si="14"/>
        <v>q102_3_northamerica</v>
      </c>
    </row>
    <row r="488" spans="1:3" x14ac:dyDescent="0.25">
      <c r="A488" s="13" t="s">
        <v>479</v>
      </c>
      <c r="B488" t="str">
        <f t="shared" si="16"/>
        <v>_northamerica</v>
      </c>
      <c r="C488" t="str">
        <f t="shared" si="14"/>
        <v>q102_4_northamerica</v>
      </c>
    </row>
    <row r="489" spans="1:3" x14ac:dyDescent="0.25">
      <c r="A489" s="13" t="s">
        <v>480</v>
      </c>
      <c r="B489" t="str">
        <f t="shared" si="16"/>
        <v>_northamerica</v>
      </c>
      <c r="C489" t="str">
        <f t="shared" si="14"/>
        <v>q102_5_northamerica</v>
      </c>
    </row>
    <row r="490" spans="1:3" x14ac:dyDescent="0.25">
      <c r="A490" s="13" t="s">
        <v>481</v>
      </c>
      <c r="B490" t="str">
        <f t="shared" si="16"/>
        <v>_northamerica</v>
      </c>
      <c r="C490" t="str">
        <f t="shared" si="14"/>
        <v>q102_6_northamerica</v>
      </c>
    </row>
    <row r="491" spans="1:3" x14ac:dyDescent="0.25">
      <c r="A491" s="13" t="s">
        <v>482</v>
      </c>
      <c r="B491" t="str">
        <f t="shared" si="16"/>
        <v>_northamerica</v>
      </c>
      <c r="C491" t="str">
        <f t="shared" si="14"/>
        <v>q10ROW2_hidden_northamerica</v>
      </c>
    </row>
    <row r="492" spans="1:3" x14ac:dyDescent="0.25">
      <c r="A492" s="13" t="s">
        <v>483</v>
      </c>
      <c r="B492" t="str">
        <f t="shared" si="16"/>
        <v>_northamerica</v>
      </c>
      <c r="C492" t="str">
        <f t="shared" si="14"/>
        <v>q103_1_northamerica</v>
      </c>
    </row>
    <row r="493" spans="1:3" x14ac:dyDescent="0.25">
      <c r="A493" s="13" t="s">
        <v>484</v>
      </c>
      <c r="B493" t="str">
        <f t="shared" si="16"/>
        <v>_northamerica</v>
      </c>
      <c r="C493" t="str">
        <f t="shared" si="14"/>
        <v>q103_2_northamerica</v>
      </c>
    </row>
    <row r="494" spans="1:3" x14ac:dyDescent="0.25">
      <c r="A494" s="13" t="s">
        <v>485</v>
      </c>
      <c r="B494" t="str">
        <f t="shared" si="16"/>
        <v>_northamerica</v>
      </c>
      <c r="C494" t="str">
        <f t="shared" si="14"/>
        <v>q103_3_northamerica</v>
      </c>
    </row>
    <row r="495" spans="1:3" x14ac:dyDescent="0.25">
      <c r="A495" s="13" t="s">
        <v>486</v>
      </c>
      <c r="B495" t="str">
        <f t="shared" si="16"/>
        <v>_northamerica</v>
      </c>
      <c r="C495" t="str">
        <f t="shared" si="14"/>
        <v>q103_4_northamerica</v>
      </c>
    </row>
    <row r="496" spans="1:3" x14ac:dyDescent="0.25">
      <c r="A496" s="13" t="s">
        <v>487</v>
      </c>
      <c r="B496" t="str">
        <f t="shared" si="16"/>
        <v>_northamerica</v>
      </c>
      <c r="C496" t="str">
        <f t="shared" si="14"/>
        <v>q103_5_northamerica</v>
      </c>
    </row>
    <row r="497" spans="1:3" x14ac:dyDescent="0.25">
      <c r="A497" s="13" t="s">
        <v>488</v>
      </c>
      <c r="B497" t="str">
        <f t="shared" si="16"/>
        <v>_northamerica</v>
      </c>
      <c r="C497" t="str">
        <f t="shared" si="14"/>
        <v>q103_6_northamerica</v>
      </c>
    </row>
    <row r="498" spans="1:3" x14ac:dyDescent="0.25">
      <c r="A498" s="13" t="s">
        <v>489</v>
      </c>
      <c r="B498" t="str">
        <f t="shared" si="16"/>
        <v>_northamerica</v>
      </c>
      <c r="C498" t="str">
        <f t="shared" si="14"/>
        <v>q10ROW3_hidden_northamerica</v>
      </c>
    </row>
    <row r="499" spans="1:3" x14ac:dyDescent="0.25">
      <c r="A499" s="13" t="s">
        <v>490</v>
      </c>
      <c r="B499" t="str">
        <f t="shared" si="16"/>
        <v>_northamerica</v>
      </c>
      <c r="C499" t="str">
        <f t="shared" si="14"/>
        <v>q104_1_northamerica</v>
      </c>
    </row>
    <row r="500" spans="1:3" x14ac:dyDescent="0.25">
      <c r="A500" s="13" t="s">
        <v>491</v>
      </c>
      <c r="B500" t="str">
        <f t="shared" si="16"/>
        <v>_northamerica</v>
      </c>
      <c r="C500" t="str">
        <f t="shared" si="14"/>
        <v>q104_2_northamerica</v>
      </c>
    </row>
    <row r="501" spans="1:3" x14ac:dyDescent="0.25">
      <c r="A501" s="13" t="s">
        <v>492</v>
      </c>
      <c r="B501" t="str">
        <f t="shared" si="16"/>
        <v>_northamerica</v>
      </c>
      <c r="C501" t="str">
        <f t="shared" si="14"/>
        <v>q104_3_northamerica</v>
      </c>
    </row>
    <row r="502" spans="1:3" x14ac:dyDescent="0.25">
      <c r="A502" s="13" t="s">
        <v>493</v>
      </c>
      <c r="B502" t="str">
        <f t="shared" si="16"/>
        <v>_northamerica</v>
      </c>
      <c r="C502" t="str">
        <f t="shared" si="14"/>
        <v>q104_4_northamerica</v>
      </c>
    </row>
    <row r="503" spans="1:3" x14ac:dyDescent="0.25">
      <c r="A503" s="13" t="s">
        <v>494</v>
      </c>
      <c r="B503" t="str">
        <f t="shared" si="16"/>
        <v>_northamerica</v>
      </c>
      <c r="C503" t="str">
        <f t="shared" si="14"/>
        <v>q104_5_northamerica</v>
      </c>
    </row>
    <row r="504" spans="1:3" x14ac:dyDescent="0.25">
      <c r="A504" s="13" t="s">
        <v>495</v>
      </c>
      <c r="B504" t="str">
        <f t="shared" si="16"/>
        <v>_northamerica</v>
      </c>
      <c r="C504" t="str">
        <f t="shared" si="14"/>
        <v>q104_6_northamerica</v>
      </c>
    </row>
    <row r="505" spans="1:3" x14ac:dyDescent="0.25">
      <c r="A505" s="13" t="s">
        <v>496</v>
      </c>
      <c r="B505" t="str">
        <f t="shared" si="16"/>
        <v>_northamerica</v>
      </c>
      <c r="C505" t="str">
        <f t="shared" si="14"/>
        <v>q10ROW4_hidden_northamerica</v>
      </c>
    </row>
    <row r="506" spans="1:3" x14ac:dyDescent="0.25">
      <c r="A506" s="13" t="s">
        <v>497</v>
      </c>
      <c r="B506" t="str">
        <f t="shared" si="16"/>
        <v>_northamerica</v>
      </c>
      <c r="C506" t="str">
        <f t="shared" si="14"/>
        <v>q105_1_northamerica</v>
      </c>
    </row>
    <row r="507" spans="1:3" x14ac:dyDescent="0.25">
      <c r="A507" s="13" t="s">
        <v>498</v>
      </c>
      <c r="B507" t="str">
        <f t="shared" si="16"/>
        <v>_northamerica</v>
      </c>
      <c r="C507" t="str">
        <f t="shared" si="14"/>
        <v>q105_2_northamerica</v>
      </c>
    </row>
    <row r="508" spans="1:3" x14ac:dyDescent="0.25">
      <c r="A508" s="13" t="s">
        <v>499</v>
      </c>
      <c r="B508" t="str">
        <f t="shared" si="16"/>
        <v>_northamerica</v>
      </c>
      <c r="C508" t="str">
        <f t="shared" si="14"/>
        <v>q105_3_northamerica</v>
      </c>
    </row>
    <row r="509" spans="1:3" x14ac:dyDescent="0.25">
      <c r="A509" s="13" t="s">
        <v>500</v>
      </c>
      <c r="B509" t="str">
        <f t="shared" si="16"/>
        <v>_northamerica</v>
      </c>
      <c r="C509" t="str">
        <f t="shared" si="14"/>
        <v>q105_4_northamerica</v>
      </c>
    </row>
    <row r="510" spans="1:3" x14ac:dyDescent="0.25">
      <c r="A510" s="13" t="s">
        <v>501</v>
      </c>
      <c r="B510" t="str">
        <f t="shared" ref="B510:B541" si="17">B509</f>
        <v>_northamerica</v>
      </c>
      <c r="C510" t="str">
        <f t="shared" si="14"/>
        <v>q105_5_northamerica</v>
      </c>
    </row>
    <row r="511" spans="1:3" x14ac:dyDescent="0.25">
      <c r="A511" s="13" t="s">
        <v>502</v>
      </c>
      <c r="B511" t="str">
        <f t="shared" si="17"/>
        <v>_northamerica</v>
      </c>
      <c r="C511" t="str">
        <f t="shared" si="14"/>
        <v>q105_6_northamerica</v>
      </c>
    </row>
    <row r="512" spans="1:3" x14ac:dyDescent="0.25">
      <c r="A512" s="13" t="s">
        <v>503</v>
      </c>
      <c r="B512" t="str">
        <f t="shared" si="17"/>
        <v>_northamerica</v>
      </c>
      <c r="C512" t="str">
        <f t="shared" si="14"/>
        <v>q10ROW5_hidden_northamerica</v>
      </c>
    </row>
    <row r="513" spans="1:3" x14ac:dyDescent="0.25">
      <c r="A513" s="13" t="s">
        <v>504</v>
      </c>
      <c r="B513" t="str">
        <f t="shared" si="17"/>
        <v>_northamerica</v>
      </c>
      <c r="C513" t="str">
        <f t="shared" si="14"/>
        <v>q106_1_northamerica</v>
      </c>
    </row>
    <row r="514" spans="1:3" x14ac:dyDescent="0.25">
      <c r="A514" s="13" t="s">
        <v>505</v>
      </c>
      <c r="B514" t="str">
        <f t="shared" si="17"/>
        <v>_northamerica</v>
      </c>
      <c r="C514" t="str">
        <f t="shared" si="14"/>
        <v>q106_2_northamerica</v>
      </c>
    </row>
    <row r="515" spans="1:3" x14ac:dyDescent="0.25">
      <c r="A515" s="13" t="s">
        <v>506</v>
      </c>
      <c r="B515" t="str">
        <f t="shared" si="17"/>
        <v>_northamerica</v>
      </c>
      <c r="C515" t="str">
        <f t="shared" ref="C515:C578" si="18">_xlfn.CONCAT(A515,B515)</f>
        <v>q106_3_northamerica</v>
      </c>
    </row>
    <row r="516" spans="1:3" x14ac:dyDescent="0.25">
      <c r="A516" s="13" t="s">
        <v>507</v>
      </c>
      <c r="B516" t="str">
        <f t="shared" si="17"/>
        <v>_northamerica</v>
      </c>
      <c r="C516" t="str">
        <f t="shared" si="18"/>
        <v>q106_4_northamerica</v>
      </c>
    </row>
    <row r="517" spans="1:3" x14ac:dyDescent="0.25">
      <c r="A517" s="13" t="s">
        <v>508</v>
      </c>
      <c r="B517" t="str">
        <f t="shared" si="17"/>
        <v>_northamerica</v>
      </c>
      <c r="C517" t="str">
        <f t="shared" si="18"/>
        <v>q106_5_northamerica</v>
      </c>
    </row>
    <row r="518" spans="1:3" x14ac:dyDescent="0.25">
      <c r="A518" s="13" t="s">
        <v>509</v>
      </c>
      <c r="B518" t="str">
        <f t="shared" si="17"/>
        <v>_northamerica</v>
      </c>
      <c r="C518" t="str">
        <f t="shared" si="18"/>
        <v>q106_6_northamerica</v>
      </c>
    </row>
    <row r="519" spans="1:3" x14ac:dyDescent="0.25">
      <c r="A519" s="13" t="s">
        <v>510</v>
      </c>
      <c r="B519" t="str">
        <f t="shared" si="17"/>
        <v>_northamerica</v>
      </c>
      <c r="C519" t="str">
        <f t="shared" si="18"/>
        <v>q10ROW6_hidden_northamerica</v>
      </c>
    </row>
    <row r="520" spans="1:3" x14ac:dyDescent="0.25">
      <c r="A520" s="13" t="s">
        <v>511</v>
      </c>
      <c r="B520" t="str">
        <f t="shared" si="17"/>
        <v>_northamerica</v>
      </c>
      <c r="C520" t="str">
        <f t="shared" si="18"/>
        <v>q107_1_northamerica</v>
      </c>
    </row>
    <row r="521" spans="1:3" x14ac:dyDescent="0.25">
      <c r="A521" s="13" t="s">
        <v>512</v>
      </c>
      <c r="B521" t="str">
        <f t="shared" si="17"/>
        <v>_northamerica</v>
      </c>
      <c r="C521" t="str">
        <f t="shared" si="18"/>
        <v>q107_2_northamerica</v>
      </c>
    </row>
    <row r="522" spans="1:3" x14ac:dyDescent="0.25">
      <c r="A522" s="13" t="s">
        <v>513</v>
      </c>
      <c r="B522" t="str">
        <f t="shared" si="17"/>
        <v>_northamerica</v>
      </c>
      <c r="C522" t="str">
        <f t="shared" si="18"/>
        <v>q107_3_northamerica</v>
      </c>
    </row>
    <row r="523" spans="1:3" x14ac:dyDescent="0.25">
      <c r="A523" s="13" t="s">
        <v>514</v>
      </c>
      <c r="B523" t="str">
        <f t="shared" si="17"/>
        <v>_northamerica</v>
      </c>
      <c r="C523" t="str">
        <f t="shared" si="18"/>
        <v>q107_4_northamerica</v>
      </c>
    </row>
    <row r="524" spans="1:3" x14ac:dyDescent="0.25">
      <c r="A524" s="13" t="s">
        <v>515</v>
      </c>
      <c r="B524" t="str">
        <f t="shared" si="17"/>
        <v>_northamerica</v>
      </c>
      <c r="C524" t="str">
        <f t="shared" si="18"/>
        <v>q107_5_northamerica</v>
      </c>
    </row>
    <row r="525" spans="1:3" x14ac:dyDescent="0.25">
      <c r="A525" s="13" t="s">
        <v>516</v>
      </c>
      <c r="B525" t="str">
        <f t="shared" si="17"/>
        <v>_northamerica</v>
      </c>
      <c r="C525" t="str">
        <f t="shared" si="18"/>
        <v>q107_6_northamerica</v>
      </c>
    </row>
    <row r="526" spans="1:3" x14ac:dyDescent="0.25">
      <c r="A526" s="13" t="s">
        <v>517</v>
      </c>
      <c r="B526" t="str">
        <f t="shared" si="17"/>
        <v>_northamerica</v>
      </c>
      <c r="C526" t="str">
        <f t="shared" si="18"/>
        <v>q10ROW7_hidden_northamerica</v>
      </c>
    </row>
    <row r="527" spans="1:3" x14ac:dyDescent="0.25">
      <c r="A527" s="13" t="s">
        <v>518</v>
      </c>
      <c r="B527" t="str">
        <f t="shared" si="17"/>
        <v>_northamerica</v>
      </c>
      <c r="C527" t="str">
        <f t="shared" si="18"/>
        <v>q10other_northamerica</v>
      </c>
    </row>
    <row r="528" spans="1:3" x14ac:dyDescent="0.25">
      <c r="A528" s="13" t="s">
        <v>519</v>
      </c>
      <c r="B528" t="str">
        <f t="shared" si="17"/>
        <v>_northamerica</v>
      </c>
      <c r="C528" t="str">
        <f t="shared" si="18"/>
        <v>q108_1_northamerica</v>
      </c>
    </row>
    <row r="529" spans="1:3" x14ac:dyDescent="0.25">
      <c r="A529" s="13" t="s">
        <v>520</v>
      </c>
      <c r="B529" t="str">
        <f t="shared" si="17"/>
        <v>_northamerica</v>
      </c>
      <c r="C529" t="str">
        <f t="shared" si="18"/>
        <v>q108_2_northamerica</v>
      </c>
    </row>
    <row r="530" spans="1:3" x14ac:dyDescent="0.25">
      <c r="A530" s="13" t="s">
        <v>521</v>
      </c>
      <c r="B530" t="str">
        <f t="shared" si="17"/>
        <v>_northamerica</v>
      </c>
      <c r="C530" t="str">
        <f t="shared" si="18"/>
        <v>q108_3_northamerica</v>
      </c>
    </row>
    <row r="531" spans="1:3" x14ac:dyDescent="0.25">
      <c r="A531" s="13" t="s">
        <v>522</v>
      </c>
      <c r="B531" t="str">
        <f t="shared" si="17"/>
        <v>_northamerica</v>
      </c>
      <c r="C531" t="str">
        <f t="shared" si="18"/>
        <v>q108_4_northamerica</v>
      </c>
    </row>
    <row r="532" spans="1:3" x14ac:dyDescent="0.25">
      <c r="A532" s="13" t="s">
        <v>523</v>
      </c>
      <c r="B532" t="str">
        <f t="shared" si="17"/>
        <v>_northamerica</v>
      </c>
      <c r="C532" t="str">
        <f t="shared" si="18"/>
        <v>q108_5_northamerica</v>
      </c>
    </row>
    <row r="533" spans="1:3" x14ac:dyDescent="0.25">
      <c r="A533" s="13" t="s">
        <v>524</v>
      </c>
      <c r="B533" t="str">
        <f t="shared" si="17"/>
        <v>_northamerica</v>
      </c>
      <c r="C533" t="str">
        <f t="shared" si="18"/>
        <v>q108_6_northamerica</v>
      </c>
    </row>
    <row r="534" spans="1:3" x14ac:dyDescent="0.25">
      <c r="A534" s="13" t="s">
        <v>525</v>
      </c>
      <c r="B534" t="str">
        <f t="shared" si="17"/>
        <v>_northamerica</v>
      </c>
      <c r="C534" t="str">
        <f t="shared" si="18"/>
        <v>q10ROW8_hidden_northamerica</v>
      </c>
    </row>
    <row r="535" spans="1:3" x14ac:dyDescent="0.25">
      <c r="A535" s="13" t="s">
        <v>526</v>
      </c>
      <c r="B535" t="str">
        <f t="shared" si="17"/>
        <v>_northamerica</v>
      </c>
      <c r="C535" t="str">
        <f t="shared" si="18"/>
        <v>q10COL1_hidden_northamerica</v>
      </c>
    </row>
    <row r="536" spans="1:3" x14ac:dyDescent="0.25">
      <c r="A536" s="13" t="s">
        <v>527</v>
      </c>
      <c r="B536" t="str">
        <f t="shared" si="17"/>
        <v>_northamerica</v>
      </c>
      <c r="C536" t="str">
        <f t="shared" si="18"/>
        <v>q10COL2_hidden_northamerica</v>
      </c>
    </row>
    <row r="537" spans="1:3" x14ac:dyDescent="0.25">
      <c r="A537" s="13" t="s">
        <v>528</v>
      </c>
      <c r="B537" t="str">
        <f t="shared" si="17"/>
        <v>_northamerica</v>
      </c>
      <c r="C537" t="str">
        <f t="shared" si="18"/>
        <v>q10COL3_hidden_northamerica</v>
      </c>
    </row>
    <row r="538" spans="1:3" x14ac:dyDescent="0.25">
      <c r="A538" s="13" t="s">
        <v>529</v>
      </c>
      <c r="B538" t="str">
        <f t="shared" si="17"/>
        <v>_northamerica</v>
      </c>
      <c r="C538" t="str">
        <f t="shared" si="18"/>
        <v>q10COL4_hidden_northamerica</v>
      </c>
    </row>
    <row r="539" spans="1:3" x14ac:dyDescent="0.25">
      <c r="A539" s="13" t="s">
        <v>530</v>
      </c>
      <c r="B539" t="str">
        <f t="shared" si="17"/>
        <v>_northamerica</v>
      </c>
      <c r="C539" t="str">
        <f t="shared" si="18"/>
        <v>q10COL5_hidden_northamerica</v>
      </c>
    </row>
    <row r="540" spans="1:3" x14ac:dyDescent="0.25">
      <c r="A540" s="13" t="s">
        <v>531</v>
      </c>
      <c r="B540" t="str">
        <f t="shared" si="17"/>
        <v>_northamerica</v>
      </c>
      <c r="C540" t="str">
        <f t="shared" si="18"/>
        <v>q10COL6_hidden_northamerica</v>
      </c>
    </row>
    <row r="541" spans="1:3" x14ac:dyDescent="0.25">
      <c r="A541" s="13" t="s">
        <v>532</v>
      </c>
      <c r="B541" t="str">
        <f t="shared" si="17"/>
        <v>_northamerica</v>
      </c>
      <c r="C541" t="str">
        <f t="shared" si="18"/>
        <v>q10GRANDTotal_hidden_northamerica</v>
      </c>
    </row>
    <row r="542" spans="1:3" x14ac:dyDescent="0.25">
      <c r="A542" s="13" t="s">
        <v>534</v>
      </c>
      <c r="B542" t="str">
        <f t="shared" ref="B542:B573" si="19">B541</f>
        <v>_northamerica</v>
      </c>
      <c r="C542" t="str">
        <f t="shared" si="18"/>
        <v>q111_1_northamerica</v>
      </c>
    </row>
    <row r="543" spans="1:3" x14ac:dyDescent="0.25">
      <c r="A543" s="13" t="s">
        <v>535</v>
      </c>
      <c r="B543" t="str">
        <f t="shared" si="19"/>
        <v>_northamerica</v>
      </c>
      <c r="C543" t="str">
        <f t="shared" si="18"/>
        <v>q111_2_northamerica</v>
      </c>
    </row>
    <row r="544" spans="1:3" x14ac:dyDescent="0.25">
      <c r="A544" s="13" t="s">
        <v>536</v>
      </c>
      <c r="B544" t="str">
        <f t="shared" si="19"/>
        <v>_northamerica</v>
      </c>
      <c r="C544" t="str">
        <f t="shared" si="18"/>
        <v>q111_3_northamerica</v>
      </c>
    </row>
    <row r="545" spans="1:3" x14ac:dyDescent="0.25">
      <c r="A545" s="13" t="s">
        <v>537</v>
      </c>
      <c r="B545" t="str">
        <f t="shared" si="19"/>
        <v>_northamerica</v>
      </c>
      <c r="C545" t="str">
        <f t="shared" si="18"/>
        <v>q111_4_northamerica</v>
      </c>
    </row>
    <row r="546" spans="1:3" x14ac:dyDescent="0.25">
      <c r="A546" s="13" t="s">
        <v>538</v>
      </c>
      <c r="B546" t="str">
        <f t="shared" si="19"/>
        <v>_northamerica</v>
      </c>
      <c r="C546" t="str">
        <f t="shared" si="18"/>
        <v>q111_5_northamerica</v>
      </c>
    </row>
    <row r="547" spans="1:3" x14ac:dyDescent="0.25">
      <c r="A547" s="13" t="s">
        <v>539</v>
      </c>
      <c r="B547" t="str">
        <f t="shared" si="19"/>
        <v>_northamerica</v>
      </c>
      <c r="C547" t="str">
        <f t="shared" si="18"/>
        <v>q111_6_northamerica</v>
      </c>
    </row>
    <row r="548" spans="1:3" x14ac:dyDescent="0.25">
      <c r="A548" s="13" t="s">
        <v>540</v>
      </c>
      <c r="B548" t="str">
        <f t="shared" si="19"/>
        <v>_northamerica</v>
      </c>
      <c r="C548" t="str">
        <f t="shared" si="18"/>
        <v>q11ROW1_hidden_northamerica</v>
      </c>
    </row>
    <row r="549" spans="1:3" x14ac:dyDescent="0.25">
      <c r="A549" s="13" t="s">
        <v>542</v>
      </c>
      <c r="B549" t="str">
        <f t="shared" si="19"/>
        <v>_northamerica</v>
      </c>
      <c r="C549" t="str">
        <f t="shared" si="18"/>
        <v>q112_1_northamerica</v>
      </c>
    </row>
    <row r="550" spans="1:3" x14ac:dyDescent="0.25">
      <c r="A550" s="13" t="s">
        <v>543</v>
      </c>
      <c r="B550" t="str">
        <f t="shared" si="19"/>
        <v>_northamerica</v>
      </c>
      <c r="C550" t="str">
        <f t="shared" si="18"/>
        <v>q112_2_northamerica</v>
      </c>
    </row>
    <row r="551" spans="1:3" x14ac:dyDescent="0.25">
      <c r="A551" s="13" t="s">
        <v>544</v>
      </c>
      <c r="B551" t="str">
        <f t="shared" si="19"/>
        <v>_northamerica</v>
      </c>
      <c r="C551" t="str">
        <f t="shared" si="18"/>
        <v>q112_3_northamerica</v>
      </c>
    </row>
    <row r="552" spans="1:3" x14ac:dyDescent="0.25">
      <c r="A552" s="13" t="s">
        <v>545</v>
      </c>
      <c r="B552" t="str">
        <f t="shared" si="19"/>
        <v>_northamerica</v>
      </c>
      <c r="C552" t="str">
        <f t="shared" si="18"/>
        <v>q112_4_northamerica</v>
      </c>
    </row>
    <row r="553" spans="1:3" x14ac:dyDescent="0.25">
      <c r="A553" s="13" t="s">
        <v>546</v>
      </c>
      <c r="B553" t="str">
        <f t="shared" si="19"/>
        <v>_northamerica</v>
      </c>
      <c r="C553" t="str">
        <f t="shared" si="18"/>
        <v>q112_5_northamerica</v>
      </c>
    </row>
    <row r="554" spans="1:3" x14ac:dyDescent="0.25">
      <c r="A554" s="13" t="s">
        <v>547</v>
      </c>
      <c r="B554" t="str">
        <f t="shared" si="19"/>
        <v>_northamerica</v>
      </c>
      <c r="C554" t="str">
        <f t="shared" si="18"/>
        <v>q112_6_northamerica</v>
      </c>
    </row>
    <row r="555" spans="1:3" x14ac:dyDescent="0.25">
      <c r="A555" s="13" t="s">
        <v>548</v>
      </c>
      <c r="B555" t="str">
        <f t="shared" si="19"/>
        <v>_northamerica</v>
      </c>
      <c r="C555" t="str">
        <f t="shared" si="18"/>
        <v>q11ROW2_hidden_northamerica</v>
      </c>
    </row>
    <row r="556" spans="1:3" x14ac:dyDescent="0.25">
      <c r="A556" s="13" t="s">
        <v>550</v>
      </c>
      <c r="B556" t="str">
        <f t="shared" si="19"/>
        <v>_northamerica</v>
      </c>
      <c r="C556" t="str">
        <f t="shared" si="18"/>
        <v>q113_1_northamerica</v>
      </c>
    </row>
    <row r="557" spans="1:3" x14ac:dyDescent="0.25">
      <c r="A557" s="13" t="s">
        <v>551</v>
      </c>
      <c r="B557" t="str">
        <f t="shared" si="19"/>
        <v>_northamerica</v>
      </c>
      <c r="C557" t="str">
        <f t="shared" si="18"/>
        <v>q113_2_northamerica</v>
      </c>
    </row>
    <row r="558" spans="1:3" x14ac:dyDescent="0.25">
      <c r="A558" s="13" t="s">
        <v>552</v>
      </c>
      <c r="B558" t="str">
        <f t="shared" si="19"/>
        <v>_northamerica</v>
      </c>
      <c r="C558" t="str">
        <f t="shared" si="18"/>
        <v>q113_3_northamerica</v>
      </c>
    </row>
    <row r="559" spans="1:3" x14ac:dyDescent="0.25">
      <c r="A559" s="13" t="s">
        <v>553</v>
      </c>
      <c r="B559" t="str">
        <f t="shared" si="19"/>
        <v>_northamerica</v>
      </c>
      <c r="C559" t="str">
        <f t="shared" si="18"/>
        <v>q113_4_northamerica</v>
      </c>
    </row>
    <row r="560" spans="1:3" x14ac:dyDescent="0.25">
      <c r="A560" s="13" t="s">
        <v>554</v>
      </c>
      <c r="B560" t="str">
        <f t="shared" si="19"/>
        <v>_northamerica</v>
      </c>
      <c r="C560" t="str">
        <f t="shared" si="18"/>
        <v>q113_5_northamerica</v>
      </c>
    </row>
    <row r="561" spans="1:3" x14ac:dyDescent="0.25">
      <c r="A561" s="13" t="s">
        <v>555</v>
      </c>
      <c r="B561" t="str">
        <f t="shared" si="19"/>
        <v>_northamerica</v>
      </c>
      <c r="C561" t="str">
        <f t="shared" si="18"/>
        <v>q113_6_northamerica</v>
      </c>
    </row>
    <row r="562" spans="1:3" x14ac:dyDescent="0.25">
      <c r="A562" s="13" t="s">
        <v>556</v>
      </c>
      <c r="B562" t="str">
        <f t="shared" si="19"/>
        <v>_northamerica</v>
      </c>
      <c r="C562" t="str">
        <f t="shared" si="18"/>
        <v>q11ROW3_hidden_northamerica</v>
      </c>
    </row>
    <row r="563" spans="1:3" x14ac:dyDescent="0.25">
      <c r="A563" s="13" t="s">
        <v>558</v>
      </c>
      <c r="B563" t="str">
        <f t="shared" si="19"/>
        <v>_northamerica</v>
      </c>
      <c r="C563" t="str">
        <f t="shared" si="18"/>
        <v>q114_1_northamerica</v>
      </c>
    </row>
    <row r="564" spans="1:3" x14ac:dyDescent="0.25">
      <c r="A564" s="13" t="s">
        <v>559</v>
      </c>
      <c r="B564" t="str">
        <f t="shared" si="19"/>
        <v>_northamerica</v>
      </c>
      <c r="C564" t="str">
        <f t="shared" si="18"/>
        <v>q114_2_northamerica</v>
      </c>
    </row>
    <row r="565" spans="1:3" x14ac:dyDescent="0.25">
      <c r="A565" s="13" t="s">
        <v>560</v>
      </c>
      <c r="B565" t="str">
        <f t="shared" si="19"/>
        <v>_northamerica</v>
      </c>
      <c r="C565" t="str">
        <f t="shared" si="18"/>
        <v>q114_3_northamerica</v>
      </c>
    </row>
    <row r="566" spans="1:3" x14ac:dyDescent="0.25">
      <c r="A566" s="13" t="s">
        <v>561</v>
      </c>
      <c r="B566" t="str">
        <f t="shared" si="19"/>
        <v>_northamerica</v>
      </c>
      <c r="C566" t="str">
        <f t="shared" si="18"/>
        <v>q114_4_northamerica</v>
      </c>
    </row>
    <row r="567" spans="1:3" x14ac:dyDescent="0.25">
      <c r="A567" s="13" t="s">
        <v>562</v>
      </c>
      <c r="B567" t="str">
        <f t="shared" si="19"/>
        <v>_northamerica</v>
      </c>
      <c r="C567" t="str">
        <f t="shared" si="18"/>
        <v>q114_5_northamerica</v>
      </c>
    </row>
    <row r="568" spans="1:3" x14ac:dyDescent="0.25">
      <c r="A568" s="13" t="s">
        <v>563</v>
      </c>
      <c r="B568" t="str">
        <f t="shared" si="19"/>
        <v>_northamerica</v>
      </c>
      <c r="C568" t="str">
        <f t="shared" si="18"/>
        <v>q114_6_northamerica</v>
      </c>
    </row>
    <row r="569" spans="1:3" x14ac:dyDescent="0.25">
      <c r="A569" s="13" t="s">
        <v>564</v>
      </c>
      <c r="B569" t="str">
        <f t="shared" si="19"/>
        <v>_northamerica</v>
      </c>
      <c r="C569" t="str">
        <f t="shared" si="18"/>
        <v>q11ROW4_hidden_northamerica</v>
      </c>
    </row>
    <row r="570" spans="1:3" x14ac:dyDescent="0.25">
      <c r="A570" s="13" t="s">
        <v>566</v>
      </c>
      <c r="B570" t="str">
        <f t="shared" si="19"/>
        <v>_northamerica</v>
      </c>
      <c r="C570" t="str">
        <f t="shared" si="18"/>
        <v>q115_1_northamerica</v>
      </c>
    </row>
    <row r="571" spans="1:3" x14ac:dyDescent="0.25">
      <c r="A571" s="13" t="s">
        <v>567</v>
      </c>
      <c r="B571" t="str">
        <f t="shared" si="19"/>
        <v>_northamerica</v>
      </c>
      <c r="C571" t="str">
        <f t="shared" si="18"/>
        <v>q115_2_northamerica</v>
      </c>
    </row>
    <row r="572" spans="1:3" x14ac:dyDescent="0.25">
      <c r="A572" s="13" t="s">
        <v>568</v>
      </c>
      <c r="B572" t="str">
        <f t="shared" si="19"/>
        <v>_northamerica</v>
      </c>
      <c r="C572" t="str">
        <f t="shared" si="18"/>
        <v>q115_3_northamerica</v>
      </c>
    </row>
    <row r="573" spans="1:3" x14ac:dyDescent="0.25">
      <c r="A573" s="13" t="s">
        <v>569</v>
      </c>
      <c r="B573" t="str">
        <f t="shared" si="19"/>
        <v>_northamerica</v>
      </c>
      <c r="C573" t="str">
        <f t="shared" si="18"/>
        <v>q115_4_northamerica</v>
      </c>
    </row>
    <row r="574" spans="1:3" x14ac:dyDescent="0.25">
      <c r="A574" s="13" t="s">
        <v>570</v>
      </c>
      <c r="B574" t="str">
        <f t="shared" ref="B574:B583" si="20">B573</f>
        <v>_northamerica</v>
      </c>
      <c r="C574" t="str">
        <f t="shared" si="18"/>
        <v>q115_5_northamerica</v>
      </c>
    </row>
    <row r="575" spans="1:3" x14ac:dyDescent="0.25">
      <c r="A575" s="13" t="s">
        <v>571</v>
      </c>
      <c r="B575" t="str">
        <f t="shared" si="20"/>
        <v>_northamerica</v>
      </c>
      <c r="C575" t="str">
        <f t="shared" si="18"/>
        <v>q115_6_northamerica</v>
      </c>
    </row>
    <row r="576" spans="1:3" x14ac:dyDescent="0.25">
      <c r="A576" s="13" t="s">
        <v>572</v>
      </c>
      <c r="B576" t="str">
        <f t="shared" si="20"/>
        <v>_northamerica</v>
      </c>
      <c r="C576" t="str">
        <f t="shared" si="18"/>
        <v>q11ROW5_hidden_northamerica</v>
      </c>
    </row>
    <row r="577" spans="1:3" x14ac:dyDescent="0.25">
      <c r="A577" s="13" t="s">
        <v>573</v>
      </c>
      <c r="B577" t="str">
        <f t="shared" si="20"/>
        <v>_northamerica</v>
      </c>
      <c r="C577" t="str">
        <f t="shared" si="18"/>
        <v>q11COL1_hidden_northamerica</v>
      </c>
    </row>
    <row r="578" spans="1:3" x14ac:dyDescent="0.25">
      <c r="A578" s="13" t="s">
        <v>574</v>
      </c>
      <c r="B578" t="str">
        <f t="shared" si="20"/>
        <v>_northamerica</v>
      </c>
      <c r="C578" t="str">
        <f t="shared" si="18"/>
        <v>q11COL2_hidden_northamerica</v>
      </c>
    </row>
    <row r="579" spans="1:3" x14ac:dyDescent="0.25">
      <c r="A579" s="13" t="s">
        <v>575</v>
      </c>
      <c r="B579" t="str">
        <f t="shared" si="20"/>
        <v>_northamerica</v>
      </c>
      <c r="C579" t="str">
        <f t="shared" ref="C579:C642" si="21">_xlfn.CONCAT(A579,B579)</f>
        <v>q11COL3_hidden_northamerica</v>
      </c>
    </row>
    <row r="580" spans="1:3" x14ac:dyDescent="0.25">
      <c r="A580" s="13" t="s">
        <v>576</v>
      </c>
      <c r="B580" t="str">
        <f t="shared" si="20"/>
        <v>_northamerica</v>
      </c>
      <c r="C580" t="str">
        <f t="shared" si="21"/>
        <v>q11COL4_hidden_northamerica</v>
      </c>
    </row>
    <row r="581" spans="1:3" x14ac:dyDescent="0.25">
      <c r="A581" s="13" t="s">
        <v>577</v>
      </c>
      <c r="B581" t="str">
        <f t="shared" si="20"/>
        <v>_northamerica</v>
      </c>
      <c r="C581" t="str">
        <f t="shared" si="21"/>
        <v>q11COL5_hidden_northamerica</v>
      </c>
    </row>
    <row r="582" spans="1:3" x14ac:dyDescent="0.25">
      <c r="A582" s="13" t="s">
        <v>578</v>
      </c>
      <c r="B582" t="str">
        <f t="shared" si="20"/>
        <v>_northamerica</v>
      </c>
      <c r="C582" t="str">
        <f t="shared" si="21"/>
        <v>q11COL6_hidden_northamerica</v>
      </c>
    </row>
    <row r="583" spans="1:3" x14ac:dyDescent="0.25">
      <c r="A583" s="13" t="s">
        <v>579</v>
      </c>
      <c r="B583" t="str">
        <f t="shared" si="20"/>
        <v>_northamerica</v>
      </c>
      <c r="C583" t="str">
        <f t="shared" si="21"/>
        <v>q11GRANDTotal_hidden_northamerica</v>
      </c>
    </row>
    <row r="584" spans="1:3" x14ac:dyDescent="0.25">
      <c r="A584" s="13" t="s">
        <v>585</v>
      </c>
      <c r="B584" t="s">
        <v>584</v>
      </c>
      <c r="C584" t="str">
        <f t="shared" si="21"/>
        <v>Global_global</v>
      </c>
    </row>
    <row r="585" spans="1:3" x14ac:dyDescent="0.25">
      <c r="A585" s="13" t="s">
        <v>469</v>
      </c>
      <c r="B585" t="str">
        <f t="shared" ref="B585:B616" si="22">B584</f>
        <v>_global</v>
      </c>
      <c r="C585" t="str">
        <f t="shared" si="21"/>
        <v>q101_1_global</v>
      </c>
    </row>
    <row r="586" spans="1:3" x14ac:dyDescent="0.25">
      <c r="A586" s="13" t="s">
        <v>470</v>
      </c>
      <c r="B586" t="str">
        <f t="shared" si="22"/>
        <v>_global</v>
      </c>
      <c r="C586" t="str">
        <f t="shared" si="21"/>
        <v>q101_2_global</v>
      </c>
    </row>
    <row r="587" spans="1:3" x14ac:dyDescent="0.25">
      <c r="A587" s="13" t="s">
        <v>471</v>
      </c>
      <c r="B587" t="str">
        <f t="shared" si="22"/>
        <v>_global</v>
      </c>
      <c r="C587" t="str">
        <f t="shared" si="21"/>
        <v>q101_3_global</v>
      </c>
    </row>
    <row r="588" spans="1:3" x14ac:dyDescent="0.25">
      <c r="A588" s="13" t="s">
        <v>472</v>
      </c>
      <c r="B588" t="str">
        <f t="shared" si="22"/>
        <v>_global</v>
      </c>
      <c r="C588" t="str">
        <f t="shared" si="21"/>
        <v>q101_4_global</v>
      </c>
    </row>
    <row r="589" spans="1:3" x14ac:dyDescent="0.25">
      <c r="A589" s="13" t="s">
        <v>473</v>
      </c>
      <c r="B589" t="str">
        <f t="shared" si="22"/>
        <v>_global</v>
      </c>
      <c r="C589" t="str">
        <f t="shared" si="21"/>
        <v>q101_5_global</v>
      </c>
    </row>
    <row r="590" spans="1:3" x14ac:dyDescent="0.25">
      <c r="A590" s="13" t="s">
        <v>474</v>
      </c>
      <c r="B590" t="str">
        <f t="shared" si="22"/>
        <v>_global</v>
      </c>
      <c r="C590" t="str">
        <f t="shared" si="21"/>
        <v>q101_6_global</v>
      </c>
    </row>
    <row r="591" spans="1:3" x14ac:dyDescent="0.25">
      <c r="A591" s="13" t="s">
        <v>475</v>
      </c>
      <c r="B591" t="str">
        <f t="shared" si="22"/>
        <v>_global</v>
      </c>
      <c r="C591" t="str">
        <f t="shared" si="21"/>
        <v>q10ROW1_hidden_global</v>
      </c>
    </row>
    <row r="592" spans="1:3" x14ac:dyDescent="0.25">
      <c r="A592" s="13" t="s">
        <v>476</v>
      </c>
      <c r="B592" t="str">
        <f t="shared" si="22"/>
        <v>_global</v>
      </c>
      <c r="C592" t="str">
        <f t="shared" si="21"/>
        <v>q102_1_global</v>
      </c>
    </row>
    <row r="593" spans="1:3" x14ac:dyDescent="0.25">
      <c r="A593" s="13" t="s">
        <v>477</v>
      </c>
      <c r="B593" t="str">
        <f t="shared" si="22"/>
        <v>_global</v>
      </c>
      <c r="C593" t="str">
        <f t="shared" si="21"/>
        <v>q102_2_global</v>
      </c>
    </row>
    <row r="594" spans="1:3" x14ac:dyDescent="0.25">
      <c r="A594" s="13" t="s">
        <v>478</v>
      </c>
      <c r="B594" t="str">
        <f t="shared" si="22"/>
        <v>_global</v>
      </c>
      <c r="C594" t="str">
        <f t="shared" si="21"/>
        <v>q102_3_global</v>
      </c>
    </row>
    <row r="595" spans="1:3" x14ac:dyDescent="0.25">
      <c r="A595" s="13" t="s">
        <v>479</v>
      </c>
      <c r="B595" t="str">
        <f t="shared" si="22"/>
        <v>_global</v>
      </c>
      <c r="C595" t="str">
        <f t="shared" si="21"/>
        <v>q102_4_global</v>
      </c>
    </row>
    <row r="596" spans="1:3" x14ac:dyDescent="0.25">
      <c r="A596" s="13" t="s">
        <v>480</v>
      </c>
      <c r="B596" t="str">
        <f t="shared" si="22"/>
        <v>_global</v>
      </c>
      <c r="C596" t="str">
        <f t="shared" si="21"/>
        <v>q102_5_global</v>
      </c>
    </row>
    <row r="597" spans="1:3" x14ac:dyDescent="0.25">
      <c r="A597" s="13" t="s">
        <v>481</v>
      </c>
      <c r="B597" t="str">
        <f t="shared" si="22"/>
        <v>_global</v>
      </c>
      <c r="C597" t="str">
        <f t="shared" si="21"/>
        <v>q102_6_global</v>
      </c>
    </row>
    <row r="598" spans="1:3" x14ac:dyDescent="0.25">
      <c r="A598" s="13" t="s">
        <v>482</v>
      </c>
      <c r="B598" t="str">
        <f t="shared" si="22"/>
        <v>_global</v>
      </c>
      <c r="C598" t="str">
        <f t="shared" si="21"/>
        <v>q10ROW2_hidden_global</v>
      </c>
    </row>
    <row r="599" spans="1:3" x14ac:dyDescent="0.25">
      <c r="A599" s="13" t="s">
        <v>483</v>
      </c>
      <c r="B599" t="str">
        <f t="shared" si="22"/>
        <v>_global</v>
      </c>
      <c r="C599" t="str">
        <f t="shared" si="21"/>
        <v>q103_1_global</v>
      </c>
    </row>
    <row r="600" spans="1:3" x14ac:dyDescent="0.25">
      <c r="A600" s="13" t="s">
        <v>484</v>
      </c>
      <c r="B600" t="str">
        <f t="shared" si="22"/>
        <v>_global</v>
      </c>
      <c r="C600" t="str">
        <f t="shared" si="21"/>
        <v>q103_2_global</v>
      </c>
    </row>
    <row r="601" spans="1:3" x14ac:dyDescent="0.25">
      <c r="A601" s="13" t="s">
        <v>485</v>
      </c>
      <c r="B601" t="str">
        <f t="shared" si="22"/>
        <v>_global</v>
      </c>
      <c r="C601" t="str">
        <f t="shared" si="21"/>
        <v>q103_3_global</v>
      </c>
    </row>
    <row r="602" spans="1:3" x14ac:dyDescent="0.25">
      <c r="A602" s="13" t="s">
        <v>486</v>
      </c>
      <c r="B602" t="str">
        <f t="shared" si="22"/>
        <v>_global</v>
      </c>
      <c r="C602" t="str">
        <f t="shared" si="21"/>
        <v>q103_4_global</v>
      </c>
    </row>
    <row r="603" spans="1:3" x14ac:dyDescent="0.25">
      <c r="A603" s="13" t="s">
        <v>487</v>
      </c>
      <c r="B603" t="str">
        <f t="shared" si="22"/>
        <v>_global</v>
      </c>
      <c r="C603" t="str">
        <f t="shared" si="21"/>
        <v>q103_5_global</v>
      </c>
    </row>
    <row r="604" spans="1:3" x14ac:dyDescent="0.25">
      <c r="A604" s="13" t="s">
        <v>488</v>
      </c>
      <c r="B604" t="str">
        <f t="shared" si="22"/>
        <v>_global</v>
      </c>
      <c r="C604" t="str">
        <f t="shared" si="21"/>
        <v>q103_6_global</v>
      </c>
    </row>
    <row r="605" spans="1:3" x14ac:dyDescent="0.25">
      <c r="A605" s="13" t="s">
        <v>489</v>
      </c>
      <c r="B605" t="str">
        <f t="shared" si="22"/>
        <v>_global</v>
      </c>
      <c r="C605" t="str">
        <f t="shared" si="21"/>
        <v>q10ROW3_hidden_global</v>
      </c>
    </row>
    <row r="606" spans="1:3" x14ac:dyDescent="0.25">
      <c r="A606" s="13" t="s">
        <v>490</v>
      </c>
      <c r="B606" t="str">
        <f t="shared" si="22"/>
        <v>_global</v>
      </c>
      <c r="C606" t="str">
        <f t="shared" si="21"/>
        <v>q104_1_global</v>
      </c>
    </row>
    <row r="607" spans="1:3" x14ac:dyDescent="0.25">
      <c r="A607" s="13" t="s">
        <v>491</v>
      </c>
      <c r="B607" t="str">
        <f t="shared" si="22"/>
        <v>_global</v>
      </c>
      <c r="C607" t="str">
        <f t="shared" si="21"/>
        <v>q104_2_global</v>
      </c>
    </row>
    <row r="608" spans="1:3" x14ac:dyDescent="0.25">
      <c r="A608" s="13" t="s">
        <v>492</v>
      </c>
      <c r="B608" t="str">
        <f t="shared" si="22"/>
        <v>_global</v>
      </c>
      <c r="C608" t="str">
        <f t="shared" si="21"/>
        <v>q104_3_global</v>
      </c>
    </row>
    <row r="609" spans="1:3" x14ac:dyDescent="0.25">
      <c r="A609" s="13" t="s">
        <v>493</v>
      </c>
      <c r="B609" t="str">
        <f t="shared" si="22"/>
        <v>_global</v>
      </c>
      <c r="C609" t="str">
        <f t="shared" si="21"/>
        <v>q104_4_global</v>
      </c>
    </row>
    <row r="610" spans="1:3" x14ac:dyDescent="0.25">
      <c r="A610" s="13" t="s">
        <v>494</v>
      </c>
      <c r="B610" t="str">
        <f t="shared" si="22"/>
        <v>_global</v>
      </c>
      <c r="C610" t="str">
        <f t="shared" si="21"/>
        <v>q104_5_global</v>
      </c>
    </row>
    <row r="611" spans="1:3" x14ac:dyDescent="0.25">
      <c r="A611" s="13" t="s">
        <v>495</v>
      </c>
      <c r="B611" t="str">
        <f t="shared" si="22"/>
        <v>_global</v>
      </c>
      <c r="C611" t="str">
        <f t="shared" si="21"/>
        <v>q104_6_global</v>
      </c>
    </row>
    <row r="612" spans="1:3" x14ac:dyDescent="0.25">
      <c r="A612" s="13" t="s">
        <v>496</v>
      </c>
      <c r="B612" t="str">
        <f t="shared" si="22"/>
        <v>_global</v>
      </c>
      <c r="C612" t="str">
        <f t="shared" si="21"/>
        <v>q10ROW4_hidden_global</v>
      </c>
    </row>
    <row r="613" spans="1:3" x14ac:dyDescent="0.25">
      <c r="A613" s="13" t="s">
        <v>497</v>
      </c>
      <c r="B613" t="str">
        <f t="shared" si="22"/>
        <v>_global</v>
      </c>
      <c r="C613" t="str">
        <f t="shared" si="21"/>
        <v>q105_1_global</v>
      </c>
    </row>
    <row r="614" spans="1:3" x14ac:dyDescent="0.25">
      <c r="A614" s="13" t="s">
        <v>498</v>
      </c>
      <c r="B614" t="str">
        <f t="shared" si="22"/>
        <v>_global</v>
      </c>
      <c r="C614" t="str">
        <f t="shared" si="21"/>
        <v>q105_2_global</v>
      </c>
    </row>
    <row r="615" spans="1:3" x14ac:dyDescent="0.25">
      <c r="A615" s="13" t="s">
        <v>499</v>
      </c>
      <c r="B615" t="str">
        <f t="shared" si="22"/>
        <v>_global</v>
      </c>
      <c r="C615" t="str">
        <f t="shared" si="21"/>
        <v>q105_3_global</v>
      </c>
    </row>
    <row r="616" spans="1:3" x14ac:dyDescent="0.25">
      <c r="A616" s="13" t="s">
        <v>500</v>
      </c>
      <c r="B616" t="str">
        <f t="shared" si="22"/>
        <v>_global</v>
      </c>
      <c r="C616" t="str">
        <f t="shared" si="21"/>
        <v>q105_4_global</v>
      </c>
    </row>
    <row r="617" spans="1:3" x14ac:dyDescent="0.25">
      <c r="A617" s="13" t="s">
        <v>501</v>
      </c>
      <c r="B617" t="str">
        <f t="shared" ref="B617:B648" si="23">B616</f>
        <v>_global</v>
      </c>
      <c r="C617" t="str">
        <f t="shared" si="21"/>
        <v>q105_5_global</v>
      </c>
    </row>
    <row r="618" spans="1:3" x14ac:dyDescent="0.25">
      <c r="A618" s="13" t="s">
        <v>502</v>
      </c>
      <c r="B618" t="str">
        <f t="shared" si="23"/>
        <v>_global</v>
      </c>
      <c r="C618" t="str">
        <f t="shared" si="21"/>
        <v>q105_6_global</v>
      </c>
    </row>
    <row r="619" spans="1:3" x14ac:dyDescent="0.25">
      <c r="A619" s="13" t="s">
        <v>503</v>
      </c>
      <c r="B619" t="str">
        <f t="shared" si="23"/>
        <v>_global</v>
      </c>
      <c r="C619" t="str">
        <f t="shared" si="21"/>
        <v>q10ROW5_hidden_global</v>
      </c>
    </row>
    <row r="620" spans="1:3" x14ac:dyDescent="0.25">
      <c r="A620" s="13" t="s">
        <v>504</v>
      </c>
      <c r="B620" t="str">
        <f t="shared" si="23"/>
        <v>_global</v>
      </c>
      <c r="C620" t="str">
        <f t="shared" si="21"/>
        <v>q106_1_global</v>
      </c>
    </row>
    <row r="621" spans="1:3" x14ac:dyDescent="0.25">
      <c r="A621" s="13" t="s">
        <v>505</v>
      </c>
      <c r="B621" t="str">
        <f t="shared" si="23"/>
        <v>_global</v>
      </c>
      <c r="C621" t="str">
        <f t="shared" si="21"/>
        <v>q106_2_global</v>
      </c>
    </row>
    <row r="622" spans="1:3" x14ac:dyDescent="0.25">
      <c r="A622" s="13" t="s">
        <v>506</v>
      </c>
      <c r="B622" t="str">
        <f t="shared" si="23"/>
        <v>_global</v>
      </c>
      <c r="C622" t="str">
        <f t="shared" si="21"/>
        <v>q106_3_global</v>
      </c>
    </row>
    <row r="623" spans="1:3" x14ac:dyDescent="0.25">
      <c r="A623" s="13" t="s">
        <v>507</v>
      </c>
      <c r="B623" t="str">
        <f t="shared" si="23"/>
        <v>_global</v>
      </c>
      <c r="C623" t="str">
        <f t="shared" si="21"/>
        <v>q106_4_global</v>
      </c>
    </row>
    <row r="624" spans="1:3" x14ac:dyDescent="0.25">
      <c r="A624" s="13" t="s">
        <v>508</v>
      </c>
      <c r="B624" t="str">
        <f t="shared" si="23"/>
        <v>_global</v>
      </c>
      <c r="C624" t="str">
        <f t="shared" si="21"/>
        <v>q106_5_global</v>
      </c>
    </row>
    <row r="625" spans="1:3" x14ac:dyDescent="0.25">
      <c r="A625" s="13" t="s">
        <v>509</v>
      </c>
      <c r="B625" t="str">
        <f t="shared" si="23"/>
        <v>_global</v>
      </c>
      <c r="C625" t="str">
        <f t="shared" si="21"/>
        <v>q106_6_global</v>
      </c>
    </row>
    <row r="626" spans="1:3" x14ac:dyDescent="0.25">
      <c r="A626" s="13" t="s">
        <v>510</v>
      </c>
      <c r="B626" t="str">
        <f t="shared" si="23"/>
        <v>_global</v>
      </c>
      <c r="C626" t="str">
        <f t="shared" si="21"/>
        <v>q10ROW6_hidden_global</v>
      </c>
    </row>
    <row r="627" spans="1:3" x14ac:dyDescent="0.25">
      <c r="A627" s="13" t="s">
        <v>511</v>
      </c>
      <c r="B627" t="str">
        <f t="shared" si="23"/>
        <v>_global</v>
      </c>
      <c r="C627" t="str">
        <f t="shared" si="21"/>
        <v>q107_1_global</v>
      </c>
    </row>
    <row r="628" spans="1:3" x14ac:dyDescent="0.25">
      <c r="A628" s="13" t="s">
        <v>512</v>
      </c>
      <c r="B628" t="str">
        <f t="shared" si="23"/>
        <v>_global</v>
      </c>
      <c r="C628" t="str">
        <f t="shared" si="21"/>
        <v>q107_2_global</v>
      </c>
    </row>
    <row r="629" spans="1:3" x14ac:dyDescent="0.25">
      <c r="A629" s="13" t="s">
        <v>513</v>
      </c>
      <c r="B629" t="str">
        <f t="shared" si="23"/>
        <v>_global</v>
      </c>
      <c r="C629" t="str">
        <f t="shared" si="21"/>
        <v>q107_3_global</v>
      </c>
    </row>
    <row r="630" spans="1:3" x14ac:dyDescent="0.25">
      <c r="A630" s="13" t="s">
        <v>514</v>
      </c>
      <c r="B630" t="str">
        <f t="shared" si="23"/>
        <v>_global</v>
      </c>
      <c r="C630" t="str">
        <f t="shared" si="21"/>
        <v>q107_4_global</v>
      </c>
    </row>
    <row r="631" spans="1:3" x14ac:dyDescent="0.25">
      <c r="A631" s="13" t="s">
        <v>515</v>
      </c>
      <c r="B631" t="str">
        <f t="shared" si="23"/>
        <v>_global</v>
      </c>
      <c r="C631" t="str">
        <f t="shared" si="21"/>
        <v>q107_5_global</v>
      </c>
    </row>
    <row r="632" spans="1:3" x14ac:dyDescent="0.25">
      <c r="A632" s="13" t="s">
        <v>516</v>
      </c>
      <c r="B632" t="str">
        <f t="shared" si="23"/>
        <v>_global</v>
      </c>
      <c r="C632" t="str">
        <f t="shared" si="21"/>
        <v>q107_6_global</v>
      </c>
    </row>
    <row r="633" spans="1:3" x14ac:dyDescent="0.25">
      <c r="A633" s="13" t="s">
        <v>517</v>
      </c>
      <c r="B633" t="str">
        <f t="shared" si="23"/>
        <v>_global</v>
      </c>
      <c r="C633" t="str">
        <f t="shared" si="21"/>
        <v>q10ROW7_hidden_global</v>
      </c>
    </row>
    <row r="634" spans="1:3" x14ac:dyDescent="0.25">
      <c r="A634" s="13" t="s">
        <v>518</v>
      </c>
      <c r="B634" t="str">
        <f t="shared" si="23"/>
        <v>_global</v>
      </c>
      <c r="C634" t="str">
        <f t="shared" si="21"/>
        <v>q10other_global</v>
      </c>
    </row>
    <row r="635" spans="1:3" x14ac:dyDescent="0.25">
      <c r="A635" s="13" t="s">
        <v>519</v>
      </c>
      <c r="B635" t="str">
        <f t="shared" si="23"/>
        <v>_global</v>
      </c>
      <c r="C635" t="str">
        <f t="shared" si="21"/>
        <v>q108_1_global</v>
      </c>
    </row>
    <row r="636" spans="1:3" x14ac:dyDescent="0.25">
      <c r="A636" s="13" t="s">
        <v>520</v>
      </c>
      <c r="B636" t="str">
        <f t="shared" si="23"/>
        <v>_global</v>
      </c>
      <c r="C636" t="str">
        <f t="shared" si="21"/>
        <v>q108_2_global</v>
      </c>
    </row>
    <row r="637" spans="1:3" x14ac:dyDescent="0.25">
      <c r="A637" s="13" t="s">
        <v>521</v>
      </c>
      <c r="B637" t="str">
        <f t="shared" si="23"/>
        <v>_global</v>
      </c>
      <c r="C637" t="str">
        <f t="shared" si="21"/>
        <v>q108_3_global</v>
      </c>
    </row>
    <row r="638" spans="1:3" x14ac:dyDescent="0.25">
      <c r="A638" s="13" t="s">
        <v>522</v>
      </c>
      <c r="B638" t="str">
        <f t="shared" si="23"/>
        <v>_global</v>
      </c>
      <c r="C638" t="str">
        <f t="shared" si="21"/>
        <v>q108_4_global</v>
      </c>
    </row>
    <row r="639" spans="1:3" x14ac:dyDescent="0.25">
      <c r="A639" s="13" t="s">
        <v>523</v>
      </c>
      <c r="B639" t="str">
        <f t="shared" si="23"/>
        <v>_global</v>
      </c>
      <c r="C639" t="str">
        <f t="shared" si="21"/>
        <v>q108_5_global</v>
      </c>
    </row>
    <row r="640" spans="1:3" x14ac:dyDescent="0.25">
      <c r="A640" s="13" t="s">
        <v>524</v>
      </c>
      <c r="B640" t="str">
        <f t="shared" si="23"/>
        <v>_global</v>
      </c>
      <c r="C640" t="str">
        <f t="shared" si="21"/>
        <v>q108_6_global</v>
      </c>
    </row>
    <row r="641" spans="1:3" x14ac:dyDescent="0.25">
      <c r="A641" s="13" t="s">
        <v>525</v>
      </c>
      <c r="B641" t="str">
        <f t="shared" si="23"/>
        <v>_global</v>
      </c>
      <c r="C641" t="str">
        <f t="shared" si="21"/>
        <v>q10ROW8_hidden_global</v>
      </c>
    </row>
    <row r="642" spans="1:3" x14ac:dyDescent="0.25">
      <c r="A642" s="13" t="s">
        <v>526</v>
      </c>
      <c r="B642" t="str">
        <f t="shared" si="23"/>
        <v>_global</v>
      </c>
      <c r="C642" t="str">
        <f t="shared" si="21"/>
        <v>q10COL1_hidden_global</v>
      </c>
    </row>
    <row r="643" spans="1:3" x14ac:dyDescent="0.25">
      <c r="A643" s="13" t="s">
        <v>527</v>
      </c>
      <c r="B643" t="str">
        <f t="shared" si="23"/>
        <v>_global</v>
      </c>
      <c r="C643" t="str">
        <f t="shared" ref="C643:C706" si="24">_xlfn.CONCAT(A643,B643)</f>
        <v>q10COL2_hidden_global</v>
      </c>
    </row>
    <row r="644" spans="1:3" x14ac:dyDescent="0.25">
      <c r="A644" s="13" t="s">
        <v>528</v>
      </c>
      <c r="B644" t="str">
        <f t="shared" si="23"/>
        <v>_global</v>
      </c>
      <c r="C644" t="str">
        <f t="shared" si="24"/>
        <v>q10COL3_hidden_global</v>
      </c>
    </row>
    <row r="645" spans="1:3" x14ac:dyDescent="0.25">
      <c r="A645" s="13" t="s">
        <v>529</v>
      </c>
      <c r="B645" t="str">
        <f t="shared" si="23"/>
        <v>_global</v>
      </c>
      <c r="C645" t="str">
        <f t="shared" si="24"/>
        <v>q10COL4_hidden_global</v>
      </c>
    </row>
    <row r="646" spans="1:3" x14ac:dyDescent="0.25">
      <c r="A646" s="13" t="s">
        <v>530</v>
      </c>
      <c r="B646" t="str">
        <f t="shared" si="23"/>
        <v>_global</v>
      </c>
      <c r="C646" t="str">
        <f t="shared" si="24"/>
        <v>q10COL5_hidden_global</v>
      </c>
    </row>
    <row r="647" spans="1:3" x14ac:dyDescent="0.25">
      <c r="A647" s="13" t="s">
        <v>531</v>
      </c>
      <c r="B647" t="str">
        <f t="shared" si="23"/>
        <v>_global</v>
      </c>
      <c r="C647" t="str">
        <f t="shared" si="24"/>
        <v>q10COL6_hidden_global</v>
      </c>
    </row>
    <row r="648" spans="1:3" x14ac:dyDescent="0.25">
      <c r="A648" s="13" t="s">
        <v>532</v>
      </c>
      <c r="B648" t="str">
        <f t="shared" si="23"/>
        <v>_global</v>
      </c>
      <c r="C648" t="str">
        <f t="shared" si="24"/>
        <v>q10GRANDTotal_hidden_global</v>
      </c>
    </row>
    <row r="649" spans="1:3" x14ac:dyDescent="0.25">
      <c r="A649" s="13" t="s">
        <v>534</v>
      </c>
      <c r="B649" t="str">
        <f t="shared" ref="B649:B680" si="25">B648</f>
        <v>_global</v>
      </c>
      <c r="C649" t="str">
        <f t="shared" si="24"/>
        <v>q111_1_global</v>
      </c>
    </row>
    <row r="650" spans="1:3" x14ac:dyDescent="0.25">
      <c r="A650" s="13" t="s">
        <v>535</v>
      </c>
      <c r="B650" t="str">
        <f t="shared" si="25"/>
        <v>_global</v>
      </c>
      <c r="C650" t="str">
        <f t="shared" si="24"/>
        <v>q111_2_global</v>
      </c>
    </row>
    <row r="651" spans="1:3" x14ac:dyDescent="0.25">
      <c r="A651" s="13" t="s">
        <v>536</v>
      </c>
      <c r="B651" t="str">
        <f t="shared" si="25"/>
        <v>_global</v>
      </c>
      <c r="C651" t="str">
        <f t="shared" si="24"/>
        <v>q111_3_global</v>
      </c>
    </row>
    <row r="652" spans="1:3" x14ac:dyDescent="0.25">
      <c r="A652" s="13" t="s">
        <v>537</v>
      </c>
      <c r="B652" t="str">
        <f t="shared" si="25"/>
        <v>_global</v>
      </c>
      <c r="C652" t="str">
        <f t="shared" si="24"/>
        <v>q111_4_global</v>
      </c>
    </row>
    <row r="653" spans="1:3" x14ac:dyDescent="0.25">
      <c r="A653" s="13" t="s">
        <v>538</v>
      </c>
      <c r="B653" t="str">
        <f t="shared" si="25"/>
        <v>_global</v>
      </c>
      <c r="C653" t="str">
        <f t="shared" si="24"/>
        <v>q111_5_global</v>
      </c>
    </row>
    <row r="654" spans="1:3" x14ac:dyDescent="0.25">
      <c r="A654" s="13" t="s">
        <v>539</v>
      </c>
      <c r="B654" t="str">
        <f t="shared" si="25"/>
        <v>_global</v>
      </c>
      <c r="C654" t="str">
        <f t="shared" si="24"/>
        <v>q111_6_global</v>
      </c>
    </row>
    <row r="655" spans="1:3" x14ac:dyDescent="0.25">
      <c r="A655" s="13" t="s">
        <v>540</v>
      </c>
      <c r="B655" t="str">
        <f t="shared" si="25"/>
        <v>_global</v>
      </c>
      <c r="C655" t="str">
        <f t="shared" si="24"/>
        <v>q11ROW1_hidden_global</v>
      </c>
    </row>
    <row r="656" spans="1:3" x14ac:dyDescent="0.25">
      <c r="A656" s="13" t="s">
        <v>542</v>
      </c>
      <c r="B656" t="str">
        <f t="shared" si="25"/>
        <v>_global</v>
      </c>
      <c r="C656" t="str">
        <f t="shared" si="24"/>
        <v>q112_1_global</v>
      </c>
    </row>
    <row r="657" spans="1:3" x14ac:dyDescent="0.25">
      <c r="A657" s="13" t="s">
        <v>543</v>
      </c>
      <c r="B657" t="str">
        <f t="shared" si="25"/>
        <v>_global</v>
      </c>
      <c r="C657" t="str">
        <f t="shared" si="24"/>
        <v>q112_2_global</v>
      </c>
    </row>
    <row r="658" spans="1:3" x14ac:dyDescent="0.25">
      <c r="A658" s="13" t="s">
        <v>544</v>
      </c>
      <c r="B658" t="str">
        <f t="shared" si="25"/>
        <v>_global</v>
      </c>
      <c r="C658" t="str">
        <f t="shared" si="24"/>
        <v>q112_3_global</v>
      </c>
    </row>
    <row r="659" spans="1:3" x14ac:dyDescent="0.25">
      <c r="A659" s="13" t="s">
        <v>545</v>
      </c>
      <c r="B659" t="str">
        <f t="shared" si="25"/>
        <v>_global</v>
      </c>
      <c r="C659" t="str">
        <f t="shared" si="24"/>
        <v>q112_4_global</v>
      </c>
    </row>
    <row r="660" spans="1:3" x14ac:dyDescent="0.25">
      <c r="A660" s="13" t="s">
        <v>546</v>
      </c>
      <c r="B660" t="str">
        <f t="shared" si="25"/>
        <v>_global</v>
      </c>
      <c r="C660" t="str">
        <f t="shared" si="24"/>
        <v>q112_5_global</v>
      </c>
    </row>
    <row r="661" spans="1:3" x14ac:dyDescent="0.25">
      <c r="A661" s="13" t="s">
        <v>547</v>
      </c>
      <c r="B661" t="str">
        <f t="shared" si="25"/>
        <v>_global</v>
      </c>
      <c r="C661" t="str">
        <f t="shared" si="24"/>
        <v>q112_6_global</v>
      </c>
    </row>
    <row r="662" spans="1:3" x14ac:dyDescent="0.25">
      <c r="A662" s="13" t="s">
        <v>548</v>
      </c>
      <c r="B662" t="str">
        <f t="shared" si="25"/>
        <v>_global</v>
      </c>
      <c r="C662" t="str">
        <f t="shared" si="24"/>
        <v>q11ROW2_hidden_global</v>
      </c>
    </row>
    <row r="663" spans="1:3" x14ac:dyDescent="0.25">
      <c r="A663" s="13" t="s">
        <v>550</v>
      </c>
      <c r="B663" t="str">
        <f t="shared" si="25"/>
        <v>_global</v>
      </c>
      <c r="C663" t="str">
        <f t="shared" si="24"/>
        <v>q113_1_global</v>
      </c>
    </row>
    <row r="664" spans="1:3" x14ac:dyDescent="0.25">
      <c r="A664" s="13" t="s">
        <v>551</v>
      </c>
      <c r="B664" t="str">
        <f t="shared" si="25"/>
        <v>_global</v>
      </c>
      <c r="C664" t="str">
        <f t="shared" si="24"/>
        <v>q113_2_global</v>
      </c>
    </row>
    <row r="665" spans="1:3" x14ac:dyDescent="0.25">
      <c r="A665" s="13" t="s">
        <v>552</v>
      </c>
      <c r="B665" t="str">
        <f t="shared" si="25"/>
        <v>_global</v>
      </c>
      <c r="C665" t="str">
        <f t="shared" si="24"/>
        <v>q113_3_global</v>
      </c>
    </row>
    <row r="666" spans="1:3" x14ac:dyDescent="0.25">
      <c r="A666" s="13" t="s">
        <v>553</v>
      </c>
      <c r="B666" t="str">
        <f t="shared" si="25"/>
        <v>_global</v>
      </c>
      <c r="C666" t="str">
        <f t="shared" si="24"/>
        <v>q113_4_global</v>
      </c>
    </row>
    <row r="667" spans="1:3" x14ac:dyDescent="0.25">
      <c r="A667" s="13" t="s">
        <v>554</v>
      </c>
      <c r="B667" t="str">
        <f t="shared" si="25"/>
        <v>_global</v>
      </c>
      <c r="C667" t="str">
        <f t="shared" si="24"/>
        <v>q113_5_global</v>
      </c>
    </row>
    <row r="668" spans="1:3" x14ac:dyDescent="0.25">
      <c r="A668" s="13" t="s">
        <v>555</v>
      </c>
      <c r="B668" t="str">
        <f t="shared" si="25"/>
        <v>_global</v>
      </c>
      <c r="C668" t="str">
        <f t="shared" si="24"/>
        <v>q113_6_global</v>
      </c>
    </row>
    <row r="669" spans="1:3" x14ac:dyDescent="0.25">
      <c r="A669" s="13" t="s">
        <v>556</v>
      </c>
      <c r="B669" t="str">
        <f t="shared" si="25"/>
        <v>_global</v>
      </c>
      <c r="C669" t="str">
        <f t="shared" si="24"/>
        <v>q11ROW3_hidden_global</v>
      </c>
    </row>
    <row r="670" spans="1:3" x14ac:dyDescent="0.25">
      <c r="A670" s="13" t="s">
        <v>558</v>
      </c>
      <c r="B670" t="str">
        <f t="shared" si="25"/>
        <v>_global</v>
      </c>
      <c r="C670" t="str">
        <f t="shared" si="24"/>
        <v>q114_1_global</v>
      </c>
    </row>
    <row r="671" spans="1:3" x14ac:dyDescent="0.25">
      <c r="A671" s="13" t="s">
        <v>559</v>
      </c>
      <c r="B671" t="str">
        <f t="shared" si="25"/>
        <v>_global</v>
      </c>
      <c r="C671" t="str">
        <f t="shared" si="24"/>
        <v>q114_2_global</v>
      </c>
    </row>
    <row r="672" spans="1:3" x14ac:dyDescent="0.25">
      <c r="A672" s="13" t="s">
        <v>560</v>
      </c>
      <c r="B672" t="str">
        <f t="shared" si="25"/>
        <v>_global</v>
      </c>
      <c r="C672" t="str">
        <f t="shared" si="24"/>
        <v>q114_3_global</v>
      </c>
    </row>
    <row r="673" spans="1:3" x14ac:dyDescent="0.25">
      <c r="A673" s="13" t="s">
        <v>561</v>
      </c>
      <c r="B673" t="str">
        <f t="shared" si="25"/>
        <v>_global</v>
      </c>
      <c r="C673" t="str">
        <f t="shared" si="24"/>
        <v>q114_4_global</v>
      </c>
    </row>
    <row r="674" spans="1:3" x14ac:dyDescent="0.25">
      <c r="A674" s="13" t="s">
        <v>562</v>
      </c>
      <c r="B674" t="str">
        <f t="shared" si="25"/>
        <v>_global</v>
      </c>
      <c r="C674" t="str">
        <f t="shared" si="24"/>
        <v>q114_5_global</v>
      </c>
    </row>
    <row r="675" spans="1:3" x14ac:dyDescent="0.25">
      <c r="A675" s="13" t="s">
        <v>563</v>
      </c>
      <c r="B675" t="str">
        <f t="shared" si="25"/>
        <v>_global</v>
      </c>
      <c r="C675" t="str">
        <f t="shared" si="24"/>
        <v>q114_6_global</v>
      </c>
    </row>
    <row r="676" spans="1:3" x14ac:dyDescent="0.25">
      <c r="A676" s="13" t="s">
        <v>564</v>
      </c>
      <c r="B676" t="str">
        <f t="shared" si="25"/>
        <v>_global</v>
      </c>
      <c r="C676" t="str">
        <f t="shared" si="24"/>
        <v>q11ROW4_hidden_global</v>
      </c>
    </row>
    <row r="677" spans="1:3" x14ac:dyDescent="0.25">
      <c r="A677" s="13" t="s">
        <v>566</v>
      </c>
      <c r="B677" t="str">
        <f t="shared" si="25"/>
        <v>_global</v>
      </c>
      <c r="C677" t="str">
        <f t="shared" si="24"/>
        <v>q115_1_global</v>
      </c>
    </row>
    <row r="678" spans="1:3" x14ac:dyDescent="0.25">
      <c r="A678" s="13" t="s">
        <v>567</v>
      </c>
      <c r="B678" t="str">
        <f t="shared" si="25"/>
        <v>_global</v>
      </c>
      <c r="C678" t="str">
        <f t="shared" si="24"/>
        <v>q115_2_global</v>
      </c>
    </row>
    <row r="679" spans="1:3" x14ac:dyDescent="0.25">
      <c r="A679" s="13" t="s">
        <v>568</v>
      </c>
      <c r="B679" t="str">
        <f t="shared" si="25"/>
        <v>_global</v>
      </c>
      <c r="C679" t="str">
        <f t="shared" si="24"/>
        <v>q115_3_global</v>
      </c>
    </row>
    <row r="680" spans="1:3" x14ac:dyDescent="0.25">
      <c r="A680" s="13" t="s">
        <v>569</v>
      </c>
      <c r="B680" t="str">
        <f t="shared" si="25"/>
        <v>_global</v>
      </c>
      <c r="C680" t="str">
        <f t="shared" si="24"/>
        <v>q115_4_global</v>
      </c>
    </row>
    <row r="681" spans="1:3" x14ac:dyDescent="0.25">
      <c r="A681" s="13" t="s">
        <v>570</v>
      </c>
      <c r="B681" t="str">
        <f t="shared" ref="B681:B690" si="26">B680</f>
        <v>_global</v>
      </c>
      <c r="C681" t="str">
        <f t="shared" si="24"/>
        <v>q115_5_global</v>
      </c>
    </row>
    <row r="682" spans="1:3" x14ac:dyDescent="0.25">
      <c r="A682" s="13" t="s">
        <v>571</v>
      </c>
      <c r="B682" t="str">
        <f t="shared" si="26"/>
        <v>_global</v>
      </c>
      <c r="C682" t="str">
        <f t="shared" si="24"/>
        <v>q115_6_global</v>
      </c>
    </row>
    <row r="683" spans="1:3" x14ac:dyDescent="0.25">
      <c r="A683" s="13" t="s">
        <v>572</v>
      </c>
      <c r="B683" t="str">
        <f t="shared" si="26"/>
        <v>_global</v>
      </c>
      <c r="C683" t="str">
        <f t="shared" si="24"/>
        <v>q11ROW5_hidden_global</v>
      </c>
    </row>
    <row r="684" spans="1:3" x14ac:dyDescent="0.25">
      <c r="A684" s="13" t="s">
        <v>573</v>
      </c>
      <c r="B684" t="str">
        <f t="shared" si="26"/>
        <v>_global</v>
      </c>
      <c r="C684" t="str">
        <f t="shared" si="24"/>
        <v>q11COL1_hidden_global</v>
      </c>
    </row>
    <row r="685" spans="1:3" x14ac:dyDescent="0.25">
      <c r="A685" s="13" t="s">
        <v>574</v>
      </c>
      <c r="B685" t="str">
        <f t="shared" si="26"/>
        <v>_global</v>
      </c>
      <c r="C685" t="str">
        <f t="shared" si="24"/>
        <v>q11COL2_hidden_global</v>
      </c>
    </row>
    <row r="686" spans="1:3" x14ac:dyDescent="0.25">
      <c r="A686" s="13" t="s">
        <v>575</v>
      </c>
      <c r="B686" t="str">
        <f t="shared" si="26"/>
        <v>_global</v>
      </c>
      <c r="C686" t="str">
        <f t="shared" si="24"/>
        <v>q11COL3_hidden_global</v>
      </c>
    </row>
    <row r="687" spans="1:3" x14ac:dyDescent="0.25">
      <c r="A687" s="13" t="s">
        <v>576</v>
      </c>
      <c r="B687" t="str">
        <f t="shared" si="26"/>
        <v>_global</v>
      </c>
      <c r="C687" t="str">
        <f t="shared" si="24"/>
        <v>q11COL4_hidden_global</v>
      </c>
    </row>
    <row r="688" spans="1:3" x14ac:dyDescent="0.25">
      <c r="A688" s="13" t="s">
        <v>577</v>
      </c>
      <c r="B688" t="str">
        <f t="shared" si="26"/>
        <v>_global</v>
      </c>
      <c r="C688" t="str">
        <f t="shared" si="24"/>
        <v>q11COL5_hidden_global</v>
      </c>
    </row>
    <row r="689" spans="1:3" x14ac:dyDescent="0.25">
      <c r="A689" s="13" t="s">
        <v>578</v>
      </c>
      <c r="B689" t="str">
        <f t="shared" si="26"/>
        <v>_global</v>
      </c>
      <c r="C689" t="str">
        <f t="shared" si="24"/>
        <v>q11COL6_hidden_global</v>
      </c>
    </row>
    <row r="690" spans="1:3" x14ac:dyDescent="0.25">
      <c r="A690" s="13" t="s">
        <v>579</v>
      </c>
      <c r="B690" t="str">
        <f t="shared" si="26"/>
        <v>_global</v>
      </c>
      <c r="C690" t="str">
        <f t="shared" si="24"/>
        <v>q11GRANDTotal_hidden_global</v>
      </c>
    </row>
    <row r="691" spans="1:3" x14ac:dyDescent="0.25">
      <c r="A691" s="13" t="s">
        <v>587</v>
      </c>
      <c r="B691" t="s">
        <v>586</v>
      </c>
      <c r="C691" t="str">
        <f t="shared" si="24"/>
        <v>SOUTH AMERICA_southamerica</v>
      </c>
    </row>
    <row r="692" spans="1:3" x14ac:dyDescent="0.25">
      <c r="A692" s="13" t="s">
        <v>469</v>
      </c>
      <c r="B692" t="str">
        <f t="shared" ref="B692:B723" si="27">B691</f>
        <v>_southamerica</v>
      </c>
      <c r="C692" t="str">
        <f t="shared" si="24"/>
        <v>q101_1_southamerica</v>
      </c>
    </row>
    <row r="693" spans="1:3" x14ac:dyDescent="0.25">
      <c r="A693" s="13" t="s">
        <v>470</v>
      </c>
      <c r="B693" t="str">
        <f t="shared" si="27"/>
        <v>_southamerica</v>
      </c>
      <c r="C693" t="str">
        <f t="shared" si="24"/>
        <v>q101_2_southamerica</v>
      </c>
    </row>
    <row r="694" spans="1:3" x14ac:dyDescent="0.25">
      <c r="A694" s="13" t="s">
        <v>471</v>
      </c>
      <c r="B694" t="str">
        <f t="shared" si="27"/>
        <v>_southamerica</v>
      </c>
      <c r="C694" t="str">
        <f t="shared" si="24"/>
        <v>q101_3_southamerica</v>
      </c>
    </row>
    <row r="695" spans="1:3" x14ac:dyDescent="0.25">
      <c r="A695" s="13" t="s">
        <v>472</v>
      </c>
      <c r="B695" t="str">
        <f t="shared" si="27"/>
        <v>_southamerica</v>
      </c>
      <c r="C695" t="str">
        <f t="shared" si="24"/>
        <v>q101_4_southamerica</v>
      </c>
    </row>
    <row r="696" spans="1:3" x14ac:dyDescent="0.25">
      <c r="A696" s="13" t="s">
        <v>473</v>
      </c>
      <c r="B696" t="str">
        <f t="shared" si="27"/>
        <v>_southamerica</v>
      </c>
      <c r="C696" t="str">
        <f t="shared" si="24"/>
        <v>q101_5_southamerica</v>
      </c>
    </row>
    <row r="697" spans="1:3" x14ac:dyDescent="0.25">
      <c r="A697" s="13" t="s">
        <v>474</v>
      </c>
      <c r="B697" t="str">
        <f t="shared" si="27"/>
        <v>_southamerica</v>
      </c>
      <c r="C697" t="str">
        <f t="shared" si="24"/>
        <v>q101_6_southamerica</v>
      </c>
    </row>
    <row r="698" spans="1:3" x14ac:dyDescent="0.25">
      <c r="A698" s="13" t="s">
        <v>475</v>
      </c>
      <c r="B698" t="str">
        <f t="shared" si="27"/>
        <v>_southamerica</v>
      </c>
      <c r="C698" t="str">
        <f t="shared" si="24"/>
        <v>q10ROW1_hidden_southamerica</v>
      </c>
    </row>
    <row r="699" spans="1:3" x14ac:dyDescent="0.25">
      <c r="A699" s="13" t="s">
        <v>476</v>
      </c>
      <c r="B699" t="str">
        <f t="shared" si="27"/>
        <v>_southamerica</v>
      </c>
      <c r="C699" t="str">
        <f t="shared" si="24"/>
        <v>q102_1_southamerica</v>
      </c>
    </row>
    <row r="700" spans="1:3" x14ac:dyDescent="0.25">
      <c r="A700" s="13" t="s">
        <v>477</v>
      </c>
      <c r="B700" t="str">
        <f t="shared" si="27"/>
        <v>_southamerica</v>
      </c>
      <c r="C700" t="str">
        <f t="shared" si="24"/>
        <v>q102_2_southamerica</v>
      </c>
    </row>
    <row r="701" spans="1:3" x14ac:dyDescent="0.25">
      <c r="A701" s="13" t="s">
        <v>478</v>
      </c>
      <c r="B701" t="str">
        <f t="shared" si="27"/>
        <v>_southamerica</v>
      </c>
      <c r="C701" t="str">
        <f t="shared" si="24"/>
        <v>q102_3_southamerica</v>
      </c>
    </row>
    <row r="702" spans="1:3" x14ac:dyDescent="0.25">
      <c r="A702" s="13" t="s">
        <v>479</v>
      </c>
      <c r="B702" t="str">
        <f t="shared" si="27"/>
        <v>_southamerica</v>
      </c>
      <c r="C702" t="str">
        <f t="shared" si="24"/>
        <v>q102_4_southamerica</v>
      </c>
    </row>
    <row r="703" spans="1:3" x14ac:dyDescent="0.25">
      <c r="A703" s="13" t="s">
        <v>480</v>
      </c>
      <c r="B703" t="str">
        <f t="shared" si="27"/>
        <v>_southamerica</v>
      </c>
      <c r="C703" t="str">
        <f t="shared" si="24"/>
        <v>q102_5_southamerica</v>
      </c>
    </row>
    <row r="704" spans="1:3" x14ac:dyDescent="0.25">
      <c r="A704" s="13" t="s">
        <v>481</v>
      </c>
      <c r="B704" t="str">
        <f t="shared" si="27"/>
        <v>_southamerica</v>
      </c>
      <c r="C704" t="str">
        <f t="shared" si="24"/>
        <v>q102_6_southamerica</v>
      </c>
    </row>
    <row r="705" spans="1:3" x14ac:dyDescent="0.25">
      <c r="A705" s="13" t="s">
        <v>482</v>
      </c>
      <c r="B705" t="str">
        <f t="shared" si="27"/>
        <v>_southamerica</v>
      </c>
      <c r="C705" t="str">
        <f t="shared" si="24"/>
        <v>q10ROW2_hidden_southamerica</v>
      </c>
    </row>
    <row r="706" spans="1:3" x14ac:dyDescent="0.25">
      <c r="A706" s="13" t="s">
        <v>483</v>
      </c>
      <c r="B706" t="str">
        <f t="shared" si="27"/>
        <v>_southamerica</v>
      </c>
      <c r="C706" t="str">
        <f t="shared" si="24"/>
        <v>q103_1_southamerica</v>
      </c>
    </row>
    <row r="707" spans="1:3" x14ac:dyDescent="0.25">
      <c r="A707" s="13" t="s">
        <v>484</v>
      </c>
      <c r="B707" t="str">
        <f t="shared" si="27"/>
        <v>_southamerica</v>
      </c>
      <c r="C707" t="str">
        <f t="shared" ref="C707:C770" si="28">_xlfn.CONCAT(A707,B707)</f>
        <v>q103_2_southamerica</v>
      </c>
    </row>
    <row r="708" spans="1:3" x14ac:dyDescent="0.25">
      <c r="A708" s="13" t="s">
        <v>485</v>
      </c>
      <c r="B708" t="str">
        <f t="shared" si="27"/>
        <v>_southamerica</v>
      </c>
      <c r="C708" t="str">
        <f t="shared" si="28"/>
        <v>q103_3_southamerica</v>
      </c>
    </row>
    <row r="709" spans="1:3" x14ac:dyDescent="0.25">
      <c r="A709" s="13" t="s">
        <v>486</v>
      </c>
      <c r="B709" t="str">
        <f t="shared" si="27"/>
        <v>_southamerica</v>
      </c>
      <c r="C709" t="str">
        <f t="shared" si="28"/>
        <v>q103_4_southamerica</v>
      </c>
    </row>
    <row r="710" spans="1:3" x14ac:dyDescent="0.25">
      <c r="A710" s="13" t="s">
        <v>487</v>
      </c>
      <c r="B710" t="str">
        <f t="shared" si="27"/>
        <v>_southamerica</v>
      </c>
      <c r="C710" t="str">
        <f t="shared" si="28"/>
        <v>q103_5_southamerica</v>
      </c>
    </row>
    <row r="711" spans="1:3" x14ac:dyDescent="0.25">
      <c r="A711" s="13" t="s">
        <v>488</v>
      </c>
      <c r="B711" t="str">
        <f t="shared" si="27"/>
        <v>_southamerica</v>
      </c>
      <c r="C711" t="str">
        <f t="shared" si="28"/>
        <v>q103_6_southamerica</v>
      </c>
    </row>
    <row r="712" spans="1:3" x14ac:dyDescent="0.25">
      <c r="A712" s="13" t="s">
        <v>489</v>
      </c>
      <c r="B712" t="str">
        <f t="shared" si="27"/>
        <v>_southamerica</v>
      </c>
      <c r="C712" t="str">
        <f t="shared" si="28"/>
        <v>q10ROW3_hidden_southamerica</v>
      </c>
    </row>
    <row r="713" spans="1:3" x14ac:dyDescent="0.25">
      <c r="A713" s="13" t="s">
        <v>490</v>
      </c>
      <c r="B713" t="str">
        <f t="shared" si="27"/>
        <v>_southamerica</v>
      </c>
      <c r="C713" t="str">
        <f t="shared" si="28"/>
        <v>q104_1_southamerica</v>
      </c>
    </row>
    <row r="714" spans="1:3" x14ac:dyDescent="0.25">
      <c r="A714" s="13" t="s">
        <v>491</v>
      </c>
      <c r="B714" t="str">
        <f t="shared" si="27"/>
        <v>_southamerica</v>
      </c>
      <c r="C714" t="str">
        <f t="shared" si="28"/>
        <v>q104_2_southamerica</v>
      </c>
    </row>
    <row r="715" spans="1:3" x14ac:dyDescent="0.25">
      <c r="A715" s="13" t="s">
        <v>492</v>
      </c>
      <c r="B715" t="str">
        <f t="shared" si="27"/>
        <v>_southamerica</v>
      </c>
      <c r="C715" t="str">
        <f t="shared" si="28"/>
        <v>q104_3_southamerica</v>
      </c>
    </row>
    <row r="716" spans="1:3" x14ac:dyDescent="0.25">
      <c r="A716" s="13" t="s">
        <v>493</v>
      </c>
      <c r="B716" t="str">
        <f t="shared" si="27"/>
        <v>_southamerica</v>
      </c>
      <c r="C716" t="str">
        <f t="shared" si="28"/>
        <v>q104_4_southamerica</v>
      </c>
    </row>
    <row r="717" spans="1:3" x14ac:dyDescent="0.25">
      <c r="A717" s="13" t="s">
        <v>494</v>
      </c>
      <c r="B717" t="str">
        <f t="shared" si="27"/>
        <v>_southamerica</v>
      </c>
      <c r="C717" t="str">
        <f t="shared" si="28"/>
        <v>q104_5_southamerica</v>
      </c>
    </row>
    <row r="718" spans="1:3" x14ac:dyDescent="0.25">
      <c r="A718" s="13" t="s">
        <v>495</v>
      </c>
      <c r="B718" t="str">
        <f t="shared" si="27"/>
        <v>_southamerica</v>
      </c>
      <c r="C718" t="str">
        <f t="shared" si="28"/>
        <v>q104_6_southamerica</v>
      </c>
    </row>
    <row r="719" spans="1:3" x14ac:dyDescent="0.25">
      <c r="A719" s="13" t="s">
        <v>496</v>
      </c>
      <c r="B719" t="str">
        <f t="shared" si="27"/>
        <v>_southamerica</v>
      </c>
      <c r="C719" t="str">
        <f t="shared" si="28"/>
        <v>q10ROW4_hidden_southamerica</v>
      </c>
    </row>
    <row r="720" spans="1:3" x14ac:dyDescent="0.25">
      <c r="A720" s="13" t="s">
        <v>497</v>
      </c>
      <c r="B720" t="str">
        <f t="shared" si="27"/>
        <v>_southamerica</v>
      </c>
      <c r="C720" t="str">
        <f t="shared" si="28"/>
        <v>q105_1_southamerica</v>
      </c>
    </row>
    <row r="721" spans="1:3" x14ac:dyDescent="0.25">
      <c r="A721" s="13" t="s">
        <v>498</v>
      </c>
      <c r="B721" t="str">
        <f t="shared" si="27"/>
        <v>_southamerica</v>
      </c>
      <c r="C721" t="str">
        <f t="shared" si="28"/>
        <v>q105_2_southamerica</v>
      </c>
    </row>
    <row r="722" spans="1:3" x14ac:dyDescent="0.25">
      <c r="A722" s="13" t="s">
        <v>499</v>
      </c>
      <c r="B722" t="str">
        <f t="shared" si="27"/>
        <v>_southamerica</v>
      </c>
      <c r="C722" t="str">
        <f t="shared" si="28"/>
        <v>q105_3_southamerica</v>
      </c>
    </row>
    <row r="723" spans="1:3" x14ac:dyDescent="0.25">
      <c r="A723" s="13" t="s">
        <v>500</v>
      </c>
      <c r="B723" t="str">
        <f t="shared" si="27"/>
        <v>_southamerica</v>
      </c>
      <c r="C723" t="str">
        <f t="shared" si="28"/>
        <v>q105_4_southamerica</v>
      </c>
    </row>
    <row r="724" spans="1:3" x14ac:dyDescent="0.25">
      <c r="A724" s="13" t="s">
        <v>501</v>
      </c>
      <c r="B724" t="str">
        <f t="shared" ref="B724:B755" si="29">B723</f>
        <v>_southamerica</v>
      </c>
      <c r="C724" t="str">
        <f t="shared" si="28"/>
        <v>q105_5_southamerica</v>
      </c>
    </row>
    <row r="725" spans="1:3" x14ac:dyDescent="0.25">
      <c r="A725" s="13" t="s">
        <v>502</v>
      </c>
      <c r="B725" t="str">
        <f t="shared" si="29"/>
        <v>_southamerica</v>
      </c>
      <c r="C725" t="str">
        <f t="shared" si="28"/>
        <v>q105_6_southamerica</v>
      </c>
    </row>
    <row r="726" spans="1:3" x14ac:dyDescent="0.25">
      <c r="A726" s="13" t="s">
        <v>503</v>
      </c>
      <c r="B726" t="str">
        <f t="shared" si="29"/>
        <v>_southamerica</v>
      </c>
      <c r="C726" t="str">
        <f t="shared" si="28"/>
        <v>q10ROW5_hidden_southamerica</v>
      </c>
    </row>
    <row r="727" spans="1:3" x14ac:dyDescent="0.25">
      <c r="A727" s="13" t="s">
        <v>504</v>
      </c>
      <c r="B727" t="str">
        <f t="shared" si="29"/>
        <v>_southamerica</v>
      </c>
      <c r="C727" t="str">
        <f t="shared" si="28"/>
        <v>q106_1_southamerica</v>
      </c>
    </row>
    <row r="728" spans="1:3" x14ac:dyDescent="0.25">
      <c r="A728" s="13" t="s">
        <v>505</v>
      </c>
      <c r="B728" t="str">
        <f t="shared" si="29"/>
        <v>_southamerica</v>
      </c>
      <c r="C728" t="str">
        <f t="shared" si="28"/>
        <v>q106_2_southamerica</v>
      </c>
    </row>
    <row r="729" spans="1:3" x14ac:dyDescent="0.25">
      <c r="A729" s="13" t="s">
        <v>506</v>
      </c>
      <c r="B729" t="str">
        <f t="shared" si="29"/>
        <v>_southamerica</v>
      </c>
      <c r="C729" t="str">
        <f t="shared" si="28"/>
        <v>q106_3_southamerica</v>
      </c>
    </row>
    <row r="730" spans="1:3" x14ac:dyDescent="0.25">
      <c r="A730" s="13" t="s">
        <v>507</v>
      </c>
      <c r="B730" t="str">
        <f t="shared" si="29"/>
        <v>_southamerica</v>
      </c>
      <c r="C730" t="str">
        <f t="shared" si="28"/>
        <v>q106_4_southamerica</v>
      </c>
    </row>
    <row r="731" spans="1:3" x14ac:dyDescent="0.25">
      <c r="A731" s="13" t="s">
        <v>508</v>
      </c>
      <c r="B731" t="str">
        <f t="shared" si="29"/>
        <v>_southamerica</v>
      </c>
      <c r="C731" t="str">
        <f t="shared" si="28"/>
        <v>q106_5_southamerica</v>
      </c>
    </row>
    <row r="732" spans="1:3" x14ac:dyDescent="0.25">
      <c r="A732" s="13" t="s">
        <v>509</v>
      </c>
      <c r="B732" t="str">
        <f t="shared" si="29"/>
        <v>_southamerica</v>
      </c>
      <c r="C732" t="str">
        <f t="shared" si="28"/>
        <v>q106_6_southamerica</v>
      </c>
    </row>
    <row r="733" spans="1:3" x14ac:dyDescent="0.25">
      <c r="A733" s="13" t="s">
        <v>510</v>
      </c>
      <c r="B733" t="str">
        <f t="shared" si="29"/>
        <v>_southamerica</v>
      </c>
      <c r="C733" t="str">
        <f t="shared" si="28"/>
        <v>q10ROW6_hidden_southamerica</v>
      </c>
    </row>
    <row r="734" spans="1:3" x14ac:dyDescent="0.25">
      <c r="A734" s="13" t="s">
        <v>511</v>
      </c>
      <c r="B734" t="str">
        <f t="shared" si="29"/>
        <v>_southamerica</v>
      </c>
      <c r="C734" t="str">
        <f t="shared" si="28"/>
        <v>q107_1_southamerica</v>
      </c>
    </row>
    <row r="735" spans="1:3" x14ac:dyDescent="0.25">
      <c r="A735" s="13" t="s">
        <v>512</v>
      </c>
      <c r="B735" t="str">
        <f t="shared" si="29"/>
        <v>_southamerica</v>
      </c>
      <c r="C735" t="str">
        <f t="shared" si="28"/>
        <v>q107_2_southamerica</v>
      </c>
    </row>
    <row r="736" spans="1:3" x14ac:dyDescent="0.25">
      <c r="A736" s="13" t="s">
        <v>513</v>
      </c>
      <c r="B736" t="str">
        <f t="shared" si="29"/>
        <v>_southamerica</v>
      </c>
      <c r="C736" t="str">
        <f t="shared" si="28"/>
        <v>q107_3_southamerica</v>
      </c>
    </row>
    <row r="737" spans="1:3" x14ac:dyDescent="0.25">
      <c r="A737" s="13" t="s">
        <v>514</v>
      </c>
      <c r="B737" t="str">
        <f t="shared" si="29"/>
        <v>_southamerica</v>
      </c>
      <c r="C737" t="str">
        <f t="shared" si="28"/>
        <v>q107_4_southamerica</v>
      </c>
    </row>
    <row r="738" spans="1:3" x14ac:dyDescent="0.25">
      <c r="A738" s="13" t="s">
        <v>515</v>
      </c>
      <c r="B738" t="str">
        <f t="shared" si="29"/>
        <v>_southamerica</v>
      </c>
      <c r="C738" t="str">
        <f t="shared" si="28"/>
        <v>q107_5_southamerica</v>
      </c>
    </row>
    <row r="739" spans="1:3" x14ac:dyDescent="0.25">
      <c r="A739" s="13" t="s">
        <v>516</v>
      </c>
      <c r="B739" t="str">
        <f t="shared" si="29"/>
        <v>_southamerica</v>
      </c>
      <c r="C739" t="str">
        <f t="shared" si="28"/>
        <v>q107_6_southamerica</v>
      </c>
    </row>
    <row r="740" spans="1:3" x14ac:dyDescent="0.25">
      <c r="A740" s="13" t="s">
        <v>517</v>
      </c>
      <c r="B740" t="str">
        <f t="shared" si="29"/>
        <v>_southamerica</v>
      </c>
      <c r="C740" t="str">
        <f t="shared" si="28"/>
        <v>q10ROW7_hidden_southamerica</v>
      </c>
    </row>
    <row r="741" spans="1:3" x14ac:dyDescent="0.25">
      <c r="A741" s="13" t="s">
        <v>518</v>
      </c>
      <c r="B741" t="str">
        <f t="shared" si="29"/>
        <v>_southamerica</v>
      </c>
      <c r="C741" t="str">
        <f t="shared" si="28"/>
        <v>q10other_southamerica</v>
      </c>
    </row>
    <row r="742" spans="1:3" x14ac:dyDescent="0.25">
      <c r="A742" s="13" t="s">
        <v>519</v>
      </c>
      <c r="B742" t="str">
        <f t="shared" si="29"/>
        <v>_southamerica</v>
      </c>
      <c r="C742" t="str">
        <f t="shared" si="28"/>
        <v>q108_1_southamerica</v>
      </c>
    </row>
    <row r="743" spans="1:3" x14ac:dyDescent="0.25">
      <c r="A743" s="13" t="s">
        <v>520</v>
      </c>
      <c r="B743" t="str">
        <f t="shared" si="29"/>
        <v>_southamerica</v>
      </c>
      <c r="C743" t="str">
        <f t="shared" si="28"/>
        <v>q108_2_southamerica</v>
      </c>
    </row>
    <row r="744" spans="1:3" x14ac:dyDescent="0.25">
      <c r="A744" s="13" t="s">
        <v>521</v>
      </c>
      <c r="B744" t="str">
        <f t="shared" si="29"/>
        <v>_southamerica</v>
      </c>
      <c r="C744" t="str">
        <f t="shared" si="28"/>
        <v>q108_3_southamerica</v>
      </c>
    </row>
    <row r="745" spans="1:3" x14ac:dyDescent="0.25">
      <c r="A745" s="13" t="s">
        <v>522</v>
      </c>
      <c r="B745" t="str">
        <f t="shared" si="29"/>
        <v>_southamerica</v>
      </c>
      <c r="C745" t="str">
        <f t="shared" si="28"/>
        <v>q108_4_southamerica</v>
      </c>
    </row>
    <row r="746" spans="1:3" x14ac:dyDescent="0.25">
      <c r="A746" s="13" t="s">
        <v>523</v>
      </c>
      <c r="B746" t="str">
        <f t="shared" si="29"/>
        <v>_southamerica</v>
      </c>
      <c r="C746" t="str">
        <f t="shared" si="28"/>
        <v>q108_5_southamerica</v>
      </c>
    </row>
    <row r="747" spans="1:3" x14ac:dyDescent="0.25">
      <c r="A747" s="13" t="s">
        <v>524</v>
      </c>
      <c r="B747" t="str">
        <f t="shared" si="29"/>
        <v>_southamerica</v>
      </c>
      <c r="C747" t="str">
        <f t="shared" si="28"/>
        <v>q108_6_southamerica</v>
      </c>
    </row>
    <row r="748" spans="1:3" x14ac:dyDescent="0.25">
      <c r="A748" s="13" t="s">
        <v>525</v>
      </c>
      <c r="B748" t="str">
        <f t="shared" si="29"/>
        <v>_southamerica</v>
      </c>
      <c r="C748" t="str">
        <f t="shared" si="28"/>
        <v>q10ROW8_hidden_southamerica</v>
      </c>
    </row>
    <row r="749" spans="1:3" x14ac:dyDescent="0.25">
      <c r="A749" s="13" t="s">
        <v>526</v>
      </c>
      <c r="B749" t="str">
        <f t="shared" si="29"/>
        <v>_southamerica</v>
      </c>
      <c r="C749" t="str">
        <f t="shared" si="28"/>
        <v>q10COL1_hidden_southamerica</v>
      </c>
    </row>
    <row r="750" spans="1:3" x14ac:dyDescent="0.25">
      <c r="A750" s="13" t="s">
        <v>527</v>
      </c>
      <c r="B750" t="str">
        <f t="shared" si="29"/>
        <v>_southamerica</v>
      </c>
      <c r="C750" t="str">
        <f t="shared" si="28"/>
        <v>q10COL2_hidden_southamerica</v>
      </c>
    </row>
    <row r="751" spans="1:3" x14ac:dyDescent="0.25">
      <c r="A751" s="13" t="s">
        <v>528</v>
      </c>
      <c r="B751" t="str">
        <f t="shared" si="29"/>
        <v>_southamerica</v>
      </c>
      <c r="C751" t="str">
        <f t="shared" si="28"/>
        <v>q10COL3_hidden_southamerica</v>
      </c>
    </row>
    <row r="752" spans="1:3" x14ac:dyDescent="0.25">
      <c r="A752" s="13" t="s">
        <v>529</v>
      </c>
      <c r="B752" t="str">
        <f t="shared" si="29"/>
        <v>_southamerica</v>
      </c>
      <c r="C752" t="str">
        <f t="shared" si="28"/>
        <v>q10COL4_hidden_southamerica</v>
      </c>
    </row>
    <row r="753" spans="1:3" x14ac:dyDescent="0.25">
      <c r="A753" s="13" t="s">
        <v>530</v>
      </c>
      <c r="B753" t="str">
        <f t="shared" si="29"/>
        <v>_southamerica</v>
      </c>
      <c r="C753" t="str">
        <f t="shared" si="28"/>
        <v>q10COL5_hidden_southamerica</v>
      </c>
    </row>
    <row r="754" spans="1:3" x14ac:dyDescent="0.25">
      <c r="A754" s="13" t="s">
        <v>531</v>
      </c>
      <c r="B754" t="str">
        <f t="shared" si="29"/>
        <v>_southamerica</v>
      </c>
      <c r="C754" t="str">
        <f t="shared" si="28"/>
        <v>q10COL6_hidden_southamerica</v>
      </c>
    </row>
    <row r="755" spans="1:3" x14ac:dyDescent="0.25">
      <c r="A755" s="13" t="s">
        <v>532</v>
      </c>
      <c r="B755" t="str">
        <f t="shared" si="29"/>
        <v>_southamerica</v>
      </c>
      <c r="C755" t="str">
        <f t="shared" si="28"/>
        <v>q10GRANDTotal_hidden_southamerica</v>
      </c>
    </row>
    <row r="756" spans="1:3" x14ac:dyDescent="0.25">
      <c r="A756" s="13" t="s">
        <v>534</v>
      </c>
      <c r="B756" t="str">
        <f t="shared" ref="B756:B787" si="30">B755</f>
        <v>_southamerica</v>
      </c>
      <c r="C756" t="str">
        <f t="shared" si="28"/>
        <v>q111_1_southamerica</v>
      </c>
    </row>
    <row r="757" spans="1:3" x14ac:dyDescent="0.25">
      <c r="A757" s="13" t="s">
        <v>535</v>
      </c>
      <c r="B757" t="str">
        <f t="shared" si="30"/>
        <v>_southamerica</v>
      </c>
      <c r="C757" t="str">
        <f t="shared" si="28"/>
        <v>q111_2_southamerica</v>
      </c>
    </row>
    <row r="758" spans="1:3" x14ac:dyDescent="0.25">
      <c r="A758" s="13" t="s">
        <v>536</v>
      </c>
      <c r="B758" t="str">
        <f t="shared" si="30"/>
        <v>_southamerica</v>
      </c>
      <c r="C758" t="str">
        <f t="shared" si="28"/>
        <v>q111_3_southamerica</v>
      </c>
    </row>
    <row r="759" spans="1:3" x14ac:dyDescent="0.25">
      <c r="A759" s="13" t="s">
        <v>537</v>
      </c>
      <c r="B759" t="str">
        <f t="shared" si="30"/>
        <v>_southamerica</v>
      </c>
      <c r="C759" t="str">
        <f t="shared" si="28"/>
        <v>q111_4_southamerica</v>
      </c>
    </row>
    <row r="760" spans="1:3" x14ac:dyDescent="0.25">
      <c r="A760" s="13" t="s">
        <v>538</v>
      </c>
      <c r="B760" t="str">
        <f t="shared" si="30"/>
        <v>_southamerica</v>
      </c>
      <c r="C760" t="str">
        <f t="shared" si="28"/>
        <v>q111_5_southamerica</v>
      </c>
    </row>
    <row r="761" spans="1:3" x14ac:dyDescent="0.25">
      <c r="A761" s="13" t="s">
        <v>539</v>
      </c>
      <c r="B761" t="str">
        <f t="shared" si="30"/>
        <v>_southamerica</v>
      </c>
      <c r="C761" t="str">
        <f t="shared" si="28"/>
        <v>q111_6_southamerica</v>
      </c>
    </row>
    <row r="762" spans="1:3" x14ac:dyDescent="0.25">
      <c r="A762" s="13" t="s">
        <v>540</v>
      </c>
      <c r="B762" t="str">
        <f t="shared" si="30"/>
        <v>_southamerica</v>
      </c>
      <c r="C762" t="str">
        <f t="shared" si="28"/>
        <v>q11ROW1_hidden_southamerica</v>
      </c>
    </row>
    <row r="763" spans="1:3" x14ac:dyDescent="0.25">
      <c r="A763" s="13" t="s">
        <v>542</v>
      </c>
      <c r="B763" t="str">
        <f t="shared" si="30"/>
        <v>_southamerica</v>
      </c>
      <c r="C763" t="str">
        <f t="shared" si="28"/>
        <v>q112_1_southamerica</v>
      </c>
    </row>
    <row r="764" spans="1:3" x14ac:dyDescent="0.25">
      <c r="A764" s="13" t="s">
        <v>543</v>
      </c>
      <c r="B764" t="str">
        <f t="shared" si="30"/>
        <v>_southamerica</v>
      </c>
      <c r="C764" t="str">
        <f t="shared" si="28"/>
        <v>q112_2_southamerica</v>
      </c>
    </row>
    <row r="765" spans="1:3" x14ac:dyDescent="0.25">
      <c r="A765" s="13" t="s">
        <v>544</v>
      </c>
      <c r="B765" t="str">
        <f t="shared" si="30"/>
        <v>_southamerica</v>
      </c>
      <c r="C765" t="str">
        <f t="shared" si="28"/>
        <v>q112_3_southamerica</v>
      </c>
    </row>
    <row r="766" spans="1:3" x14ac:dyDescent="0.25">
      <c r="A766" s="13" t="s">
        <v>545</v>
      </c>
      <c r="B766" t="str">
        <f t="shared" si="30"/>
        <v>_southamerica</v>
      </c>
      <c r="C766" t="str">
        <f t="shared" si="28"/>
        <v>q112_4_southamerica</v>
      </c>
    </row>
    <row r="767" spans="1:3" x14ac:dyDescent="0.25">
      <c r="A767" s="13" t="s">
        <v>546</v>
      </c>
      <c r="B767" t="str">
        <f t="shared" si="30"/>
        <v>_southamerica</v>
      </c>
      <c r="C767" t="str">
        <f t="shared" si="28"/>
        <v>q112_5_southamerica</v>
      </c>
    </row>
    <row r="768" spans="1:3" x14ac:dyDescent="0.25">
      <c r="A768" s="13" t="s">
        <v>547</v>
      </c>
      <c r="B768" t="str">
        <f t="shared" si="30"/>
        <v>_southamerica</v>
      </c>
      <c r="C768" t="str">
        <f t="shared" si="28"/>
        <v>q112_6_southamerica</v>
      </c>
    </row>
    <row r="769" spans="1:3" x14ac:dyDescent="0.25">
      <c r="A769" s="13" t="s">
        <v>548</v>
      </c>
      <c r="B769" t="str">
        <f t="shared" si="30"/>
        <v>_southamerica</v>
      </c>
      <c r="C769" t="str">
        <f t="shared" si="28"/>
        <v>q11ROW2_hidden_southamerica</v>
      </c>
    </row>
    <row r="770" spans="1:3" x14ac:dyDescent="0.25">
      <c r="A770" s="13" t="s">
        <v>550</v>
      </c>
      <c r="B770" t="str">
        <f t="shared" si="30"/>
        <v>_southamerica</v>
      </c>
      <c r="C770" t="str">
        <f t="shared" si="28"/>
        <v>q113_1_southamerica</v>
      </c>
    </row>
    <row r="771" spans="1:3" x14ac:dyDescent="0.25">
      <c r="A771" s="13" t="s">
        <v>551</v>
      </c>
      <c r="B771" t="str">
        <f t="shared" si="30"/>
        <v>_southamerica</v>
      </c>
      <c r="C771" t="str">
        <f t="shared" ref="C771:C834" si="31">_xlfn.CONCAT(A771,B771)</f>
        <v>q113_2_southamerica</v>
      </c>
    </row>
    <row r="772" spans="1:3" x14ac:dyDescent="0.25">
      <c r="A772" s="13" t="s">
        <v>552</v>
      </c>
      <c r="B772" t="str">
        <f t="shared" si="30"/>
        <v>_southamerica</v>
      </c>
      <c r="C772" t="str">
        <f t="shared" si="31"/>
        <v>q113_3_southamerica</v>
      </c>
    </row>
    <row r="773" spans="1:3" x14ac:dyDescent="0.25">
      <c r="A773" s="13" t="s">
        <v>553</v>
      </c>
      <c r="B773" t="str">
        <f t="shared" si="30"/>
        <v>_southamerica</v>
      </c>
      <c r="C773" t="str">
        <f t="shared" si="31"/>
        <v>q113_4_southamerica</v>
      </c>
    </row>
    <row r="774" spans="1:3" x14ac:dyDescent="0.25">
      <c r="A774" s="13" t="s">
        <v>554</v>
      </c>
      <c r="B774" t="str">
        <f t="shared" si="30"/>
        <v>_southamerica</v>
      </c>
      <c r="C774" t="str">
        <f t="shared" si="31"/>
        <v>q113_5_southamerica</v>
      </c>
    </row>
    <row r="775" spans="1:3" x14ac:dyDescent="0.25">
      <c r="A775" s="13" t="s">
        <v>555</v>
      </c>
      <c r="B775" t="str">
        <f t="shared" si="30"/>
        <v>_southamerica</v>
      </c>
      <c r="C775" t="str">
        <f t="shared" si="31"/>
        <v>q113_6_southamerica</v>
      </c>
    </row>
    <row r="776" spans="1:3" x14ac:dyDescent="0.25">
      <c r="A776" s="13" t="s">
        <v>556</v>
      </c>
      <c r="B776" t="str">
        <f t="shared" si="30"/>
        <v>_southamerica</v>
      </c>
      <c r="C776" t="str">
        <f t="shared" si="31"/>
        <v>q11ROW3_hidden_southamerica</v>
      </c>
    </row>
    <row r="777" spans="1:3" x14ac:dyDescent="0.25">
      <c r="A777" s="13" t="s">
        <v>558</v>
      </c>
      <c r="B777" t="str">
        <f t="shared" si="30"/>
        <v>_southamerica</v>
      </c>
      <c r="C777" t="str">
        <f t="shared" si="31"/>
        <v>q114_1_southamerica</v>
      </c>
    </row>
    <row r="778" spans="1:3" x14ac:dyDescent="0.25">
      <c r="A778" s="13" t="s">
        <v>559</v>
      </c>
      <c r="B778" t="str">
        <f t="shared" si="30"/>
        <v>_southamerica</v>
      </c>
      <c r="C778" t="str">
        <f t="shared" si="31"/>
        <v>q114_2_southamerica</v>
      </c>
    </row>
    <row r="779" spans="1:3" x14ac:dyDescent="0.25">
      <c r="A779" s="13" t="s">
        <v>560</v>
      </c>
      <c r="B779" t="str">
        <f t="shared" si="30"/>
        <v>_southamerica</v>
      </c>
      <c r="C779" t="str">
        <f t="shared" si="31"/>
        <v>q114_3_southamerica</v>
      </c>
    </row>
    <row r="780" spans="1:3" x14ac:dyDescent="0.25">
      <c r="A780" s="13" t="s">
        <v>561</v>
      </c>
      <c r="B780" t="str">
        <f t="shared" si="30"/>
        <v>_southamerica</v>
      </c>
      <c r="C780" t="str">
        <f t="shared" si="31"/>
        <v>q114_4_southamerica</v>
      </c>
    </row>
    <row r="781" spans="1:3" x14ac:dyDescent="0.25">
      <c r="A781" s="13" t="s">
        <v>562</v>
      </c>
      <c r="B781" t="str">
        <f t="shared" si="30"/>
        <v>_southamerica</v>
      </c>
      <c r="C781" t="str">
        <f t="shared" si="31"/>
        <v>q114_5_southamerica</v>
      </c>
    </row>
    <row r="782" spans="1:3" x14ac:dyDescent="0.25">
      <c r="A782" s="13" t="s">
        <v>563</v>
      </c>
      <c r="B782" t="str">
        <f t="shared" si="30"/>
        <v>_southamerica</v>
      </c>
      <c r="C782" t="str">
        <f t="shared" si="31"/>
        <v>q114_6_southamerica</v>
      </c>
    </row>
    <row r="783" spans="1:3" x14ac:dyDescent="0.25">
      <c r="A783" s="13" t="s">
        <v>564</v>
      </c>
      <c r="B783" t="str">
        <f t="shared" si="30"/>
        <v>_southamerica</v>
      </c>
      <c r="C783" t="str">
        <f t="shared" si="31"/>
        <v>q11ROW4_hidden_southamerica</v>
      </c>
    </row>
    <row r="784" spans="1:3" x14ac:dyDescent="0.25">
      <c r="A784" s="13" t="s">
        <v>566</v>
      </c>
      <c r="B784" t="str">
        <f t="shared" si="30"/>
        <v>_southamerica</v>
      </c>
      <c r="C784" t="str">
        <f t="shared" si="31"/>
        <v>q115_1_southamerica</v>
      </c>
    </row>
    <row r="785" spans="1:3" x14ac:dyDescent="0.25">
      <c r="A785" s="13" t="s">
        <v>567</v>
      </c>
      <c r="B785" t="str">
        <f t="shared" si="30"/>
        <v>_southamerica</v>
      </c>
      <c r="C785" t="str">
        <f t="shared" si="31"/>
        <v>q115_2_southamerica</v>
      </c>
    </row>
    <row r="786" spans="1:3" x14ac:dyDescent="0.25">
      <c r="A786" s="13" t="s">
        <v>568</v>
      </c>
      <c r="B786" t="str">
        <f t="shared" si="30"/>
        <v>_southamerica</v>
      </c>
      <c r="C786" t="str">
        <f t="shared" si="31"/>
        <v>q115_3_southamerica</v>
      </c>
    </row>
    <row r="787" spans="1:3" x14ac:dyDescent="0.25">
      <c r="A787" s="13" t="s">
        <v>569</v>
      </c>
      <c r="B787" t="str">
        <f t="shared" si="30"/>
        <v>_southamerica</v>
      </c>
      <c r="C787" t="str">
        <f t="shared" si="31"/>
        <v>q115_4_southamerica</v>
      </c>
    </row>
    <row r="788" spans="1:3" x14ac:dyDescent="0.25">
      <c r="A788" s="13" t="s">
        <v>570</v>
      </c>
      <c r="B788" t="str">
        <f t="shared" ref="B788:B797" si="32">B787</f>
        <v>_southamerica</v>
      </c>
      <c r="C788" t="str">
        <f t="shared" si="31"/>
        <v>q115_5_southamerica</v>
      </c>
    </row>
    <row r="789" spans="1:3" x14ac:dyDescent="0.25">
      <c r="A789" s="13" t="s">
        <v>571</v>
      </c>
      <c r="B789" t="str">
        <f t="shared" si="32"/>
        <v>_southamerica</v>
      </c>
      <c r="C789" t="str">
        <f t="shared" si="31"/>
        <v>q115_6_southamerica</v>
      </c>
    </row>
    <row r="790" spans="1:3" x14ac:dyDescent="0.25">
      <c r="A790" s="13" t="s">
        <v>572</v>
      </c>
      <c r="B790" t="str">
        <f t="shared" si="32"/>
        <v>_southamerica</v>
      </c>
      <c r="C790" t="str">
        <f t="shared" si="31"/>
        <v>q11ROW5_hidden_southamerica</v>
      </c>
    </row>
    <row r="791" spans="1:3" x14ac:dyDescent="0.25">
      <c r="A791" s="13" t="s">
        <v>573</v>
      </c>
      <c r="B791" t="str">
        <f t="shared" si="32"/>
        <v>_southamerica</v>
      </c>
      <c r="C791" t="str">
        <f t="shared" si="31"/>
        <v>q11COL1_hidden_southamerica</v>
      </c>
    </row>
    <row r="792" spans="1:3" x14ac:dyDescent="0.25">
      <c r="A792" s="13" t="s">
        <v>574</v>
      </c>
      <c r="B792" t="str">
        <f t="shared" si="32"/>
        <v>_southamerica</v>
      </c>
      <c r="C792" t="str">
        <f t="shared" si="31"/>
        <v>q11COL2_hidden_southamerica</v>
      </c>
    </row>
    <row r="793" spans="1:3" x14ac:dyDescent="0.25">
      <c r="A793" s="13" t="s">
        <v>575</v>
      </c>
      <c r="B793" t="str">
        <f t="shared" si="32"/>
        <v>_southamerica</v>
      </c>
      <c r="C793" t="str">
        <f t="shared" si="31"/>
        <v>q11COL3_hidden_southamerica</v>
      </c>
    </row>
    <row r="794" spans="1:3" x14ac:dyDescent="0.25">
      <c r="A794" s="13" t="s">
        <v>576</v>
      </c>
      <c r="B794" t="str">
        <f t="shared" si="32"/>
        <v>_southamerica</v>
      </c>
      <c r="C794" t="str">
        <f t="shared" si="31"/>
        <v>q11COL4_hidden_southamerica</v>
      </c>
    </row>
    <row r="795" spans="1:3" x14ac:dyDescent="0.25">
      <c r="A795" s="13" t="s">
        <v>577</v>
      </c>
      <c r="B795" t="str">
        <f t="shared" si="32"/>
        <v>_southamerica</v>
      </c>
      <c r="C795" t="str">
        <f t="shared" si="31"/>
        <v>q11COL5_hidden_southamerica</v>
      </c>
    </row>
    <row r="796" spans="1:3" x14ac:dyDescent="0.25">
      <c r="A796" s="13" t="s">
        <v>578</v>
      </c>
      <c r="B796" t="str">
        <f t="shared" si="32"/>
        <v>_southamerica</v>
      </c>
      <c r="C796" t="str">
        <f t="shared" si="31"/>
        <v>q11COL6_hidden_southamerica</v>
      </c>
    </row>
    <row r="797" spans="1:3" x14ac:dyDescent="0.25">
      <c r="A797" s="13" t="s">
        <v>579</v>
      </c>
      <c r="B797" t="str">
        <f t="shared" si="32"/>
        <v>_southamerica</v>
      </c>
      <c r="C797" t="str">
        <f t="shared" si="31"/>
        <v>q11GRANDTotal_hidden_southamerica</v>
      </c>
    </row>
    <row r="798" spans="1:3" x14ac:dyDescent="0.25">
      <c r="A798" s="13" t="s">
        <v>589</v>
      </c>
      <c r="B798" t="s">
        <v>588</v>
      </c>
      <c r="C798" t="str">
        <f t="shared" si="31"/>
        <v>AFRICA_africa</v>
      </c>
    </row>
    <row r="799" spans="1:3" x14ac:dyDescent="0.25">
      <c r="A799" s="13" t="s">
        <v>469</v>
      </c>
      <c r="B799" t="str">
        <f t="shared" ref="B799:B830" si="33">B798</f>
        <v>_africa</v>
      </c>
      <c r="C799" t="str">
        <f t="shared" si="31"/>
        <v>q101_1_africa</v>
      </c>
    </row>
    <row r="800" spans="1:3" x14ac:dyDescent="0.25">
      <c r="A800" s="13" t="s">
        <v>470</v>
      </c>
      <c r="B800" t="str">
        <f t="shared" si="33"/>
        <v>_africa</v>
      </c>
      <c r="C800" t="str">
        <f t="shared" si="31"/>
        <v>q101_2_africa</v>
      </c>
    </row>
    <row r="801" spans="1:3" x14ac:dyDescent="0.25">
      <c r="A801" s="13" t="s">
        <v>471</v>
      </c>
      <c r="B801" t="str">
        <f t="shared" si="33"/>
        <v>_africa</v>
      </c>
      <c r="C801" t="str">
        <f t="shared" si="31"/>
        <v>q101_3_africa</v>
      </c>
    </row>
    <row r="802" spans="1:3" x14ac:dyDescent="0.25">
      <c r="A802" s="13" t="s">
        <v>472</v>
      </c>
      <c r="B802" t="str">
        <f t="shared" si="33"/>
        <v>_africa</v>
      </c>
      <c r="C802" t="str">
        <f t="shared" si="31"/>
        <v>q101_4_africa</v>
      </c>
    </row>
    <row r="803" spans="1:3" x14ac:dyDescent="0.25">
      <c r="A803" s="13" t="s">
        <v>473</v>
      </c>
      <c r="B803" t="str">
        <f t="shared" si="33"/>
        <v>_africa</v>
      </c>
      <c r="C803" t="str">
        <f t="shared" si="31"/>
        <v>q101_5_africa</v>
      </c>
    </row>
    <row r="804" spans="1:3" x14ac:dyDescent="0.25">
      <c r="A804" s="13" t="s">
        <v>474</v>
      </c>
      <c r="B804" t="str">
        <f t="shared" si="33"/>
        <v>_africa</v>
      </c>
      <c r="C804" t="str">
        <f t="shared" si="31"/>
        <v>q101_6_africa</v>
      </c>
    </row>
    <row r="805" spans="1:3" x14ac:dyDescent="0.25">
      <c r="A805" s="13" t="s">
        <v>475</v>
      </c>
      <c r="B805" t="str">
        <f t="shared" si="33"/>
        <v>_africa</v>
      </c>
      <c r="C805" t="str">
        <f t="shared" si="31"/>
        <v>q10ROW1_hidden_africa</v>
      </c>
    </row>
    <row r="806" spans="1:3" x14ac:dyDescent="0.25">
      <c r="A806" s="13" t="s">
        <v>476</v>
      </c>
      <c r="B806" t="str">
        <f t="shared" si="33"/>
        <v>_africa</v>
      </c>
      <c r="C806" t="str">
        <f t="shared" si="31"/>
        <v>q102_1_africa</v>
      </c>
    </row>
    <row r="807" spans="1:3" x14ac:dyDescent="0.25">
      <c r="A807" s="13" t="s">
        <v>477</v>
      </c>
      <c r="B807" t="str">
        <f t="shared" si="33"/>
        <v>_africa</v>
      </c>
      <c r="C807" t="str">
        <f t="shared" si="31"/>
        <v>q102_2_africa</v>
      </c>
    </row>
    <row r="808" spans="1:3" x14ac:dyDescent="0.25">
      <c r="A808" s="13" t="s">
        <v>478</v>
      </c>
      <c r="B808" t="str">
        <f t="shared" si="33"/>
        <v>_africa</v>
      </c>
      <c r="C808" t="str">
        <f t="shared" si="31"/>
        <v>q102_3_africa</v>
      </c>
    </row>
    <row r="809" spans="1:3" x14ac:dyDescent="0.25">
      <c r="A809" s="13" t="s">
        <v>479</v>
      </c>
      <c r="B809" t="str">
        <f t="shared" si="33"/>
        <v>_africa</v>
      </c>
      <c r="C809" t="str">
        <f t="shared" si="31"/>
        <v>q102_4_africa</v>
      </c>
    </row>
    <row r="810" spans="1:3" x14ac:dyDescent="0.25">
      <c r="A810" s="13" t="s">
        <v>480</v>
      </c>
      <c r="B810" t="str">
        <f t="shared" si="33"/>
        <v>_africa</v>
      </c>
      <c r="C810" t="str">
        <f t="shared" si="31"/>
        <v>q102_5_africa</v>
      </c>
    </row>
    <row r="811" spans="1:3" x14ac:dyDescent="0.25">
      <c r="A811" s="13" t="s">
        <v>481</v>
      </c>
      <c r="B811" t="str">
        <f t="shared" si="33"/>
        <v>_africa</v>
      </c>
      <c r="C811" t="str">
        <f t="shared" si="31"/>
        <v>q102_6_africa</v>
      </c>
    </row>
    <row r="812" spans="1:3" x14ac:dyDescent="0.25">
      <c r="A812" s="13" t="s">
        <v>482</v>
      </c>
      <c r="B812" t="str">
        <f t="shared" si="33"/>
        <v>_africa</v>
      </c>
      <c r="C812" t="str">
        <f t="shared" si="31"/>
        <v>q10ROW2_hidden_africa</v>
      </c>
    </row>
    <row r="813" spans="1:3" x14ac:dyDescent="0.25">
      <c r="A813" s="13" t="s">
        <v>483</v>
      </c>
      <c r="B813" t="str">
        <f t="shared" si="33"/>
        <v>_africa</v>
      </c>
      <c r="C813" t="str">
        <f t="shared" si="31"/>
        <v>q103_1_africa</v>
      </c>
    </row>
    <row r="814" spans="1:3" x14ac:dyDescent="0.25">
      <c r="A814" s="13" t="s">
        <v>484</v>
      </c>
      <c r="B814" t="str">
        <f t="shared" si="33"/>
        <v>_africa</v>
      </c>
      <c r="C814" t="str">
        <f t="shared" si="31"/>
        <v>q103_2_africa</v>
      </c>
    </row>
    <row r="815" spans="1:3" x14ac:dyDescent="0.25">
      <c r="A815" s="13" t="s">
        <v>485</v>
      </c>
      <c r="B815" t="str">
        <f t="shared" si="33"/>
        <v>_africa</v>
      </c>
      <c r="C815" t="str">
        <f t="shared" si="31"/>
        <v>q103_3_africa</v>
      </c>
    </row>
    <row r="816" spans="1:3" x14ac:dyDescent="0.25">
      <c r="A816" s="13" t="s">
        <v>486</v>
      </c>
      <c r="B816" t="str">
        <f t="shared" si="33"/>
        <v>_africa</v>
      </c>
      <c r="C816" t="str">
        <f t="shared" si="31"/>
        <v>q103_4_africa</v>
      </c>
    </row>
    <row r="817" spans="1:3" x14ac:dyDescent="0.25">
      <c r="A817" s="13" t="s">
        <v>487</v>
      </c>
      <c r="B817" t="str">
        <f t="shared" si="33"/>
        <v>_africa</v>
      </c>
      <c r="C817" t="str">
        <f t="shared" si="31"/>
        <v>q103_5_africa</v>
      </c>
    </row>
    <row r="818" spans="1:3" x14ac:dyDescent="0.25">
      <c r="A818" s="13" t="s">
        <v>488</v>
      </c>
      <c r="B818" t="str">
        <f t="shared" si="33"/>
        <v>_africa</v>
      </c>
      <c r="C818" t="str">
        <f t="shared" si="31"/>
        <v>q103_6_africa</v>
      </c>
    </row>
    <row r="819" spans="1:3" x14ac:dyDescent="0.25">
      <c r="A819" s="13" t="s">
        <v>489</v>
      </c>
      <c r="B819" t="str">
        <f t="shared" si="33"/>
        <v>_africa</v>
      </c>
      <c r="C819" t="str">
        <f t="shared" si="31"/>
        <v>q10ROW3_hidden_africa</v>
      </c>
    </row>
    <row r="820" spans="1:3" x14ac:dyDescent="0.25">
      <c r="A820" s="13" t="s">
        <v>490</v>
      </c>
      <c r="B820" t="str">
        <f t="shared" si="33"/>
        <v>_africa</v>
      </c>
      <c r="C820" t="str">
        <f t="shared" si="31"/>
        <v>q104_1_africa</v>
      </c>
    </row>
    <row r="821" spans="1:3" x14ac:dyDescent="0.25">
      <c r="A821" s="13" t="s">
        <v>491</v>
      </c>
      <c r="B821" t="str">
        <f t="shared" si="33"/>
        <v>_africa</v>
      </c>
      <c r="C821" t="str">
        <f t="shared" si="31"/>
        <v>q104_2_africa</v>
      </c>
    </row>
    <row r="822" spans="1:3" x14ac:dyDescent="0.25">
      <c r="A822" s="13" t="s">
        <v>492</v>
      </c>
      <c r="B822" t="str">
        <f t="shared" si="33"/>
        <v>_africa</v>
      </c>
      <c r="C822" t="str">
        <f t="shared" si="31"/>
        <v>q104_3_africa</v>
      </c>
    </row>
    <row r="823" spans="1:3" x14ac:dyDescent="0.25">
      <c r="A823" s="13" t="s">
        <v>493</v>
      </c>
      <c r="B823" t="str">
        <f t="shared" si="33"/>
        <v>_africa</v>
      </c>
      <c r="C823" t="str">
        <f t="shared" si="31"/>
        <v>q104_4_africa</v>
      </c>
    </row>
    <row r="824" spans="1:3" x14ac:dyDescent="0.25">
      <c r="A824" s="13" t="s">
        <v>494</v>
      </c>
      <c r="B824" t="str">
        <f t="shared" si="33"/>
        <v>_africa</v>
      </c>
      <c r="C824" t="str">
        <f t="shared" si="31"/>
        <v>q104_5_africa</v>
      </c>
    </row>
    <row r="825" spans="1:3" x14ac:dyDescent="0.25">
      <c r="A825" s="13" t="s">
        <v>495</v>
      </c>
      <c r="B825" t="str">
        <f t="shared" si="33"/>
        <v>_africa</v>
      </c>
      <c r="C825" t="str">
        <f t="shared" si="31"/>
        <v>q104_6_africa</v>
      </c>
    </row>
    <row r="826" spans="1:3" x14ac:dyDescent="0.25">
      <c r="A826" s="13" t="s">
        <v>496</v>
      </c>
      <c r="B826" t="str">
        <f t="shared" si="33"/>
        <v>_africa</v>
      </c>
      <c r="C826" t="str">
        <f t="shared" si="31"/>
        <v>q10ROW4_hidden_africa</v>
      </c>
    </row>
    <row r="827" spans="1:3" x14ac:dyDescent="0.25">
      <c r="A827" s="13" t="s">
        <v>497</v>
      </c>
      <c r="B827" t="str">
        <f t="shared" si="33"/>
        <v>_africa</v>
      </c>
      <c r="C827" t="str">
        <f t="shared" si="31"/>
        <v>q105_1_africa</v>
      </c>
    </row>
    <row r="828" spans="1:3" x14ac:dyDescent="0.25">
      <c r="A828" s="13" t="s">
        <v>498</v>
      </c>
      <c r="B828" t="str">
        <f t="shared" si="33"/>
        <v>_africa</v>
      </c>
      <c r="C828" t="str">
        <f t="shared" si="31"/>
        <v>q105_2_africa</v>
      </c>
    </row>
    <row r="829" spans="1:3" x14ac:dyDescent="0.25">
      <c r="A829" s="13" t="s">
        <v>499</v>
      </c>
      <c r="B829" t="str">
        <f t="shared" si="33"/>
        <v>_africa</v>
      </c>
      <c r="C829" t="str">
        <f t="shared" si="31"/>
        <v>q105_3_africa</v>
      </c>
    </row>
    <row r="830" spans="1:3" x14ac:dyDescent="0.25">
      <c r="A830" s="13" t="s">
        <v>500</v>
      </c>
      <c r="B830" t="str">
        <f t="shared" si="33"/>
        <v>_africa</v>
      </c>
      <c r="C830" t="str">
        <f t="shared" si="31"/>
        <v>q105_4_africa</v>
      </c>
    </row>
    <row r="831" spans="1:3" x14ac:dyDescent="0.25">
      <c r="A831" s="13" t="s">
        <v>501</v>
      </c>
      <c r="B831" t="str">
        <f t="shared" ref="B831:B862" si="34">B830</f>
        <v>_africa</v>
      </c>
      <c r="C831" t="str">
        <f t="shared" si="31"/>
        <v>q105_5_africa</v>
      </c>
    </row>
    <row r="832" spans="1:3" x14ac:dyDescent="0.25">
      <c r="A832" s="13" t="s">
        <v>502</v>
      </c>
      <c r="B832" t="str">
        <f t="shared" si="34"/>
        <v>_africa</v>
      </c>
      <c r="C832" t="str">
        <f t="shared" si="31"/>
        <v>q105_6_africa</v>
      </c>
    </row>
    <row r="833" spans="1:3" x14ac:dyDescent="0.25">
      <c r="A833" s="13" t="s">
        <v>503</v>
      </c>
      <c r="B833" t="str">
        <f t="shared" si="34"/>
        <v>_africa</v>
      </c>
      <c r="C833" t="str">
        <f t="shared" si="31"/>
        <v>q10ROW5_hidden_africa</v>
      </c>
    </row>
    <row r="834" spans="1:3" x14ac:dyDescent="0.25">
      <c r="A834" s="13" t="s">
        <v>504</v>
      </c>
      <c r="B834" t="str">
        <f t="shared" si="34"/>
        <v>_africa</v>
      </c>
      <c r="C834" t="str">
        <f t="shared" si="31"/>
        <v>q106_1_africa</v>
      </c>
    </row>
    <row r="835" spans="1:3" x14ac:dyDescent="0.25">
      <c r="A835" s="13" t="s">
        <v>505</v>
      </c>
      <c r="B835" t="str">
        <f t="shared" si="34"/>
        <v>_africa</v>
      </c>
      <c r="C835" t="str">
        <f t="shared" ref="C835:C898" si="35">_xlfn.CONCAT(A835,B835)</f>
        <v>q106_2_africa</v>
      </c>
    </row>
    <row r="836" spans="1:3" x14ac:dyDescent="0.25">
      <c r="A836" s="13" t="s">
        <v>506</v>
      </c>
      <c r="B836" t="str">
        <f t="shared" si="34"/>
        <v>_africa</v>
      </c>
      <c r="C836" t="str">
        <f t="shared" si="35"/>
        <v>q106_3_africa</v>
      </c>
    </row>
    <row r="837" spans="1:3" x14ac:dyDescent="0.25">
      <c r="A837" s="13" t="s">
        <v>507</v>
      </c>
      <c r="B837" t="str">
        <f t="shared" si="34"/>
        <v>_africa</v>
      </c>
      <c r="C837" t="str">
        <f t="shared" si="35"/>
        <v>q106_4_africa</v>
      </c>
    </row>
    <row r="838" spans="1:3" x14ac:dyDescent="0.25">
      <c r="A838" s="13" t="s">
        <v>508</v>
      </c>
      <c r="B838" t="str">
        <f t="shared" si="34"/>
        <v>_africa</v>
      </c>
      <c r="C838" t="str">
        <f t="shared" si="35"/>
        <v>q106_5_africa</v>
      </c>
    </row>
    <row r="839" spans="1:3" x14ac:dyDescent="0.25">
      <c r="A839" s="13" t="s">
        <v>509</v>
      </c>
      <c r="B839" t="str">
        <f t="shared" si="34"/>
        <v>_africa</v>
      </c>
      <c r="C839" t="str">
        <f t="shared" si="35"/>
        <v>q106_6_africa</v>
      </c>
    </row>
    <row r="840" spans="1:3" x14ac:dyDescent="0.25">
      <c r="A840" s="13" t="s">
        <v>510</v>
      </c>
      <c r="B840" t="str">
        <f t="shared" si="34"/>
        <v>_africa</v>
      </c>
      <c r="C840" t="str">
        <f t="shared" si="35"/>
        <v>q10ROW6_hidden_africa</v>
      </c>
    </row>
    <row r="841" spans="1:3" x14ac:dyDescent="0.25">
      <c r="A841" s="13" t="s">
        <v>511</v>
      </c>
      <c r="B841" t="str">
        <f t="shared" si="34"/>
        <v>_africa</v>
      </c>
      <c r="C841" t="str">
        <f t="shared" si="35"/>
        <v>q107_1_africa</v>
      </c>
    </row>
    <row r="842" spans="1:3" x14ac:dyDescent="0.25">
      <c r="A842" s="13" t="s">
        <v>512</v>
      </c>
      <c r="B842" t="str">
        <f t="shared" si="34"/>
        <v>_africa</v>
      </c>
      <c r="C842" t="str">
        <f t="shared" si="35"/>
        <v>q107_2_africa</v>
      </c>
    </row>
    <row r="843" spans="1:3" x14ac:dyDescent="0.25">
      <c r="A843" s="13" t="s">
        <v>513</v>
      </c>
      <c r="B843" t="str">
        <f t="shared" si="34"/>
        <v>_africa</v>
      </c>
      <c r="C843" t="str">
        <f t="shared" si="35"/>
        <v>q107_3_africa</v>
      </c>
    </row>
    <row r="844" spans="1:3" x14ac:dyDescent="0.25">
      <c r="A844" s="13" t="s">
        <v>514</v>
      </c>
      <c r="B844" t="str">
        <f t="shared" si="34"/>
        <v>_africa</v>
      </c>
      <c r="C844" t="str">
        <f t="shared" si="35"/>
        <v>q107_4_africa</v>
      </c>
    </row>
    <row r="845" spans="1:3" x14ac:dyDescent="0.25">
      <c r="A845" s="13" t="s">
        <v>515</v>
      </c>
      <c r="B845" t="str">
        <f t="shared" si="34"/>
        <v>_africa</v>
      </c>
      <c r="C845" t="str">
        <f t="shared" si="35"/>
        <v>q107_5_africa</v>
      </c>
    </row>
    <row r="846" spans="1:3" x14ac:dyDescent="0.25">
      <c r="A846" s="13" t="s">
        <v>516</v>
      </c>
      <c r="B846" t="str">
        <f t="shared" si="34"/>
        <v>_africa</v>
      </c>
      <c r="C846" t="str">
        <f t="shared" si="35"/>
        <v>q107_6_africa</v>
      </c>
    </row>
    <row r="847" spans="1:3" x14ac:dyDescent="0.25">
      <c r="A847" s="13" t="s">
        <v>517</v>
      </c>
      <c r="B847" t="str">
        <f t="shared" si="34"/>
        <v>_africa</v>
      </c>
      <c r="C847" t="str">
        <f t="shared" si="35"/>
        <v>q10ROW7_hidden_africa</v>
      </c>
    </row>
    <row r="848" spans="1:3" x14ac:dyDescent="0.25">
      <c r="A848" s="13" t="s">
        <v>518</v>
      </c>
      <c r="B848" t="str">
        <f t="shared" si="34"/>
        <v>_africa</v>
      </c>
      <c r="C848" t="str">
        <f t="shared" si="35"/>
        <v>q10other_africa</v>
      </c>
    </row>
    <row r="849" spans="1:3" x14ac:dyDescent="0.25">
      <c r="A849" s="13" t="s">
        <v>519</v>
      </c>
      <c r="B849" t="str">
        <f t="shared" si="34"/>
        <v>_africa</v>
      </c>
      <c r="C849" t="str">
        <f t="shared" si="35"/>
        <v>q108_1_africa</v>
      </c>
    </row>
    <row r="850" spans="1:3" x14ac:dyDescent="0.25">
      <c r="A850" s="13" t="s">
        <v>520</v>
      </c>
      <c r="B850" t="str">
        <f t="shared" si="34"/>
        <v>_africa</v>
      </c>
      <c r="C850" t="str">
        <f t="shared" si="35"/>
        <v>q108_2_africa</v>
      </c>
    </row>
    <row r="851" spans="1:3" x14ac:dyDescent="0.25">
      <c r="A851" s="13" t="s">
        <v>521</v>
      </c>
      <c r="B851" t="str">
        <f t="shared" si="34"/>
        <v>_africa</v>
      </c>
      <c r="C851" t="str">
        <f t="shared" si="35"/>
        <v>q108_3_africa</v>
      </c>
    </row>
    <row r="852" spans="1:3" x14ac:dyDescent="0.25">
      <c r="A852" s="13" t="s">
        <v>522</v>
      </c>
      <c r="B852" t="str">
        <f t="shared" si="34"/>
        <v>_africa</v>
      </c>
      <c r="C852" t="str">
        <f t="shared" si="35"/>
        <v>q108_4_africa</v>
      </c>
    </row>
    <row r="853" spans="1:3" x14ac:dyDescent="0.25">
      <c r="A853" s="13" t="s">
        <v>523</v>
      </c>
      <c r="B853" t="str">
        <f t="shared" si="34"/>
        <v>_africa</v>
      </c>
      <c r="C853" t="str">
        <f t="shared" si="35"/>
        <v>q108_5_africa</v>
      </c>
    </row>
    <row r="854" spans="1:3" x14ac:dyDescent="0.25">
      <c r="A854" s="13" t="s">
        <v>524</v>
      </c>
      <c r="B854" t="str">
        <f t="shared" si="34"/>
        <v>_africa</v>
      </c>
      <c r="C854" t="str">
        <f t="shared" si="35"/>
        <v>q108_6_africa</v>
      </c>
    </row>
    <row r="855" spans="1:3" x14ac:dyDescent="0.25">
      <c r="A855" s="13" t="s">
        <v>525</v>
      </c>
      <c r="B855" t="str">
        <f t="shared" si="34"/>
        <v>_africa</v>
      </c>
      <c r="C855" t="str">
        <f t="shared" si="35"/>
        <v>q10ROW8_hidden_africa</v>
      </c>
    </row>
    <row r="856" spans="1:3" x14ac:dyDescent="0.25">
      <c r="A856" s="13" t="s">
        <v>526</v>
      </c>
      <c r="B856" t="str">
        <f t="shared" si="34"/>
        <v>_africa</v>
      </c>
      <c r="C856" t="str">
        <f t="shared" si="35"/>
        <v>q10COL1_hidden_africa</v>
      </c>
    </row>
    <row r="857" spans="1:3" x14ac:dyDescent="0.25">
      <c r="A857" s="13" t="s">
        <v>527</v>
      </c>
      <c r="B857" t="str">
        <f t="shared" si="34"/>
        <v>_africa</v>
      </c>
      <c r="C857" t="str">
        <f t="shared" si="35"/>
        <v>q10COL2_hidden_africa</v>
      </c>
    </row>
    <row r="858" spans="1:3" x14ac:dyDescent="0.25">
      <c r="A858" s="13" t="s">
        <v>528</v>
      </c>
      <c r="B858" t="str">
        <f t="shared" si="34"/>
        <v>_africa</v>
      </c>
      <c r="C858" t="str">
        <f t="shared" si="35"/>
        <v>q10COL3_hidden_africa</v>
      </c>
    </row>
    <row r="859" spans="1:3" x14ac:dyDescent="0.25">
      <c r="A859" s="13" t="s">
        <v>529</v>
      </c>
      <c r="B859" t="str">
        <f t="shared" si="34"/>
        <v>_africa</v>
      </c>
      <c r="C859" t="str">
        <f t="shared" si="35"/>
        <v>q10COL4_hidden_africa</v>
      </c>
    </row>
    <row r="860" spans="1:3" x14ac:dyDescent="0.25">
      <c r="A860" s="13" t="s">
        <v>530</v>
      </c>
      <c r="B860" t="str">
        <f t="shared" si="34"/>
        <v>_africa</v>
      </c>
      <c r="C860" t="str">
        <f t="shared" si="35"/>
        <v>q10COL5_hidden_africa</v>
      </c>
    </row>
    <row r="861" spans="1:3" x14ac:dyDescent="0.25">
      <c r="A861" s="13" t="s">
        <v>531</v>
      </c>
      <c r="B861" t="str">
        <f t="shared" si="34"/>
        <v>_africa</v>
      </c>
      <c r="C861" t="str">
        <f t="shared" si="35"/>
        <v>q10COL6_hidden_africa</v>
      </c>
    </row>
    <row r="862" spans="1:3" x14ac:dyDescent="0.25">
      <c r="A862" s="13" t="s">
        <v>532</v>
      </c>
      <c r="B862" t="str">
        <f t="shared" si="34"/>
        <v>_africa</v>
      </c>
      <c r="C862" t="str">
        <f t="shared" si="35"/>
        <v>q10GRANDTotal_hidden_africa</v>
      </c>
    </row>
    <row r="863" spans="1:3" x14ac:dyDescent="0.25">
      <c r="A863" s="13" t="s">
        <v>534</v>
      </c>
      <c r="B863" t="str">
        <f t="shared" ref="B863:B894" si="36">B862</f>
        <v>_africa</v>
      </c>
      <c r="C863" t="str">
        <f t="shared" si="35"/>
        <v>q111_1_africa</v>
      </c>
    </row>
    <row r="864" spans="1:3" x14ac:dyDescent="0.25">
      <c r="A864" s="13" t="s">
        <v>535</v>
      </c>
      <c r="B864" t="str">
        <f t="shared" si="36"/>
        <v>_africa</v>
      </c>
      <c r="C864" t="str">
        <f t="shared" si="35"/>
        <v>q111_2_africa</v>
      </c>
    </row>
    <row r="865" spans="1:3" x14ac:dyDescent="0.25">
      <c r="A865" s="13" t="s">
        <v>536</v>
      </c>
      <c r="B865" t="str">
        <f t="shared" si="36"/>
        <v>_africa</v>
      </c>
      <c r="C865" t="str">
        <f t="shared" si="35"/>
        <v>q111_3_africa</v>
      </c>
    </row>
    <row r="866" spans="1:3" x14ac:dyDescent="0.25">
      <c r="A866" s="13" t="s">
        <v>537</v>
      </c>
      <c r="B866" t="str">
        <f t="shared" si="36"/>
        <v>_africa</v>
      </c>
      <c r="C866" t="str">
        <f t="shared" si="35"/>
        <v>q111_4_africa</v>
      </c>
    </row>
    <row r="867" spans="1:3" x14ac:dyDescent="0.25">
      <c r="A867" s="13" t="s">
        <v>538</v>
      </c>
      <c r="B867" t="str">
        <f t="shared" si="36"/>
        <v>_africa</v>
      </c>
      <c r="C867" t="str">
        <f t="shared" si="35"/>
        <v>q111_5_africa</v>
      </c>
    </row>
    <row r="868" spans="1:3" x14ac:dyDescent="0.25">
      <c r="A868" s="13" t="s">
        <v>539</v>
      </c>
      <c r="B868" t="str">
        <f t="shared" si="36"/>
        <v>_africa</v>
      </c>
      <c r="C868" t="str">
        <f t="shared" si="35"/>
        <v>q111_6_africa</v>
      </c>
    </row>
    <row r="869" spans="1:3" x14ac:dyDescent="0.25">
      <c r="A869" s="13" t="s">
        <v>540</v>
      </c>
      <c r="B869" t="str">
        <f t="shared" si="36"/>
        <v>_africa</v>
      </c>
      <c r="C869" t="str">
        <f t="shared" si="35"/>
        <v>q11ROW1_hidden_africa</v>
      </c>
    </row>
    <row r="870" spans="1:3" x14ac:dyDescent="0.25">
      <c r="A870" s="13" t="s">
        <v>542</v>
      </c>
      <c r="B870" t="str">
        <f t="shared" si="36"/>
        <v>_africa</v>
      </c>
      <c r="C870" t="str">
        <f t="shared" si="35"/>
        <v>q112_1_africa</v>
      </c>
    </row>
    <row r="871" spans="1:3" x14ac:dyDescent="0.25">
      <c r="A871" s="13" t="s">
        <v>543</v>
      </c>
      <c r="B871" t="str">
        <f t="shared" si="36"/>
        <v>_africa</v>
      </c>
      <c r="C871" t="str">
        <f t="shared" si="35"/>
        <v>q112_2_africa</v>
      </c>
    </row>
    <row r="872" spans="1:3" x14ac:dyDescent="0.25">
      <c r="A872" s="13" t="s">
        <v>544</v>
      </c>
      <c r="B872" t="str">
        <f t="shared" si="36"/>
        <v>_africa</v>
      </c>
      <c r="C872" t="str">
        <f t="shared" si="35"/>
        <v>q112_3_africa</v>
      </c>
    </row>
    <row r="873" spans="1:3" x14ac:dyDescent="0.25">
      <c r="A873" s="13" t="s">
        <v>545</v>
      </c>
      <c r="B873" t="str">
        <f t="shared" si="36"/>
        <v>_africa</v>
      </c>
      <c r="C873" t="str">
        <f t="shared" si="35"/>
        <v>q112_4_africa</v>
      </c>
    </row>
    <row r="874" spans="1:3" x14ac:dyDescent="0.25">
      <c r="A874" s="13" t="s">
        <v>546</v>
      </c>
      <c r="B874" t="str">
        <f t="shared" si="36"/>
        <v>_africa</v>
      </c>
      <c r="C874" t="str">
        <f t="shared" si="35"/>
        <v>q112_5_africa</v>
      </c>
    </row>
    <row r="875" spans="1:3" x14ac:dyDescent="0.25">
      <c r="A875" s="13" t="s">
        <v>547</v>
      </c>
      <c r="B875" t="str">
        <f t="shared" si="36"/>
        <v>_africa</v>
      </c>
      <c r="C875" t="str">
        <f t="shared" si="35"/>
        <v>q112_6_africa</v>
      </c>
    </row>
    <row r="876" spans="1:3" x14ac:dyDescent="0.25">
      <c r="A876" s="13" t="s">
        <v>548</v>
      </c>
      <c r="B876" t="str">
        <f t="shared" si="36"/>
        <v>_africa</v>
      </c>
      <c r="C876" t="str">
        <f t="shared" si="35"/>
        <v>q11ROW2_hidden_africa</v>
      </c>
    </row>
    <row r="877" spans="1:3" x14ac:dyDescent="0.25">
      <c r="A877" s="13" t="s">
        <v>550</v>
      </c>
      <c r="B877" t="str">
        <f t="shared" si="36"/>
        <v>_africa</v>
      </c>
      <c r="C877" t="str">
        <f t="shared" si="35"/>
        <v>q113_1_africa</v>
      </c>
    </row>
    <row r="878" spans="1:3" x14ac:dyDescent="0.25">
      <c r="A878" s="13" t="s">
        <v>551</v>
      </c>
      <c r="B878" t="str">
        <f t="shared" si="36"/>
        <v>_africa</v>
      </c>
      <c r="C878" t="str">
        <f t="shared" si="35"/>
        <v>q113_2_africa</v>
      </c>
    </row>
    <row r="879" spans="1:3" x14ac:dyDescent="0.25">
      <c r="A879" s="13" t="s">
        <v>552</v>
      </c>
      <c r="B879" t="str">
        <f t="shared" si="36"/>
        <v>_africa</v>
      </c>
      <c r="C879" t="str">
        <f t="shared" si="35"/>
        <v>q113_3_africa</v>
      </c>
    </row>
    <row r="880" spans="1:3" x14ac:dyDescent="0.25">
      <c r="A880" s="13" t="s">
        <v>553</v>
      </c>
      <c r="B880" t="str">
        <f t="shared" si="36"/>
        <v>_africa</v>
      </c>
      <c r="C880" t="str">
        <f t="shared" si="35"/>
        <v>q113_4_africa</v>
      </c>
    </row>
    <row r="881" spans="1:3" x14ac:dyDescent="0.25">
      <c r="A881" s="13" t="s">
        <v>554</v>
      </c>
      <c r="B881" t="str">
        <f t="shared" si="36"/>
        <v>_africa</v>
      </c>
      <c r="C881" t="str">
        <f t="shared" si="35"/>
        <v>q113_5_africa</v>
      </c>
    </row>
    <row r="882" spans="1:3" x14ac:dyDescent="0.25">
      <c r="A882" s="13" t="s">
        <v>555</v>
      </c>
      <c r="B882" t="str">
        <f t="shared" si="36"/>
        <v>_africa</v>
      </c>
      <c r="C882" t="str">
        <f t="shared" si="35"/>
        <v>q113_6_africa</v>
      </c>
    </row>
    <row r="883" spans="1:3" x14ac:dyDescent="0.25">
      <c r="A883" s="13" t="s">
        <v>556</v>
      </c>
      <c r="B883" t="str">
        <f t="shared" si="36"/>
        <v>_africa</v>
      </c>
      <c r="C883" t="str">
        <f t="shared" si="35"/>
        <v>q11ROW3_hidden_africa</v>
      </c>
    </row>
    <row r="884" spans="1:3" x14ac:dyDescent="0.25">
      <c r="A884" s="13" t="s">
        <v>558</v>
      </c>
      <c r="B884" t="str">
        <f t="shared" si="36"/>
        <v>_africa</v>
      </c>
      <c r="C884" t="str">
        <f t="shared" si="35"/>
        <v>q114_1_africa</v>
      </c>
    </row>
    <row r="885" spans="1:3" x14ac:dyDescent="0.25">
      <c r="A885" s="13" t="s">
        <v>559</v>
      </c>
      <c r="B885" t="str">
        <f t="shared" si="36"/>
        <v>_africa</v>
      </c>
      <c r="C885" t="str">
        <f t="shared" si="35"/>
        <v>q114_2_africa</v>
      </c>
    </row>
    <row r="886" spans="1:3" x14ac:dyDescent="0.25">
      <c r="A886" s="13" t="s">
        <v>560</v>
      </c>
      <c r="B886" t="str">
        <f t="shared" si="36"/>
        <v>_africa</v>
      </c>
      <c r="C886" t="str">
        <f t="shared" si="35"/>
        <v>q114_3_africa</v>
      </c>
    </row>
    <row r="887" spans="1:3" x14ac:dyDescent="0.25">
      <c r="A887" s="13" t="s">
        <v>561</v>
      </c>
      <c r="B887" t="str">
        <f t="shared" si="36"/>
        <v>_africa</v>
      </c>
      <c r="C887" t="str">
        <f t="shared" si="35"/>
        <v>q114_4_africa</v>
      </c>
    </row>
    <row r="888" spans="1:3" x14ac:dyDescent="0.25">
      <c r="A888" s="13" t="s">
        <v>562</v>
      </c>
      <c r="B888" t="str">
        <f t="shared" si="36"/>
        <v>_africa</v>
      </c>
      <c r="C888" t="str">
        <f t="shared" si="35"/>
        <v>q114_5_africa</v>
      </c>
    </row>
    <row r="889" spans="1:3" x14ac:dyDescent="0.25">
      <c r="A889" s="13" t="s">
        <v>563</v>
      </c>
      <c r="B889" t="str">
        <f t="shared" si="36"/>
        <v>_africa</v>
      </c>
      <c r="C889" t="str">
        <f t="shared" si="35"/>
        <v>q114_6_africa</v>
      </c>
    </row>
    <row r="890" spans="1:3" x14ac:dyDescent="0.25">
      <c r="A890" s="13" t="s">
        <v>564</v>
      </c>
      <c r="B890" t="str">
        <f t="shared" si="36"/>
        <v>_africa</v>
      </c>
      <c r="C890" t="str">
        <f t="shared" si="35"/>
        <v>q11ROW4_hidden_africa</v>
      </c>
    </row>
    <row r="891" spans="1:3" x14ac:dyDescent="0.25">
      <c r="A891" s="13" t="s">
        <v>566</v>
      </c>
      <c r="B891" t="str">
        <f t="shared" si="36"/>
        <v>_africa</v>
      </c>
      <c r="C891" t="str">
        <f t="shared" si="35"/>
        <v>q115_1_africa</v>
      </c>
    </row>
    <row r="892" spans="1:3" x14ac:dyDescent="0.25">
      <c r="A892" s="13" t="s">
        <v>567</v>
      </c>
      <c r="B892" t="str">
        <f t="shared" si="36"/>
        <v>_africa</v>
      </c>
      <c r="C892" t="str">
        <f t="shared" si="35"/>
        <v>q115_2_africa</v>
      </c>
    </row>
    <row r="893" spans="1:3" x14ac:dyDescent="0.25">
      <c r="A893" s="13" t="s">
        <v>568</v>
      </c>
      <c r="B893" t="str">
        <f t="shared" si="36"/>
        <v>_africa</v>
      </c>
      <c r="C893" t="str">
        <f t="shared" si="35"/>
        <v>q115_3_africa</v>
      </c>
    </row>
    <row r="894" spans="1:3" x14ac:dyDescent="0.25">
      <c r="A894" s="13" t="s">
        <v>569</v>
      </c>
      <c r="B894" t="str">
        <f t="shared" si="36"/>
        <v>_africa</v>
      </c>
      <c r="C894" t="str">
        <f t="shared" si="35"/>
        <v>q115_4_africa</v>
      </c>
    </row>
    <row r="895" spans="1:3" x14ac:dyDescent="0.25">
      <c r="A895" s="13" t="s">
        <v>570</v>
      </c>
      <c r="B895" t="str">
        <f t="shared" ref="B895:B904" si="37">B894</f>
        <v>_africa</v>
      </c>
      <c r="C895" t="str">
        <f t="shared" si="35"/>
        <v>q115_5_africa</v>
      </c>
    </row>
    <row r="896" spans="1:3" x14ac:dyDescent="0.25">
      <c r="A896" s="13" t="s">
        <v>571</v>
      </c>
      <c r="B896" t="str">
        <f t="shared" si="37"/>
        <v>_africa</v>
      </c>
      <c r="C896" t="str">
        <f t="shared" si="35"/>
        <v>q115_6_africa</v>
      </c>
    </row>
    <row r="897" spans="1:3" x14ac:dyDescent="0.25">
      <c r="A897" s="13" t="s">
        <v>572</v>
      </c>
      <c r="B897" t="str">
        <f t="shared" si="37"/>
        <v>_africa</v>
      </c>
      <c r="C897" t="str">
        <f t="shared" si="35"/>
        <v>q11ROW5_hidden_africa</v>
      </c>
    </row>
    <row r="898" spans="1:3" x14ac:dyDescent="0.25">
      <c r="A898" s="13" t="s">
        <v>573</v>
      </c>
      <c r="B898" t="str">
        <f t="shared" si="37"/>
        <v>_africa</v>
      </c>
      <c r="C898" t="str">
        <f t="shared" si="35"/>
        <v>q11COL1_hidden_africa</v>
      </c>
    </row>
    <row r="899" spans="1:3" x14ac:dyDescent="0.25">
      <c r="A899" s="13" t="s">
        <v>574</v>
      </c>
      <c r="B899" t="str">
        <f t="shared" si="37"/>
        <v>_africa</v>
      </c>
      <c r="C899" t="str">
        <f t="shared" ref="C899:C904" si="38">_xlfn.CONCAT(A899,B899)</f>
        <v>q11COL2_hidden_africa</v>
      </c>
    </row>
    <row r="900" spans="1:3" x14ac:dyDescent="0.25">
      <c r="A900" s="13" t="s">
        <v>575</v>
      </c>
      <c r="B900" t="str">
        <f t="shared" si="37"/>
        <v>_africa</v>
      </c>
      <c r="C900" t="str">
        <f t="shared" si="38"/>
        <v>q11COL3_hidden_africa</v>
      </c>
    </row>
    <row r="901" spans="1:3" x14ac:dyDescent="0.25">
      <c r="A901" s="13" t="s">
        <v>576</v>
      </c>
      <c r="B901" t="str">
        <f t="shared" si="37"/>
        <v>_africa</v>
      </c>
      <c r="C901" t="str">
        <f t="shared" si="38"/>
        <v>q11COL4_hidden_africa</v>
      </c>
    </row>
    <row r="902" spans="1:3" x14ac:dyDescent="0.25">
      <c r="A902" s="13" t="s">
        <v>577</v>
      </c>
      <c r="B902" t="str">
        <f t="shared" si="37"/>
        <v>_africa</v>
      </c>
      <c r="C902" t="str">
        <f t="shared" si="38"/>
        <v>q11COL5_hidden_africa</v>
      </c>
    </row>
    <row r="903" spans="1:3" x14ac:dyDescent="0.25">
      <c r="A903" s="13" t="s">
        <v>578</v>
      </c>
      <c r="B903" t="str">
        <f t="shared" si="37"/>
        <v>_africa</v>
      </c>
      <c r="C903" t="str">
        <f t="shared" si="38"/>
        <v>q11COL6_hidden_africa</v>
      </c>
    </row>
    <row r="904" spans="1:3" x14ac:dyDescent="0.25">
      <c r="A904" s="13" t="s">
        <v>579</v>
      </c>
      <c r="B904" t="str">
        <f t="shared" si="37"/>
        <v>_africa</v>
      </c>
      <c r="C904" t="str">
        <f t="shared" si="38"/>
        <v>q11GRANDTotal_hidden_africa</v>
      </c>
    </row>
  </sheetData>
  <autoFilter ref="A1:A904" xr:uid="{179CF891-E101-4997-9B04-C19E814A3A8C}"/>
  <pageMargins left="0.7" right="0.7" top="0.75" bottom="0.75" header="0.3" footer="0.3"/>
  <customProperties>
    <customPr name="layoutContexts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2750-B05C-4430-B959-0EBBA716C21A}">
  <dimension ref="A1:A903"/>
  <sheetViews>
    <sheetView topLeftCell="A884" workbookViewId="0">
      <selection sqref="A1:A903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35</v>
      </c>
    </row>
    <row r="3" spans="1:1" x14ac:dyDescent="0.25">
      <c r="A3" t="s">
        <v>37</v>
      </c>
    </row>
    <row r="4" spans="1:1" x14ac:dyDescent="0.25">
      <c r="A4" t="s">
        <v>40</v>
      </c>
    </row>
    <row r="5" spans="1:1" x14ac:dyDescent="0.25">
      <c r="A5" t="s">
        <v>42</v>
      </c>
    </row>
    <row r="6" spans="1:1" x14ac:dyDescent="0.25">
      <c r="A6" t="s">
        <v>44</v>
      </c>
    </row>
    <row r="7" spans="1:1" x14ac:dyDescent="0.25">
      <c r="A7" t="s">
        <v>46</v>
      </c>
    </row>
    <row r="8" spans="1:1" x14ac:dyDescent="0.25">
      <c r="A8" t="s">
        <v>48</v>
      </c>
    </row>
    <row r="9" spans="1:1" x14ac:dyDescent="0.25">
      <c r="A9" t="s">
        <v>50</v>
      </c>
    </row>
    <row r="10" spans="1:1" x14ac:dyDescent="0.25">
      <c r="A10" t="s">
        <v>53</v>
      </c>
    </row>
    <row r="11" spans="1:1" x14ac:dyDescent="0.25">
      <c r="A11" t="s">
        <v>55</v>
      </c>
    </row>
    <row r="12" spans="1:1" x14ac:dyDescent="0.25">
      <c r="A12" t="s">
        <v>57</v>
      </c>
    </row>
    <row r="13" spans="1:1" x14ac:dyDescent="0.25">
      <c r="A13" t="s">
        <v>59</v>
      </c>
    </row>
    <row r="14" spans="1:1" x14ac:dyDescent="0.25">
      <c r="A14" t="s">
        <v>69</v>
      </c>
    </row>
    <row r="15" spans="1:1" x14ac:dyDescent="0.25">
      <c r="A15" t="s">
        <v>71</v>
      </c>
    </row>
    <row r="16" spans="1:1" x14ac:dyDescent="0.25">
      <c r="A16" t="s">
        <v>73</v>
      </c>
    </row>
    <row r="17" spans="1:1" x14ac:dyDescent="0.25">
      <c r="A17" t="s">
        <v>75</v>
      </c>
    </row>
    <row r="18" spans="1:1" x14ac:dyDescent="0.25">
      <c r="A18" t="s">
        <v>77</v>
      </c>
    </row>
    <row r="19" spans="1:1" x14ac:dyDescent="0.25">
      <c r="A19" t="s">
        <v>79</v>
      </c>
    </row>
    <row r="20" spans="1:1" x14ac:dyDescent="0.25">
      <c r="A20" t="s">
        <v>81</v>
      </c>
    </row>
    <row r="21" spans="1:1" x14ac:dyDescent="0.25">
      <c r="A21" t="s">
        <v>83</v>
      </c>
    </row>
    <row r="22" spans="1:1" x14ac:dyDescent="0.25">
      <c r="A22" t="s">
        <v>85</v>
      </c>
    </row>
    <row r="23" spans="1:1" x14ac:dyDescent="0.25">
      <c r="A23" t="s">
        <v>87</v>
      </c>
    </row>
    <row r="24" spans="1:1" x14ac:dyDescent="0.25">
      <c r="A24" t="s">
        <v>89</v>
      </c>
    </row>
    <row r="25" spans="1:1" x14ac:dyDescent="0.25">
      <c r="A25" t="s">
        <v>91</v>
      </c>
    </row>
    <row r="26" spans="1:1" x14ac:dyDescent="0.25">
      <c r="A26" t="s">
        <v>93</v>
      </c>
    </row>
    <row r="27" spans="1:1" x14ac:dyDescent="0.25">
      <c r="A27" t="s">
        <v>95</v>
      </c>
    </row>
    <row r="28" spans="1:1" x14ac:dyDescent="0.25">
      <c r="A28" t="s">
        <v>97</v>
      </c>
    </row>
    <row r="29" spans="1:1" x14ac:dyDescent="0.25">
      <c r="A29" t="s">
        <v>99</v>
      </c>
    </row>
    <row r="30" spans="1:1" x14ac:dyDescent="0.25">
      <c r="A30" t="s">
        <v>101</v>
      </c>
    </row>
    <row r="31" spans="1:1" x14ac:dyDescent="0.25">
      <c r="A31" t="s">
        <v>103</v>
      </c>
    </row>
    <row r="32" spans="1:1" x14ac:dyDescent="0.25">
      <c r="A32" t="s">
        <v>105</v>
      </c>
    </row>
    <row r="33" spans="1:1" x14ac:dyDescent="0.25">
      <c r="A33" t="s">
        <v>107</v>
      </c>
    </row>
    <row r="34" spans="1:1" x14ac:dyDescent="0.25">
      <c r="A34" t="s">
        <v>109</v>
      </c>
    </row>
    <row r="35" spans="1:1" x14ac:dyDescent="0.25">
      <c r="A35" t="s">
        <v>111</v>
      </c>
    </row>
    <row r="36" spans="1:1" x14ac:dyDescent="0.25">
      <c r="A36" t="s">
        <v>113</v>
      </c>
    </row>
    <row r="37" spans="1:1" x14ac:dyDescent="0.25">
      <c r="A37" t="s">
        <v>115</v>
      </c>
    </row>
    <row r="38" spans="1:1" x14ac:dyDescent="0.25">
      <c r="A38" t="s">
        <v>117</v>
      </c>
    </row>
    <row r="39" spans="1:1" x14ac:dyDescent="0.25">
      <c r="A39" t="s">
        <v>119</v>
      </c>
    </row>
    <row r="40" spans="1:1" x14ac:dyDescent="0.25">
      <c r="A40" t="s">
        <v>121</v>
      </c>
    </row>
    <row r="41" spans="1:1" x14ac:dyDescent="0.25">
      <c r="A41" t="s">
        <v>123</v>
      </c>
    </row>
    <row r="42" spans="1:1" x14ac:dyDescent="0.25">
      <c r="A42" t="s">
        <v>125</v>
      </c>
    </row>
    <row r="43" spans="1:1" x14ac:dyDescent="0.25">
      <c r="A43" t="s">
        <v>127</v>
      </c>
    </row>
    <row r="44" spans="1:1" x14ac:dyDescent="0.25">
      <c r="A44" t="s">
        <v>129</v>
      </c>
    </row>
    <row r="45" spans="1:1" x14ac:dyDescent="0.25">
      <c r="A45" t="s">
        <v>131</v>
      </c>
    </row>
    <row r="46" spans="1:1" x14ac:dyDescent="0.25">
      <c r="A46" t="s">
        <v>133</v>
      </c>
    </row>
    <row r="47" spans="1:1" x14ac:dyDescent="0.25">
      <c r="A47" t="s">
        <v>135</v>
      </c>
    </row>
    <row r="48" spans="1:1" x14ac:dyDescent="0.25">
      <c r="A48" t="s">
        <v>137</v>
      </c>
    </row>
    <row r="49" spans="1:1" x14ac:dyDescent="0.25">
      <c r="A49" t="s">
        <v>139</v>
      </c>
    </row>
    <row r="50" spans="1:1" x14ac:dyDescent="0.25">
      <c r="A50" t="s">
        <v>141</v>
      </c>
    </row>
    <row r="51" spans="1:1" x14ac:dyDescent="0.25">
      <c r="A51" t="s">
        <v>143</v>
      </c>
    </row>
    <row r="52" spans="1:1" x14ac:dyDescent="0.25">
      <c r="A52" t="s">
        <v>145</v>
      </c>
    </row>
    <row r="53" spans="1:1" x14ac:dyDescent="0.25">
      <c r="A53" t="s">
        <v>147</v>
      </c>
    </row>
    <row r="54" spans="1:1" x14ac:dyDescent="0.25">
      <c r="A54" t="s">
        <v>149</v>
      </c>
    </row>
    <row r="55" spans="1:1" x14ac:dyDescent="0.25">
      <c r="A55" t="s">
        <v>151</v>
      </c>
    </row>
    <row r="56" spans="1:1" x14ac:dyDescent="0.25">
      <c r="A56" t="s">
        <v>153</v>
      </c>
    </row>
    <row r="57" spans="1:1" x14ac:dyDescent="0.25">
      <c r="A57" t="s">
        <v>155</v>
      </c>
    </row>
    <row r="58" spans="1:1" x14ac:dyDescent="0.25">
      <c r="A58" t="s">
        <v>157</v>
      </c>
    </row>
    <row r="59" spans="1:1" x14ac:dyDescent="0.25">
      <c r="A59" t="s">
        <v>159</v>
      </c>
    </row>
    <row r="60" spans="1:1" x14ac:dyDescent="0.25">
      <c r="A60" t="s">
        <v>161</v>
      </c>
    </row>
    <row r="61" spans="1:1" x14ac:dyDescent="0.25">
      <c r="A61" t="s">
        <v>163</v>
      </c>
    </row>
    <row r="62" spans="1:1" x14ac:dyDescent="0.25">
      <c r="A62" t="s">
        <v>165</v>
      </c>
    </row>
    <row r="63" spans="1:1" x14ac:dyDescent="0.25">
      <c r="A63" t="s">
        <v>166</v>
      </c>
    </row>
    <row r="64" spans="1:1" x14ac:dyDescent="0.25">
      <c r="A64" t="s">
        <v>168</v>
      </c>
    </row>
    <row r="65" spans="1:1" x14ac:dyDescent="0.25">
      <c r="A65" t="s">
        <v>169</v>
      </c>
    </row>
    <row r="66" spans="1:1" x14ac:dyDescent="0.25">
      <c r="A66" t="s">
        <v>170</v>
      </c>
    </row>
    <row r="67" spans="1:1" x14ac:dyDescent="0.25">
      <c r="A67" t="s">
        <v>171</v>
      </c>
    </row>
    <row r="68" spans="1:1" x14ac:dyDescent="0.25">
      <c r="A68" t="s">
        <v>172</v>
      </c>
    </row>
    <row r="69" spans="1:1" x14ac:dyDescent="0.25">
      <c r="A69" t="s">
        <v>173</v>
      </c>
    </row>
    <row r="70" spans="1:1" x14ac:dyDescent="0.25">
      <c r="A70" t="s">
        <v>174</v>
      </c>
    </row>
    <row r="71" spans="1:1" x14ac:dyDescent="0.25">
      <c r="A71" t="s">
        <v>175</v>
      </c>
    </row>
    <row r="72" spans="1:1" x14ac:dyDescent="0.25">
      <c r="A72" t="s">
        <v>176</v>
      </c>
    </row>
    <row r="73" spans="1:1" x14ac:dyDescent="0.25">
      <c r="A73" t="s">
        <v>177</v>
      </c>
    </row>
    <row r="74" spans="1:1" x14ac:dyDescent="0.25">
      <c r="A74" t="s">
        <v>178</v>
      </c>
    </row>
    <row r="75" spans="1:1" x14ac:dyDescent="0.25">
      <c r="A75" t="s">
        <v>179</v>
      </c>
    </row>
    <row r="76" spans="1:1" x14ac:dyDescent="0.25">
      <c r="A76" t="s">
        <v>180</v>
      </c>
    </row>
    <row r="77" spans="1:1" x14ac:dyDescent="0.25">
      <c r="A77" t="s">
        <v>181</v>
      </c>
    </row>
    <row r="78" spans="1:1" x14ac:dyDescent="0.25">
      <c r="A78" t="s">
        <v>182</v>
      </c>
    </row>
    <row r="79" spans="1:1" x14ac:dyDescent="0.25">
      <c r="A79" t="s">
        <v>183</v>
      </c>
    </row>
    <row r="80" spans="1:1" x14ac:dyDescent="0.25">
      <c r="A80" t="s">
        <v>184</v>
      </c>
    </row>
    <row r="81" spans="1:1" x14ac:dyDescent="0.25">
      <c r="A81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4" spans="1:1" x14ac:dyDescent="0.25">
      <c r="A84" t="s">
        <v>188</v>
      </c>
    </row>
    <row r="85" spans="1:1" x14ac:dyDescent="0.25">
      <c r="A85" t="s">
        <v>189</v>
      </c>
    </row>
    <row r="86" spans="1:1" x14ac:dyDescent="0.25">
      <c r="A86" t="s">
        <v>190</v>
      </c>
    </row>
    <row r="87" spans="1:1" x14ac:dyDescent="0.25">
      <c r="A87" t="s">
        <v>191</v>
      </c>
    </row>
    <row r="88" spans="1:1" x14ac:dyDescent="0.25">
      <c r="A88" t="s">
        <v>192</v>
      </c>
    </row>
    <row r="89" spans="1:1" x14ac:dyDescent="0.25">
      <c r="A89" t="s">
        <v>193</v>
      </c>
    </row>
    <row r="90" spans="1:1" x14ac:dyDescent="0.25">
      <c r="A90" t="s">
        <v>194</v>
      </c>
    </row>
    <row r="91" spans="1:1" x14ac:dyDescent="0.25">
      <c r="A91" t="s">
        <v>195</v>
      </c>
    </row>
    <row r="92" spans="1:1" x14ac:dyDescent="0.25">
      <c r="A92" t="s">
        <v>196</v>
      </c>
    </row>
    <row r="93" spans="1:1" x14ac:dyDescent="0.25">
      <c r="A93" t="s">
        <v>197</v>
      </c>
    </row>
    <row r="94" spans="1:1" x14ac:dyDescent="0.25">
      <c r="A94" t="s">
        <v>198</v>
      </c>
    </row>
    <row r="95" spans="1:1" x14ac:dyDescent="0.25">
      <c r="A95" t="s">
        <v>199</v>
      </c>
    </row>
    <row r="96" spans="1:1" x14ac:dyDescent="0.25">
      <c r="A96" t="s">
        <v>200</v>
      </c>
    </row>
    <row r="97" spans="1:1" x14ac:dyDescent="0.25">
      <c r="A97" t="s">
        <v>201</v>
      </c>
    </row>
    <row r="98" spans="1:1" x14ac:dyDescent="0.25">
      <c r="A98" t="s">
        <v>202</v>
      </c>
    </row>
    <row r="99" spans="1:1" x14ac:dyDescent="0.25">
      <c r="A99" t="s">
        <v>203</v>
      </c>
    </row>
    <row r="100" spans="1:1" x14ac:dyDescent="0.25">
      <c r="A100" t="s">
        <v>204</v>
      </c>
    </row>
    <row r="101" spans="1:1" x14ac:dyDescent="0.25">
      <c r="A101" t="s">
        <v>205</v>
      </c>
    </row>
    <row r="102" spans="1:1" x14ac:dyDescent="0.25">
      <c r="A102" t="s">
        <v>206</v>
      </c>
    </row>
    <row r="103" spans="1:1" x14ac:dyDescent="0.25">
      <c r="A103" t="s">
        <v>207</v>
      </c>
    </row>
    <row r="104" spans="1:1" x14ac:dyDescent="0.25">
      <c r="A104" t="s">
        <v>208</v>
      </c>
    </row>
    <row r="105" spans="1:1" x14ac:dyDescent="0.25">
      <c r="A105" t="s">
        <v>209</v>
      </c>
    </row>
    <row r="106" spans="1:1" x14ac:dyDescent="0.25">
      <c r="A106" t="s">
        <v>210</v>
      </c>
    </row>
    <row r="107" spans="1:1" x14ac:dyDescent="0.25">
      <c r="A107" t="s">
        <v>211</v>
      </c>
    </row>
    <row r="108" spans="1:1" x14ac:dyDescent="0.25">
      <c r="A108" t="s">
        <v>212</v>
      </c>
    </row>
    <row r="109" spans="1:1" x14ac:dyDescent="0.25">
      <c r="A109" t="s">
        <v>213</v>
      </c>
    </row>
    <row r="110" spans="1:1" x14ac:dyDescent="0.25">
      <c r="A110" t="s">
        <v>214</v>
      </c>
    </row>
    <row r="111" spans="1:1" x14ac:dyDescent="0.25">
      <c r="A111" t="s">
        <v>215</v>
      </c>
    </row>
    <row r="112" spans="1:1" x14ac:dyDescent="0.25">
      <c r="A112" t="s">
        <v>216</v>
      </c>
    </row>
    <row r="113" spans="1:1" x14ac:dyDescent="0.25">
      <c r="A113" t="s">
        <v>218</v>
      </c>
    </row>
    <row r="114" spans="1:1" x14ac:dyDescent="0.25">
      <c r="A114" t="s">
        <v>219</v>
      </c>
    </row>
    <row r="115" spans="1:1" x14ac:dyDescent="0.25">
      <c r="A115" t="s">
        <v>220</v>
      </c>
    </row>
    <row r="116" spans="1:1" x14ac:dyDescent="0.25">
      <c r="A116" t="s">
        <v>221</v>
      </c>
    </row>
    <row r="117" spans="1:1" x14ac:dyDescent="0.25">
      <c r="A117" t="s">
        <v>222</v>
      </c>
    </row>
    <row r="118" spans="1:1" x14ac:dyDescent="0.25">
      <c r="A118" t="s">
        <v>223</v>
      </c>
    </row>
    <row r="119" spans="1:1" x14ac:dyDescent="0.25">
      <c r="A119" t="s">
        <v>224</v>
      </c>
    </row>
    <row r="120" spans="1:1" x14ac:dyDescent="0.25">
      <c r="A120" t="s">
        <v>225</v>
      </c>
    </row>
    <row r="121" spans="1:1" x14ac:dyDescent="0.25">
      <c r="A121" t="s">
        <v>226</v>
      </c>
    </row>
    <row r="122" spans="1:1" x14ac:dyDescent="0.25">
      <c r="A122" t="s">
        <v>227</v>
      </c>
    </row>
    <row r="123" spans="1:1" x14ac:dyDescent="0.25">
      <c r="A123" t="s">
        <v>228</v>
      </c>
    </row>
    <row r="124" spans="1:1" x14ac:dyDescent="0.25">
      <c r="A124" t="s">
        <v>229</v>
      </c>
    </row>
    <row r="125" spans="1:1" x14ac:dyDescent="0.25">
      <c r="A125" t="s">
        <v>230</v>
      </c>
    </row>
    <row r="126" spans="1:1" x14ac:dyDescent="0.25">
      <c r="A126" t="s">
        <v>231</v>
      </c>
    </row>
    <row r="127" spans="1:1" x14ac:dyDescent="0.25">
      <c r="A127" t="s">
        <v>232</v>
      </c>
    </row>
    <row r="128" spans="1:1" x14ac:dyDescent="0.25">
      <c r="A128" t="s">
        <v>233</v>
      </c>
    </row>
    <row r="129" spans="1:1" x14ac:dyDescent="0.25">
      <c r="A129" t="s">
        <v>234</v>
      </c>
    </row>
    <row r="130" spans="1:1" x14ac:dyDescent="0.25">
      <c r="A130" t="s">
        <v>235</v>
      </c>
    </row>
    <row r="131" spans="1:1" x14ac:dyDescent="0.25">
      <c r="A131" t="s">
        <v>236</v>
      </c>
    </row>
    <row r="132" spans="1:1" x14ac:dyDescent="0.25">
      <c r="A132" t="s">
        <v>237</v>
      </c>
    </row>
    <row r="133" spans="1:1" x14ac:dyDescent="0.25">
      <c r="A133" t="s">
        <v>238</v>
      </c>
    </row>
    <row r="134" spans="1:1" x14ac:dyDescent="0.25">
      <c r="A134" t="s">
        <v>239</v>
      </c>
    </row>
    <row r="135" spans="1:1" x14ac:dyDescent="0.25">
      <c r="A135" t="s">
        <v>240</v>
      </c>
    </row>
    <row r="136" spans="1:1" x14ac:dyDescent="0.25">
      <c r="A136" t="s">
        <v>241</v>
      </c>
    </row>
    <row r="137" spans="1:1" x14ac:dyDescent="0.25">
      <c r="A137" t="s">
        <v>242</v>
      </c>
    </row>
    <row r="138" spans="1:1" x14ac:dyDescent="0.25">
      <c r="A138" t="s">
        <v>243</v>
      </c>
    </row>
    <row r="139" spans="1:1" x14ac:dyDescent="0.25">
      <c r="A139" t="s">
        <v>244</v>
      </c>
    </row>
    <row r="140" spans="1:1" x14ac:dyDescent="0.25">
      <c r="A140" t="s">
        <v>245</v>
      </c>
    </row>
    <row r="141" spans="1:1" x14ac:dyDescent="0.25">
      <c r="A141" t="s">
        <v>246</v>
      </c>
    </row>
    <row r="142" spans="1:1" x14ac:dyDescent="0.25">
      <c r="A142" t="s">
        <v>247</v>
      </c>
    </row>
    <row r="143" spans="1:1" x14ac:dyDescent="0.25">
      <c r="A143" t="s">
        <v>248</v>
      </c>
    </row>
    <row r="144" spans="1:1" x14ac:dyDescent="0.25">
      <c r="A144" t="s">
        <v>249</v>
      </c>
    </row>
    <row r="145" spans="1:1" x14ac:dyDescent="0.25">
      <c r="A145" t="s">
        <v>250</v>
      </c>
    </row>
    <row r="146" spans="1:1" x14ac:dyDescent="0.25">
      <c r="A146" t="s">
        <v>251</v>
      </c>
    </row>
    <row r="147" spans="1:1" x14ac:dyDescent="0.25">
      <c r="A147" t="s">
        <v>252</v>
      </c>
    </row>
    <row r="148" spans="1:1" x14ac:dyDescent="0.25">
      <c r="A148" t="s">
        <v>253</v>
      </c>
    </row>
    <row r="149" spans="1:1" x14ac:dyDescent="0.25">
      <c r="A149" t="s">
        <v>255</v>
      </c>
    </row>
    <row r="150" spans="1:1" x14ac:dyDescent="0.25">
      <c r="A150" t="s">
        <v>257</v>
      </c>
    </row>
    <row r="151" spans="1:1" x14ac:dyDescent="0.25">
      <c r="A151" t="s">
        <v>259</v>
      </c>
    </row>
    <row r="152" spans="1:1" x14ac:dyDescent="0.25">
      <c r="A152" t="s">
        <v>261</v>
      </c>
    </row>
    <row r="153" spans="1:1" x14ac:dyDescent="0.25">
      <c r="A153" t="s">
        <v>263</v>
      </c>
    </row>
    <row r="154" spans="1:1" x14ac:dyDescent="0.25">
      <c r="A154" t="s">
        <v>265</v>
      </c>
    </row>
    <row r="155" spans="1:1" x14ac:dyDescent="0.25">
      <c r="A155" t="s">
        <v>267</v>
      </c>
    </row>
    <row r="156" spans="1:1" x14ac:dyDescent="0.25">
      <c r="A156" t="s">
        <v>269</v>
      </c>
    </row>
    <row r="157" spans="1:1" x14ac:dyDescent="0.25">
      <c r="A157" t="s">
        <v>271</v>
      </c>
    </row>
    <row r="158" spans="1:1" x14ac:dyDescent="0.25">
      <c r="A158" t="s">
        <v>273</v>
      </c>
    </row>
    <row r="159" spans="1:1" x14ac:dyDescent="0.25">
      <c r="A159" t="s">
        <v>275</v>
      </c>
    </row>
    <row r="160" spans="1:1" x14ac:dyDescent="0.25">
      <c r="A160" t="s">
        <v>277</v>
      </c>
    </row>
    <row r="161" spans="1:1" x14ac:dyDescent="0.25">
      <c r="A161" t="s">
        <v>279</v>
      </c>
    </row>
    <row r="162" spans="1:1" x14ac:dyDescent="0.25">
      <c r="A162" t="s">
        <v>281</v>
      </c>
    </row>
    <row r="163" spans="1:1" x14ac:dyDescent="0.25">
      <c r="A163" t="s">
        <v>283</v>
      </c>
    </row>
    <row r="164" spans="1:1" x14ac:dyDescent="0.25">
      <c r="A164" t="s">
        <v>285</v>
      </c>
    </row>
    <row r="165" spans="1:1" x14ac:dyDescent="0.25">
      <c r="A165" t="s">
        <v>287</v>
      </c>
    </row>
    <row r="166" spans="1:1" x14ac:dyDescent="0.25">
      <c r="A166" t="s">
        <v>289</v>
      </c>
    </row>
    <row r="167" spans="1:1" x14ac:dyDescent="0.25">
      <c r="A167" t="s">
        <v>291</v>
      </c>
    </row>
    <row r="168" spans="1:1" x14ac:dyDescent="0.25">
      <c r="A168" t="s">
        <v>293</v>
      </c>
    </row>
    <row r="169" spans="1:1" x14ac:dyDescent="0.25">
      <c r="A169" t="s">
        <v>295</v>
      </c>
    </row>
    <row r="170" spans="1:1" x14ac:dyDescent="0.25">
      <c r="A170" t="s">
        <v>297</v>
      </c>
    </row>
    <row r="171" spans="1:1" x14ac:dyDescent="0.25">
      <c r="A171" t="s">
        <v>299</v>
      </c>
    </row>
    <row r="172" spans="1:1" x14ac:dyDescent="0.25">
      <c r="A172" t="s">
        <v>301</v>
      </c>
    </row>
    <row r="173" spans="1:1" x14ac:dyDescent="0.25">
      <c r="A173" t="s">
        <v>303</v>
      </c>
    </row>
    <row r="174" spans="1:1" x14ac:dyDescent="0.25">
      <c r="A174" t="s">
        <v>305</v>
      </c>
    </row>
    <row r="175" spans="1:1" x14ac:dyDescent="0.25">
      <c r="A175" t="s">
        <v>307</v>
      </c>
    </row>
    <row r="176" spans="1:1" x14ac:dyDescent="0.25">
      <c r="A176" t="s">
        <v>309</v>
      </c>
    </row>
    <row r="177" spans="1:1" x14ac:dyDescent="0.25">
      <c r="A177" t="s">
        <v>311</v>
      </c>
    </row>
    <row r="178" spans="1:1" x14ac:dyDescent="0.25">
      <c r="A178" t="s">
        <v>313</v>
      </c>
    </row>
    <row r="179" spans="1:1" x14ac:dyDescent="0.25">
      <c r="A179" t="s">
        <v>315</v>
      </c>
    </row>
    <row r="180" spans="1:1" x14ac:dyDescent="0.25">
      <c r="A180" t="s">
        <v>317</v>
      </c>
    </row>
    <row r="181" spans="1:1" x14ac:dyDescent="0.25">
      <c r="A181" t="s">
        <v>319</v>
      </c>
    </row>
    <row r="182" spans="1:1" x14ac:dyDescent="0.25">
      <c r="A182" t="s">
        <v>321</v>
      </c>
    </row>
    <row r="183" spans="1:1" x14ac:dyDescent="0.25">
      <c r="A183" t="s">
        <v>323</v>
      </c>
    </row>
    <row r="184" spans="1:1" x14ac:dyDescent="0.25">
      <c r="A184" t="s">
        <v>325</v>
      </c>
    </row>
    <row r="185" spans="1:1" x14ac:dyDescent="0.25">
      <c r="A185" t="s">
        <v>327</v>
      </c>
    </row>
    <row r="186" spans="1:1" x14ac:dyDescent="0.25">
      <c r="A186" t="s">
        <v>329</v>
      </c>
    </row>
    <row r="187" spans="1:1" x14ac:dyDescent="0.25">
      <c r="A187" t="s">
        <v>331</v>
      </c>
    </row>
    <row r="188" spans="1:1" x14ac:dyDescent="0.25">
      <c r="A188" t="s">
        <v>333</v>
      </c>
    </row>
    <row r="189" spans="1:1" x14ac:dyDescent="0.25">
      <c r="A189" t="s">
        <v>335</v>
      </c>
    </row>
    <row r="190" spans="1:1" x14ac:dyDescent="0.25">
      <c r="A190" t="s">
        <v>336</v>
      </c>
    </row>
    <row r="191" spans="1:1" x14ac:dyDescent="0.25">
      <c r="A191" t="s">
        <v>338</v>
      </c>
    </row>
    <row r="192" spans="1:1" x14ac:dyDescent="0.25">
      <c r="A192" t="s">
        <v>340</v>
      </c>
    </row>
    <row r="193" spans="1:1" x14ac:dyDescent="0.25">
      <c r="A193" t="s">
        <v>342</v>
      </c>
    </row>
    <row r="194" spans="1:1" x14ac:dyDescent="0.25">
      <c r="A194" t="s">
        <v>344</v>
      </c>
    </row>
    <row r="195" spans="1:1" x14ac:dyDescent="0.25">
      <c r="A195" t="s">
        <v>346</v>
      </c>
    </row>
    <row r="196" spans="1:1" x14ac:dyDescent="0.25">
      <c r="A196" t="s">
        <v>348</v>
      </c>
    </row>
    <row r="197" spans="1:1" x14ac:dyDescent="0.25">
      <c r="A197" t="s">
        <v>350</v>
      </c>
    </row>
    <row r="198" spans="1:1" x14ac:dyDescent="0.25">
      <c r="A198" t="s">
        <v>352</v>
      </c>
    </row>
    <row r="199" spans="1:1" x14ac:dyDescent="0.25">
      <c r="A199" t="s">
        <v>354</v>
      </c>
    </row>
    <row r="200" spans="1:1" x14ac:dyDescent="0.25">
      <c r="A200" t="s">
        <v>356</v>
      </c>
    </row>
    <row r="201" spans="1:1" x14ac:dyDescent="0.25">
      <c r="A201" t="s">
        <v>358</v>
      </c>
    </row>
    <row r="202" spans="1:1" x14ac:dyDescent="0.25">
      <c r="A202" t="s">
        <v>360</v>
      </c>
    </row>
    <row r="203" spans="1:1" x14ac:dyDescent="0.25">
      <c r="A203" t="s">
        <v>362</v>
      </c>
    </row>
    <row r="204" spans="1:1" x14ac:dyDescent="0.25">
      <c r="A204" t="s">
        <v>364</v>
      </c>
    </row>
    <row r="205" spans="1:1" x14ac:dyDescent="0.25">
      <c r="A205" t="s">
        <v>366</v>
      </c>
    </row>
    <row r="206" spans="1:1" x14ac:dyDescent="0.25">
      <c r="A206" t="s">
        <v>367</v>
      </c>
    </row>
    <row r="207" spans="1:1" x14ac:dyDescent="0.25">
      <c r="A207" t="s">
        <v>368</v>
      </c>
    </row>
    <row r="208" spans="1:1" x14ac:dyDescent="0.25">
      <c r="A208" t="s">
        <v>369</v>
      </c>
    </row>
    <row r="209" spans="1:1" x14ac:dyDescent="0.25">
      <c r="A209" t="s">
        <v>370</v>
      </c>
    </row>
    <row r="210" spans="1:1" x14ac:dyDescent="0.25">
      <c r="A210" t="s">
        <v>371</v>
      </c>
    </row>
    <row r="211" spans="1:1" x14ac:dyDescent="0.25">
      <c r="A211" t="s">
        <v>372</v>
      </c>
    </row>
    <row r="212" spans="1:1" x14ac:dyDescent="0.25">
      <c r="A212" t="s">
        <v>373</v>
      </c>
    </row>
    <row r="213" spans="1:1" x14ac:dyDescent="0.25">
      <c r="A213" t="s">
        <v>375</v>
      </c>
    </row>
    <row r="214" spans="1:1" x14ac:dyDescent="0.25">
      <c r="A214" t="s">
        <v>377</v>
      </c>
    </row>
    <row r="215" spans="1:1" x14ac:dyDescent="0.25">
      <c r="A215" t="s">
        <v>379</v>
      </c>
    </row>
    <row r="216" spans="1:1" x14ac:dyDescent="0.25">
      <c r="A216" t="s">
        <v>381</v>
      </c>
    </row>
    <row r="217" spans="1:1" x14ac:dyDescent="0.25">
      <c r="A217" t="s">
        <v>383</v>
      </c>
    </row>
    <row r="218" spans="1:1" x14ac:dyDescent="0.25">
      <c r="A218" t="s">
        <v>385</v>
      </c>
    </row>
    <row r="219" spans="1:1" x14ac:dyDescent="0.25">
      <c r="A219" t="s">
        <v>387</v>
      </c>
    </row>
    <row r="220" spans="1:1" x14ac:dyDescent="0.25">
      <c r="A220" t="s">
        <v>389</v>
      </c>
    </row>
    <row r="221" spans="1:1" x14ac:dyDescent="0.25">
      <c r="A221" t="s">
        <v>391</v>
      </c>
    </row>
    <row r="222" spans="1:1" x14ac:dyDescent="0.25">
      <c r="A222" t="s">
        <v>393</v>
      </c>
    </row>
    <row r="223" spans="1:1" x14ac:dyDescent="0.25">
      <c r="A223" t="s">
        <v>395</v>
      </c>
    </row>
    <row r="224" spans="1:1" x14ac:dyDescent="0.25">
      <c r="A224" t="s">
        <v>397</v>
      </c>
    </row>
    <row r="225" spans="1:1" x14ac:dyDescent="0.25">
      <c r="A225" t="s">
        <v>399</v>
      </c>
    </row>
    <row r="226" spans="1:1" x14ac:dyDescent="0.25">
      <c r="A226" t="s">
        <v>401</v>
      </c>
    </row>
    <row r="227" spans="1:1" x14ac:dyDescent="0.25">
      <c r="A227" t="s">
        <v>403</v>
      </c>
    </row>
    <row r="228" spans="1:1" x14ac:dyDescent="0.25">
      <c r="A228" t="s">
        <v>405</v>
      </c>
    </row>
    <row r="229" spans="1:1" x14ac:dyDescent="0.25">
      <c r="A229" t="s">
        <v>407</v>
      </c>
    </row>
    <row r="230" spans="1:1" x14ac:dyDescent="0.25">
      <c r="A230" t="s">
        <v>409</v>
      </c>
    </row>
    <row r="231" spans="1:1" x14ac:dyDescent="0.25">
      <c r="A231" t="s">
        <v>411</v>
      </c>
    </row>
    <row r="232" spans="1:1" x14ac:dyDescent="0.25">
      <c r="A232" t="s">
        <v>413</v>
      </c>
    </row>
    <row r="233" spans="1:1" x14ac:dyDescent="0.25">
      <c r="A233" t="s">
        <v>415</v>
      </c>
    </row>
    <row r="234" spans="1:1" x14ac:dyDescent="0.25">
      <c r="A234" t="s">
        <v>417</v>
      </c>
    </row>
    <row r="235" spans="1:1" x14ac:dyDescent="0.25">
      <c r="A235" t="s">
        <v>419</v>
      </c>
    </row>
    <row r="236" spans="1:1" x14ac:dyDescent="0.25">
      <c r="A236" t="s">
        <v>421</v>
      </c>
    </row>
    <row r="237" spans="1:1" x14ac:dyDescent="0.25">
      <c r="A237" t="s">
        <v>423</v>
      </c>
    </row>
    <row r="238" spans="1:1" x14ac:dyDescent="0.25">
      <c r="A238" t="s">
        <v>425</v>
      </c>
    </row>
    <row r="239" spans="1:1" x14ac:dyDescent="0.25">
      <c r="A239" t="s">
        <v>427</v>
      </c>
    </row>
    <row r="240" spans="1:1" x14ac:dyDescent="0.25">
      <c r="A240" t="s">
        <v>429</v>
      </c>
    </row>
    <row r="241" spans="1:1" x14ac:dyDescent="0.25">
      <c r="A241" t="s">
        <v>431</v>
      </c>
    </row>
    <row r="242" spans="1:1" x14ac:dyDescent="0.25">
      <c r="A242" t="s">
        <v>433</v>
      </c>
    </row>
    <row r="243" spans="1:1" x14ac:dyDescent="0.25">
      <c r="A243" t="s">
        <v>435</v>
      </c>
    </row>
    <row r="244" spans="1:1" x14ac:dyDescent="0.25">
      <c r="A244" t="s">
        <v>437</v>
      </c>
    </row>
    <row r="245" spans="1:1" x14ac:dyDescent="0.25">
      <c r="A245" t="s">
        <v>439</v>
      </c>
    </row>
    <row r="246" spans="1:1" x14ac:dyDescent="0.25">
      <c r="A246" t="s">
        <v>441</v>
      </c>
    </row>
    <row r="247" spans="1:1" x14ac:dyDescent="0.25">
      <c r="A247" t="s">
        <v>443</v>
      </c>
    </row>
    <row r="248" spans="1:1" x14ac:dyDescent="0.25">
      <c r="A248" t="s">
        <v>444</v>
      </c>
    </row>
    <row r="249" spans="1:1" x14ac:dyDescent="0.25">
      <c r="A249" t="s">
        <v>445</v>
      </c>
    </row>
    <row r="250" spans="1:1" x14ac:dyDescent="0.25">
      <c r="A250" t="s">
        <v>446</v>
      </c>
    </row>
    <row r="251" spans="1:1" x14ac:dyDescent="0.25">
      <c r="A251" t="s">
        <v>447</v>
      </c>
    </row>
    <row r="252" spans="1:1" x14ac:dyDescent="0.25">
      <c r="A252" t="s">
        <v>448</v>
      </c>
    </row>
    <row r="253" spans="1:1" x14ac:dyDescent="0.25">
      <c r="A253" t="s">
        <v>449</v>
      </c>
    </row>
    <row r="254" spans="1:1" x14ac:dyDescent="0.25">
      <c r="A254" t="s">
        <v>451</v>
      </c>
    </row>
    <row r="255" spans="1:1" x14ac:dyDescent="0.25">
      <c r="A255" t="s">
        <v>454</v>
      </c>
    </row>
    <row r="256" spans="1:1" x14ac:dyDescent="0.25">
      <c r="A256" t="s">
        <v>456</v>
      </c>
    </row>
    <row r="257" spans="1:1" x14ac:dyDescent="0.25">
      <c r="A257" t="s">
        <v>458</v>
      </c>
    </row>
    <row r="258" spans="1:1" x14ac:dyDescent="0.25">
      <c r="A258" t="s">
        <v>459</v>
      </c>
    </row>
    <row r="259" spans="1:1" x14ac:dyDescent="0.25">
      <c r="A259" t="s">
        <v>461</v>
      </c>
    </row>
    <row r="260" spans="1:1" x14ac:dyDescent="0.25">
      <c r="A260" t="s">
        <v>463</v>
      </c>
    </row>
    <row r="261" spans="1:1" x14ac:dyDescent="0.25">
      <c r="A261" t="s">
        <v>465</v>
      </c>
    </row>
    <row r="262" spans="1:1" x14ac:dyDescent="0.25">
      <c r="A262" t="s">
        <v>1414</v>
      </c>
    </row>
    <row r="263" spans="1:1" x14ac:dyDescent="0.25">
      <c r="A263" t="s">
        <v>1415</v>
      </c>
    </row>
    <row r="264" spans="1:1" x14ac:dyDescent="0.25">
      <c r="A264" t="s">
        <v>1416</v>
      </c>
    </row>
    <row r="265" spans="1:1" x14ac:dyDescent="0.25">
      <c r="A265" t="s">
        <v>1417</v>
      </c>
    </row>
    <row r="266" spans="1:1" x14ac:dyDescent="0.25">
      <c r="A266" t="s">
        <v>1418</v>
      </c>
    </row>
    <row r="267" spans="1:1" x14ac:dyDescent="0.25">
      <c r="A267" t="s">
        <v>1419</v>
      </c>
    </row>
    <row r="268" spans="1:1" x14ac:dyDescent="0.25">
      <c r="A268" t="s">
        <v>1420</v>
      </c>
    </row>
    <row r="269" spans="1:1" x14ac:dyDescent="0.25">
      <c r="A269" t="s">
        <v>1421</v>
      </c>
    </row>
    <row r="270" spans="1:1" x14ac:dyDescent="0.25">
      <c r="A270" t="s">
        <v>1422</v>
      </c>
    </row>
    <row r="271" spans="1:1" x14ac:dyDescent="0.25">
      <c r="A271" t="s">
        <v>1423</v>
      </c>
    </row>
    <row r="272" spans="1:1" x14ac:dyDescent="0.25">
      <c r="A272" t="s">
        <v>1424</v>
      </c>
    </row>
    <row r="273" spans="1:1" x14ac:dyDescent="0.25">
      <c r="A273" t="s">
        <v>1425</v>
      </c>
    </row>
    <row r="274" spans="1:1" x14ac:dyDescent="0.25">
      <c r="A274" t="s">
        <v>1426</v>
      </c>
    </row>
    <row r="275" spans="1:1" x14ac:dyDescent="0.25">
      <c r="A275" t="s">
        <v>1427</v>
      </c>
    </row>
    <row r="276" spans="1:1" x14ac:dyDescent="0.25">
      <c r="A276" t="s">
        <v>1428</v>
      </c>
    </row>
    <row r="277" spans="1:1" x14ac:dyDescent="0.25">
      <c r="A277" t="s">
        <v>1429</v>
      </c>
    </row>
    <row r="278" spans="1:1" x14ac:dyDescent="0.25">
      <c r="A278" t="s">
        <v>1430</v>
      </c>
    </row>
    <row r="279" spans="1:1" x14ac:dyDescent="0.25">
      <c r="A279" t="s">
        <v>1431</v>
      </c>
    </row>
    <row r="280" spans="1:1" x14ac:dyDescent="0.25">
      <c r="A280" t="s">
        <v>1432</v>
      </c>
    </row>
    <row r="281" spans="1:1" x14ac:dyDescent="0.25">
      <c r="A281" t="s">
        <v>1433</v>
      </c>
    </row>
    <row r="282" spans="1:1" x14ac:dyDescent="0.25">
      <c r="A282" t="s">
        <v>1434</v>
      </c>
    </row>
    <row r="283" spans="1:1" x14ac:dyDescent="0.25">
      <c r="A283" t="s">
        <v>1435</v>
      </c>
    </row>
    <row r="284" spans="1:1" x14ac:dyDescent="0.25">
      <c r="A284" t="s">
        <v>1436</v>
      </c>
    </row>
    <row r="285" spans="1:1" x14ac:dyDescent="0.25">
      <c r="A285" t="s">
        <v>1437</v>
      </c>
    </row>
    <row r="286" spans="1:1" x14ac:dyDescent="0.25">
      <c r="A286" t="s">
        <v>1438</v>
      </c>
    </row>
    <row r="287" spans="1:1" x14ac:dyDescent="0.25">
      <c r="A287" t="s">
        <v>1439</v>
      </c>
    </row>
    <row r="288" spans="1:1" x14ac:dyDescent="0.25">
      <c r="A288" t="s">
        <v>1440</v>
      </c>
    </row>
    <row r="289" spans="1:1" x14ac:dyDescent="0.25">
      <c r="A289" t="s">
        <v>1441</v>
      </c>
    </row>
    <row r="290" spans="1:1" x14ac:dyDescent="0.25">
      <c r="A290" t="s">
        <v>1442</v>
      </c>
    </row>
    <row r="291" spans="1:1" x14ac:dyDescent="0.25">
      <c r="A291" t="s">
        <v>1443</v>
      </c>
    </row>
    <row r="292" spans="1:1" x14ac:dyDescent="0.25">
      <c r="A292" t="s">
        <v>1444</v>
      </c>
    </row>
    <row r="293" spans="1:1" x14ac:dyDescent="0.25">
      <c r="A293" t="s">
        <v>1445</v>
      </c>
    </row>
    <row r="294" spans="1:1" x14ac:dyDescent="0.25">
      <c r="A294" t="s">
        <v>1446</v>
      </c>
    </row>
    <row r="295" spans="1:1" x14ac:dyDescent="0.25">
      <c r="A295" t="s">
        <v>1447</v>
      </c>
    </row>
    <row r="296" spans="1:1" x14ac:dyDescent="0.25">
      <c r="A296" t="s">
        <v>1448</v>
      </c>
    </row>
    <row r="297" spans="1:1" x14ac:dyDescent="0.25">
      <c r="A297" t="s">
        <v>1449</v>
      </c>
    </row>
    <row r="298" spans="1:1" x14ac:dyDescent="0.25">
      <c r="A298" t="s">
        <v>1450</v>
      </c>
    </row>
    <row r="299" spans="1:1" x14ac:dyDescent="0.25">
      <c r="A299" t="s">
        <v>1451</v>
      </c>
    </row>
    <row r="300" spans="1:1" x14ac:dyDescent="0.25">
      <c r="A300" t="s">
        <v>1452</v>
      </c>
    </row>
    <row r="301" spans="1:1" x14ac:dyDescent="0.25">
      <c r="A301" t="s">
        <v>1453</v>
      </c>
    </row>
    <row r="302" spans="1:1" x14ac:dyDescent="0.25">
      <c r="A302" t="s">
        <v>1454</v>
      </c>
    </row>
    <row r="303" spans="1:1" x14ac:dyDescent="0.25">
      <c r="A303" t="s">
        <v>1455</v>
      </c>
    </row>
    <row r="304" spans="1:1" x14ac:dyDescent="0.25">
      <c r="A304" t="s">
        <v>1456</v>
      </c>
    </row>
    <row r="305" spans="1:1" x14ac:dyDescent="0.25">
      <c r="A305" t="s">
        <v>1457</v>
      </c>
    </row>
    <row r="306" spans="1:1" x14ac:dyDescent="0.25">
      <c r="A306" t="s">
        <v>1458</v>
      </c>
    </row>
    <row r="307" spans="1:1" x14ac:dyDescent="0.25">
      <c r="A307" t="s">
        <v>1459</v>
      </c>
    </row>
    <row r="308" spans="1:1" x14ac:dyDescent="0.25">
      <c r="A308" t="s">
        <v>1460</v>
      </c>
    </row>
    <row r="309" spans="1:1" x14ac:dyDescent="0.25">
      <c r="A309" t="s">
        <v>1461</v>
      </c>
    </row>
    <row r="310" spans="1:1" x14ac:dyDescent="0.25">
      <c r="A310" t="s">
        <v>1462</v>
      </c>
    </row>
    <row r="311" spans="1:1" x14ac:dyDescent="0.25">
      <c r="A311" t="s">
        <v>1463</v>
      </c>
    </row>
    <row r="312" spans="1:1" x14ac:dyDescent="0.25">
      <c r="A312" t="s">
        <v>1464</v>
      </c>
    </row>
    <row r="313" spans="1:1" x14ac:dyDescent="0.25">
      <c r="A313" t="s">
        <v>1465</v>
      </c>
    </row>
    <row r="314" spans="1:1" x14ac:dyDescent="0.25">
      <c r="A314" t="s">
        <v>1466</v>
      </c>
    </row>
    <row r="315" spans="1:1" x14ac:dyDescent="0.25">
      <c r="A315" t="s">
        <v>1467</v>
      </c>
    </row>
    <row r="316" spans="1:1" x14ac:dyDescent="0.25">
      <c r="A316" t="s">
        <v>1468</v>
      </c>
    </row>
    <row r="317" spans="1:1" x14ac:dyDescent="0.25">
      <c r="A317" t="s">
        <v>1469</v>
      </c>
    </row>
    <row r="318" spans="1:1" x14ac:dyDescent="0.25">
      <c r="A318" t="s">
        <v>1470</v>
      </c>
    </row>
    <row r="319" spans="1:1" x14ac:dyDescent="0.25">
      <c r="A319" t="s">
        <v>1471</v>
      </c>
    </row>
    <row r="320" spans="1:1" x14ac:dyDescent="0.25">
      <c r="A320" t="s">
        <v>1472</v>
      </c>
    </row>
    <row r="321" spans="1:1" x14ac:dyDescent="0.25">
      <c r="A321" t="s">
        <v>1473</v>
      </c>
    </row>
    <row r="322" spans="1:1" x14ac:dyDescent="0.25">
      <c r="A322" t="s">
        <v>1474</v>
      </c>
    </row>
    <row r="323" spans="1:1" x14ac:dyDescent="0.25">
      <c r="A323" t="s">
        <v>1475</v>
      </c>
    </row>
    <row r="324" spans="1:1" x14ac:dyDescent="0.25">
      <c r="A324" t="s">
        <v>1476</v>
      </c>
    </row>
    <row r="325" spans="1:1" x14ac:dyDescent="0.25">
      <c r="A325" t="s">
        <v>1477</v>
      </c>
    </row>
    <row r="326" spans="1:1" x14ac:dyDescent="0.25">
      <c r="A326" t="s">
        <v>1478</v>
      </c>
    </row>
    <row r="327" spans="1:1" x14ac:dyDescent="0.25">
      <c r="A327" t="s">
        <v>1479</v>
      </c>
    </row>
    <row r="328" spans="1:1" x14ac:dyDescent="0.25">
      <c r="A328" t="s">
        <v>1480</v>
      </c>
    </row>
    <row r="329" spans="1:1" x14ac:dyDescent="0.25">
      <c r="A329" t="s">
        <v>1481</v>
      </c>
    </row>
    <row r="330" spans="1:1" x14ac:dyDescent="0.25">
      <c r="A330" t="s">
        <v>1482</v>
      </c>
    </row>
    <row r="331" spans="1:1" x14ac:dyDescent="0.25">
      <c r="A331" t="s">
        <v>1483</v>
      </c>
    </row>
    <row r="332" spans="1:1" x14ac:dyDescent="0.25">
      <c r="A332" t="s">
        <v>1484</v>
      </c>
    </row>
    <row r="333" spans="1:1" x14ac:dyDescent="0.25">
      <c r="A333" t="s">
        <v>1485</v>
      </c>
    </row>
    <row r="334" spans="1:1" x14ac:dyDescent="0.25">
      <c r="A334" t="s">
        <v>1486</v>
      </c>
    </row>
    <row r="335" spans="1:1" x14ac:dyDescent="0.25">
      <c r="A335" t="s">
        <v>1487</v>
      </c>
    </row>
    <row r="336" spans="1:1" x14ac:dyDescent="0.25">
      <c r="A336" t="s">
        <v>1488</v>
      </c>
    </row>
    <row r="337" spans="1:1" x14ac:dyDescent="0.25">
      <c r="A337" t="s">
        <v>1489</v>
      </c>
    </row>
    <row r="338" spans="1:1" x14ac:dyDescent="0.25">
      <c r="A338" t="s">
        <v>1490</v>
      </c>
    </row>
    <row r="339" spans="1:1" x14ac:dyDescent="0.25">
      <c r="A339" t="s">
        <v>1491</v>
      </c>
    </row>
    <row r="340" spans="1:1" x14ac:dyDescent="0.25">
      <c r="A340" t="s">
        <v>1492</v>
      </c>
    </row>
    <row r="341" spans="1:1" x14ac:dyDescent="0.25">
      <c r="A341" t="s">
        <v>1493</v>
      </c>
    </row>
    <row r="342" spans="1:1" x14ac:dyDescent="0.25">
      <c r="A342" t="s">
        <v>1494</v>
      </c>
    </row>
    <row r="343" spans="1:1" x14ac:dyDescent="0.25">
      <c r="A343" t="s">
        <v>1495</v>
      </c>
    </row>
    <row r="344" spans="1:1" x14ac:dyDescent="0.25">
      <c r="A344" t="s">
        <v>1496</v>
      </c>
    </row>
    <row r="345" spans="1:1" x14ac:dyDescent="0.25">
      <c r="A345" t="s">
        <v>1497</v>
      </c>
    </row>
    <row r="346" spans="1:1" x14ac:dyDescent="0.25">
      <c r="A346" t="s">
        <v>1498</v>
      </c>
    </row>
    <row r="347" spans="1:1" x14ac:dyDescent="0.25">
      <c r="A347" t="s">
        <v>1499</v>
      </c>
    </row>
    <row r="348" spans="1:1" x14ac:dyDescent="0.25">
      <c r="A348" t="s">
        <v>1500</v>
      </c>
    </row>
    <row r="349" spans="1:1" x14ac:dyDescent="0.25">
      <c r="A349" t="s">
        <v>1501</v>
      </c>
    </row>
    <row r="350" spans="1:1" x14ac:dyDescent="0.25">
      <c r="A350" t="s">
        <v>1502</v>
      </c>
    </row>
    <row r="351" spans="1:1" x14ac:dyDescent="0.25">
      <c r="A351" t="s">
        <v>1503</v>
      </c>
    </row>
    <row r="352" spans="1:1" x14ac:dyDescent="0.25">
      <c r="A352" t="s">
        <v>1504</v>
      </c>
    </row>
    <row r="353" spans="1:1" x14ac:dyDescent="0.25">
      <c r="A353" t="s">
        <v>1505</v>
      </c>
    </row>
    <row r="354" spans="1:1" x14ac:dyDescent="0.25">
      <c r="A354" t="s">
        <v>1506</v>
      </c>
    </row>
    <row r="355" spans="1:1" x14ac:dyDescent="0.25">
      <c r="A355" t="s">
        <v>1507</v>
      </c>
    </row>
    <row r="356" spans="1:1" x14ac:dyDescent="0.25">
      <c r="A356" t="s">
        <v>1508</v>
      </c>
    </row>
    <row r="357" spans="1:1" x14ac:dyDescent="0.25">
      <c r="A357" t="s">
        <v>1509</v>
      </c>
    </row>
    <row r="358" spans="1:1" x14ac:dyDescent="0.25">
      <c r="A358" t="s">
        <v>1510</v>
      </c>
    </row>
    <row r="359" spans="1:1" x14ac:dyDescent="0.25">
      <c r="A359" t="s">
        <v>1511</v>
      </c>
    </row>
    <row r="360" spans="1:1" x14ac:dyDescent="0.25">
      <c r="A360" t="s">
        <v>1512</v>
      </c>
    </row>
    <row r="361" spans="1:1" x14ac:dyDescent="0.25">
      <c r="A361" t="s">
        <v>1513</v>
      </c>
    </row>
    <row r="362" spans="1:1" x14ac:dyDescent="0.25">
      <c r="A362" t="s">
        <v>1514</v>
      </c>
    </row>
    <row r="363" spans="1:1" x14ac:dyDescent="0.25">
      <c r="A363" t="s">
        <v>1515</v>
      </c>
    </row>
    <row r="364" spans="1:1" x14ac:dyDescent="0.25">
      <c r="A364" t="s">
        <v>1516</v>
      </c>
    </row>
    <row r="365" spans="1:1" x14ac:dyDescent="0.25">
      <c r="A365" t="s">
        <v>1517</v>
      </c>
    </row>
    <row r="366" spans="1:1" x14ac:dyDescent="0.25">
      <c r="A366" t="s">
        <v>1518</v>
      </c>
    </row>
    <row r="367" spans="1:1" x14ac:dyDescent="0.25">
      <c r="A367" t="s">
        <v>1519</v>
      </c>
    </row>
    <row r="368" spans="1:1" x14ac:dyDescent="0.25">
      <c r="A368" t="s">
        <v>1520</v>
      </c>
    </row>
    <row r="369" spans="1:1" x14ac:dyDescent="0.25">
      <c r="A369" t="s">
        <v>1521</v>
      </c>
    </row>
    <row r="370" spans="1:1" x14ac:dyDescent="0.25">
      <c r="A370" t="s">
        <v>1522</v>
      </c>
    </row>
    <row r="371" spans="1:1" x14ac:dyDescent="0.25">
      <c r="A371" t="s">
        <v>1523</v>
      </c>
    </row>
    <row r="372" spans="1:1" x14ac:dyDescent="0.25">
      <c r="A372" t="s">
        <v>1524</v>
      </c>
    </row>
    <row r="373" spans="1:1" x14ac:dyDescent="0.25">
      <c r="A373" t="s">
        <v>1525</v>
      </c>
    </row>
    <row r="374" spans="1:1" x14ac:dyDescent="0.25">
      <c r="A374" t="s">
        <v>1526</v>
      </c>
    </row>
    <row r="375" spans="1:1" x14ac:dyDescent="0.25">
      <c r="A375" t="s">
        <v>1527</v>
      </c>
    </row>
    <row r="376" spans="1:1" x14ac:dyDescent="0.25">
      <c r="A376" t="s">
        <v>1528</v>
      </c>
    </row>
    <row r="377" spans="1:1" x14ac:dyDescent="0.25">
      <c r="A377" t="s">
        <v>1529</v>
      </c>
    </row>
    <row r="378" spans="1:1" x14ac:dyDescent="0.25">
      <c r="A378" t="s">
        <v>1530</v>
      </c>
    </row>
    <row r="379" spans="1:1" x14ac:dyDescent="0.25">
      <c r="A379" t="s">
        <v>1531</v>
      </c>
    </row>
    <row r="380" spans="1:1" x14ac:dyDescent="0.25">
      <c r="A380" t="s">
        <v>1532</v>
      </c>
    </row>
    <row r="381" spans="1:1" x14ac:dyDescent="0.25">
      <c r="A381" t="s">
        <v>1533</v>
      </c>
    </row>
    <row r="382" spans="1:1" x14ac:dyDescent="0.25">
      <c r="A382" t="s">
        <v>1534</v>
      </c>
    </row>
    <row r="383" spans="1:1" x14ac:dyDescent="0.25">
      <c r="A383" t="s">
        <v>1535</v>
      </c>
    </row>
    <row r="384" spans="1:1" x14ac:dyDescent="0.25">
      <c r="A384" t="s">
        <v>1536</v>
      </c>
    </row>
    <row r="385" spans="1:1" x14ac:dyDescent="0.25">
      <c r="A385" t="s">
        <v>1537</v>
      </c>
    </row>
    <row r="386" spans="1:1" x14ac:dyDescent="0.25">
      <c r="A386" t="s">
        <v>1538</v>
      </c>
    </row>
    <row r="387" spans="1:1" x14ac:dyDescent="0.25">
      <c r="A387" t="s">
        <v>1539</v>
      </c>
    </row>
    <row r="388" spans="1:1" x14ac:dyDescent="0.25">
      <c r="A388" t="s">
        <v>1540</v>
      </c>
    </row>
    <row r="389" spans="1:1" x14ac:dyDescent="0.25">
      <c r="A389" t="s">
        <v>1541</v>
      </c>
    </row>
    <row r="390" spans="1:1" x14ac:dyDescent="0.25">
      <c r="A390" t="s">
        <v>1542</v>
      </c>
    </row>
    <row r="391" spans="1:1" x14ac:dyDescent="0.25">
      <c r="A391" t="s">
        <v>1543</v>
      </c>
    </row>
    <row r="392" spans="1:1" x14ac:dyDescent="0.25">
      <c r="A392" t="s">
        <v>1544</v>
      </c>
    </row>
    <row r="393" spans="1:1" x14ac:dyDescent="0.25">
      <c r="A393" t="s">
        <v>1545</v>
      </c>
    </row>
    <row r="394" spans="1:1" x14ac:dyDescent="0.25">
      <c r="A394" t="s">
        <v>1546</v>
      </c>
    </row>
    <row r="395" spans="1:1" x14ac:dyDescent="0.25">
      <c r="A395" t="s">
        <v>1547</v>
      </c>
    </row>
    <row r="396" spans="1:1" x14ac:dyDescent="0.25">
      <c r="A396" t="s">
        <v>1548</v>
      </c>
    </row>
    <row r="397" spans="1:1" x14ac:dyDescent="0.25">
      <c r="A397" t="s">
        <v>1549</v>
      </c>
    </row>
    <row r="398" spans="1:1" x14ac:dyDescent="0.25">
      <c r="A398" t="s">
        <v>1550</v>
      </c>
    </row>
    <row r="399" spans="1:1" x14ac:dyDescent="0.25">
      <c r="A399" t="s">
        <v>1551</v>
      </c>
    </row>
    <row r="400" spans="1:1" x14ac:dyDescent="0.25">
      <c r="A400" t="s">
        <v>1552</v>
      </c>
    </row>
    <row r="401" spans="1:1" x14ac:dyDescent="0.25">
      <c r="A401" t="s">
        <v>1553</v>
      </c>
    </row>
    <row r="402" spans="1:1" x14ac:dyDescent="0.25">
      <c r="A402" t="s">
        <v>1554</v>
      </c>
    </row>
    <row r="403" spans="1:1" x14ac:dyDescent="0.25">
      <c r="A403" t="s">
        <v>1555</v>
      </c>
    </row>
    <row r="404" spans="1:1" x14ac:dyDescent="0.25">
      <c r="A404" t="s">
        <v>1556</v>
      </c>
    </row>
    <row r="405" spans="1:1" x14ac:dyDescent="0.25">
      <c r="A405" t="s">
        <v>1557</v>
      </c>
    </row>
    <row r="406" spans="1:1" x14ac:dyDescent="0.25">
      <c r="A406" t="s">
        <v>1558</v>
      </c>
    </row>
    <row r="407" spans="1:1" x14ac:dyDescent="0.25">
      <c r="A407" t="s">
        <v>1559</v>
      </c>
    </row>
    <row r="408" spans="1:1" x14ac:dyDescent="0.25">
      <c r="A408" t="s">
        <v>1560</v>
      </c>
    </row>
    <row r="409" spans="1:1" x14ac:dyDescent="0.25">
      <c r="A409" t="s">
        <v>1561</v>
      </c>
    </row>
    <row r="410" spans="1:1" x14ac:dyDescent="0.25">
      <c r="A410" t="s">
        <v>1562</v>
      </c>
    </row>
    <row r="411" spans="1:1" x14ac:dyDescent="0.25">
      <c r="A411" t="s">
        <v>1563</v>
      </c>
    </row>
    <row r="412" spans="1:1" x14ac:dyDescent="0.25">
      <c r="A412" t="s">
        <v>1564</v>
      </c>
    </row>
    <row r="413" spans="1:1" x14ac:dyDescent="0.25">
      <c r="A413" t="s">
        <v>1565</v>
      </c>
    </row>
    <row r="414" spans="1:1" x14ac:dyDescent="0.25">
      <c r="A414" t="s">
        <v>1566</v>
      </c>
    </row>
    <row r="415" spans="1:1" x14ac:dyDescent="0.25">
      <c r="A415" t="s">
        <v>1567</v>
      </c>
    </row>
    <row r="416" spans="1:1" x14ac:dyDescent="0.25">
      <c r="A416" t="s">
        <v>1568</v>
      </c>
    </row>
    <row r="417" spans="1:1" x14ac:dyDescent="0.25">
      <c r="A417" t="s">
        <v>1569</v>
      </c>
    </row>
    <row r="418" spans="1:1" x14ac:dyDescent="0.25">
      <c r="A418" t="s">
        <v>1570</v>
      </c>
    </row>
    <row r="419" spans="1:1" x14ac:dyDescent="0.25">
      <c r="A419" t="s">
        <v>1571</v>
      </c>
    </row>
    <row r="420" spans="1:1" x14ac:dyDescent="0.25">
      <c r="A420" t="s">
        <v>1572</v>
      </c>
    </row>
    <row r="421" spans="1:1" x14ac:dyDescent="0.25">
      <c r="A421" t="s">
        <v>1573</v>
      </c>
    </row>
    <row r="422" spans="1:1" x14ac:dyDescent="0.25">
      <c r="A422" t="s">
        <v>1574</v>
      </c>
    </row>
    <row r="423" spans="1:1" x14ac:dyDescent="0.25">
      <c r="A423" t="s">
        <v>1575</v>
      </c>
    </row>
    <row r="424" spans="1:1" x14ac:dyDescent="0.25">
      <c r="A424" t="s">
        <v>1576</v>
      </c>
    </row>
    <row r="425" spans="1:1" x14ac:dyDescent="0.25">
      <c r="A425" t="s">
        <v>1577</v>
      </c>
    </row>
    <row r="426" spans="1:1" x14ac:dyDescent="0.25">
      <c r="A426" t="s">
        <v>1578</v>
      </c>
    </row>
    <row r="427" spans="1:1" x14ac:dyDescent="0.25">
      <c r="A427" t="s">
        <v>1579</v>
      </c>
    </row>
    <row r="428" spans="1:1" x14ac:dyDescent="0.25">
      <c r="A428" t="s">
        <v>1580</v>
      </c>
    </row>
    <row r="429" spans="1:1" x14ac:dyDescent="0.25">
      <c r="A429" t="s">
        <v>1581</v>
      </c>
    </row>
    <row r="430" spans="1:1" x14ac:dyDescent="0.25">
      <c r="A430" t="s">
        <v>1582</v>
      </c>
    </row>
    <row r="431" spans="1:1" x14ac:dyDescent="0.25">
      <c r="A431" t="s">
        <v>1583</v>
      </c>
    </row>
    <row r="432" spans="1:1" x14ac:dyDescent="0.25">
      <c r="A432" t="s">
        <v>1584</v>
      </c>
    </row>
    <row r="433" spans="1:1" x14ac:dyDescent="0.25">
      <c r="A433" t="s">
        <v>1585</v>
      </c>
    </row>
    <row r="434" spans="1:1" x14ac:dyDescent="0.25">
      <c r="A434" t="s">
        <v>1586</v>
      </c>
    </row>
    <row r="435" spans="1:1" x14ac:dyDescent="0.25">
      <c r="A435" t="s">
        <v>1587</v>
      </c>
    </row>
    <row r="436" spans="1:1" x14ac:dyDescent="0.25">
      <c r="A436" t="s">
        <v>1588</v>
      </c>
    </row>
    <row r="437" spans="1:1" x14ac:dyDescent="0.25">
      <c r="A437" t="s">
        <v>1589</v>
      </c>
    </row>
    <row r="438" spans="1:1" x14ac:dyDescent="0.25">
      <c r="A438" t="s">
        <v>1590</v>
      </c>
    </row>
    <row r="439" spans="1:1" x14ac:dyDescent="0.25">
      <c r="A439" t="s">
        <v>1591</v>
      </c>
    </row>
    <row r="440" spans="1:1" x14ac:dyDescent="0.25">
      <c r="A440" t="s">
        <v>1592</v>
      </c>
    </row>
    <row r="441" spans="1:1" x14ac:dyDescent="0.25">
      <c r="A441" t="s">
        <v>1593</v>
      </c>
    </row>
    <row r="442" spans="1:1" x14ac:dyDescent="0.25">
      <c r="A442" t="s">
        <v>1594</v>
      </c>
    </row>
    <row r="443" spans="1:1" x14ac:dyDescent="0.25">
      <c r="A443" t="s">
        <v>1595</v>
      </c>
    </row>
    <row r="444" spans="1:1" x14ac:dyDescent="0.25">
      <c r="A444" t="s">
        <v>1596</v>
      </c>
    </row>
    <row r="445" spans="1:1" x14ac:dyDescent="0.25">
      <c r="A445" t="s">
        <v>1597</v>
      </c>
    </row>
    <row r="446" spans="1:1" x14ac:dyDescent="0.25">
      <c r="A446" t="s">
        <v>1598</v>
      </c>
    </row>
    <row r="447" spans="1:1" x14ac:dyDescent="0.25">
      <c r="A447" t="s">
        <v>1599</v>
      </c>
    </row>
    <row r="448" spans="1:1" x14ac:dyDescent="0.25">
      <c r="A448" t="s">
        <v>1600</v>
      </c>
    </row>
    <row r="449" spans="1:1" x14ac:dyDescent="0.25">
      <c r="A449" t="s">
        <v>1601</v>
      </c>
    </row>
    <row r="450" spans="1:1" x14ac:dyDescent="0.25">
      <c r="A450" t="s">
        <v>1602</v>
      </c>
    </row>
    <row r="451" spans="1:1" x14ac:dyDescent="0.25">
      <c r="A451" t="s">
        <v>1603</v>
      </c>
    </row>
    <row r="452" spans="1:1" x14ac:dyDescent="0.25">
      <c r="A452" t="s">
        <v>1604</v>
      </c>
    </row>
    <row r="453" spans="1:1" x14ac:dyDescent="0.25">
      <c r="A453" t="s">
        <v>1605</v>
      </c>
    </row>
    <row r="454" spans="1:1" x14ac:dyDescent="0.25">
      <c r="A454" t="s">
        <v>1606</v>
      </c>
    </row>
    <row r="455" spans="1:1" x14ac:dyDescent="0.25">
      <c r="A455" t="s">
        <v>1607</v>
      </c>
    </row>
    <row r="456" spans="1:1" x14ac:dyDescent="0.25">
      <c r="A456" t="s">
        <v>1608</v>
      </c>
    </row>
    <row r="457" spans="1:1" x14ac:dyDescent="0.25">
      <c r="A457" t="s">
        <v>1609</v>
      </c>
    </row>
    <row r="458" spans="1:1" x14ac:dyDescent="0.25">
      <c r="A458" t="s">
        <v>1610</v>
      </c>
    </row>
    <row r="459" spans="1:1" x14ac:dyDescent="0.25">
      <c r="A459" t="s">
        <v>1611</v>
      </c>
    </row>
    <row r="460" spans="1:1" x14ac:dyDescent="0.25">
      <c r="A460" t="s">
        <v>1612</v>
      </c>
    </row>
    <row r="461" spans="1:1" x14ac:dyDescent="0.25">
      <c r="A461" t="s">
        <v>1613</v>
      </c>
    </row>
    <row r="462" spans="1:1" x14ac:dyDescent="0.25">
      <c r="A462" t="s">
        <v>1614</v>
      </c>
    </row>
    <row r="463" spans="1:1" x14ac:dyDescent="0.25">
      <c r="A463" t="s">
        <v>1615</v>
      </c>
    </row>
    <row r="464" spans="1:1" x14ac:dyDescent="0.25">
      <c r="A464" t="s">
        <v>1616</v>
      </c>
    </row>
    <row r="465" spans="1:1" x14ac:dyDescent="0.25">
      <c r="A465" t="s">
        <v>1617</v>
      </c>
    </row>
    <row r="466" spans="1:1" x14ac:dyDescent="0.25">
      <c r="A466" t="s">
        <v>1618</v>
      </c>
    </row>
    <row r="467" spans="1:1" x14ac:dyDescent="0.25">
      <c r="A467" t="s">
        <v>1619</v>
      </c>
    </row>
    <row r="468" spans="1:1" x14ac:dyDescent="0.25">
      <c r="A468" t="s">
        <v>1620</v>
      </c>
    </row>
    <row r="469" spans="1:1" x14ac:dyDescent="0.25">
      <c r="A469" t="s">
        <v>1621</v>
      </c>
    </row>
    <row r="470" spans="1:1" x14ac:dyDescent="0.25">
      <c r="A470" t="s">
        <v>1622</v>
      </c>
    </row>
    <row r="471" spans="1:1" x14ac:dyDescent="0.25">
      <c r="A471" t="s">
        <v>1623</v>
      </c>
    </row>
    <row r="472" spans="1:1" x14ac:dyDescent="0.25">
      <c r="A472" t="s">
        <v>1624</v>
      </c>
    </row>
    <row r="473" spans="1:1" x14ac:dyDescent="0.25">
      <c r="A473" t="s">
        <v>1625</v>
      </c>
    </row>
    <row r="474" spans="1:1" x14ac:dyDescent="0.25">
      <c r="A474" t="s">
        <v>1626</v>
      </c>
    </row>
    <row r="475" spans="1:1" x14ac:dyDescent="0.25">
      <c r="A475" t="s">
        <v>1627</v>
      </c>
    </row>
    <row r="476" spans="1:1" x14ac:dyDescent="0.25">
      <c r="A476" t="s">
        <v>1628</v>
      </c>
    </row>
    <row r="477" spans="1:1" x14ac:dyDescent="0.25">
      <c r="A477" t="s">
        <v>1629</v>
      </c>
    </row>
    <row r="478" spans="1:1" x14ac:dyDescent="0.25">
      <c r="A478" t="s">
        <v>1630</v>
      </c>
    </row>
    <row r="479" spans="1:1" x14ac:dyDescent="0.25">
      <c r="A479" t="s">
        <v>1631</v>
      </c>
    </row>
    <row r="480" spans="1:1" x14ac:dyDescent="0.25">
      <c r="A480" t="s">
        <v>1632</v>
      </c>
    </row>
    <row r="481" spans="1:1" x14ac:dyDescent="0.25">
      <c r="A481" t="s">
        <v>1633</v>
      </c>
    </row>
    <row r="482" spans="1:1" x14ac:dyDescent="0.25">
      <c r="A482" t="s">
        <v>1634</v>
      </c>
    </row>
    <row r="483" spans="1:1" x14ac:dyDescent="0.25">
      <c r="A483" t="s">
        <v>1635</v>
      </c>
    </row>
    <row r="484" spans="1:1" x14ac:dyDescent="0.25">
      <c r="A484" t="s">
        <v>1636</v>
      </c>
    </row>
    <row r="485" spans="1:1" x14ac:dyDescent="0.25">
      <c r="A485" t="s">
        <v>1637</v>
      </c>
    </row>
    <row r="486" spans="1:1" x14ac:dyDescent="0.25">
      <c r="A486" t="s">
        <v>1638</v>
      </c>
    </row>
    <row r="487" spans="1:1" x14ac:dyDescent="0.25">
      <c r="A487" t="s">
        <v>1639</v>
      </c>
    </row>
    <row r="488" spans="1:1" x14ac:dyDescent="0.25">
      <c r="A488" t="s">
        <v>1640</v>
      </c>
    </row>
    <row r="489" spans="1:1" x14ac:dyDescent="0.25">
      <c r="A489" t="s">
        <v>1641</v>
      </c>
    </row>
    <row r="490" spans="1:1" x14ac:dyDescent="0.25">
      <c r="A490" t="s">
        <v>1642</v>
      </c>
    </row>
    <row r="491" spans="1:1" x14ac:dyDescent="0.25">
      <c r="A491" t="s">
        <v>1643</v>
      </c>
    </row>
    <row r="492" spans="1:1" x14ac:dyDescent="0.25">
      <c r="A492" t="s">
        <v>1644</v>
      </c>
    </row>
    <row r="493" spans="1:1" x14ac:dyDescent="0.25">
      <c r="A493" t="s">
        <v>1645</v>
      </c>
    </row>
    <row r="494" spans="1:1" x14ac:dyDescent="0.25">
      <c r="A494" t="s">
        <v>1646</v>
      </c>
    </row>
    <row r="495" spans="1:1" x14ac:dyDescent="0.25">
      <c r="A495" t="s">
        <v>1647</v>
      </c>
    </row>
    <row r="496" spans="1:1" x14ac:dyDescent="0.25">
      <c r="A496" t="s">
        <v>1648</v>
      </c>
    </row>
    <row r="497" spans="1:1" x14ac:dyDescent="0.25">
      <c r="A497" t="s">
        <v>1649</v>
      </c>
    </row>
    <row r="498" spans="1:1" x14ac:dyDescent="0.25">
      <c r="A498" t="s">
        <v>1650</v>
      </c>
    </row>
    <row r="499" spans="1:1" x14ac:dyDescent="0.25">
      <c r="A499" t="s">
        <v>1651</v>
      </c>
    </row>
    <row r="500" spans="1:1" x14ac:dyDescent="0.25">
      <c r="A500" t="s">
        <v>1652</v>
      </c>
    </row>
    <row r="501" spans="1:1" x14ac:dyDescent="0.25">
      <c r="A501" t="s">
        <v>1653</v>
      </c>
    </row>
    <row r="502" spans="1:1" x14ac:dyDescent="0.25">
      <c r="A502" t="s">
        <v>1654</v>
      </c>
    </row>
    <row r="503" spans="1:1" x14ac:dyDescent="0.25">
      <c r="A503" t="s">
        <v>1655</v>
      </c>
    </row>
    <row r="504" spans="1:1" x14ac:dyDescent="0.25">
      <c r="A504" t="s">
        <v>1656</v>
      </c>
    </row>
    <row r="505" spans="1:1" x14ac:dyDescent="0.25">
      <c r="A505" t="s">
        <v>1657</v>
      </c>
    </row>
    <row r="506" spans="1:1" x14ac:dyDescent="0.25">
      <c r="A506" t="s">
        <v>1658</v>
      </c>
    </row>
    <row r="507" spans="1:1" x14ac:dyDescent="0.25">
      <c r="A507" t="s">
        <v>1659</v>
      </c>
    </row>
    <row r="508" spans="1:1" x14ac:dyDescent="0.25">
      <c r="A508" t="s">
        <v>1660</v>
      </c>
    </row>
    <row r="509" spans="1:1" x14ac:dyDescent="0.25">
      <c r="A509" t="s">
        <v>1661</v>
      </c>
    </row>
    <row r="510" spans="1:1" x14ac:dyDescent="0.25">
      <c r="A510" t="s">
        <v>1662</v>
      </c>
    </row>
    <row r="511" spans="1:1" x14ac:dyDescent="0.25">
      <c r="A511" t="s">
        <v>1663</v>
      </c>
    </row>
    <row r="512" spans="1:1" x14ac:dyDescent="0.25">
      <c r="A512" t="s">
        <v>1664</v>
      </c>
    </row>
    <row r="513" spans="1:1" x14ac:dyDescent="0.25">
      <c r="A513" t="s">
        <v>1665</v>
      </c>
    </row>
    <row r="514" spans="1:1" x14ac:dyDescent="0.25">
      <c r="A514" t="s">
        <v>1666</v>
      </c>
    </row>
    <row r="515" spans="1:1" x14ac:dyDescent="0.25">
      <c r="A515" t="s">
        <v>1667</v>
      </c>
    </row>
    <row r="516" spans="1:1" x14ac:dyDescent="0.25">
      <c r="A516" t="s">
        <v>1668</v>
      </c>
    </row>
    <row r="517" spans="1:1" x14ac:dyDescent="0.25">
      <c r="A517" t="s">
        <v>1669</v>
      </c>
    </row>
    <row r="518" spans="1:1" x14ac:dyDescent="0.25">
      <c r="A518" t="s">
        <v>1670</v>
      </c>
    </row>
    <row r="519" spans="1:1" x14ac:dyDescent="0.25">
      <c r="A519" t="s">
        <v>1671</v>
      </c>
    </row>
    <row r="520" spans="1:1" x14ac:dyDescent="0.25">
      <c r="A520" t="s">
        <v>1672</v>
      </c>
    </row>
    <row r="521" spans="1:1" x14ac:dyDescent="0.25">
      <c r="A521" t="s">
        <v>1673</v>
      </c>
    </row>
    <row r="522" spans="1:1" x14ac:dyDescent="0.25">
      <c r="A522" t="s">
        <v>1674</v>
      </c>
    </row>
    <row r="523" spans="1:1" x14ac:dyDescent="0.25">
      <c r="A523" t="s">
        <v>1675</v>
      </c>
    </row>
    <row r="524" spans="1:1" x14ac:dyDescent="0.25">
      <c r="A524" t="s">
        <v>1676</v>
      </c>
    </row>
    <row r="525" spans="1:1" x14ac:dyDescent="0.25">
      <c r="A525" t="s">
        <v>1677</v>
      </c>
    </row>
    <row r="526" spans="1:1" x14ac:dyDescent="0.25">
      <c r="A526" t="s">
        <v>1678</v>
      </c>
    </row>
    <row r="527" spans="1:1" x14ac:dyDescent="0.25">
      <c r="A527" t="s">
        <v>1679</v>
      </c>
    </row>
    <row r="528" spans="1:1" x14ac:dyDescent="0.25">
      <c r="A528" t="s">
        <v>1680</v>
      </c>
    </row>
    <row r="529" spans="1:1" x14ac:dyDescent="0.25">
      <c r="A529" t="s">
        <v>1681</v>
      </c>
    </row>
    <row r="530" spans="1:1" x14ac:dyDescent="0.25">
      <c r="A530" t="s">
        <v>1682</v>
      </c>
    </row>
    <row r="531" spans="1:1" x14ac:dyDescent="0.25">
      <c r="A531" t="s">
        <v>1683</v>
      </c>
    </row>
    <row r="532" spans="1:1" x14ac:dyDescent="0.25">
      <c r="A532" t="s">
        <v>1684</v>
      </c>
    </row>
    <row r="533" spans="1:1" x14ac:dyDescent="0.25">
      <c r="A533" t="s">
        <v>1685</v>
      </c>
    </row>
    <row r="534" spans="1:1" x14ac:dyDescent="0.25">
      <c r="A534" t="s">
        <v>1686</v>
      </c>
    </row>
    <row r="535" spans="1:1" x14ac:dyDescent="0.25">
      <c r="A535" t="s">
        <v>1687</v>
      </c>
    </row>
    <row r="536" spans="1:1" x14ac:dyDescent="0.25">
      <c r="A536" t="s">
        <v>1688</v>
      </c>
    </row>
    <row r="537" spans="1:1" x14ac:dyDescent="0.25">
      <c r="A537" t="s">
        <v>1689</v>
      </c>
    </row>
    <row r="538" spans="1:1" x14ac:dyDescent="0.25">
      <c r="A538" t="s">
        <v>1690</v>
      </c>
    </row>
    <row r="539" spans="1:1" x14ac:dyDescent="0.25">
      <c r="A539" t="s">
        <v>1691</v>
      </c>
    </row>
    <row r="540" spans="1:1" x14ac:dyDescent="0.25">
      <c r="A540" t="s">
        <v>1692</v>
      </c>
    </row>
    <row r="541" spans="1:1" x14ac:dyDescent="0.25">
      <c r="A541" t="s">
        <v>1693</v>
      </c>
    </row>
    <row r="542" spans="1:1" x14ac:dyDescent="0.25">
      <c r="A542" t="s">
        <v>1694</v>
      </c>
    </row>
    <row r="543" spans="1:1" x14ac:dyDescent="0.25">
      <c r="A543" t="s">
        <v>1695</v>
      </c>
    </row>
    <row r="544" spans="1:1" x14ac:dyDescent="0.25">
      <c r="A544" t="s">
        <v>1696</v>
      </c>
    </row>
    <row r="545" spans="1:1" x14ac:dyDescent="0.25">
      <c r="A545" t="s">
        <v>1697</v>
      </c>
    </row>
    <row r="546" spans="1:1" x14ac:dyDescent="0.25">
      <c r="A546" t="s">
        <v>1698</v>
      </c>
    </row>
    <row r="547" spans="1:1" x14ac:dyDescent="0.25">
      <c r="A547" t="s">
        <v>1699</v>
      </c>
    </row>
    <row r="548" spans="1:1" x14ac:dyDescent="0.25">
      <c r="A548" t="s">
        <v>1700</v>
      </c>
    </row>
    <row r="549" spans="1:1" x14ac:dyDescent="0.25">
      <c r="A549" t="s">
        <v>1701</v>
      </c>
    </row>
    <row r="550" spans="1:1" x14ac:dyDescent="0.25">
      <c r="A550" t="s">
        <v>1702</v>
      </c>
    </row>
    <row r="551" spans="1:1" x14ac:dyDescent="0.25">
      <c r="A551" t="s">
        <v>1703</v>
      </c>
    </row>
    <row r="552" spans="1:1" x14ac:dyDescent="0.25">
      <c r="A552" t="s">
        <v>1704</v>
      </c>
    </row>
    <row r="553" spans="1:1" x14ac:dyDescent="0.25">
      <c r="A553" t="s">
        <v>1705</v>
      </c>
    </row>
    <row r="554" spans="1:1" x14ac:dyDescent="0.25">
      <c r="A554" t="s">
        <v>1706</v>
      </c>
    </row>
    <row r="555" spans="1:1" x14ac:dyDescent="0.25">
      <c r="A555" t="s">
        <v>1707</v>
      </c>
    </row>
    <row r="556" spans="1:1" x14ac:dyDescent="0.25">
      <c r="A556" t="s">
        <v>1708</v>
      </c>
    </row>
    <row r="557" spans="1:1" x14ac:dyDescent="0.25">
      <c r="A557" t="s">
        <v>1709</v>
      </c>
    </row>
    <row r="558" spans="1:1" x14ac:dyDescent="0.25">
      <c r="A558" t="s">
        <v>1710</v>
      </c>
    </row>
    <row r="559" spans="1:1" x14ac:dyDescent="0.25">
      <c r="A559" t="s">
        <v>1711</v>
      </c>
    </row>
    <row r="560" spans="1:1" x14ac:dyDescent="0.25">
      <c r="A560" t="s">
        <v>1712</v>
      </c>
    </row>
    <row r="561" spans="1:1" x14ac:dyDescent="0.25">
      <c r="A561" t="s">
        <v>1713</v>
      </c>
    </row>
    <row r="562" spans="1:1" x14ac:dyDescent="0.25">
      <c r="A562" t="s">
        <v>1714</v>
      </c>
    </row>
    <row r="563" spans="1:1" x14ac:dyDescent="0.25">
      <c r="A563" t="s">
        <v>1715</v>
      </c>
    </row>
    <row r="564" spans="1:1" x14ac:dyDescent="0.25">
      <c r="A564" t="s">
        <v>1716</v>
      </c>
    </row>
    <row r="565" spans="1:1" x14ac:dyDescent="0.25">
      <c r="A565" t="s">
        <v>1717</v>
      </c>
    </row>
    <row r="566" spans="1:1" x14ac:dyDescent="0.25">
      <c r="A566" t="s">
        <v>1718</v>
      </c>
    </row>
    <row r="567" spans="1:1" x14ac:dyDescent="0.25">
      <c r="A567" t="s">
        <v>1719</v>
      </c>
    </row>
    <row r="568" spans="1:1" x14ac:dyDescent="0.25">
      <c r="A568" t="s">
        <v>1720</v>
      </c>
    </row>
    <row r="569" spans="1:1" x14ac:dyDescent="0.25">
      <c r="A569" t="s">
        <v>1721</v>
      </c>
    </row>
    <row r="570" spans="1:1" x14ac:dyDescent="0.25">
      <c r="A570" t="s">
        <v>1722</v>
      </c>
    </row>
    <row r="571" spans="1:1" x14ac:dyDescent="0.25">
      <c r="A571" t="s">
        <v>1723</v>
      </c>
    </row>
    <row r="572" spans="1:1" x14ac:dyDescent="0.25">
      <c r="A572" t="s">
        <v>1724</v>
      </c>
    </row>
    <row r="573" spans="1:1" x14ac:dyDescent="0.25">
      <c r="A573" t="s">
        <v>1725</v>
      </c>
    </row>
    <row r="574" spans="1:1" x14ac:dyDescent="0.25">
      <c r="A574" t="s">
        <v>1726</v>
      </c>
    </row>
    <row r="575" spans="1:1" x14ac:dyDescent="0.25">
      <c r="A575" t="s">
        <v>1727</v>
      </c>
    </row>
    <row r="576" spans="1:1" x14ac:dyDescent="0.25">
      <c r="A576" t="s">
        <v>1728</v>
      </c>
    </row>
    <row r="577" spans="1:1" x14ac:dyDescent="0.25">
      <c r="A577" t="s">
        <v>1729</v>
      </c>
    </row>
    <row r="578" spans="1:1" x14ac:dyDescent="0.25">
      <c r="A578" t="s">
        <v>1730</v>
      </c>
    </row>
    <row r="579" spans="1:1" x14ac:dyDescent="0.25">
      <c r="A579" t="s">
        <v>1731</v>
      </c>
    </row>
    <row r="580" spans="1:1" x14ac:dyDescent="0.25">
      <c r="A580" t="s">
        <v>1732</v>
      </c>
    </row>
    <row r="581" spans="1:1" x14ac:dyDescent="0.25">
      <c r="A581" t="s">
        <v>1733</v>
      </c>
    </row>
    <row r="582" spans="1:1" x14ac:dyDescent="0.25">
      <c r="A582" t="s">
        <v>1734</v>
      </c>
    </row>
    <row r="583" spans="1:1" x14ac:dyDescent="0.25">
      <c r="A583" t="s">
        <v>1735</v>
      </c>
    </row>
    <row r="584" spans="1:1" x14ac:dyDescent="0.25">
      <c r="A584" t="s">
        <v>1736</v>
      </c>
    </row>
    <row r="585" spans="1:1" x14ac:dyDescent="0.25">
      <c r="A585" t="s">
        <v>1737</v>
      </c>
    </row>
    <row r="586" spans="1:1" x14ac:dyDescent="0.25">
      <c r="A586" t="s">
        <v>1738</v>
      </c>
    </row>
    <row r="587" spans="1:1" x14ac:dyDescent="0.25">
      <c r="A587" t="s">
        <v>1739</v>
      </c>
    </row>
    <row r="588" spans="1:1" x14ac:dyDescent="0.25">
      <c r="A588" t="s">
        <v>1740</v>
      </c>
    </row>
    <row r="589" spans="1:1" x14ac:dyDescent="0.25">
      <c r="A589" t="s">
        <v>1741</v>
      </c>
    </row>
    <row r="590" spans="1:1" x14ac:dyDescent="0.25">
      <c r="A590" t="s">
        <v>1742</v>
      </c>
    </row>
    <row r="591" spans="1:1" x14ac:dyDescent="0.25">
      <c r="A591" t="s">
        <v>1743</v>
      </c>
    </row>
    <row r="592" spans="1:1" x14ac:dyDescent="0.25">
      <c r="A592" t="s">
        <v>1744</v>
      </c>
    </row>
    <row r="593" spans="1:1" x14ac:dyDescent="0.25">
      <c r="A593" t="s">
        <v>1745</v>
      </c>
    </row>
    <row r="594" spans="1:1" x14ac:dyDescent="0.25">
      <c r="A594" t="s">
        <v>1746</v>
      </c>
    </row>
    <row r="595" spans="1:1" x14ac:dyDescent="0.25">
      <c r="A595" t="s">
        <v>1747</v>
      </c>
    </row>
    <row r="596" spans="1:1" x14ac:dyDescent="0.25">
      <c r="A596" t="s">
        <v>1748</v>
      </c>
    </row>
    <row r="597" spans="1:1" x14ac:dyDescent="0.25">
      <c r="A597" t="s">
        <v>1749</v>
      </c>
    </row>
    <row r="598" spans="1:1" x14ac:dyDescent="0.25">
      <c r="A598" t="s">
        <v>1750</v>
      </c>
    </row>
    <row r="599" spans="1:1" x14ac:dyDescent="0.25">
      <c r="A599" t="s">
        <v>1751</v>
      </c>
    </row>
    <row r="600" spans="1:1" x14ac:dyDescent="0.25">
      <c r="A600" t="s">
        <v>1752</v>
      </c>
    </row>
    <row r="601" spans="1:1" x14ac:dyDescent="0.25">
      <c r="A601" t="s">
        <v>1753</v>
      </c>
    </row>
    <row r="602" spans="1:1" x14ac:dyDescent="0.25">
      <c r="A602" t="s">
        <v>1754</v>
      </c>
    </row>
    <row r="603" spans="1:1" x14ac:dyDescent="0.25">
      <c r="A603" t="s">
        <v>1755</v>
      </c>
    </row>
    <row r="604" spans="1:1" x14ac:dyDescent="0.25">
      <c r="A604" t="s">
        <v>1756</v>
      </c>
    </row>
    <row r="605" spans="1:1" x14ac:dyDescent="0.25">
      <c r="A605" t="s">
        <v>1757</v>
      </c>
    </row>
    <row r="606" spans="1:1" x14ac:dyDescent="0.25">
      <c r="A606" t="s">
        <v>1758</v>
      </c>
    </row>
    <row r="607" spans="1:1" x14ac:dyDescent="0.25">
      <c r="A607" t="s">
        <v>1759</v>
      </c>
    </row>
    <row r="608" spans="1:1" x14ac:dyDescent="0.25">
      <c r="A608" t="s">
        <v>1760</v>
      </c>
    </row>
    <row r="609" spans="1:1" x14ac:dyDescent="0.25">
      <c r="A609" t="s">
        <v>1761</v>
      </c>
    </row>
    <row r="610" spans="1:1" x14ac:dyDescent="0.25">
      <c r="A610" t="s">
        <v>1762</v>
      </c>
    </row>
    <row r="611" spans="1:1" x14ac:dyDescent="0.25">
      <c r="A611" t="s">
        <v>1763</v>
      </c>
    </row>
    <row r="612" spans="1:1" x14ac:dyDescent="0.25">
      <c r="A612" t="s">
        <v>1764</v>
      </c>
    </row>
    <row r="613" spans="1:1" x14ac:dyDescent="0.25">
      <c r="A613" t="s">
        <v>1765</v>
      </c>
    </row>
    <row r="614" spans="1:1" x14ac:dyDescent="0.25">
      <c r="A614" t="s">
        <v>1766</v>
      </c>
    </row>
    <row r="615" spans="1:1" x14ac:dyDescent="0.25">
      <c r="A615" t="s">
        <v>1767</v>
      </c>
    </row>
    <row r="616" spans="1:1" x14ac:dyDescent="0.25">
      <c r="A616" t="s">
        <v>1768</v>
      </c>
    </row>
    <row r="617" spans="1:1" x14ac:dyDescent="0.25">
      <c r="A617" t="s">
        <v>1769</v>
      </c>
    </row>
    <row r="618" spans="1:1" x14ac:dyDescent="0.25">
      <c r="A618" t="s">
        <v>1770</v>
      </c>
    </row>
    <row r="619" spans="1:1" x14ac:dyDescent="0.25">
      <c r="A619" t="s">
        <v>1771</v>
      </c>
    </row>
    <row r="620" spans="1:1" x14ac:dyDescent="0.25">
      <c r="A620" t="s">
        <v>1772</v>
      </c>
    </row>
    <row r="621" spans="1:1" x14ac:dyDescent="0.25">
      <c r="A621" t="s">
        <v>1773</v>
      </c>
    </row>
    <row r="622" spans="1:1" x14ac:dyDescent="0.25">
      <c r="A622" t="s">
        <v>1774</v>
      </c>
    </row>
    <row r="623" spans="1:1" x14ac:dyDescent="0.25">
      <c r="A623" t="s">
        <v>1775</v>
      </c>
    </row>
    <row r="624" spans="1:1" x14ac:dyDescent="0.25">
      <c r="A624" t="s">
        <v>1776</v>
      </c>
    </row>
    <row r="625" spans="1:1" x14ac:dyDescent="0.25">
      <c r="A625" t="s">
        <v>1777</v>
      </c>
    </row>
    <row r="626" spans="1:1" x14ac:dyDescent="0.25">
      <c r="A626" t="s">
        <v>1778</v>
      </c>
    </row>
    <row r="627" spans="1:1" x14ac:dyDescent="0.25">
      <c r="A627" t="s">
        <v>1779</v>
      </c>
    </row>
    <row r="628" spans="1:1" x14ac:dyDescent="0.25">
      <c r="A628" t="s">
        <v>1780</v>
      </c>
    </row>
    <row r="629" spans="1:1" x14ac:dyDescent="0.25">
      <c r="A629" t="s">
        <v>1781</v>
      </c>
    </row>
    <row r="630" spans="1:1" x14ac:dyDescent="0.25">
      <c r="A630" t="s">
        <v>1782</v>
      </c>
    </row>
    <row r="631" spans="1:1" x14ac:dyDescent="0.25">
      <c r="A631" t="s">
        <v>1783</v>
      </c>
    </row>
    <row r="632" spans="1:1" x14ac:dyDescent="0.25">
      <c r="A632" t="s">
        <v>1784</v>
      </c>
    </row>
    <row r="633" spans="1:1" x14ac:dyDescent="0.25">
      <c r="A633" t="s">
        <v>1785</v>
      </c>
    </row>
    <row r="634" spans="1:1" x14ac:dyDescent="0.25">
      <c r="A634" t="s">
        <v>1786</v>
      </c>
    </row>
    <row r="635" spans="1:1" x14ac:dyDescent="0.25">
      <c r="A635" t="s">
        <v>1787</v>
      </c>
    </row>
    <row r="636" spans="1:1" x14ac:dyDescent="0.25">
      <c r="A636" t="s">
        <v>1788</v>
      </c>
    </row>
    <row r="637" spans="1:1" x14ac:dyDescent="0.25">
      <c r="A637" t="s">
        <v>1789</v>
      </c>
    </row>
    <row r="638" spans="1:1" x14ac:dyDescent="0.25">
      <c r="A638" t="s">
        <v>1790</v>
      </c>
    </row>
    <row r="639" spans="1:1" x14ac:dyDescent="0.25">
      <c r="A639" t="s">
        <v>1791</v>
      </c>
    </row>
    <row r="640" spans="1:1" x14ac:dyDescent="0.25">
      <c r="A640" t="s">
        <v>1792</v>
      </c>
    </row>
    <row r="641" spans="1:1" x14ac:dyDescent="0.25">
      <c r="A641" t="s">
        <v>1793</v>
      </c>
    </row>
    <row r="642" spans="1:1" x14ac:dyDescent="0.25">
      <c r="A642" t="s">
        <v>1794</v>
      </c>
    </row>
    <row r="643" spans="1:1" x14ac:dyDescent="0.25">
      <c r="A643" t="s">
        <v>1795</v>
      </c>
    </row>
    <row r="644" spans="1:1" x14ac:dyDescent="0.25">
      <c r="A644" t="s">
        <v>1796</v>
      </c>
    </row>
    <row r="645" spans="1:1" x14ac:dyDescent="0.25">
      <c r="A645" t="s">
        <v>1797</v>
      </c>
    </row>
    <row r="646" spans="1:1" x14ac:dyDescent="0.25">
      <c r="A646" t="s">
        <v>1798</v>
      </c>
    </row>
    <row r="647" spans="1:1" x14ac:dyDescent="0.25">
      <c r="A647" t="s">
        <v>1799</v>
      </c>
    </row>
    <row r="648" spans="1:1" x14ac:dyDescent="0.25">
      <c r="A648" t="s">
        <v>1800</v>
      </c>
    </row>
    <row r="649" spans="1:1" x14ac:dyDescent="0.25">
      <c r="A649" t="s">
        <v>1801</v>
      </c>
    </row>
    <row r="650" spans="1:1" x14ac:dyDescent="0.25">
      <c r="A650" t="s">
        <v>1802</v>
      </c>
    </row>
    <row r="651" spans="1:1" x14ac:dyDescent="0.25">
      <c r="A651" t="s">
        <v>1803</v>
      </c>
    </row>
    <row r="652" spans="1:1" x14ac:dyDescent="0.25">
      <c r="A652" t="s">
        <v>1804</v>
      </c>
    </row>
    <row r="653" spans="1:1" x14ac:dyDescent="0.25">
      <c r="A653" t="s">
        <v>1805</v>
      </c>
    </row>
    <row r="654" spans="1:1" x14ac:dyDescent="0.25">
      <c r="A654" t="s">
        <v>1806</v>
      </c>
    </row>
    <row r="655" spans="1:1" x14ac:dyDescent="0.25">
      <c r="A655" t="s">
        <v>1807</v>
      </c>
    </row>
    <row r="656" spans="1:1" x14ac:dyDescent="0.25">
      <c r="A656" t="s">
        <v>1808</v>
      </c>
    </row>
    <row r="657" spans="1:1" x14ac:dyDescent="0.25">
      <c r="A657" t="s">
        <v>1809</v>
      </c>
    </row>
    <row r="658" spans="1:1" x14ac:dyDescent="0.25">
      <c r="A658" t="s">
        <v>1810</v>
      </c>
    </row>
    <row r="659" spans="1:1" x14ac:dyDescent="0.25">
      <c r="A659" t="s">
        <v>1811</v>
      </c>
    </row>
    <row r="660" spans="1:1" x14ac:dyDescent="0.25">
      <c r="A660" t="s">
        <v>1812</v>
      </c>
    </row>
    <row r="661" spans="1:1" x14ac:dyDescent="0.25">
      <c r="A661" t="s">
        <v>1813</v>
      </c>
    </row>
    <row r="662" spans="1:1" x14ac:dyDescent="0.25">
      <c r="A662" t="s">
        <v>1814</v>
      </c>
    </row>
    <row r="663" spans="1:1" x14ac:dyDescent="0.25">
      <c r="A663" t="s">
        <v>1815</v>
      </c>
    </row>
    <row r="664" spans="1:1" x14ac:dyDescent="0.25">
      <c r="A664" t="s">
        <v>1816</v>
      </c>
    </row>
    <row r="665" spans="1:1" x14ac:dyDescent="0.25">
      <c r="A665" t="s">
        <v>1817</v>
      </c>
    </row>
    <row r="666" spans="1:1" x14ac:dyDescent="0.25">
      <c r="A666" t="s">
        <v>1818</v>
      </c>
    </row>
    <row r="667" spans="1:1" x14ac:dyDescent="0.25">
      <c r="A667" t="s">
        <v>1819</v>
      </c>
    </row>
    <row r="668" spans="1:1" x14ac:dyDescent="0.25">
      <c r="A668" t="s">
        <v>1820</v>
      </c>
    </row>
    <row r="669" spans="1:1" x14ac:dyDescent="0.25">
      <c r="A669" t="s">
        <v>1821</v>
      </c>
    </row>
    <row r="670" spans="1:1" x14ac:dyDescent="0.25">
      <c r="A670" t="s">
        <v>1822</v>
      </c>
    </row>
    <row r="671" spans="1:1" x14ac:dyDescent="0.25">
      <c r="A671" t="s">
        <v>1823</v>
      </c>
    </row>
    <row r="672" spans="1:1" x14ac:dyDescent="0.25">
      <c r="A672" t="s">
        <v>1824</v>
      </c>
    </row>
    <row r="673" spans="1:1" x14ac:dyDescent="0.25">
      <c r="A673" t="s">
        <v>1825</v>
      </c>
    </row>
    <row r="674" spans="1:1" x14ac:dyDescent="0.25">
      <c r="A674" t="s">
        <v>1826</v>
      </c>
    </row>
    <row r="675" spans="1:1" x14ac:dyDescent="0.25">
      <c r="A675" t="s">
        <v>1827</v>
      </c>
    </row>
    <row r="676" spans="1:1" x14ac:dyDescent="0.25">
      <c r="A676" t="s">
        <v>1828</v>
      </c>
    </row>
    <row r="677" spans="1:1" x14ac:dyDescent="0.25">
      <c r="A677" t="s">
        <v>1829</v>
      </c>
    </row>
    <row r="678" spans="1:1" x14ac:dyDescent="0.25">
      <c r="A678" t="s">
        <v>1830</v>
      </c>
    </row>
    <row r="679" spans="1:1" x14ac:dyDescent="0.25">
      <c r="A679" t="s">
        <v>1831</v>
      </c>
    </row>
    <row r="680" spans="1:1" x14ac:dyDescent="0.25">
      <c r="A680" t="s">
        <v>1832</v>
      </c>
    </row>
    <row r="681" spans="1:1" x14ac:dyDescent="0.25">
      <c r="A681" t="s">
        <v>1833</v>
      </c>
    </row>
    <row r="682" spans="1:1" x14ac:dyDescent="0.25">
      <c r="A682" t="s">
        <v>1834</v>
      </c>
    </row>
    <row r="683" spans="1:1" x14ac:dyDescent="0.25">
      <c r="A683" t="s">
        <v>1835</v>
      </c>
    </row>
    <row r="684" spans="1:1" x14ac:dyDescent="0.25">
      <c r="A684" t="s">
        <v>1836</v>
      </c>
    </row>
    <row r="685" spans="1:1" x14ac:dyDescent="0.25">
      <c r="A685" t="s">
        <v>1837</v>
      </c>
    </row>
    <row r="686" spans="1:1" x14ac:dyDescent="0.25">
      <c r="A686" t="s">
        <v>1838</v>
      </c>
    </row>
    <row r="687" spans="1:1" x14ac:dyDescent="0.25">
      <c r="A687" t="s">
        <v>1839</v>
      </c>
    </row>
    <row r="688" spans="1:1" x14ac:dyDescent="0.25">
      <c r="A688" t="s">
        <v>1840</v>
      </c>
    </row>
    <row r="689" spans="1:1" x14ac:dyDescent="0.25">
      <c r="A689" t="s">
        <v>1841</v>
      </c>
    </row>
    <row r="690" spans="1:1" x14ac:dyDescent="0.25">
      <c r="A690" t="s">
        <v>1842</v>
      </c>
    </row>
    <row r="691" spans="1:1" x14ac:dyDescent="0.25">
      <c r="A691" t="s">
        <v>1843</v>
      </c>
    </row>
    <row r="692" spans="1:1" x14ac:dyDescent="0.25">
      <c r="A692" t="s">
        <v>1844</v>
      </c>
    </row>
    <row r="693" spans="1:1" x14ac:dyDescent="0.25">
      <c r="A693" t="s">
        <v>1845</v>
      </c>
    </row>
    <row r="694" spans="1:1" x14ac:dyDescent="0.25">
      <c r="A694" t="s">
        <v>1846</v>
      </c>
    </row>
    <row r="695" spans="1:1" x14ac:dyDescent="0.25">
      <c r="A695" t="s">
        <v>1847</v>
      </c>
    </row>
    <row r="696" spans="1:1" x14ac:dyDescent="0.25">
      <c r="A696" t="s">
        <v>1848</v>
      </c>
    </row>
    <row r="697" spans="1:1" x14ac:dyDescent="0.25">
      <c r="A697" t="s">
        <v>1849</v>
      </c>
    </row>
    <row r="698" spans="1:1" x14ac:dyDescent="0.25">
      <c r="A698" t="s">
        <v>1850</v>
      </c>
    </row>
    <row r="699" spans="1:1" x14ac:dyDescent="0.25">
      <c r="A699" t="s">
        <v>1851</v>
      </c>
    </row>
    <row r="700" spans="1:1" x14ac:dyDescent="0.25">
      <c r="A700" t="s">
        <v>1852</v>
      </c>
    </row>
    <row r="701" spans="1:1" x14ac:dyDescent="0.25">
      <c r="A701" t="s">
        <v>1853</v>
      </c>
    </row>
    <row r="702" spans="1:1" x14ac:dyDescent="0.25">
      <c r="A702" t="s">
        <v>1854</v>
      </c>
    </row>
    <row r="703" spans="1:1" x14ac:dyDescent="0.25">
      <c r="A703" t="s">
        <v>1855</v>
      </c>
    </row>
    <row r="704" spans="1:1" x14ac:dyDescent="0.25">
      <c r="A704" t="s">
        <v>1856</v>
      </c>
    </row>
    <row r="705" spans="1:1" x14ac:dyDescent="0.25">
      <c r="A705" t="s">
        <v>1857</v>
      </c>
    </row>
    <row r="706" spans="1:1" x14ac:dyDescent="0.25">
      <c r="A706" t="s">
        <v>1858</v>
      </c>
    </row>
    <row r="707" spans="1:1" x14ac:dyDescent="0.25">
      <c r="A707" t="s">
        <v>1859</v>
      </c>
    </row>
    <row r="708" spans="1:1" x14ac:dyDescent="0.25">
      <c r="A708" t="s">
        <v>1860</v>
      </c>
    </row>
    <row r="709" spans="1:1" x14ac:dyDescent="0.25">
      <c r="A709" t="s">
        <v>1861</v>
      </c>
    </row>
    <row r="710" spans="1:1" x14ac:dyDescent="0.25">
      <c r="A710" t="s">
        <v>1862</v>
      </c>
    </row>
    <row r="711" spans="1:1" x14ac:dyDescent="0.25">
      <c r="A711" t="s">
        <v>1863</v>
      </c>
    </row>
    <row r="712" spans="1:1" x14ac:dyDescent="0.25">
      <c r="A712" t="s">
        <v>1864</v>
      </c>
    </row>
    <row r="713" spans="1:1" x14ac:dyDescent="0.25">
      <c r="A713" t="s">
        <v>1865</v>
      </c>
    </row>
    <row r="714" spans="1:1" x14ac:dyDescent="0.25">
      <c r="A714" t="s">
        <v>1866</v>
      </c>
    </row>
    <row r="715" spans="1:1" x14ac:dyDescent="0.25">
      <c r="A715" t="s">
        <v>1867</v>
      </c>
    </row>
    <row r="716" spans="1:1" x14ac:dyDescent="0.25">
      <c r="A716" t="s">
        <v>1868</v>
      </c>
    </row>
    <row r="717" spans="1:1" x14ac:dyDescent="0.25">
      <c r="A717" t="s">
        <v>1869</v>
      </c>
    </row>
    <row r="718" spans="1:1" x14ac:dyDescent="0.25">
      <c r="A718" t="s">
        <v>1870</v>
      </c>
    </row>
    <row r="719" spans="1:1" x14ac:dyDescent="0.25">
      <c r="A719" t="s">
        <v>1871</v>
      </c>
    </row>
    <row r="720" spans="1:1" x14ac:dyDescent="0.25">
      <c r="A720" t="s">
        <v>1872</v>
      </c>
    </row>
    <row r="721" spans="1:1" x14ac:dyDescent="0.25">
      <c r="A721" t="s">
        <v>1873</v>
      </c>
    </row>
    <row r="722" spans="1:1" x14ac:dyDescent="0.25">
      <c r="A722" t="s">
        <v>1874</v>
      </c>
    </row>
    <row r="723" spans="1:1" x14ac:dyDescent="0.25">
      <c r="A723" t="s">
        <v>1875</v>
      </c>
    </row>
    <row r="724" spans="1:1" x14ac:dyDescent="0.25">
      <c r="A724" t="s">
        <v>1876</v>
      </c>
    </row>
    <row r="725" spans="1:1" x14ac:dyDescent="0.25">
      <c r="A725" t="s">
        <v>1877</v>
      </c>
    </row>
    <row r="726" spans="1:1" x14ac:dyDescent="0.25">
      <c r="A726" t="s">
        <v>1878</v>
      </c>
    </row>
    <row r="727" spans="1:1" x14ac:dyDescent="0.25">
      <c r="A727" t="s">
        <v>1879</v>
      </c>
    </row>
    <row r="728" spans="1:1" x14ac:dyDescent="0.25">
      <c r="A728" t="s">
        <v>1880</v>
      </c>
    </row>
    <row r="729" spans="1:1" x14ac:dyDescent="0.25">
      <c r="A729" t="s">
        <v>1881</v>
      </c>
    </row>
    <row r="730" spans="1:1" x14ac:dyDescent="0.25">
      <c r="A730" t="s">
        <v>1882</v>
      </c>
    </row>
    <row r="731" spans="1:1" x14ac:dyDescent="0.25">
      <c r="A731" t="s">
        <v>1883</v>
      </c>
    </row>
    <row r="732" spans="1:1" x14ac:dyDescent="0.25">
      <c r="A732" t="s">
        <v>1884</v>
      </c>
    </row>
    <row r="733" spans="1:1" x14ac:dyDescent="0.25">
      <c r="A733" t="s">
        <v>1885</v>
      </c>
    </row>
    <row r="734" spans="1:1" x14ac:dyDescent="0.25">
      <c r="A734" t="s">
        <v>1886</v>
      </c>
    </row>
    <row r="735" spans="1:1" x14ac:dyDescent="0.25">
      <c r="A735" t="s">
        <v>1887</v>
      </c>
    </row>
    <row r="736" spans="1:1" x14ac:dyDescent="0.25">
      <c r="A736" t="s">
        <v>1888</v>
      </c>
    </row>
    <row r="737" spans="1:1" x14ac:dyDescent="0.25">
      <c r="A737" t="s">
        <v>1889</v>
      </c>
    </row>
    <row r="738" spans="1:1" x14ac:dyDescent="0.25">
      <c r="A738" t="s">
        <v>1890</v>
      </c>
    </row>
    <row r="739" spans="1:1" x14ac:dyDescent="0.25">
      <c r="A739" t="s">
        <v>1891</v>
      </c>
    </row>
    <row r="740" spans="1:1" x14ac:dyDescent="0.25">
      <c r="A740" t="s">
        <v>1892</v>
      </c>
    </row>
    <row r="741" spans="1:1" x14ac:dyDescent="0.25">
      <c r="A741" t="s">
        <v>1893</v>
      </c>
    </row>
    <row r="742" spans="1:1" x14ac:dyDescent="0.25">
      <c r="A742" t="s">
        <v>1894</v>
      </c>
    </row>
    <row r="743" spans="1:1" x14ac:dyDescent="0.25">
      <c r="A743" t="s">
        <v>1895</v>
      </c>
    </row>
    <row r="744" spans="1:1" x14ac:dyDescent="0.25">
      <c r="A744" t="s">
        <v>1896</v>
      </c>
    </row>
    <row r="745" spans="1:1" x14ac:dyDescent="0.25">
      <c r="A745" t="s">
        <v>1897</v>
      </c>
    </row>
    <row r="746" spans="1:1" x14ac:dyDescent="0.25">
      <c r="A746" t="s">
        <v>1898</v>
      </c>
    </row>
    <row r="747" spans="1:1" x14ac:dyDescent="0.25">
      <c r="A747" t="s">
        <v>1899</v>
      </c>
    </row>
    <row r="748" spans="1:1" x14ac:dyDescent="0.25">
      <c r="A748" t="s">
        <v>1900</v>
      </c>
    </row>
    <row r="749" spans="1:1" x14ac:dyDescent="0.25">
      <c r="A749" t="s">
        <v>1901</v>
      </c>
    </row>
    <row r="750" spans="1:1" x14ac:dyDescent="0.25">
      <c r="A750" t="s">
        <v>1902</v>
      </c>
    </row>
    <row r="751" spans="1:1" x14ac:dyDescent="0.25">
      <c r="A751" t="s">
        <v>1903</v>
      </c>
    </row>
    <row r="752" spans="1:1" x14ac:dyDescent="0.25">
      <c r="A752" t="s">
        <v>1904</v>
      </c>
    </row>
    <row r="753" spans="1:1" x14ac:dyDescent="0.25">
      <c r="A753" t="s">
        <v>1905</v>
      </c>
    </row>
    <row r="754" spans="1:1" x14ac:dyDescent="0.25">
      <c r="A754" t="s">
        <v>1906</v>
      </c>
    </row>
    <row r="755" spans="1:1" x14ac:dyDescent="0.25">
      <c r="A755" t="s">
        <v>1907</v>
      </c>
    </row>
    <row r="756" spans="1:1" x14ac:dyDescent="0.25">
      <c r="A756" t="s">
        <v>1908</v>
      </c>
    </row>
    <row r="757" spans="1:1" x14ac:dyDescent="0.25">
      <c r="A757" t="s">
        <v>1909</v>
      </c>
    </row>
    <row r="758" spans="1:1" x14ac:dyDescent="0.25">
      <c r="A758" t="s">
        <v>1910</v>
      </c>
    </row>
    <row r="759" spans="1:1" x14ac:dyDescent="0.25">
      <c r="A759" t="s">
        <v>1911</v>
      </c>
    </row>
    <row r="760" spans="1:1" x14ac:dyDescent="0.25">
      <c r="A760" t="s">
        <v>1912</v>
      </c>
    </row>
    <row r="761" spans="1:1" x14ac:dyDescent="0.25">
      <c r="A761" t="s">
        <v>1913</v>
      </c>
    </row>
    <row r="762" spans="1:1" x14ac:dyDescent="0.25">
      <c r="A762" t="s">
        <v>1914</v>
      </c>
    </row>
    <row r="763" spans="1:1" x14ac:dyDescent="0.25">
      <c r="A763" t="s">
        <v>1915</v>
      </c>
    </row>
    <row r="764" spans="1:1" x14ac:dyDescent="0.25">
      <c r="A764" t="s">
        <v>1916</v>
      </c>
    </row>
    <row r="765" spans="1:1" x14ac:dyDescent="0.25">
      <c r="A765" t="s">
        <v>1917</v>
      </c>
    </row>
    <row r="766" spans="1:1" x14ac:dyDescent="0.25">
      <c r="A766" t="s">
        <v>1918</v>
      </c>
    </row>
    <row r="767" spans="1:1" x14ac:dyDescent="0.25">
      <c r="A767" t="s">
        <v>1919</v>
      </c>
    </row>
    <row r="768" spans="1:1" x14ac:dyDescent="0.25">
      <c r="A768" t="s">
        <v>1920</v>
      </c>
    </row>
    <row r="769" spans="1:1" x14ac:dyDescent="0.25">
      <c r="A769" t="s">
        <v>1921</v>
      </c>
    </row>
    <row r="770" spans="1:1" x14ac:dyDescent="0.25">
      <c r="A770" t="s">
        <v>1922</v>
      </c>
    </row>
    <row r="771" spans="1:1" x14ac:dyDescent="0.25">
      <c r="A771" t="s">
        <v>1923</v>
      </c>
    </row>
    <row r="772" spans="1:1" x14ac:dyDescent="0.25">
      <c r="A772" t="s">
        <v>1924</v>
      </c>
    </row>
    <row r="773" spans="1:1" x14ac:dyDescent="0.25">
      <c r="A773" t="s">
        <v>1925</v>
      </c>
    </row>
    <row r="774" spans="1:1" x14ac:dyDescent="0.25">
      <c r="A774" t="s">
        <v>1926</v>
      </c>
    </row>
    <row r="775" spans="1:1" x14ac:dyDescent="0.25">
      <c r="A775" t="s">
        <v>1927</v>
      </c>
    </row>
    <row r="776" spans="1:1" x14ac:dyDescent="0.25">
      <c r="A776" t="s">
        <v>1928</v>
      </c>
    </row>
    <row r="777" spans="1:1" x14ac:dyDescent="0.25">
      <c r="A777" t="s">
        <v>1929</v>
      </c>
    </row>
    <row r="778" spans="1:1" x14ac:dyDescent="0.25">
      <c r="A778" t="s">
        <v>1930</v>
      </c>
    </row>
    <row r="779" spans="1:1" x14ac:dyDescent="0.25">
      <c r="A779" t="s">
        <v>1931</v>
      </c>
    </row>
    <row r="780" spans="1:1" x14ac:dyDescent="0.25">
      <c r="A780" t="s">
        <v>1932</v>
      </c>
    </row>
    <row r="781" spans="1:1" x14ac:dyDescent="0.25">
      <c r="A781" t="s">
        <v>1933</v>
      </c>
    </row>
    <row r="782" spans="1:1" x14ac:dyDescent="0.25">
      <c r="A782" t="s">
        <v>1934</v>
      </c>
    </row>
    <row r="783" spans="1:1" x14ac:dyDescent="0.25">
      <c r="A783" t="s">
        <v>1935</v>
      </c>
    </row>
    <row r="784" spans="1:1" x14ac:dyDescent="0.25">
      <c r="A784" t="s">
        <v>1936</v>
      </c>
    </row>
    <row r="785" spans="1:1" x14ac:dyDescent="0.25">
      <c r="A785" t="s">
        <v>1937</v>
      </c>
    </row>
    <row r="786" spans="1:1" x14ac:dyDescent="0.25">
      <c r="A786" t="s">
        <v>1938</v>
      </c>
    </row>
    <row r="787" spans="1:1" x14ac:dyDescent="0.25">
      <c r="A787" t="s">
        <v>1939</v>
      </c>
    </row>
    <row r="788" spans="1:1" x14ac:dyDescent="0.25">
      <c r="A788" t="s">
        <v>1940</v>
      </c>
    </row>
    <row r="789" spans="1:1" x14ac:dyDescent="0.25">
      <c r="A789" t="s">
        <v>1941</v>
      </c>
    </row>
    <row r="790" spans="1:1" x14ac:dyDescent="0.25">
      <c r="A790" t="s">
        <v>1942</v>
      </c>
    </row>
    <row r="791" spans="1:1" x14ac:dyDescent="0.25">
      <c r="A791" t="s">
        <v>1943</v>
      </c>
    </row>
    <row r="792" spans="1:1" x14ac:dyDescent="0.25">
      <c r="A792" t="s">
        <v>1944</v>
      </c>
    </row>
    <row r="793" spans="1:1" x14ac:dyDescent="0.25">
      <c r="A793" t="s">
        <v>1945</v>
      </c>
    </row>
    <row r="794" spans="1:1" x14ac:dyDescent="0.25">
      <c r="A794" t="s">
        <v>1946</v>
      </c>
    </row>
    <row r="795" spans="1:1" x14ac:dyDescent="0.25">
      <c r="A795" t="s">
        <v>1947</v>
      </c>
    </row>
    <row r="796" spans="1:1" x14ac:dyDescent="0.25">
      <c r="A796" t="s">
        <v>1948</v>
      </c>
    </row>
    <row r="797" spans="1:1" x14ac:dyDescent="0.25">
      <c r="A797" t="s">
        <v>1949</v>
      </c>
    </row>
    <row r="798" spans="1:1" x14ac:dyDescent="0.25">
      <c r="A798" t="s">
        <v>1950</v>
      </c>
    </row>
    <row r="799" spans="1:1" x14ac:dyDescent="0.25">
      <c r="A799" t="s">
        <v>1951</v>
      </c>
    </row>
    <row r="800" spans="1:1" x14ac:dyDescent="0.25">
      <c r="A800" t="s">
        <v>1952</v>
      </c>
    </row>
    <row r="801" spans="1:1" x14ac:dyDescent="0.25">
      <c r="A801" t="s">
        <v>1953</v>
      </c>
    </row>
    <row r="802" spans="1:1" x14ac:dyDescent="0.25">
      <c r="A802" t="s">
        <v>1954</v>
      </c>
    </row>
    <row r="803" spans="1:1" x14ac:dyDescent="0.25">
      <c r="A803" t="s">
        <v>1955</v>
      </c>
    </row>
    <row r="804" spans="1:1" x14ac:dyDescent="0.25">
      <c r="A804" t="s">
        <v>1956</v>
      </c>
    </row>
    <row r="805" spans="1:1" x14ac:dyDescent="0.25">
      <c r="A805" t="s">
        <v>1957</v>
      </c>
    </row>
    <row r="806" spans="1:1" x14ac:dyDescent="0.25">
      <c r="A806" t="s">
        <v>1958</v>
      </c>
    </row>
    <row r="807" spans="1:1" x14ac:dyDescent="0.25">
      <c r="A807" t="s">
        <v>1959</v>
      </c>
    </row>
    <row r="808" spans="1:1" x14ac:dyDescent="0.25">
      <c r="A808" t="s">
        <v>1960</v>
      </c>
    </row>
    <row r="809" spans="1:1" x14ac:dyDescent="0.25">
      <c r="A809" t="s">
        <v>1961</v>
      </c>
    </row>
    <row r="810" spans="1:1" x14ac:dyDescent="0.25">
      <c r="A810" t="s">
        <v>1962</v>
      </c>
    </row>
    <row r="811" spans="1:1" x14ac:dyDescent="0.25">
      <c r="A811" t="s">
        <v>1963</v>
      </c>
    </row>
    <row r="812" spans="1:1" x14ac:dyDescent="0.25">
      <c r="A812" t="s">
        <v>1964</v>
      </c>
    </row>
    <row r="813" spans="1:1" x14ac:dyDescent="0.25">
      <c r="A813" t="s">
        <v>1965</v>
      </c>
    </row>
    <row r="814" spans="1:1" x14ac:dyDescent="0.25">
      <c r="A814" t="s">
        <v>1966</v>
      </c>
    </row>
    <row r="815" spans="1:1" x14ac:dyDescent="0.25">
      <c r="A815" t="s">
        <v>1967</v>
      </c>
    </row>
    <row r="816" spans="1:1" x14ac:dyDescent="0.25">
      <c r="A816" t="s">
        <v>1968</v>
      </c>
    </row>
    <row r="817" spans="1:1" x14ac:dyDescent="0.25">
      <c r="A817" t="s">
        <v>1969</v>
      </c>
    </row>
    <row r="818" spans="1:1" x14ac:dyDescent="0.25">
      <c r="A818" t="s">
        <v>1970</v>
      </c>
    </row>
    <row r="819" spans="1:1" x14ac:dyDescent="0.25">
      <c r="A819" t="s">
        <v>1971</v>
      </c>
    </row>
    <row r="820" spans="1:1" x14ac:dyDescent="0.25">
      <c r="A820" t="s">
        <v>1972</v>
      </c>
    </row>
    <row r="821" spans="1:1" x14ac:dyDescent="0.25">
      <c r="A821" t="s">
        <v>1973</v>
      </c>
    </row>
    <row r="822" spans="1:1" x14ac:dyDescent="0.25">
      <c r="A822" t="s">
        <v>1974</v>
      </c>
    </row>
    <row r="823" spans="1:1" x14ac:dyDescent="0.25">
      <c r="A823" t="s">
        <v>1975</v>
      </c>
    </row>
    <row r="824" spans="1:1" x14ac:dyDescent="0.25">
      <c r="A824" t="s">
        <v>1976</v>
      </c>
    </row>
    <row r="825" spans="1:1" x14ac:dyDescent="0.25">
      <c r="A825" t="s">
        <v>1977</v>
      </c>
    </row>
    <row r="826" spans="1:1" x14ac:dyDescent="0.25">
      <c r="A826" t="s">
        <v>1978</v>
      </c>
    </row>
    <row r="827" spans="1:1" x14ac:dyDescent="0.25">
      <c r="A827" t="s">
        <v>1979</v>
      </c>
    </row>
    <row r="828" spans="1:1" x14ac:dyDescent="0.25">
      <c r="A828" t="s">
        <v>1980</v>
      </c>
    </row>
    <row r="829" spans="1:1" x14ac:dyDescent="0.25">
      <c r="A829" t="s">
        <v>1981</v>
      </c>
    </row>
    <row r="830" spans="1:1" x14ac:dyDescent="0.25">
      <c r="A830" t="s">
        <v>1982</v>
      </c>
    </row>
    <row r="831" spans="1:1" x14ac:dyDescent="0.25">
      <c r="A831" t="s">
        <v>1983</v>
      </c>
    </row>
    <row r="832" spans="1:1" x14ac:dyDescent="0.25">
      <c r="A832" t="s">
        <v>1984</v>
      </c>
    </row>
    <row r="833" spans="1:1" x14ac:dyDescent="0.25">
      <c r="A833" t="s">
        <v>1985</v>
      </c>
    </row>
    <row r="834" spans="1:1" x14ac:dyDescent="0.25">
      <c r="A834" t="s">
        <v>1986</v>
      </c>
    </row>
    <row r="835" spans="1:1" x14ac:dyDescent="0.25">
      <c r="A835" t="s">
        <v>1987</v>
      </c>
    </row>
    <row r="836" spans="1:1" x14ac:dyDescent="0.25">
      <c r="A836" t="s">
        <v>1988</v>
      </c>
    </row>
    <row r="837" spans="1:1" x14ac:dyDescent="0.25">
      <c r="A837" t="s">
        <v>1989</v>
      </c>
    </row>
    <row r="838" spans="1:1" x14ac:dyDescent="0.25">
      <c r="A838" t="s">
        <v>1990</v>
      </c>
    </row>
    <row r="839" spans="1:1" x14ac:dyDescent="0.25">
      <c r="A839" t="s">
        <v>1991</v>
      </c>
    </row>
    <row r="840" spans="1:1" x14ac:dyDescent="0.25">
      <c r="A840" t="s">
        <v>1992</v>
      </c>
    </row>
    <row r="841" spans="1:1" x14ac:dyDescent="0.25">
      <c r="A841" t="s">
        <v>1993</v>
      </c>
    </row>
    <row r="842" spans="1:1" x14ac:dyDescent="0.25">
      <c r="A842" t="s">
        <v>1994</v>
      </c>
    </row>
    <row r="843" spans="1:1" x14ac:dyDescent="0.25">
      <c r="A843" t="s">
        <v>1995</v>
      </c>
    </row>
    <row r="844" spans="1:1" x14ac:dyDescent="0.25">
      <c r="A844" t="s">
        <v>1996</v>
      </c>
    </row>
    <row r="845" spans="1:1" x14ac:dyDescent="0.25">
      <c r="A845" t="s">
        <v>1997</v>
      </c>
    </row>
    <row r="846" spans="1:1" x14ac:dyDescent="0.25">
      <c r="A846" t="s">
        <v>1998</v>
      </c>
    </row>
    <row r="847" spans="1:1" x14ac:dyDescent="0.25">
      <c r="A847" t="s">
        <v>1999</v>
      </c>
    </row>
    <row r="848" spans="1:1" x14ac:dyDescent="0.25">
      <c r="A848" t="s">
        <v>2000</v>
      </c>
    </row>
    <row r="849" spans="1:1" x14ac:dyDescent="0.25">
      <c r="A849" t="s">
        <v>2001</v>
      </c>
    </row>
    <row r="850" spans="1:1" x14ac:dyDescent="0.25">
      <c r="A850" t="s">
        <v>2002</v>
      </c>
    </row>
    <row r="851" spans="1:1" x14ac:dyDescent="0.25">
      <c r="A851" t="s">
        <v>2003</v>
      </c>
    </row>
    <row r="852" spans="1:1" x14ac:dyDescent="0.25">
      <c r="A852" t="s">
        <v>2004</v>
      </c>
    </row>
    <row r="853" spans="1:1" x14ac:dyDescent="0.25">
      <c r="A853" t="s">
        <v>2005</v>
      </c>
    </row>
    <row r="854" spans="1:1" x14ac:dyDescent="0.25">
      <c r="A854" t="s">
        <v>2006</v>
      </c>
    </row>
    <row r="855" spans="1:1" x14ac:dyDescent="0.25">
      <c r="A855" t="s">
        <v>2007</v>
      </c>
    </row>
    <row r="856" spans="1:1" x14ac:dyDescent="0.25">
      <c r="A856" t="s">
        <v>2008</v>
      </c>
    </row>
    <row r="857" spans="1:1" x14ac:dyDescent="0.25">
      <c r="A857" t="s">
        <v>2009</v>
      </c>
    </row>
    <row r="858" spans="1:1" x14ac:dyDescent="0.25">
      <c r="A858" t="s">
        <v>2010</v>
      </c>
    </row>
    <row r="859" spans="1:1" x14ac:dyDescent="0.25">
      <c r="A859" t="s">
        <v>2011</v>
      </c>
    </row>
    <row r="860" spans="1:1" x14ac:dyDescent="0.25">
      <c r="A860" t="s">
        <v>2012</v>
      </c>
    </row>
    <row r="861" spans="1:1" x14ac:dyDescent="0.25">
      <c r="A861" t="s">
        <v>2013</v>
      </c>
    </row>
    <row r="862" spans="1:1" x14ac:dyDescent="0.25">
      <c r="A862" t="s">
        <v>2014</v>
      </c>
    </row>
    <row r="863" spans="1:1" x14ac:dyDescent="0.25">
      <c r="A863" t="s">
        <v>2015</v>
      </c>
    </row>
    <row r="864" spans="1:1" x14ac:dyDescent="0.25">
      <c r="A864" t="s">
        <v>2016</v>
      </c>
    </row>
    <row r="865" spans="1:1" x14ac:dyDescent="0.25">
      <c r="A865" t="s">
        <v>2017</v>
      </c>
    </row>
    <row r="866" spans="1:1" x14ac:dyDescent="0.25">
      <c r="A866" t="s">
        <v>2018</v>
      </c>
    </row>
    <row r="867" spans="1:1" x14ac:dyDescent="0.25">
      <c r="A867" t="s">
        <v>2019</v>
      </c>
    </row>
    <row r="868" spans="1:1" x14ac:dyDescent="0.25">
      <c r="A868" t="s">
        <v>2020</v>
      </c>
    </row>
    <row r="869" spans="1:1" x14ac:dyDescent="0.25">
      <c r="A869" t="s">
        <v>2021</v>
      </c>
    </row>
    <row r="870" spans="1:1" x14ac:dyDescent="0.25">
      <c r="A870" t="s">
        <v>2022</v>
      </c>
    </row>
    <row r="871" spans="1:1" x14ac:dyDescent="0.25">
      <c r="A871" t="s">
        <v>2023</v>
      </c>
    </row>
    <row r="872" spans="1:1" x14ac:dyDescent="0.25">
      <c r="A872" t="s">
        <v>2024</v>
      </c>
    </row>
    <row r="873" spans="1:1" x14ac:dyDescent="0.25">
      <c r="A873" t="s">
        <v>2025</v>
      </c>
    </row>
    <row r="874" spans="1:1" x14ac:dyDescent="0.25">
      <c r="A874" t="s">
        <v>2026</v>
      </c>
    </row>
    <row r="875" spans="1:1" x14ac:dyDescent="0.25">
      <c r="A875" t="s">
        <v>2027</v>
      </c>
    </row>
    <row r="876" spans="1:1" x14ac:dyDescent="0.25">
      <c r="A876" t="s">
        <v>2028</v>
      </c>
    </row>
    <row r="877" spans="1:1" x14ac:dyDescent="0.25">
      <c r="A877" t="s">
        <v>2029</v>
      </c>
    </row>
    <row r="878" spans="1:1" x14ac:dyDescent="0.25">
      <c r="A878" t="s">
        <v>2030</v>
      </c>
    </row>
    <row r="879" spans="1:1" x14ac:dyDescent="0.25">
      <c r="A879" t="s">
        <v>2031</v>
      </c>
    </row>
    <row r="880" spans="1:1" x14ac:dyDescent="0.25">
      <c r="A880" t="s">
        <v>2032</v>
      </c>
    </row>
    <row r="881" spans="1:1" x14ac:dyDescent="0.25">
      <c r="A881" t="s">
        <v>2033</v>
      </c>
    </row>
    <row r="882" spans="1:1" x14ac:dyDescent="0.25">
      <c r="A882" t="s">
        <v>2034</v>
      </c>
    </row>
    <row r="883" spans="1:1" x14ac:dyDescent="0.25">
      <c r="A883" t="s">
        <v>2035</v>
      </c>
    </row>
    <row r="884" spans="1:1" x14ac:dyDescent="0.25">
      <c r="A884" t="s">
        <v>2036</v>
      </c>
    </row>
    <row r="885" spans="1:1" x14ac:dyDescent="0.25">
      <c r="A885" t="s">
        <v>2037</v>
      </c>
    </row>
    <row r="886" spans="1:1" x14ac:dyDescent="0.25">
      <c r="A886" t="s">
        <v>2038</v>
      </c>
    </row>
    <row r="887" spans="1:1" x14ac:dyDescent="0.25">
      <c r="A887" t="s">
        <v>2039</v>
      </c>
    </row>
    <row r="888" spans="1:1" x14ac:dyDescent="0.25">
      <c r="A888" t="s">
        <v>2040</v>
      </c>
    </row>
    <row r="889" spans="1:1" x14ac:dyDescent="0.25">
      <c r="A889" t="s">
        <v>2041</v>
      </c>
    </row>
    <row r="890" spans="1:1" x14ac:dyDescent="0.25">
      <c r="A890" t="s">
        <v>2042</v>
      </c>
    </row>
    <row r="891" spans="1:1" x14ac:dyDescent="0.25">
      <c r="A891" t="s">
        <v>2043</v>
      </c>
    </row>
    <row r="892" spans="1:1" x14ac:dyDescent="0.25">
      <c r="A892" t="s">
        <v>2044</v>
      </c>
    </row>
    <row r="893" spans="1:1" x14ac:dyDescent="0.25">
      <c r="A893" t="s">
        <v>2045</v>
      </c>
    </row>
    <row r="894" spans="1:1" x14ac:dyDescent="0.25">
      <c r="A894" t="s">
        <v>2046</v>
      </c>
    </row>
    <row r="895" spans="1:1" x14ac:dyDescent="0.25">
      <c r="A895" t="s">
        <v>2047</v>
      </c>
    </row>
    <row r="896" spans="1:1" x14ac:dyDescent="0.25">
      <c r="A896" t="s">
        <v>2048</v>
      </c>
    </row>
    <row r="897" spans="1:1" x14ac:dyDescent="0.25">
      <c r="A897" t="s">
        <v>2049</v>
      </c>
    </row>
    <row r="898" spans="1:1" x14ac:dyDescent="0.25">
      <c r="A898" t="s">
        <v>2050</v>
      </c>
    </row>
    <row r="899" spans="1:1" x14ac:dyDescent="0.25">
      <c r="A899" t="s">
        <v>2051</v>
      </c>
    </row>
    <row r="900" spans="1:1" x14ac:dyDescent="0.25">
      <c r="A900" t="s">
        <v>2052</v>
      </c>
    </row>
    <row r="901" spans="1:1" x14ac:dyDescent="0.25">
      <c r="A901" t="s">
        <v>2053</v>
      </c>
    </row>
    <row r="902" spans="1:1" x14ac:dyDescent="0.25">
      <c r="A902" t="s">
        <v>2054</v>
      </c>
    </row>
    <row r="903" spans="1:1" x14ac:dyDescent="0.25">
      <c r="A903" t="s">
        <v>2055</v>
      </c>
    </row>
  </sheetData>
  <pageMargins left="0.7" right="0.7" top="0.75" bottom="0.75" header="0.3" footer="0.3"/>
  <customProperties>
    <customPr name="layoutContexts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D809-2501-4B98-8961-A6D21C357A13}">
  <dimension ref="A1:AHS1"/>
  <sheetViews>
    <sheetView workbookViewId="0">
      <selection activeCell="AHS1" sqref="A1:AHS1"/>
    </sheetView>
  </sheetViews>
  <sheetFormatPr defaultRowHeight="15" x14ac:dyDescent="0.25"/>
  <sheetData>
    <row r="1" spans="1:903" x14ac:dyDescent="0.25">
      <c r="A1" t="s">
        <v>26</v>
      </c>
      <c r="B1" t="s">
        <v>35</v>
      </c>
      <c r="C1" t="s">
        <v>37</v>
      </c>
      <c r="D1" t="s">
        <v>40</v>
      </c>
      <c r="E1" t="s">
        <v>42</v>
      </c>
      <c r="F1" t="s">
        <v>44</v>
      </c>
      <c r="G1" t="s">
        <v>46</v>
      </c>
      <c r="H1" t="s">
        <v>48</v>
      </c>
      <c r="I1" t="s">
        <v>50</v>
      </c>
      <c r="J1" t="s">
        <v>53</v>
      </c>
      <c r="K1" t="s">
        <v>55</v>
      </c>
      <c r="L1" t="s">
        <v>57</v>
      </c>
      <c r="M1" t="s">
        <v>59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F1" t="s">
        <v>105</v>
      </c>
      <c r="AG1" t="s">
        <v>107</v>
      </c>
      <c r="AH1" t="s">
        <v>109</v>
      </c>
      <c r="AI1" t="s">
        <v>111</v>
      </c>
      <c r="AJ1" t="s">
        <v>113</v>
      </c>
      <c r="AK1" t="s">
        <v>115</v>
      </c>
      <c r="AL1" t="s">
        <v>117</v>
      </c>
      <c r="AM1" t="s">
        <v>119</v>
      </c>
      <c r="AN1" t="s">
        <v>121</v>
      </c>
      <c r="AO1" t="s">
        <v>123</v>
      </c>
      <c r="AP1" t="s">
        <v>125</v>
      </c>
      <c r="AQ1" t="s">
        <v>127</v>
      </c>
      <c r="AR1" t="s">
        <v>129</v>
      </c>
      <c r="AS1" t="s">
        <v>131</v>
      </c>
      <c r="AT1" t="s">
        <v>133</v>
      </c>
      <c r="AU1" t="s">
        <v>135</v>
      </c>
      <c r="AV1" t="s">
        <v>137</v>
      </c>
      <c r="AW1" t="s">
        <v>139</v>
      </c>
      <c r="AX1" t="s">
        <v>141</v>
      </c>
      <c r="AY1" t="s">
        <v>143</v>
      </c>
      <c r="AZ1" t="s">
        <v>145</v>
      </c>
      <c r="BA1" t="s">
        <v>147</v>
      </c>
      <c r="BB1" t="s">
        <v>149</v>
      </c>
      <c r="BC1" t="s">
        <v>151</v>
      </c>
      <c r="BD1" t="s">
        <v>153</v>
      </c>
      <c r="BE1" t="s">
        <v>155</v>
      </c>
      <c r="BF1" t="s">
        <v>157</v>
      </c>
      <c r="BG1" t="s">
        <v>159</v>
      </c>
      <c r="BH1" t="s">
        <v>161</v>
      </c>
      <c r="BI1" t="s">
        <v>163</v>
      </c>
      <c r="BJ1" t="s">
        <v>165</v>
      </c>
      <c r="BK1" t="s">
        <v>166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192</v>
      </c>
      <c r="CK1" t="s">
        <v>193</v>
      </c>
      <c r="CL1" t="s">
        <v>194</v>
      </c>
      <c r="CM1" t="s">
        <v>195</v>
      </c>
      <c r="CN1" t="s">
        <v>196</v>
      </c>
      <c r="CO1" t="s">
        <v>197</v>
      </c>
      <c r="CP1" t="s">
        <v>198</v>
      </c>
      <c r="CQ1" t="s">
        <v>199</v>
      </c>
      <c r="CR1" t="s">
        <v>200</v>
      </c>
      <c r="CS1" t="s">
        <v>201</v>
      </c>
      <c r="CT1" t="s">
        <v>202</v>
      </c>
      <c r="CU1" t="s">
        <v>203</v>
      </c>
      <c r="CV1" t="s">
        <v>204</v>
      </c>
      <c r="CW1" t="s">
        <v>205</v>
      </c>
      <c r="CX1" t="s">
        <v>206</v>
      </c>
      <c r="CY1" t="s">
        <v>207</v>
      </c>
      <c r="CZ1" t="s">
        <v>208</v>
      </c>
      <c r="DA1" t="s">
        <v>209</v>
      </c>
      <c r="DB1" t="s">
        <v>210</v>
      </c>
      <c r="DC1" t="s">
        <v>211</v>
      </c>
      <c r="DD1" t="s">
        <v>212</v>
      </c>
      <c r="DE1" t="s">
        <v>213</v>
      </c>
      <c r="DF1" t="s">
        <v>214</v>
      </c>
      <c r="DG1" t="s">
        <v>215</v>
      </c>
      <c r="DH1" t="s">
        <v>216</v>
      </c>
      <c r="DI1" t="s">
        <v>218</v>
      </c>
      <c r="DJ1" t="s">
        <v>219</v>
      </c>
      <c r="DK1" t="s">
        <v>220</v>
      </c>
      <c r="DL1" t="s">
        <v>221</v>
      </c>
      <c r="DM1" t="s">
        <v>222</v>
      </c>
      <c r="DN1" t="s">
        <v>223</v>
      </c>
      <c r="DO1" t="s">
        <v>224</v>
      </c>
      <c r="DP1" t="s">
        <v>225</v>
      </c>
      <c r="DQ1" t="s">
        <v>226</v>
      </c>
      <c r="DR1" t="s">
        <v>227</v>
      </c>
      <c r="DS1" t="s">
        <v>228</v>
      </c>
      <c r="DT1" t="s">
        <v>229</v>
      </c>
      <c r="DU1" t="s">
        <v>230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  <c r="EA1" t="s">
        <v>236</v>
      </c>
      <c r="EB1" t="s">
        <v>237</v>
      </c>
      <c r="EC1" t="s">
        <v>238</v>
      </c>
      <c r="ED1" t="s">
        <v>239</v>
      </c>
      <c r="EE1" t="s">
        <v>240</v>
      </c>
      <c r="EF1" t="s">
        <v>241</v>
      </c>
      <c r="EG1" t="s">
        <v>242</v>
      </c>
      <c r="EH1" t="s">
        <v>243</v>
      </c>
      <c r="EI1" t="s">
        <v>244</v>
      </c>
      <c r="EJ1" t="s">
        <v>245</v>
      </c>
      <c r="EK1" t="s">
        <v>246</v>
      </c>
      <c r="EL1" t="s">
        <v>247</v>
      </c>
      <c r="EM1" t="s">
        <v>248</v>
      </c>
      <c r="EN1" t="s">
        <v>249</v>
      </c>
      <c r="EO1" t="s">
        <v>250</v>
      </c>
      <c r="EP1" t="s">
        <v>251</v>
      </c>
      <c r="EQ1" t="s">
        <v>252</v>
      </c>
      <c r="ER1" t="s">
        <v>253</v>
      </c>
      <c r="ES1" t="s">
        <v>255</v>
      </c>
      <c r="ET1" t="s">
        <v>257</v>
      </c>
      <c r="EU1" t="s">
        <v>259</v>
      </c>
      <c r="EV1" t="s">
        <v>261</v>
      </c>
      <c r="EW1" t="s">
        <v>263</v>
      </c>
      <c r="EX1" t="s">
        <v>265</v>
      </c>
      <c r="EY1" t="s">
        <v>267</v>
      </c>
      <c r="EZ1" t="s">
        <v>269</v>
      </c>
      <c r="FA1" t="s">
        <v>271</v>
      </c>
      <c r="FB1" t="s">
        <v>273</v>
      </c>
      <c r="FC1" t="s">
        <v>275</v>
      </c>
      <c r="FD1" t="s">
        <v>277</v>
      </c>
      <c r="FE1" t="s">
        <v>279</v>
      </c>
      <c r="FF1" t="s">
        <v>281</v>
      </c>
      <c r="FG1" t="s">
        <v>283</v>
      </c>
      <c r="FH1" t="s">
        <v>285</v>
      </c>
      <c r="FI1" t="s">
        <v>287</v>
      </c>
      <c r="FJ1" t="s">
        <v>289</v>
      </c>
      <c r="FK1" t="s">
        <v>291</v>
      </c>
      <c r="FL1" t="s">
        <v>293</v>
      </c>
      <c r="FM1" t="s">
        <v>295</v>
      </c>
      <c r="FN1" t="s">
        <v>297</v>
      </c>
      <c r="FO1" t="s">
        <v>299</v>
      </c>
      <c r="FP1" t="s">
        <v>301</v>
      </c>
      <c r="FQ1" t="s">
        <v>303</v>
      </c>
      <c r="FR1" t="s">
        <v>305</v>
      </c>
      <c r="FS1" t="s">
        <v>307</v>
      </c>
      <c r="FT1" t="s">
        <v>309</v>
      </c>
      <c r="FU1" t="s">
        <v>311</v>
      </c>
      <c r="FV1" t="s">
        <v>313</v>
      </c>
      <c r="FW1" t="s">
        <v>315</v>
      </c>
      <c r="FX1" t="s">
        <v>317</v>
      </c>
      <c r="FY1" t="s">
        <v>319</v>
      </c>
      <c r="FZ1" t="s">
        <v>321</v>
      </c>
      <c r="GA1" t="s">
        <v>323</v>
      </c>
      <c r="GB1" t="s">
        <v>325</v>
      </c>
      <c r="GC1" t="s">
        <v>327</v>
      </c>
      <c r="GD1" t="s">
        <v>329</v>
      </c>
      <c r="GE1" t="s">
        <v>331</v>
      </c>
      <c r="GF1" t="s">
        <v>333</v>
      </c>
      <c r="GG1" t="s">
        <v>335</v>
      </c>
      <c r="GH1" t="s">
        <v>336</v>
      </c>
      <c r="GI1" t="s">
        <v>338</v>
      </c>
      <c r="GJ1" t="s">
        <v>340</v>
      </c>
      <c r="GK1" t="s">
        <v>342</v>
      </c>
      <c r="GL1" t="s">
        <v>344</v>
      </c>
      <c r="GM1" t="s">
        <v>346</v>
      </c>
      <c r="GN1" t="s">
        <v>348</v>
      </c>
      <c r="GO1" t="s">
        <v>350</v>
      </c>
      <c r="GP1" t="s">
        <v>352</v>
      </c>
      <c r="GQ1" t="s">
        <v>354</v>
      </c>
      <c r="GR1" t="s">
        <v>356</v>
      </c>
      <c r="GS1" t="s">
        <v>358</v>
      </c>
      <c r="GT1" t="s">
        <v>360</v>
      </c>
      <c r="GU1" t="s">
        <v>362</v>
      </c>
      <c r="GV1" t="s">
        <v>364</v>
      </c>
      <c r="GW1" t="s">
        <v>366</v>
      </c>
      <c r="GX1" t="s">
        <v>367</v>
      </c>
      <c r="GY1" t="s">
        <v>368</v>
      </c>
      <c r="GZ1" t="s">
        <v>369</v>
      </c>
      <c r="HA1" t="s">
        <v>370</v>
      </c>
      <c r="HB1" t="s">
        <v>371</v>
      </c>
      <c r="HC1" t="s">
        <v>372</v>
      </c>
      <c r="HD1" t="s">
        <v>373</v>
      </c>
      <c r="HE1" t="s">
        <v>375</v>
      </c>
      <c r="HF1" t="s">
        <v>377</v>
      </c>
      <c r="HG1" t="s">
        <v>379</v>
      </c>
      <c r="HH1" t="s">
        <v>381</v>
      </c>
      <c r="HI1" t="s">
        <v>383</v>
      </c>
      <c r="HJ1" t="s">
        <v>385</v>
      </c>
      <c r="HK1" t="s">
        <v>387</v>
      </c>
      <c r="HL1" t="s">
        <v>389</v>
      </c>
      <c r="HM1" t="s">
        <v>391</v>
      </c>
      <c r="HN1" t="s">
        <v>393</v>
      </c>
      <c r="HO1" t="s">
        <v>395</v>
      </c>
      <c r="HP1" t="s">
        <v>397</v>
      </c>
      <c r="HQ1" t="s">
        <v>399</v>
      </c>
      <c r="HR1" t="s">
        <v>401</v>
      </c>
      <c r="HS1" t="s">
        <v>403</v>
      </c>
      <c r="HT1" t="s">
        <v>405</v>
      </c>
      <c r="HU1" t="s">
        <v>407</v>
      </c>
      <c r="HV1" t="s">
        <v>409</v>
      </c>
      <c r="HW1" t="s">
        <v>411</v>
      </c>
      <c r="HX1" t="s">
        <v>413</v>
      </c>
      <c r="HY1" t="s">
        <v>415</v>
      </c>
      <c r="HZ1" t="s">
        <v>417</v>
      </c>
      <c r="IA1" t="s">
        <v>419</v>
      </c>
      <c r="IB1" t="s">
        <v>421</v>
      </c>
      <c r="IC1" t="s">
        <v>423</v>
      </c>
      <c r="ID1" t="s">
        <v>425</v>
      </c>
      <c r="IE1" t="s">
        <v>427</v>
      </c>
      <c r="IF1" t="s">
        <v>429</v>
      </c>
      <c r="IG1" t="s">
        <v>431</v>
      </c>
      <c r="IH1" t="s">
        <v>433</v>
      </c>
      <c r="II1" t="s">
        <v>435</v>
      </c>
      <c r="IJ1" t="s">
        <v>437</v>
      </c>
      <c r="IK1" t="s">
        <v>439</v>
      </c>
      <c r="IL1" t="s">
        <v>441</v>
      </c>
      <c r="IM1" t="s">
        <v>443</v>
      </c>
      <c r="IN1" t="s">
        <v>444</v>
      </c>
      <c r="IO1" t="s">
        <v>445</v>
      </c>
      <c r="IP1" t="s">
        <v>446</v>
      </c>
      <c r="IQ1" t="s">
        <v>447</v>
      </c>
      <c r="IR1" t="s">
        <v>448</v>
      </c>
      <c r="IS1" t="s">
        <v>449</v>
      </c>
      <c r="IT1" t="s">
        <v>451</v>
      </c>
      <c r="IU1" t="s">
        <v>454</v>
      </c>
      <c r="IV1" t="s">
        <v>456</v>
      </c>
      <c r="IW1" t="s">
        <v>458</v>
      </c>
      <c r="IX1" t="s">
        <v>459</v>
      </c>
      <c r="IY1" t="s">
        <v>461</v>
      </c>
      <c r="IZ1" t="s">
        <v>463</v>
      </c>
      <c r="JA1" t="s">
        <v>465</v>
      </c>
      <c r="JB1" t="s">
        <v>1414</v>
      </c>
      <c r="JC1" t="s">
        <v>1415</v>
      </c>
      <c r="JD1" t="s">
        <v>1416</v>
      </c>
      <c r="JE1" t="s">
        <v>1417</v>
      </c>
      <c r="JF1" t="s">
        <v>1418</v>
      </c>
      <c r="JG1" t="s">
        <v>1419</v>
      </c>
      <c r="JH1" t="s">
        <v>1420</v>
      </c>
      <c r="JI1" t="s">
        <v>1421</v>
      </c>
      <c r="JJ1" t="s">
        <v>1422</v>
      </c>
      <c r="JK1" t="s">
        <v>1423</v>
      </c>
      <c r="JL1" t="s">
        <v>1424</v>
      </c>
      <c r="JM1" t="s">
        <v>1425</v>
      </c>
      <c r="JN1" t="s">
        <v>1426</v>
      </c>
      <c r="JO1" t="s">
        <v>1427</v>
      </c>
      <c r="JP1" t="s">
        <v>1428</v>
      </c>
      <c r="JQ1" t="s">
        <v>1429</v>
      </c>
      <c r="JR1" t="s">
        <v>1430</v>
      </c>
      <c r="JS1" t="s">
        <v>1431</v>
      </c>
      <c r="JT1" t="s">
        <v>1432</v>
      </c>
      <c r="JU1" t="s">
        <v>1433</v>
      </c>
      <c r="JV1" t="s">
        <v>1434</v>
      </c>
      <c r="JW1" t="s">
        <v>1435</v>
      </c>
      <c r="JX1" t="s">
        <v>1436</v>
      </c>
      <c r="JY1" t="s">
        <v>1437</v>
      </c>
      <c r="JZ1" t="s">
        <v>1438</v>
      </c>
      <c r="KA1" t="s">
        <v>1439</v>
      </c>
      <c r="KB1" t="s">
        <v>1440</v>
      </c>
      <c r="KC1" t="s">
        <v>1441</v>
      </c>
      <c r="KD1" t="s">
        <v>1442</v>
      </c>
      <c r="KE1" t="s">
        <v>1443</v>
      </c>
      <c r="KF1" t="s">
        <v>1444</v>
      </c>
      <c r="KG1" t="s">
        <v>1445</v>
      </c>
      <c r="KH1" t="s">
        <v>1446</v>
      </c>
      <c r="KI1" t="s">
        <v>1447</v>
      </c>
      <c r="KJ1" t="s">
        <v>1448</v>
      </c>
      <c r="KK1" t="s">
        <v>1449</v>
      </c>
      <c r="KL1" t="s">
        <v>1450</v>
      </c>
      <c r="KM1" t="s">
        <v>1451</v>
      </c>
      <c r="KN1" t="s">
        <v>1452</v>
      </c>
      <c r="KO1" t="s">
        <v>1453</v>
      </c>
      <c r="KP1" t="s">
        <v>1454</v>
      </c>
      <c r="KQ1" t="s">
        <v>1455</v>
      </c>
      <c r="KR1" t="s">
        <v>1456</v>
      </c>
      <c r="KS1" t="s">
        <v>1457</v>
      </c>
      <c r="KT1" t="s">
        <v>1458</v>
      </c>
      <c r="KU1" t="s">
        <v>1459</v>
      </c>
      <c r="KV1" t="s">
        <v>1460</v>
      </c>
      <c r="KW1" t="s">
        <v>1461</v>
      </c>
      <c r="KX1" t="s">
        <v>1462</v>
      </c>
      <c r="KY1" t="s">
        <v>1463</v>
      </c>
      <c r="KZ1" t="s">
        <v>1464</v>
      </c>
      <c r="LA1" t="s">
        <v>1465</v>
      </c>
      <c r="LB1" t="s">
        <v>1466</v>
      </c>
      <c r="LC1" t="s">
        <v>1467</v>
      </c>
      <c r="LD1" t="s">
        <v>1468</v>
      </c>
      <c r="LE1" t="s">
        <v>1469</v>
      </c>
      <c r="LF1" t="s">
        <v>1470</v>
      </c>
      <c r="LG1" t="s">
        <v>1471</v>
      </c>
      <c r="LH1" t="s">
        <v>1472</v>
      </c>
      <c r="LI1" t="s">
        <v>1473</v>
      </c>
      <c r="LJ1" t="s">
        <v>1474</v>
      </c>
      <c r="LK1" t="s">
        <v>1475</v>
      </c>
      <c r="LL1" t="s">
        <v>1476</v>
      </c>
      <c r="LM1" t="s">
        <v>1477</v>
      </c>
      <c r="LN1" t="s">
        <v>1478</v>
      </c>
      <c r="LO1" t="s">
        <v>1479</v>
      </c>
      <c r="LP1" t="s">
        <v>1480</v>
      </c>
      <c r="LQ1" t="s">
        <v>1481</v>
      </c>
      <c r="LR1" t="s">
        <v>1482</v>
      </c>
      <c r="LS1" t="s">
        <v>1483</v>
      </c>
      <c r="LT1" t="s">
        <v>1484</v>
      </c>
      <c r="LU1" t="s">
        <v>1485</v>
      </c>
      <c r="LV1" t="s">
        <v>1486</v>
      </c>
      <c r="LW1" t="s">
        <v>1487</v>
      </c>
      <c r="LX1" t="s">
        <v>1488</v>
      </c>
      <c r="LY1" t="s">
        <v>1489</v>
      </c>
      <c r="LZ1" t="s">
        <v>1490</v>
      </c>
      <c r="MA1" t="s">
        <v>1491</v>
      </c>
      <c r="MB1" t="s">
        <v>1492</v>
      </c>
      <c r="MC1" t="s">
        <v>1493</v>
      </c>
      <c r="MD1" t="s">
        <v>1494</v>
      </c>
      <c r="ME1" t="s">
        <v>1495</v>
      </c>
      <c r="MF1" t="s">
        <v>1496</v>
      </c>
      <c r="MG1" t="s">
        <v>1497</v>
      </c>
      <c r="MH1" t="s">
        <v>1498</v>
      </c>
      <c r="MI1" t="s">
        <v>1499</v>
      </c>
      <c r="MJ1" t="s">
        <v>1500</v>
      </c>
      <c r="MK1" t="s">
        <v>1501</v>
      </c>
      <c r="ML1" t="s">
        <v>1502</v>
      </c>
      <c r="MM1" t="s">
        <v>1503</v>
      </c>
      <c r="MN1" t="s">
        <v>1504</v>
      </c>
      <c r="MO1" t="s">
        <v>1505</v>
      </c>
      <c r="MP1" t="s">
        <v>1506</v>
      </c>
      <c r="MQ1" t="s">
        <v>1507</v>
      </c>
      <c r="MR1" t="s">
        <v>1508</v>
      </c>
      <c r="MS1" t="s">
        <v>1509</v>
      </c>
      <c r="MT1" t="s">
        <v>1510</v>
      </c>
      <c r="MU1" t="s">
        <v>1511</v>
      </c>
      <c r="MV1" t="s">
        <v>1512</v>
      </c>
      <c r="MW1" t="s">
        <v>1513</v>
      </c>
      <c r="MX1" t="s">
        <v>1514</v>
      </c>
      <c r="MY1" t="s">
        <v>1515</v>
      </c>
      <c r="MZ1" t="s">
        <v>1516</v>
      </c>
      <c r="NA1" t="s">
        <v>1517</v>
      </c>
      <c r="NB1" t="s">
        <v>1518</v>
      </c>
      <c r="NC1" t="s">
        <v>1519</v>
      </c>
      <c r="ND1" t="s">
        <v>1520</v>
      </c>
      <c r="NE1" t="s">
        <v>1521</v>
      </c>
      <c r="NF1" t="s">
        <v>1522</v>
      </c>
      <c r="NG1" t="s">
        <v>1523</v>
      </c>
      <c r="NH1" t="s">
        <v>1524</v>
      </c>
      <c r="NI1" t="s">
        <v>1525</v>
      </c>
      <c r="NJ1" t="s">
        <v>1526</v>
      </c>
      <c r="NK1" t="s">
        <v>1527</v>
      </c>
      <c r="NL1" t="s">
        <v>1528</v>
      </c>
      <c r="NM1" t="s">
        <v>1529</v>
      </c>
      <c r="NN1" t="s">
        <v>1530</v>
      </c>
      <c r="NO1" t="s">
        <v>1531</v>
      </c>
      <c r="NP1" t="s">
        <v>1532</v>
      </c>
      <c r="NQ1" t="s">
        <v>1533</v>
      </c>
      <c r="NR1" t="s">
        <v>1534</v>
      </c>
      <c r="NS1" t="s">
        <v>1535</v>
      </c>
      <c r="NT1" t="s">
        <v>1536</v>
      </c>
      <c r="NU1" t="s">
        <v>1537</v>
      </c>
      <c r="NV1" t="s">
        <v>1538</v>
      </c>
      <c r="NW1" t="s">
        <v>1539</v>
      </c>
      <c r="NX1" t="s">
        <v>1540</v>
      </c>
      <c r="NY1" t="s">
        <v>1541</v>
      </c>
      <c r="NZ1" t="s">
        <v>1542</v>
      </c>
      <c r="OA1" t="s">
        <v>1543</v>
      </c>
      <c r="OB1" t="s">
        <v>1544</v>
      </c>
      <c r="OC1" t="s">
        <v>1545</v>
      </c>
      <c r="OD1" t="s">
        <v>1546</v>
      </c>
      <c r="OE1" t="s">
        <v>1547</v>
      </c>
      <c r="OF1" t="s">
        <v>1548</v>
      </c>
      <c r="OG1" t="s">
        <v>1549</v>
      </c>
      <c r="OH1" t="s">
        <v>1550</v>
      </c>
      <c r="OI1" t="s">
        <v>1551</v>
      </c>
      <c r="OJ1" t="s">
        <v>1552</v>
      </c>
      <c r="OK1" t="s">
        <v>1553</v>
      </c>
      <c r="OL1" t="s">
        <v>1554</v>
      </c>
      <c r="OM1" t="s">
        <v>1555</v>
      </c>
      <c r="ON1" t="s">
        <v>1556</v>
      </c>
      <c r="OO1" t="s">
        <v>1557</v>
      </c>
      <c r="OP1" t="s">
        <v>1558</v>
      </c>
      <c r="OQ1" t="s">
        <v>1559</v>
      </c>
      <c r="OR1" t="s">
        <v>1560</v>
      </c>
      <c r="OS1" t="s">
        <v>1561</v>
      </c>
      <c r="OT1" t="s">
        <v>1562</v>
      </c>
      <c r="OU1" t="s">
        <v>1563</v>
      </c>
      <c r="OV1" t="s">
        <v>1564</v>
      </c>
      <c r="OW1" t="s">
        <v>1565</v>
      </c>
      <c r="OX1" t="s">
        <v>1566</v>
      </c>
      <c r="OY1" t="s">
        <v>1567</v>
      </c>
      <c r="OZ1" t="s">
        <v>1568</v>
      </c>
      <c r="PA1" t="s">
        <v>1569</v>
      </c>
      <c r="PB1" t="s">
        <v>1570</v>
      </c>
      <c r="PC1" t="s">
        <v>1571</v>
      </c>
      <c r="PD1" t="s">
        <v>1572</v>
      </c>
      <c r="PE1" t="s">
        <v>1573</v>
      </c>
      <c r="PF1" t="s">
        <v>1574</v>
      </c>
      <c r="PG1" t="s">
        <v>1575</v>
      </c>
      <c r="PH1" t="s">
        <v>1576</v>
      </c>
      <c r="PI1" t="s">
        <v>1577</v>
      </c>
      <c r="PJ1" t="s">
        <v>1578</v>
      </c>
      <c r="PK1" t="s">
        <v>1579</v>
      </c>
      <c r="PL1" t="s">
        <v>1580</v>
      </c>
      <c r="PM1" t="s">
        <v>1581</v>
      </c>
      <c r="PN1" t="s">
        <v>1582</v>
      </c>
      <c r="PO1" t="s">
        <v>1583</v>
      </c>
      <c r="PP1" t="s">
        <v>1584</v>
      </c>
      <c r="PQ1" t="s">
        <v>1585</v>
      </c>
      <c r="PR1" t="s">
        <v>1586</v>
      </c>
      <c r="PS1" t="s">
        <v>1587</v>
      </c>
      <c r="PT1" t="s">
        <v>1588</v>
      </c>
      <c r="PU1" t="s">
        <v>1589</v>
      </c>
      <c r="PV1" t="s">
        <v>1590</v>
      </c>
      <c r="PW1" t="s">
        <v>1591</v>
      </c>
      <c r="PX1" t="s">
        <v>1592</v>
      </c>
      <c r="PY1" t="s">
        <v>1593</v>
      </c>
      <c r="PZ1" t="s">
        <v>1594</v>
      </c>
      <c r="QA1" t="s">
        <v>1595</v>
      </c>
      <c r="QB1" t="s">
        <v>1596</v>
      </c>
      <c r="QC1" t="s">
        <v>1597</v>
      </c>
      <c r="QD1" t="s">
        <v>1598</v>
      </c>
      <c r="QE1" t="s">
        <v>1599</v>
      </c>
      <c r="QF1" t="s">
        <v>1600</v>
      </c>
      <c r="QG1" t="s">
        <v>1601</v>
      </c>
      <c r="QH1" t="s">
        <v>1602</v>
      </c>
      <c r="QI1" t="s">
        <v>1603</v>
      </c>
      <c r="QJ1" t="s">
        <v>1604</v>
      </c>
      <c r="QK1" t="s">
        <v>1605</v>
      </c>
      <c r="QL1" t="s">
        <v>1606</v>
      </c>
      <c r="QM1" t="s">
        <v>1607</v>
      </c>
      <c r="QN1" t="s">
        <v>1608</v>
      </c>
      <c r="QO1" t="s">
        <v>1609</v>
      </c>
      <c r="QP1" t="s">
        <v>1610</v>
      </c>
      <c r="QQ1" t="s">
        <v>1611</v>
      </c>
      <c r="QR1" t="s">
        <v>1612</v>
      </c>
      <c r="QS1" t="s">
        <v>1613</v>
      </c>
      <c r="QT1" t="s">
        <v>1614</v>
      </c>
      <c r="QU1" t="s">
        <v>1615</v>
      </c>
      <c r="QV1" t="s">
        <v>1616</v>
      </c>
      <c r="QW1" t="s">
        <v>1617</v>
      </c>
      <c r="QX1" t="s">
        <v>1618</v>
      </c>
      <c r="QY1" t="s">
        <v>1619</v>
      </c>
      <c r="QZ1" t="s">
        <v>1620</v>
      </c>
      <c r="RA1" t="s">
        <v>1621</v>
      </c>
      <c r="RB1" t="s">
        <v>1622</v>
      </c>
      <c r="RC1" t="s">
        <v>1623</v>
      </c>
      <c r="RD1" t="s">
        <v>1624</v>
      </c>
      <c r="RE1" t="s">
        <v>1625</v>
      </c>
      <c r="RF1" t="s">
        <v>1626</v>
      </c>
      <c r="RG1" t="s">
        <v>1627</v>
      </c>
      <c r="RH1" t="s">
        <v>1628</v>
      </c>
      <c r="RI1" t="s">
        <v>1629</v>
      </c>
      <c r="RJ1" t="s">
        <v>1630</v>
      </c>
      <c r="RK1" t="s">
        <v>1631</v>
      </c>
      <c r="RL1" t="s">
        <v>1632</v>
      </c>
      <c r="RM1" t="s">
        <v>1633</v>
      </c>
      <c r="RN1" t="s">
        <v>1634</v>
      </c>
      <c r="RO1" t="s">
        <v>1635</v>
      </c>
      <c r="RP1" t="s">
        <v>1636</v>
      </c>
      <c r="RQ1" t="s">
        <v>1637</v>
      </c>
      <c r="RR1" t="s">
        <v>1638</v>
      </c>
      <c r="RS1" t="s">
        <v>1639</v>
      </c>
      <c r="RT1" t="s">
        <v>1640</v>
      </c>
      <c r="RU1" t="s">
        <v>1641</v>
      </c>
      <c r="RV1" t="s">
        <v>1642</v>
      </c>
      <c r="RW1" t="s">
        <v>1643</v>
      </c>
      <c r="RX1" t="s">
        <v>1644</v>
      </c>
      <c r="RY1" t="s">
        <v>1645</v>
      </c>
      <c r="RZ1" t="s">
        <v>1646</v>
      </c>
      <c r="SA1" t="s">
        <v>1647</v>
      </c>
      <c r="SB1" t="s">
        <v>1648</v>
      </c>
      <c r="SC1" t="s">
        <v>1649</v>
      </c>
      <c r="SD1" t="s">
        <v>1650</v>
      </c>
      <c r="SE1" t="s">
        <v>1651</v>
      </c>
      <c r="SF1" t="s">
        <v>1652</v>
      </c>
      <c r="SG1" t="s">
        <v>1653</v>
      </c>
      <c r="SH1" t="s">
        <v>1654</v>
      </c>
      <c r="SI1" t="s">
        <v>1655</v>
      </c>
      <c r="SJ1" t="s">
        <v>1656</v>
      </c>
      <c r="SK1" t="s">
        <v>1657</v>
      </c>
      <c r="SL1" t="s">
        <v>1658</v>
      </c>
      <c r="SM1" t="s">
        <v>1659</v>
      </c>
      <c r="SN1" t="s">
        <v>1660</v>
      </c>
      <c r="SO1" t="s">
        <v>1661</v>
      </c>
      <c r="SP1" t="s">
        <v>1662</v>
      </c>
      <c r="SQ1" t="s">
        <v>1663</v>
      </c>
      <c r="SR1" t="s">
        <v>1664</v>
      </c>
      <c r="SS1" t="s">
        <v>1665</v>
      </c>
      <c r="ST1" t="s">
        <v>1666</v>
      </c>
      <c r="SU1" t="s">
        <v>1667</v>
      </c>
      <c r="SV1" t="s">
        <v>1668</v>
      </c>
      <c r="SW1" t="s">
        <v>1669</v>
      </c>
      <c r="SX1" t="s">
        <v>1670</v>
      </c>
      <c r="SY1" t="s">
        <v>1671</v>
      </c>
      <c r="SZ1" t="s">
        <v>1672</v>
      </c>
      <c r="TA1" t="s">
        <v>1673</v>
      </c>
      <c r="TB1" t="s">
        <v>1674</v>
      </c>
      <c r="TC1" t="s">
        <v>1675</v>
      </c>
      <c r="TD1" t="s">
        <v>1676</v>
      </c>
      <c r="TE1" t="s">
        <v>1677</v>
      </c>
      <c r="TF1" t="s">
        <v>1678</v>
      </c>
      <c r="TG1" t="s">
        <v>1679</v>
      </c>
      <c r="TH1" t="s">
        <v>1680</v>
      </c>
      <c r="TI1" t="s">
        <v>1681</v>
      </c>
      <c r="TJ1" t="s">
        <v>1682</v>
      </c>
      <c r="TK1" t="s">
        <v>1683</v>
      </c>
      <c r="TL1" t="s">
        <v>1684</v>
      </c>
      <c r="TM1" t="s">
        <v>1685</v>
      </c>
      <c r="TN1" t="s">
        <v>1686</v>
      </c>
      <c r="TO1" t="s">
        <v>1687</v>
      </c>
      <c r="TP1" t="s">
        <v>1688</v>
      </c>
      <c r="TQ1" t="s">
        <v>1689</v>
      </c>
      <c r="TR1" t="s">
        <v>1690</v>
      </c>
      <c r="TS1" t="s">
        <v>1691</v>
      </c>
      <c r="TT1" t="s">
        <v>1692</v>
      </c>
      <c r="TU1" t="s">
        <v>1693</v>
      </c>
      <c r="TV1" t="s">
        <v>1694</v>
      </c>
      <c r="TW1" t="s">
        <v>1695</v>
      </c>
      <c r="TX1" t="s">
        <v>1696</v>
      </c>
      <c r="TY1" t="s">
        <v>1697</v>
      </c>
      <c r="TZ1" t="s">
        <v>1698</v>
      </c>
      <c r="UA1" t="s">
        <v>1699</v>
      </c>
      <c r="UB1" t="s">
        <v>1700</v>
      </c>
      <c r="UC1" t="s">
        <v>1701</v>
      </c>
      <c r="UD1" t="s">
        <v>1702</v>
      </c>
      <c r="UE1" t="s">
        <v>1703</v>
      </c>
      <c r="UF1" t="s">
        <v>1704</v>
      </c>
      <c r="UG1" t="s">
        <v>1705</v>
      </c>
      <c r="UH1" t="s">
        <v>1706</v>
      </c>
      <c r="UI1" t="s">
        <v>1707</v>
      </c>
      <c r="UJ1" t="s">
        <v>1708</v>
      </c>
      <c r="UK1" t="s">
        <v>1709</v>
      </c>
      <c r="UL1" t="s">
        <v>1710</v>
      </c>
      <c r="UM1" t="s">
        <v>1711</v>
      </c>
      <c r="UN1" t="s">
        <v>1712</v>
      </c>
      <c r="UO1" t="s">
        <v>1713</v>
      </c>
      <c r="UP1" t="s">
        <v>1714</v>
      </c>
      <c r="UQ1" t="s">
        <v>1715</v>
      </c>
      <c r="UR1" t="s">
        <v>1716</v>
      </c>
      <c r="US1" t="s">
        <v>1717</v>
      </c>
      <c r="UT1" t="s">
        <v>1718</v>
      </c>
      <c r="UU1" t="s">
        <v>1719</v>
      </c>
      <c r="UV1" t="s">
        <v>1720</v>
      </c>
      <c r="UW1" t="s">
        <v>1721</v>
      </c>
      <c r="UX1" t="s">
        <v>1722</v>
      </c>
      <c r="UY1" t="s">
        <v>1723</v>
      </c>
      <c r="UZ1" t="s">
        <v>1724</v>
      </c>
      <c r="VA1" t="s">
        <v>1725</v>
      </c>
      <c r="VB1" t="s">
        <v>1726</v>
      </c>
      <c r="VC1" t="s">
        <v>1727</v>
      </c>
      <c r="VD1" t="s">
        <v>1728</v>
      </c>
      <c r="VE1" t="s">
        <v>1729</v>
      </c>
      <c r="VF1" t="s">
        <v>1730</v>
      </c>
      <c r="VG1" t="s">
        <v>1731</v>
      </c>
      <c r="VH1" t="s">
        <v>1732</v>
      </c>
      <c r="VI1" t="s">
        <v>1733</v>
      </c>
      <c r="VJ1" t="s">
        <v>1734</v>
      </c>
      <c r="VK1" t="s">
        <v>1735</v>
      </c>
      <c r="VL1" t="s">
        <v>1736</v>
      </c>
      <c r="VM1" t="s">
        <v>1737</v>
      </c>
      <c r="VN1" t="s">
        <v>1738</v>
      </c>
      <c r="VO1" t="s">
        <v>1739</v>
      </c>
      <c r="VP1" t="s">
        <v>1740</v>
      </c>
      <c r="VQ1" t="s">
        <v>1741</v>
      </c>
      <c r="VR1" t="s">
        <v>1742</v>
      </c>
      <c r="VS1" t="s">
        <v>1743</v>
      </c>
      <c r="VT1" t="s">
        <v>1744</v>
      </c>
      <c r="VU1" t="s">
        <v>1745</v>
      </c>
      <c r="VV1" t="s">
        <v>1746</v>
      </c>
      <c r="VW1" t="s">
        <v>1747</v>
      </c>
      <c r="VX1" t="s">
        <v>1748</v>
      </c>
      <c r="VY1" t="s">
        <v>1749</v>
      </c>
      <c r="VZ1" t="s">
        <v>1750</v>
      </c>
      <c r="WA1" t="s">
        <v>1751</v>
      </c>
      <c r="WB1" t="s">
        <v>1752</v>
      </c>
      <c r="WC1" t="s">
        <v>1753</v>
      </c>
      <c r="WD1" t="s">
        <v>1754</v>
      </c>
      <c r="WE1" t="s">
        <v>1755</v>
      </c>
      <c r="WF1" t="s">
        <v>1756</v>
      </c>
      <c r="WG1" t="s">
        <v>1757</v>
      </c>
      <c r="WH1" t="s">
        <v>1758</v>
      </c>
      <c r="WI1" t="s">
        <v>1759</v>
      </c>
      <c r="WJ1" t="s">
        <v>1760</v>
      </c>
      <c r="WK1" t="s">
        <v>1761</v>
      </c>
      <c r="WL1" t="s">
        <v>1762</v>
      </c>
      <c r="WM1" t="s">
        <v>1763</v>
      </c>
      <c r="WN1" t="s">
        <v>1764</v>
      </c>
      <c r="WO1" t="s">
        <v>1765</v>
      </c>
      <c r="WP1" t="s">
        <v>1766</v>
      </c>
      <c r="WQ1" t="s">
        <v>1767</v>
      </c>
      <c r="WR1" t="s">
        <v>1768</v>
      </c>
      <c r="WS1" t="s">
        <v>1769</v>
      </c>
      <c r="WT1" t="s">
        <v>1770</v>
      </c>
      <c r="WU1" t="s">
        <v>1771</v>
      </c>
      <c r="WV1" t="s">
        <v>1772</v>
      </c>
      <c r="WW1" t="s">
        <v>1773</v>
      </c>
      <c r="WX1" t="s">
        <v>1774</v>
      </c>
      <c r="WY1" t="s">
        <v>1775</v>
      </c>
      <c r="WZ1" t="s">
        <v>1776</v>
      </c>
      <c r="XA1" t="s">
        <v>1777</v>
      </c>
      <c r="XB1" t="s">
        <v>1778</v>
      </c>
      <c r="XC1" t="s">
        <v>1779</v>
      </c>
      <c r="XD1" t="s">
        <v>1780</v>
      </c>
      <c r="XE1" t="s">
        <v>1781</v>
      </c>
      <c r="XF1" t="s">
        <v>1782</v>
      </c>
      <c r="XG1" t="s">
        <v>1783</v>
      </c>
      <c r="XH1" t="s">
        <v>1784</v>
      </c>
      <c r="XI1" t="s">
        <v>1785</v>
      </c>
      <c r="XJ1" t="s">
        <v>1786</v>
      </c>
      <c r="XK1" t="s">
        <v>1787</v>
      </c>
      <c r="XL1" t="s">
        <v>1788</v>
      </c>
      <c r="XM1" t="s">
        <v>1789</v>
      </c>
      <c r="XN1" t="s">
        <v>1790</v>
      </c>
      <c r="XO1" t="s">
        <v>1791</v>
      </c>
      <c r="XP1" t="s">
        <v>1792</v>
      </c>
      <c r="XQ1" t="s">
        <v>1793</v>
      </c>
      <c r="XR1" t="s">
        <v>1794</v>
      </c>
      <c r="XS1" t="s">
        <v>1795</v>
      </c>
      <c r="XT1" t="s">
        <v>1796</v>
      </c>
      <c r="XU1" t="s">
        <v>1797</v>
      </c>
      <c r="XV1" t="s">
        <v>1798</v>
      </c>
      <c r="XW1" t="s">
        <v>1799</v>
      </c>
      <c r="XX1" t="s">
        <v>1800</v>
      </c>
      <c r="XY1" t="s">
        <v>1801</v>
      </c>
      <c r="XZ1" t="s">
        <v>1802</v>
      </c>
      <c r="YA1" t="s">
        <v>1803</v>
      </c>
      <c r="YB1" t="s">
        <v>1804</v>
      </c>
      <c r="YC1" t="s">
        <v>1805</v>
      </c>
      <c r="YD1" t="s">
        <v>1806</v>
      </c>
      <c r="YE1" t="s">
        <v>1807</v>
      </c>
      <c r="YF1" t="s">
        <v>1808</v>
      </c>
      <c r="YG1" t="s">
        <v>1809</v>
      </c>
      <c r="YH1" t="s">
        <v>1810</v>
      </c>
      <c r="YI1" t="s">
        <v>1811</v>
      </c>
      <c r="YJ1" t="s">
        <v>1812</v>
      </c>
      <c r="YK1" t="s">
        <v>1813</v>
      </c>
      <c r="YL1" t="s">
        <v>1814</v>
      </c>
      <c r="YM1" t="s">
        <v>1815</v>
      </c>
      <c r="YN1" t="s">
        <v>1816</v>
      </c>
      <c r="YO1" t="s">
        <v>1817</v>
      </c>
      <c r="YP1" t="s">
        <v>1818</v>
      </c>
      <c r="YQ1" t="s">
        <v>1819</v>
      </c>
      <c r="YR1" t="s">
        <v>1820</v>
      </c>
      <c r="YS1" t="s">
        <v>1821</v>
      </c>
      <c r="YT1" t="s">
        <v>1822</v>
      </c>
      <c r="YU1" t="s">
        <v>1823</v>
      </c>
      <c r="YV1" t="s">
        <v>1824</v>
      </c>
      <c r="YW1" t="s">
        <v>1825</v>
      </c>
      <c r="YX1" t="s">
        <v>1826</v>
      </c>
      <c r="YY1" t="s">
        <v>1827</v>
      </c>
      <c r="YZ1" t="s">
        <v>1828</v>
      </c>
      <c r="ZA1" t="s">
        <v>1829</v>
      </c>
      <c r="ZB1" t="s">
        <v>1830</v>
      </c>
      <c r="ZC1" t="s">
        <v>1831</v>
      </c>
      <c r="ZD1" t="s">
        <v>1832</v>
      </c>
      <c r="ZE1" t="s">
        <v>1833</v>
      </c>
      <c r="ZF1" t="s">
        <v>1834</v>
      </c>
      <c r="ZG1" t="s">
        <v>1835</v>
      </c>
      <c r="ZH1" t="s">
        <v>1836</v>
      </c>
      <c r="ZI1" t="s">
        <v>1837</v>
      </c>
      <c r="ZJ1" t="s">
        <v>1838</v>
      </c>
      <c r="ZK1" t="s">
        <v>1839</v>
      </c>
      <c r="ZL1" t="s">
        <v>1840</v>
      </c>
      <c r="ZM1" t="s">
        <v>1841</v>
      </c>
      <c r="ZN1" t="s">
        <v>1842</v>
      </c>
      <c r="ZO1" t="s">
        <v>1843</v>
      </c>
      <c r="ZP1" t="s">
        <v>1844</v>
      </c>
      <c r="ZQ1" t="s">
        <v>1845</v>
      </c>
      <c r="ZR1" t="s">
        <v>1846</v>
      </c>
      <c r="ZS1" t="s">
        <v>1847</v>
      </c>
      <c r="ZT1" t="s">
        <v>1848</v>
      </c>
      <c r="ZU1" t="s">
        <v>1849</v>
      </c>
      <c r="ZV1" t="s">
        <v>1850</v>
      </c>
      <c r="ZW1" t="s">
        <v>1851</v>
      </c>
      <c r="ZX1" t="s">
        <v>1852</v>
      </c>
      <c r="ZY1" t="s">
        <v>1853</v>
      </c>
      <c r="ZZ1" t="s">
        <v>1854</v>
      </c>
      <c r="AAA1" t="s">
        <v>1855</v>
      </c>
      <c r="AAB1" t="s">
        <v>1856</v>
      </c>
      <c r="AAC1" t="s">
        <v>1857</v>
      </c>
      <c r="AAD1" t="s">
        <v>1858</v>
      </c>
      <c r="AAE1" t="s">
        <v>1859</v>
      </c>
      <c r="AAF1" t="s">
        <v>1860</v>
      </c>
      <c r="AAG1" t="s">
        <v>1861</v>
      </c>
      <c r="AAH1" t="s">
        <v>1862</v>
      </c>
      <c r="AAI1" t="s">
        <v>1863</v>
      </c>
      <c r="AAJ1" t="s">
        <v>1864</v>
      </c>
      <c r="AAK1" t="s">
        <v>1865</v>
      </c>
      <c r="AAL1" t="s">
        <v>1866</v>
      </c>
      <c r="AAM1" t="s">
        <v>1867</v>
      </c>
      <c r="AAN1" t="s">
        <v>1868</v>
      </c>
      <c r="AAO1" t="s">
        <v>1869</v>
      </c>
      <c r="AAP1" t="s">
        <v>1870</v>
      </c>
      <c r="AAQ1" t="s">
        <v>1871</v>
      </c>
      <c r="AAR1" t="s">
        <v>1872</v>
      </c>
      <c r="AAS1" t="s">
        <v>1873</v>
      </c>
      <c r="AAT1" t="s">
        <v>1874</v>
      </c>
      <c r="AAU1" t="s">
        <v>1875</v>
      </c>
      <c r="AAV1" t="s">
        <v>1876</v>
      </c>
      <c r="AAW1" t="s">
        <v>1877</v>
      </c>
      <c r="AAX1" t="s">
        <v>1878</v>
      </c>
      <c r="AAY1" t="s">
        <v>1879</v>
      </c>
      <c r="AAZ1" t="s">
        <v>1880</v>
      </c>
      <c r="ABA1" t="s">
        <v>1881</v>
      </c>
      <c r="ABB1" t="s">
        <v>1882</v>
      </c>
      <c r="ABC1" t="s">
        <v>1883</v>
      </c>
      <c r="ABD1" t="s">
        <v>1884</v>
      </c>
      <c r="ABE1" t="s">
        <v>1885</v>
      </c>
      <c r="ABF1" t="s">
        <v>1886</v>
      </c>
      <c r="ABG1" t="s">
        <v>1887</v>
      </c>
      <c r="ABH1" t="s">
        <v>1888</v>
      </c>
      <c r="ABI1" t="s">
        <v>1889</v>
      </c>
      <c r="ABJ1" t="s">
        <v>1890</v>
      </c>
      <c r="ABK1" t="s">
        <v>1891</v>
      </c>
      <c r="ABL1" t="s">
        <v>1892</v>
      </c>
      <c r="ABM1" t="s">
        <v>1893</v>
      </c>
      <c r="ABN1" t="s">
        <v>1894</v>
      </c>
      <c r="ABO1" t="s">
        <v>1895</v>
      </c>
      <c r="ABP1" t="s">
        <v>1896</v>
      </c>
      <c r="ABQ1" t="s">
        <v>1897</v>
      </c>
      <c r="ABR1" t="s">
        <v>1898</v>
      </c>
      <c r="ABS1" t="s">
        <v>1899</v>
      </c>
      <c r="ABT1" t="s">
        <v>1900</v>
      </c>
      <c r="ABU1" t="s">
        <v>1901</v>
      </c>
      <c r="ABV1" t="s">
        <v>1902</v>
      </c>
      <c r="ABW1" t="s">
        <v>1903</v>
      </c>
      <c r="ABX1" t="s">
        <v>1904</v>
      </c>
      <c r="ABY1" t="s">
        <v>1905</v>
      </c>
      <c r="ABZ1" t="s">
        <v>1906</v>
      </c>
      <c r="ACA1" t="s">
        <v>1907</v>
      </c>
      <c r="ACB1" t="s">
        <v>1908</v>
      </c>
      <c r="ACC1" t="s">
        <v>1909</v>
      </c>
      <c r="ACD1" t="s">
        <v>1910</v>
      </c>
      <c r="ACE1" t="s">
        <v>1911</v>
      </c>
      <c r="ACF1" t="s">
        <v>1912</v>
      </c>
      <c r="ACG1" t="s">
        <v>1913</v>
      </c>
      <c r="ACH1" t="s">
        <v>1914</v>
      </c>
      <c r="ACI1" t="s">
        <v>1915</v>
      </c>
      <c r="ACJ1" t="s">
        <v>1916</v>
      </c>
      <c r="ACK1" t="s">
        <v>1917</v>
      </c>
      <c r="ACL1" t="s">
        <v>1918</v>
      </c>
      <c r="ACM1" t="s">
        <v>1919</v>
      </c>
      <c r="ACN1" t="s">
        <v>1920</v>
      </c>
      <c r="ACO1" t="s">
        <v>1921</v>
      </c>
      <c r="ACP1" t="s">
        <v>1922</v>
      </c>
      <c r="ACQ1" t="s">
        <v>1923</v>
      </c>
      <c r="ACR1" t="s">
        <v>1924</v>
      </c>
      <c r="ACS1" t="s">
        <v>1925</v>
      </c>
      <c r="ACT1" t="s">
        <v>1926</v>
      </c>
      <c r="ACU1" t="s">
        <v>1927</v>
      </c>
      <c r="ACV1" t="s">
        <v>1928</v>
      </c>
      <c r="ACW1" t="s">
        <v>1929</v>
      </c>
      <c r="ACX1" t="s">
        <v>1930</v>
      </c>
      <c r="ACY1" t="s">
        <v>1931</v>
      </c>
      <c r="ACZ1" t="s">
        <v>1932</v>
      </c>
      <c r="ADA1" t="s">
        <v>1933</v>
      </c>
      <c r="ADB1" t="s">
        <v>1934</v>
      </c>
      <c r="ADC1" t="s">
        <v>1935</v>
      </c>
      <c r="ADD1" t="s">
        <v>1936</v>
      </c>
      <c r="ADE1" t="s">
        <v>1937</v>
      </c>
      <c r="ADF1" t="s">
        <v>1938</v>
      </c>
      <c r="ADG1" t="s">
        <v>1939</v>
      </c>
      <c r="ADH1" t="s">
        <v>1940</v>
      </c>
      <c r="ADI1" t="s">
        <v>1941</v>
      </c>
      <c r="ADJ1" t="s">
        <v>1942</v>
      </c>
      <c r="ADK1" t="s">
        <v>1943</v>
      </c>
      <c r="ADL1" t="s">
        <v>1944</v>
      </c>
      <c r="ADM1" t="s">
        <v>1945</v>
      </c>
      <c r="ADN1" t="s">
        <v>1946</v>
      </c>
      <c r="ADO1" t="s">
        <v>1947</v>
      </c>
      <c r="ADP1" t="s">
        <v>1948</v>
      </c>
      <c r="ADQ1" t="s">
        <v>1949</v>
      </c>
      <c r="ADR1" t="s">
        <v>1950</v>
      </c>
      <c r="ADS1" t="s">
        <v>1951</v>
      </c>
      <c r="ADT1" t="s">
        <v>1952</v>
      </c>
      <c r="ADU1" t="s">
        <v>1953</v>
      </c>
      <c r="ADV1" t="s">
        <v>1954</v>
      </c>
      <c r="ADW1" t="s">
        <v>1955</v>
      </c>
      <c r="ADX1" t="s">
        <v>1956</v>
      </c>
      <c r="ADY1" t="s">
        <v>1957</v>
      </c>
      <c r="ADZ1" t="s">
        <v>1958</v>
      </c>
      <c r="AEA1" t="s">
        <v>1959</v>
      </c>
      <c r="AEB1" t="s">
        <v>1960</v>
      </c>
      <c r="AEC1" t="s">
        <v>1961</v>
      </c>
      <c r="AED1" t="s">
        <v>1962</v>
      </c>
      <c r="AEE1" t="s">
        <v>1963</v>
      </c>
      <c r="AEF1" t="s">
        <v>1964</v>
      </c>
      <c r="AEG1" t="s">
        <v>1965</v>
      </c>
      <c r="AEH1" t="s">
        <v>1966</v>
      </c>
      <c r="AEI1" t="s">
        <v>1967</v>
      </c>
      <c r="AEJ1" t="s">
        <v>1968</v>
      </c>
      <c r="AEK1" t="s">
        <v>1969</v>
      </c>
      <c r="AEL1" t="s">
        <v>1970</v>
      </c>
      <c r="AEM1" t="s">
        <v>1971</v>
      </c>
      <c r="AEN1" t="s">
        <v>1972</v>
      </c>
      <c r="AEO1" t="s">
        <v>1973</v>
      </c>
      <c r="AEP1" t="s">
        <v>1974</v>
      </c>
      <c r="AEQ1" t="s">
        <v>1975</v>
      </c>
      <c r="AER1" t="s">
        <v>1976</v>
      </c>
      <c r="AES1" t="s">
        <v>1977</v>
      </c>
      <c r="AET1" t="s">
        <v>1978</v>
      </c>
      <c r="AEU1" t="s">
        <v>1979</v>
      </c>
      <c r="AEV1" t="s">
        <v>1980</v>
      </c>
      <c r="AEW1" t="s">
        <v>1981</v>
      </c>
      <c r="AEX1" t="s">
        <v>1982</v>
      </c>
      <c r="AEY1" t="s">
        <v>1983</v>
      </c>
      <c r="AEZ1" t="s">
        <v>1984</v>
      </c>
      <c r="AFA1" t="s">
        <v>1985</v>
      </c>
      <c r="AFB1" t="s">
        <v>1986</v>
      </c>
      <c r="AFC1" t="s">
        <v>1987</v>
      </c>
      <c r="AFD1" t="s">
        <v>1988</v>
      </c>
      <c r="AFE1" t="s">
        <v>1989</v>
      </c>
      <c r="AFF1" t="s">
        <v>1990</v>
      </c>
      <c r="AFG1" t="s">
        <v>1991</v>
      </c>
      <c r="AFH1" t="s">
        <v>1992</v>
      </c>
      <c r="AFI1" t="s">
        <v>1993</v>
      </c>
      <c r="AFJ1" t="s">
        <v>1994</v>
      </c>
      <c r="AFK1" t="s">
        <v>1995</v>
      </c>
      <c r="AFL1" t="s">
        <v>1996</v>
      </c>
      <c r="AFM1" t="s">
        <v>1997</v>
      </c>
      <c r="AFN1" t="s">
        <v>1998</v>
      </c>
      <c r="AFO1" t="s">
        <v>1999</v>
      </c>
      <c r="AFP1" t="s">
        <v>2000</v>
      </c>
      <c r="AFQ1" t="s">
        <v>2001</v>
      </c>
      <c r="AFR1" t="s">
        <v>2002</v>
      </c>
      <c r="AFS1" t="s">
        <v>2003</v>
      </c>
      <c r="AFT1" t="s">
        <v>2004</v>
      </c>
      <c r="AFU1" t="s">
        <v>2005</v>
      </c>
      <c r="AFV1" t="s">
        <v>2006</v>
      </c>
      <c r="AFW1" t="s">
        <v>2007</v>
      </c>
      <c r="AFX1" t="s">
        <v>2008</v>
      </c>
      <c r="AFY1" t="s">
        <v>2009</v>
      </c>
      <c r="AFZ1" t="s">
        <v>2010</v>
      </c>
      <c r="AGA1" t="s">
        <v>2011</v>
      </c>
      <c r="AGB1" t="s">
        <v>2012</v>
      </c>
      <c r="AGC1" t="s">
        <v>2013</v>
      </c>
      <c r="AGD1" t="s">
        <v>2014</v>
      </c>
      <c r="AGE1" t="s">
        <v>2015</v>
      </c>
      <c r="AGF1" t="s">
        <v>2016</v>
      </c>
      <c r="AGG1" t="s">
        <v>2017</v>
      </c>
      <c r="AGH1" t="s">
        <v>2018</v>
      </c>
      <c r="AGI1" t="s">
        <v>2019</v>
      </c>
      <c r="AGJ1" t="s">
        <v>2020</v>
      </c>
      <c r="AGK1" t="s">
        <v>2021</v>
      </c>
      <c r="AGL1" t="s">
        <v>2022</v>
      </c>
      <c r="AGM1" t="s">
        <v>2023</v>
      </c>
      <c r="AGN1" t="s">
        <v>2024</v>
      </c>
      <c r="AGO1" t="s">
        <v>2025</v>
      </c>
      <c r="AGP1" t="s">
        <v>2026</v>
      </c>
      <c r="AGQ1" t="s">
        <v>2027</v>
      </c>
      <c r="AGR1" t="s">
        <v>2028</v>
      </c>
      <c r="AGS1" t="s">
        <v>2029</v>
      </c>
      <c r="AGT1" t="s">
        <v>2030</v>
      </c>
      <c r="AGU1" t="s">
        <v>2031</v>
      </c>
      <c r="AGV1" t="s">
        <v>2032</v>
      </c>
      <c r="AGW1" t="s">
        <v>2033</v>
      </c>
      <c r="AGX1" t="s">
        <v>2034</v>
      </c>
      <c r="AGY1" t="s">
        <v>2035</v>
      </c>
      <c r="AGZ1" t="s">
        <v>2036</v>
      </c>
      <c r="AHA1" t="s">
        <v>2037</v>
      </c>
      <c r="AHB1" t="s">
        <v>2038</v>
      </c>
      <c r="AHC1" t="s">
        <v>2039</v>
      </c>
      <c r="AHD1" t="s">
        <v>2040</v>
      </c>
      <c r="AHE1" t="s">
        <v>2041</v>
      </c>
      <c r="AHF1" t="s">
        <v>2042</v>
      </c>
      <c r="AHG1" t="s">
        <v>2043</v>
      </c>
      <c r="AHH1" t="s">
        <v>2044</v>
      </c>
      <c r="AHI1" t="s">
        <v>2045</v>
      </c>
      <c r="AHJ1" t="s">
        <v>2046</v>
      </c>
      <c r="AHK1" t="s">
        <v>2047</v>
      </c>
      <c r="AHL1" t="s">
        <v>2048</v>
      </c>
      <c r="AHM1" t="s">
        <v>2049</v>
      </c>
      <c r="AHN1" t="s">
        <v>2050</v>
      </c>
      <c r="AHO1" t="s">
        <v>2051</v>
      </c>
      <c r="AHP1" t="s">
        <v>2052</v>
      </c>
      <c r="AHQ1" t="s">
        <v>2053</v>
      </c>
      <c r="AHR1" t="s">
        <v>2054</v>
      </c>
      <c r="AHS1" t="s">
        <v>2055</v>
      </c>
    </row>
  </sheetData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18" ma:contentTypeDescription="Create a new document." ma:contentTypeScope="" ma:versionID="0af0ab1328f6c7f80245755c2c06e719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c91a455e3f6a0c94bf68d199800a786c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FE2FC-B898-4BE1-BE6E-986E2E3307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3BBC2-AAA4-47E2-B956-4030157171E5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customXml/itemProps3.xml><?xml version="1.0" encoding="utf-8"?>
<ds:datastoreItem xmlns:ds="http://schemas.openxmlformats.org/officeDocument/2006/customXml" ds:itemID="{7DFD8E21-57EA-4677-B066-DDE84AE1EE2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00129B1-CFA4-4FA5-BD83-C115C8715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DataCompleted</vt:lpstr>
      <vt:lpstr>cr_2017_question_map4</vt:lpstr>
      <vt:lpstr>DataMap</vt:lpstr>
      <vt:lpstr>AnswerMap</vt:lpstr>
      <vt:lpstr>DataCompletedRaw</vt:lpstr>
      <vt:lpstr>DataMapRaw</vt:lpstr>
      <vt:lpstr>AnswerMapRaw</vt:lpstr>
      <vt:lpstr>Sheet1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Elizabeth Kalinaki</cp:lastModifiedBy>
  <dcterms:created xsi:type="dcterms:W3CDTF">2020-12-01T15:21:03Z</dcterms:created>
  <dcterms:modified xsi:type="dcterms:W3CDTF">2023-06-28T12:41:14Z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2021-06-29T08:35:25Z</vt:filetime>
  </property>
  <property fmtid="{D5CDD505-2E9C-101B-9397-08002B2CF9AE}" pid="4" name="MediaServiceImageTags">
    <vt:lpwstr/>
  </property>
</Properties>
</file>