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Radj" sheetId="1" r:id="rId1"/>
    <sheet name="historical" sheetId="2" r:id="rId2"/>
    <sheet name="KeyFig (1)" sheetId="3" r:id="rId3"/>
    <sheet name="KeyFig (2)" sheetId="4" r:id="rId4"/>
    <sheet name="KeyFig (3)" sheetId="5" r:id="rId5"/>
    <sheet name="KeyFig (4)" sheetId="6" r:id="rId6"/>
    <sheet name="KeyFig (5)" sheetId="7" r:id="rId7"/>
    <sheet name="KeyFig (6)" sheetId="8" r:id="rId8"/>
    <sheet name="KeyFig (7)" sheetId="9" r:id="rId9"/>
    <sheet name="Figure (1)" sheetId="10" r:id="rId10"/>
    <sheet name="Figure (2)" sheetId="11" r:id="rId11"/>
    <sheet name="Figure (3)" sheetId="12" r:id="rId12"/>
    <sheet name="Figure (4)" sheetId="13" r:id="rId13"/>
    <sheet name="Figure (5)" sheetId="14" r:id="rId14"/>
    <sheet name="Figure (6)" sheetId="15" r:id="rId15"/>
    <sheet name="Figure (7)" sheetId="16" r:id="rId16"/>
    <sheet name="Figure (8)" sheetId="17" r:id="rId17"/>
    <sheet name="Figure (9)" sheetId="18" r:id="rId18"/>
    <sheet name="Figure (10)" sheetId="19" r:id="rId19"/>
    <sheet name="Figure (11)" sheetId="20" r:id="rId20"/>
    <sheet name="Figure (12)" sheetId="21" r:id="rId21"/>
    <sheet name="Figure (13)" sheetId="22" r:id="rId22"/>
    <sheet name="Figure (14)" sheetId="23" r:id="rId23"/>
    <sheet name="Figure (15)" sheetId="24" r:id="rId24"/>
    <sheet name="Figure (16-1)" sheetId="25" r:id="rId25"/>
    <sheet name="Figure (16-2)" sheetId="26" r:id="rId26"/>
    <sheet name="Figure (16-3)" sheetId="27" r:id="rId27"/>
    <sheet name="Figure (16-4)" sheetId="28" r:id="rId28"/>
    <sheet name="Figure (16-5)" sheetId="29" r:id="rId29"/>
    <sheet name="Figure (16-6)" sheetId="30" r:id="rId30"/>
    <sheet name="Figure (16-7)" sheetId="31" r:id="rId31"/>
    <sheet name="Figure (17)" sheetId="32" r:id="rId32"/>
    <sheet name="Figure (18-1)" sheetId="33" r:id="rId33"/>
    <sheet name="Figure (18-2)" sheetId="34" r:id="rId34"/>
    <sheet name="Figure (18-3)" sheetId="35" r:id="rId35"/>
    <sheet name="Figure (18-4)" sheetId="36" r:id="rId36"/>
    <sheet name="Figure (18-5)" sheetId="37" r:id="rId37"/>
    <sheet name="Figure (18-6)" sheetId="38" r:id="rId38"/>
    <sheet name="Figure (18-7)" sheetId="39" r:id="rId39"/>
    <sheet name="Figure (19)" sheetId="40" r:id="rId40"/>
    <sheet name="Figure (20)" sheetId="41" r:id="rId41"/>
    <sheet name="Figure (21)" sheetId="42" r:id="rId42"/>
    <sheet name="Figure (22)" sheetId="43" r:id="rId43"/>
    <sheet name="Figure (23)" sheetId="44" r:id="rId44"/>
    <sheet name="Figure (24)" sheetId="45" r:id="rId45"/>
    <sheet name="Figure (25)" sheetId="46" r:id="rId46"/>
    <sheet name="Figure (26)" sheetId="47" r:id="rId47"/>
    <sheet name="Figure (27)" sheetId="48" r:id="rId48"/>
    <sheet name="Figure (28)" sheetId="49" r:id="rId49"/>
    <sheet name="Figure (29)" sheetId="50" r:id="rId50"/>
    <sheet name="Figure (30)" sheetId="51" r:id="rId51"/>
    <sheet name="Figure (32)" sheetId="52" r:id="rId52"/>
    <sheet name="Figure (33)" sheetId="53" r:id="rId53"/>
    <sheet name="Figure (34)" sheetId="54" r:id="rId54"/>
    <sheet name="Figure (35)" sheetId="55" r:id="rId55"/>
    <sheet name="Figure (36)" sheetId="56" r:id="rId56"/>
    <sheet name="Figure (37)" sheetId="57" r:id="rId57"/>
    <sheet name="Figure (38)" sheetId="58" r:id="rId58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<sst xmlns="http://schemas.openxmlformats.org/spreadsheetml/2006/main" count="8644" uniqueCount="1082">
  <si>
    <t>record_id</t>
  </si>
  <si>
    <t>company</t>
  </si>
  <si>
    <t>region</t>
  </si>
  <si>
    <t>country</t>
  </si>
  <si>
    <t>region2</t>
  </si>
  <si>
    <t>date</t>
  </si>
  <si>
    <t>regionalstrategyasiapacific_vehicletype_total</t>
  </si>
  <si>
    <t>regionalstrategyeurope_vehicletype_total</t>
  </si>
  <si>
    <t>regionalstrategynorthamerica_vehicletype_total</t>
  </si>
  <si>
    <t>regionalstrategyglobal_vehicletype_total</t>
  </si>
  <si>
    <t>regionalstrategysouthamerica_vehicletype_total</t>
  </si>
  <si>
    <t>regionalstrategyafrica_vehicletype_total</t>
  </si>
  <si>
    <t>nonlistedrealestate</t>
  </si>
  <si>
    <t>regionalstrategy_nonlistedfunds_total</t>
  </si>
  <si>
    <t>regionalstrategy_separateaccountsdirect_total</t>
  </si>
  <si>
    <t>regionalstrategy_separateaccountsindirect_total</t>
  </si>
  <si>
    <t>regionalstrategy_jvs_total</t>
  </si>
  <si>
    <t>regionalstrategy_fundsoffunds_total</t>
  </si>
  <si>
    <t>regionalstrategy_debt_total</t>
  </si>
  <si>
    <t>investordomicileasiapacific_nonlistedfunds</t>
  </si>
  <si>
    <t>investordomicileeurope_nonlistedfunds</t>
  </si>
  <si>
    <t>investordomicilenorthamerica_nonlistedfunds</t>
  </si>
  <si>
    <t>investordomicilesouthamerica_nonlistedfunds</t>
  </si>
  <si>
    <t>investordomicileafrica_nonlistedfunds</t>
  </si>
  <si>
    <t>investordomicileasiapacific_separateaccountsdirect</t>
  </si>
  <si>
    <t>investordomicileeurope_separateaccountsdirect</t>
  </si>
  <si>
    <t>investordomicilenorthamerica_separateaccountsdirect</t>
  </si>
  <si>
    <t>investordomicilesouthamerica_separateaccountsdirect</t>
  </si>
  <si>
    <t>investordomicileafrica_separateaccountsdirect</t>
  </si>
  <si>
    <t>investordomicileasiapacific_separateaccountsindirect</t>
  </si>
  <si>
    <t>investordomicileeurope_separateaccountsindirect</t>
  </si>
  <si>
    <t>investordomicilenorthamerica_separateaccountsindirect</t>
  </si>
  <si>
    <t>investordomicilesouthamerica_separateaccountsindirect</t>
  </si>
  <si>
    <t>investordomicileafrica_separateaccountsindirect</t>
  </si>
  <si>
    <t>investordomicileasiapacific_jvs</t>
  </si>
  <si>
    <t>investordomicileeurope_jvs</t>
  </si>
  <si>
    <t>investordomicilenorthamerica_jvs</t>
  </si>
  <si>
    <t>investordomicilesouthamerica_jvs</t>
  </si>
  <si>
    <t>investordomicileafrica_jvs</t>
  </si>
  <si>
    <t>investordomicileasiapacific_fundsoffunds</t>
  </si>
  <si>
    <t>investordomicileeurope_fundsoffunds</t>
  </si>
  <si>
    <t>investordomicilenorthamerica_fundsoffunds</t>
  </si>
  <si>
    <t>investordomicilesouthamerica_fundsoffunds</t>
  </si>
  <si>
    <t>investordomicileafrica_fundsoffunds</t>
  </si>
  <si>
    <t>investordomicileasiapacific_debt</t>
  </si>
  <si>
    <t>investordomicileeurope_debt</t>
  </si>
  <si>
    <t>investordomicilenorthamerica_debt</t>
  </si>
  <si>
    <t>investordomicilesouthamerica_debt</t>
  </si>
  <si>
    <t>investordomicileafrica_debt</t>
  </si>
  <si>
    <t>capitalraisingactivity_nonlistedrealestatevehicles</t>
  </si>
  <si>
    <t>nocapitalraisingactivity_reason</t>
  </si>
  <si>
    <t>percentmethod_placementagent</t>
  </si>
  <si>
    <t>percentmethod_investorscontactingdirectly</t>
  </si>
  <si>
    <t>percentmethod_relationshipwithinvestors</t>
  </si>
  <si>
    <t>percentmethod_other</t>
  </si>
  <si>
    <t>capitalraisingactivity_development</t>
  </si>
  <si>
    <t>capitalraisingactivity_impactregulation</t>
  </si>
  <si>
    <t>capitalinvested_nonlistedrealestate</t>
  </si>
  <si>
    <t>nov_regionalstrategyasiapacific_vehicletype_total</t>
  </si>
  <si>
    <t>nov_regionalstrategyeurope_vehicletype_total</t>
  </si>
  <si>
    <t>nov_regionalstrategynorthamerica_vehicletype_total</t>
  </si>
  <si>
    <t>nov_regionalstrategyglobal_vehicletype_total</t>
  </si>
  <si>
    <t>nov_regionalstrategysouthamerica_vehicletype_total</t>
  </si>
  <si>
    <t>nov_regionalstrategyafrica_vehicletype_total</t>
  </si>
  <si>
    <t>nov_regionalstrategy_vehicletype_total</t>
  </si>
  <si>
    <t>regionalstrategy_vehicletype_total</t>
  </si>
  <si>
    <t>nov_regionalstrategy_nonlistedfunds_total</t>
  </si>
  <si>
    <t>nov_regionalstrategy_separateaccountsdirect_total</t>
  </si>
  <si>
    <t>nov_regionalstrategy_separateaccountsindirect_total</t>
  </si>
  <si>
    <t>nov_regionalstrategy_jvs_total</t>
  </si>
  <si>
    <t>nov_regionalstrategy_fundsoffunds_total</t>
  </si>
  <si>
    <t>nov_regionalstrategy_debt_total</t>
  </si>
  <si>
    <t>regionalstrategyasiapacific_nonlistedfunds</t>
  </si>
  <si>
    <t>regionalstrategyeurope_nonlistedfunds</t>
  </si>
  <si>
    <t>regionalstrategynorthamerica_nonlistedfunds</t>
  </si>
  <si>
    <t>regionalstrategyglobal_nonlistedfunds</t>
  </si>
  <si>
    <t>regionalstrategysouthamerica_nonlistedfunds</t>
  </si>
  <si>
    <t>regionalstrategyafrica_nonlistedfunds</t>
  </si>
  <si>
    <t>regionalstrategyasiapacific_separateaccountsdirect</t>
  </si>
  <si>
    <t>regionalstrategyeurope_separateaccountsdirect</t>
  </si>
  <si>
    <t>regionalstrategynorthamerica_separateaccountsdirect</t>
  </si>
  <si>
    <t>regionalstrategyglobal_separateaccountsdirect</t>
  </si>
  <si>
    <t>regionalstrategysouthamerica_separateaccountsdirect</t>
  </si>
  <si>
    <t>regionalstrategyafrica_separateaccountsdirect</t>
  </si>
  <si>
    <t>regionalstrategyasiapacific_separateaccountsindirect</t>
  </si>
  <si>
    <t>regionalstrategyeurope_separateaccountsindirect</t>
  </si>
  <si>
    <t>regionalstrategynorthamerica_separateaccountsindirect</t>
  </si>
  <si>
    <t>regionalstrategyglobal_separateaccountsindirect</t>
  </si>
  <si>
    <t>regionalstrategysouthamerica_separateaccountsindirect</t>
  </si>
  <si>
    <t>regionalstrategyafrica_separateaccountsindirect</t>
  </si>
  <si>
    <t>regionalstrategyasiapacific_jvs</t>
  </si>
  <si>
    <t>regionalstrategyeurope_jvs</t>
  </si>
  <si>
    <t>regionalstrategynorthamerica_jvs</t>
  </si>
  <si>
    <t>regionalstrategyglobal_jvs</t>
  </si>
  <si>
    <t>regionalstrategysouthamerica_jvs</t>
  </si>
  <si>
    <t>regionalstrategyafrica_jvs</t>
  </si>
  <si>
    <t>regionalstrategyasiapacific_fundsoffunds</t>
  </si>
  <si>
    <t>regionalstrategyeurope_fundsoffunds</t>
  </si>
  <si>
    <t>regionalstrategynorthamerica_fundsoffunds</t>
  </si>
  <si>
    <t>regionalstrategyglobal_fundsoffunds</t>
  </si>
  <si>
    <t>regionalstrategysouthamerica_fundsoffunds</t>
  </si>
  <si>
    <t>regionalstrategyafrica_fundsoffunds</t>
  </si>
  <si>
    <t>regionalstrategyasiapacific_debt</t>
  </si>
  <si>
    <t>regionalstrategyeurope_debt</t>
  </si>
  <si>
    <t>regionalstrategynorthamerica_debt</t>
  </si>
  <si>
    <t>regionalstrategyglobal_debt</t>
  </si>
  <si>
    <t>regionalstrategysouthamerica_debt</t>
  </si>
  <si>
    <t>regionalstrategyafrica_debt</t>
  </si>
  <si>
    <t>regionalstrategyasiapacific_operatingplatforms</t>
  </si>
  <si>
    <t>regionalstrategyeurope_operatingplatforms</t>
  </si>
  <si>
    <t>regionalstrategynorthamerica_operatingplatforms</t>
  </si>
  <si>
    <t>regionalstrategyglobal_operatingplatforms</t>
  </si>
  <si>
    <t>regionalstrategysouthamerica_operatingplatforms</t>
  </si>
  <si>
    <t>regionalstrategyafrica_operatingplatforms</t>
  </si>
  <si>
    <t>nov_regionalstrategyasiapacific_nonlistedfunds</t>
  </si>
  <si>
    <t>nov_regionalstrategyeurope_nonlistedfunds</t>
  </si>
  <si>
    <t>nov_regionalstrategynorthamerica_nonlistedfunds</t>
  </si>
  <si>
    <t>nov_regionalstrategyglobal_nonlistedfunds</t>
  </si>
  <si>
    <t>nov_regionalstrategysouthamerica_nonlistedfunds</t>
  </si>
  <si>
    <t>nov_regionalstrategyafrica_nonlistedfunds</t>
  </si>
  <si>
    <t>nov_regionalstrategyasiapacific_separateaccountsdirect</t>
  </si>
  <si>
    <t>nov_regionalstrategyeurope_separateaccountsdirect</t>
  </si>
  <si>
    <t>nov_regionalstrategynorthamerica_separateaccountsdirect</t>
  </si>
  <si>
    <t>nov_regionalstrategyglobal_separateaccountsdirect</t>
  </si>
  <si>
    <t>nov_regionalstrategysouthamerica_separateaccountsdirect</t>
  </si>
  <si>
    <t>nov_regionalstrategyafrica_separateaccountsdirect</t>
  </si>
  <si>
    <t>nov_regionalstrategyasiapacific_separateaccountsindirect</t>
  </si>
  <si>
    <t>nov_regionalstrategyeurope_separateaccountsindirect</t>
  </si>
  <si>
    <t>nov_regionalstrategynorthamerica_separateaccountsindirect</t>
  </si>
  <si>
    <t>nov_regionalstrategyglobal_separateaccountsindirect</t>
  </si>
  <si>
    <t>nov_regionalstrategysouthamerica_separateaccountsindirect</t>
  </si>
  <si>
    <t>nov_regionalstrategyafrica_separateaccountsindirect</t>
  </si>
  <si>
    <t>nov_regionalstrategyasiapacific_jvs</t>
  </si>
  <si>
    <t>nov_regionalstrategyeurope_jvs</t>
  </si>
  <si>
    <t>nov_regionalstrategynorthamerica_jvs</t>
  </si>
  <si>
    <t>nov_regionalstrategyglobal_jvs</t>
  </si>
  <si>
    <t>nov_regionalstrategysouthamerica_jvs</t>
  </si>
  <si>
    <t>nov_regionalstrategyafrica_jvs</t>
  </si>
  <si>
    <t>nov_regionalstrategyasiapacific_fundsoffunds</t>
  </si>
  <si>
    <t>nov_regionalstrategyeurope_fundsoffunds</t>
  </si>
  <si>
    <t>nov_regionalstrategynorthamerica_fundsoffunds</t>
  </si>
  <si>
    <t>nov_regionalstrategyglobal_fundsoffunds</t>
  </si>
  <si>
    <t>nov_regionalstrategysouthamerica_fundsoffunds</t>
  </si>
  <si>
    <t>nov_regionalstrategyafrica_fundsoffunds</t>
  </si>
  <si>
    <t>nov_regionalstrategyasiapacific_debt</t>
  </si>
  <si>
    <t>nov_regionalstrategyeurope_debt</t>
  </si>
  <si>
    <t>nov_regionalstrategynorthamerica_debt</t>
  </si>
  <si>
    <t>nov_regionalstrategyglobal_debt</t>
  </si>
  <si>
    <t>nov_regionalstrategysouthamerica_debt</t>
  </si>
  <si>
    <t>nov_regionalstrategyafrica_debt</t>
  </si>
  <si>
    <t>pensionfunds_vehicletype_total</t>
  </si>
  <si>
    <t>insurancecompanies_vehicletype_total</t>
  </si>
  <si>
    <t>sovereignwealthfunds_vehicletype_total</t>
  </si>
  <si>
    <t>governmentinstitutions_vehicletype_total</t>
  </si>
  <si>
    <t>charitiesfoundationsnonprofitorganizations_vehicletype_total</t>
  </si>
  <si>
    <t>fundsoffunds_vehicletype_total</t>
  </si>
  <si>
    <t>highnetworthindividualsfamilyoffices_vehicletype_total</t>
  </si>
  <si>
    <t>otherinvestortype_vehicletype_total</t>
  </si>
  <si>
    <t>pensionfunds_nonlistedfunds</t>
  </si>
  <si>
    <t>insurancecompanies_nonlistedfunds</t>
  </si>
  <si>
    <t>sovereignwealthfunds_nonlistedfunds</t>
  </si>
  <si>
    <t>governmentinstitutions_nonlistedfunds</t>
  </si>
  <si>
    <t>charitiesfoundationsnonprofitorganizations_nonlistedfunds</t>
  </si>
  <si>
    <t>fundsoffunds_nonlistedfunds</t>
  </si>
  <si>
    <t>highnetworthindividualsfamilyoffices_nonlistedfunds</t>
  </si>
  <si>
    <t>otherinvestortype_nonlistedfunds</t>
  </si>
  <si>
    <t>pensionfunds_separateaccountsdirect</t>
  </si>
  <si>
    <t>insurancecompanies_separateaccountsdirect</t>
  </si>
  <si>
    <t>sovereignwealthfunds_separateaccountsdirect</t>
  </si>
  <si>
    <t>governmentinstitutions_separateaccountsdirect</t>
  </si>
  <si>
    <t>charitiesfoundationsnonprofitorganizations_separateaccountsdirect</t>
  </si>
  <si>
    <t>fundsoffunds_separateaccountsdirect</t>
  </si>
  <si>
    <t>highnetworthindividualsfamilyoffices_separateaccountsdirect</t>
  </si>
  <si>
    <t>otherinvestortype_separateaccountsdirect</t>
  </si>
  <si>
    <t>pensionfunds_separateaccountsindirect</t>
  </si>
  <si>
    <t>insurancecompanies_separateaccountsindirect</t>
  </si>
  <si>
    <t>sovereignwealthfunds_separateaccountsindirect</t>
  </si>
  <si>
    <t>governmentinstitutions_separateaccountsindirect</t>
  </si>
  <si>
    <t>charitiesfoundationsnonprofitorganizations_separateaccountsindirect</t>
  </si>
  <si>
    <t>fundsoffunds_separateaccountsindirect</t>
  </si>
  <si>
    <t>highnetworthindividualsfamilyoffices_separateaccountsindirect</t>
  </si>
  <si>
    <t>otherinvestortype_separateaccountsindirect</t>
  </si>
  <si>
    <t>pensionfunds_jvs</t>
  </si>
  <si>
    <t>insurancecompanies_jvs</t>
  </si>
  <si>
    <t>sovereignwealthfunds_jvs</t>
  </si>
  <si>
    <t>governmentinstitutions_jvs</t>
  </si>
  <si>
    <t>charitiesfoundationsnonprofitorganizations_jvs</t>
  </si>
  <si>
    <t>fundsoffunds_jvs</t>
  </si>
  <si>
    <t>highnetworthindividualsfamilyoffices_jvs</t>
  </si>
  <si>
    <t>otherinvestortype_jvs</t>
  </si>
  <si>
    <t>pensionfunds_fundsoffunds</t>
  </si>
  <si>
    <t>insurancecompanies_fundsoffunds</t>
  </si>
  <si>
    <t>sovereignwealthfunds_fundsoffunds</t>
  </si>
  <si>
    <t>governmentinstitutions_fundsoffunds</t>
  </si>
  <si>
    <t>charitiesfoundationsnonprofitorganizations_fundsoffunds</t>
  </si>
  <si>
    <t>fundsoffunds_fundsoffunds</t>
  </si>
  <si>
    <t>highnetworthindividualsfamilyoffices_fundsoffunds</t>
  </si>
  <si>
    <t>otherinvestortype_fundsoffunds</t>
  </si>
  <si>
    <t>pensionfunds_debt</t>
  </si>
  <si>
    <t>insurancecompanies_debt</t>
  </si>
  <si>
    <t>sovereignwealthfunds_debt</t>
  </si>
  <si>
    <t>governmentinstitutions_debt</t>
  </si>
  <si>
    <t>charitiesfoundationsnonprofitorganizations_debt</t>
  </si>
  <si>
    <t>fundsoffunds_debt</t>
  </si>
  <si>
    <t>highnetworthindividualsfamilyoffices_debt</t>
  </si>
  <si>
    <t>otherinvestortype_debt</t>
  </si>
  <si>
    <t>investordomicileasiapacific_vehicletype_total</t>
  </si>
  <si>
    <t>investordomicileeurope_vehicletype_total</t>
  </si>
  <si>
    <t>investordomicilenorthamerica_vehicletype_total</t>
  </si>
  <si>
    <t>investordomicilesouthamerica_vehicletype_total</t>
  </si>
  <si>
    <t>investordomicileafrica_vehicletype_total</t>
  </si>
  <si>
    <t>global_pensionfunds_vehicletype_total</t>
  </si>
  <si>
    <t>global_insurancecompanies_vehicletype_total</t>
  </si>
  <si>
    <t>global_sovereignwealthfunds_vehicletype_total</t>
  </si>
  <si>
    <t>global_governmentinstitutions_vehicletype_total</t>
  </si>
  <si>
    <t>global_charitiesfoundationsnonprofitorganizations_vehicletype_total</t>
  </si>
  <si>
    <t>global_fundsoffunds_vehicletype_total</t>
  </si>
  <si>
    <t>global_highnetworthindividualsfamilyoffices_vehicletype_total</t>
  </si>
  <si>
    <t>global_otherinvestortype_vehicletype_total</t>
  </si>
  <si>
    <t>global_investortype_nonlistedfunds_total</t>
  </si>
  <si>
    <t>global_investortype_separateaccountsdirect_total</t>
  </si>
  <si>
    <t>global_investortype_separateaccountsindirect_total</t>
  </si>
  <si>
    <t>global_investortype_jvs_total</t>
  </si>
  <si>
    <t>global_investortype_fundsoffunds_total</t>
  </si>
  <si>
    <t>global_investortype_debt_total</t>
  </si>
  <si>
    <t>global_investortype_operatingplatforms_total</t>
  </si>
  <si>
    <t>global_investordomicileasiapacific_vehicletype_total</t>
  </si>
  <si>
    <t>global_investordomicileeurope_vehicletype_total</t>
  </si>
  <si>
    <t>global_investordomicilenorthamerica_vehicletype_total</t>
  </si>
  <si>
    <t>global_investordomicilesouthamerica_vehicletype_total</t>
  </si>
  <si>
    <t>global_investordomicileafrica_vehicletype_total</t>
  </si>
  <si>
    <t>global_nonlistedfunds_singlesectoroffice</t>
  </si>
  <si>
    <t>global_nonlistedfunds_singlesectorretail</t>
  </si>
  <si>
    <t>global_nonlistedfunds_singlesectorindustrial_logistics</t>
  </si>
  <si>
    <t>global_nonlistedfunds_singlesectorresidential_multifamily_apartments</t>
  </si>
  <si>
    <t>global_nonlistedfunds_singlesectorstudenthousing</t>
  </si>
  <si>
    <t>global_nonlistedfunds_singlesectorseniorliving_agedcare_healthcare</t>
  </si>
  <si>
    <t>global_nonlistedfunds_singlesectorhotel_leisure</t>
  </si>
  <si>
    <t>global_nonlistedfunds_singlesectorother</t>
  </si>
  <si>
    <t>global_nonlistedfunds_multisectormainsectors</t>
  </si>
  <si>
    <t>global_nonlistedfunds_multisectoralternativesectors</t>
  </si>
  <si>
    <t>global_nonlistedfunds_multisectormixmainalternativesectors</t>
  </si>
  <si>
    <t>global_separateaccountsdirect_singlesectoroffice</t>
  </si>
  <si>
    <t>global_separateaccountsdirect_singlesectorretail</t>
  </si>
  <si>
    <t>global_separateaccountsdirect_singlesectorindustrial_logistics</t>
  </si>
  <si>
    <t>global_separateaccountsdirect_singlesectorresidential_multifamily_apartments</t>
  </si>
  <si>
    <t>global_separateaccountsdirect_singlesectorstudenthousing</t>
  </si>
  <si>
    <t>global_separateaccountsdirect_singlesectorseniorliving_agedcare_healthcare</t>
  </si>
  <si>
    <t>global_separateaccountsdirect_singlesectorhotel_leisure</t>
  </si>
  <si>
    <t>global_separateaccountsdirect_singlesectorother</t>
  </si>
  <si>
    <t>global_separateaccountsdirect_multisectormainsectors</t>
  </si>
  <si>
    <t>global_separateaccountsdirect_multisectoralternativesectors</t>
  </si>
  <si>
    <t>global_separateaccountsdirect_multisectormixmainalternativesectors</t>
  </si>
  <si>
    <t>global_separateaccountsindirect_singlesectoroffice</t>
  </si>
  <si>
    <t>global_separateaccountsindirect_singlesectorretail</t>
  </si>
  <si>
    <t>global_separateaccountsindirect_singlesectorindustrial_logistics</t>
  </si>
  <si>
    <t>global_separateaccountsindirect_singlesectorresidential_multifamily_apartments</t>
  </si>
  <si>
    <t>global_separateaccountsindirect_singlesectorstudenthousing</t>
  </si>
  <si>
    <t>global_separateaccountsindirect_singlesectorseniorliving_agedcare_healthcare</t>
  </si>
  <si>
    <t>global_separateaccountsindirect_singlesectorhotel_leisure</t>
  </si>
  <si>
    <t>global_separateaccountsindirect_singlesectorother</t>
  </si>
  <si>
    <t>global_separateaccountsindirect_multisectormainsectors</t>
  </si>
  <si>
    <t>global_separateaccountsindirect_multisectoralternativesectors</t>
  </si>
  <si>
    <t>global_separateaccountsindirect_multisectormixmainalternativesectors</t>
  </si>
  <si>
    <t>global_jvs_singlesectoroffice</t>
  </si>
  <si>
    <t>global_jvs_singlesectorretail</t>
  </si>
  <si>
    <t>global_jvs_singlesectorindustrial_logistics</t>
  </si>
  <si>
    <t>global_jvs_singlesectorresidential_multifamily_apartments</t>
  </si>
  <si>
    <t>global_jvs_singlesectorstudenthousing</t>
  </si>
  <si>
    <t>global_jvs_singlesectorseniorliving_agedcare_healthcare</t>
  </si>
  <si>
    <t>global_jvs_singlesectorhotel_leisure</t>
  </si>
  <si>
    <t>global_jvs_singlesectorother</t>
  </si>
  <si>
    <t>global_jvs_multisectormainsectors</t>
  </si>
  <si>
    <t>global_jvs_multisectoralternativesectors</t>
  </si>
  <si>
    <t>global_jvs_multisectormixmainalternativesectors</t>
  </si>
  <si>
    <t>global_fundsoffunds_singlesectoroffice</t>
  </si>
  <si>
    <t>global_fundsoffunds_singlesectorretail</t>
  </si>
  <si>
    <t>global_fundsoffunds_singlesectorindustrial_logistics</t>
  </si>
  <si>
    <t>global_fundsoffunds_singlesectorresidential_multifamily_apartments</t>
  </si>
  <si>
    <t>global_fundsoffunds_singlesectorstudenthousing</t>
  </si>
  <si>
    <t>global_fundsoffunds_singlesectorseniorliving_agedcare_healthcare</t>
  </si>
  <si>
    <t>global_fundsoffunds_singlesectorhotel_leisure</t>
  </si>
  <si>
    <t>global_fundsoffunds_singlesectorother</t>
  </si>
  <si>
    <t>global_fundsoffunds_multisectormainsectors</t>
  </si>
  <si>
    <t>global_fundsoffunds_multisectoralternativesectors</t>
  </si>
  <si>
    <t>global_fundsoffunds_multisectormixmainalternativesectors</t>
  </si>
  <si>
    <t>global_debt_singlesectoroffice</t>
  </si>
  <si>
    <t>global_debt_singlesectorretail</t>
  </si>
  <si>
    <t>global_debt_singlesectorindustrial_logistics</t>
  </si>
  <si>
    <t>global_debt_singlesectorresidential_multifamily_apartments</t>
  </si>
  <si>
    <t>global_debt_singlesectorstudenthousing</t>
  </si>
  <si>
    <t>global_debt_singlesectorseniorliving_agedcare_healthcare</t>
  </si>
  <si>
    <t>global_debt_singlesectorhotel_leisure</t>
  </si>
  <si>
    <t>global_debt_singlesectorother</t>
  </si>
  <si>
    <t>global_debt_multisectormainsectors</t>
  </si>
  <si>
    <t>global_debt_multisectoralternativesectors</t>
  </si>
  <si>
    <t>global_debt_multisectormixmainalternativesectors</t>
  </si>
  <si>
    <t>global_investordomicileasiapacific_nonlistedfunds</t>
  </si>
  <si>
    <t>global_investordomicileeurope_nonlistedfunds</t>
  </si>
  <si>
    <t>global_investordomicilenorthamerica_nonlistedfunds</t>
  </si>
  <si>
    <t>global_investordomicilesouthamerica_nonlistedfunds</t>
  </si>
  <si>
    <t>global_investordomicileafrica_nonlistedfunds</t>
  </si>
  <si>
    <t>global_investordomicileasiapacific_separateaccountsdirect</t>
  </si>
  <si>
    <t>global_investordomicileeurope_separateaccountsdirect</t>
  </si>
  <si>
    <t>global_investordomicilenorthamerica_separateaccountsdirect</t>
  </si>
  <si>
    <t>global_investordomicilesouthamerica_separateaccountsdirect</t>
  </si>
  <si>
    <t>global_investordomicileafrica_separateaccountsdirect</t>
  </si>
  <si>
    <t>global_investordomicileasiapacific_separateaccountsindirect</t>
  </si>
  <si>
    <t>global_investordomicileeurope_separateaccountsindirect</t>
  </si>
  <si>
    <t>global_investordomicilenorthamerica_separateaccountsindirect</t>
  </si>
  <si>
    <t>global_investordomicilesouthamerica_separateaccountsindirect</t>
  </si>
  <si>
    <t>global_investordomicileafrica_separateaccountsindirect</t>
  </si>
  <si>
    <t>global_investordomicileasiapacific_jvs</t>
  </si>
  <si>
    <t>global_investordomicileeurope_jvs</t>
  </si>
  <si>
    <t>global_investordomicilenorthamerica_jvs</t>
  </si>
  <si>
    <t>global_investordomicilesouthamerica_jvs</t>
  </si>
  <si>
    <t>global_investordomicileafrica_jvs</t>
  </si>
  <si>
    <t>global_investordomicileasiapacific_fundsoffunds</t>
  </si>
  <si>
    <t>global_investordomicileeurope_fundsoffunds</t>
  </si>
  <si>
    <t>global_investordomicilenorthamerica_fundsoffunds</t>
  </si>
  <si>
    <t>global_investordomicilesouthamerica_fundsoffunds</t>
  </si>
  <si>
    <t>global_investordomicileafrica_fundsoffunds</t>
  </si>
  <si>
    <t>global_investordomicileasiapacific_debt</t>
  </si>
  <si>
    <t>global_investordomicileeurope_debt</t>
  </si>
  <si>
    <t>global_investordomicilenorthamerica_debt</t>
  </si>
  <si>
    <t>global_investordomicilesouthamerica_debt</t>
  </si>
  <si>
    <t>global_investordomicileafrica_debt</t>
  </si>
  <si>
    <t>global_nonlistedfunds_singlecountry</t>
  </si>
  <si>
    <t>global_nonlistedfunds_multicountry</t>
  </si>
  <si>
    <t>global_countrystrategy_nonlistedfunds_total</t>
  </si>
  <si>
    <t>global_separateaccountsdirect_singlecountry</t>
  </si>
  <si>
    <t>global_separateaccountsdirect_multicountry</t>
  </si>
  <si>
    <t>global_countrystrategy_separateaccountsdirect_total</t>
  </si>
  <si>
    <t>global_separateaccountsindirect_singlecountry</t>
  </si>
  <si>
    <t>global_separateaccountsindirect_multicountry</t>
  </si>
  <si>
    <t>global_countrystrategy_separateaccountsindirect_total</t>
  </si>
  <si>
    <t>global_jvs_singlecountry</t>
  </si>
  <si>
    <t>global_jvs_multicountry</t>
  </si>
  <si>
    <t>global_countrystrategy_jvs_total</t>
  </si>
  <si>
    <t>global_fundsoffunds_singlecountry</t>
  </si>
  <si>
    <t>global_fundsoffunds_multicountry</t>
  </si>
  <si>
    <t>global_countrystrategy_fundsoffunds_total</t>
  </si>
  <si>
    <t>global_debt_singlecountry</t>
  </si>
  <si>
    <t>global_debt_multicountry</t>
  </si>
  <si>
    <t>global_countrystrategy_debt_total</t>
  </si>
  <si>
    <t>global_countrystrategy_operatingplatforms_total</t>
  </si>
  <si>
    <t>global_nonlistedfunds_core_seniordebt</t>
  </si>
  <si>
    <t>global_separateaccountsdirect_core_seniordebt</t>
  </si>
  <si>
    <t>global_separateaccountsindirect_core_seniordebt</t>
  </si>
  <si>
    <t>global_jvs_core_seniordebt</t>
  </si>
  <si>
    <t>global_fundsoffunds_core_seniordebt</t>
  </si>
  <si>
    <t>global_debt_core_seniordebt</t>
  </si>
  <si>
    <t>global_nonlistedvehicles_core_seniordebt_total</t>
  </si>
  <si>
    <t>global_nonlistedfunds_valueadded_juniorandsubordinateddebt</t>
  </si>
  <si>
    <t>global_separateaccountsdirect_valueadded_juniorandsubordinateddebt</t>
  </si>
  <si>
    <t>global_separateaccountsindirect_valueadded_juniorandsubordinateddebt</t>
  </si>
  <si>
    <t>global_jvs_valueadded_juniorandsubordinateddebt</t>
  </si>
  <si>
    <t>global_fundsoffunds_valueadded_juniorandsubordinateddebt</t>
  </si>
  <si>
    <t>global_debt_valueadded_juniorandsubordinateddebt</t>
  </si>
  <si>
    <t>global_nonlistedvehicles_valueadded_juniorandsubordinateddebt_total</t>
  </si>
  <si>
    <t>global_nonlistedfunds_opportunistic_mezzaninedebt</t>
  </si>
  <si>
    <t>global_separateaccountsdirect_opportunistic_mezzaninedebt</t>
  </si>
  <si>
    <t>global_separateaccountsindirect_opportunistic_mezzaninedebt</t>
  </si>
  <si>
    <t>global_jvs_opportunistic_mezzaninedebt</t>
  </si>
  <si>
    <t>global_fundsoffunds_opportunistic_mezzaninedebt</t>
  </si>
  <si>
    <t>global_debt_opportunistic_mezzaninedebt</t>
  </si>
  <si>
    <t>global_nonlistedvehicles_opportunistic_mezzaninedebt_total</t>
  </si>
  <si>
    <t>global_nonlistedfunds_mixedstrategies</t>
  </si>
  <si>
    <t>global_separateaccountsdirect_mixedstrategies</t>
  </si>
  <si>
    <t>global_separateaccountsindirect_mixedstrategies</t>
  </si>
  <si>
    <t>global_jvs_mixedstrategies</t>
  </si>
  <si>
    <t>global_fundsoffunds_mixedstrategies</t>
  </si>
  <si>
    <t>global_debt_mixedstrategies</t>
  </si>
  <si>
    <t>global_nonlistedvehicles_mixedstrategies_total</t>
  </si>
  <si>
    <t>europe_pensionfunds_vehicletype_total</t>
  </si>
  <si>
    <t>europe_insurancecompanies_vehicletype_total</t>
  </si>
  <si>
    <t>europe_sovereignwealthfunds_vehicletype_total</t>
  </si>
  <si>
    <t>europe_governmentinstitutions_vehicletype_total</t>
  </si>
  <si>
    <t>europe_charitiesfoundationsnonprofitorganizations_vehicletype_total</t>
  </si>
  <si>
    <t>europe_fundsoffunds_vehicletype_total</t>
  </si>
  <si>
    <t>europe_highnetworthindividualsfamilyoffices_vehicletype_total</t>
  </si>
  <si>
    <t>europe_otherinvestortype_vehicletype_total</t>
  </si>
  <si>
    <t>europe_investortype_nonlistedfunds_total</t>
  </si>
  <si>
    <t>europe_investortype_separateaccountsdirect_total</t>
  </si>
  <si>
    <t>europe_investortype_separateaccountsindirect_total</t>
  </si>
  <si>
    <t>europe_investortype_jvs_total</t>
  </si>
  <si>
    <t>europe_investortype_fundsoffunds_total</t>
  </si>
  <si>
    <t>europe_investortype_debt_total</t>
  </si>
  <si>
    <t>europe_investortype_operatingplatforms_total</t>
  </si>
  <si>
    <t>europe_nonlistedfunds_singlecountry</t>
  </si>
  <si>
    <t>europe_nonlistedfunds_multicountry</t>
  </si>
  <si>
    <t>europe_countrystrategy_nonlistedfunds_total</t>
  </si>
  <si>
    <t>europe_separateaccountsdirect_singlecountry</t>
  </si>
  <si>
    <t>europe_separateaccountsdirect_multicountry</t>
  </si>
  <si>
    <t>europe_countrystrategy_separateaccountsdirect_total</t>
  </si>
  <si>
    <t>europe_separateaccountsindirect_singlecountry</t>
  </si>
  <si>
    <t>europe_separateaccountsindirect_multicountry</t>
  </si>
  <si>
    <t>europe_countrystrategy_separateaccountsindirect_total</t>
  </si>
  <si>
    <t>europe_jvs_singlecountry</t>
  </si>
  <si>
    <t>europe_jvs_multicountry</t>
  </si>
  <si>
    <t>europe_countrystrategy_jvs_total</t>
  </si>
  <si>
    <t>europe_fundsoffunds_singlecountry</t>
  </si>
  <si>
    <t>europe_fundsoffunds_multicountry</t>
  </si>
  <si>
    <t>europe_countrystrategy_fundsoffunds_total</t>
  </si>
  <si>
    <t>europe_debt_singlecountry</t>
  </si>
  <si>
    <t>europe_debt_multicountry</t>
  </si>
  <si>
    <t>europe_countrystrategy_debt_total</t>
  </si>
  <si>
    <t>europe_countrystrategy_operatingplatforms_total</t>
  </si>
  <si>
    <t>europe_investordomicileasiapacific_vehicletype_total</t>
  </si>
  <si>
    <t>europe_investordomicileeurope_vehicletype_total</t>
  </si>
  <si>
    <t>europe_investordomicilenorthamerica_vehicletype_total</t>
  </si>
  <si>
    <t>europe_investordomicilesouthamerica_vehicletype_total</t>
  </si>
  <si>
    <t>europe_investordomicileafrica_vehicletype_total</t>
  </si>
  <si>
    <t>europe_pensionfunds_nonlistedfunds</t>
  </si>
  <si>
    <t>europe_pensionfunds_separateaccountsdirect</t>
  </si>
  <si>
    <t>europe_pensionfunds_separateaccountsindirect</t>
  </si>
  <si>
    <t>europe_pensionfunds_jvs</t>
  </si>
  <si>
    <t>europe_pensionfunds_fundsoffunds</t>
  </si>
  <si>
    <t>europe_pensionfunds_debt</t>
  </si>
  <si>
    <t>europe_insurancecompanies_nonlistedfunds</t>
  </si>
  <si>
    <t>europe_insurancecompanies_separateaccountsdirect</t>
  </si>
  <si>
    <t>europe_insurancecompanies_separateaccountsindirect</t>
  </si>
  <si>
    <t>europe_insurancecompanies_jvs</t>
  </si>
  <si>
    <t>europe_insurancecompanies_fundsoffunds</t>
  </si>
  <si>
    <t>europe_insurancecompanies_debt</t>
  </si>
  <si>
    <t>europe_sovereignwealthfunds_nonlistedfunds</t>
  </si>
  <si>
    <t>europe_sovereignwealthfunds_separateaccountsdirect</t>
  </si>
  <si>
    <t>europe_sovereignwealthfunds_separateaccountsindirect</t>
  </si>
  <si>
    <t>europe_sovereignwealthfunds_jvs</t>
  </si>
  <si>
    <t>europe_sovereignwealthfunds_fundsoffunds</t>
  </si>
  <si>
    <t>europe_sovereignwealthfunds_debt</t>
  </si>
  <si>
    <t>europe_governmentinstitutions_nonlistedfunds</t>
  </si>
  <si>
    <t>europe_governmentinstitutions_separateaccountsdirect</t>
  </si>
  <si>
    <t>europe_governmentinstitutions_separateaccountsindirect</t>
  </si>
  <si>
    <t>europe_governmentinstitutions_jvs</t>
  </si>
  <si>
    <t>europe_governmentinstitutions_fundsoffunds</t>
  </si>
  <si>
    <t>europe_governmentinstitutions_debt</t>
  </si>
  <si>
    <t>europe_charitiesfoundationsnonprofitorganizations_nonlistedfunds</t>
  </si>
  <si>
    <t>europe_charitiesfoundationsnonprofitorganizations_separateaccountsdirect</t>
  </si>
  <si>
    <t>europe_charitiesfoundationsnonprofitorganizations_separateaccountsindirect</t>
  </si>
  <si>
    <t>europe_charitiesfoundationsnonprofitorganizations_jvs</t>
  </si>
  <si>
    <t>europe_charitiesfoundationsnonprofitorganizations_fundsoffunds</t>
  </si>
  <si>
    <t>europe_charitiesfoundationsnonprofitorganizations_debt</t>
  </si>
  <si>
    <t>europe_fundsoffunds_nonlistedfunds</t>
  </si>
  <si>
    <t>europe_fundsoffunds_separateaccountsdirect</t>
  </si>
  <si>
    <t>europe_fundsoffunds_separateaccountsindirect</t>
  </si>
  <si>
    <t>europe_fundsoffunds_jvs</t>
  </si>
  <si>
    <t>europe_fundsoffunds_fundsoffunds</t>
  </si>
  <si>
    <t>europe_fundsoffunds_debt</t>
  </si>
  <si>
    <t>europe_highnetworthindividualsfamilyoffices_nonlistedfunds</t>
  </si>
  <si>
    <t>europe_highnetworthindividualsfamilyoffices_separateaccountsdirect</t>
  </si>
  <si>
    <t>europe_highnetworthindividualsfamilyoffices_separateaccountsindirect</t>
  </si>
  <si>
    <t>europe_highnetworthindividualsfamilyoffices_jvs</t>
  </si>
  <si>
    <t>europe_highnetworthindividualsfamilyoffices_fundsoffunds</t>
  </si>
  <si>
    <t>europe_highnetworthindividualsfamilyoffices_debt</t>
  </si>
  <si>
    <t>europe_otherinvestortype_nonlistedfunds</t>
  </si>
  <si>
    <t>europe_otherinvestortype_separateaccountsdirect</t>
  </si>
  <si>
    <t>europe_otherinvestortype_separateaccountsindirect</t>
  </si>
  <si>
    <t>europe_otherinvestortype_jvs</t>
  </si>
  <si>
    <t>europe_otherinvestortype_fundsoffunds</t>
  </si>
  <si>
    <t>europe_otherinvestortype_debt</t>
  </si>
  <si>
    <t>europe_nonlistedfunds_singlesectoroffice</t>
  </si>
  <si>
    <t>europe_nonlistedfunds_singlesectorretail</t>
  </si>
  <si>
    <t>europe_nonlistedfunds_singlesectorindustrial_logistics</t>
  </si>
  <si>
    <t>europe_nonlistedfunds_singlesectorresidential_multifamily_apartments</t>
  </si>
  <si>
    <t>europe_nonlistedfunds_singlesectorstudenthousing</t>
  </si>
  <si>
    <t>europe_nonlistedfunds_singlesectorseniorliving_agedcare_healthcare</t>
  </si>
  <si>
    <t>europe_nonlistedfunds_singlesectorhotel_leisure</t>
  </si>
  <si>
    <t>europe_nonlistedfunds_singlesectorother</t>
  </si>
  <si>
    <t>europe_nonlistedfunds_multisectormainsectors</t>
  </si>
  <si>
    <t>europe_nonlistedfunds_multisectoralternativesectors</t>
  </si>
  <si>
    <t>europe_nonlistedfunds_multisectormixmainalternativesectors</t>
  </si>
  <si>
    <t>europe_separateaccountsdirect_singlesectoroffice</t>
  </si>
  <si>
    <t>europe_separateaccountsdirect_singlesectorretail</t>
  </si>
  <si>
    <t>europe_separateaccountsdirect_singlesectorindustrial_logistics</t>
  </si>
  <si>
    <t>europe_separateaccountsdirect_singlesectorresidential_multifamily_apartments</t>
  </si>
  <si>
    <t>europe_separateaccountsdirect_singlesectorstudenthousing</t>
  </si>
  <si>
    <t>europe_separateaccountsdirect_singlesectorseniorliving_agedcare_healthcare</t>
  </si>
  <si>
    <t>europe_separateaccountsdirect_singlesectorhotel_leisure</t>
  </si>
  <si>
    <t>europe_separateaccountsdirect_singlesectorother</t>
  </si>
  <si>
    <t>europe_separateaccountsdirect_multisectormainsectors</t>
  </si>
  <si>
    <t>europe_separateaccountsdirect_multisectoralternativesectors</t>
  </si>
  <si>
    <t>europe_separateaccountsdirect_multisectormixmainalternativesectors</t>
  </si>
  <si>
    <t>europe_separateaccountsindirect_singlesectoroffice</t>
  </si>
  <si>
    <t>europe_separateaccountsindirect_singlesectorretail</t>
  </si>
  <si>
    <t>europe_separateaccountsindirect_singlesectorindustrial_logistics</t>
  </si>
  <si>
    <t>europe_separateaccountsindirect_singlesectorresidential_multifamily_apartments</t>
  </si>
  <si>
    <t>europe_separateaccountsindirect_singlesectorstudenthousing</t>
  </si>
  <si>
    <t>europe_separateaccountsindirect_singlesectorseniorliving_agedcare_healthcare</t>
  </si>
  <si>
    <t>europe_separateaccountsindirect_singlesectorhotel_leisure</t>
  </si>
  <si>
    <t>europe_separateaccountsindirect_singlesectorother</t>
  </si>
  <si>
    <t>europe_separateaccountsindirect_multisectormainsectors</t>
  </si>
  <si>
    <t>europe_separateaccountsindirect_multisectoralternativesectors</t>
  </si>
  <si>
    <t>europe_separateaccountsindirect_multisectormixmainalternativesectors</t>
  </si>
  <si>
    <t>europe_jvs_singlesectoroffice</t>
  </si>
  <si>
    <t>europe_jvs_singlesectorretail</t>
  </si>
  <si>
    <t>europe_jvs_singlesectorindustrial_logistics</t>
  </si>
  <si>
    <t>europe_jvs_singlesectorresidential_multifamily_apartments</t>
  </si>
  <si>
    <t>europe_jvs_singlesectorstudenthousing</t>
  </si>
  <si>
    <t>europe_jvs_singlesectorseniorliving_agedcare_healthcare</t>
  </si>
  <si>
    <t>europe_jvs_singlesectorhotel_leisure</t>
  </si>
  <si>
    <t>europe_jvs_singlesectorother</t>
  </si>
  <si>
    <t>europe_jvs_multisectormainsectors</t>
  </si>
  <si>
    <t>europe_jvs_multisectoralternativesectors</t>
  </si>
  <si>
    <t>europe_jvs_multisectormixmainalternativesectors</t>
  </si>
  <si>
    <t>europe_fundsoffunds_singlesectoroffice</t>
  </si>
  <si>
    <t>europe_fundsoffunds_singlesectorretail</t>
  </si>
  <si>
    <t>europe_fundsoffunds_singlesectorindustrial_logistics</t>
  </si>
  <si>
    <t>europe_fundsoffunds_singlesectorresidential_multifamily_apartments</t>
  </si>
  <si>
    <t>europe_fundsoffunds_singlesectorstudenthousing</t>
  </si>
  <si>
    <t>europe_fundsoffunds_singlesectorseniorliving_agedcare_healthcare</t>
  </si>
  <si>
    <t>europe_fundsoffunds_singlesectorhotel_leisure</t>
  </si>
  <si>
    <t>europe_fundsoffunds_singlesectorother</t>
  </si>
  <si>
    <t>europe_fundsoffunds_multisectormainsectors</t>
  </si>
  <si>
    <t>europe_fundsoffunds_multisectoralternativesectors</t>
  </si>
  <si>
    <t>europe_fundsoffunds_multisectormixmainalternativesectors</t>
  </si>
  <si>
    <t>europe_debt_singlesectoroffice</t>
  </si>
  <si>
    <t>europe_debt_singlesectorretail</t>
  </si>
  <si>
    <t>europe_debt_singlesectorindustrial_logistics</t>
  </si>
  <si>
    <t>europe_debt_singlesectorresidential_multifamily_apartments</t>
  </si>
  <si>
    <t>europe_debt_singlesectorstudenthousing</t>
  </si>
  <si>
    <t>europe_debt_singlesectorseniorliving_agedcare_healthcare</t>
  </si>
  <si>
    <t>europe_debt_singlesectorhotel_leisure</t>
  </si>
  <si>
    <t>europe_debt_singlesectorother</t>
  </si>
  <si>
    <t>europe_debt_multisectormainsectors</t>
  </si>
  <si>
    <t>europe_debt_multisectoralternativesectors</t>
  </si>
  <si>
    <t>europe_debt_multisectormixmainalternativesectors</t>
  </si>
  <si>
    <t>europe_nonlistedvehicles_singlesectoroffice_total</t>
  </si>
  <si>
    <t>europe_nonlistedvehicles_singlesectorretail_total</t>
  </si>
  <si>
    <t>europe_nonlistedvehicles_singlesectorindustrial_logistics_total</t>
  </si>
  <si>
    <t>europe_nonlistedvehicles_singlesectorresidential_multifamily_apartments_total</t>
  </si>
  <si>
    <t>europe_nonlistedvehicles_singlesectorstudenthousing_total</t>
  </si>
  <si>
    <t>europe_nonlistedvehicles_singlesectorseniorliving_agedcare_healthcare_total</t>
  </si>
  <si>
    <t>europe_nonlistedvehicles_singlesectorhotel_leisure_total</t>
  </si>
  <si>
    <t>europe_nonlistedvehicles_singlesectorother_total</t>
  </si>
  <si>
    <t>europe_nonlistedvehicles_multisectormainsectors_total</t>
  </si>
  <si>
    <t>europe_nonlistedvehicles_multisectoralternativesectors_total</t>
  </si>
  <si>
    <t>europe_nonlistedvehicles_multisectormixmainalternativesectors_total</t>
  </si>
  <si>
    <t>europe_investordomicileasiapacific_nonlistedfunds</t>
  </si>
  <si>
    <t>europe_investordomicileeurope_nonlistedfunds</t>
  </si>
  <si>
    <t>europe_investordomicilenorthamerica_nonlistedfunds</t>
  </si>
  <si>
    <t>europe_investordomicilesouthamerica_nonlistedfunds</t>
  </si>
  <si>
    <t>europe_investordomicileafrica_nonlistedfunds</t>
  </si>
  <si>
    <t>europe_investordomicileasiapacific_separateaccountsdirect</t>
  </si>
  <si>
    <t>europe_investordomicileeurope_separateaccountsdirect</t>
  </si>
  <si>
    <t>europe_investordomicilenorthamerica_separateaccountsdirect</t>
  </si>
  <si>
    <t>europe_investordomicilesouthamerica_separateaccountsdirect</t>
  </si>
  <si>
    <t>europe_investordomicileafrica_separateaccountsdirect</t>
  </si>
  <si>
    <t>europe_investordomicileasiapacific_separateaccountsindirect</t>
  </si>
  <si>
    <t>europe_investordomicileeurope_separateaccountsindirect</t>
  </si>
  <si>
    <t>europe_investordomicilenorthamerica_separateaccountsindirect</t>
  </si>
  <si>
    <t>europe_investordomicilesouthamerica_separateaccountsindirect</t>
  </si>
  <si>
    <t>europe_investordomicileafrica_separateaccountsindirect</t>
  </si>
  <si>
    <t>europe_investordomicileasiapacific_jvs</t>
  </si>
  <si>
    <t>europe_investordomicileeurope_jvs</t>
  </si>
  <si>
    <t>europe_investordomicilenorthamerica_jvs</t>
  </si>
  <si>
    <t>europe_investordomicilesouthamerica_jvs</t>
  </si>
  <si>
    <t>europe_investordomicileafrica_jvs</t>
  </si>
  <si>
    <t>europe_investordomicileasiapacific_fundsoffunds</t>
  </si>
  <si>
    <t>europe_investordomicileeurope_fundsoffunds</t>
  </si>
  <si>
    <t>europe_investordomicilenorthamerica_fundsoffunds</t>
  </si>
  <si>
    <t>europe_investordomicilesouthamerica_fundsoffunds</t>
  </si>
  <si>
    <t>europe_investordomicileafrica_fundsoffunds</t>
  </si>
  <si>
    <t>europe_investordomicileasiapacific_debt</t>
  </si>
  <si>
    <t>europe_investordomicileeurope_debt</t>
  </si>
  <si>
    <t>europe_investordomicilenorthamerica_debt</t>
  </si>
  <si>
    <t>europe_investordomicilesouthamerica_debt</t>
  </si>
  <si>
    <t>europe_investordomicileafrica_debt</t>
  </si>
  <si>
    <t>europe_nonlistedfunds_core_seniordebt</t>
  </si>
  <si>
    <t>europe_separateaccountsdirect_core_seniordebt</t>
  </si>
  <si>
    <t>europe_separateaccountsindirect_core_seniordebt</t>
  </si>
  <si>
    <t>europe_jvs_core_seniordebt</t>
  </si>
  <si>
    <t>europe_fundsoffunds_core_seniordebt</t>
  </si>
  <si>
    <t>europe_debt_core_seniordebt</t>
  </si>
  <si>
    <t>europe_nonlistedfunds_valueadded_juniorandsubordinateddebt</t>
  </si>
  <si>
    <t>europe_separateaccountsdirect_valueadded_juniorandsubordinateddebt</t>
  </si>
  <si>
    <t>europe_separateaccountsindirect_valueadded_juniorandsubordinateddebt</t>
  </si>
  <si>
    <t>europe_jvs_valueadded_juniorandsubordinateddebt</t>
  </si>
  <si>
    <t>europe_fundsoffunds_valueadded_juniorandsubordinateddebt</t>
  </si>
  <si>
    <t>europe_debt_valueadded_juniorandsubordinateddebt</t>
  </si>
  <si>
    <t>europe_nonlistedfunds_opportunistic_mezzaninedebt</t>
  </si>
  <si>
    <t>europe_separateaccountsdirect_opportunistic_mezzaninedebt</t>
  </si>
  <si>
    <t>europe_separateaccountsindirect_opportunistic_mezzaninedebt</t>
  </si>
  <si>
    <t>europe_jvs_opportunistic_mezzaninedebt</t>
  </si>
  <si>
    <t>europe_fundsoffunds_opportunistic_mezzaninedebt</t>
  </si>
  <si>
    <t>europe_debt_opportunistic_mezzaninedebt</t>
  </si>
  <si>
    <t>europe_nonlistedfunds_mixedstrategies</t>
  </si>
  <si>
    <t>europe_separateaccountsdirect_mixedstrategies</t>
  </si>
  <si>
    <t>europe_separateaccountsindirect_mixedstrategies</t>
  </si>
  <si>
    <t>europe_jvs_mixedstrategies</t>
  </si>
  <si>
    <t>europe_fundsoffunds_mixedstrategies</t>
  </si>
  <si>
    <t>europe_debt_mixedstrategies</t>
  </si>
  <si>
    <t>global_pensionfunds_nonlistedfunds</t>
  </si>
  <si>
    <t>global_insurancecompanies_nonlistedfunds</t>
  </si>
  <si>
    <t>global_sovereignwealthfunds_nonlistedfunds</t>
  </si>
  <si>
    <t>global_governmentinstitutions_nonlistedfunds</t>
  </si>
  <si>
    <t>global_charitiesfoundationsnonprofitorganizations_nonlistedfunds</t>
  </si>
  <si>
    <t>global_fundsoffunds_nonlistedfunds</t>
  </si>
  <si>
    <t>global_highnetworthindividualsfamilyoffices_nonlistedfunds</t>
  </si>
  <si>
    <t>global_otherinvestortype_nonlistedfunds</t>
  </si>
  <si>
    <t>global_pensionfunds_separateaccountsdirect</t>
  </si>
  <si>
    <t>global_insurancecompanies_separateaccountsdirect</t>
  </si>
  <si>
    <t>global_sovereignwealthfunds_separateaccountsdirect</t>
  </si>
  <si>
    <t>global_governmentinstitutions_separateaccountsdirect</t>
  </si>
  <si>
    <t>global_charitiesfoundationsnonprofitorganizations_separateaccountsdirect</t>
  </si>
  <si>
    <t>global_fundsoffunds_separateaccountsdirect</t>
  </si>
  <si>
    <t>global_highnetworthindividualsfamilyoffices_separateaccountsdirect</t>
  </si>
  <si>
    <t>global_otherinvestortype_separateaccountsdirect</t>
  </si>
  <si>
    <t>global_pensionfunds_separateaccountsindirect</t>
  </si>
  <si>
    <t>global_insurancecompanies_separateaccountsindirect</t>
  </si>
  <si>
    <t>global_sovereignwealthfunds_separateaccountsindirect</t>
  </si>
  <si>
    <t>global_governmentinstitutions_separateaccountsindirect</t>
  </si>
  <si>
    <t>global_charitiesfoundationsnonprofitorganizations_separateaccountsindirect</t>
  </si>
  <si>
    <t>global_fundsoffunds_separateaccountsindirect</t>
  </si>
  <si>
    <t>global_highnetworthindividualsfamilyoffices_separateaccountsindirect</t>
  </si>
  <si>
    <t>global_otherinvestortype_separateaccountsindirect</t>
  </si>
  <si>
    <t>global_pensionfunds_jvs</t>
  </si>
  <si>
    <t>global_insurancecompanies_jvs</t>
  </si>
  <si>
    <t>global_sovereignwealthfunds_jvs</t>
  </si>
  <si>
    <t>global_governmentinstitutions_jvs</t>
  </si>
  <si>
    <t>global_charitiesfoundationsnonprofitorganizations_jvs</t>
  </si>
  <si>
    <t>global_fundsoffunds_jvs</t>
  </si>
  <si>
    <t>global_highnetworthindividualsfamilyoffices_jvs</t>
  </si>
  <si>
    <t>global_otherinvestortype_jvs</t>
  </si>
  <si>
    <t>global_pensionfunds_fundsoffunds</t>
  </si>
  <si>
    <t>global_insurancecompanies_fundsoffunds</t>
  </si>
  <si>
    <t>global_sovereignwealthfunds_fundsoffunds</t>
  </si>
  <si>
    <t>global_governmentinstitutions_fundsoffunds</t>
  </si>
  <si>
    <t>global_charitiesfoundationsnonprofitorganizations_fundsoffunds</t>
  </si>
  <si>
    <t>global_fundsoffunds_fundsoffunds</t>
  </si>
  <si>
    <t>global_highnetworthindividualsfamilyoffices_fundsoffunds</t>
  </si>
  <si>
    <t>global_otherinvestortype_fundsoffunds</t>
  </si>
  <si>
    <t>global_pensionfunds_debt</t>
  </si>
  <si>
    <t>global_insurancecompanies_debt</t>
  </si>
  <si>
    <t>global_sovereignwealthfunds_debt</t>
  </si>
  <si>
    <t>global_governmentinstitutions_debt</t>
  </si>
  <si>
    <t>global_charitiesfoundationsnonprofitorganizations_debt</t>
  </si>
  <si>
    <t>global_fundsoffunds_debt</t>
  </si>
  <si>
    <t>global_highnetworthindividualsfamilyoffices_debt</t>
  </si>
  <si>
    <t>global_otherinvestortype_debt</t>
  </si>
  <si>
    <t>cr_2025-684</t>
  </si>
  <si>
    <t>cr_2025-695</t>
  </si>
  <si>
    <t>cr_2025-654</t>
  </si>
  <si>
    <t>cr_2025-644</t>
  </si>
  <si>
    <t>cr_2025-691</t>
  </si>
  <si>
    <t>cr_2025-747</t>
  </si>
  <si>
    <t>cr_2025-703</t>
  </si>
  <si>
    <t>cr_2025-658</t>
  </si>
  <si>
    <t>cr_2025-757</t>
  </si>
  <si>
    <t>cr_2025-730</t>
  </si>
  <si>
    <t>cr_2025-651</t>
  </si>
  <si>
    <t>cr_2025-724</t>
  </si>
  <si>
    <t>cr_2025-752</t>
  </si>
  <si>
    <t>cr_2025-798</t>
  </si>
  <si>
    <t>cr_2025-804</t>
  </si>
  <si>
    <t>cr_2025-734</t>
  </si>
  <si>
    <t>cr_2025-779</t>
  </si>
  <si>
    <t>cr_2025-787</t>
  </si>
  <si>
    <t>cr_2025-761</t>
  </si>
  <si>
    <t>cr_2025-808</t>
  </si>
  <si>
    <t>cr_2025-815</t>
  </si>
  <si>
    <t>cr_2025-828</t>
  </si>
  <si>
    <t>cr_2025-728</t>
  </si>
  <si>
    <t>cr_2025-769</t>
  </si>
  <si>
    <t>cr_2025-777</t>
  </si>
  <si>
    <t>cr_2025-682</t>
  </si>
  <si>
    <t>cr_2025-701</t>
  </si>
  <si>
    <t>cr_2025-652</t>
  </si>
  <si>
    <t>cr_2025-642</t>
  </si>
  <si>
    <t>cr_2025-690</t>
  </si>
  <si>
    <t>cr_2025-746</t>
  </si>
  <si>
    <t>cr_2025-657</t>
  </si>
  <si>
    <t>cr_2025-707</t>
  </si>
  <si>
    <t>cr_2025-760</t>
  </si>
  <si>
    <t>cr_2025-729</t>
  </si>
  <si>
    <t>cr_2025-650</t>
  </si>
  <si>
    <t>cr_2025-716</t>
  </si>
  <si>
    <t>cr_2025-751</t>
  </si>
  <si>
    <t>cr_2025-796</t>
  </si>
  <si>
    <t>cr_2025-803</t>
  </si>
  <si>
    <t>cr_2025-733</t>
  </si>
  <si>
    <t>cr_2025-778</t>
  </si>
  <si>
    <t>cr_2025-785</t>
  </si>
  <si>
    <t>cr_2025-764</t>
  </si>
  <si>
    <t>cr_2025-814</t>
  </si>
  <si>
    <t>cr_2025-821</t>
  </si>
  <si>
    <t>cr_2025-727</t>
  </si>
  <si>
    <t>cr_2025-768</t>
  </si>
  <si>
    <t>cr_2025-776</t>
  </si>
  <si>
    <t>cr_2025-680</t>
  </si>
  <si>
    <t>cr_2025-698</t>
  </si>
  <si>
    <t>cr_2025-656</t>
  </si>
  <si>
    <t>cr_2025-686</t>
  </si>
  <si>
    <t>cr_2025-641</t>
  </si>
  <si>
    <t>cr_2025-697</t>
  </si>
  <si>
    <t>cr_2025-655</t>
  </si>
  <si>
    <t>cr_2025-640</t>
  </si>
  <si>
    <t>cr_2025-692</t>
  </si>
  <si>
    <t>cr_2025-748</t>
  </si>
  <si>
    <t>cr_2025-704</t>
  </si>
  <si>
    <t>cr_2025-662</t>
  </si>
  <si>
    <t>cr_2025-758</t>
  </si>
  <si>
    <t>cr_2025-689</t>
  </si>
  <si>
    <t>cr_2025-741</t>
  </si>
  <si>
    <t>cr_2025-706</t>
  </si>
  <si>
    <t>cr_2025-759</t>
  </si>
  <si>
    <t>cr_2025-678</t>
  </si>
  <si>
    <t>cr_2025-732</t>
  </si>
  <si>
    <t>cr_2025-649</t>
  </si>
  <si>
    <t>cr_2025-715</t>
  </si>
  <si>
    <t>cr_2025-749</t>
  </si>
  <si>
    <t>cr_2025-731</t>
  </si>
  <si>
    <t>cr_2025-648</t>
  </si>
  <si>
    <t>cr_2025-708</t>
  </si>
  <si>
    <t>cr_2025-794</t>
  </si>
  <si>
    <t>cr_2025-800</t>
  </si>
  <si>
    <t>cr_2025-737</t>
  </si>
  <si>
    <t>cr_2025-783</t>
  </si>
  <si>
    <t>cr_2025-754</t>
  </si>
  <si>
    <t>cr_2025-799</t>
  </si>
  <si>
    <t>cr_2025-807</t>
  </si>
  <si>
    <t>cr_2025-736</t>
  </si>
  <si>
    <t>cr_2025-782</t>
  </si>
  <si>
    <t>cr_2025-788</t>
  </si>
  <si>
    <t>cr_2025-762</t>
  </si>
  <si>
    <t>cr_2025-810</t>
  </si>
  <si>
    <t>cr_2025-819</t>
  </si>
  <si>
    <t>cr_2025-830</t>
  </si>
  <si>
    <t>cr_2025-725</t>
  </si>
  <si>
    <t>cr_2025-766</t>
  </si>
  <si>
    <t>cr_2025-771</t>
  </si>
  <si>
    <t>cr_2025-789</t>
  </si>
  <si>
    <t>cr_2025-763</t>
  </si>
  <si>
    <t>cr_2025-813</t>
  </si>
  <si>
    <t>cr_2025-820</t>
  </si>
  <si>
    <t>cr_2025-832</t>
  </si>
  <si>
    <t>cr_2025-726</t>
  </si>
  <si>
    <t>cr_2025-767</t>
  </si>
  <si>
    <t>cr_2025-775</t>
  </si>
  <si>
    <t>Blue Vista Management</t>
  </si>
  <si>
    <t>Capitaland Investment</t>
  </si>
  <si>
    <t>Amvest</t>
  </si>
  <si>
    <t>Edmond De Rothschild Reim</t>
  </si>
  <si>
    <t>Jamestown, L.P</t>
  </si>
  <si>
    <t>Sonae Sierra</t>
  </si>
  <si>
    <t>Mirvac Group - Sydney, Nsw</t>
  </si>
  <si>
    <t>Swiss Life Asset Managers</t>
  </si>
  <si>
    <t>Altera</t>
  </si>
  <si>
    <t>Pinebridge Benson Elliot</t>
  </si>
  <si>
    <t>Europa Capital</t>
  </si>
  <si>
    <t>Madigan Capital</t>
  </si>
  <si>
    <t>Heitman</t>
  </si>
  <si>
    <t>Activum Sg</t>
  </si>
  <si>
    <t>Swift Creek Partners</t>
  </si>
  <si>
    <t>Equus Capital Partners, Ltd</t>
  </si>
  <si>
    <t>Moorfield Group</t>
  </si>
  <si>
    <t>Greystar</t>
  </si>
  <si>
    <t>Swiss Prime Site Solutions</t>
  </si>
  <si>
    <t>Revcap</t>
  </si>
  <si>
    <t>Buzz Oates Management Services</t>
  </si>
  <si>
    <t>Iad Investments Fund</t>
  </si>
  <si>
    <t>Tokyo Tatemono Investment Advisors</t>
  </si>
  <si>
    <t>Mitsui Fudosan Investment Advisors, Inc</t>
  </si>
  <si>
    <t>Ardstone</t>
  </si>
  <si>
    <t>AEW Capital Management</t>
  </si>
  <si>
    <t>Metrics Credit Partners</t>
  </si>
  <si>
    <t>Prologis</t>
  </si>
  <si>
    <t>Fidelity International</t>
  </si>
  <si>
    <t>Nuveen</t>
  </si>
  <si>
    <t>Orchard Street Investment Advisors</t>
  </si>
  <si>
    <t>Pgim Private Alternatives</t>
  </si>
  <si>
    <t>Koramco Asset Management</t>
  </si>
  <si>
    <t>Garbe</t>
  </si>
  <si>
    <t>Commerz Real Kapitalverwaltungsgesellschaft Mbh</t>
  </si>
  <si>
    <t>Gid</t>
  </si>
  <si>
    <t>Atria Capital S.A.R.L</t>
  </si>
  <si>
    <t>Heimstaden Ab &amp; Heim Global Investor As</t>
  </si>
  <si>
    <t>Niam</t>
  </si>
  <si>
    <t>Taaleri Real Estate Oy</t>
  </si>
  <si>
    <t>Keppel</t>
  </si>
  <si>
    <t>Achmea Real Estate</t>
  </si>
  <si>
    <t>Hearthstone Investments</t>
  </si>
  <si>
    <t>Maxcap Group</t>
  </si>
  <si>
    <t>Sentinel Real Estate</t>
  </si>
  <si>
    <t>Scape Australia</t>
  </si>
  <si>
    <t>Glp Capital Partners</t>
  </si>
  <si>
    <t>Qualitas</t>
  </si>
  <si>
    <t>BC Partners</t>
  </si>
  <si>
    <t>Barings Llc</t>
  </si>
  <si>
    <t>Investa</t>
  </si>
  <si>
    <t>Tristan Capital Partners</t>
  </si>
  <si>
    <t>Virtus Real Estate Capital</t>
  </si>
  <si>
    <t>Bnp Paribas Reim</t>
  </si>
  <si>
    <t>Igis Asset Management</t>
  </si>
  <si>
    <t>Catella</t>
  </si>
  <si>
    <t>Pictet</t>
  </si>
  <si>
    <t>Corebridge Real Estate Investors</t>
  </si>
  <si>
    <t>Aquila Capital Investmentgesellschaft Mbh Zweigniederlassung Luxembourg</t>
  </si>
  <si>
    <t>Conren Land Management Gmbh</t>
  </si>
  <si>
    <t>Cabot Properties</t>
  </si>
  <si>
    <t>Stam Europe</t>
  </si>
  <si>
    <t>Principal Real Estate</t>
  </si>
  <si>
    <t>Mitiska REIM</t>
  </si>
  <si>
    <t>Phoenix Property Investors</t>
  </si>
  <si>
    <t>Wafra</t>
  </si>
  <si>
    <t>Kayne Anderson Real Estate</t>
  </si>
  <si>
    <t>Ispt</t>
  </si>
  <si>
    <t>Stoneshield Capital</t>
  </si>
  <si>
    <t>Lend Lease</t>
  </si>
  <si>
    <t>Premico Group Oy</t>
  </si>
  <si>
    <t>Ares Management</t>
  </si>
  <si>
    <t>M&amp;g Investments</t>
  </si>
  <si>
    <t>Apleona Invest Gmbh</t>
  </si>
  <si>
    <t>Sc Capital Partners</t>
  </si>
  <si>
    <t>Baumont Real Estate Capital</t>
  </si>
  <si>
    <t>Charter Hall</t>
  </si>
  <si>
    <t>Alma Property Partners</t>
  </si>
  <si>
    <t>The GPT Group</t>
  </si>
  <si>
    <t>Long Harbour Investments</t>
  </si>
  <si>
    <t>King Street Capital Management</t>
  </si>
  <si>
    <t>Mec Gp Asia</t>
  </si>
  <si>
    <t>Boreal Im</t>
  </si>
  <si>
    <t>Dtz Investors</t>
  </si>
  <si>
    <t>Hines Interests L.P</t>
  </si>
  <si>
    <t>Rockfield Real Estate</t>
  </si>
  <si>
    <t>Paramount Group</t>
  </si>
  <si>
    <t>J.P. Morgan Asset Management</t>
  </si>
  <si>
    <t>Dexus</t>
  </si>
  <si>
    <t>Intercontinental Real Estate Corporation</t>
  </si>
  <si>
    <t>Eastgate Group</t>
  </si>
  <si>
    <t>Valor Real Estate Partners</t>
  </si>
  <si>
    <t>Kenedix, Inc</t>
  </si>
  <si>
    <t>Icg Real Estate</t>
  </si>
  <si>
    <t>Redevco</t>
  </si>
  <si>
    <t>Blackstone</t>
  </si>
  <si>
    <t>Sirius Capital Partners</t>
  </si>
  <si>
    <t>Meridia</t>
  </si>
  <si>
    <t>Growthpoint Properties Australia</t>
  </si>
  <si>
    <t>North America</t>
  </si>
  <si>
    <t>Asia Pacific</t>
  </si>
  <si>
    <t>Europe</t>
  </si>
  <si>
    <t>South America</t>
  </si>
  <si>
    <t>empty</t>
  </si>
  <si>
    <t>United States</t>
  </si>
  <si>
    <t>Singapore</t>
  </si>
  <si>
    <t>Netherlands</t>
  </si>
  <si>
    <t>Switzerland</t>
  </si>
  <si>
    <t>Portugal</t>
  </si>
  <si>
    <t>Australia</t>
  </si>
  <si>
    <t>United Kingdom</t>
  </si>
  <si>
    <t>Luxembourg</t>
  </si>
  <si>
    <t>Japan</t>
  </si>
  <si>
    <t>Ireland</t>
  </si>
  <si>
    <t>Bermuda</t>
  </si>
  <si>
    <t>Korea, Republic Of</t>
  </si>
  <si>
    <t>Germany</t>
  </si>
  <si>
    <t>Norway</t>
  </si>
  <si>
    <t>Sweden</t>
  </si>
  <si>
    <t>Finland</t>
  </si>
  <si>
    <t>France</t>
  </si>
  <si>
    <t>Belgium</t>
  </si>
  <si>
    <t>Hong Kong</t>
  </si>
  <si>
    <t>Spain</t>
  </si>
  <si>
    <t>US</t>
  </si>
  <si>
    <t>Americas ex US</t>
  </si>
  <si>
    <t>answer_label</t>
  </si>
  <si>
    <t>year</t>
  </si>
  <si>
    <t>label</t>
  </si>
  <si>
    <t>label_2</t>
  </si>
  <si>
    <t>value</t>
  </si>
  <si>
    <t>sample</t>
  </si>
  <si>
    <t>No product available at that moment</t>
  </si>
  <si>
    <t>Separate accounts investing indirectly total</t>
  </si>
  <si>
    <t>Non-listed funds</t>
  </si>
  <si>
    <t>Separate accounts investing directly</t>
  </si>
  <si>
    <t>No change</t>
  </si>
  <si>
    <t>Decrease</t>
  </si>
  <si>
    <t>Negative impact</t>
  </si>
  <si>
    <t>Joint ventures and club deals</t>
  </si>
  <si>
    <t>Funds of funds</t>
  </si>
  <si>
    <t>Sovereign wealth funds</t>
  </si>
  <si>
    <t>Non-listed debt products</t>
  </si>
  <si>
    <t>Separate accounts direct</t>
  </si>
  <si>
    <t>Hign net worth individuals/Family offices</t>
  </si>
  <si>
    <t>Pension funds</t>
  </si>
  <si>
    <t>Investor type</t>
  </si>
  <si>
    <t>Global</t>
  </si>
  <si>
    <t>Non-listed fund</t>
  </si>
  <si>
    <t>Non-listed debt</t>
  </si>
  <si>
    <t>Separate accounts indirect</t>
  </si>
  <si>
    <t>Government institutions</t>
  </si>
  <si>
    <t>Charities, foundations &amp; nonprofit organisations</t>
  </si>
  <si>
    <t>Insurance companies</t>
  </si>
  <si>
    <t>Other investor type</t>
  </si>
  <si>
    <t>Other</t>
  </si>
  <si>
    <t>Separate accounts investing indirectly</t>
  </si>
  <si>
    <t>No</t>
  </si>
  <si>
    <t>Undecided</t>
  </si>
  <si>
    <t>Africa</t>
  </si>
  <si>
    <t>Alignment of interest</t>
  </si>
  <si>
    <t>Funds of funds total</t>
  </si>
  <si>
    <t>Yes</t>
  </si>
  <si>
    <t>Increase</t>
  </si>
  <si>
    <t>No impact</t>
  </si>
  <si>
    <t>Separate accounts investing directly total</t>
  </si>
  <si>
    <t>Non-listed funds total</t>
  </si>
  <si>
    <t>Non-listed debt total</t>
  </si>
  <si>
    <t>Track record</t>
  </si>
  <si>
    <t>Corporate governance framework</t>
  </si>
  <si>
    <t>Joint ventures and club deals total</t>
  </si>
  <si>
    <t>Invested</t>
  </si>
  <si>
    <t>Positive impact</t>
  </si>
  <si>
    <t>Fund manager domicile</t>
  </si>
  <si>
    <t>Number of respondents</t>
  </si>
  <si>
    <t>Total equity raised by regional strategy and fund manager domicile</t>
  </si>
  <si>
    <t>strategy</t>
  </si>
  <si>
    <t>Asia Pacific strategy</t>
  </si>
  <si>
    <t>European strategy</t>
  </si>
  <si>
    <t>North American strategy</t>
  </si>
  <si>
    <t>Global strategy</t>
  </si>
  <si>
    <t>South American strategy</t>
  </si>
  <si>
    <t>Asia Pacific Sample</t>
  </si>
  <si>
    <t>Europe Sample</t>
  </si>
  <si>
    <t>North America Sample</t>
  </si>
  <si>
    <t>South America Sample</t>
  </si>
  <si>
    <t xml:space="preserve"> Africa Sample</t>
  </si>
  <si>
    <t>Total equity raised (US$ billion)</t>
  </si>
  <si>
    <t>Year</t>
  </si>
  <si>
    <t>€/$ billion</t>
  </si>
  <si>
    <t>Equity raised by vehicle type by value</t>
  </si>
  <si>
    <t>Domicile</t>
  </si>
  <si>
    <t>2023</t>
  </si>
  <si>
    <t>2024</t>
  </si>
  <si>
    <t>Non-listed/commingled real estate funds/private REITs</t>
  </si>
  <si>
    <t>Separate accounts investing directly into real estate</t>
  </si>
  <si>
    <t>Separate accounts investing into indirect vehicles</t>
  </si>
  <si>
    <t>Multi Managers</t>
  </si>
  <si>
    <t>Equity raised by investor domicile</t>
  </si>
  <si>
    <t>Operating Platforms</t>
  </si>
  <si>
    <t>Total equity raised by fund manager domicile</t>
  </si>
  <si>
    <t>Non-listed Real Estate (million)</t>
  </si>
  <si>
    <t>Global capital raising activity</t>
  </si>
  <si>
    <t>option</t>
  </si>
  <si>
    <t>2015</t>
  </si>
  <si>
    <t>2016</t>
  </si>
  <si>
    <t>2017</t>
  </si>
  <si>
    <t>2018</t>
  </si>
  <si>
    <t>2019</t>
  </si>
  <si>
    <t>2020</t>
  </si>
  <si>
    <t>2021</t>
  </si>
  <si>
    <t>2022</t>
  </si>
  <si>
    <t>yes</t>
  </si>
  <si>
    <t>no</t>
  </si>
  <si>
    <t>Reasons why no capital was raised</t>
  </si>
  <si>
    <t>track record</t>
  </si>
  <si>
    <t>alignment of interest</t>
  </si>
  <si>
    <t>fund manager reputation</t>
  </si>
  <si>
    <t>associated costs</t>
  </si>
  <si>
    <t>corporate governance framework</t>
  </si>
  <si>
    <t>no product available at that moment</t>
  </si>
  <si>
    <t>other</t>
  </si>
  <si>
    <t>Methods of capital raising by fund manager domicile</t>
  </si>
  <si>
    <t>method</t>
  </si>
  <si>
    <t>Placement agent</t>
  </si>
  <si>
    <t>Investors contacting you directly</t>
  </si>
  <si>
    <t>Your own direct relationship with investors</t>
  </si>
  <si>
    <t>Expectations for capital raising activities over the next two years</t>
  </si>
  <si>
    <t>undecided</t>
  </si>
  <si>
    <t>increase</t>
  </si>
  <si>
    <t>decrease</t>
  </si>
  <si>
    <t>no change</t>
  </si>
  <si>
    <t>Impact of regulation on capital raising activities</t>
  </si>
  <si>
    <t>positive impact</t>
  </si>
  <si>
    <t>negative impact</t>
  </si>
  <si>
    <t>no impact</t>
  </si>
  <si>
    <t>Capital raised and invested for non-listed real estate</t>
  </si>
  <si>
    <t>Total raised</t>
  </si>
  <si>
    <t xml:space="preserve">Capital raised for the non-listed real estate industry by regional strategy </t>
  </si>
  <si>
    <t>Region</t>
  </si>
  <si>
    <t>2015_value</t>
  </si>
  <si>
    <t>2016_value</t>
  </si>
  <si>
    <t>2017_value</t>
  </si>
  <si>
    <t>2018_value</t>
  </si>
  <si>
    <t>2019_value</t>
  </si>
  <si>
    <t>2020_value</t>
  </si>
  <si>
    <t>2021_value</t>
  </si>
  <si>
    <t>2022_value</t>
  </si>
  <si>
    <t>2023_value</t>
  </si>
  <si>
    <t>2024_value</t>
  </si>
  <si>
    <t>2015_sample</t>
  </si>
  <si>
    <t>2016_sample</t>
  </si>
  <si>
    <t>2017_sample</t>
  </si>
  <si>
    <t>2018_sample</t>
  </si>
  <si>
    <t>2019_sample</t>
  </si>
  <si>
    <t>2020_sample</t>
  </si>
  <si>
    <t>2021_sample</t>
  </si>
  <si>
    <t>2022_sample</t>
  </si>
  <si>
    <t>2023_sample</t>
  </si>
  <si>
    <t>2024_sample</t>
  </si>
  <si>
    <t xml:space="preserve">Capital raised by regional strategy by number of vehicles </t>
  </si>
  <si>
    <t>Capital raised by regional strategy and fund manager domicile by value</t>
  </si>
  <si>
    <t>Capital raised by regional strategy and by investment manager domicile by number of vehicles</t>
  </si>
  <si>
    <t>Capital raised for non-listed real estate by vehicle type by value</t>
  </si>
  <si>
    <t>index</t>
  </si>
  <si>
    <t>Non-listed/ commingled real estate funds/private REITs</t>
  </si>
  <si>
    <t>Capital raised by vehicle type and by regional strategy by value</t>
  </si>
  <si>
    <t>Global Sample</t>
  </si>
  <si>
    <t>Capital raised by vehicle type and by regional strategy by number of vehicles</t>
  </si>
  <si>
    <t>Capital raised by investor domicile by value</t>
  </si>
  <si>
    <t>Charities, foundations, non-profit organisations</t>
  </si>
  <si>
    <t>High net worth individuals /Family offices</t>
  </si>
  <si>
    <t>Capital raised by investor type and by vehicle type by value: Non-listed funds</t>
  </si>
  <si>
    <t>Capital raised by investor type and by vehicle type by value: Separate accounts investing directly</t>
  </si>
  <si>
    <t>Capital raised by investor type and by vehicle type by value: Separate accounts investing into indirect</t>
  </si>
  <si>
    <t>Capital raised by investor type and by vehicle type by value: Joint ventures and club deals</t>
  </si>
  <si>
    <t>Capital raised by investor type and by vehicle type by value: Funds of funds</t>
  </si>
  <si>
    <t>Capital raised by investor type and by vehicle type by value: Non-listed debt products</t>
  </si>
  <si>
    <t>Capital raised by investor type and by vehicle type by value: Operating Platforms</t>
  </si>
  <si>
    <t>Capital raised by investor domicile and by vehicle type by value: Non-listed funds</t>
  </si>
  <si>
    <t>Capital raised by investor domicile and by vehicle type by value: Separate accounts investing directly</t>
  </si>
  <si>
    <t>Capital raised by investor domicile and by vehicle type by value: Separate accounts investing into indirect</t>
  </si>
  <si>
    <t>Capital raised by investor domicile and by vehicle type by value: Joint ventures and club deals</t>
  </si>
  <si>
    <t>Capital raised by investor domicile and by vehicle type by value: Funds of funds</t>
  </si>
  <si>
    <t>Capital raised by investor domicile and by vehicle type by value: Non-listed debt products</t>
  </si>
  <si>
    <t>Capital raised by investor domicile and by vehicle type by value: Operating Platforms</t>
  </si>
  <si>
    <t>Global strategy: capital raised by investor type</t>
  </si>
  <si>
    <t>Global strategy, capital raised for non-listed vehicles by investor domicile</t>
  </si>
  <si>
    <t>Office</t>
  </si>
  <si>
    <t>Retail</t>
  </si>
  <si>
    <t>Industrial / Logistics</t>
  </si>
  <si>
    <t>Residential / Multi family / Apartments</t>
  </si>
  <si>
    <t>Student accommodation</t>
  </si>
  <si>
    <t>Healthcare / Senior housing</t>
  </si>
  <si>
    <t>Hotel / Leisure</t>
  </si>
  <si>
    <t>Data centres</t>
  </si>
  <si>
    <t>Main sector</t>
  </si>
  <si>
    <t>Alternative sectors</t>
  </si>
  <si>
    <t>Mixed</t>
  </si>
  <si>
    <t>Office Samples</t>
  </si>
  <si>
    <t>Retail Samples</t>
  </si>
  <si>
    <t>Industrial / Logistics Samples</t>
  </si>
  <si>
    <t>Residential / Multi family / Apartments Samples</t>
  </si>
  <si>
    <t>Student accommodation Samples</t>
  </si>
  <si>
    <t>Senior living/aged care/health car Samplese</t>
  </si>
  <si>
    <t>Hotel / Leisure Samples</t>
  </si>
  <si>
    <t>Data centres Samples</t>
  </si>
  <si>
    <t>Other Samples</t>
  </si>
  <si>
    <t>Main sector Samples</t>
  </si>
  <si>
    <t>Alternative sectors Samples</t>
  </si>
  <si>
    <t>Mixed Samples</t>
  </si>
  <si>
    <t>Global strategy, capital raised for non-listed vehicles in {0} by investor domicile</t>
  </si>
  <si>
    <t>Single country</t>
  </si>
  <si>
    <t>Multi country</t>
  </si>
  <si>
    <t>Total</t>
  </si>
  <si>
    <t>Single country Samples</t>
  </si>
  <si>
    <t>Multi country Samples</t>
  </si>
  <si>
    <t>Total Samples</t>
  </si>
  <si>
    <t>Core / Senior debt</t>
  </si>
  <si>
    <t>Value added / Junior and other subordinated debt</t>
  </si>
  <si>
    <t>Opportunistic / Mezzanine debt</t>
  </si>
  <si>
    <t>Mixed strategies</t>
  </si>
  <si>
    <t>Non-listed/ commingled real estate funds/private REITs Samples</t>
  </si>
  <si>
    <t>Separate accounts investing directly into real estate Samples</t>
  </si>
  <si>
    <t>Separate accounts investing into indirect vehicles Samples</t>
  </si>
  <si>
    <t>Joint ventures and club deals Samples</t>
  </si>
  <si>
    <t>Multi Managers Samples</t>
  </si>
  <si>
    <t>Non-listed debt products Samples</t>
  </si>
  <si>
    <t>APAC strategy: capital raised by investor type</t>
  </si>
  <si>
    <t>APAC strategy: capital raised by investor domicile</t>
  </si>
  <si>
    <t>APAC strategy: capital raised by investor type and vehicle type</t>
  </si>
  <si>
    <t>Non-listed/commingled real estate funds/private REITs Samples</t>
  </si>
  <si>
    <t>Asia Pacific strategy: capital raised by investor type</t>
  </si>
  <si>
    <t>Healthcare / Senior housing Samples</t>
  </si>
  <si>
    <t xml:space="preserve"> </t>
  </si>
  <si>
    <t>Global strategy, capital raised for non-listed vehicles in 2023 by investor type and vehicle type</t>
  </si>
  <si>
    <t>Pension funds Samples</t>
  </si>
  <si>
    <t>Insurance companies Samples</t>
  </si>
  <si>
    <t>Sovereign wealth funds Samples</t>
  </si>
  <si>
    <t>Government institutions Samples</t>
  </si>
  <si>
    <t>Charities, foundations, non-profit organisations Samples</t>
  </si>
  <si>
    <t>High net worth individuals /Family offices Samples</t>
  </si>
  <si>
    <t>Asia Pacific strategy, capital raised for non-listed vehicles in 2023 by investor type and vehicle type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</si>
</sst>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%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151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Relationship Id="rId6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Fund manager domicile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'KeyFig (1)'!$B$10</c:f>
              <c:strCache>
                <c:ptCount val="1"/>
                <c:pt idx="0">
                  <c:v>region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'KeyFig (1)'!$B$11:$A$15</c:f>
            </c:numRef>
          </c:cat>
          <c:val>
            <c:numRef>
              <c:f>'KeyFig (1)'!$C$11:$C$15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Fund manager domicile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'KeyFig (2)'!$B$26</c:f>
              <c:strCache>
                <c:ptCount val="1"/>
                <c:pt idx="0">
                  <c:v>country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Pt>
            <c:idx val="5"/>
            <c:spPr>
              <a:solidFill>
                <a:srgbClr val="009CA6"/>
              </a:solidFill>
            </c:spPr>
          </c:dPt>
          <c:dPt>
            <c:idx val="6"/>
            <c:spPr>
              <a:solidFill>
                <a:srgbClr val="2AD2C9"/>
              </a:solidFill>
            </c:spPr>
          </c:dPt>
          <c:dPt>
            <c:idx val="7"/>
            <c:spPr>
              <a:solidFill>
                <a:srgbClr val="4F758B"/>
              </a:solidFill>
            </c:spPr>
          </c:dPt>
          <c:dPt>
            <c:idx val="8"/>
            <c:spPr>
              <a:solidFill>
                <a:srgbClr val="582C83"/>
              </a:solidFill>
            </c:spPr>
          </c:dPt>
          <c:dPt>
            <c:idx val="9"/>
            <c:spPr>
              <a:solidFill>
                <a:srgbClr val="C6A1CF"/>
              </a:solidFill>
            </c:spPr>
          </c:dPt>
          <c:dPt>
            <c:idx val="10"/>
            <c:spPr>
              <a:solidFill>
                <a:srgbClr val="7C7FAB"/>
              </a:solidFill>
            </c:spPr>
          </c:dPt>
          <c:dPt>
            <c:idx val="11"/>
            <c:spPr>
              <a:solidFill>
                <a:srgbClr val="1B3D87"/>
              </a:solidFill>
            </c:spPr>
          </c:dPt>
          <c:dPt>
            <c:idx val="12"/>
            <c:spPr>
              <a:solidFill>
                <a:srgbClr val="79BECF"/>
              </a:solidFill>
            </c:spPr>
          </c:dPt>
          <c:dPt>
            <c:idx val="13"/>
            <c:spPr>
              <a:solidFill>
                <a:srgbClr val="76A962"/>
              </a:solidFill>
            </c:spPr>
          </c:dPt>
          <c:dPt>
            <c:idx val="14"/>
            <c:spPr>
              <a:solidFill>
                <a:srgbClr val="166D61"/>
              </a:solidFill>
            </c:spPr>
          </c:dPt>
          <c:dPt>
            <c:idx val="15"/>
            <c:spPr>
              <a:solidFill>
                <a:srgbClr val="5ABD80"/>
              </a:solidFill>
            </c:spPr>
          </c:dPt>
          <c:dPt>
            <c:idx val="16"/>
            <c:spPr>
              <a:solidFill>
                <a:srgbClr val="1C858C"/>
              </a:solidFill>
            </c:spPr>
          </c:dPt>
          <c:dPt>
            <c:idx val="17"/>
            <c:spPr>
              <a:solidFill>
                <a:srgbClr val="4AB9B3"/>
              </a:solidFill>
            </c:spPr>
          </c:dPt>
          <c:dPt>
            <c:idx val="18"/>
            <c:spPr>
              <a:solidFill>
                <a:srgbClr val="2A5872"/>
              </a:solidFill>
            </c:spPr>
          </c:dPt>
          <c:dPt>
            <c:idx val="19"/>
            <c:spPr>
              <a:solidFill>
                <a:srgbClr val="51396A"/>
              </a:solidFill>
            </c:spPr>
          </c:dPt>
          <c:dPt>
            <c:idx val="20"/>
            <c:spPr>
              <a:solidFill>
                <a:srgbClr val="A769B6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'KeyFig (2)'!$B$27:$A$47</c:f>
            </c:numRef>
          </c:cat>
          <c:val>
            <c:numRef>
              <c:f>'KeyFig (2)'!$C$27:$C$47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equity raised by regional strategy and fund manager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'KeyFig (3)'!$B$11</c:f>
              <c:strCache>
                <c:ptCount val="1"/>
                <c:pt idx="0">
                  <c:v>Asia Pacific strategy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(3)'!$C$10:$G$10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(3)'!$C$11:$G$11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'KeyFig (3)'!$B$12</c:f>
              <c:strCache>
                <c:ptCount val="1"/>
                <c:pt idx="0">
                  <c:v>European strategy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(3)'!$C$10:$G$10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(3)'!$C$12:$G$12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'KeyFig (3)'!$B$13</c:f>
              <c:strCache>
                <c:ptCount val="1"/>
                <c:pt idx="0">
                  <c:v>North American strategy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(3)'!$C$10:$G$10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(3)'!$C$13:$G$13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'KeyFig (3)'!$B$14</c:f>
              <c:strCache>
                <c:ptCount val="1"/>
                <c:pt idx="0">
                  <c:v>Global strategy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(3)'!$C$10:$G$10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(3)'!$C$14:$G$14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'KeyFig (3)'!$B$15</c:f>
              <c:strCache>
                <c:ptCount val="1"/>
                <c:pt idx="0">
                  <c:v>South American strategy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(3)'!$C$10:$G$10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(3)'!$C$15:$G$15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0%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equity raised (US$ billion)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'KeyFig (4)'!$B$15</c:f>
              <c:strCache>
                <c:ptCount val="1"/>
                <c:pt idx="0">
                  <c:v>Year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Pt>
            <c:idx val="5"/>
            <c:spPr>
              <a:solidFill>
                <a:srgbClr val="009CA6"/>
              </a:solidFill>
            </c:spPr>
          </c:dPt>
          <c:dPt>
            <c:idx val="6"/>
            <c:spPr>
              <a:solidFill>
                <a:srgbClr val="2AD2C9"/>
              </a:solidFill>
            </c:spPr>
          </c:dPt>
          <c:dPt>
            <c:idx val="7"/>
            <c:spPr>
              <a:solidFill>
                <a:srgbClr val="4F758B"/>
              </a:solidFill>
            </c:spPr>
          </c:dPt>
          <c:dPt>
            <c:idx val="8"/>
            <c:spPr>
              <a:solidFill>
                <a:srgbClr val="582C83"/>
              </a:solidFill>
            </c:spPr>
          </c:dPt>
          <c:dPt>
            <c:idx val="9"/>
            <c:spPr>
              <a:solidFill>
                <a:srgbClr val="C6A1CF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'KeyFig (4)'!$B$16:$A$25</c:f>
            </c:numRef>
          </c:cat>
          <c:val>
            <c:numRef>
              <c:f>'KeyFig (4)'!$C$16:$C$25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raised by vehicle type by value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'KeyFig (5)'!$B$12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'KeyFig (5)'!$C$11:$D$11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'KeyFig (5)'!$C$12:$D$12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'KeyFig (5)'!$B$13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'KeyFig (5)'!$C$11:$D$11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'KeyFig (5)'!$C$13:$D$13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'KeyFig (5)'!$B$14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'KeyFig (5)'!$C$11:$D$11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'KeyFig (5)'!$C$14:$D$14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'KeyFig (5)'!$B$15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'KeyFig (5)'!$C$11:$D$11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'KeyFig (5)'!$C$15:$D$15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4"/>
          <c:order val="4"/>
          <c:tx>
            <c:strRef>
              <c:f>'KeyFig (5)'!$B$16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'KeyFig (5)'!$C$11:$D$11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'KeyFig (5)'!$C$16:$D$16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'KeyFig (5)'!$B$17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'KeyFig (5)'!$C$11:$D$11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'KeyFig (5)'!$C$17:$D$17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6"/>
          <c:order val="6"/>
          <c:tx>
            <c:strRef>
              <c:f>'KeyFig (5)'!$B$18</c:f>
              <c:strCache>
                <c:ptCount val="1"/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'KeyFig (5)'!$C$11:$D$11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'KeyFig (5)'!$C$18:$D$18</c:f>
              <c:numCache>
                <c:formatCode>General</c:formatCode>
                <c:ptCount val="1"/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numFmt formatCode="0%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raised by investor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'KeyFig (6)'!$B$13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(6)'!$C$13:$G$13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'KeyFig (6)'!$B$14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(6)'!$C$14:$G$14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'KeyFig (6)'!$B$15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(6)'!$C$15:$G$15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'KeyFig (6)'!$B$16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(6)'!$C$16:$G$16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'KeyFig (6)'!$B$17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(6)'!$C$17:$G$17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'KeyFig (6)'!$B$18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(6)'!$C$18:$G$18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'KeyFig (6)'!$B$19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'KeyFig (6)'!$C$12:$G$12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'KeyFig (6)'!$C$19:$G$19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numFmt formatCode="0%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equity raised by fund manager domicile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'KeyFig (7)'!$B$10</c:f>
              <c:strCache>
                <c:ptCount val="1"/>
                <c:pt idx="0">
                  <c:v>region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'KeyFig (7)'!$B$11:$A$15</c:f>
            </c:numRef>
          </c:cat>
          <c:val>
            <c:numRef>
              <c:f>'KeyFig (7)'!$C$11:$C$15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capital raising activity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(1)'!$B$8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(1)'!$C$7:$L$7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(1)'!$C$8:$L$8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(1)'!$B$9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(1)'!$C$7:$L$7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(1)'!$C$9:$L$9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numFmt formatCode="0%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Reasons why no capital was raised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(2)'!$B$13</c:f>
              <c:strCache>
                <c:ptCount val="1"/>
                <c:pt idx="0">
                  <c:v>track record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(2)'!$C$12:$L$12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(2)'!$C$13:$L$13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(2)'!$B$14</c:f>
              <c:strCache>
                <c:ptCount val="1"/>
                <c:pt idx="0">
                  <c:v>alignment of interest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(2)'!$C$12:$L$12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(2)'!$C$14:$L$14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(2)'!$B$15</c:f>
              <c:strCache>
                <c:ptCount val="1"/>
                <c:pt idx="0">
                  <c:v>fund manager reputation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(2)'!$C$12:$L$12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(2)'!$C$15:$L$15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(2)'!$B$16</c:f>
              <c:strCache>
                <c:ptCount val="1"/>
                <c:pt idx="0">
                  <c:v>associated costs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(2)'!$C$12:$L$12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(2)'!$C$16:$L$16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(2)'!$B$17</c:f>
              <c:strCache>
                <c:ptCount val="1"/>
                <c:pt idx="0">
                  <c:v>corporate governance framework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(2)'!$C$12:$L$12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(2)'!$C$17:$L$17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(2)'!$B$18</c:f>
              <c:strCache>
                <c:ptCount val="1"/>
                <c:pt idx="0">
                  <c:v>no product available at that moment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(2)'!$C$12:$L$12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(2)'!$C$18:$L$18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(2)'!$B$19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(2)'!$C$12:$L$12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(2)'!$C$19:$L$19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numFmt formatCode="0%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Methods of capital raising by fund manager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(3)'!$B$10</c:f>
              <c:strCache>
                <c:ptCount val="1"/>
                <c:pt idx="0">
                  <c:v>Placement agent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(3)'!$C$9:$G$9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(3)'!$C$10:$G$10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(3)'!$B$11</c:f>
              <c:strCache>
                <c:ptCount val="1"/>
                <c:pt idx="0">
                  <c:v>Investors contacting you directly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(3)'!$C$9:$G$9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(3)'!$C$11:$G$11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(3)'!$B$12</c:f>
              <c:strCache>
                <c:ptCount val="1"/>
                <c:pt idx="0">
                  <c:v>Your own direct relationship with investors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(3)'!$C$9:$G$9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(3)'!$C$12:$G$12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(3)'!$B$13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(3)'!$C$9:$G$9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numFmt formatCode="0%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Expectations for capital raising activities over the next two years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(4)'!$B$10</c:f>
              <c:strCache>
                <c:ptCount val="1"/>
                <c:pt idx="0">
                  <c:v>undecided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(4)'!$C$9:$L$9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(4)'!$C$10:$L$10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(4)'!$B$11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(4)'!$C$9:$L$9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(4)'!$C$11:$L$11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(4)'!$B$12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(4)'!$C$9:$L$9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(4)'!$C$12:$L$12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(4)'!$B$13</c:f>
              <c:strCache>
                <c:ptCount val="1"/>
                <c:pt idx="0">
                  <c:v>no change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(4)'!$C$9:$L$9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(4)'!$C$13:$L$13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numFmt formatCode="0%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Impact of regulation on capital raising activities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(5)'!$B$10</c:f>
              <c:strCache>
                <c:ptCount val="1"/>
                <c:pt idx="0">
                  <c:v>undecided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(5)'!$C$9:$L$9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(5)'!$C$10:$L$10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(5)'!$B$11</c:f>
              <c:strCache>
                <c:ptCount val="1"/>
                <c:pt idx="0">
                  <c:v>positive impact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(5)'!$C$9:$L$9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(5)'!$C$11:$L$11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(5)'!$B$12</c:f>
              <c:strCache>
                <c:ptCount val="1"/>
                <c:pt idx="0">
                  <c:v>negative impact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(5)'!$C$9:$L$9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(5)'!$C$12:$L$12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(5)'!$B$13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(5)'!$C$9:$L$9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(5)'!$C$13:$L$13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numFmt formatCode="0%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and invested for non-listed real estate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(6)'!$B$8</c:f>
              <c:strCache>
                <c:ptCount val="1"/>
                <c:pt idx="0">
                  <c:v>Total raised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(6)'!$C$7:$G$7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'Figure (6)'!$C$8:$G$8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(6)'!$B$9</c:f>
              <c:strCache>
                <c:ptCount val="1"/>
                <c:pt idx="0">
                  <c:v>Invested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(6)'!$C$7:$G$7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'Figure (6)'!$C$9:$G$9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130001"/>
        <c:axId val="50130002"/>
      </c:bar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numFmt formatCode="0%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for the non-listed real estate industry by regional strategy 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(7)'!$B$12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(7)'!$C$11:$L$11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(7)'!$C$12:$L$12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(7)'!$B$13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(7)'!$C$11:$L$11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(7)'!$C$13:$L$13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(7)'!$B$14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(7)'!$C$11:$L$11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(7)'!$C$14:$L$14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(7)'!$B$15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(7)'!$C$11:$L$11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(7)'!$C$15:$L$15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(7)'!$B$16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(7)'!$C$11:$L$11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(7)'!$C$16:$L$16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(7)'!$B$17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(7)'!$C$11:$L$11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'Figure (7)'!$C$17:$L$17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overlap val="100"/>
        <c:axId val="50140001"/>
        <c:axId val="50140002"/>
      </c:bar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numFmt formatCode="0%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regional strategy by number of vehicles 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(8)'!$B$13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(8)'!$C$12:$J$12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(8)'!$C$13:$J$13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(8)'!$B$14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(8)'!$C$12:$J$12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(8)'!$C$14:$J$14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(8)'!$B$15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(8)'!$C$12:$J$12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(8)'!$C$15:$J$15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(8)'!$B$16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(8)'!$C$12:$J$12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(8)'!$C$16:$J$16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(8)'!$B$17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(8)'!$C$12:$J$12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(8)'!$C$17:$J$17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(8)'!$B$18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(8)'!$C$12:$J$12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(8)'!$C$18:$J$18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150001"/>
        <c:axId val="50150002"/>
      </c:bar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numFmt formatCode="0%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regional strategy and fund manager domicile by value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(9)'!$B$12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(9)'!$C$11:$G$11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(9)'!$C$12:$G$12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(9)'!$B$13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(9)'!$C$11:$G$11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(9)'!$C$13:$G$13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(9)'!$B$14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(9)'!$C$11:$G$11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(9)'!$C$14:$G$14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(9)'!$B$15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(9)'!$C$11:$G$11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(9)'!$C$15:$G$15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(9)'!$B$16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(9)'!$C$11:$G$11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(9)'!$C$16:$G$16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(9)'!$B$17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(9)'!$C$11:$G$11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(9)'!$C$17:$G$17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numFmt formatCode="0%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regional strategy and by investment manager domicile by number of vehicles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(10)'!$B$12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(10)'!$C$11:$G$11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(10)'!$C$12:$G$12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(10)'!$B$13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(10)'!$C$11:$G$11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(10)'!$C$13:$G$13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(10)'!$B$14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(10)'!$C$11:$G$11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(10)'!$C$14:$G$14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(10)'!$B$15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(10)'!$C$11:$G$11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(10)'!$C$15:$G$15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(10)'!$B$16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(10)'!$C$11:$G$11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(10)'!$C$16:$G$16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(10)'!$B$17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(10)'!$C$11:$G$11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(10)'!$C$17:$G$17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170001"/>
        <c:axId val="50170002"/>
      </c:bar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numFmt formatCode="0%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for non-listed real estate by vehicle type by value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(11)'!$C$21</c:f>
              <c:strCache>
                <c:ptCount val="1"/>
                <c:pt idx="0">
                  <c:v>Non-listed/ 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(11)'!$B$22:$B$29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(11)'!$C$22:$C$29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(11)'!$D$21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(11)'!$B$22:$B$29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(11)'!$D$22:$D$29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(11)'!$E$21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(11)'!$B$22:$B$29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(11)'!$E$22:$E$29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(11)'!$F$21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(11)'!$B$22:$B$29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(11)'!$F$22:$F$29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(11)'!$G$21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(11)'!$B$22:$B$29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(11)'!$G$22:$G$29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(11)'!$H$21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(11)'!$B$22:$B$29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(11)'!$H$22:$H$29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180001"/>
        <c:axId val="50180002"/>
      </c:barChart>
      <c:catAx>
        <c:axId val="50180001"/>
        <c:scaling>
          <c:orientation val="minMax"/>
        </c:scaling>
        <c:axPos val="b"/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numFmt formatCode="0%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for non-listed real estate by vehicle type by value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(12)'!$C$21</c:f>
              <c:strCache>
                <c:ptCount val="1"/>
                <c:pt idx="0">
                  <c:v>Non-listed/ 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(12)'!$B$22:$B$29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(12)'!$C$22:$C$29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(12)'!$D$21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(12)'!$B$22:$B$29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(12)'!$D$22:$D$29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(12)'!$E$21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(12)'!$B$22:$B$29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(12)'!$E$22:$E$29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(12)'!$F$21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(12)'!$B$22:$B$29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(12)'!$F$22:$F$29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(12)'!$G$21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(12)'!$B$22:$B$29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(12)'!$G$22:$G$29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(12)'!$H$21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(12)'!$B$22:$B$29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(12)'!$H$22:$H$29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190001"/>
        <c:axId val="50190002"/>
      </c:barChart>
      <c:catAx>
        <c:axId val="50190001"/>
        <c:scaling>
          <c:orientation val="minMax"/>
        </c:scaling>
        <c:axPos val="b"/>
        <c:numFmt formatCode="General" sourceLinked="1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numFmt formatCode="0%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vehicle type and by regional strategy by value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(13)'!$B$13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(13)'!$C$12:$H$12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(13)'!$C$13:$H$13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(13)'!$B$14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(13)'!$C$12:$H$12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(13)'!$C$14:$H$14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(13)'!$B$15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(13)'!$C$12:$H$12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(13)'!$C$15:$H$15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(13)'!$B$16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(13)'!$C$12:$H$12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(13)'!$C$16:$H$16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(13)'!$B$17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(13)'!$C$12:$H$12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(13)'!$C$17:$H$17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(13)'!$B$18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(13)'!$C$12:$H$12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(13)'!$C$18:$H$18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(13)'!$B$19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(13)'!$C$12:$H$12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(13)'!$C$19:$H$19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numFmt formatCode="0%" sourceLinked="1"/>
        <c:tickLblPos val="nextTo"/>
        <c:crossAx val="502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vehicle type and by regional strategy by number of vehicles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(14)'!$B$13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(14)'!$C$12:$H$12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(14)'!$C$13:$H$13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(14)'!$B$14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(14)'!$C$12:$H$12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(14)'!$C$14:$H$14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(14)'!$B$15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(14)'!$C$12:$H$12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(14)'!$C$15:$H$15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(14)'!$B$16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(14)'!$C$12:$H$12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(14)'!$C$16:$H$16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(14)'!$B$17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(14)'!$C$12:$H$12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(14)'!$C$17:$H$17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(14)'!$B$18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(14)'!$C$12:$H$12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(14)'!$C$18:$H$18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(14)'!$B$19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(14)'!$C$12:$H$12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Global</c:v>
                </c:pt>
                <c:pt idx="4">
                  <c:v>South America</c:v>
                </c:pt>
                <c:pt idx="5">
                  <c:v>Africa</c:v>
                </c:pt>
              </c:strCache>
            </c:strRef>
          </c:cat>
          <c:val>
            <c:numRef>
              <c:f>'Figure (14)'!$C$19:$H$19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210001"/>
        <c:axId val="50210002"/>
      </c:bar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numFmt formatCode="0%" sourceLinked="1"/>
        <c:tickLblPos val="nextTo"/>
        <c:crossAx val="502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by value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(15)'!$C$21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(15)'!$C$22:$C$29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(15)'!$D$21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(15)'!$D$22:$D$29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(15)'!$E$21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(15)'!$E$22:$E$29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(15)'!$F$21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(15)'!$F$22:$F$29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(15)'!$G$21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(15)'!$G$22:$G$29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(15)'!$H$21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(15)'!$H$22:$H$29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(15)'!$I$21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(15)'!$I$22:$I$29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(15)'!$J$21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(15)'!$B$22:$B$31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(15)'!$J$22:$J$29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220001"/>
        <c:axId val="50220002"/>
      </c:barChart>
      <c:catAx>
        <c:axId val="50220001"/>
        <c:scaling>
          <c:orientation val="minMax"/>
        </c:scaling>
        <c:axPos val="b"/>
        <c:numFmt formatCode="General" sourceLinked="1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numFmt formatCode="0%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type and by vehicle type by value: Non-listed funds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(16-1)'!$B$14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(16-1)'!$B$15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(16-1)'!$C$15:$I$15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(16-1)'!$B$16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(16-1)'!$B$17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(16-1)'!$C$17:$I$17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(16-1)'!$B$18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(16-1)'!$C$18:$I$18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(16-1)'!$B$19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(16-1)'!$C$19:$I$19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(16-1)'!$B$20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(16-1)'!$C$20:$I$20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(16-1)'!$B$21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(16-1)'!$C$13:$I$13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(16-1)'!$C$21:$I$21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230001"/>
        <c:axId val="50230002"/>
      </c:barChart>
      <c:catAx>
        <c:axId val="50230001"/>
        <c:scaling>
          <c:orientation val="minMax"/>
        </c:scaling>
        <c:axPos val="b"/>
        <c:numFmt formatCode="General" sourceLinked="1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numFmt formatCode="0%" sourceLinked="1"/>
        <c:tickLblPos val="nextTo"/>
        <c:crossAx val="502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type and by vehicle type by value: Separate accounts investing directly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(16-2)'!$B$14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(16-2)'!$B$15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(16-2)'!$C$15:$I$15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(16-2)'!$B$16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(16-2)'!$B$17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(16-2)'!$C$17:$I$17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(16-2)'!$B$18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(16-2)'!$C$18:$I$18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(16-2)'!$B$19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(16-2)'!$C$19:$I$19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(16-2)'!$B$20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(16-2)'!$C$20:$I$20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(16-2)'!$B$21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(16-2)'!$C$13:$I$13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(16-2)'!$C$21:$I$21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240001"/>
        <c:axId val="50240002"/>
      </c:barChart>
      <c:catAx>
        <c:axId val="50240001"/>
        <c:scaling>
          <c:orientation val="minMax"/>
        </c:scaling>
        <c:axPos val="b"/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numFmt formatCode="0%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type and by vehicle type by value: Separate accounts investing into indirect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(16-3)'!$B$14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(16-3)'!$B$15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(16-3)'!$C$15:$I$15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(16-3)'!$B$16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(16-3)'!$B$17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(16-3)'!$C$17:$I$17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(16-3)'!$B$18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(16-3)'!$C$18:$I$18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(16-3)'!$B$19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(16-3)'!$C$19:$I$19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(16-3)'!$B$20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(16-3)'!$C$20:$I$20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(16-3)'!$B$21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(16-3)'!$C$13:$I$13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(16-3)'!$C$21:$I$21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250001"/>
        <c:axId val="50250002"/>
      </c:barChart>
      <c:catAx>
        <c:axId val="50250001"/>
        <c:scaling>
          <c:orientation val="minMax"/>
        </c:scaling>
        <c:axPos val="b"/>
        <c:numFmt formatCode="General" sourceLinked="1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numFmt formatCode="0%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type and by vehicle type by value: Joint ventures and club deals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(16-4)'!$B$14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(16-4)'!$B$15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(16-4)'!$C$15:$I$15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(16-4)'!$B$16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(16-4)'!$B$17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(16-4)'!$C$17:$I$17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(16-4)'!$B$18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(16-4)'!$C$18:$I$18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(16-4)'!$B$19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(16-4)'!$C$19:$I$19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(16-4)'!$B$20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(16-4)'!$C$20:$I$20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(16-4)'!$B$21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(16-4)'!$C$13:$I$13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(16-4)'!$C$21:$I$21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260001"/>
        <c:axId val="50260002"/>
      </c:barChart>
      <c:catAx>
        <c:axId val="50260001"/>
        <c:scaling>
          <c:orientation val="minMax"/>
        </c:scaling>
        <c:axPos val="b"/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numFmt formatCode="0%" sourceLinked="1"/>
        <c:tickLblPos val="nextTo"/>
        <c:crossAx val="502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type and by vehicle type by value: Funds of funds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(16-5)'!$B$14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(16-5)'!$B$15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(16-5)'!$C$15:$I$15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(16-5)'!$B$16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(16-5)'!$B$17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(16-5)'!$C$17:$I$17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(16-5)'!$B$18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(16-5)'!$C$18:$I$18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(16-5)'!$B$19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(16-5)'!$C$19:$I$19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(16-5)'!$B$20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(16-5)'!$C$20:$I$20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(16-5)'!$B$21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(16-5)'!$C$13:$I$13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(16-5)'!$C$21:$I$21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270001"/>
        <c:axId val="50270002"/>
      </c:barChart>
      <c:catAx>
        <c:axId val="50270001"/>
        <c:scaling>
          <c:orientation val="minMax"/>
        </c:scaling>
        <c:axPos val="b"/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numFmt formatCode="0%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type and by vehicle type by value: Non-listed debt products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(16-6)'!$B$14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(16-6)'!$B$15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(16-6)'!$C$15:$I$15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(16-6)'!$B$16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(16-6)'!$B$17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(16-6)'!$C$17:$I$17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(16-6)'!$B$18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(16-6)'!$C$18:$I$18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(16-6)'!$B$19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(16-6)'!$C$19:$I$19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(16-6)'!$B$20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(16-6)'!$C$20:$I$20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(16-6)'!$B$21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(16-6)'!$C$13:$I$13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'Figure (16-6)'!$C$21:$I$21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280001"/>
        <c:axId val="50280002"/>
      </c:barChart>
      <c:catAx>
        <c:axId val="50280001"/>
        <c:scaling>
          <c:orientation val="minMax"/>
        </c:scaling>
        <c:axPos val="b"/>
        <c:numFmt formatCode="General" sourceLinked="1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numFmt formatCode="0%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type and by vehicle type by value: Operating Platforms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(16-7)'!$B$14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(16-7)'!$B$15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(16-7)'!$B$16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(16-7)'!$B$17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(16-7)'!$B$18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(16-7)'!$C$18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(16-7)'!$B$19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(16-7)'!$B$20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(16-7)'!$B$21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(16-7)'!$C$13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(16-7)'!$C$21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290001"/>
        <c:axId val="50290002"/>
      </c:barChart>
      <c:catAx>
        <c:axId val="50290001"/>
        <c:scaling>
          <c:orientation val="minMax"/>
        </c:scaling>
        <c:axPos val="b"/>
        <c:numFmt formatCode="General" sourceLinked="1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numFmt formatCode="0%" sourceLinked="1"/>
        <c:tickLblPos val="nextTo"/>
        <c:crossAx val="502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by value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(17)'!$B$11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(17)'!$C$10:$J$10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(17)'!$C$11:$J$11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(17)'!$B$12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(17)'!$C$10:$J$10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(17)'!$C$12:$J$12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(17)'!$B$13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(17)'!$C$10:$J$10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(17)'!$C$13:$J$13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(17)'!$B$14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(17)'!$C$10:$J$10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(17)'!$C$14:$J$14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(17)'!$B$15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(17)'!$C$10:$J$10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(17)'!$C$15:$J$15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00001"/>
        <c:axId val="50300002"/>
      </c:barChart>
      <c:catAx>
        <c:axId val="50300001"/>
        <c:scaling>
          <c:orientation val="minMax"/>
        </c:scaling>
        <c:axPos val="b"/>
        <c:numFmt formatCode="General" sourceLinked="1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numFmt formatCode="0%" sourceLinked="1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and by vehicle type by value: Non-listed funds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(18-1)'!$B$11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(18-1)'!$C$11:$J$11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(18-1)'!$B$12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(18-1)'!$C$12:$J$12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(18-1)'!$B$13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(18-1)'!$C$13:$J$13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(18-1)'!$B$14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(18-1)'!$C$14:$J$14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(18-1)'!$B$15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(18-1)'!$C$15:$J$15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10001"/>
        <c:axId val="50310002"/>
      </c:barChart>
      <c:catAx>
        <c:axId val="50310001"/>
        <c:scaling>
          <c:orientation val="minMax"/>
        </c:scaling>
        <c:axPos val="b"/>
        <c:numFmt formatCode="General" sourceLinked="1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numFmt formatCode="0%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and by vehicle type by value: Separate accounts investing directly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(18-2)'!$B$11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(18-2)'!$C$10:$J$10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(18-2)'!$C$11:$J$11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(18-2)'!$B$12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(18-2)'!$C$10:$J$10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(18-2)'!$C$12:$J$12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(18-2)'!$B$13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(18-2)'!$C$10:$J$10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(18-2)'!$C$13:$J$13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(18-2)'!$B$14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(18-2)'!$C$10:$J$10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(18-2)'!$C$14:$J$14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(18-2)'!$B$15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(18-2)'!$C$10:$J$10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(18-2)'!$C$15:$J$15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20001"/>
        <c:axId val="50320002"/>
      </c:barChart>
      <c:catAx>
        <c:axId val="50320001"/>
        <c:scaling>
          <c:orientation val="minMax"/>
        </c:scaling>
        <c:axPos val="b"/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numFmt formatCode="0%" sourceLinked="1"/>
        <c:tickLblPos val="nextTo"/>
        <c:crossAx val="503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and by vehicle type by value: Separate accounts investing into indirect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(18-3)'!$B$11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(18-3)'!$C$10:$J$10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(18-3)'!$C$11:$J$11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(18-3)'!$B$12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(18-3)'!$C$10:$J$10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(18-3)'!$C$12:$J$12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(18-3)'!$B$13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(18-3)'!$C$10:$J$10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(18-3)'!$C$13:$J$13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(18-3)'!$B$14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(18-3)'!$C$10:$J$10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(18-3)'!$C$14:$J$14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(18-3)'!$B$15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(18-3)'!$C$10:$J$10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(18-3)'!$C$15:$J$15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30001"/>
        <c:axId val="50330002"/>
      </c:barChart>
      <c:catAx>
        <c:axId val="50330001"/>
        <c:scaling>
          <c:orientation val="minMax"/>
        </c:scaling>
        <c:axPos val="b"/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numFmt formatCode="0%" sourceLinked="1"/>
        <c:tickLblPos val="nextTo"/>
        <c:crossAx val="503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and by vehicle type by value: Joint ventures and club deals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(18-4)'!$B$11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(18-4)'!$C$10:$J$10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(18-4)'!$C$11:$J$11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(18-4)'!$B$12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(18-4)'!$C$10:$J$10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(18-4)'!$C$12:$J$12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(18-4)'!$B$13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(18-4)'!$C$10:$J$10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(18-4)'!$C$13:$J$13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(18-4)'!$B$14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(18-4)'!$C$10:$J$10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(18-4)'!$C$14:$J$14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(18-4)'!$B$15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(18-4)'!$C$10:$J$10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(18-4)'!$C$15:$J$15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40001"/>
        <c:axId val="50340002"/>
      </c:barChart>
      <c:catAx>
        <c:axId val="50340001"/>
        <c:scaling>
          <c:orientation val="minMax"/>
        </c:scaling>
        <c:axPos val="b"/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numFmt formatCode="0%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and by vehicle type by value: Funds of funds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(18-5)'!$B$11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(18-5)'!$C$10:$J$10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(18-5)'!$C$11:$J$11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(18-5)'!$B$12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(18-5)'!$C$10:$J$10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(18-5)'!$C$12:$J$12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(18-5)'!$B$13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(18-5)'!$C$10:$J$10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(18-5)'!$C$13:$J$13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(18-5)'!$B$14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(18-5)'!$C$10:$J$10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(18-5)'!$C$14:$J$14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(18-5)'!$B$15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(18-5)'!$C$10:$J$10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(18-5)'!$C$15:$J$15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50001"/>
        <c:axId val="50350002"/>
      </c:barChart>
      <c:catAx>
        <c:axId val="50350001"/>
        <c:scaling>
          <c:orientation val="minMax"/>
        </c:scaling>
        <c:axPos val="b"/>
        <c:numFmt formatCode="General" sourceLinked="1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numFmt formatCode="0%" sourceLinked="1"/>
        <c:tickLblPos val="nextTo"/>
        <c:crossAx val="503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and by vehicle type by value: Non-listed debt products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(18-6)'!$B$11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(18-6)'!$C$10:$J$10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(18-6)'!$C$11:$J$11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(18-6)'!$B$12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(18-6)'!$C$10:$J$10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(18-6)'!$C$12:$J$12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(18-6)'!$B$13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(18-6)'!$C$10:$J$10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(18-6)'!$C$13:$J$13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(18-6)'!$B$14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(18-6)'!$C$10:$J$10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(18-6)'!$C$14:$J$14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(18-6)'!$B$15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(18-6)'!$C$10:$J$10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(18-6)'!$C$15:$J$15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60001"/>
        <c:axId val="50360002"/>
      </c:barChart>
      <c:catAx>
        <c:axId val="50360001"/>
        <c:scaling>
          <c:orientation val="minMax"/>
        </c:scaling>
        <c:axPos val="b"/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numFmt formatCode="0%" sourceLinked="1"/>
        <c:tickLblPos val="nextTo"/>
        <c:crossAx val="503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Capital raised by investor domicile and by vehicle type by value: Operating Platforms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(18-7)'!$B$11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(18-7)'!$C$10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(18-7)'!$C$11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(18-7)'!$B$12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(18-7)'!$C$10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(18-7)'!$C$12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(18-7)'!$B$13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(18-7)'!$C$10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(18-7)'!$C$13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(18-7)'!$B$14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(18-7)'!$C$10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(18-7)'!$C$14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(18-7)'!$B$15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(18-7)'!$C$10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'Figure (18-7)'!$C$15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370001"/>
        <c:axId val="50370002"/>
      </c:barChart>
      <c:catAx>
        <c:axId val="50370001"/>
        <c:scaling>
          <c:orientation val="minMax"/>
        </c:scaling>
        <c:axPos val="b"/>
        <c:numFmt formatCode="General" sourceLinked="1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numFmt formatCode="0%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(19)'!$B$14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(19)'!$B$15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(19)'!$B$16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(19)'!$C$16:$J$16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(19)'!$B$17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(19)'!$C$17:$J$17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(19)'!$B$18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(19)'!$C$18:$J$18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(19)'!$B$19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(19)'!$C$19:$J$19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(19)'!$B$20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(19)'!$C$20:$J$20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(19)'!$B$21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(19)'!$C$13:$J$13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(19)'!$C$21:$J$21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80001"/>
        <c:axId val="50380002"/>
      </c:barChart>
      <c:catAx>
        <c:axId val="50380001"/>
        <c:scaling>
          <c:orientation val="minMax"/>
        </c:scaling>
        <c:axPos val="b"/>
        <c:numFmt formatCode="General" sourceLinked="1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numFmt formatCode="0%" sourceLinked="1"/>
        <c:tickLblPos val="nextTo"/>
        <c:crossAx val="503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(20)'!$B$13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(20)'!$C$12:$J$12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(20)'!$C$13:$J$13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(20)'!$B$14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(20)'!$C$12:$J$12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(20)'!$C$14:$J$14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(20)'!$B$15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(20)'!$C$12:$J$12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(20)'!$C$15:$J$15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(20)'!$B$16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(20)'!$C$12:$J$12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(20)'!$C$16:$J$16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(20)'!$B$17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(20)'!$C$12:$J$12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(20)'!$C$17:$J$17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(20)'!$B$18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(20)'!$C$12:$J$12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(20)'!$C$18:$J$18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(20)'!$B$19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(20)'!$C$12:$J$12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(20)'!$C$19:$J$19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390001"/>
        <c:axId val="50390002"/>
      </c:barChart>
      <c:catAx>
        <c:axId val="50390001"/>
        <c:scaling>
          <c:orientation val="minMax"/>
        </c:scaling>
        <c:axPos val="b"/>
        <c:numFmt formatCode="General" sourceLinked="1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numFmt formatCode="0%" sourceLinked="1"/>
        <c:tickLblPos val="nextTo"/>
        <c:crossAx val="503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strategy, capital raised for non-listed vehicles by investor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(21)'!$B$11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(21)'!$C$11:$J$11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(21)'!$B$12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(21)'!$C$12:$J$12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(21)'!$B$13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(21)'!$C$13:$J$13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(21)'!$B$14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(21)'!$C$14:$J$14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(21)'!$B$15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(21)'!$C$10:$J$10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(21)'!$C$15:$J$15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400001"/>
        <c:axId val="50400002"/>
      </c:barChart>
      <c:catAx>
        <c:axId val="50400001"/>
        <c:scaling>
          <c:orientation val="minMax"/>
        </c:scaling>
        <c:axPos val="b"/>
        <c:numFmt formatCode="General" sourceLinked="1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numFmt formatCode="0%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(22)'!$B$13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(22)'!$C$13:$N$13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(22)'!$B$14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(22)'!$C$14:$N$14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(22)'!$B$15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(22)'!$C$15:$N$15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(22)'!$B$16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(22)'!$C$16:$N$16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(22)'!$B$17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(22)'!$C$17:$N$17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(22)'!$B$18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(22)'!$C$18:$N$18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(22)'!$B$19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(22)'!$C$19:$N$19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410001"/>
        <c:axId val="50410002"/>
      </c:barChart>
      <c:catAx>
        <c:axId val="50410001"/>
        <c:scaling>
          <c:orientation val="minMax"/>
        </c:scaling>
        <c:axPos val="b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numFmt formatCode="0%" sourceLinked="1"/>
        <c:tickLblPos val="nextTo"/>
        <c:crossAx val="504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strategy, capital raised for non-listed vehicles in {0} by investor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(23)'!$B$13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(23)'!$C$12:$G$12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(23)'!$C$13:$G$13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(23)'!$B$14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(23)'!$C$12:$G$12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(23)'!$C$14:$G$14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(23)'!$B$15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(23)'!$C$12:$G$12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(23)'!$C$15:$G$15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(23)'!$B$16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(23)'!$C$12:$G$12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(23)'!$C$16:$G$16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(23)'!$B$17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(23)'!$C$12:$G$12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(23)'!$C$17:$G$17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(23)'!$B$18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(23)'!$C$12:$G$12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(23)'!$C$18:$G$18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(23)'!$B$19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(23)'!$C$12:$G$12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(23)'!$C$19:$G$19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420001"/>
        <c:axId val="50420002"/>
      </c:barChart>
      <c:catAx>
        <c:axId val="50420001"/>
        <c:scaling>
          <c:orientation val="minMax"/>
        </c:scaling>
        <c:axPos val="b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numFmt formatCode="0%" sourceLinked="1"/>
        <c:tickLblPos val="nextTo"/>
        <c:crossAx val="504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(24)'!$B$13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(24)'!$C$12:$E$12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(24)'!$C$13:$E$13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(24)'!$B$14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(24)'!$C$12:$E$12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(24)'!$C$14:$E$14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(24)'!$B$15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(24)'!$C$12:$E$12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(24)'!$C$15:$E$15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(24)'!$B$16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(24)'!$C$12:$E$12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(24)'!$C$16:$E$16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(24)'!$B$17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(24)'!$C$12:$E$12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(24)'!$C$17:$E$17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(24)'!$B$18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(24)'!$C$12:$E$12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(24)'!$C$18:$E$18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(24)'!$B$19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(24)'!$C$12:$E$12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(24)'!$C$19:$E$19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overlap val="100"/>
        <c:axId val="50430001"/>
        <c:axId val="50430002"/>
      </c:barChart>
      <c:catAx>
        <c:axId val="50430001"/>
        <c:scaling>
          <c:orientation val="minMax"/>
        </c:scaling>
        <c:axPos val="b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numFmt formatCode="0%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(25)'!$B$10</c:f>
              <c:strCache>
                <c:ptCount val="1"/>
                <c:pt idx="0">
                  <c:v>Core / Senior debt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(25)'!$C$9:$I$9</c:f>
              <c:strCache>
                <c:ptCount val="7"/>
                <c:pt idx="0">
                  <c:v>Non-listed/ 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  <c:pt idx="6">
                  <c:v>Total</c:v>
                </c:pt>
              </c:strCache>
            </c:strRef>
          </c:cat>
          <c:val>
            <c:numRef>
              <c:f>'Figure (25)'!$C$10:$I$10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(25)'!$B$11</c:f>
              <c:strCache>
                <c:ptCount val="1"/>
                <c:pt idx="0">
                  <c:v>Value added / Junior and other subordinated debt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(25)'!$C$9:$I$9</c:f>
              <c:strCache>
                <c:ptCount val="7"/>
                <c:pt idx="0">
                  <c:v>Non-listed/ 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  <c:pt idx="6">
                  <c:v>Total</c:v>
                </c:pt>
              </c:strCache>
            </c:strRef>
          </c:cat>
          <c:val>
            <c:numRef>
              <c:f>'Figure (25)'!$C$11:$I$11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(25)'!$B$12</c:f>
              <c:strCache>
                <c:ptCount val="1"/>
                <c:pt idx="0">
                  <c:v>Opportunistic / Mezzanine debt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(25)'!$C$9:$I$9</c:f>
              <c:strCache>
                <c:ptCount val="7"/>
                <c:pt idx="0">
                  <c:v>Non-listed/ 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  <c:pt idx="6">
                  <c:v>Total</c:v>
                </c:pt>
              </c:strCache>
            </c:strRef>
          </c:cat>
          <c:val>
            <c:numRef>
              <c:f>'Figure (25)'!$C$12:$I$12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(25)'!$B$13</c:f>
              <c:strCache>
                <c:ptCount val="1"/>
                <c:pt idx="0">
                  <c:v>Mixed strategies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(25)'!$C$9:$I$9</c:f>
              <c:strCache>
                <c:ptCount val="7"/>
                <c:pt idx="0">
                  <c:v>Non-listed/ 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  <c:pt idx="6">
                  <c:v>Total</c:v>
                </c:pt>
              </c:strCache>
            </c:strRef>
          </c:cat>
          <c:val>
            <c:numRef>
              <c:f>'Figure (25)'!$C$13:$I$13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440001"/>
        <c:axId val="50440002"/>
      </c:barChart>
      <c:catAx>
        <c:axId val="50440001"/>
        <c:scaling>
          <c:orientation val="minMax"/>
        </c:scaling>
        <c:axPos val="b"/>
        <c:tickLblPos val="nextTo"/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numFmt formatCode="0%" sourceLinked="1"/>
        <c:tickLblPos val="nextTo"/>
        <c:crossAx val="504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APAC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(26)'!$B$14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(26)'!$B$15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(26)'!$B$16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(26)'!$C$16:$J$16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(26)'!$B$17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(26)'!$C$17:$J$17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(26)'!$B$18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(26)'!$C$18:$J$18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(26)'!$B$19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(26)'!$C$19:$J$19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(26)'!$B$20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(26)'!$C$20:$J$20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(26)'!$B$21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(26)'!$C$13:$J$13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(26)'!$C$21:$J$21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450001"/>
        <c:axId val="50450002"/>
      </c:barChart>
      <c:catAx>
        <c:axId val="50450001"/>
        <c:scaling>
          <c:orientation val="minMax"/>
        </c:scaling>
        <c:axPos val="b"/>
        <c:numFmt formatCode="General" sourceLinked="1"/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numFmt formatCode="0%" sourceLinked="1"/>
        <c:tickLblPos val="nextTo"/>
        <c:crossAx val="504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APAC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(27)'!$B$13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(27)'!$C$12:$J$12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(27)'!$C$13:$J$13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(27)'!$B$14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(27)'!$C$12:$J$12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(27)'!$C$14:$J$14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(27)'!$B$15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(27)'!$C$12:$J$12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(27)'!$C$15:$J$15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(27)'!$B$16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(27)'!$C$12:$J$12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(27)'!$C$16:$J$16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(27)'!$B$17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(27)'!$C$12:$J$12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(27)'!$C$17:$J$17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(27)'!$B$18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(27)'!$C$12:$J$12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(27)'!$C$18:$J$18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(27)'!$B$19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(27)'!$C$12:$J$12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(27)'!$C$19:$J$19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460001"/>
        <c:axId val="50460002"/>
      </c:barChart>
      <c:catAx>
        <c:axId val="50460001"/>
        <c:scaling>
          <c:orientation val="minMax"/>
        </c:scaling>
        <c:axPos val="b"/>
        <c:numFmt formatCode="General" sourceLinked="1"/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numFmt formatCode="0%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APAC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(28)'!$B$13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(28)'!$C$12:$E$12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(28)'!$C$13:$E$13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(28)'!$B$14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(28)'!$C$12:$E$12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(28)'!$C$14:$E$14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(28)'!$B$15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(28)'!$C$12:$E$12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(28)'!$C$15:$E$15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(28)'!$B$16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(28)'!$C$12:$E$12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(28)'!$C$16:$E$16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(28)'!$B$17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(28)'!$C$12:$E$12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(28)'!$C$17:$E$17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(28)'!$B$18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(28)'!$C$12:$E$12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(28)'!$C$18:$E$18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(28)'!$B$19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(28)'!$C$12:$E$12</c:f>
              <c:strCache>
                <c:ptCount val="3"/>
                <c:pt idx="0">
                  <c:v>Single country</c:v>
                </c:pt>
                <c:pt idx="1">
                  <c:v>Multi country</c:v>
                </c:pt>
                <c:pt idx="2">
                  <c:v>Total</c:v>
                </c:pt>
              </c:strCache>
            </c:strRef>
          </c:cat>
          <c:val>
            <c:numRef>
              <c:f>'Figure (28)'!$C$19:$E$19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overlap val="100"/>
        <c:axId val="50470001"/>
        <c:axId val="50470002"/>
      </c:barChart>
      <c:catAx>
        <c:axId val="50470001"/>
        <c:scaling>
          <c:orientation val="minMax"/>
        </c:scaling>
        <c:axPos val="b"/>
        <c:tickLblPos val="nextTo"/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numFmt formatCode="0%" sourceLinked="1"/>
        <c:tickLblPos val="nextTo"/>
        <c:crossAx val="504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APAC strategy: capital raised by investor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(29)'!$B$11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(29)'!$C$10:$J$10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(29)'!$C$11:$J$11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(29)'!$B$12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(29)'!$C$10:$J$10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(29)'!$C$12:$J$12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(29)'!$B$13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(29)'!$C$10:$J$10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(29)'!$C$13:$J$13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(29)'!$B$14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(29)'!$C$10:$J$10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(29)'!$C$14:$J$14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(29)'!$B$15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numRef>
              <c:f>'Figure (29)'!$C$10:$J$10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'Figure (29)'!$C$15:$J$15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480001"/>
        <c:axId val="50480002"/>
      </c:barChart>
      <c:catAx>
        <c:axId val="50480001"/>
        <c:scaling>
          <c:orientation val="minMax"/>
        </c:scaling>
        <c:axPos val="b"/>
        <c:numFmt formatCode="General" sourceLinked="1"/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numFmt formatCode="0%" sourceLinked="1"/>
        <c:tickLblPos val="nextTo"/>
        <c:crossAx val="504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APAC strategy: capital raised by investor type and vehicle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(30)'!$B$14</c:f>
              <c:strCache>
                <c:ptCount val="1"/>
                <c:pt idx="0">
                  <c:v>Pension funds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(30)'!$C$14:$H$14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(30)'!$B$15</c:f>
              <c:strCache>
                <c:ptCount val="1"/>
                <c:pt idx="0">
                  <c:v>Insurance companies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(30)'!$C$15:$H$15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(30)'!$B$16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(30)'!$C$16:$H$16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(30)'!$B$17</c:f>
              <c:strCache>
                <c:ptCount val="1"/>
                <c:pt idx="0">
                  <c:v>Government institutions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(30)'!$C$17:$H$17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(30)'!$B$18</c:f>
              <c:strCache>
                <c:ptCount val="1"/>
                <c:pt idx="0">
                  <c:v>Charities, foundations, non-profit organisations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(30)'!$C$18:$H$18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(30)'!$B$19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(30)'!$C$19:$H$19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(30)'!$B$20</c:f>
              <c:strCache>
                <c:ptCount val="1"/>
                <c:pt idx="0">
                  <c:v>High net worth individuals /Family offices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(30)'!$C$20:$H$20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7"/>
          <c:order val="7"/>
          <c:tx>
            <c:strRef>
              <c:f>'Figure (30)'!$B$21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F758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(30)'!$C$13:$H$13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(30)'!$C$21:$H$21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490001"/>
        <c:axId val="50490002"/>
      </c:barChart>
      <c:catAx>
        <c:axId val="50490001"/>
        <c:scaling>
          <c:orientation val="minMax"/>
        </c:scaling>
        <c:axPos val="b"/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numFmt formatCode="0%" sourceLinked="1"/>
        <c:tickLblPos val="nextTo"/>
        <c:crossAx val="504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Asia Pacific strategy: capital raised by investor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(32)'!$B$13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(32)'!$C$13:$N$13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(32)'!$B$14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(32)'!$C$14:$N$14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(32)'!$B$15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(32)'!$C$15:$N$15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(32)'!$B$16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(32)'!$C$16:$N$16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(32)'!$B$17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(32)'!$C$17:$N$17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(32)'!$B$18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(32)'!$C$18:$N$18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(32)'!$B$19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(32)'!$C$12:$N$12</c:f>
              <c:strCache>
                <c:ptCount val="12"/>
                <c:pt idx="0">
                  <c:v>Office</c:v>
                </c:pt>
                <c:pt idx="1">
                  <c:v>Retail</c:v>
                </c:pt>
                <c:pt idx="2">
                  <c:v>Industrial / Logistics</c:v>
                </c:pt>
                <c:pt idx="3">
                  <c:v>Residential / Multi family / Apartments</c:v>
                </c:pt>
                <c:pt idx="4">
                  <c:v>Student accommodation</c:v>
                </c:pt>
                <c:pt idx="5">
                  <c:v>Healthcare / Senior housing</c:v>
                </c:pt>
                <c:pt idx="6">
                  <c:v>Hotel / Leisure</c:v>
                </c:pt>
                <c:pt idx="7">
                  <c:v>Data centres</c:v>
                </c:pt>
                <c:pt idx="8">
                  <c:v>Other</c:v>
                </c:pt>
                <c:pt idx="9">
                  <c:v>Main sector</c:v>
                </c:pt>
                <c:pt idx="10">
                  <c:v>Alternative sectors</c:v>
                </c:pt>
                <c:pt idx="11">
                  <c:v>Mixed</c:v>
                </c:pt>
              </c:strCache>
            </c:strRef>
          </c:cat>
          <c:val>
            <c:numRef>
              <c:f>'Figure (32)'!$C$19:$N$19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500001"/>
        <c:axId val="50500002"/>
      </c:barChart>
      <c:catAx>
        <c:axId val="50500001"/>
        <c:scaling>
          <c:orientation val="minMax"/>
        </c:scaling>
        <c:axPos val="b"/>
        <c:tickLblPos val="nextTo"/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numFmt formatCode="0%" sourceLinked="1"/>
        <c:tickLblPos val="nextTo"/>
        <c:crossAx val="505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equity raised by fund manager domicile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'Figure (33)'!$B$10</c:f>
              <c:strCache>
                <c:ptCount val="1"/>
                <c:pt idx="0">
                  <c:v>strategy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(33)'!$C$11:$C$15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(33)'!$D$10</c:f>
              <c:strCache>
                <c:ptCount val="1"/>
                <c:pt idx="0">
                  <c:v>Retail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(33)'!$E$11:$E$15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(33)'!$F$10</c:f>
              <c:strCache>
                <c:ptCount val="1"/>
                <c:pt idx="0">
                  <c:v>Residential / Multi family / Apartments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(33)'!$G$11:$G$15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(33)'!$H$10</c:f>
              <c:strCache>
                <c:ptCount val="1"/>
                <c:pt idx="0">
                  <c:v>Healthcare / Senior housing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(33)'!$I$11:$I$15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(33)'!$J$10</c:f>
              <c:strCache>
                <c:ptCount val="1"/>
                <c:pt idx="0">
                  <c:v>Data centres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(33)'!$K$11:$K$15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(33)'!$L$10</c:f>
              <c:strCache>
                <c:ptCount val="1"/>
                <c:pt idx="0">
                  <c:v>Main sector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(33)'!$M$11:$M$15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(33)'!$N$10</c:f>
              <c:strCache>
                <c:ptCount val="1"/>
                <c:pt idx="0">
                  <c:v>Mixed</c:v>
                </c:pt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(33)'!$O$11:$O$15</c:f>
              <c:numCache>
                <c:formatCode>General</c:formatCode>
                <c:ptCount val="5"/>
              </c:numCache>
            </c:numRef>
          </c:val>
        </c:ser>
        <c:ser>
          <c:idx val="7"/>
          <c:order val="7"/>
          <c:tx>
            <c:strRef>
              <c:f>'Figure (33)'!$P$10</c:f>
              <c:strCache>
                <c:ptCount val="1"/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(33)'!$Q$11:$Q$15</c:f>
              <c:numCache>
                <c:formatCode>General</c:formatCode>
                <c:ptCount val="5"/>
              </c:numCache>
            </c:numRef>
          </c:val>
        </c:ser>
        <c:ser>
          <c:idx val="8"/>
          <c:order val="8"/>
          <c:tx>
            <c:strRef>
              <c:f>'Figure (33)'!$R$10</c:f>
              <c:strCache>
                <c:ptCount val="1"/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(33)'!$S$11:$S$15</c:f>
              <c:numCache>
                <c:formatCode>General</c:formatCode>
                <c:ptCount val="5"/>
              </c:numCache>
            </c:numRef>
          </c:val>
        </c:ser>
        <c:ser>
          <c:idx val="9"/>
          <c:order val="9"/>
          <c:tx>
            <c:strRef>
              <c:f>'Figure (33)'!$T$10</c:f>
              <c:strCache>
                <c:ptCount val="1"/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(33)'!$U$11:$U$15</c:f>
              <c:numCache>
                <c:formatCode>General</c:formatCode>
                <c:ptCount val="5"/>
              </c:numCache>
            </c:numRef>
          </c:val>
        </c:ser>
        <c:ser>
          <c:idx val="10"/>
          <c:order val="10"/>
          <c:tx>
            <c:strRef>
              <c:f>'Figure (33)'!$V$10</c:f>
              <c:strCache>
                <c:ptCount val="1"/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(33)'!$W$11:$W$15</c:f>
              <c:numCache>
                <c:formatCode>General</c:formatCode>
                <c:ptCount val="5"/>
              </c:numCache>
            </c:numRef>
          </c:val>
        </c:ser>
        <c:ser>
          <c:idx val="11"/>
          <c:order val="11"/>
          <c:tx>
            <c:strRef>
              <c:f>'Figure (33)'!$X$10</c:f>
              <c:strCache>
                <c:ptCount val="1"/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(33)'!$Y$11:$Y$15</c:f>
              <c:numCache>
                <c:formatCode>General</c:formatCode>
                <c:ptCount val="5"/>
              </c:numCache>
            </c:numRef>
          </c:val>
        </c:ser>
        <c:ser>
          <c:idx val="12"/>
          <c:order val="12"/>
          <c:tx>
            <c:strRef>
              <c:f>'Figure (33)'!$Z$10</c:f>
              <c:strCache>
                <c:ptCount val="1"/>
              </c:strCache>
            </c:strRef>
          </c:tx>
          <c:dPt>
            <c:idx val="0"/>
            <c:spPr>
              <a:solidFill>
                <a:srgbClr val="0033A0"/>
              </a:solidFill>
            </c:spPr>
          </c:dPt>
          <c:dPt>
            <c:idx val="1"/>
            <c:spPr>
              <a:solidFill>
                <a:srgbClr val="59CBE8"/>
              </a:solidFill>
            </c:spPr>
          </c:dPt>
          <c:dPt>
            <c:idx val="2"/>
            <c:spPr>
              <a:solidFill>
                <a:srgbClr val="6CC24A"/>
              </a:solidFill>
            </c:spPr>
          </c:dPt>
          <c:dPt>
            <c:idx val="3"/>
            <c:spPr>
              <a:solidFill>
                <a:srgbClr val="008675"/>
              </a:solidFill>
            </c:spPr>
          </c:dPt>
          <c:dPt>
            <c:idx val="4"/>
            <c:spPr>
              <a:solidFill>
                <a:srgbClr val="91D6AC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'Figure (33)'!$B$11:$A$15</c:f>
            </c:numRef>
          </c:cat>
          <c:val>
            <c:numRef>
              <c:f>'Figure (33)'!$AA$11:$AA$15</c:f>
              <c:numCache>
                <c:formatCode>General</c:formatCode>
                <c:ptCount val="5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raised by investor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(34)'!$B$13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(34)'!$C$12:$G$12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(34)'!$C$13:$G$13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(34)'!$B$14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(34)'!$C$12:$G$12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(34)'!$C$14:$G$14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(34)'!$B$15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(34)'!$C$12:$G$12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(34)'!$C$15:$G$15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(34)'!$B$16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(34)'!$C$12:$G$12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(34)'!$C$16:$G$16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(34)'!$B$17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(34)'!$C$12:$G$12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(34)'!$C$17:$G$17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(34)'!$B$18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(34)'!$C$12:$G$12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(34)'!$C$18:$G$18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(34)'!$B$19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(34)'!$C$12:$G$12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(34)'!$C$19:$G$19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520001"/>
        <c:axId val="50520002"/>
      </c:barChart>
      <c:catAx>
        <c:axId val="50520001"/>
        <c:scaling>
          <c:orientation val="minMax"/>
        </c:scaling>
        <c:axPos val="b"/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numFmt formatCode="0%" sourceLinked="1"/>
        <c:tickLblPos val="nextTo"/>
        <c:crossAx val="505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raised by investor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(35)'!$B$10</c:f>
              <c:strCache>
                <c:ptCount val="1"/>
                <c:pt idx="0">
                  <c:v>Core / Senior debt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(35)'!$C$9:$H$9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(35)'!$C$10:$H$10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(35)'!$B$11</c:f>
              <c:strCache>
                <c:ptCount val="1"/>
                <c:pt idx="0">
                  <c:v>Value added / Junior and other subordinated debt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(35)'!$C$9:$H$9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(35)'!$C$11:$H$11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(35)'!$B$12</c:f>
              <c:strCache>
                <c:ptCount val="1"/>
                <c:pt idx="0">
                  <c:v>Opportunistic / Mezzanine debt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(35)'!$C$9:$H$9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(35)'!$C$12:$H$12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(35)'!$B$13</c:f>
              <c:strCache>
                <c:ptCount val="1"/>
                <c:pt idx="0">
                  <c:v>Mixed strategies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(35)'!$C$9:$H$9</c:f>
              <c:strCache>
                <c:ptCount val="6"/>
                <c:pt idx="0">
                  <c:v>Non-listed/commingled real estate funds/private REITs</c:v>
                </c:pt>
                <c:pt idx="1">
                  <c:v>Separate accounts investing directly into real estate</c:v>
                </c:pt>
                <c:pt idx="2">
                  <c:v>Separate accounts investing into indirect vehicles</c:v>
                </c:pt>
                <c:pt idx="3">
                  <c:v>Joint ventures and club deals</c:v>
                </c:pt>
                <c:pt idx="4">
                  <c:v>Multi Managers</c:v>
                </c:pt>
                <c:pt idx="5">
                  <c:v>Non-listed debt products</c:v>
                </c:pt>
              </c:strCache>
            </c:strRef>
          </c:cat>
          <c:val>
            <c:numRef>
              <c:f>'Figure (35)'!$C$13:$H$13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530001"/>
        <c:axId val="50530002"/>
      </c:barChart>
      <c:catAx>
        <c:axId val="50530001"/>
        <c:scaling>
          <c:orientation val="minMax"/>
        </c:scaling>
        <c:axPos val="b"/>
        <c:tickLblPos val="nextTo"/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numFmt formatCode="0%" sourceLinked="1"/>
        <c:tickLblPos val="nextTo"/>
        <c:crossAx val="505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raised by investor domicile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(36)'!$B$13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(36)'!$C$13:$G$13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(36)'!$B$14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(36)'!$C$14:$G$14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(36)'!$B$15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(36)'!$C$15:$G$15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(36)'!$B$16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(36)'!$C$16:$G$16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(36)'!$B$17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(36)'!$C$17:$G$17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(36)'!$B$18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(36)'!$C$18:$G$18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(36)'!$B$19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(36)'!$C$12:$G$12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North America</c:v>
                </c:pt>
                <c:pt idx="3">
                  <c:v>South America</c:v>
                </c:pt>
                <c:pt idx="4">
                  <c:v>Africa</c:v>
                </c:pt>
              </c:strCache>
            </c:strRef>
          </c:cat>
          <c:val>
            <c:numRef>
              <c:f>'Figure (36)'!$C$19:$G$19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540001"/>
        <c:axId val="50540002"/>
      </c:barChart>
      <c:catAx>
        <c:axId val="50540001"/>
        <c:scaling>
          <c:orientation val="minMax"/>
        </c:scaling>
        <c:axPos val="b"/>
        <c:tickLblPos val="nextTo"/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numFmt formatCode="0%" sourceLinked="1"/>
        <c:tickLblPos val="nextTo"/>
        <c:crossAx val="505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strategy, capital raised for non-listed vehicles in 2023 by investor type and vehicle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(37)'!$B$13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(37)'!$C$12:$J$12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(37)'!$C$13:$J$13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(37)'!$B$14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(37)'!$C$12:$J$12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(37)'!$C$14:$J$14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(37)'!$B$15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(37)'!$C$12:$J$12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(37)'!$C$15:$J$15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(37)'!$B$16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(37)'!$C$12:$J$12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(37)'!$C$16:$J$16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(37)'!$B$17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(37)'!$C$12:$J$12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(37)'!$C$17:$J$17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(37)'!$B$18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(37)'!$C$12:$J$12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(37)'!$C$18:$J$18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(37)'!$B$19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(37)'!$C$12:$J$12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(37)'!$C$19:$J$19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550001"/>
        <c:axId val="50550002"/>
      </c:barChart>
      <c:catAx>
        <c:axId val="50550001"/>
        <c:scaling>
          <c:orientation val="minMax"/>
        </c:scaling>
        <c:axPos val="b"/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numFmt formatCode="0%" sourceLinked="1"/>
        <c:tickLblPos val="nextTo"/>
        <c:crossAx val="505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Asia Pacific strategy, capital raised for non-listed vehicles in 2023 by investor type and vehicle type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'Figure (38)'!$B$13</c:f>
              <c:strCache>
                <c:ptCount val="1"/>
                <c:pt idx="0">
                  <c:v>Non-listed/commingled real estate funds/private REITs</c:v>
                </c:pt>
              </c:strCache>
            </c:strRef>
          </c:tx>
          <c:spPr>
            <a:solidFill>
              <a:srgbClr val="0033A0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(38)'!$C$12:$J$12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(38)'!$C$13:$J$13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'Figure (38)'!$B$14</c:f>
              <c:strCache>
                <c:ptCount val="1"/>
                <c:pt idx="0">
                  <c:v>Separate accounts investing directly into real estate</c:v>
                </c:pt>
              </c:strCache>
            </c:strRef>
          </c:tx>
          <c:spPr>
            <a:solidFill>
              <a:srgbClr val="59CBE8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(38)'!$C$12:$J$12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(38)'!$C$14:$J$14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'Figure (38)'!$B$15</c:f>
              <c:strCache>
                <c:ptCount val="1"/>
                <c:pt idx="0">
                  <c:v>Separate accounts investing into indirect vehicles</c:v>
                </c:pt>
              </c:strCache>
            </c:strRef>
          </c:tx>
          <c:spPr>
            <a:solidFill>
              <a:srgbClr val="6CC24A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(38)'!$C$12:$J$12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(38)'!$C$15:$J$15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(38)'!$B$16</c:f>
              <c:strCache>
                <c:ptCount val="1"/>
                <c:pt idx="0">
                  <c:v>Joint ventures and club deals</c:v>
                </c:pt>
              </c:strCache>
            </c:strRef>
          </c:tx>
          <c:spPr>
            <a:solidFill>
              <a:srgbClr val="008675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(38)'!$C$12:$J$12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(38)'!$C$16:$J$16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'Figure (38)'!$B$17</c:f>
              <c:strCache>
                <c:ptCount val="1"/>
                <c:pt idx="0">
                  <c:v>Multi Managers</c:v>
                </c:pt>
              </c:strCache>
            </c:strRef>
          </c:tx>
          <c:spPr>
            <a:solidFill>
              <a:srgbClr val="91D6AC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(38)'!$C$12:$J$12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(38)'!$C$17:$J$17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'Figure (38)'!$B$18</c:f>
              <c:strCache>
                <c:ptCount val="1"/>
                <c:pt idx="0">
                  <c:v>Non-listed debt products</c:v>
                </c:pt>
              </c:strCache>
            </c:strRef>
          </c:tx>
          <c:spPr>
            <a:solidFill>
              <a:srgbClr val="009CA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(38)'!$C$12:$J$12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(38)'!$C$18:$J$18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'Figure (38)'!$B$19</c:f>
              <c:strCache>
                <c:ptCount val="1"/>
                <c:pt idx="0">
                  <c:v>Operating Platforms</c:v>
                </c:pt>
              </c:strCache>
            </c:strRef>
          </c:tx>
          <c:spPr>
            <a:solidFill>
              <a:srgbClr val="2AD2C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'Figure (38)'!$C$12:$J$12</c:f>
              <c:strCache>
                <c:ptCount val="8"/>
                <c:pt idx="0">
                  <c:v>Pension funds</c:v>
                </c:pt>
                <c:pt idx="1">
                  <c:v>Insurance companies</c:v>
                </c:pt>
                <c:pt idx="2">
                  <c:v>Sovereign wealth funds</c:v>
                </c:pt>
                <c:pt idx="3">
                  <c:v>Government institutions</c:v>
                </c:pt>
                <c:pt idx="4">
                  <c:v>Charities, foundations, non-profit organisations</c:v>
                </c:pt>
                <c:pt idx="5">
                  <c:v>Multi Managers</c:v>
                </c:pt>
                <c:pt idx="6">
                  <c:v>High net worth individuals /Family offices</c:v>
                </c:pt>
                <c:pt idx="7">
                  <c:v>Other</c:v>
                </c:pt>
              </c:strCache>
            </c:strRef>
          </c:cat>
          <c:val>
            <c:numRef>
              <c:f>'Figure (38)'!$C$19:$J$19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560001"/>
        <c:axId val="50560002"/>
      </c:barChart>
      <c:catAx>
        <c:axId val="50560001"/>
        <c:scaling>
          <c:orientation val="minMax"/>
        </c:scaling>
        <c:axPos val="b"/>
        <c:tickLblPos val="nextTo"/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numFmt formatCode="0%" sourceLinked="1"/>
        <c:tickLblPos val="nextTo"/>
        <c:crossAx val="505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17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0</xdr:rowOff>
    </xdr:from>
    <xdr:to>
      <xdr:col>17</xdr:col>
      <xdr:colOff>152400</xdr:colOff>
      <xdr:row>50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13</xdr:row>
      <xdr:rowOff>0</xdr:rowOff>
    </xdr:from>
    <xdr:to>
      <xdr:col>30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0</xdr:rowOff>
    </xdr:from>
    <xdr:to>
      <xdr:col>17</xdr:col>
      <xdr:colOff>152400</xdr:colOff>
      <xdr:row>39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18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15</xdr:row>
      <xdr:rowOff>0</xdr:rowOff>
    </xdr:from>
    <xdr:to>
      <xdr:col>30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17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10</xdr:row>
      <xdr:rowOff>0</xdr:rowOff>
    </xdr:from>
    <xdr:to>
      <xdr:col>26</xdr:col>
      <xdr:colOff>152400</xdr:colOff>
      <xdr:row>31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15</xdr:row>
      <xdr:rowOff>0</xdr:rowOff>
    </xdr:from>
    <xdr:to>
      <xdr:col>26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12</xdr:row>
      <xdr:rowOff>0</xdr:rowOff>
    </xdr:from>
    <xdr:to>
      <xdr:col>30</xdr:col>
      <xdr:colOff>152400</xdr:colOff>
      <xdr:row>33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26</xdr:col>
      <xdr:colOff>152400</xdr:colOff>
      <xdr:row>33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26</xdr:col>
      <xdr:colOff>152400</xdr:colOff>
      <xdr:row>33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21</xdr:col>
      <xdr:colOff>152400</xdr:colOff>
      <xdr:row>31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14</xdr:row>
      <xdr:rowOff>0</xdr:rowOff>
    </xdr:from>
    <xdr:to>
      <xdr:col>27</xdr:col>
      <xdr:colOff>152400</xdr:colOff>
      <xdr:row>35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14</xdr:row>
      <xdr:rowOff>0</xdr:rowOff>
    </xdr:from>
    <xdr:to>
      <xdr:col>24</xdr:col>
      <xdr:colOff>152400</xdr:colOff>
      <xdr:row>35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14</xdr:row>
      <xdr:rowOff>0</xdr:rowOff>
    </xdr:from>
    <xdr:to>
      <xdr:col>30</xdr:col>
      <xdr:colOff>152400</xdr:colOff>
      <xdr:row>35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14</xdr:row>
      <xdr:rowOff>0</xdr:rowOff>
    </xdr:from>
    <xdr:to>
      <xdr:col>30</xdr:col>
      <xdr:colOff>152400</xdr:colOff>
      <xdr:row>35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23</xdr:col>
      <xdr:colOff>152400</xdr:colOff>
      <xdr:row>35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23</xdr:col>
      <xdr:colOff>152400</xdr:colOff>
      <xdr:row>35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15</xdr:row>
      <xdr:rowOff>0</xdr:rowOff>
    </xdr:from>
    <xdr:to>
      <xdr:col>33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15</xdr:row>
      <xdr:rowOff>0</xdr:rowOff>
    </xdr:from>
    <xdr:to>
      <xdr:col>33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0</xdr:rowOff>
    </xdr:from>
    <xdr:to>
      <xdr:col>25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</xdr:row>
      <xdr:rowOff>0</xdr:rowOff>
    </xdr:from>
    <xdr:to>
      <xdr:col>24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</xdr:row>
      <xdr:rowOff>0</xdr:rowOff>
    </xdr:from>
    <xdr:to>
      <xdr:col>24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</xdr:row>
      <xdr:rowOff>0</xdr:rowOff>
    </xdr:from>
    <xdr:to>
      <xdr:col>24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</xdr:row>
      <xdr:rowOff>0</xdr:rowOff>
    </xdr:from>
    <xdr:to>
      <xdr:col>24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</xdr:row>
      <xdr:rowOff>0</xdr:rowOff>
    </xdr:from>
    <xdr:to>
      <xdr:col>24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</xdr:row>
      <xdr:rowOff>0</xdr:rowOff>
    </xdr:from>
    <xdr:to>
      <xdr:col>24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0</xdr:rowOff>
    </xdr:from>
    <xdr:to>
      <xdr:col>18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18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0</xdr:rowOff>
    </xdr:from>
    <xdr:to>
      <xdr:col>25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0</xdr:rowOff>
    </xdr:from>
    <xdr:to>
      <xdr:col>25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15</xdr:row>
      <xdr:rowOff>0</xdr:rowOff>
    </xdr:from>
    <xdr:to>
      <xdr:col>51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15</xdr:row>
      <xdr:rowOff>0</xdr:rowOff>
    </xdr:from>
    <xdr:to>
      <xdr:col>30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0</xdr:rowOff>
    </xdr:from>
    <xdr:to>
      <xdr:col>24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12</xdr:row>
      <xdr:rowOff>0</xdr:rowOff>
    </xdr:from>
    <xdr:to>
      <xdr:col>36</xdr:col>
      <xdr:colOff>152400</xdr:colOff>
      <xdr:row>33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0</xdr:rowOff>
    </xdr:from>
    <xdr:to>
      <xdr:col>25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0</xdr:rowOff>
    </xdr:from>
    <xdr:to>
      <xdr:col>25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0</xdr:rowOff>
    </xdr:from>
    <xdr:to>
      <xdr:col>24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16</xdr:row>
      <xdr:rowOff>0</xdr:rowOff>
    </xdr:from>
    <xdr:to>
      <xdr:col>33</xdr:col>
      <xdr:colOff>152400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15</xdr:row>
      <xdr:rowOff>0</xdr:rowOff>
    </xdr:from>
    <xdr:to>
      <xdr:col>51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13</xdr:row>
      <xdr:rowOff>0</xdr:rowOff>
    </xdr:from>
    <xdr:to>
      <xdr:col>51</xdr:col>
      <xdr:colOff>152400</xdr:colOff>
      <xdr:row>34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15</xdr:row>
      <xdr:rowOff>0</xdr:rowOff>
    </xdr:from>
    <xdr:to>
      <xdr:col>30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12</xdr:row>
      <xdr:rowOff>0</xdr:rowOff>
    </xdr:from>
    <xdr:to>
      <xdr:col>33</xdr:col>
      <xdr:colOff>152400</xdr:colOff>
      <xdr:row>33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15</xdr:row>
      <xdr:rowOff>0</xdr:rowOff>
    </xdr:from>
    <xdr:to>
      <xdr:col>30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15</xdr:row>
      <xdr:rowOff>0</xdr:rowOff>
    </xdr:from>
    <xdr:to>
      <xdr:col>39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15</xdr:row>
      <xdr:rowOff>0</xdr:rowOff>
    </xdr:from>
    <xdr:to>
      <xdr:col>39</xdr:col>
      <xdr:colOff>152400</xdr:colOff>
      <xdr:row>36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6600"/>
  </sheetPr>
  <dimension ref="A1:XP100"/>
  <sheetViews>
    <sheetView tabSelected="1" workbookViewId="0"/>
  </sheetViews>
  <sheetFormatPr defaultRowHeight="15"/>
  <sheetData>
    <row r="1" spans="1:6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</row>
    <row r="2" spans="1:640">
      <c r="A2" t="s">
        <v>640</v>
      </c>
      <c r="B2" t="s">
        <v>739</v>
      </c>
      <c r="C2" t="s">
        <v>838</v>
      </c>
      <c r="D2" t="s">
        <v>843</v>
      </c>
      <c r="E2" t="s">
        <v>863</v>
      </c>
      <c r="F2" s="2">
        <v>45700</v>
      </c>
      <c r="G2">
        <v>0</v>
      </c>
      <c r="H2">
        <v>0</v>
      </c>
      <c r="I2">
        <v>144.419677734375</v>
      </c>
      <c r="J2">
        <v>0</v>
      </c>
      <c r="K2">
        <v>0</v>
      </c>
      <c r="L2">
        <v>0</v>
      </c>
      <c r="M2">
        <v>144.419677734375</v>
      </c>
      <c r="N2">
        <v>120.349731445312</v>
      </c>
      <c r="O2">
        <v>0</v>
      </c>
      <c r="P2">
        <v>0</v>
      </c>
      <c r="Q2">
        <v>24.0699462890625</v>
      </c>
      <c r="R2">
        <v>0</v>
      </c>
      <c r="S2">
        <v>0</v>
      </c>
      <c r="T2">
        <v>28.8839359283447</v>
      </c>
      <c r="U2">
        <v>62.581859588623</v>
      </c>
      <c r="V2">
        <v>28.8839359283447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24.0699462890625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100</v>
      </c>
      <c r="BC2">
        <v>0</v>
      </c>
      <c r="BD2">
        <v>1</v>
      </c>
      <c r="BE2">
        <v>3</v>
      </c>
      <c r="BF2">
        <v>72.2098388671875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2</v>
      </c>
      <c r="BN2">
        <v>144.419677734375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120.349731445312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24.0699462890625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91.46579742431641</v>
      </c>
      <c r="EV2">
        <v>24.0699462890625</v>
      </c>
      <c r="EW2">
        <v>0</v>
      </c>
      <c r="EX2">
        <v>0</v>
      </c>
      <c r="EY2">
        <v>0</v>
      </c>
      <c r="EZ2">
        <v>28.8839359283447</v>
      </c>
      <c r="FA2">
        <v>0</v>
      </c>
      <c r="FB2">
        <v>0</v>
      </c>
      <c r="FC2">
        <v>91.46579742431641</v>
      </c>
      <c r="FD2">
        <v>0</v>
      </c>
      <c r="FE2">
        <v>0</v>
      </c>
      <c r="FF2">
        <v>0</v>
      </c>
      <c r="FG2">
        <v>0</v>
      </c>
      <c r="FH2">
        <v>28.8839359283447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24.0699462890625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28.8839359283447</v>
      </c>
      <c r="GZ2">
        <v>62.581859588623</v>
      </c>
      <c r="HA2">
        <v>28.8839359283447</v>
      </c>
      <c r="HB2">
        <v>0</v>
      </c>
      <c r="HC2">
        <v>24.0699462890625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</row>
    <row r="3" spans="1:640">
      <c r="A3" t="s">
        <v>641</v>
      </c>
      <c r="B3" t="s">
        <v>740</v>
      </c>
      <c r="C3" t="s">
        <v>839</v>
      </c>
      <c r="D3" t="s">
        <v>844</v>
      </c>
      <c r="E3" t="s">
        <v>839</v>
      </c>
      <c r="F3" s="2">
        <v>45723</v>
      </c>
      <c r="G3">
        <v>1519.29150390625</v>
      </c>
      <c r="H3">
        <v>0</v>
      </c>
      <c r="I3">
        <v>0</v>
      </c>
      <c r="J3">
        <v>0</v>
      </c>
      <c r="K3">
        <v>0</v>
      </c>
      <c r="L3">
        <v>0</v>
      </c>
      <c r="M3">
        <v>1519.29150390625</v>
      </c>
      <c r="N3">
        <v>149.809204101562</v>
      </c>
      <c r="O3">
        <v>485.466613769531</v>
      </c>
      <c r="P3">
        <v>0</v>
      </c>
      <c r="Q3">
        <v>593.583618164062</v>
      </c>
      <c r="R3">
        <v>0</v>
      </c>
      <c r="S3">
        <v>290.432006835938</v>
      </c>
      <c r="T3">
        <v>149.809204101562</v>
      </c>
      <c r="U3">
        <v>0</v>
      </c>
      <c r="V3">
        <v>0</v>
      </c>
      <c r="W3">
        <v>0</v>
      </c>
      <c r="X3">
        <v>0</v>
      </c>
      <c r="Y3">
        <v>485.466613769531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456.494079589844</v>
      </c>
      <c r="AJ3">
        <v>137.089553833008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290.432006835938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3</v>
      </c>
      <c r="BA3">
        <v>0</v>
      </c>
      <c r="BB3">
        <v>97</v>
      </c>
      <c r="BC3">
        <v>0</v>
      </c>
      <c r="BD3">
        <v>2</v>
      </c>
      <c r="BE3">
        <v>3</v>
      </c>
      <c r="BF3">
        <v>0</v>
      </c>
      <c r="BG3">
        <v>11</v>
      </c>
      <c r="BH3">
        <v>0</v>
      </c>
      <c r="BI3">
        <v>0</v>
      </c>
      <c r="BJ3">
        <v>0</v>
      </c>
      <c r="BK3">
        <v>0</v>
      </c>
      <c r="BL3">
        <v>0</v>
      </c>
      <c r="BM3">
        <v>11</v>
      </c>
      <c r="BN3">
        <v>1519.29150390625</v>
      </c>
      <c r="BO3">
        <v>2</v>
      </c>
      <c r="BP3">
        <v>2</v>
      </c>
      <c r="BQ3">
        <v>0</v>
      </c>
      <c r="BR3">
        <v>5</v>
      </c>
      <c r="BS3">
        <v>0</v>
      </c>
      <c r="BT3">
        <v>2</v>
      </c>
      <c r="BU3">
        <v>149.809204101562</v>
      </c>
      <c r="BV3">
        <v>0</v>
      </c>
      <c r="BW3">
        <v>0</v>
      </c>
      <c r="BX3">
        <v>0</v>
      </c>
      <c r="BY3">
        <v>0</v>
      </c>
      <c r="BZ3">
        <v>0</v>
      </c>
      <c r="CA3">
        <v>485.466613769531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593.583618164062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290.432006835938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2</v>
      </c>
      <c r="DL3">
        <v>0</v>
      </c>
      <c r="DM3">
        <v>0</v>
      </c>
      <c r="DN3">
        <v>0</v>
      </c>
      <c r="DO3">
        <v>0</v>
      </c>
      <c r="DP3">
        <v>0</v>
      </c>
      <c r="DQ3">
        <v>2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5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2</v>
      </c>
      <c r="EP3">
        <v>0</v>
      </c>
      <c r="EQ3">
        <v>0</v>
      </c>
      <c r="ER3">
        <v>0</v>
      </c>
      <c r="ES3">
        <v>0</v>
      </c>
      <c r="ET3">
        <v>0</v>
      </c>
      <c r="EU3">
        <v>204.927688598633</v>
      </c>
      <c r="EV3">
        <v>369.576477050781</v>
      </c>
      <c r="EW3">
        <v>0</v>
      </c>
      <c r="EX3">
        <v>0</v>
      </c>
      <c r="EY3">
        <v>0</v>
      </c>
      <c r="EZ3">
        <v>0</v>
      </c>
      <c r="FA3">
        <v>200.687805175781</v>
      </c>
      <c r="FB3">
        <v>744.099487304688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17.6661796569824</v>
      </c>
      <c r="FJ3">
        <v>132.143020629883</v>
      </c>
      <c r="FK3">
        <v>0</v>
      </c>
      <c r="FL3">
        <v>298.911773681641</v>
      </c>
      <c r="FM3">
        <v>0</v>
      </c>
      <c r="FN3">
        <v>0</v>
      </c>
      <c r="FO3">
        <v>0</v>
      </c>
      <c r="FP3">
        <v>0</v>
      </c>
      <c r="FQ3">
        <v>170.301971435547</v>
      </c>
      <c r="FR3">
        <v>16.2528858184814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137.089553833008</v>
      </c>
      <c r="GB3">
        <v>70.6647186279297</v>
      </c>
      <c r="GC3">
        <v>0</v>
      </c>
      <c r="GD3">
        <v>0</v>
      </c>
      <c r="GE3">
        <v>0</v>
      </c>
      <c r="GF3">
        <v>0</v>
      </c>
      <c r="GG3">
        <v>0</v>
      </c>
      <c r="GH3">
        <v>385.829376220703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67.8381271362305</v>
      </c>
      <c r="GR3">
        <v>0</v>
      </c>
      <c r="GS3">
        <v>0</v>
      </c>
      <c r="GT3">
        <v>0</v>
      </c>
      <c r="GU3">
        <v>0</v>
      </c>
      <c r="GV3">
        <v>0</v>
      </c>
      <c r="GW3">
        <v>12.7196493148804</v>
      </c>
      <c r="GX3">
        <v>209.874221801758</v>
      </c>
      <c r="GY3">
        <v>1382.20190429688</v>
      </c>
      <c r="GZ3">
        <v>137.089553833008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</row>
    <row r="4" spans="1:640">
      <c r="A4" t="s">
        <v>642</v>
      </c>
      <c r="B4" t="s">
        <v>741</v>
      </c>
      <c r="C4" t="s">
        <v>840</v>
      </c>
      <c r="D4" t="s">
        <v>845</v>
      </c>
      <c r="E4" t="s">
        <v>840</v>
      </c>
      <c r="F4" s="2">
        <v>45699</v>
      </c>
      <c r="G4">
        <v>0</v>
      </c>
      <c r="H4">
        <v>30</v>
      </c>
      <c r="I4">
        <v>0</v>
      </c>
      <c r="J4">
        <v>0</v>
      </c>
      <c r="K4">
        <v>0</v>
      </c>
      <c r="L4">
        <v>0</v>
      </c>
      <c r="M4">
        <v>30</v>
      </c>
      <c r="N4">
        <v>30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100</v>
      </c>
      <c r="BC4">
        <v>0</v>
      </c>
      <c r="BD4">
        <v>1</v>
      </c>
      <c r="BE4">
        <v>2</v>
      </c>
      <c r="BF4">
        <v>30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1</v>
      </c>
      <c r="BN4">
        <v>30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30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30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30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30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30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30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30</v>
      </c>
      <c r="OA4">
        <v>0</v>
      </c>
      <c r="OB4">
        <v>30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30</v>
      </c>
      <c r="OU4">
        <v>0</v>
      </c>
      <c r="OV4">
        <v>0</v>
      </c>
      <c r="OW4">
        <v>0</v>
      </c>
      <c r="OX4">
        <v>30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30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30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30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30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</row>
    <row r="5" spans="1:640">
      <c r="A5" t="s">
        <v>643</v>
      </c>
      <c r="B5" t="s">
        <v>742</v>
      </c>
      <c r="C5" t="s">
        <v>840</v>
      </c>
      <c r="D5" t="s">
        <v>846</v>
      </c>
      <c r="E5" t="s">
        <v>840</v>
      </c>
      <c r="F5" s="2">
        <v>45720</v>
      </c>
      <c r="G5">
        <v>0</v>
      </c>
      <c r="H5">
        <v>187.380004882812</v>
      </c>
      <c r="I5">
        <v>0</v>
      </c>
      <c r="J5">
        <v>0</v>
      </c>
      <c r="K5">
        <v>0</v>
      </c>
      <c r="L5">
        <v>0</v>
      </c>
      <c r="M5">
        <v>187.380004882812</v>
      </c>
      <c r="N5">
        <v>99.7099990844727</v>
      </c>
      <c r="O5">
        <v>68</v>
      </c>
      <c r="P5">
        <v>0</v>
      </c>
      <c r="Q5">
        <v>19.6700000762939</v>
      </c>
      <c r="R5">
        <v>0</v>
      </c>
      <c r="S5">
        <v>0</v>
      </c>
      <c r="T5">
        <v>0</v>
      </c>
      <c r="U5">
        <v>99.7099990844727</v>
      </c>
      <c r="V5">
        <v>0</v>
      </c>
      <c r="W5">
        <v>0</v>
      </c>
      <c r="X5">
        <v>0</v>
      </c>
      <c r="Y5">
        <v>0</v>
      </c>
      <c r="Z5">
        <v>68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19.6700000762939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100</v>
      </c>
      <c r="BC5">
        <v>0</v>
      </c>
      <c r="BD5">
        <v>1</v>
      </c>
      <c r="BE5">
        <v>3</v>
      </c>
      <c r="BF5">
        <v>149.639999389648</v>
      </c>
      <c r="BG5">
        <v>0</v>
      </c>
      <c r="BH5">
        <v>5</v>
      </c>
      <c r="BI5">
        <v>0</v>
      </c>
      <c r="BJ5">
        <v>0</v>
      </c>
      <c r="BK5">
        <v>0</v>
      </c>
      <c r="BL5">
        <v>0</v>
      </c>
      <c r="BM5">
        <v>5</v>
      </c>
      <c r="BN5">
        <v>187.380004882812</v>
      </c>
      <c r="BO5">
        <v>3</v>
      </c>
      <c r="BP5">
        <v>1</v>
      </c>
      <c r="BQ5">
        <v>0</v>
      </c>
      <c r="BR5">
        <v>1</v>
      </c>
      <c r="BS5">
        <v>0</v>
      </c>
      <c r="BT5">
        <v>0</v>
      </c>
      <c r="BU5">
        <v>0</v>
      </c>
      <c r="BV5">
        <v>99.7099990844727</v>
      </c>
      <c r="BW5">
        <v>0</v>
      </c>
      <c r="BX5">
        <v>0</v>
      </c>
      <c r="BY5">
        <v>0</v>
      </c>
      <c r="BZ5">
        <v>0</v>
      </c>
      <c r="CA5">
        <v>0</v>
      </c>
      <c r="CB5">
        <v>68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19.6700000762939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3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125.800003051758</v>
      </c>
      <c r="EV5">
        <v>34.6699981689453</v>
      </c>
      <c r="EW5">
        <v>0</v>
      </c>
      <c r="EX5">
        <v>0</v>
      </c>
      <c r="EY5">
        <v>0</v>
      </c>
      <c r="EZ5">
        <v>15</v>
      </c>
      <c r="FA5">
        <v>4.19999980926514</v>
      </c>
      <c r="FB5">
        <v>7.71000003814697</v>
      </c>
      <c r="FC5">
        <v>57.7999992370605</v>
      </c>
      <c r="FD5">
        <v>15</v>
      </c>
      <c r="FE5">
        <v>0</v>
      </c>
      <c r="FF5">
        <v>0</v>
      </c>
      <c r="FG5">
        <v>0</v>
      </c>
      <c r="FH5">
        <v>15</v>
      </c>
      <c r="FI5">
        <v>4.19999980926514</v>
      </c>
      <c r="FJ5">
        <v>7.71000003814697</v>
      </c>
      <c r="FK5">
        <v>68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19.6700000762939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167.710006713867</v>
      </c>
      <c r="HA5">
        <v>19.6700000762939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125.800003051758</v>
      </c>
      <c r="NL5">
        <v>34.6699981689453</v>
      </c>
      <c r="NM5">
        <v>0</v>
      </c>
      <c r="NN5">
        <v>0</v>
      </c>
      <c r="NO5">
        <v>0</v>
      </c>
      <c r="NP5">
        <v>15</v>
      </c>
      <c r="NQ5">
        <v>4.19999980926514</v>
      </c>
      <c r="NR5">
        <v>7.71000003814697</v>
      </c>
      <c r="NS5">
        <v>99.7099990844727</v>
      </c>
      <c r="NT5">
        <v>68</v>
      </c>
      <c r="NU5">
        <v>0</v>
      </c>
      <c r="NV5">
        <v>19.6700000762939</v>
      </c>
      <c r="NW5">
        <v>0</v>
      </c>
      <c r="NX5">
        <v>0</v>
      </c>
      <c r="NY5">
        <v>0</v>
      </c>
      <c r="NZ5">
        <v>57.7999992370605</v>
      </c>
      <c r="OA5">
        <v>41.9099998474121</v>
      </c>
      <c r="OB5">
        <v>99.7099990844727</v>
      </c>
      <c r="OC5">
        <v>68</v>
      </c>
      <c r="OD5">
        <v>0</v>
      </c>
      <c r="OE5">
        <v>68</v>
      </c>
      <c r="OF5">
        <v>0</v>
      </c>
      <c r="OG5">
        <v>0</v>
      </c>
      <c r="OH5">
        <v>0</v>
      </c>
      <c r="OI5">
        <v>19.6700000762939</v>
      </c>
      <c r="OJ5">
        <v>0</v>
      </c>
      <c r="OK5">
        <v>19.6700000762939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167.710006713867</v>
      </c>
      <c r="OU5">
        <v>19.6700000762939</v>
      </c>
      <c r="OV5">
        <v>0</v>
      </c>
      <c r="OW5">
        <v>0</v>
      </c>
      <c r="OX5">
        <v>57.7999992370605</v>
      </c>
      <c r="OY5">
        <v>68</v>
      </c>
      <c r="OZ5">
        <v>0</v>
      </c>
      <c r="PA5">
        <v>0</v>
      </c>
      <c r="PB5">
        <v>0</v>
      </c>
      <c r="PC5">
        <v>0</v>
      </c>
      <c r="PD5">
        <v>15</v>
      </c>
      <c r="PE5">
        <v>0</v>
      </c>
      <c r="PF5">
        <v>0</v>
      </c>
      <c r="PG5">
        <v>19.6700000762939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15</v>
      </c>
      <c r="QC5">
        <v>0</v>
      </c>
      <c r="QD5">
        <v>0</v>
      </c>
      <c r="QE5">
        <v>0</v>
      </c>
      <c r="QF5">
        <v>0</v>
      </c>
      <c r="QG5">
        <v>0</v>
      </c>
      <c r="QH5">
        <v>4.19999980926514</v>
      </c>
      <c r="QI5">
        <v>0</v>
      </c>
      <c r="QJ5">
        <v>0</v>
      </c>
      <c r="QK5">
        <v>0</v>
      </c>
      <c r="QL5">
        <v>0</v>
      </c>
      <c r="QM5">
        <v>0</v>
      </c>
      <c r="QN5">
        <v>7.71000003814697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37.7099990844727</v>
      </c>
      <c r="QW5">
        <v>0</v>
      </c>
      <c r="QX5">
        <v>0</v>
      </c>
      <c r="QY5">
        <v>0</v>
      </c>
      <c r="QZ5">
        <v>0</v>
      </c>
      <c r="RA5">
        <v>0</v>
      </c>
      <c r="RB5">
        <v>62</v>
      </c>
      <c r="RC5">
        <v>0</v>
      </c>
      <c r="RD5">
        <v>0</v>
      </c>
      <c r="RE5">
        <v>0</v>
      </c>
      <c r="RF5">
        <v>0</v>
      </c>
      <c r="RG5">
        <v>0</v>
      </c>
      <c r="RH5">
        <v>68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19.6700000762939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57.3800010681152</v>
      </c>
      <c r="TK5">
        <v>68</v>
      </c>
      <c r="TL5">
        <v>0</v>
      </c>
      <c r="TM5">
        <v>0</v>
      </c>
      <c r="TN5">
        <v>0</v>
      </c>
      <c r="TO5">
        <v>0</v>
      </c>
      <c r="TP5">
        <v>62</v>
      </c>
      <c r="TQ5">
        <v>0</v>
      </c>
      <c r="TR5">
        <v>0</v>
      </c>
      <c r="TS5">
        <v>0</v>
      </c>
      <c r="TT5">
        <v>99.7099990844727</v>
      </c>
      <c r="TU5">
        <v>0</v>
      </c>
      <c r="TV5">
        <v>0</v>
      </c>
      <c r="TW5">
        <v>0</v>
      </c>
      <c r="TX5">
        <v>0</v>
      </c>
      <c r="TY5">
        <v>68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19.6700000762939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95.5100021362305</v>
      </c>
      <c r="UX5">
        <v>68</v>
      </c>
      <c r="UY5">
        <v>0</v>
      </c>
      <c r="UZ5">
        <v>0</v>
      </c>
      <c r="VA5">
        <v>0</v>
      </c>
      <c r="VB5">
        <v>0</v>
      </c>
      <c r="VC5">
        <v>4.19999980926514</v>
      </c>
      <c r="VD5">
        <v>0</v>
      </c>
      <c r="VE5">
        <v>0</v>
      </c>
      <c r="VF5">
        <v>19.6700000762939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</row>
    <row r="6" spans="1:640">
      <c r="A6" t="s">
        <v>644</v>
      </c>
      <c r="B6" t="s">
        <v>743</v>
      </c>
      <c r="C6" t="s">
        <v>838</v>
      </c>
      <c r="D6" t="s">
        <v>843</v>
      </c>
      <c r="E6" t="s">
        <v>863</v>
      </c>
      <c r="F6" s="2">
        <v>45730</v>
      </c>
      <c r="G6">
        <v>0</v>
      </c>
      <c r="H6">
        <v>1.33828902244568</v>
      </c>
      <c r="I6">
        <v>0.481398940086365</v>
      </c>
      <c r="J6">
        <v>0</v>
      </c>
      <c r="K6">
        <v>0</v>
      </c>
      <c r="L6">
        <v>0</v>
      </c>
      <c r="M6">
        <v>1.33828902244568</v>
      </c>
      <c r="N6">
        <v>0.481398940086365</v>
      </c>
      <c r="O6">
        <v>0</v>
      </c>
      <c r="P6">
        <v>0</v>
      </c>
      <c r="Q6">
        <v>1.33828902244568</v>
      </c>
      <c r="R6">
        <v>0</v>
      </c>
      <c r="S6">
        <v>0</v>
      </c>
      <c r="T6">
        <v>0</v>
      </c>
      <c r="U6">
        <v>0</v>
      </c>
      <c r="V6">
        <v>0.481398940086365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0.856890082359314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100</v>
      </c>
      <c r="BC6">
        <v>0</v>
      </c>
      <c r="BD6">
        <v>1</v>
      </c>
      <c r="BE6">
        <v>3</v>
      </c>
      <c r="BF6">
        <v>0.481398940086365</v>
      </c>
      <c r="BG6">
        <v>0</v>
      </c>
      <c r="BH6">
        <v>1</v>
      </c>
      <c r="BI6">
        <v>1</v>
      </c>
      <c r="BJ6">
        <v>0</v>
      </c>
      <c r="BK6">
        <v>0</v>
      </c>
      <c r="BL6">
        <v>0</v>
      </c>
      <c r="BM6">
        <v>2</v>
      </c>
      <c r="BN6">
        <v>1.81968796253204</v>
      </c>
      <c r="BO6">
        <v>1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0.481398940086365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1.33828902244568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0.27921137213707</v>
      </c>
      <c r="EV6">
        <v>0</v>
      </c>
      <c r="EW6">
        <v>0</v>
      </c>
      <c r="EX6">
        <v>0.27921137213707</v>
      </c>
      <c r="EY6">
        <v>0</v>
      </c>
      <c r="EZ6">
        <v>0</v>
      </c>
      <c r="FA6">
        <v>0.481398940086365</v>
      </c>
      <c r="FB6">
        <v>0.288839370012283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0.481398940086365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0.27921137213707</v>
      </c>
      <c r="GB6">
        <v>0</v>
      </c>
      <c r="GC6">
        <v>0</v>
      </c>
      <c r="GD6">
        <v>0.27921137213707</v>
      </c>
      <c r="GE6">
        <v>0</v>
      </c>
      <c r="GF6">
        <v>0</v>
      </c>
      <c r="GG6">
        <v>0</v>
      </c>
      <c r="GH6">
        <v>0.288839370012283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0.856890082359314</v>
      </c>
      <c r="HA6">
        <v>0.481398940086365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0.27921137213707</v>
      </c>
      <c r="NL6">
        <v>0</v>
      </c>
      <c r="NM6">
        <v>0</v>
      </c>
      <c r="NN6">
        <v>0.27921137213707</v>
      </c>
      <c r="NO6">
        <v>0</v>
      </c>
      <c r="NP6">
        <v>0</v>
      </c>
      <c r="NQ6">
        <v>0</v>
      </c>
      <c r="NR6">
        <v>0.288839370012283</v>
      </c>
      <c r="NS6">
        <v>0</v>
      </c>
      <c r="NT6">
        <v>0</v>
      </c>
      <c r="NU6">
        <v>0</v>
      </c>
      <c r="NV6">
        <v>0.856890082359314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0.856890082359314</v>
      </c>
      <c r="OJ6">
        <v>0</v>
      </c>
      <c r="OK6">
        <v>0.856890082359314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0.856890082359314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0.27921137213707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0.27921137213707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0.288839370012283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0.856890082359314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0.856890082359314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0.856890082359314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</row>
    <row r="7" spans="1:640">
      <c r="A7" t="s">
        <v>645</v>
      </c>
      <c r="B7" t="s">
        <v>744</v>
      </c>
      <c r="C7" t="s">
        <v>840</v>
      </c>
      <c r="D7" t="s">
        <v>847</v>
      </c>
      <c r="E7" t="s">
        <v>840</v>
      </c>
      <c r="F7" s="2">
        <v>45712</v>
      </c>
      <c r="G7">
        <v>0</v>
      </c>
      <c r="H7">
        <v>180</v>
      </c>
      <c r="I7">
        <v>0</v>
      </c>
      <c r="J7">
        <v>0</v>
      </c>
      <c r="K7">
        <v>0</v>
      </c>
      <c r="L7">
        <v>0</v>
      </c>
      <c r="M7">
        <v>180</v>
      </c>
      <c r="N7">
        <v>0</v>
      </c>
      <c r="O7">
        <v>0</v>
      </c>
      <c r="P7">
        <v>53</v>
      </c>
      <c r="Q7">
        <v>127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53</v>
      </c>
      <c r="AF7">
        <v>0</v>
      </c>
      <c r="AG7">
        <v>0</v>
      </c>
      <c r="AH7">
        <v>0</v>
      </c>
      <c r="AI7">
        <v>0</v>
      </c>
      <c r="AJ7">
        <v>127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100</v>
      </c>
      <c r="BC7">
        <v>0</v>
      </c>
      <c r="BD7">
        <v>1</v>
      </c>
      <c r="BE7">
        <v>2</v>
      </c>
      <c r="BF7">
        <v>180</v>
      </c>
      <c r="BG7">
        <v>0</v>
      </c>
      <c r="BH7">
        <v>2</v>
      </c>
      <c r="BI7">
        <v>0</v>
      </c>
      <c r="BJ7">
        <v>0</v>
      </c>
      <c r="BK7">
        <v>0</v>
      </c>
      <c r="BL7">
        <v>0</v>
      </c>
      <c r="BM7">
        <v>2</v>
      </c>
      <c r="BN7">
        <v>180</v>
      </c>
      <c r="BO7">
        <v>0</v>
      </c>
      <c r="BP7">
        <v>0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53</v>
      </c>
      <c r="CI7">
        <v>0</v>
      </c>
      <c r="CJ7">
        <v>0</v>
      </c>
      <c r="CK7">
        <v>0</v>
      </c>
      <c r="CL7">
        <v>0</v>
      </c>
      <c r="CM7">
        <v>0</v>
      </c>
      <c r="CN7">
        <v>127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180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53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127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180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180</v>
      </c>
      <c r="NS7">
        <v>0</v>
      </c>
      <c r="NT7">
        <v>0</v>
      </c>
      <c r="NU7">
        <v>53</v>
      </c>
      <c r="NV7">
        <v>127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53</v>
      </c>
      <c r="OG7">
        <v>0</v>
      </c>
      <c r="OH7">
        <v>53</v>
      </c>
      <c r="OI7">
        <v>127</v>
      </c>
      <c r="OJ7">
        <v>0</v>
      </c>
      <c r="OK7">
        <v>127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180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53</v>
      </c>
      <c r="QQ7">
        <v>127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53</v>
      </c>
      <c r="RW7">
        <v>0</v>
      </c>
      <c r="RX7">
        <v>0</v>
      </c>
      <c r="RY7">
        <v>0</v>
      </c>
      <c r="RZ7">
        <v>0</v>
      </c>
      <c r="SA7">
        <v>0</v>
      </c>
      <c r="SB7">
        <v>127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127</v>
      </c>
      <c r="TJ7">
        <v>0</v>
      </c>
      <c r="TK7">
        <v>0</v>
      </c>
      <c r="TL7">
        <v>0</v>
      </c>
      <c r="TM7">
        <v>0</v>
      </c>
      <c r="TN7">
        <v>53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53</v>
      </c>
      <c r="UE7">
        <v>0</v>
      </c>
      <c r="UF7">
        <v>0</v>
      </c>
      <c r="UG7">
        <v>0</v>
      </c>
      <c r="UH7">
        <v>0</v>
      </c>
      <c r="UI7">
        <v>127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127</v>
      </c>
      <c r="VA7">
        <v>0</v>
      </c>
      <c r="VB7">
        <v>0</v>
      </c>
      <c r="VC7">
        <v>0</v>
      </c>
      <c r="VD7">
        <v>0</v>
      </c>
      <c r="VE7">
        <v>53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</row>
    <row r="8" spans="1:640">
      <c r="A8" t="s">
        <v>646</v>
      </c>
      <c r="B8" t="s">
        <v>745</v>
      </c>
      <c r="C8" t="s">
        <v>839</v>
      </c>
      <c r="D8" t="s">
        <v>848</v>
      </c>
      <c r="E8" t="s">
        <v>839</v>
      </c>
      <c r="F8" s="2">
        <v>45723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</v>
      </c>
      <c r="AY8">
        <v>7</v>
      </c>
      <c r="AZ8">
        <v>0</v>
      </c>
      <c r="BA8">
        <v>0</v>
      </c>
      <c r="BB8">
        <v>0</v>
      </c>
      <c r="BC8">
        <v>0</v>
      </c>
      <c r="BD8">
        <v>1</v>
      </c>
      <c r="BE8">
        <v>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</row>
    <row r="9" spans="1:640">
      <c r="A9" t="s">
        <v>647</v>
      </c>
      <c r="B9" t="s">
        <v>746</v>
      </c>
      <c r="C9" t="s">
        <v>840</v>
      </c>
      <c r="D9" t="s">
        <v>846</v>
      </c>
      <c r="E9" t="s">
        <v>840</v>
      </c>
      <c r="F9" s="2">
        <v>45734</v>
      </c>
      <c r="G9">
        <v>0</v>
      </c>
      <c r="H9">
        <v>3531</v>
      </c>
      <c r="I9">
        <v>0</v>
      </c>
      <c r="J9">
        <v>0</v>
      </c>
      <c r="K9">
        <v>0</v>
      </c>
      <c r="L9">
        <v>0</v>
      </c>
      <c r="M9">
        <v>3531</v>
      </c>
      <c r="N9">
        <v>2142</v>
      </c>
      <c r="O9">
        <v>0</v>
      </c>
      <c r="P9">
        <v>57</v>
      </c>
      <c r="Q9">
        <v>1332</v>
      </c>
      <c r="R9">
        <v>0</v>
      </c>
      <c r="S9">
        <v>0</v>
      </c>
      <c r="T9">
        <v>0</v>
      </c>
      <c r="U9">
        <v>2142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57</v>
      </c>
      <c r="AF9">
        <v>0</v>
      </c>
      <c r="AG9">
        <v>0</v>
      </c>
      <c r="AH9">
        <v>0</v>
      </c>
      <c r="AI9">
        <v>0</v>
      </c>
      <c r="AJ9">
        <v>1332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100</v>
      </c>
      <c r="BD9">
        <v>1</v>
      </c>
      <c r="BE9">
        <v>3</v>
      </c>
      <c r="BF9">
        <v>3531</v>
      </c>
      <c r="BG9">
        <v>0</v>
      </c>
      <c r="BH9">
        <v>46</v>
      </c>
      <c r="BI9">
        <v>0</v>
      </c>
      <c r="BJ9">
        <v>0</v>
      </c>
      <c r="BK9">
        <v>0</v>
      </c>
      <c r="BL9">
        <v>0</v>
      </c>
      <c r="BM9">
        <v>46</v>
      </c>
      <c r="BN9">
        <v>3531</v>
      </c>
      <c r="BO9">
        <v>33</v>
      </c>
      <c r="BP9">
        <v>0</v>
      </c>
      <c r="BQ9">
        <v>2</v>
      </c>
      <c r="BR9">
        <v>11</v>
      </c>
      <c r="BS9">
        <v>0</v>
      </c>
      <c r="BT9">
        <v>0</v>
      </c>
      <c r="BU9">
        <v>0</v>
      </c>
      <c r="BV9">
        <v>2142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57</v>
      </c>
      <c r="CI9">
        <v>0</v>
      </c>
      <c r="CJ9">
        <v>0</v>
      </c>
      <c r="CK9">
        <v>0</v>
      </c>
      <c r="CL9">
        <v>0</v>
      </c>
      <c r="CM9">
        <v>0</v>
      </c>
      <c r="CN9">
        <v>1332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33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2</v>
      </c>
      <c r="DY9">
        <v>0</v>
      </c>
      <c r="DZ9">
        <v>0</v>
      </c>
      <c r="EA9">
        <v>0</v>
      </c>
      <c r="EB9">
        <v>0</v>
      </c>
      <c r="EC9">
        <v>0</v>
      </c>
      <c r="ED9">
        <v>11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3531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2142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57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1332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3531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3531</v>
      </c>
      <c r="NS9">
        <v>2142</v>
      </c>
      <c r="NT9">
        <v>0</v>
      </c>
      <c r="NU9">
        <v>57</v>
      </c>
      <c r="NV9">
        <v>1332</v>
      </c>
      <c r="NW9">
        <v>0</v>
      </c>
      <c r="NX9">
        <v>0</v>
      </c>
      <c r="NY9">
        <v>0</v>
      </c>
      <c r="NZ9">
        <v>1569</v>
      </c>
      <c r="OA9">
        <v>573</v>
      </c>
      <c r="OB9">
        <v>2142</v>
      </c>
      <c r="OC9">
        <v>0</v>
      </c>
      <c r="OD9">
        <v>0</v>
      </c>
      <c r="OE9">
        <v>0</v>
      </c>
      <c r="OF9">
        <v>28</v>
      </c>
      <c r="OG9">
        <v>29</v>
      </c>
      <c r="OH9">
        <v>57</v>
      </c>
      <c r="OI9">
        <v>506</v>
      </c>
      <c r="OJ9">
        <v>826</v>
      </c>
      <c r="OK9">
        <v>1332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3531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2142</v>
      </c>
      <c r="QO9">
        <v>0</v>
      </c>
      <c r="QP9">
        <v>57</v>
      </c>
      <c r="QQ9">
        <v>1332</v>
      </c>
      <c r="QR9">
        <v>0</v>
      </c>
      <c r="QS9">
        <v>0</v>
      </c>
      <c r="QT9">
        <v>635</v>
      </c>
      <c r="QU9">
        <v>5</v>
      </c>
      <c r="QV9">
        <v>231</v>
      </c>
      <c r="QW9">
        <v>6</v>
      </c>
      <c r="QX9">
        <v>0</v>
      </c>
      <c r="QY9">
        <v>222</v>
      </c>
      <c r="QZ9">
        <v>0</v>
      </c>
      <c r="RA9">
        <v>0</v>
      </c>
      <c r="RB9">
        <v>1043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57</v>
      </c>
      <c r="RY9">
        <v>0</v>
      </c>
      <c r="RZ9">
        <v>0</v>
      </c>
      <c r="SA9">
        <v>155</v>
      </c>
      <c r="SB9">
        <v>0</v>
      </c>
      <c r="SC9">
        <v>23</v>
      </c>
      <c r="SD9">
        <v>0</v>
      </c>
      <c r="SE9">
        <v>0</v>
      </c>
      <c r="SF9">
        <v>0</v>
      </c>
      <c r="SG9">
        <v>180</v>
      </c>
      <c r="SH9">
        <v>0</v>
      </c>
      <c r="SI9">
        <v>974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790</v>
      </c>
      <c r="TI9">
        <v>5</v>
      </c>
      <c r="TJ9">
        <v>254</v>
      </c>
      <c r="TK9">
        <v>6</v>
      </c>
      <c r="TL9">
        <v>0</v>
      </c>
      <c r="TM9">
        <v>222</v>
      </c>
      <c r="TN9">
        <v>180</v>
      </c>
      <c r="TO9">
        <v>0</v>
      </c>
      <c r="TP9">
        <v>2074</v>
      </c>
      <c r="TQ9">
        <v>0</v>
      </c>
      <c r="TR9">
        <v>0</v>
      </c>
      <c r="TS9">
        <v>0</v>
      </c>
      <c r="TT9">
        <v>2142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57</v>
      </c>
      <c r="UE9">
        <v>0</v>
      </c>
      <c r="UF9">
        <v>0</v>
      </c>
      <c r="UG9">
        <v>0</v>
      </c>
      <c r="UH9">
        <v>0</v>
      </c>
      <c r="UI9">
        <v>1332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2142</v>
      </c>
      <c r="UX9">
        <v>0</v>
      </c>
      <c r="UY9">
        <v>57</v>
      </c>
      <c r="UZ9">
        <v>1332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</row>
    <row r="10" spans="1:640">
      <c r="A10" t="s">
        <v>648</v>
      </c>
      <c r="B10" t="s">
        <v>747</v>
      </c>
      <c r="C10" t="s">
        <v>840</v>
      </c>
      <c r="D10" t="s">
        <v>845</v>
      </c>
      <c r="E10" t="s">
        <v>840</v>
      </c>
      <c r="F10" s="2">
        <v>45713</v>
      </c>
      <c r="G10">
        <v>0</v>
      </c>
      <c r="H10">
        <v>160</v>
      </c>
      <c r="I10">
        <v>0</v>
      </c>
      <c r="J10">
        <v>0</v>
      </c>
      <c r="K10">
        <v>0</v>
      </c>
      <c r="L10">
        <v>0</v>
      </c>
      <c r="M10">
        <v>160</v>
      </c>
      <c r="N10">
        <v>160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100</v>
      </c>
      <c r="BC10">
        <v>0</v>
      </c>
      <c r="BD10">
        <v>1</v>
      </c>
      <c r="BE10">
        <v>1</v>
      </c>
      <c r="BF10">
        <v>23.2000007629395</v>
      </c>
      <c r="BG10">
        <v>0</v>
      </c>
      <c r="BH10">
        <v>2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160</v>
      </c>
      <c r="BO10">
        <v>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160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133</v>
      </c>
      <c r="EV10">
        <v>27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133</v>
      </c>
      <c r="FD10">
        <v>27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160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133</v>
      </c>
      <c r="NL10">
        <v>27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160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160</v>
      </c>
      <c r="OA10">
        <v>0</v>
      </c>
      <c r="OB10">
        <v>160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160</v>
      </c>
      <c r="OU10">
        <v>0</v>
      </c>
      <c r="OV10">
        <v>0</v>
      </c>
      <c r="OW10">
        <v>0</v>
      </c>
      <c r="OX10">
        <v>133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27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27</v>
      </c>
      <c r="QV10">
        <v>0</v>
      </c>
      <c r="QW10">
        <v>133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27</v>
      </c>
      <c r="TJ10">
        <v>0</v>
      </c>
      <c r="TK10">
        <v>133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160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160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</row>
    <row r="11" spans="1:640">
      <c r="A11" t="s">
        <v>649</v>
      </c>
      <c r="B11" t="s">
        <v>748</v>
      </c>
      <c r="C11" t="s">
        <v>840</v>
      </c>
      <c r="D11" t="s">
        <v>849</v>
      </c>
      <c r="E11" t="s">
        <v>840</v>
      </c>
      <c r="F11" s="2">
        <v>45705</v>
      </c>
      <c r="G11">
        <v>0</v>
      </c>
      <c r="H11">
        <v>5</v>
      </c>
      <c r="I11">
        <v>0</v>
      </c>
      <c r="J11">
        <v>0</v>
      </c>
      <c r="K11">
        <v>0</v>
      </c>
      <c r="L11">
        <v>0</v>
      </c>
      <c r="M11">
        <v>5</v>
      </c>
      <c r="N11">
        <v>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100</v>
      </c>
      <c r="BC11">
        <v>0</v>
      </c>
      <c r="BD11">
        <v>1</v>
      </c>
      <c r="BE11">
        <v>3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5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5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5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5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5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5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5</v>
      </c>
      <c r="OB11">
        <v>5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5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5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5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5</v>
      </c>
      <c r="TS11">
        <v>0</v>
      </c>
      <c r="TT11">
        <v>0</v>
      </c>
      <c r="TU11">
        <v>5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5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</row>
    <row r="12" spans="1:640">
      <c r="A12" t="s">
        <v>650</v>
      </c>
      <c r="B12" t="s">
        <v>749</v>
      </c>
      <c r="C12" t="s">
        <v>840</v>
      </c>
      <c r="D12" t="s">
        <v>849</v>
      </c>
      <c r="E12" t="s">
        <v>840</v>
      </c>
      <c r="F12" s="2">
        <v>45698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6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</row>
    <row r="13" spans="1:640">
      <c r="A13" t="s">
        <v>651</v>
      </c>
      <c r="B13" t="s">
        <v>750</v>
      </c>
      <c r="C13" t="s">
        <v>839</v>
      </c>
      <c r="D13" t="s">
        <v>848</v>
      </c>
      <c r="E13" t="s">
        <v>839</v>
      </c>
      <c r="F13" s="2">
        <v>45711</v>
      </c>
      <c r="G13">
        <v>140.380111694336</v>
      </c>
      <c r="H13">
        <v>0</v>
      </c>
      <c r="I13">
        <v>0</v>
      </c>
      <c r="J13">
        <v>0</v>
      </c>
      <c r="K13">
        <v>0</v>
      </c>
      <c r="L13">
        <v>0</v>
      </c>
      <c r="M13">
        <v>140.380111694336</v>
      </c>
      <c r="N13">
        <v>0</v>
      </c>
      <c r="O13">
        <v>140.380111694336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140.380111694336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100</v>
      </c>
      <c r="BC13">
        <v>0</v>
      </c>
      <c r="BD13">
        <v>1</v>
      </c>
      <c r="BE13">
        <v>3</v>
      </c>
      <c r="BF13">
        <v>80.64389801025391</v>
      </c>
      <c r="BG13">
        <v>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140.380111694336</v>
      </c>
      <c r="BO13">
        <v>0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140.380111694336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20.9076766967773</v>
      </c>
      <c r="EW13">
        <v>0</v>
      </c>
      <c r="EX13">
        <v>0</v>
      </c>
      <c r="EY13">
        <v>0</v>
      </c>
      <c r="EZ13">
        <v>119.472442626953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20.9076766967773</v>
      </c>
      <c r="FM13">
        <v>0</v>
      </c>
      <c r="FN13">
        <v>0</v>
      </c>
      <c r="FO13">
        <v>0</v>
      </c>
      <c r="FP13">
        <v>119.472442626953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140.380111694336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</row>
    <row r="14" spans="1:640">
      <c r="A14" t="s">
        <v>652</v>
      </c>
      <c r="B14" t="s">
        <v>751</v>
      </c>
      <c r="C14" t="s">
        <v>838</v>
      </c>
      <c r="D14" t="s">
        <v>843</v>
      </c>
      <c r="E14" t="s">
        <v>863</v>
      </c>
      <c r="F14" s="2">
        <v>45723</v>
      </c>
      <c r="G14">
        <v>29.8467330932617</v>
      </c>
      <c r="H14">
        <v>0</v>
      </c>
      <c r="I14">
        <v>1804.283203125</v>
      </c>
      <c r="J14">
        <v>0</v>
      </c>
      <c r="K14">
        <v>0</v>
      </c>
      <c r="L14">
        <v>0</v>
      </c>
      <c r="M14">
        <v>1834.1298828125</v>
      </c>
      <c r="N14">
        <v>654.702514648438</v>
      </c>
      <c r="O14">
        <v>369.714385986328</v>
      </c>
      <c r="P14">
        <v>0</v>
      </c>
      <c r="Q14">
        <v>0</v>
      </c>
      <c r="R14">
        <v>0</v>
      </c>
      <c r="S14">
        <v>809.713012695312</v>
      </c>
      <c r="T14">
        <v>140.568481445312</v>
      </c>
      <c r="U14">
        <v>0</v>
      </c>
      <c r="V14">
        <v>514.134033203125</v>
      </c>
      <c r="W14">
        <v>0</v>
      </c>
      <c r="X14">
        <v>0</v>
      </c>
      <c r="Y14">
        <v>0</v>
      </c>
      <c r="Z14">
        <v>0</v>
      </c>
      <c r="AA14">
        <v>369.714385986328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809.713012695312</v>
      </c>
      <c r="AV14">
        <v>0</v>
      </c>
      <c r="AW14">
        <v>0</v>
      </c>
      <c r="AX14">
        <v>1</v>
      </c>
      <c r="AY14">
        <v>0</v>
      </c>
      <c r="AZ14">
        <v>5</v>
      </c>
      <c r="BA14">
        <v>5</v>
      </c>
      <c r="BB14">
        <v>70</v>
      </c>
      <c r="BC14">
        <v>20</v>
      </c>
      <c r="BD14">
        <v>3</v>
      </c>
      <c r="BE14">
        <v>3</v>
      </c>
      <c r="BF14">
        <v>1145.7294921875</v>
      </c>
      <c r="BG14">
        <v>2</v>
      </c>
      <c r="BH14">
        <v>0</v>
      </c>
      <c r="BI14">
        <v>5</v>
      </c>
      <c r="BJ14">
        <v>0</v>
      </c>
      <c r="BK14">
        <v>0</v>
      </c>
      <c r="BL14">
        <v>0</v>
      </c>
      <c r="BM14">
        <v>7</v>
      </c>
      <c r="BN14">
        <v>1834.1298828125</v>
      </c>
      <c r="BO14">
        <v>4</v>
      </c>
      <c r="BP14">
        <v>1</v>
      </c>
      <c r="BQ14">
        <v>0</v>
      </c>
      <c r="BR14">
        <v>0</v>
      </c>
      <c r="BS14">
        <v>0</v>
      </c>
      <c r="BT14">
        <v>2</v>
      </c>
      <c r="BU14">
        <v>29.8467330932617</v>
      </c>
      <c r="BV14">
        <v>0</v>
      </c>
      <c r="BW14">
        <v>624.855834960938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369.714385986328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809.713012695312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0</v>
      </c>
      <c r="DM14">
        <v>2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2</v>
      </c>
      <c r="ER14">
        <v>0</v>
      </c>
      <c r="ES14">
        <v>0</v>
      </c>
      <c r="ET14">
        <v>0</v>
      </c>
      <c r="EU14">
        <v>627.744201660156</v>
      </c>
      <c r="EV14">
        <v>10.5907764434814</v>
      </c>
      <c r="EW14">
        <v>754.83349609375</v>
      </c>
      <c r="EX14">
        <v>72.2098388671875</v>
      </c>
      <c r="EY14">
        <v>6.73958492279053</v>
      </c>
      <c r="EZ14">
        <v>42.3631057739258</v>
      </c>
      <c r="FA14">
        <v>2.88839364051819</v>
      </c>
      <c r="FB14">
        <v>316.760498046875</v>
      </c>
      <c r="FC14">
        <v>404.375091552734</v>
      </c>
      <c r="FD14">
        <v>10.5907764434814</v>
      </c>
      <c r="FE14">
        <v>72.2098388671875</v>
      </c>
      <c r="FF14">
        <v>72.2098388671875</v>
      </c>
      <c r="FG14">
        <v>6.73958492279053</v>
      </c>
      <c r="FH14">
        <v>42.3631057739258</v>
      </c>
      <c r="FI14">
        <v>2.88839364051819</v>
      </c>
      <c r="FJ14">
        <v>43.3259048461914</v>
      </c>
      <c r="FK14">
        <v>96.27978515625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273.434600830078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127.089317321777</v>
      </c>
      <c r="GR14">
        <v>0</v>
      </c>
      <c r="GS14">
        <v>682.623657226562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140.568481445312</v>
      </c>
      <c r="GZ14">
        <v>0</v>
      </c>
      <c r="HA14">
        <v>1693.56140136719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</row>
    <row r="15" spans="1:640">
      <c r="A15" t="s">
        <v>653</v>
      </c>
      <c r="B15" t="s">
        <v>752</v>
      </c>
      <c r="C15" t="s">
        <v>840</v>
      </c>
      <c r="D15" t="s">
        <v>849</v>
      </c>
      <c r="E15" t="s">
        <v>840</v>
      </c>
      <c r="F15" s="2">
        <v>45721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2</v>
      </c>
      <c r="AY15">
        <v>6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</row>
    <row r="16" spans="1:640">
      <c r="A16" t="s">
        <v>654</v>
      </c>
      <c r="B16" t="s">
        <v>753</v>
      </c>
      <c r="C16" t="s">
        <v>838</v>
      </c>
      <c r="D16" t="s">
        <v>843</v>
      </c>
      <c r="E16" t="s">
        <v>863</v>
      </c>
      <c r="F16" s="2">
        <v>45721</v>
      </c>
      <c r="G16">
        <v>0</v>
      </c>
      <c r="H16">
        <v>0</v>
      </c>
      <c r="I16">
        <v>0.866518080234528</v>
      </c>
      <c r="J16">
        <v>0</v>
      </c>
      <c r="K16">
        <v>0</v>
      </c>
      <c r="L16">
        <v>0</v>
      </c>
      <c r="M16">
        <v>0.866518080234528</v>
      </c>
      <c r="N16">
        <v>0</v>
      </c>
      <c r="O16">
        <v>0.866518080234528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0.866518080234528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100</v>
      </c>
      <c r="BC16">
        <v>0</v>
      </c>
      <c r="BD16">
        <v>1</v>
      </c>
      <c r="BE16">
        <v>3</v>
      </c>
      <c r="BF16">
        <v>0.866518080234528</v>
      </c>
      <c r="BG16">
        <v>0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2</v>
      </c>
      <c r="BN16">
        <v>0.866518080234528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0.866518080234528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2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0.0962797850370407</v>
      </c>
      <c r="EV16">
        <v>0</v>
      </c>
      <c r="EW16">
        <v>0</v>
      </c>
      <c r="EX16">
        <v>0.770238280296326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0.0962797850370407</v>
      </c>
      <c r="FL16">
        <v>0</v>
      </c>
      <c r="FM16">
        <v>0</v>
      </c>
      <c r="FN16">
        <v>0.770238280296326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0.866518080234528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</row>
    <row r="17" spans="1:640">
      <c r="A17" t="s">
        <v>655</v>
      </c>
      <c r="B17" t="s">
        <v>754</v>
      </c>
      <c r="C17" t="s">
        <v>838</v>
      </c>
      <c r="D17" t="s">
        <v>843</v>
      </c>
      <c r="E17" t="s">
        <v>863</v>
      </c>
      <c r="F17" s="2">
        <v>45708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</v>
      </c>
      <c r="AY17">
        <v>7</v>
      </c>
      <c r="AZ17">
        <v>0</v>
      </c>
      <c r="BA17">
        <v>0</v>
      </c>
      <c r="BB17">
        <v>0</v>
      </c>
      <c r="BC17">
        <v>0</v>
      </c>
      <c r="BD17">
        <v>3</v>
      </c>
      <c r="BE17">
        <v>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</row>
    <row r="18" spans="1:640">
      <c r="A18" t="s">
        <v>656</v>
      </c>
      <c r="B18" t="s">
        <v>755</v>
      </c>
      <c r="C18" t="s">
        <v>840</v>
      </c>
      <c r="D18" t="s">
        <v>849</v>
      </c>
      <c r="E18" t="s">
        <v>840</v>
      </c>
      <c r="F18" s="2">
        <v>45719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</row>
    <row r="19" spans="1:640">
      <c r="A19" t="s">
        <v>657</v>
      </c>
      <c r="B19" t="s">
        <v>756</v>
      </c>
      <c r="C19" t="s">
        <v>838</v>
      </c>
      <c r="D19" t="s">
        <v>843</v>
      </c>
      <c r="E19" t="s">
        <v>863</v>
      </c>
      <c r="F19" s="2">
        <v>45720</v>
      </c>
      <c r="G19">
        <v>546.272277832031</v>
      </c>
      <c r="H19">
        <v>3300.78881835938</v>
      </c>
      <c r="I19">
        <v>3346.61791992188</v>
      </c>
      <c r="J19">
        <v>0</v>
      </c>
      <c r="K19">
        <v>0</v>
      </c>
      <c r="L19">
        <v>0</v>
      </c>
      <c r="M19">
        <v>7193.67919921875</v>
      </c>
      <c r="N19">
        <v>3586.8359375</v>
      </c>
      <c r="O19">
        <v>1705.58679199219</v>
      </c>
      <c r="P19">
        <v>0</v>
      </c>
      <c r="Q19">
        <v>1901.25622558594</v>
      </c>
      <c r="R19">
        <v>0</v>
      </c>
      <c r="S19">
        <v>0</v>
      </c>
      <c r="T19">
        <v>2615.82543945312</v>
      </c>
      <c r="U19">
        <v>480.907897949219</v>
      </c>
      <c r="V19">
        <v>490.102630615234</v>
      </c>
      <c r="W19">
        <v>0</v>
      </c>
      <c r="X19">
        <v>0</v>
      </c>
      <c r="Y19">
        <v>1014.24975585938</v>
      </c>
      <c r="Z19">
        <v>26.2362422943115</v>
      </c>
      <c r="AA19">
        <v>665.100769042969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68.5608367919922</v>
      </c>
      <c r="AJ19">
        <v>425.729949951172</v>
      </c>
      <c r="AK19">
        <v>1406.96533203125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34</v>
      </c>
      <c r="BB19">
        <v>66</v>
      </c>
      <c r="BC19">
        <v>0</v>
      </c>
      <c r="BD19">
        <v>1</v>
      </c>
      <c r="BE19">
        <v>3</v>
      </c>
      <c r="BF19">
        <v>5566.9453125</v>
      </c>
      <c r="BG19">
        <v>2</v>
      </c>
      <c r="BH19">
        <v>3</v>
      </c>
      <c r="BI19">
        <v>26</v>
      </c>
      <c r="BJ19">
        <v>0</v>
      </c>
      <c r="BK19">
        <v>0</v>
      </c>
      <c r="BL19">
        <v>0</v>
      </c>
      <c r="BM19">
        <v>31</v>
      </c>
      <c r="BN19">
        <v>7193.67919921875</v>
      </c>
      <c r="BO19">
        <v>5</v>
      </c>
      <c r="BP19">
        <v>3</v>
      </c>
      <c r="BQ19">
        <v>0</v>
      </c>
      <c r="BR19">
        <v>23</v>
      </c>
      <c r="BS19">
        <v>0</v>
      </c>
      <c r="BT19">
        <v>0</v>
      </c>
      <c r="BU19">
        <v>0</v>
      </c>
      <c r="BV19">
        <v>2255.28662109375</v>
      </c>
      <c r="BW19">
        <v>1331.54943847656</v>
      </c>
      <c r="BX19">
        <v>0</v>
      </c>
      <c r="BY19">
        <v>0</v>
      </c>
      <c r="BZ19">
        <v>0</v>
      </c>
      <c r="CA19">
        <v>477.71142578125</v>
      </c>
      <c r="CB19">
        <v>619.772216796875</v>
      </c>
      <c r="CC19">
        <v>608.103149414062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68.5608367919922</v>
      </c>
      <c r="CN19">
        <v>425.729949951172</v>
      </c>
      <c r="CO19">
        <v>1406.96533203125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4</v>
      </c>
      <c r="DN19">
        <v>0</v>
      </c>
      <c r="DO19">
        <v>0</v>
      </c>
      <c r="DP19">
        <v>0</v>
      </c>
      <c r="DQ19">
        <v>1</v>
      </c>
      <c r="DR19">
        <v>1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1</v>
      </c>
      <c r="EE19">
        <v>21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2339.59887695312</v>
      </c>
      <c r="EV19">
        <v>202.707458496094</v>
      </c>
      <c r="EW19">
        <v>2680.70849609375</v>
      </c>
      <c r="EX19">
        <v>0</v>
      </c>
      <c r="EY19">
        <v>0</v>
      </c>
      <c r="EZ19">
        <v>0</v>
      </c>
      <c r="FA19">
        <v>9.57983875274658</v>
      </c>
      <c r="FB19">
        <v>1961.08447265625</v>
      </c>
      <c r="FC19">
        <v>1305.74645996094</v>
      </c>
      <c r="FD19">
        <v>202.707458496094</v>
      </c>
      <c r="FE19">
        <v>1769.44921875</v>
      </c>
      <c r="FF19">
        <v>0</v>
      </c>
      <c r="FG19">
        <v>0</v>
      </c>
      <c r="FH19">
        <v>0</v>
      </c>
      <c r="FI19">
        <v>9.57983875274658</v>
      </c>
      <c r="FJ19">
        <v>299.353118896484</v>
      </c>
      <c r="FK19">
        <v>608.122375488281</v>
      </c>
      <c r="FL19">
        <v>0</v>
      </c>
      <c r="FM19">
        <v>911.25927734375</v>
      </c>
      <c r="FN19">
        <v>0</v>
      </c>
      <c r="FO19">
        <v>0</v>
      </c>
      <c r="FP19">
        <v>0</v>
      </c>
      <c r="FQ19">
        <v>0</v>
      </c>
      <c r="FR19">
        <v>186.205108642578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425.729949951172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1475.52624511719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3698.63623046875</v>
      </c>
      <c r="GZ19">
        <v>932.874084472656</v>
      </c>
      <c r="HA19">
        <v>2562.16870117188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1346.35729980469</v>
      </c>
      <c r="NL19">
        <v>106.427673339844</v>
      </c>
      <c r="NM19">
        <v>1758.58874511719</v>
      </c>
      <c r="NN19">
        <v>0</v>
      </c>
      <c r="NO19">
        <v>0</v>
      </c>
      <c r="NP19">
        <v>0</v>
      </c>
      <c r="NQ19">
        <v>9.57983875274658</v>
      </c>
      <c r="NR19">
        <v>79.8351974487305</v>
      </c>
      <c r="NS19">
        <v>2255.28662109375</v>
      </c>
      <c r="NT19">
        <v>619.772216796875</v>
      </c>
      <c r="NU19">
        <v>0</v>
      </c>
      <c r="NV19">
        <v>425.729949951172</v>
      </c>
      <c r="NW19">
        <v>0</v>
      </c>
      <c r="NX19">
        <v>0</v>
      </c>
      <c r="NY19">
        <v>0</v>
      </c>
      <c r="NZ19">
        <v>0</v>
      </c>
      <c r="OA19">
        <v>2255.28662109375</v>
      </c>
      <c r="OB19">
        <v>2255.28662109375</v>
      </c>
      <c r="OC19">
        <v>0</v>
      </c>
      <c r="OD19">
        <v>619.772216796875</v>
      </c>
      <c r="OE19">
        <v>619.772216796875</v>
      </c>
      <c r="OF19">
        <v>0</v>
      </c>
      <c r="OG19">
        <v>0</v>
      </c>
      <c r="OH19">
        <v>0</v>
      </c>
      <c r="OI19">
        <v>425.729949951172</v>
      </c>
      <c r="OJ19">
        <v>0</v>
      </c>
      <c r="OK19">
        <v>425.729949951172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2556.8251953125</v>
      </c>
      <c r="OT19">
        <v>521.518737792969</v>
      </c>
      <c r="OU19">
        <v>222.44482421875</v>
      </c>
      <c r="OV19">
        <v>0</v>
      </c>
      <c r="OW19">
        <v>0</v>
      </c>
      <c r="OX19">
        <v>920.627319335938</v>
      </c>
      <c r="OY19">
        <v>0</v>
      </c>
      <c r="OZ19">
        <v>0</v>
      </c>
      <c r="PA19">
        <v>425.729949951172</v>
      </c>
      <c r="PB19">
        <v>0</v>
      </c>
      <c r="PC19">
        <v>0</v>
      </c>
      <c r="PD19">
        <v>106.427673339844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1138.81652832031</v>
      </c>
      <c r="PK19">
        <v>619.772216796875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9.57983875274658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79.8351974487305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2255.28662109375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619.772216796875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425.729949951172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3300.78881835938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1937.05297851562</v>
      </c>
      <c r="TT19">
        <v>95.78875732421881</v>
      </c>
      <c r="TU19">
        <v>222.44482421875</v>
      </c>
      <c r="TV19">
        <v>0</v>
      </c>
      <c r="TW19">
        <v>0</v>
      </c>
      <c r="TX19">
        <v>619.772216796875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425.729949951172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2255.28662109375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619.772216796875</v>
      </c>
      <c r="VK19">
        <v>0</v>
      </c>
      <c r="VL19">
        <v>425.729949951172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</row>
    <row r="20" spans="1:640">
      <c r="A20" t="s">
        <v>658</v>
      </c>
      <c r="B20" t="s">
        <v>757</v>
      </c>
      <c r="C20" t="s">
        <v>840</v>
      </c>
      <c r="D20" t="s">
        <v>846</v>
      </c>
      <c r="E20" t="s">
        <v>840</v>
      </c>
      <c r="F20" s="2">
        <v>45723</v>
      </c>
      <c r="G20">
        <v>0</v>
      </c>
      <c r="H20">
        <v>638.264587402344</v>
      </c>
      <c r="I20">
        <v>0</v>
      </c>
      <c r="J20">
        <v>0</v>
      </c>
      <c r="K20">
        <v>0</v>
      </c>
      <c r="L20">
        <v>0</v>
      </c>
      <c r="M20">
        <v>638.264587402344</v>
      </c>
      <c r="N20">
        <v>606.351379394531</v>
      </c>
      <c r="O20">
        <v>0</v>
      </c>
      <c r="P20">
        <v>0</v>
      </c>
      <c r="Q20">
        <v>31.9132308959961</v>
      </c>
      <c r="R20">
        <v>0</v>
      </c>
      <c r="S20">
        <v>0</v>
      </c>
      <c r="T20">
        <v>0</v>
      </c>
      <c r="U20">
        <v>606.351379394531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31.9132308959961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100</v>
      </c>
      <c r="BC20">
        <v>0</v>
      </c>
      <c r="BD20">
        <v>1</v>
      </c>
      <c r="BE20">
        <v>3</v>
      </c>
      <c r="BF20">
        <v>638.264587402344</v>
      </c>
      <c r="BG20">
        <v>0</v>
      </c>
      <c r="BH20">
        <v>4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638.264587402344</v>
      </c>
      <c r="BO20">
        <v>3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606.351379394531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31.9132308959961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3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606.351379394531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31.9132308959961</v>
      </c>
      <c r="FB20">
        <v>0</v>
      </c>
      <c r="FC20">
        <v>606.351379394531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31.9132308959961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638.264587402344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606.351379394531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31.9132308959961</v>
      </c>
      <c r="NR20">
        <v>0</v>
      </c>
      <c r="NS20">
        <v>606.351379394531</v>
      </c>
      <c r="NT20">
        <v>0</v>
      </c>
      <c r="NU20">
        <v>0</v>
      </c>
      <c r="NV20">
        <v>31.9132308959961</v>
      </c>
      <c r="NW20">
        <v>0</v>
      </c>
      <c r="NX20">
        <v>0</v>
      </c>
      <c r="NY20">
        <v>0</v>
      </c>
      <c r="NZ20">
        <v>606.351379394531</v>
      </c>
      <c r="OA20">
        <v>0</v>
      </c>
      <c r="OB20">
        <v>606.351379394531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31.9132308959961</v>
      </c>
      <c r="OJ20">
        <v>0</v>
      </c>
      <c r="OK20">
        <v>31.9132308959961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638.264587402344</v>
      </c>
      <c r="OU20">
        <v>0</v>
      </c>
      <c r="OV20">
        <v>0</v>
      </c>
      <c r="OW20">
        <v>0</v>
      </c>
      <c r="OX20">
        <v>606.351379394531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31.9132308959961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606.351379394531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31.9132308959961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638.264587402344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606.351379394531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31.9132308959961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606.351379394531</v>
      </c>
      <c r="UX20">
        <v>0</v>
      </c>
      <c r="UY20">
        <v>0</v>
      </c>
      <c r="UZ20">
        <v>31.9132308959961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</row>
    <row r="21" spans="1:640">
      <c r="A21" t="s">
        <v>659</v>
      </c>
      <c r="B21" t="s">
        <v>758</v>
      </c>
      <c r="C21" t="s">
        <v>840</v>
      </c>
      <c r="D21" t="s">
        <v>849</v>
      </c>
      <c r="E21" t="s">
        <v>840</v>
      </c>
      <c r="F21" s="2">
        <v>45721</v>
      </c>
      <c r="G21">
        <v>0</v>
      </c>
      <c r="H21">
        <v>181.045379638672</v>
      </c>
      <c r="I21">
        <v>0</v>
      </c>
      <c r="J21">
        <v>0</v>
      </c>
      <c r="K21">
        <v>0</v>
      </c>
      <c r="L21">
        <v>0</v>
      </c>
      <c r="M21">
        <v>181.045379638672</v>
      </c>
      <c r="N21">
        <v>0</v>
      </c>
      <c r="O21">
        <v>181.045379638672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181.045379638672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100</v>
      </c>
      <c r="BC21">
        <v>0</v>
      </c>
      <c r="BD21">
        <v>1</v>
      </c>
      <c r="BE21">
        <v>3</v>
      </c>
      <c r="BF21">
        <v>12.06969165802</v>
      </c>
      <c r="BG21">
        <v>0</v>
      </c>
      <c r="BH21">
        <v>2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181.045379638672</v>
      </c>
      <c r="BO21">
        <v>0</v>
      </c>
      <c r="BP21">
        <v>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181.045379638672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2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181.045379638672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181.045379638672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181.045379638672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181.045379638672</v>
      </c>
      <c r="NR21">
        <v>0</v>
      </c>
      <c r="NS21">
        <v>0</v>
      </c>
      <c r="NT21">
        <v>181.045379638672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181.045379638672</v>
      </c>
      <c r="OE21">
        <v>181.045379638672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181.045379638672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181.045379638672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181.045379638672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181.045379638672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181.045379638672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181.045379638672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</row>
    <row r="22" spans="1:640">
      <c r="A22" t="s">
        <v>660</v>
      </c>
      <c r="B22" t="s">
        <v>759</v>
      </c>
      <c r="C22" t="s">
        <v>838</v>
      </c>
      <c r="D22" t="s">
        <v>843</v>
      </c>
      <c r="E22" t="s">
        <v>863</v>
      </c>
      <c r="F22" s="2">
        <v>45723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</v>
      </c>
      <c r="AY22">
        <v>7</v>
      </c>
      <c r="AZ22">
        <v>0</v>
      </c>
      <c r="BA22">
        <v>0</v>
      </c>
      <c r="BB22">
        <v>0</v>
      </c>
      <c r="BC22">
        <v>0</v>
      </c>
      <c r="BD22">
        <v>3</v>
      </c>
      <c r="BE22">
        <v>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</row>
    <row r="23" spans="1:640">
      <c r="A23" t="s">
        <v>661</v>
      </c>
      <c r="B23" t="s">
        <v>760</v>
      </c>
      <c r="C23" t="s">
        <v>840</v>
      </c>
      <c r="D23" t="s">
        <v>850</v>
      </c>
      <c r="E23" t="s">
        <v>840</v>
      </c>
      <c r="F23" s="2">
        <v>45730</v>
      </c>
      <c r="G23">
        <v>0</v>
      </c>
      <c r="H23">
        <v>20</v>
      </c>
      <c r="I23">
        <v>0</v>
      </c>
      <c r="J23">
        <v>0</v>
      </c>
      <c r="K23">
        <v>0</v>
      </c>
      <c r="L23">
        <v>0</v>
      </c>
      <c r="M23">
        <v>20</v>
      </c>
      <c r="N23">
        <v>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100</v>
      </c>
      <c r="BC23">
        <v>0</v>
      </c>
      <c r="BD23">
        <v>1</v>
      </c>
      <c r="BE23">
        <v>2</v>
      </c>
      <c r="BF23">
        <v>20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20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15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5</v>
      </c>
      <c r="FC23">
        <v>15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5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20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15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5</v>
      </c>
      <c r="NS23">
        <v>20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20</v>
      </c>
      <c r="OA23">
        <v>0</v>
      </c>
      <c r="OB23">
        <v>20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20</v>
      </c>
      <c r="OU23">
        <v>0</v>
      </c>
      <c r="OV23">
        <v>0</v>
      </c>
      <c r="OW23">
        <v>0</v>
      </c>
      <c r="OX23">
        <v>15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5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20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20</v>
      </c>
      <c r="TQ23">
        <v>0</v>
      </c>
      <c r="TR23">
        <v>0</v>
      </c>
      <c r="TS23">
        <v>0</v>
      </c>
      <c r="TT23">
        <v>20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20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</row>
    <row r="24" spans="1:640">
      <c r="A24" t="s">
        <v>662</v>
      </c>
      <c r="B24" t="s">
        <v>761</v>
      </c>
      <c r="C24" t="s">
        <v>839</v>
      </c>
      <c r="D24" t="s">
        <v>851</v>
      </c>
      <c r="E24" t="s">
        <v>839</v>
      </c>
      <c r="F24" s="2">
        <v>45705</v>
      </c>
      <c r="G24">
        <v>531.057373046875</v>
      </c>
      <c r="H24">
        <v>0</v>
      </c>
      <c r="I24">
        <v>0</v>
      </c>
      <c r="J24">
        <v>0</v>
      </c>
      <c r="K24">
        <v>0</v>
      </c>
      <c r="L24">
        <v>0</v>
      </c>
      <c r="M24">
        <v>531.057373046875</v>
      </c>
      <c r="N24">
        <v>0</v>
      </c>
      <c r="O24">
        <v>531.057373046875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488.695587158203</v>
      </c>
      <c r="Z24">
        <v>42.3618049621582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100</v>
      </c>
      <c r="BC24">
        <v>0</v>
      </c>
      <c r="BD24">
        <v>1</v>
      </c>
      <c r="BE24">
        <v>1</v>
      </c>
      <c r="BF24">
        <v>531.057373046875</v>
      </c>
      <c r="BG24">
        <v>8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8</v>
      </c>
      <c r="BN24">
        <v>531.057373046875</v>
      </c>
      <c r="BO24">
        <v>0</v>
      </c>
      <c r="BP24">
        <v>8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531.057373046875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8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41.7478637695312</v>
      </c>
      <c r="EW24">
        <v>0</v>
      </c>
      <c r="EX24">
        <v>0</v>
      </c>
      <c r="EY24">
        <v>425.459869384766</v>
      </c>
      <c r="EZ24">
        <v>0</v>
      </c>
      <c r="FA24">
        <v>0</v>
      </c>
      <c r="FB24">
        <v>63.8496742248535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41.7478637695312</v>
      </c>
      <c r="FM24">
        <v>0</v>
      </c>
      <c r="FN24">
        <v>0</v>
      </c>
      <c r="FO24">
        <v>425.459869384766</v>
      </c>
      <c r="FP24">
        <v>0</v>
      </c>
      <c r="FQ24">
        <v>0</v>
      </c>
      <c r="FR24">
        <v>63.8496742248535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488.695587158203</v>
      </c>
      <c r="GZ24">
        <v>42.3618049621582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</row>
    <row r="25" spans="1:640">
      <c r="A25" t="s">
        <v>663</v>
      </c>
      <c r="B25" t="s">
        <v>762</v>
      </c>
      <c r="C25" t="s">
        <v>839</v>
      </c>
      <c r="D25" t="s">
        <v>851</v>
      </c>
      <c r="E25" t="s">
        <v>839</v>
      </c>
      <c r="F25" s="2">
        <v>45729</v>
      </c>
      <c r="G25">
        <v>9601.173828125</v>
      </c>
      <c r="H25">
        <v>0</v>
      </c>
      <c r="I25">
        <v>121.449447631836</v>
      </c>
      <c r="J25">
        <v>0</v>
      </c>
      <c r="K25">
        <v>0</v>
      </c>
      <c r="L25">
        <v>0</v>
      </c>
      <c r="M25">
        <v>9722.623046875</v>
      </c>
      <c r="N25">
        <v>2449.13232421875</v>
      </c>
      <c r="O25">
        <v>1716.02758789062</v>
      </c>
      <c r="P25">
        <v>1034.51818847656</v>
      </c>
      <c r="Q25">
        <v>3149.6123046875</v>
      </c>
      <c r="R25">
        <v>1373.33288574219</v>
      </c>
      <c r="S25">
        <v>0</v>
      </c>
      <c r="T25">
        <v>2449.13232421875</v>
      </c>
      <c r="U25">
        <v>0</v>
      </c>
      <c r="V25">
        <v>0</v>
      </c>
      <c r="W25">
        <v>0</v>
      </c>
      <c r="X25">
        <v>0</v>
      </c>
      <c r="Y25">
        <v>1716.02758789062</v>
      </c>
      <c r="Z25">
        <v>0</v>
      </c>
      <c r="AA25">
        <v>0</v>
      </c>
      <c r="AB25">
        <v>0</v>
      </c>
      <c r="AC25">
        <v>0</v>
      </c>
      <c r="AD25">
        <v>1034.51818847656</v>
      </c>
      <c r="AE25">
        <v>0</v>
      </c>
      <c r="AF25">
        <v>0</v>
      </c>
      <c r="AG25">
        <v>0</v>
      </c>
      <c r="AH25">
        <v>0</v>
      </c>
      <c r="AI25">
        <v>3028.15673828125</v>
      </c>
      <c r="AJ25">
        <v>0</v>
      </c>
      <c r="AK25">
        <v>121.455589294434</v>
      </c>
      <c r="AL25">
        <v>0</v>
      </c>
      <c r="AM25">
        <v>0</v>
      </c>
      <c r="AN25">
        <v>1373.33288574219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100</v>
      </c>
      <c r="BD25">
        <v>1</v>
      </c>
      <c r="BE25">
        <v>3</v>
      </c>
      <c r="BF25">
        <v>9722.623046875</v>
      </c>
      <c r="BG25">
        <v>41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42</v>
      </c>
      <c r="BN25">
        <v>9722.623046875</v>
      </c>
      <c r="BO25">
        <v>1</v>
      </c>
      <c r="BP25">
        <v>5</v>
      </c>
      <c r="BQ25">
        <v>13</v>
      </c>
      <c r="BR25">
        <v>20</v>
      </c>
      <c r="BS25">
        <v>3</v>
      </c>
      <c r="BT25">
        <v>0</v>
      </c>
      <c r="BU25">
        <v>2449.13232421875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1716.02758789062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1034.51818847656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3028.16284179688</v>
      </c>
      <c r="CN25">
        <v>0</v>
      </c>
      <c r="CO25">
        <v>121.449447631836</v>
      </c>
      <c r="CP25">
        <v>0</v>
      </c>
      <c r="CQ25">
        <v>0</v>
      </c>
      <c r="CR25">
        <v>0</v>
      </c>
      <c r="CS25">
        <v>1373.33288574219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5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13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19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3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979.650512695312</v>
      </c>
      <c r="EV25">
        <v>518.103271484375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8224.8701171875</v>
      </c>
      <c r="FC25">
        <v>979.650512695312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1469.48181152344</v>
      </c>
      <c r="FK25">
        <v>0</v>
      </c>
      <c r="FL25">
        <v>215.879440307617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1500.14807128906</v>
      </c>
      <c r="FS25">
        <v>0</v>
      </c>
      <c r="FT25">
        <v>302.223846435547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732.294372558594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3149.6123046875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1373.33288574219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9601.16796875</v>
      </c>
      <c r="GZ25">
        <v>0</v>
      </c>
      <c r="HA25">
        <v>121.455589294434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</row>
    <row r="26" spans="1:640">
      <c r="A26" t="s">
        <v>664</v>
      </c>
      <c r="B26" t="s">
        <v>763</v>
      </c>
      <c r="C26" t="s">
        <v>840</v>
      </c>
      <c r="D26" t="s">
        <v>852</v>
      </c>
      <c r="E26" t="s">
        <v>840</v>
      </c>
      <c r="F26" s="2">
        <v>45720</v>
      </c>
      <c r="G26">
        <v>0</v>
      </c>
      <c r="H26">
        <v>218</v>
      </c>
      <c r="I26">
        <v>0</v>
      </c>
      <c r="J26">
        <v>0</v>
      </c>
      <c r="K26">
        <v>0</v>
      </c>
      <c r="L26">
        <v>0</v>
      </c>
      <c r="M26">
        <v>218</v>
      </c>
      <c r="N26">
        <v>218</v>
      </c>
      <c r="O26">
        <v>0</v>
      </c>
      <c r="P26">
        <v>0</v>
      </c>
      <c r="Q26">
        <v>0</v>
      </c>
      <c r="R26">
        <v>0</v>
      </c>
      <c r="S26">
        <v>0</v>
      </c>
      <c r="T26">
        <v>42</v>
      </c>
      <c r="U26">
        <v>176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100</v>
      </c>
      <c r="BC26">
        <v>0</v>
      </c>
      <c r="BD26">
        <v>1</v>
      </c>
      <c r="BE26">
        <v>1</v>
      </c>
      <c r="BF26">
        <v>5</v>
      </c>
      <c r="BG26">
        <v>0</v>
      </c>
      <c r="BH26">
        <v>2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218</v>
      </c>
      <c r="BO26">
        <v>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218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75</v>
      </c>
      <c r="EX26">
        <v>0</v>
      </c>
      <c r="EY26">
        <v>0</v>
      </c>
      <c r="EZ26">
        <v>143</v>
      </c>
      <c r="FA26">
        <v>0</v>
      </c>
      <c r="FB26">
        <v>0</v>
      </c>
      <c r="FC26">
        <v>0</v>
      </c>
      <c r="FD26">
        <v>0</v>
      </c>
      <c r="FE26">
        <v>75</v>
      </c>
      <c r="FF26">
        <v>0</v>
      </c>
      <c r="FG26">
        <v>0</v>
      </c>
      <c r="FH26">
        <v>143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42</v>
      </c>
      <c r="GZ26">
        <v>176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75</v>
      </c>
      <c r="NN26">
        <v>0</v>
      </c>
      <c r="NO26">
        <v>0</v>
      </c>
      <c r="NP26">
        <v>143</v>
      </c>
      <c r="NQ26">
        <v>0</v>
      </c>
      <c r="NR26">
        <v>0</v>
      </c>
      <c r="NS26">
        <v>218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218</v>
      </c>
      <c r="OA26">
        <v>0</v>
      </c>
      <c r="OB26">
        <v>218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42</v>
      </c>
      <c r="OT26">
        <v>176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75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143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218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218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42</v>
      </c>
      <c r="TT26">
        <v>176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218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</row>
    <row r="27" spans="1:640">
      <c r="A27" t="s">
        <v>665</v>
      </c>
      <c r="B27" t="s">
        <v>764</v>
      </c>
      <c r="C27" t="s">
        <v>838</v>
      </c>
      <c r="D27" t="s">
        <v>843</v>
      </c>
      <c r="E27" t="s">
        <v>863</v>
      </c>
      <c r="F27" s="2">
        <v>45723</v>
      </c>
      <c r="G27">
        <v>0</v>
      </c>
      <c r="H27">
        <v>0</v>
      </c>
      <c r="I27">
        <v>1161.13415527344</v>
      </c>
      <c r="J27">
        <v>0</v>
      </c>
      <c r="K27">
        <v>0</v>
      </c>
      <c r="L27">
        <v>0</v>
      </c>
      <c r="M27">
        <v>1161.13415527344</v>
      </c>
      <c r="N27">
        <v>593.08349609375</v>
      </c>
      <c r="O27">
        <v>568.050720214844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593.08349609375</v>
      </c>
      <c r="W27">
        <v>0</v>
      </c>
      <c r="X27">
        <v>0</v>
      </c>
      <c r="Y27">
        <v>0</v>
      </c>
      <c r="Z27">
        <v>0</v>
      </c>
      <c r="AA27">
        <v>568.050720214844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100</v>
      </c>
      <c r="BC27">
        <v>0</v>
      </c>
      <c r="BD27">
        <v>1</v>
      </c>
      <c r="BE27">
        <v>1</v>
      </c>
      <c r="BF27">
        <v>802.010620117188</v>
      </c>
      <c r="BG27">
        <v>0</v>
      </c>
      <c r="BH27">
        <v>0</v>
      </c>
      <c r="BI27">
        <v>6</v>
      </c>
      <c r="BJ27">
        <v>0</v>
      </c>
      <c r="BK27">
        <v>0</v>
      </c>
      <c r="BL27">
        <v>0</v>
      </c>
      <c r="BM27">
        <v>6</v>
      </c>
      <c r="BN27">
        <v>1161.13415527344</v>
      </c>
      <c r="BO27">
        <v>2</v>
      </c>
      <c r="BP27">
        <v>4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593.08349609375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568.050720214844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1061.96606445312</v>
      </c>
      <c r="EV27">
        <v>52.9538803100586</v>
      </c>
      <c r="EW27">
        <v>0</v>
      </c>
      <c r="EX27">
        <v>0</v>
      </c>
      <c r="EY27">
        <v>27.0738754272461</v>
      </c>
      <c r="EZ27">
        <v>0</v>
      </c>
      <c r="FA27">
        <v>19.1404209136963</v>
      </c>
      <c r="FB27">
        <v>0</v>
      </c>
      <c r="FC27">
        <v>493.915313720703</v>
      </c>
      <c r="FD27">
        <v>52.9538803100586</v>
      </c>
      <c r="FE27">
        <v>0</v>
      </c>
      <c r="FF27">
        <v>0</v>
      </c>
      <c r="FG27">
        <v>27.0738754272461</v>
      </c>
      <c r="FH27">
        <v>0</v>
      </c>
      <c r="FI27">
        <v>19.1404209136963</v>
      </c>
      <c r="FJ27">
        <v>0</v>
      </c>
      <c r="FK27">
        <v>568.050720214844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1161.13415527344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</row>
    <row r="28" spans="1:640">
      <c r="A28" t="s">
        <v>666</v>
      </c>
      <c r="B28" t="s">
        <v>765</v>
      </c>
      <c r="C28" t="s">
        <v>839</v>
      </c>
      <c r="D28" t="s">
        <v>848</v>
      </c>
      <c r="E28" t="s">
        <v>839</v>
      </c>
      <c r="F28" s="2">
        <v>45733</v>
      </c>
      <c r="G28">
        <v>1626.01989746094</v>
      </c>
      <c r="H28">
        <v>0</v>
      </c>
      <c r="I28">
        <v>0</v>
      </c>
      <c r="J28">
        <v>0</v>
      </c>
      <c r="K28">
        <v>0</v>
      </c>
      <c r="L28">
        <v>0</v>
      </c>
      <c r="M28">
        <v>1626.01989746094</v>
      </c>
      <c r="N28">
        <v>0</v>
      </c>
      <c r="O28">
        <v>0</v>
      </c>
      <c r="P28">
        <v>0</v>
      </c>
      <c r="Q28">
        <v>0</v>
      </c>
      <c r="R28">
        <v>0</v>
      </c>
      <c r="S28">
        <v>1626.01989746094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1566.28369140625</v>
      </c>
      <c r="AT28">
        <v>59.7362213134766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100</v>
      </c>
      <c r="BC28">
        <v>0</v>
      </c>
      <c r="BD28">
        <v>1</v>
      </c>
      <c r="BE28">
        <v>1</v>
      </c>
      <c r="BF28">
        <v>1626.01989746094</v>
      </c>
      <c r="BG28">
        <v>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3</v>
      </c>
      <c r="BN28">
        <v>1626.01989746094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3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1626.01989746094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3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213.855667114258</v>
      </c>
      <c r="EV28">
        <v>15.5314168930054</v>
      </c>
      <c r="EW28">
        <v>0</v>
      </c>
      <c r="EX28">
        <v>0</v>
      </c>
      <c r="EY28">
        <v>0</v>
      </c>
      <c r="EZ28">
        <v>1348.24645996094</v>
      </c>
      <c r="FA28">
        <v>23.8944873809814</v>
      </c>
      <c r="FB28">
        <v>24.491849899292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213.855667114258</v>
      </c>
      <c r="GR28">
        <v>15.5314168930054</v>
      </c>
      <c r="GS28">
        <v>0</v>
      </c>
      <c r="GT28">
        <v>0</v>
      </c>
      <c r="GU28">
        <v>0</v>
      </c>
      <c r="GV28">
        <v>1348.24645996094</v>
      </c>
      <c r="GW28">
        <v>23.8944873809814</v>
      </c>
      <c r="GX28">
        <v>24.491849899292</v>
      </c>
      <c r="GY28">
        <v>1566.28369140625</v>
      </c>
      <c r="GZ28">
        <v>59.7362213134766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</row>
    <row r="29" spans="1:640">
      <c r="A29" t="s">
        <v>667</v>
      </c>
      <c r="B29" t="s">
        <v>766</v>
      </c>
      <c r="C29" t="s">
        <v>838</v>
      </c>
      <c r="D29" t="s">
        <v>843</v>
      </c>
      <c r="E29" t="s">
        <v>863</v>
      </c>
      <c r="F29" s="2">
        <v>45722</v>
      </c>
      <c r="G29">
        <v>0</v>
      </c>
      <c r="H29">
        <v>819.341003417969</v>
      </c>
      <c r="I29">
        <v>294.616149902344</v>
      </c>
      <c r="J29">
        <v>0</v>
      </c>
      <c r="K29">
        <v>53.9166793823242</v>
      </c>
      <c r="L29">
        <v>0</v>
      </c>
      <c r="M29">
        <v>1167.87377929688</v>
      </c>
      <c r="N29">
        <v>823.192138671875</v>
      </c>
      <c r="O29">
        <v>0</v>
      </c>
      <c r="P29">
        <v>0</v>
      </c>
      <c r="Q29">
        <v>344.681640625</v>
      </c>
      <c r="R29">
        <v>0</v>
      </c>
      <c r="S29">
        <v>0</v>
      </c>
      <c r="T29">
        <v>232.997085571289</v>
      </c>
      <c r="U29">
        <v>457.328979492188</v>
      </c>
      <c r="V29">
        <v>132.866104125977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290.764953613281</v>
      </c>
      <c r="AK29">
        <v>53.9166793823242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100</v>
      </c>
      <c r="BC29">
        <v>0</v>
      </c>
      <c r="BD29">
        <v>3</v>
      </c>
      <c r="BE29">
        <v>3</v>
      </c>
      <c r="BF29">
        <v>1167.87377929688</v>
      </c>
      <c r="BG29">
        <v>0</v>
      </c>
      <c r="BH29">
        <v>2</v>
      </c>
      <c r="BI29">
        <v>1</v>
      </c>
      <c r="BJ29">
        <v>0</v>
      </c>
      <c r="BK29">
        <v>1</v>
      </c>
      <c r="BL29">
        <v>0</v>
      </c>
      <c r="BM29">
        <v>4</v>
      </c>
      <c r="BN29">
        <v>1167.87377929688</v>
      </c>
      <c r="BO29">
        <v>2</v>
      </c>
      <c r="BP29">
        <v>0</v>
      </c>
      <c r="BQ29">
        <v>0</v>
      </c>
      <c r="BR29">
        <v>2</v>
      </c>
      <c r="BS29">
        <v>0</v>
      </c>
      <c r="BT29">
        <v>0</v>
      </c>
      <c r="BU29">
        <v>0</v>
      </c>
      <c r="BV29">
        <v>528.576049804688</v>
      </c>
      <c r="BW29">
        <v>294.616149902344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290.764953613281</v>
      </c>
      <c r="CO29">
        <v>0</v>
      </c>
      <c r="CP29">
        <v>0</v>
      </c>
      <c r="CQ29">
        <v>53.9166793823242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343.718841552734</v>
      </c>
      <c r="EV29">
        <v>21.1815528869629</v>
      </c>
      <c r="EW29">
        <v>340.830444335938</v>
      </c>
      <c r="EX29">
        <v>0.962797880172729</v>
      </c>
      <c r="EY29">
        <v>0</v>
      </c>
      <c r="EZ29">
        <v>258.992614746094</v>
      </c>
      <c r="FA29">
        <v>93.3913955688477</v>
      </c>
      <c r="FB29">
        <v>108.796157836914</v>
      </c>
      <c r="FC29">
        <v>289.802154541016</v>
      </c>
      <c r="FD29">
        <v>21.1815528869629</v>
      </c>
      <c r="FE29">
        <v>50.065486907959</v>
      </c>
      <c r="FF29">
        <v>0.962797880172729</v>
      </c>
      <c r="FG29">
        <v>0</v>
      </c>
      <c r="FH29">
        <v>258.992614746094</v>
      </c>
      <c r="FI29">
        <v>93.3913955688477</v>
      </c>
      <c r="FJ29">
        <v>108.796157836914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53.9166793823242</v>
      </c>
      <c r="GB29">
        <v>0</v>
      </c>
      <c r="GC29">
        <v>290.764953613281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232.997085571289</v>
      </c>
      <c r="GZ29">
        <v>748.093933105469</v>
      </c>
      <c r="HA29">
        <v>186.782791137695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260.918212890625</v>
      </c>
      <c r="NL29">
        <v>6.73958492279053</v>
      </c>
      <c r="NM29">
        <v>340.830444335938</v>
      </c>
      <c r="NN29">
        <v>0.962797880172729</v>
      </c>
      <c r="NO29">
        <v>0</v>
      </c>
      <c r="NP29">
        <v>103.98217010498</v>
      </c>
      <c r="NQ29">
        <v>58.7306709289551</v>
      </c>
      <c r="NR29">
        <v>47.1770935058594</v>
      </c>
      <c r="NS29">
        <v>528.576049804688</v>
      </c>
      <c r="NT29">
        <v>0</v>
      </c>
      <c r="NU29">
        <v>0</v>
      </c>
      <c r="NV29">
        <v>290.764953613281</v>
      </c>
      <c r="NW29">
        <v>0</v>
      </c>
      <c r="NX29">
        <v>0</v>
      </c>
      <c r="NY29">
        <v>0</v>
      </c>
      <c r="NZ29">
        <v>0</v>
      </c>
      <c r="OA29">
        <v>528.576049804688</v>
      </c>
      <c r="OB29">
        <v>528.576049804688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290.764953613281</v>
      </c>
      <c r="OK29">
        <v>290.764953613281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130.940505981445</v>
      </c>
      <c r="OT29">
        <v>649.888549804688</v>
      </c>
      <c r="OU29">
        <v>38.5119132995605</v>
      </c>
      <c r="OV29">
        <v>0</v>
      </c>
      <c r="OW29">
        <v>0</v>
      </c>
      <c r="OX29">
        <v>260.918212890625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6.73958492279053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50.065486907959</v>
      </c>
      <c r="PK29">
        <v>0</v>
      </c>
      <c r="PL29">
        <v>0</v>
      </c>
      <c r="PM29">
        <v>290.764953613281</v>
      </c>
      <c r="PN29">
        <v>0</v>
      </c>
      <c r="PO29">
        <v>0</v>
      </c>
      <c r="PP29">
        <v>0.962797880172729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103.98217010498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58.7306709289551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47.1770935058594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528.576049804688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290.764953613281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819.341003417969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130.940505981445</v>
      </c>
      <c r="TT29">
        <v>359.123596191406</v>
      </c>
      <c r="TU29">
        <v>38.5119132995605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290.764953613281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528.576049804688</v>
      </c>
      <c r="UX29">
        <v>0</v>
      </c>
      <c r="UY29">
        <v>0</v>
      </c>
      <c r="UZ29">
        <v>290.764953613281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</row>
    <row r="30" spans="1:640">
      <c r="A30" t="s">
        <v>668</v>
      </c>
      <c r="B30" t="s">
        <v>767</v>
      </c>
      <c r="C30" t="s">
        <v>841</v>
      </c>
      <c r="D30" t="s">
        <v>853</v>
      </c>
      <c r="E30" t="s">
        <v>864</v>
      </c>
      <c r="F30" s="2">
        <v>45005</v>
      </c>
      <c r="G30">
        <v>0</v>
      </c>
      <c r="H30">
        <v>256.049987792969</v>
      </c>
      <c r="I30">
        <v>0</v>
      </c>
      <c r="J30">
        <v>0</v>
      </c>
      <c r="K30">
        <v>0</v>
      </c>
      <c r="L30">
        <v>0</v>
      </c>
      <c r="M30">
        <v>256.049987792969</v>
      </c>
      <c r="N30">
        <v>256.049987792969</v>
      </c>
      <c r="O30">
        <v>0</v>
      </c>
      <c r="P30">
        <v>0</v>
      </c>
      <c r="Q30">
        <v>0</v>
      </c>
      <c r="R30">
        <v>0</v>
      </c>
      <c r="S30">
        <v>0</v>
      </c>
      <c r="T30">
        <v>110.5</v>
      </c>
      <c r="U30">
        <v>145.550003051758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100</v>
      </c>
      <c r="BC30">
        <v>0</v>
      </c>
      <c r="BD30">
        <v>1</v>
      </c>
      <c r="BE30">
        <v>3</v>
      </c>
      <c r="BF30">
        <v>149.050003051758</v>
      </c>
      <c r="BG30">
        <v>0</v>
      </c>
      <c r="BH30">
        <v>2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256.049987792969</v>
      </c>
      <c r="BO30">
        <v>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256.049987792969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99.5500030517578</v>
      </c>
      <c r="EV30">
        <v>0</v>
      </c>
      <c r="EW30">
        <v>0</v>
      </c>
      <c r="EX30">
        <v>0</v>
      </c>
      <c r="EY30">
        <v>0</v>
      </c>
      <c r="EZ30">
        <v>6</v>
      </c>
      <c r="FA30">
        <v>0</v>
      </c>
      <c r="FB30">
        <v>150.5</v>
      </c>
      <c r="FC30">
        <v>99.5500030517578</v>
      </c>
      <c r="FD30">
        <v>0</v>
      </c>
      <c r="FE30">
        <v>0</v>
      </c>
      <c r="FF30">
        <v>0</v>
      </c>
      <c r="FG30">
        <v>0</v>
      </c>
      <c r="FH30">
        <v>6</v>
      </c>
      <c r="FI30">
        <v>0</v>
      </c>
      <c r="FJ30">
        <v>150.5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110.5</v>
      </c>
      <c r="GZ30">
        <v>145.550003051758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99.5500030517578</v>
      </c>
      <c r="NL30">
        <v>0</v>
      </c>
      <c r="NM30">
        <v>0</v>
      </c>
      <c r="NN30">
        <v>0</v>
      </c>
      <c r="NO30">
        <v>0</v>
      </c>
      <c r="NP30">
        <v>6</v>
      </c>
      <c r="NQ30">
        <v>0</v>
      </c>
      <c r="NR30">
        <v>150.5</v>
      </c>
      <c r="NS30">
        <v>256.049987792969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110.5</v>
      </c>
      <c r="OT30">
        <v>145.550003051758</v>
      </c>
      <c r="OU30">
        <v>0</v>
      </c>
      <c r="OV30">
        <v>0</v>
      </c>
      <c r="OW30">
        <v>0</v>
      </c>
      <c r="OX30">
        <v>99.5500030517578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6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150.5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110.5</v>
      </c>
      <c r="TT30">
        <v>145.550003051758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</row>
    <row r="31" spans="1:640">
      <c r="A31" t="s">
        <v>669</v>
      </c>
      <c r="B31" t="s">
        <v>768</v>
      </c>
      <c r="C31" t="s">
        <v>838</v>
      </c>
      <c r="D31" t="s">
        <v>843</v>
      </c>
      <c r="E31" t="s">
        <v>863</v>
      </c>
      <c r="F31" s="2">
        <v>45723</v>
      </c>
      <c r="G31">
        <v>458.291778564453</v>
      </c>
      <c r="H31">
        <v>206.03874206543</v>
      </c>
      <c r="I31">
        <v>1532.77416992188</v>
      </c>
      <c r="J31">
        <v>0</v>
      </c>
      <c r="K31">
        <v>0</v>
      </c>
      <c r="L31">
        <v>0</v>
      </c>
      <c r="M31">
        <v>2197.10473632812</v>
      </c>
      <c r="N31">
        <v>912.732360839844</v>
      </c>
      <c r="O31">
        <v>737.503173828125</v>
      </c>
      <c r="P31">
        <v>0</v>
      </c>
      <c r="Q31">
        <v>0</v>
      </c>
      <c r="R31">
        <v>0</v>
      </c>
      <c r="S31">
        <v>546.869201660156</v>
      </c>
      <c r="T31">
        <v>0</v>
      </c>
      <c r="U31">
        <v>182.931594848633</v>
      </c>
      <c r="V31">
        <v>729.80078125</v>
      </c>
      <c r="W31">
        <v>0</v>
      </c>
      <c r="X31">
        <v>0</v>
      </c>
      <c r="Y31">
        <v>0</v>
      </c>
      <c r="Z31">
        <v>187.745574951172</v>
      </c>
      <c r="AA31">
        <v>549.757568359375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136.717300415039</v>
      </c>
      <c r="AT31">
        <v>0</v>
      </c>
      <c r="AU31">
        <v>410.151885986328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100</v>
      </c>
      <c r="BC31">
        <v>0</v>
      </c>
      <c r="BD31">
        <v>1</v>
      </c>
      <c r="BE31">
        <v>3</v>
      </c>
      <c r="BF31">
        <v>569.013549804688</v>
      </c>
      <c r="BG31">
        <v>3</v>
      </c>
      <c r="BH31">
        <v>4</v>
      </c>
      <c r="BI31">
        <v>10</v>
      </c>
      <c r="BJ31">
        <v>0</v>
      </c>
      <c r="BK31">
        <v>0</v>
      </c>
      <c r="BL31">
        <v>0</v>
      </c>
      <c r="BM31">
        <v>17</v>
      </c>
      <c r="BN31">
        <v>2197.10473632812</v>
      </c>
      <c r="BO31">
        <v>10</v>
      </c>
      <c r="BP31">
        <v>4</v>
      </c>
      <c r="BQ31">
        <v>0</v>
      </c>
      <c r="BR31">
        <v>0</v>
      </c>
      <c r="BS31">
        <v>0</v>
      </c>
      <c r="BT31">
        <v>3</v>
      </c>
      <c r="BU31">
        <v>215.666717529297</v>
      </c>
      <c r="BV31">
        <v>2.88839364051819</v>
      </c>
      <c r="BW31">
        <v>694.17724609375</v>
      </c>
      <c r="BX31">
        <v>0</v>
      </c>
      <c r="BY31">
        <v>0</v>
      </c>
      <c r="BZ31">
        <v>0</v>
      </c>
      <c r="CA31">
        <v>0</v>
      </c>
      <c r="CB31">
        <v>187.745574951172</v>
      </c>
      <c r="CC31">
        <v>549.757568359375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242.625061035156</v>
      </c>
      <c r="CZ31">
        <v>15.4047660827637</v>
      </c>
      <c r="DA31">
        <v>288.83935546875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</v>
      </c>
      <c r="DL31">
        <v>1</v>
      </c>
      <c r="DM31">
        <v>7</v>
      </c>
      <c r="DN31">
        <v>0</v>
      </c>
      <c r="DO31">
        <v>0</v>
      </c>
      <c r="DP31">
        <v>0</v>
      </c>
      <c r="DQ31">
        <v>0</v>
      </c>
      <c r="DR31">
        <v>2</v>
      </c>
      <c r="DS31">
        <v>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  <c r="EP31">
        <v>1</v>
      </c>
      <c r="EQ31">
        <v>1</v>
      </c>
      <c r="ER31">
        <v>0</v>
      </c>
      <c r="ES31">
        <v>0</v>
      </c>
      <c r="ET31">
        <v>0</v>
      </c>
      <c r="EU31">
        <v>955.095458984375</v>
      </c>
      <c r="EV31">
        <v>645.074584960938</v>
      </c>
      <c r="EW31">
        <v>203.150344848633</v>
      </c>
      <c r="EX31">
        <v>0</v>
      </c>
      <c r="EY31">
        <v>36.5863189697266</v>
      </c>
      <c r="EZ31">
        <v>305.206909179688</v>
      </c>
      <c r="FA31">
        <v>51.9910850524902</v>
      </c>
      <c r="FB31">
        <v>0</v>
      </c>
      <c r="FC31">
        <v>425.556640625</v>
      </c>
      <c r="FD31">
        <v>93.3913955688477</v>
      </c>
      <c r="FE31">
        <v>0</v>
      </c>
      <c r="FF31">
        <v>0</v>
      </c>
      <c r="FG31">
        <v>36.5863189697266</v>
      </c>
      <c r="FH31">
        <v>305.206909179688</v>
      </c>
      <c r="FI31">
        <v>51.9910850524902</v>
      </c>
      <c r="FJ31">
        <v>0</v>
      </c>
      <c r="FK31">
        <v>529.538818359375</v>
      </c>
      <c r="FL31">
        <v>126.126518249512</v>
      </c>
      <c r="FM31">
        <v>81.8378143310547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425.556640625</v>
      </c>
      <c r="GS31">
        <v>121.312530517578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136.717300415039</v>
      </c>
      <c r="GZ31">
        <v>370.677185058594</v>
      </c>
      <c r="HA31">
        <v>1689.71020507812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15.4047660827637</v>
      </c>
      <c r="NM31">
        <v>81.8378143310547</v>
      </c>
      <c r="NN31">
        <v>0</v>
      </c>
      <c r="NO31">
        <v>108.796157836914</v>
      </c>
      <c r="NP31">
        <v>0</v>
      </c>
      <c r="NQ31">
        <v>0</v>
      </c>
      <c r="NR31">
        <v>0</v>
      </c>
      <c r="NS31">
        <v>2.88839364051819</v>
      </c>
      <c r="NT31">
        <v>187.745574951172</v>
      </c>
      <c r="NU31">
        <v>0</v>
      </c>
      <c r="NV31">
        <v>0</v>
      </c>
      <c r="NW31">
        <v>0</v>
      </c>
      <c r="NX31">
        <v>15.4047660827637</v>
      </c>
      <c r="NY31">
        <v>0</v>
      </c>
      <c r="NZ31">
        <v>0</v>
      </c>
      <c r="OA31">
        <v>2.88839364051819</v>
      </c>
      <c r="OB31">
        <v>2.88839364051819</v>
      </c>
      <c r="OC31">
        <v>187.745574951172</v>
      </c>
      <c r="OD31">
        <v>0</v>
      </c>
      <c r="OE31">
        <v>187.745574951172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15.4047660827637</v>
      </c>
      <c r="OQ31">
        <v>15.4047660827637</v>
      </c>
      <c r="OR31">
        <v>0</v>
      </c>
      <c r="OS31">
        <v>15.4047660827637</v>
      </c>
      <c r="OT31">
        <v>190.633972167969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15.4047660827637</v>
      </c>
      <c r="PJ31">
        <v>0</v>
      </c>
      <c r="PK31">
        <v>81.8378143310547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2.88839364051819</v>
      </c>
      <c r="PW31">
        <v>105.907760620117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2.88839364051819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187.745574951172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15.4047660827637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206.03874206543</v>
      </c>
      <c r="TQ31">
        <v>0</v>
      </c>
      <c r="TR31">
        <v>0</v>
      </c>
      <c r="TS31">
        <v>0</v>
      </c>
      <c r="TT31">
        <v>2.88839364051819</v>
      </c>
      <c r="TU31">
        <v>0</v>
      </c>
      <c r="TV31">
        <v>0</v>
      </c>
      <c r="TW31">
        <v>0</v>
      </c>
      <c r="TX31">
        <v>0</v>
      </c>
      <c r="TY31">
        <v>187.745574951172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15.4047660827637</v>
      </c>
      <c r="US31">
        <v>0</v>
      </c>
      <c r="UT31">
        <v>0</v>
      </c>
      <c r="UU31">
        <v>0</v>
      </c>
      <c r="UV31">
        <v>0</v>
      </c>
      <c r="UW31">
        <v>2.88839364051819</v>
      </c>
      <c r="UX31">
        <v>187.745574951172</v>
      </c>
      <c r="UY31">
        <v>0</v>
      </c>
      <c r="UZ31">
        <v>0</v>
      </c>
      <c r="VA31">
        <v>0</v>
      </c>
      <c r="VB31">
        <v>15.4047660827637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</row>
    <row r="32" spans="1:640">
      <c r="A32" t="s">
        <v>670</v>
      </c>
      <c r="B32" t="s">
        <v>769</v>
      </c>
      <c r="C32" t="s">
        <v>840</v>
      </c>
      <c r="D32" t="s">
        <v>849</v>
      </c>
      <c r="E32" t="s">
        <v>840</v>
      </c>
      <c r="F32" s="2">
        <v>45712</v>
      </c>
      <c r="G32">
        <v>0</v>
      </c>
      <c r="H32">
        <v>482.787689208984</v>
      </c>
      <c r="I32">
        <v>0</v>
      </c>
      <c r="J32">
        <v>0</v>
      </c>
      <c r="K32">
        <v>0</v>
      </c>
      <c r="L32">
        <v>0</v>
      </c>
      <c r="M32">
        <v>482.787689208984</v>
      </c>
      <c r="N32">
        <v>241.393844604492</v>
      </c>
      <c r="O32">
        <v>241.393844604492</v>
      </c>
      <c r="P32">
        <v>0</v>
      </c>
      <c r="Q32">
        <v>0</v>
      </c>
      <c r="R32">
        <v>0</v>
      </c>
      <c r="S32">
        <v>0</v>
      </c>
      <c r="T32">
        <v>0</v>
      </c>
      <c r="U32">
        <v>241.393844604492</v>
      </c>
      <c r="V32">
        <v>0</v>
      </c>
      <c r="W32">
        <v>0</v>
      </c>
      <c r="X32">
        <v>0</v>
      </c>
      <c r="Y32">
        <v>0</v>
      </c>
      <c r="Z32">
        <v>0</v>
      </c>
      <c r="AA32">
        <v>241.393844604492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100</v>
      </c>
      <c r="BD32">
        <v>1</v>
      </c>
      <c r="BE32">
        <v>1</v>
      </c>
      <c r="BF32">
        <v>241.393844604492</v>
      </c>
      <c r="BG32">
        <v>0</v>
      </c>
      <c r="BH32">
        <v>2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482.787689208984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241.393844604492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241.393844604492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241.393844604492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241.393844604492</v>
      </c>
      <c r="FC32">
        <v>241.393844604492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241.393844604492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241.393844604492</v>
      </c>
      <c r="HA32">
        <v>241.393844604492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241.393844604492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241.393844604492</v>
      </c>
      <c r="NS32">
        <v>241.393844604492</v>
      </c>
      <c r="NT32">
        <v>241.393844604492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241.393844604492</v>
      </c>
      <c r="OA32">
        <v>0</v>
      </c>
      <c r="OB32">
        <v>241.393844604492</v>
      </c>
      <c r="OC32">
        <v>241.393844604492</v>
      </c>
      <c r="OD32">
        <v>0</v>
      </c>
      <c r="OE32">
        <v>241.393844604492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241.393844604492</v>
      </c>
      <c r="OU32">
        <v>241.393844604492</v>
      </c>
      <c r="OV32">
        <v>0</v>
      </c>
      <c r="OW32">
        <v>0</v>
      </c>
      <c r="OX32">
        <v>241.393844604492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241.393844604492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241.393844604492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241.393844604492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241.393844604492</v>
      </c>
      <c r="TQ32">
        <v>0</v>
      </c>
      <c r="TR32">
        <v>241.393844604492</v>
      </c>
      <c r="TS32">
        <v>0</v>
      </c>
      <c r="TT32">
        <v>241.393844604492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241.393844604492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241.393844604492</v>
      </c>
      <c r="VD32">
        <v>241.393844604492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</row>
    <row r="33" spans="1:640">
      <c r="A33" t="s">
        <v>671</v>
      </c>
      <c r="B33" t="s">
        <v>770</v>
      </c>
      <c r="C33" t="s">
        <v>838</v>
      </c>
      <c r="D33" t="s">
        <v>843</v>
      </c>
      <c r="E33" t="s">
        <v>863</v>
      </c>
      <c r="F33" s="2">
        <v>45722</v>
      </c>
      <c r="G33">
        <v>859.778503417969</v>
      </c>
      <c r="H33">
        <v>574.790344238281</v>
      </c>
      <c r="I33">
        <v>2782.48583984375</v>
      </c>
      <c r="J33">
        <v>635.446594238281</v>
      </c>
      <c r="K33">
        <v>0</v>
      </c>
      <c r="L33">
        <v>0</v>
      </c>
      <c r="M33">
        <v>4852.5009765625</v>
      </c>
      <c r="N33">
        <v>2814.25805664062</v>
      </c>
      <c r="O33">
        <v>0</v>
      </c>
      <c r="P33">
        <v>0</v>
      </c>
      <c r="Q33">
        <v>0</v>
      </c>
      <c r="R33">
        <v>596.934692382812</v>
      </c>
      <c r="S33">
        <v>1441.30834960938</v>
      </c>
      <c r="T33">
        <v>157.898849487305</v>
      </c>
      <c r="U33">
        <v>1097.58959960938</v>
      </c>
      <c r="V33">
        <v>1558.76977539062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596.934692382812</v>
      </c>
      <c r="AQ33">
        <v>0</v>
      </c>
      <c r="AR33">
        <v>0</v>
      </c>
      <c r="AS33">
        <v>1167.87377929688</v>
      </c>
      <c r="AT33">
        <v>120.349731445312</v>
      </c>
      <c r="AU33">
        <v>153.084854125977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100</v>
      </c>
      <c r="BC33">
        <v>0</v>
      </c>
      <c r="BD33">
        <v>1</v>
      </c>
      <c r="BE33">
        <v>3</v>
      </c>
      <c r="BF33">
        <v>0</v>
      </c>
      <c r="BG33">
        <v>2</v>
      </c>
      <c r="BH33">
        <v>5</v>
      </c>
      <c r="BI33">
        <v>10</v>
      </c>
      <c r="BJ33">
        <v>1</v>
      </c>
      <c r="BK33">
        <v>0</v>
      </c>
      <c r="BL33">
        <v>0</v>
      </c>
      <c r="BM33">
        <v>18</v>
      </c>
      <c r="BN33">
        <v>4852.5009765625</v>
      </c>
      <c r="BO33">
        <v>11</v>
      </c>
      <c r="BP33">
        <v>0</v>
      </c>
      <c r="BQ33">
        <v>0</v>
      </c>
      <c r="BR33">
        <v>0</v>
      </c>
      <c r="BS33">
        <v>2</v>
      </c>
      <c r="BT33">
        <v>5</v>
      </c>
      <c r="BU33">
        <v>424.593841552734</v>
      </c>
      <c r="BV33">
        <v>538.203979492188</v>
      </c>
      <c r="BW33">
        <v>1216.013671875</v>
      </c>
      <c r="BX33">
        <v>635.446594238281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596.934692382812</v>
      </c>
      <c r="CV33">
        <v>0</v>
      </c>
      <c r="CW33">
        <v>0</v>
      </c>
      <c r="CX33">
        <v>0</v>
      </c>
      <c r="CY33">
        <v>435.184631347656</v>
      </c>
      <c r="CZ33">
        <v>36.5863189697266</v>
      </c>
      <c r="DA33">
        <v>969.537414550781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4</v>
      </c>
      <c r="DM33">
        <v>5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2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3</v>
      </c>
      <c r="ER33">
        <v>0</v>
      </c>
      <c r="ES33">
        <v>0</v>
      </c>
      <c r="ET33">
        <v>0</v>
      </c>
      <c r="EU33">
        <v>2168.220703125</v>
      </c>
      <c r="EV33">
        <v>302.318542480469</v>
      </c>
      <c r="EW33">
        <v>132.866104125977</v>
      </c>
      <c r="EX33">
        <v>0</v>
      </c>
      <c r="EY33">
        <v>2.88839364051819</v>
      </c>
      <c r="EZ33">
        <v>156.936050415039</v>
      </c>
      <c r="FA33">
        <v>477.547729492188</v>
      </c>
      <c r="FB33">
        <v>1611.7236328125</v>
      </c>
      <c r="FC33">
        <v>1683.93347167969</v>
      </c>
      <c r="FD33">
        <v>268.62060546875</v>
      </c>
      <c r="FE33">
        <v>132.866104125977</v>
      </c>
      <c r="FF33">
        <v>0</v>
      </c>
      <c r="FG33">
        <v>2.88839364051819</v>
      </c>
      <c r="FH33">
        <v>77.02382659912109</v>
      </c>
      <c r="FI33">
        <v>477.547729492188</v>
      </c>
      <c r="FJ33">
        <v>171.378021240234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596.934692382812</v>
      </c>
      <c r="GQ33">
        <v>484.287322998047</v>
      </c>
      <c r="GR33">
        <v>33.697925567627</v>
      </c>
      <c r="GS33">
        <v>0</v>
      </c>
      <c r="GT33">
        <v>0</v>
      </c>
      <c r="GU33">
        <v>0</v>
      </c>
      <c r="GV33">
        <v>79.912223815918</v>
      </c>
      <c r="GW33">
        <v>0</v>
      </c>
      <c r="GX33">
        <v>843.410949707031</v>
      </c>
      <c r="GY33">
        <v>1325.77270507812</v>
      </c>
      <c r="GZ33">
        <v>1217.93933105469</v>
      </c>
      <c r="HA33">
        <v>2308.78930664062</v>
      </c>
      <c r="HB33">
        <v>0</v>
      </c>
      <c r="HC33">
        <v>0</v>
      </c>
      <c r="HD33">
        <v>72.2098388671875</v>
      </c>
      <c r="HE33">
        <v>48.139892578125</v>
      </c>
      <c r="HF33">
        <v>24.0699462890625</v>
      </c>
      <c r="HG33">
        <v>0</v>
      </c>
      <c r="HH33">
        <v>0</v>
      </c>
      <c r="HI33">
        <v>0</v>
      </c>
      <c r="HJ33">
        <v>476.584930419922</v>
      </c>
      <c r="HK33">
        <v>14.4419679641724</v>
      </c>
      <c r="HL33">
        <v>635.446594238281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47.1770935058594</v>
      </c>
      <c r="HT33">
        <v>62.581859588623</v>
      </c>
      <c r="HU33">
        <v>525.687622070312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47.1770935058594</v>
      </c>
      <c r="KM33">
        <v>62.581859588623</v>
      </c>
      <c r="KN33">
        <v>525.687622070312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635.446594238281</v>
      </c>
      <c r="LR33">
        <v>635.446594238281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635.446594238281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635.446594238281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331.202453613281</v>
      </c>
      <c r="NL33">
        <v>111.684555053711</v>
      </c>
      <c r="NM33">
        <v>12.5163717269897</v>
      </c>
      <c r="NN33">
        <v>0</v>
      </c>
      <c r="NO33">
        <v>0</v>
      </c>
      <c r="NP33">
        <v>0</v>
      </c>
      <c r="NQ33">
        <v>0</v>
      </c>
      <c r="NR33">
        <v>119.386932373047</v>
      </c>
      <c r="NS33">
        <v>538.203979492188</v>
      </c>
      <c r="NT33">
        <v>0</v>
      </c>
      <c r="NU33">
        <v>0</v>
      </c>
      <c r="NV33">
        <v>0</v>
      </c>
      <c r="NW33">
        <v>0</v>
      </c>
      <c r="NX33">
        <v>36.5863189697266</v>
      </c>
      <c r="NY33">
        <v>0</v>
      </c>
      <c r="NZ33">
        <v>49.1026916503906</v>
      </c>
      <c r="OA33">
        <v>489.101318359375</v>
      </c>
      <c r="OB33">
        <v>538.203979492188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36.5863189697266</v>
      </c>
      <c r="OQ33">
        <v>36.5863189697266</v>
      </c>
      <c r="OR33">
        <v>0</v>
      </c>
      <c r="OS33">
        <v>93.3913955688477</v>
      </c>
      <c r="OT33">
        <v>385.119140625</v>
      </c>
      <c r="OU33">
        <v>96.27978515625</v>
      </c>
      <c r="OV33">
        <v>0</v>
      </c>
      <c r="OW33">
        <v>0</v>
      </c>
      <c r="OX33">
        <v>294.616149902344</v>
      </c>
      <c r="OY33">
        <v>0</v>
      </c>
      <c r="OZ33">
        <v>0</v>
      </c>
      <c r="PA33">
        <v>0</v>
      </c>
      <c r="PB33">
        <v>0</v>
      </c>
      <c r="PC33">
        <v>36.5863189697266</v>
      </c>
      <c r="PD33">
        <v>111.684555053711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12.5163717269897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119.386932373047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49.1026916503906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489.101318359375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36.5863189697266</v>
      </c>
      <c r="TH33">
        <v>0</v>
      </c>
      <c r="TI33">
        <v>0</v>
      </c>
      <c r="TJ33">
        <v>0</v>
      </c>
      <c r="TK33">
        <v>49.1026916503906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525.687622070312</v>
      </c>
      <c r="TS33">
        <v>93.3913955688477</v>
      </c>
      <c r="TT33">
        <v>348.532836914062</v>
      </c>
      <c r="TU33">
        <v>96.27978515625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36.5863189697266</v>
      </c>
      <c r="UT33">
        <v>0</v>
      </c>
      <c r="UU33">
        <v>0</v>
      </c>
      <c r="UV33">
        <v>0</v>
      </c>
      <c r="UW33">
        <v>236.848266601562</v>
      </c>
      <c r="UX33">
        <v>0</v>
      </c>
      <c r="UY33">
        <v>0</v>
      </c>
      <c r="UZ33">
        <v>0</v>
      </c>
      <c r="VA33">
        <v>0</v>
      </c>
      <c r="VB33">
        <v>36.5863189697266</v>
      </c>
      <c r="VC33">
        <v>301.355743408203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72.2098388671875</v>
      </c>
      <c r="VV33">
        <v>48.139892578125</v>
      </c>
      <c r="VW33">
        <v>24.0699462890625</v>
      </c>
      <c r="VX33">
        <v>0</v>
      </c>
      <c r="VY33">
        <v>0</v>
      </c>
      <c r="VZ33">
        <v>0</v>
      </c>
      <c r="WA33">
        <v>476.584930419922</v>
      </c>
      <c r="WB33">
        <v>14.4419679641724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</row>
    <row r="34" spans="1:640">
      <c r="A34" t="s">
        <v>672</v>
      </c>
      <c r="B34" t="s">
        <v>771</v>
      </c>
      <c r="C34" t="s">
        <v>839</v>
      </c>
      <c r="D34" t="s">
        <v>854</v>
      </c>
      <c r="E34" t="s">
        <v>839</v>
      </c>
      <c r="F34" s="2">
        <v>45005</v>
      </c>
      <c r="G34">
        <v>3497.47900390625</v>
      </c>
      <c r="H34">
        <v>37.1696968078613</v>
      </c>
      <c r="I34">
        <v>107.524284362793</v>
      </c>
      <c r="J34">
        <v>39.4560585021973</v>
      </c>
      <c r="K34">
        <v>0</v>
      </c>
      <c r="L34">
        <v>0</v>
      </c>
      <c r="M34">
        <v>3681.62890625</v>
      </c>
      <c r="N34">
        <v>0</v>
      </c>
      <c r="O34">
        <v>3681.62890625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3497.47900390625</v>
      </c>
      <c r="Z34">
        <v>76.62575531005859</v>
      </c>
      <c r="AA34">
        <v>107.524284362793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5</v>
      </c>
      <c r="BA34">
        <v>65</v>
      </c>
      <c r="BB34">
        <v>30</v>
      </c>
      <c r="BC34">
        <v>0</v>
      </c>
      <c r="BD34">
        <v>3</v>
      </c>
      <c r="BE34">
        <v>2</v>
      </c>
      <c r="BF34">
        <v>3420.33056640625</v>
      </c>
      <c r="BG34">
        <v>5354000</v>
      </c>
      <c r="BH34">
        <v>56900</v>
      </c>
      <c r="BI34">
        <v>164600</v>
      </c>
      <c r="BJ34">
        <v>60400</v>
      </c>
      <c r="BK34">
        <v>0</v>
      </c>
      <c r="BL34">
        <v>0</v>
      </c>
      <c r="BM34">
        <v>5635900</v>
      </c>
      <c r="BN34">
        <v>3681.62890625</v>
      </c>
      <c r="BO34">
        <v>0</v>
      </c>
      <c r="BP34">
        <v>5635900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3497.47900390625</v>
      </c>
      <c r="CB34">
        <v>37.1696968078613</v>
      </c>
      <c r="CC34">
        <v>107.524284362793</v>
      </c>
      <c r="CD34">
        <v>39.4560585021973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5354000</v>
      </c>
      <c r="DR34">
        <v>56900</v>
      </c>
      <c r="DS34">
        <v>164600</v>
      </c>
      <c r="DT34">
        <v>60400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368.162902832031</v>
      </c>
      <c r="EV34">
        <v>736.325805664062</v>
      </c>
      <c r="EW34">
        <v>0</v>
      </c>
      <c r="EX34">
        <v>1472.65161132812</v>
      </c>
      <c r="EY34">
        <v>0</v>
      </c>
      <c r="EZ34">
        <v>552.244323730469</v>
      </c>
      <c r="FA34">
        <v>294.530334472656</v>
      </c>
      <c r="FB34">
        <v>257.714019775391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368.162902832031</v>
      </c>
      <c r="FL34">
        <v>736.325805664062</v>
      </c>
      <c r="FM34">
        <v>0</v>
      </c>
      <c r="FN34">
        <v>1472.65161132812</v>
      </c>
      <c r="FO34">
        <v>0</v>
      </c>
      <c r="FP34">
        <v>552.244323730469</v>
      </c>
      <c r="FQ34">
        <v>294.530334472656</v>
      </c>
      <c r="FR34">
        <v>257.714019775391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3497.47900390625</v>
      </c>
      <c r="GZ34">
        <v>76.62575531005859</v>
      </c>
      <c r="HA34">
        <v>107.524284362793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</row>
    <row r="35" spans="1:640">
      <c r="A35" t="s">
        <v>673</v>
      </c>
      <c r="B35" t="s">
        <v>772</v>
      </c>
      <c r="C35" t="s">
        <v>840</v>
      </c>
      <c r="D35" t="s">
        <v>855</v>
      </c>
      <c r="E35" t="s">
        <v>840</v>
      </c>
      <c r="F35" s="2">
        <v>45732</v>
      </c>
      <c r="G35">
        <v>0</v>
      </c>
      <c r="H35">
        <v>314.399993896484</v>
      </c>
      <c r="I35">
        <v>0</v>
      </c>
      <c r="J35">
        <v>0</v>
      </c>
      <c r="K35">
        <v>0</v>
      </c>
      <c r="L35">
        <v>0</v>
      </c>
      <c r="M35">
        <v>314.399993896484</v>
      </c>
      <c r="N35">
        <v>0</v>
      </c>
      <c r="O35">
        <v>177.100006103516</v>
      </c>
      <c r="P35">
        <v>0</v>
      </c>
      <c r="Q35">
        <v>137.300003051758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177.100006103516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16.7999992370605</v>
      </c>
      <c r="AK35">
        <v>120.5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100</v>
      </c>
      <c r="BB35">
        <v>0</v>
      </c>
      <c r="BC35">
        <v>0</v>
      </c>
      <c r="BD35">
        <v>1</v>
      </c>
      <c r="BE35">
        <v>3</v>
      </c>
      <c r="BF35">
        <v>314.399993896484</v>
      </c>
      <c r="BG35">
        <v>0</v>
      </c>
      <c r="BH35">
        <v>8</v>
      </c>
      <c r="BI35">
        <v>0</v>
      </c>
      <c r="BJ35">
        <v>0</v>
      </c>
      <c r="BK35">
        <v>0</v>
      </c>
      <c r="BL35">
        <v>0</v>
      </c>
      <c r="BM35">
        <v>8</v>
      </c>
      <c r="BN35">
        <v>314.399993896484</v>
      </c>
      <c r="BO35">
        <v>0</v>
      </c>
      <c r="BP35">
        <v>2</v>
      </c>
      <c r="BQ35">
        <v>0</v>
      </c>
      <c r="BR35">
        <v>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177.100006103516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137.300003051758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6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314.399993896484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177.100006103516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137.300003051758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193.899993896484</v>
      </c>
      <c r="HA35">
        <v>120.5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314.399993896484</v>
      </c>
      <c r="NS35">
        <v>0</v>
      </c>
      <c r="NT35">
        <v>177.100006103516</v>
      </c>
      <c r="NU35">
        <v>0</v>
      </c>
      <c r="NV35">
        <v>137.300003051758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177.100006103516</v>
      </c>
      <c r="OD35">
        <v>0</v>
      </c>
      <c r="OE35">
        <v>177.100006103516</v>
      </c>
      <c r="OF35">
        <v>0</v>
      </c>
      <c r="OG35">
        <v>0</v>
      </c>
      <c r="OH35">
        <v>0</v>
      </c>
      <c r="OI35">
        <v>36.2000007629395</v>
      </c>
      <c r="OJ35">
        <v>101.099998474121</v>
      </c>
      <c r="OK35">
        <v>137.300003051758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193.899993896484</v>
      </c>
      <c r="OU35">
        <v>120.5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177.100006103516</v>
      </c>
      <c r="QP35">
        <v>0</v>
      </c>
      <c r="QQ35">
        <v>137.300003051758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177.100006103516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137.300003051758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177.100006103516</v>
      </c>
      <c r="TJ35">
        <v>137.300003051758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177.100006103516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16.7999992370605</v>
      </c>
      <c r="UJ35">
        <v>120.5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177.100006103516</v>
      </c>
      <c r="UY35">
        <v>0</v>
      </c>
      <c r="UZ35">
        <v>137.300003051758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</row>
    <row r="36" spans="1:640">
      <c r="A36" t="s">
        <v>674</v>
      </c>
      <c r="B36" t="s">
        <v>773</v>
      </c>
      <c r="C36" t="s">
        <v>840</v>
      </c>
      <c r="D36" t="s">
        <v>855</v>
      </c>
      <c r="E36" t="s">
        <v>840</v>
      </c>
      <c r="F36" s="2">
        <v>45705</v>
      </c>
      <c r="G36">
        <v>0</v>
      </c>
      <c r="H36">
        <v>90</v>
      </c>
      <c r="I36">
        <v>0</v>
      </c>
      <c r="J36">
        <v>0</v>
      </c>
      <c r="K36">
        <v>0</v>
      </c>
      <c r="L36">
        <v>0</v>
      </c>
      <c r="M36">
        <v>90</v>
      </c>
      <c r="N36">
        <v>0</v>
      </c>
      <c r="O36">
        <v>0</v>
      </c>
      <c r="P36">
        <v>90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90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100</v>
      </c>
      <c r="BC36">
        <v>0</v>
      </c>
      <c r="BD36">
        <v>1</v>
      </c>
      <c r="BE36">
        <v>1</v>
      </c>
      <c r="BF36">
        <v>90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90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90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90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90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90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90</v>
      </c>
      <c r="NR36">
        <v>0</v>
      </c>
      <c r="NS36">
        <v>0</v>
      </c>
      <c r="NT36">
        <v>0</v>
      </c>
      <c r="NU36">
        <v>90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90</v>
      </c>
      <c r="OG36">
        <v>0</v>
      </c>
      <c r="OH36">
        <v>90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90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90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90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90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90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90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</row>
    <row r="37" spans="1:640">
      <c r="A37" t="s">
        <v>675</v>
      </c>
      <c r="B37" t="s">
        <v>774</v>
      </c>
      <c r="C37" t="s">
        <v>838</v>
      </c>
      <c r="D37" t="s">
        <v>843</v>
      </c>
      <c r="E37" t="s">
        <v>863</v>
      </c>
      <c r="F37" s="2">
        <v>45715</v>
      </c>
      <c r="G37">
        <v>0</v>
      </c>
      <c r="H37">
        <v>0</v>
      </c>
      <c r="I37">
        <v>116797008</v>
      </c>
      <c r="J37">
        <v>0</v>
      </c>
      <c r="K37">
        <v>0</v>
      </c>
      <c r="L37">
        <v>0</v>
      </c>
      <c r="M37">
        <v>116797008</v>
      </c>
      <c r="N37">
        <v>116797008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116797008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100</v>
      </c>
      <c r="BB37">
        <v>0</v>
      </c>
      <c r="BC37">
        <v>0</v>
      </c>
      <c r="BD37">
        <v>1</v>
      </c>
      <c r="BE37">
        <v>3</v>
      </c>
      <c r="BF37">
        <v>914657.9375</v>
      </c>
      <c r="BG37">
        <v>0</v>
      </c>
      <c r="BH37">
        <v>0</v>
      </c>
      <c r="BI37">
        <v>2</v>
      </c>
      <c r="BJ37">
        <v>0</v>
      </c>
      <c r="BK37">
        <v>0</v>
      </c>
      <c r="BL37">
        <v>0</v>
      </c>
      <c r="BM37">
        <v>2</v>
      </c>
      <c r="BN37">
        <v>116797008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116797008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24069946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92727064</v>
      </c>
      <c r="FC37">
        <v>0</v>
      </c>
      <c r="FD37">
        <v>24069946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92727064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116797008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</row>
    <row r="38" spans="1:640">
      <c r="A38" t="s">
        <v>676</v>
      </c>
      <c r="B38" t="s">
        <v>775</v>
      </c>
      <c r="C38" t="s">
        <v>840</v>
      </c>
      <c r="D38" t="s">
        <v>850</v>
      </c>
      <c r="E38" t="s">
        <v>840</v>
      </c>
      <c r="F38" s="2">
        <v>45707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</v>
      </c>
      <c r="AY38">
        <v>6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</row>
    <row r="39" spans="1:640">
      <c r="A39" t="s">
        <v>677</v>
      </c>
      <c r="B39" t="s">
        <v>776</v>
      </c>
      <c r="C39" t="s">
        <v>840</v>
      </c>
      <c r="D39" t="s">
        <v>856</v>
      </c>
      <c r="E39" t="s">
        <v>840</v>
      </c>
      <c r="F39" s="2">
        <v>45713</v>
      </c>
      <c r="G39">
        <v>0</v>
      </c>
      <c r="H39">
        <v>454</v>
      </c>
      <c r="I39">
        <v>0</v>
      </c>
      <c r="J39">
        <v>0</v>
      </c>
      <c r="K39">
        <v>0</v>
      </c>
      <c r="L39">
        <v>0</v>
      </c>
      <c r="M39">
        <v>454</v>
      </c>
      <c r="N39">
        <v>454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454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100</v>
      </c>
      <c r="BC39">
        <v>0</v>
      </c>
      <c r="BD39">
        <v>1</v>
      </c>
      <c r="BE39">
        <v>2</v>
      </c>
      <c r="BF39">
        <v>36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454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454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454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454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454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454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454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454</v>
      </c>
      <c r="OA39">
        <v>0</v>
      </c>
      <c r="OB39">
        <v>454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454</v>
      </c>
      <c r="OU39">
        <v>0</v>
      </c>
      <c r="OV39">
        <v>0</v>
      </c>
      <c r="OW39">
        <v>0</v>
      </c>
      <c r="OX39">
        <v>454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454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454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454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454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</row>
    <row r="40" spans="1:640">
      <c r="A40" t="s">
        <v>678</v>
      </c>
      <c r="B40" t="s">
        <v>777</v>
      </c>
      <c r="C40" t="s">
        <v>840</v>
      </c>
      <c r="D40" t="s">
        <v>857</v>
      </c>
      <c r="E40" t="s">
        <v>840</v>
      </c>
      <c r="F40" s="2">
        <v>45729</v>
      </c>
      <c r="G40">
        <v>0</v>
      </c>
      <c r="H40">
        <v>55</v>
      </c>
      <c r="I40">
        <v>0</v>
      </c>
      <c r="J40">
        <v>0</v>
      </c>
      <c r="K40">
        <v>0</v>
      </c>
      <c r="L40">
        <v>0</v>
      </c>
      <c r="M40">
        <v>55</v>
      </c>
      <c r="N40">
        <v>55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100</v>
      </c>
      <c r="BC40">
        <v>0</v>
      </c>
      <c r="BD40">
        <v>1</v>
      </c>
      <c r="BE40">
        <v>3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55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55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50</v>
      </c>
      <c r="EV40">
        <v>0</v>
      </c>
      <c r="EW40">
        <v>0</v>
      </c>
      <c r="EX40">
        <v>0</v>
      </c>
      <c r="EY40">
        <v>5</v>
      </c>
      <c r="EZ40">
        <v>0</v>
      </c>
      <c r="FA40">
        <v>0</v>
      </c>
      <c r="FB40">
        <v>0</v>
      </c>
      <c r="FC40">
        <v>50</v>
      </c>
      <c r="FD40">
        <v>0</v>
      </c>
      <c r="FE40">
        <v>0</v>
      </c>
      <c r="FF40">
        <v>0</v>
      </c>
      <c r="FG40">
        <v>5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55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50</v>
      </c>
      <c r="NL40">
        <v>0</v>
      </c>
      <c r="NM40">
        <v>0</v>
      </c>
      <c r="NN40">
        <v>0</v>
      </c>
      <c r="NO40">
        <v>5</v>
      </c>
      <c r="NP40">
        <v>0</v>
      </c>
      <c r="NQ40">
        <v>0</v>
      </c>
      <c r="NR40">
        <v>0</v>
      </c>
      <c r="NS40">
        <v>55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55</v>
      </c>
      <c r="OB40">
        <v>55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55</v>
      </c>
      <c r="OU40">
        <v>0</v>
      </c>
      <c r="OV40">
        <v>0</v>
      </c>
      <c r="OW40">
        <v>0</v>
      </c>
      <c r="OX40">
        <v>50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5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55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55</v>
      </c>
      <c r="TS40">
        <v>0</v>
      </c>
      <c r="TT40">
        <v>55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55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</row>
    <row r="41" spans="1:640">
      <c r="A41" t="s">
        <v>679</v>
      </c>
      <c r="B41" t="s">
        <v>778</v>
      </c>
      <c r="C41" t="s">
        <v>840</v>
      </c>
      <c r="D41" t="s">
        <v>858</v>
      </c>
      <c r="E41" t="s">
        <v>840</v>
      </c>
      <c r="F41" s="2">
        <v>45721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</v>
      </c>
      <c r="AY41">
        <v>6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</row>
    <row r="42" spans="1:640">
      <c r="A42" t="s">
        <v>680</v>
      </c>
      <c r="B42" t="s">
        <v>779</v>
      </c>
      <c r="C42" t="s">
        <v>839</v>
      </c>
      <c r="D42" t="s">
        <v>844</v>
      </c>
      <c r="E42" t="s">
        <v>839</v>
      </c>
      <c r="F42" s="2">
        <v>45005</v>
      </c>
      <c r="G42">
        <v>312.909301757812</v>
      </c>
      <c r="H42">
        <v>0</v>
      </c>
      <c r="I42">
        <v>0</v>
      </c>
      <c r="J42">
        <v>0</v>
      </c>
      <c r="K42">
        <v>0</v>
      </c>
      <c r="L42">
        <v>0</v>
      </c>
      <c r="M42">
        <v>312.909301757812</v>
      </c>
      <c r="N42">
        <v>240.699462890625</v>
      </c>
      <c r="O42">
        <v>0</v>
      </c>
      <c r="P42">
        <v>72.2098388671875</v>
      </c>
      <c r="Q42">
        <v>0</v>
      </c>
      <c r="R42">
        <v>0</v>
      </c>
      <c r="S42">
        <v>0</v>
      </c>
      <c r="T42">
        <v>240.699462890625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72.2098388671875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100</v>
      </c>
      <c r="BC42">
        <v>0</v>
      </c>
      <c r="BD42">
        <v>1</v>
      </c>
      <c r="BE42">
        <v>3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312.909301757812</v>
      </c>
      <c r="BO42">
        <v>1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240.699462890625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72.2098388671875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312.909301757812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240.699462890625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72.2098388671875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312.909301757812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</row>
    <row r="43" spans="1:640">
      <c r="A43" t="s">
        <v>681</v>
      </c>
      <c r="B43" t="s">
        <v>780</v>
      </c>
      <c r="C43" t="s">
        <v>840</v>
      </c>
      <c r="D43" t="s">
        <v>845</v>
      </c>
      <c r="E43" t="s">
        <v>840</v>
      </c>
      <c r="F43" s="2">
        <v>45719</v>
      </c>
      <c r="G43">
        <v>0</v>
      </c>
      <c r="H43">
        <v>600</v>
      </c>
      <c r="I43">
        <v>0</v>
      </c>
      <c r="J43">
        <v>0</v>
      </c>
      <c r="K43">
        <v>0</v>
      </c>
      <c r="L43">
        <v>0</v>
      </c>
      <c r="M43">
        <v>600</v>
      </c>
      <c r="N43">
        <v>100</v>
      </c>
      <c r="O43">
        <v>500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  <c r="V43">
        <v>0</v>
      </c>
      <c r="W43">
        <v>0</v>
      </c>
      <c r="X43">
        <v>0</v>
      </c>
      <c r="Y43">
        <v>0</v>
      </c>
      <c r="Z43">
        <v>500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15</v>
      </c>
      <c r="BB43">
        <v>85</v>
      </c>
      <c r="BC43">
        <v>0</v>
      </c>
      <c r="BD43">
        <v>1</v>
      </c>
      <c r="BE43">
        <v>2</v>
      </c>
      <c r="BF43">
        <v>100</v>
      </c>
      <c r="BG43">
        <v>0</v>
      </c>
      <c r="BH43">
        <v>3</v>
      </c>
      <c r="BI43">
        <v>0</v>
      </c>
      <c r="BJ43">
        <v>0</v>
      </c>
      <c r="BK43">
        <v>0</v>
      </c>
      <c r="BL43">
        <v>0</v>
      </c>
      <c r="BM43">
        <v>3</v>
      </c>
      <c r="BN43">
        <v>600</v>
      </c>
      <c r="BO43">
        <v>1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500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600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100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500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600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600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100</v>
      </c>
      <c r="NT43">
        <v>500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100</v>
      </c>
      <c r="OA43">
        <v>0</v>
      </c>
      <c r="OB43">
        <v>100</v>
      </c>
      <c r="OC43">
        <v>500</v>
      </c>
      <c r="OD43">
        <v>0</v>
      </c>
      <c r="OE43">
        <v>500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600</v>
      </c>
      <c r="OU43">
        <v>0</v>
      </c>
      <c r="OV43">
        <v>0</v>
      </c>
      <c r="OW43">
        <v>0</v>
      </c>
      <c r="OX43">
        <v>100</v>
      </c>
      <c r="OY43">
        <v>500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100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500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500</v>
      </c>
      <c r="TL43">
        <v>0</v>
      </c>
      <c r="TM43">
        <v>100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100</v>
      </c>
      <c r="TU43">
        <v>0</v>
      </c>
      <c r="TV43">
        <v>0</v>
      </c>
      <c r="TW43">
        <v>0</v>
      </c>
      <c r="TX43">
        <v>0</v>
      </c>
      <c r="TY43">
        <v>500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100</v>
      </c>
      <c r="UX43">
        <v>500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</row>
    <row r="44" spans="1:640">
      <c r="A44" t="s">
        <v>682</v>
      </c>
      <c r="B44" t="s">
        <v>781</v>
      </c>
      <c r="C44" t="s">
        <v>840</v>
      </c>
      <c r="D44" t="s">
        <v>849</v>
      </c>
      <c r="E44" t="s">
        <v>840</v>
      </c>
      <c r="F44" s="2">
        <v>45719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7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</row>
    <row r="45" spans="1:640">
      <c r="A45" t="s">
        <v>683</v>
      </c>
      <c r="B45" t="s">
        <v>782</v>
      </c>
      <c r="C45" t="s">
        <v>839</v>
      </c>
      <c r="D45" t="s">
        <v>848</v>
      </c>
      <c r="E45" t="s">
        <v>839</v>
      </c>
      <c r="F45" s="2">
        <v>45005</v>
      </c>
      <c r="G45">
        <v>794.491760253906</v>
      </c>
      <c r="H45">
        <v>0</v>
      </c>
      <c r="I45">
        <v>0</v>
      </c>
      <c r="J45">
        <v>0</v>
      </c>
      <c r="K45">
        <v>0</v>
      </c>
      <c r="L45">
        <v>0</v>
      </c>
      <c r="M45">
        <v>794.491760253906</v>
      </c>
      <c r="N45">
        <v>256.865753173828</v>
      </c>
      <c r="O45">
        <v>537.6259765625</v>
      </c>
      <c r="P45">
        <v>0</v>
      </c>
      <c r="Q45">
        <v>0</v>
      </c>
      <c r="R45">
        <v>0</v>
      </c>
      <c r="S45">
        <v>0</v>
      </c>
      <c r="T45">
        <v>256.865753173828</v>
      </c>
      <c r="U45">
        <v>0</v>
      </c>
      <c r="V45">
        <v>0</v>
      </c>
      <c r="W45">
        <v>0</v>
      </c>
      <c r="X45">
        <v>0</v>
      </c>
      <c r="Y45">
        <v>418.153533935547</v>
      </c>
      <c r="Z45">
        <v>119.472442626953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100</v>
      </c>
      <c r="BC45">
        <v>0</v>
      </c>
      <c r="BD45">
        <v>1</v>
      </c>
      <c r="BE45">
        <v>1</v>
      </c>
      <c r="BF45">
        <v>473.409545898438</v>
      </c>
      <c r="BG45">
        <v>9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9</v>
      </c>
      <c r="BN45">
        <v>794.491760253906</v>
      </c>
      <c r="BO45">
        <v>2</v>
      </c>
      <c r="BP45">
        <v>7</v>
      </c>
      <c r="BQ45">
        <v>0</v>
      </c>
      <c r="BR45">
        <v>0</v>
      </c>
      <c r="BS45">
        <v>0</v>
      </c>
      <c r="BT45">
        <v>0</v>
      </c>
      <c r="BU45">
        <v>256.865753173828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537.6259765625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2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7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495.810638427734</v>
      </c>
      <c r="EV45">
        <v>0</v>
      </c>
      <c r="EW45">
        <v>89.6043319702148</v>
      </c>
      <c r="EX45">
        <v>0</v>
      </c>
      <c r="EY45">
        <v>0</v>
      </c>
      <c r="EZ45">
        <v>0</v>
      </c>
      <c r="FA45">
        <v>209.076766967773</v>
      </c>
      <c r="FB45">
        <v>0</v>
      </c>
      <c r="FC45">
        <v>47.7889747619629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209.076766967773</v>
      </c>
      <c r="FJ45">
        <v>0</v>
      </c>
      <c r="FK45">
        <v>448.021667480469</v>
      </c>
      <c r="FL45">
        <v>0</v>
      </c>
      <c r="FM45">
        <v>89.6043319702148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675.019287109375</v>
      </c>
      <c r="GZ45">
        <v>119.472442626953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</row>
    <row r="46" spans="1:640">
      <c r="A46" t="s">
        <v>684</v>
      </c>
      <c r="B46" t="s">
        <v>783</v>
      </c>
      <c r="C46" t="s">
        <v>838</v>
      </c>
      <c r="D46" t="s">
        <v>843</v>
      </c>
      <c r="E46" t="s">
        <v>863</v>
      </c>
      <c r="F46" s="2">
        <v>45722</v>
      </c>
      <c r="G46">
        <v>0</v>
      </c>
      <c r="H46">
        <v>0</v>
      </c>
      <c r="I46">
        <v>409.189086914062</v>
      </c>
      <c r="J46">
        <v>0</v>
      </c>
      <c r="K46">
        <v>0</v>
      </c>
      <c r="L46">
        <v>0</v>
      </c>
      <c r="M46">
        <v>409.189086914062</v>
      </c>
      <c r="N46">
        <v>246.476257324219</v>
      </c>
      <c r="O46">
        <v>162.712844848633</v>
      </c>
      <c r="P46">
        <v>0</v>
      </c>
      <c r="Q46">
        <v>0</v>
      </c>
      <c r="R46">
        <v>0</v>
      </c>
      <c r="S46">
        <v>0</v>
      </c>
      <c r="T46">
        <v>191.596771240234</v>
      </c>
      <c r="U46">
        <v>28.8839359283447</v>
      </c>
      <c r="V46">
        <v>25.9955425262451</v>
      </c>
      <c r="W46">
        <v>0</v>
      </c>
      <c r="X46">
        <v>0</v>
      </c>
      <c r="Y46">
        <v>0</v>
      </c>
      <c r="Z46">
        <v>0</v>
      </c>
      <c r="AA46">
        <v>162.712844848633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100</v>
      </c>
      <c r="BC46">
        <v>0</v>
      </c>
      <c r="BD46">
        <v>0</v>
      </c>
      <c r="BE46">
        <v>0</v>
      </c>
      <c r="BF46">
        <v>333.128051757812</v>
      </c>
      <c r="BG46">
        <v>0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2</v>
      </c>
      <c r="BN46">
        <v>409.189086914062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246.476257324219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162.712844848633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185.81999206543</v>
      </c>
      <c r="EV46">
        <v>0</v>
      </c>
      <c r="EW46">
        <v>0</v>
      </c>
      <c r="EX46">
        <v>0</v>
      </c>
      <c r="EY46">
        <v>0</v>
      </c>
      <c r="EZ46">
        <v>0.192559570074081</v>
      </c>
      <c r="FA46">
        <v>0.962797880172729</v>
      </c>
      <c r="FB46">
        <v>222.213745117188</v>
      </c>
      <c r="FC46">
        <v>23.1071491241455</v>
      </c>
      <c r="FD46">
        <v>0</v>
      </c>
      <c r="FE46">
        <v>0</v>
      </c>
      <c r="FF46">
        <v>0</v>
      </c>
      <c r="FG46">
        <v>0</v>
      </c>
      <c r="FH46">
        <v>0.192559570074081</v>
      </c>
      <c r="FI46">
        <v>0.962797880172729</v>
      </c>
      <c r="FJ46">
        <v>222.213745117188</v>
      </c>
      <c r="FK46">
        <v>162.712844848633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191.596771240234</v>
      </c>
      <c r="GZ46">
        <v>28.8839359283447</v>
      </c>
      <c r="HA46">
        <v>188.708374023438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</row>
    <row r="47" spans="1:640">
      <c r="A47" t="s">
        <v>685</v>
      </c>
      <c r="B47" t="s">
        <v>784</v>
      </c>
      <c r="C47" t="s">
        <v>839</v>
      </c>
      <c r="D47" t="s">
        <v>848</v>
      </c>
      <c r="E47" t="s">
        <v>839</v>
      </c>
      <c r="F47" s="2">
        <v>45728</v>
      </c>
      <c r="G47">
        <v>1075.251953125</v>
      </c>
      <c r="H47">
        <v>0</v>
      </c>
      <c r="I47">
        <v>0</v>
      </c>
      <c r="J47">
        <v>0</v>
      </c>
      <c r="K47">
        <v>0</v>
      </c>
      <c r="L47">
        <v>0</v>
      </c>
      <c r="M47">
        <v>1075.251953125</v>
      </c>
      <c r="N47">
        <v>597.362182617188</v>
      </c>
      <c r="O47">
        <v>0</v>
      </c>
      <c r="P47">
        <v>0</v>
      </c>
      <c r="Q47">
        <v>477.889770507812</v>
      </c>
      <c r="R47">
        <v>0</v>
      </c>
      <c r="S47">
        <v>0</v>
      </c>
      <c r="T47">
        <v>209.076766967773</v>
      </c>
      <c r="U47">
        <v>388.285430908203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298.681091308594</v>
      </c>
      <c r="AJ47">
        <v>179.20866394043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100</v>
      </c>
      <c r="BC47">
        <v>0</v>
      </c>
      <c r="BD47">
        <v>1</v>
      </c>
      <c r="BE47">
        <v>2</v>
      </c>
      <c r="BF47">
        <v>597.362182617188</v>
      </c>
      <c r="BG47">
        <v>3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3</v>
      </c>
      <c r="BN47">
        <v>1075.251953125</v>
      </c>
      <c r="BO47">
        <v>1</v>
      </c>
      <c r="BP47">
        <v>0</v>
      </c>
      <c r="BQ47">
        <v>0</v>
      </c>
      <c r="BR47">
        <v>2</v>
      </c>
      <c r="BS47">
        <v>0</v>
      </c>
      <c r="BT47">
        <v>0</v>
      </c>
      <c r="BU47">
        <v>597.362182617188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477.889770507812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2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836.307067871094</v>
      </c>
      <c r="EV47">
        <v>119.472442626953</v>
      </c>
      <c r="EW47">
        <v>119.472442626953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477.889770507812</v>
      </c>
      <c r="FD47">
        <v>119.472442626953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358.417327880859</v>
      </c>
      <c r="GB47">
        <v>0</v>
      </c>
      <c r="GC47">
        <v>119.472442626953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507.757873535156</v>
      </c>
      <c r="GZ47">
        <v>567.494079589844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</row>
    <row r="48" spans="1:640">
      <c r="A48" t="s">
        <v>686</v>
      </c>
      <c r="B48" t="s">
        <v>785</v>
      </c>
      <c r="C48" t="s">
        <v>839</v>
      </c>
      <c r="D48" t="s">
        <v>844</v>
      </c>
      <c r="E48" t="s">
        <v>839</v>
      </c>
      <c r="F48" s="2">
        <v>45722</v>
      </c>
      <c r="G48">
        <v>1318.0703125</v>
      </c>
      <c r="H48">
        <v>69.3214492797852</v>
      </c>
      <c r="I48">
        <v>0</v>
      </c>
      <c r="J48">
        <v>0</v>
      </c>
      <c r="K48">
        <v>87.61460876464839</v>
      </c>
      <c r="L48">
        <v>0</v>
      </c>
      <c r="M48">
        <v>1475.00634765625</v>
      </c>
      <c r="N48">
        <v>322.537292480469</v>
      </c>
      <c r="O48">
        <v>0</v>
      </c>
      <c r="P48">
        <v>0</v>
      </c>
      <c r="Q48">
        <v>1152.46899414062</v>
      </c>
      <c r="R48">
        <v>0</v>
      </c>
      <c r="S48">
        <v>0</v>
      </c>
      <c r="T48">
        <v>214.703918457031</v>
      </c>
      <c r="U48">
        <v>107.833358764648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1082.18481445312</v>
      </c>
      <c r="AJ48">
        <v>0</v>
      </c>
      <c r="AK48">
        <v>70.28424072265619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100</v>
      </c>
      <c r="BC48">
        <v>0</v>
      </c>
      <c r="BD48">
        <v>3</v>
      </c>
      <c r="BE48">
        <v>3</v>
      </c>
      <c r="BF48">
        <v>1067.74279785156</v>
      </c>
      <c r="BG48">
        <v>5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7</v>
      </c>
      <c r="BN48">
        <v>1475.00634765625</v>
      </c>
      <c r="BO48">
        <v>1</v>
      </c>
      <c r="BP48">
        <v>0</v>
      </c>
      <c r="BQ48">
        <v>0</v>
      </c>
      <c r="BR48">
        <v>6</v>
      </c>
      <c r="BS48">
        <v>0</v>
      </c>
      <c r="BT48">
        <v>0</v>
      </c>
      <c r="BU48">
        <v>322.537292480469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995.532958984375</v>
      </c>
      <c r="CN48">
        <v>69.3214492797852</v>
      </c>
      <c r="CO48">
        <v>0</v>
      </c>
      <c r="CP48">
        <v>0</v>
      </c>
      <c r="CQ48">
        <v>87.61460876464839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4</v>
      </c>
      <c r="ED48">
        <v>1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119.386932373047</v>
      </c>
      <c r="EV48">
        <v>723.061218261719</v>
      </c>
      <c r="EW48">
        <v>245.513458251953</v>
      </c>
      <c r="EX48">
        <v>0</v>
      </c>
      <c r="EY48">
        <v>0</v>
      </c>
      <c r="EZ48">
        <v>0</v>
      </c>
      <c r="FA48">
        <v>0</v>
      </c>
      <c r="FB48">
        <v>387.044738769531</v>
      </c>
      <c r="FC48">
        <v>119.386932373047</v>
      </c>
      <c r="FD48">
        <v>0</v>
      </c>
      <c r="FE48">
        <v>42.3631057739258</v>
      </c>
      <c r="FF48">
        <v>0</v>
      </c>
      <c r="FG48">
        <v>0</v>
      </c>
      <c r="FH48">
        <v>0</v>
      </c>
      <c r="FI48">
        <v>0</v>
      </c>
      <c r="FJ48">
        <v>160.787246704102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723.061218261719</v>
      </c>
      <c r="GC48">
        <v>203.150344848633</v>
      </c>
      <c r="GD48">
        <v>0</v>
      </c>
      <c r="GE48">
        <v>0</v>
      </c>
      <c r="GF48">
        <v>0</v>
      </c>
      <c r="GG48">
        <v>0</v>
      </c>
      <c r="GH48">
        <v>226.25749206543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1296.888671875</v>
      </c>
      <c r="GZ48">
        <v>107.833358764648</v>
      </c>
      <c r="HA48">
        <v>70.28424072265619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69.3214492797852</v>
      </c>
      <c r="NS48">
        <v>0</v>
      </c>
      <c r="NT48">
        <v>0</v>
      </c>
      <c r="NU48">
        <v>0</v>
      </c>
      <c r="NV48">
        <v>69.3214492797852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69.3214492797852</v>
      </c>
      <c r="OJ48">
        <v>0</v>
      </c>
      <c r="OK48">
        <v>69.3214492797852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69.3214492797852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69.3214492797852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69.3214492797852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69.3214492797852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69.3214492797852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69.3214492797852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</row>
    <row r="49" spans="1:640">
      <c r="A49" t="s">
        <v>687</v>
      </c>
      <c r="B49" t="s">
        <v>786</v>
      </c>
      <c r="C49" t="s">
        <v>839</v>
      </c>
      <c r="D49" t="s">
        <v>848</v>
      </c>
      <c r="E49" t="s">
        <v>839</v>
      </c>
      <c r="F49" s="2">
        <v>45726</v>
      </c>
      <c r="G49">
        <v>1014.32104492188</v>
      </c>
      <c r="H49">
        <v>0</v>
      </c>
      <c r="I49">
        <v>0</v>
      </c>
      <c r="J49">
        <v>0</v>
      </c>
      <c r="K49">
        <v>0</v>
      </c>
      <c r="L49">
        <v>0</v>
      </c>
      <c r="M49">
        <v>1014.32104492188</v>
      </c>
      <c r="N49">
        <v>0</v>
      </c>
      <c r="O49">
        <v>907.393188476562</v>
      </c>
      <c r="P49">
        <v>0</v>
      </c>
      <c r="Q49">
        <v>0</v>
      </c>
      <c r="R49">
        <v>0</v>
      </c>
      <c r="S49">
        <v>106.927833557129</v>
      </c>
      <c r="T49">
        <v>0</v>
      </c>
      <c r="U49">
        <v>0</v>
      </c>
      <c r="V49">
        <v>0</v>
      </c>
      <c r="W49">
        <v>0</v>
      </c>
      <c r="X49">
        <v>0</v>
      </c>
      <c r="Y49">
        <v>907.393188476562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106.927833557129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66</v>
      </c>
      <c r="BC49">
        <v>34</v>
      </c>
      <c r="BD49">
        <v>1</v>
      </c>
      <c r="BE49">
        <v>2</v>
      </c>
      <c r="BF49">
        <v>243.126419067383</v>
      </c>
      <c r="BG49">
        <v>7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7</v>
      </c>
      <c r="BN49">
        <v>1014.32104492188</v>
      </c>
      <c r="BO49">
        <v>0</v>
      </c>
      <c r="BP49">
        <v>5</v>
      </c>
      <c r="BQ49">
        <v>0</v>
      </c>
      <c r="BR49">
        <v>0</v>
      </c>
      <c r="BS49">
        <v>0</v>
      </c>
      <c r="BT49">
        <v>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907.393188476562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106.927833557129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5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2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343.483276367188</v>
      </c>
      <c r="EV49">
        <v>0</v>
      </c>
      <c r="EW49">
        <v>553.157409667969</v>
      </c>
      <c r="EX49">
        <v>0</v>
      </c>
      <c r="EY49">
        <v>0</v>
      </c>
      <c r="EZ49">
        <v>117.680351257324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343.483276367188</v>
      </c>
      <c r="FL49">
        <v>0</v>
      </c>
      <c r="FM49">
        <v>553.157409667969</v>
      </c>
      <c r="FN49">
        <v>0</v>
      </c>
      <c r="FO49">
        <v>0</v>
      </c>
      <c r="FP49">
        <v>10.7525196075439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106.927833557129</v>
      </c>
      <c r="GW49">
        <v>0</v>
      </c>
      <c r="GX49">
        <v>0</v>
      </c>
      <c r="GY49">
        <v>1014.32104492188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</row>
    <row r="50" spans="1:640">
      <c r="A50" t="s">
        <v>688</v>
      </c>
      <c r="B50" t="s">
        <v>787</v>
      </c>
      <c r="C50" t="s">
        <v>840</v>
      </c>
      <c r="D50" t="s">
        <v>849</v>
      </c>
      <c r="E50" t="s">
        <v>840</v>
      </c>
      <c r="F50" s="2">
        <v>45719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</v>
      </c>
      <c r="AY50">
        <v>6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</row>
    <row r="51" spans="1:640">
      <c r="A51" t="s">
        <v>689</v>
      </c>
      <c r="B51" t="s">
        <v>788</v>
      </c>
      <c r="C51" t="s">
        <v>838</v>
      </c>
      <c r="D51" t="s">
        <v>843</v>
      </c>
      <c r="E51" t="s">
        <v>863</v>
      </c>
      <c r="F51" s="2">
        <v>45712</v>
      </c>
      <c r="G51">
        <v>687.726501464844</v>
      </c>
      <c r="H51">
        <v>113.225028991699</v>
      </c>
      <c r="I51">
        <v>1361.01110839844</v>
      </c>
      <c r="J51">
        <v>512.208435058594</v>
      </c>
      <c r="K51">
        <v>0</v>
      </c>
      <c r="L51">
        <v>0</v>
      </c>
      <c r="M51">
        <v>2674.17114257812</v>
      </c>
      <c r="N51">
        <v>172.3408203125</v>
      </c>
      <c r="O51">
        <v>1199.93493652344</v>
      </c>
      <c r="P51">
        <v>0</v>
      </c>
      <c r="Q51">
        <v>0</v>
      </c>
      <c r="R51">
        <v>0</v>
      </c>
      <c r="S51">
        <v>1301.89526367188</v>
      </c>
      <c r="T51">
        <v>24.7439041137695</v>
      </c>
      <c r="U51">
        <v>17.6192016601562</v>
      </c>
      <c r="V51">
        <v>129.97770690918</v>
      </c>
      <c r="W51">
        <v>0</v>
      </c>
      <c r="X51">
        <v>0</v>
      </c>
      <c r="Y51">
        <v>687.726501464844</v>
      </c>
      <c r="Z51">
        <v>0</v>
      </c>
      <c r="AA51">
        <v>512.208435058594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722.098388671875</v>
      </c>
      <c r="AT51">
        <v>75.001953125</v>
      </c>
      <c r="AU51">
        <v>504.794921875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15</v>
      </c>
      <c r="BB51">
        <v>85</v>
      </c>
      <c r="BC51">
        <v>0</v>
      </c>
      <c r="BD51">
        <v>1</v>
      </c>
      <c r="BE51">
        <v>3</v>
      </c>
      <c r="BF51">
        <v>1654.76062011719</v>
      </c>
      <c r="BG51">
        <v>2</v>
      </c>
      <c r="BH51">
        <v>2</v>
      </c>
      <c r="BI51">
        <v>8</v>
      </c>
      <c r="BJ51">
        <v>1</v>
      </c>
      <c r="BK51">
        <v>0</v>
      </c>
      <c r="BL51">
        <v>0</v>
      </c>
      <c r="BM51">
        <v>13</v>
      </c>
      <c r="BN51">
        <v>2674.17114257812</v>
      </c>
      <c r="BO51">
        <v>3</v>
      </c>
      <c r="BP51">
        <v>3</v>
      </c>
      <c r="BQ51">
        <v>0</v>
      </c>
      <c r="BR51">
        <v>0</v>
      </c>
      <c r="BS51">
        <v>0</v>
      </c>
      <c r="BT51">
        <v>7</v>
      </c>
      <c r="BU51">
        <v>0</v>
      </c>
      <c r="BV51">
        <v>74.71311187744141</v>
      </c>
      <c r="BW51">
        <v>97.62770080566411</v>
      </c>
      <c r="BX51">
        <v>0</v>
      </c>
      <c r="BY51">
        <v>0</v>
      </c>
      <c r="BZ51">
        <v>0</v>
      </c>
      <c r="CA51">
        <v>687.726501464844</v>
      </c>
      <c r="CB51">
        <v>0</v>
      </c>
      <c r="CC51">
        <v>0</v>
      </c>
      <c r="CD51">
        <v>512.208435058594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38.5119132995605</v>
      </c>
      <c r="DA51">
        <v>1263.38330078125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2</v>
      </c>
      <c r="DN51">
        <v>0</v>
      </c>
      <c r="DO51">
        <v>0</v>
      </c>
      <c r="DP51">
        <v>0</v>
      </c>
      <c r="DQ51">
        <v>2</v>
      </c>
      <c r="DR51">
        <v>0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6</v>
      </c>
      <c r="ER51">
        <v>0</v>
      </c>
      <c r="ES51">
        <v>0</v>
      </c>
      <c r="ET51">
        <v>0</v>
      </c>
      <c r="EU51">
        <v>875.568359375</v>
      </c>
      <c r="EV51">
        <v>1003.33166503906</v>
      </c>
      <c r="EW51">
        <v>0</v>
      </c>
      <c r="EX51">
        <v>0</v>
      </c>
      <c r="EY51">
        <v>57.1901931762695</v>
      </c>
      <c r="EZ51">
        <v>48.0436134338379</v>
      </c>
      <c r="FA51">
        <v>0</v>
      </c>
      <c r="FB51">
        <v>690.037231445312</v>
      </c>
      <c r="FC51">
        <v>47.5622138977051</v>
      </c>
      <c r="FD51">
        <v>74.327995300293</v>
      </c>
      <c r="FE51">
        <v>0</v>
      </c>
      <c r="FF51">
        <v>0</v>
      </c>
      <c r="FG51">
        <v>1.34791696071625</v>
      </c>
      <c r="FH51">
        <v>48.0436134338379</v>
      </c>
      <c r="FI51">
        <v>0</v>
      </c>
      <c r="FJ51">
        <v>1.05907762050629</v>
      </c>
      <c r="FK51">
        <v>0</v>
      </c>
      <c r="FL51">
        <v>512.208435058594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687.726501464844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828.006164550781</v>
      </c>
      <c r="GR51">
        <v>416.795196533203</v>
      </c>
      <c r="GS51">
        <v>0</v>
      </c>
      <c r="GT51">
        <v>0</v>
      </c>
      <c r="GU51">
        <v>55.8422775268555</v>
      </c>
      <c r="GV51">
        <v>0</v>
      </c>
      <c r="GW51">
        <v>0</v>
      </c>
      <c r="GX51">
        <v>1.25163722038269</v>
      </c>
      <c r="GY51">
        <v>1434.56884765625</v>
      </c>
      <c r="GZ51">
        <v>92.62115478515619</v>
      </c>
      <c r="HA51">
        <v>1146.98107910156</v>
      </c>
      <c r="HB51">
        <v>0</v>
      </c>
      <c r="HC51">
        <v>0</v>
      </c>
      <c r="HD51">
        <v>0</v>
      </c>
      <c r="HE51">
        <v>512.208435058594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512.208435058594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512.208435058594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512.208435058594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512.208435058594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512.208435058594</v>
      </c>
      <c r="LU51">
        <v>512.208435058594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512.208435058594</v>
      </c>
      <c r="NF51">
        <v>0</v>
      </c>
      <c r="NG51">
        <v>0</v>
      </c>
      <c r="NH51">
        <v>0</v>
      </c>
      <c r="NI51">
        <v>0</v>
      </c>
      <c r="NJ51">
        <v>512.208435058594</v>
      </c>
      <c r="NK51">
        <v>47.5622138977051</v>
      </c>
      <c r="NL51">
        <v>38.5119132995605</v>
      </c>
      <c r="NM51">
        <v>0</v>
      </c>
      <c r="NN51">
        <v>0</v>
      </c>
      <c r="NO51">
        <v>0</v>
      </c>
      <c r="NP51">
        <v>26.0918216705322</v>
      </c>
      <c r="NQ51">
        <v>0</v>
      </c>
      <c r="NR51">
        <v>1.05907762050629</v>
      </c>
      <c r="NS51">
        <v>74.71311187744141</v>
      </c>
      <c r="NT51">
        <v>0</v>
      </c>
      <c r="NU51">
        <v>0</v>
      </c>
      <c r="NV51">
        <v>0</v>
      </c>
      <c r="NW51">
        <v>0</v>
      </c>
      <c r="NX51">
        <v>38.5119132995605</v>
      </c>
      <c r="NY51">
        <v>0</v>
      </c>
      <c r="NZ51">
        <v>0</v>
      </c>
      <c r="OA51">
        <v>74.71311187744141</v>
      </c>
      <c r="OB51">
        <v>74.71311187744141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38.5119132995605</v>
      </c>
      <c r="OQ51">
        <v>38.5119132995605</v>
      </c>
      <c r="OR51">
        <v>0</v>
      </c>
      <c r="OS51">
        <v>24.7439041137695</v>
      </c>
      <c r="OT51">
        <v>17.6192016601562</v>
      </c>
      <c r="OU51">
        <v>70.86192321777339</v>
      </c>
      <c r="OV51">
        <v>0</v>
      </c>
      <c r="OW51">
        <v>0</v>
      </c>
      <c r="OX51">
        <v>47.5622138977051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38.5119132995605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26.0918216705322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1.05907762050629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74.71311187744141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38.5119132995605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113.225028991699</v>
      </c>
      <c r="TQ51">
        <v>0</v>
      </c>
      <c r="TR51">
        <v>0</v>
      </c>
      <c r="TS51">
        <v>24.7439041137695</v>
      </c>
      <c r="TT51">
        <v>17.6192016601562</v>
      </c>
      <c r="TU51">
        <v>32.3500061035156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38.5119132995605</v>
      </c>
      <c r="UU51">
        <v>0</v>
      </c>
      <c r="UV51">
        <v>0</v>
      </c>
      <c r="UW51">
        <v>74.71311187744141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38.5119132995605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512.208435058594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</row>
    <row r="52" spans="1:640">
      <c r="A52" t="s">
        <v>690</v>
      </c>
      <c r="B52" t="s">
        <v>789</v>
      </c>
      <c r="C52" t="s">
        <v>839</v>
      </c>
      <c r="D52" t="s">
        <v>848</v>
      </c>
      <c r="E52" t="s">
        <v>839</v>
      </c>
      <c r="F52" s="2">
        <v>45700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</row>
    <row r="53" spans="1:640">
      <c r="A53" t="s">
        <v>691</v>
      </c>
      <c r="B53" t="s">
        <v>790</v>
      </c>
      <c r="C53" t="s">
        <v>840</v>
      </c>
      <c r="D53" t="s">
        <v>849</v>
      </c>
      <c r="E53" t="s">
        <v>840</v>
      </c>
      <c r="F53" s="2">
        <v>45722</v>
      </c>
      <c r="G53">
        <v>0</v>
      </c>
      <c r="H53">
        <v>202</v>
      </c>
      <c r="I53">
        <v>0</v>
      </c>
      <c r="J53">
        <v>0</v>
      </c>
      <c r="K53">
        <v>0</v>
      </c>
      <c r="L53">
        <v>0</v>
      </c>
      <c r="M53">
        <v>202</v>
      </c>
      <c r="N53">
        <v>55</v>
      </c>
      <c r="O53">
        <v>147</v>
      </c>
      <c r="P53">
        <v>0</v>
      </c>
      <c r="Q53">
        <v>0</v>
      </c>
      <c r="R53">
        <v>0</v>
      </c>
      <c r="S53">
        <v>0</v>
      </c>
      <c r="T53">
        <v>0</v>
      </c>
      <c r="U53">
        <v>30</v>
      </c>
      <c r="V53">
        <v>25</v>
      </c>
      <c r="W53">
        <v>0</v>
      </c>
      <c r="X53">
        <v>0</v>
      </c>
      <c r="Y53">
        <v>147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15</v>
      </c>
      <c r="BA53">
        <v>0</v>
      </c>
      <c r="BB53">
        <v>85</v>
      </c>
      <c r="BC53">
        <v>0</v>
      </c>
      <c r="BD53">
        <v>1</v>
      </c>
      <c r="BE53">
        <v>3</v>
      </c>
      <c r="BF53">
        <v>202</v>
      </c>
      <c r="BG53">
        <v>0</v>
      </c>
      <c r="BH53">
        <v>3</v>
      </c>
      <c r="BI53">
        <v>0</v>
      </c>
      <c r="BJ53">
        <v>0</v>
      </c>
      <c r="BK53">
        <v>0</v>
      </c>
      <c r="BL53">
        <v>0</v>
      </c>
      <c r="BM53">
        <v>3</v>
      </c>
      <c r="BN53">
        <v>202</v>
      </c>
      <c r="BO53">
        <v>1</v>
      </c>
      <c r="BP53">
        <v>2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55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147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2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49</v>
      </c>
      <c r="EV53">
        <v>0</v>
      </c>
      <c r="EW53">
        <v>147</v>
      </c>
      <c r="EX53">
        <v>0</v>
      </c>
      <c r="EY53">
        <v>0</v>
      </c>
      <c r="EZ53">
        <v>6</v>
      </c>
      <c r="FA53">
        <v>0</v>
      </c>
      <c r="FB53">
        <v>0</v>
      </c>
      <c r="FC53">
        <v>49</v>
      </c>
      <c r="FD53">
        <v>0</v>
      </c>
      <c r="FE53">
        <v>0</v>
      </c>
      <c r="FF53">
        <v>0</v>
      </c>
      <c r="FG53">
        <v>0</v>
      </c>
      <c r="FH53">
        <v>6</v>
      </c>
      <c r="FI53">
        <v>0</v>
      </c>
      <c r="FJ53">
        <v>0</v>
      </c>
      <c r="FK53">
        <v>0</v>
      </c>
      <c r="FL53">
        <v>0</v>
      </c>
      <c r="FM53">
        <v>147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147</v>
      </c>
      <c r="GZ53">
        <v>30</v>
      </c>
      <c r="HA53">
        <v>25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49</v>
      </c>
      <c r="NL53">
        <v>0</v>
      </c>
      <c r="NM53">
        <v>147</v>
      </c>
      <c r="NN53">
        <v>0</v>
      </c>
      <c r="NO53">
        <v>0</v>
      </c>
      <c r="NP53">
        <v>6</v>
      </c>
      <c r="NQ53">
        <v>0</v>
      </c>
      <c r="NR53">
        <v>0</v>
      </c>
      <c r="NS53">
        <v>55</v>
      </c>
      <c r="NT53">
        <v>147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55</v>
      </c>
      <c r="OB53">
        <v>55</v>
      </c>
      <c r="OC53">
        <v>0</v>
      </c>
      <c r="OD53">
        <v>147</v>
      </c>
      <c r="OE53">
        <v>147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147</v>
      </c>
      <c r="OT53">
        <v>30</v>
      </c>
      <c r="OU53">
        <v>25</v>
      </c>
      <c r="OV53">
        <v>0</v>
      </c>
      <c r="OW53">
        <v>0</v>
      </c>
      <c r="OX53">
        <v>49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147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6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55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147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202</v>
      </c>
      <c r="TQ53">
        <v>0</v>
      </c>
      <c r="TR53">
        <v>0</v>
      </c>
      <c r="TS53">
        <v>0</v>
      </c>
      <c r="TT53">
        <v>30</v>
      </c>
      <c r="TU53">
        <v>25</v>
      </c>
      <c r="TV53">
        <v>0</v>
      </c>
      <c r="TW53">
        <v>0</v>
      </c>
      <c r="TX53">
        <v>147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55</v>
      </c>
      <c r="VP53">
        <v>147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</row>
    <row r="54" spans="1:640">
      <c r="A54" t="s">
        <v>692</v>
      </c>
      <c r="B54" t="s">
        <v>791</v>
      </c>
      <c r="C54" t="s">
        <v>838</v>
      </c>
      <c r="D54" t="s">
        <v>843</v>
      </c>
      <c r="E54" t="s">
        <v>863</v>
      </c>
      <c r="F54" s="2">
        <v>45699</v>
      </c>
      <c r="G54">
        <v>0</v>
      </c>
      <c r="H54">
        <v>0</v>
      </c>
      <c r="I54">
        <v>34.371883392334</v>
      </c>
      <c r="J54">
        <v>0</v>
      </c>
      <c r="K54">
        <v>0</v>
      </c>
      <c r="L54">
        <v>0</v>
      </c>
      <c r="M54">
        <v>34.371883392334</v>
      </c>
      <c r="N54">
        <v>34.371883392334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34.371883392334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28</v>
      </c>
      <c r="BA54">
        <v>0</v>
      </c>
      <c r="BB54">
        <v>72</v>
      </c>
      <c r="BC54">
        <v>0</v>
      </c>
      <c r="BD54">
        <v>1</v>
      </c>
      <c r="BE54">
        <v>2</v>
      </c>
      <c r="BF54">
        <v>34.371883392334</v>
      </c>
      <c r="BG54">
        <v>0</v>
      </c>
      <c r="BH54">
        <v>0</v>
      </c>
      <c r="BI54">
        <v>6</v>
      </c>
      <c r="BJ54">
        <v>0</v>
      </c>
      <c r="BK54">
        <v>0</v>
      </c>
      <c r="BL54">
        <v>0</v>
      </c>
      <c r="BM54">
        <v>6</v>
      </c>
      <c r="BN54">
        <v>34.371883392334</v>
      </c>
      <c r="BO54">
        <v>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34.371883392334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6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28.8839359283447</v>
      </c>
      <c r="EW54">
        <v>0</v>
      </c>
      <c r="EX54">
        <v>0</v>
      </c>
      <c r="EY54">
        <v>2.88839364051819</v>
      </c>
      <c r="EZ54">
        <v>0</v>
      </c>
      <c r="FA54">
        <v>2.59955430030823</v>
      </c>
      <c r="FB54">
        <v>0</v>
      </c>
      <c r="FC54">
        <v>0</v>
      </c>
      <c r="FD54">
        <v>28.8839359283447</v>
      </c>
      <c r="FE54">
        <v>0</v>
      </c>
      <c r="FF54">
        <v>0</v>
      </c>
      <c r="FG54">
        <v>2.88839364051819</v>
      </c>
      <c r="FH54">
        <v>0</v>
      </c>
      <c r="FI54">
        <v>2.59955430030823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34.371883392334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</row>
    <row r="55" spans="1:640">
      <c r="A55" t="s">
        <v>693</v>
      </c>
      <c r="B55" t="s">
        <v>792</v>
      </c>
      <c r="C55" t="s">
        <v>840</v>
      </c>
      <c r="D55" t="s">
        <v>859</v>
      </c>
      <c r="E55" t="s">
        <v>840</v>
      </c>
      <c r="F55" s="2">
        <v>45706</v>
      </c>
      <c r="G55">
        <v>0</v>
      </c>
      <c r="H55">
        <v>400</v>
      </c>
      <c r="I55">
        <v>0</v>
      </c>
      <c r="J55">
        <v>0</v>
      </c>
      <c r="K55">
        <v>0</v>
      </c>
      <c r="L55">
        <v>0</v>
      </c>
      <c r="M55">
        <v>400</v>
      </c>
      <c r="N55">
        <v>30</v>
      </c>
      <c r="O55">
        <v>370</v>
      </c>
      <c r="P55">
        <v>0</v>
      </c>
      <c r="Q55">
        <v>0</v>
      </c>
      <c r="R55">
        <v>0</v>
      </c>
      <c r="S55">
        <v>0</v>
      </c>
      <c r="T55">
        <v>0</v>
      </c>
      <c r="U55">
        <v>30</v>
      </c>
      <c r="V55">
        <v>0</v>
      </c>
      <c r="W55">
        <v>0</v>
      </c>
      <c r="X55">
        <v>0</v>
      </c>
      <c r="Y55">
        <v>146</v>
      </c>
      <c r="Z55">
        <v>224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100</v>
      </c>
      <c r="BC55">
        <v>0</v>
      </c>
      <c r="BD55">
        <v>1</v>
      </c>
      <c r="BE55">
        <v>2</v>
      </c>
      <c r="BF55">
        <v>400</v>
      </c>
      <c r="BG55">
        <v>0</v>
      </c>
      <c r="BH55">
        <v>7</v>
      </c>
      <c r="BI55">
        <v>0</v>
      </c>
      <c r="BJ55">
        <v>0</v>
      </c>
      <c r="BK55">
        <v>0</v>
      </c>
      <c r="BL55">
        <v>0</v>
      </c>
      <c r="BM55">
        <v>7</v>
      </c>
      <c r="BN55">
        <v>400</v>
      </c>
      <c r="BO55">
        <v>1</v>
      </c>
      <c r="BP55">
        <v>6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30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370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6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104</v>
      </c>
      <c r="EV55">
        <v>0</v>
      </c>
      <c r="EW55">
        <v>0</v>
      </c>
      <c r="EX55">
        <v>0</v>
      </c>
      <c r="EY55">
        <v>0</v>
      </c>
      <c r="EZ55">
        <v>250</v>
      </c>
      <c r="FA55">
        <v>46</v>
      </c>
      <c r="FB55">
        <v>0</v>
      </c>
      <c r="FC55">
        <v>30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74</v>
      </c>
      <c r="FL55">
        <v>0</v>
      </c>
      <c r="FM55">
        <v>0</v>
      </c>
      <c r="FN55">
        <v>0</v>
      </c>
      <c r="FO55">
        <v>0</v>
      </c>
      <c r="FP55">
        <v>250</v>
      </c>
      <c r="FQ55">
        <v>46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146</v>
      </c>
      <c r="GZ55">
        <v>254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104</v>
      </c>
      <c r="NL55">
        <v>0</v>
      </c>
      <c r="NM55">
        <v>0</v>
      </c>
      <c r="NN55">
        <v>0</v>
      </c>
      <c r="NO55">
        <v>0</v>
      </c>
      <c r="NP55">
        <v>250</v>
      </c>
      <c r="NQ55">
        <v>46</v>
      </c>
      <c r="NR55">
        <v>0</v>
      </c>
      <c r="NS55">
        <v>30</v>
      </c>
      <c r="NT55">
        <v>370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30</v>
      </c>
      <c r="OB55">
        <v>30</v>
      </c>
      <c r="OC55">
        <v>290</v>
      </c>
      <c r="OD55">
        <v>80</v>
      </c>
      <c r="OE55">
        <v>370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146</v>
      </c>
      <c r="OT55">
        <v>254</v>
      </c>
      <c r="OU55">
        <v>0</v>
      </c>
      <c r="OV55">
        <v>0</v>
      </c>
      <c r="OW55">
        <v>0</v>
      </c>
      <c r="OX55">
        <v>30</v>
      </c>
      <c r="OY55">
        <v>74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250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46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30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220</v>
      </c>
      <c r="RF55">
        <v>75</v>
      </c>
      <c r="RG55">
        <v>75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220</v>
      </c>
      <c r="TI55">
        <v>75</v>
      </c>
      <c r="TJ55">
        <v>75</v>
      </c>
      <c r="TK55">
        <v>0</v>
      </c>
      <c r="TL55">
        <v>0</v>
      </c>
      <c r="TM55">
        <v>30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30</v>
      </c>
      <c r="TU55">
        <v>0</v>
      </c>
      <c r="TV55">
        <v>0</v>
      </c>
      <c r="TW55">
        <v>0</v>
      </c>
      <c r="TX55">
        <v>146</v>
      </c>
      <c r="TY55">
        <v>224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30</v>
      </c>
      <c r="UX55">
        <v>300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70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</row>
    <row r="56" spans="1:640">
      <c r="A56" t="s">
        <v>694</v>
      </c>
      <c r="B56" t="s">
        <v>793</v>
      </c>
      <c r="C56" t="s">
        <v>839</v>
      </c>
      <c r="D56" t="s">
        <v>854</v>
      </c>
      <c r="E56" t="s">
        <v>839</v>
      </c>
      <c r="F56" s="2">
        <v>45720</v>
      </c>
      <c r="G56">
        <v>542.72265625</v>
      </c>
      <c r="H56">
        <v>20.0095767974854</v>
      </c>
      <c r="I56">
        <v>0</v>
      </c>
      <c r="J56">
        <v>292.686218261719</v>
      </c>
      <c r="K56">
        <v>0</v>
      </c>
      <c r="L56">
        <v>0</v>
      </c>
      <c r="M56">
        <v>855.418395996094</v>
      </c>
      <c r="N56">
        <v>855.418395996094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100</v>
      </c>
      <c r="BC56">
        <v>0</v>
      </c>
      <c r="BD56">
        <v>1</v>
      </c>
      <c r="BE56">
        <v>2</v>
      </c>
      <c r="BF56">
        <v>605.074951171875</v>
      </c>
      <c r="BG56">
        <v>12</v>
      </c>
      <c r="BH56">
        <v>1</v>
      </c>
      <c r="BI56">
        <v>0</v>
      </c>
      <c r="BJ56">
        <v>7</v>
      </c>
      <c r="BK56">
        <v>0</v>
      </c>
      <c r="BL56">
        <v>0</v>
      </c>
      <c r="BM56">
        <v>20</v>
      </c>
      <c r="BN56">
        <v>855.418395996094</v>
      </c>
      <c r="BO56">
        <v>20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542.72265625</v>
      </c>
      <c r="BV56">
        <v>20.0095767974854</v>
      </c>
      <c r="BW56">
        <v>0</v>
      </c>
      <c r="BX56">
        <v>292.686218261719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12</v>
      </c>
      <c r="DL56">
        <v>1</v>
      </c>
      <c r="DM56">
        <v>0</v>
      </c>
      <c r="DN56">
        <v>7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182.538482666016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182.538482666016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110.147720336914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110.147720336914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20.0095767974854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</row>
    <row r="57" spans="1:640">
      <c r="A57" t="s">
        <v>695</v>
      </c>
      <c r="B57" t="s">
        <v>794</v>
      </c>
      <c r="C57" t="s">
        <v>840</v>
      </c>
      <c r="D57" t="s">
        <v>849</v>
      </c>
      <c r="E57" t="s">
        <v>840</v>
      </c>
      <c r="F57" s="2">
        <v>45699</v>
      </c>
      <c r="G57">
        <v>0</v>
      </c>
      <c r="H57">
        <v>118</v>
      </c>
      <c r="I57">
        <v>0</v>
      </c>
      <c r="J57">
        <v>0</v>
      </c>
      <c r="K57">
        <v>0</v>
      </c>
      <c r="L57">
        <v>0</v>
      </c>
      <c r="M57">
        <v>118</v>
      </c>
      <c r="N57">
        <v>118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118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100</v>
      </c>
      <c r="BC57">
        <v>0</v>
      </c>
      <c r="BD57">
        <v>1</v>
      </c>
      <c r="BE57">
        <v>3</v>
      </c>
      <c r="BF57">
        <v>71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118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118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118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118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118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118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118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118</v>
      </c>
      <c r="OA57">
        <v>0</v>
      </c>
      <c r="OB57">
        <v>118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118</v>
      </c>
      <c r="OU57">
        <v>0</v>
      </c>
      <c r="OV57">
        <v>0</v>
      </c>
      <c r="OW57">
        <v>0</v>
      </c>
      <c r="OX57">
        <v>118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118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118</v>
      </c>
      <c r="TS57">
        <v>0</v>
      </c>
      <c r="TT57">
        <v>118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118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</row>
    <row r="58" spans="1:640">
      <c r="A58" t="s">
        <v>696</v>
      </c>
      <c r="B58" t="s">
        <v>795</v>
      </c>
      <c r="C58" t="s">
        <v>840</v>
      </c>
      <c r="D58" t="s">
        <v>846</v>
      </c>
      <c r="E58" t="s">
        <v>840</v>
      </c>
      <c r="F58" s="2">
        <v>45723</v>
      </c>
      <c r="G58">
        <v>0</v>
      </c>
      <c r="H58">
        <v>215</v>
      </c>
      <c r="I58">
        <v>0</v>
      </c>
      <c r="J58">
        <v>0</v>
      </c>
      <c r="K58">
        <v>0</v>
      </c>
      <c r="L58">
        <v>0</v>
      </c>
      <c r="M58">
        <v>215</v>
      </c>
      <c r="N58">
        <v>215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215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100</v>
      </c>
      <c r="BC58">
        <v>0</v>
      </c>
      <c r="BD58">
        <v>1</v>
      </c>
      <c r="BE58">
        <v>2</v>
      </c>
      <c r="BF58">
        <v>158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215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215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45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170</v>
      </c>
      <c r="FB58">
        <v>0</v>
      </c>
      <c r="FC58">
        <v>45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170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215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45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170</v>
      </c>
      <c r="NR58">
        <v>0</v>
      </c>
      <c r="NS58">
        <v>215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215</v>
      </c>
      <c r="OB58">
        <v>215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215</v>
      </c>
      <c r="OU58">
        <v>0</v>
      </c>
      <c r="OV58">
        <v>0</v>
      </c>
      <c r="OW58">
        <v>0</v>
      </c>
      <c r="OX58">
        <v>45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170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215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215</v>
      </c>
      <c r="TQ58">
        <v>0</v>
      </c>
      <c r="TR58">
        <v>0</v>
      </c>
      <c r="TS58">
        <v>0</v>
      </c>
      <c r="TT58">
        <v>215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215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</row>
    <row r="59" spans="1:640">
      <c r="A59" t="s">
        <v>697</v>
      </c>
      <c r="B59" t="s">
        <v>796</v>
      </c>
      <c r="C59" t="s">
        <v>838</v>
      </c>
      <c r="D59" t="s">
        <v>843</v>
      </c>
      <c r="E59" t="s">
        <v>863</v>
      </c>
      <c r="F59" s="2">
        <v>45700</v>
      </c>
      <c r="G59">
        <v>0</v>
      </c>
      <c r="H59">
        <v>0</v>
      </c>
      <c r="I59">
        <v>170.415222167969</v>
      </c>
      <c r="J59">
        <v>0</v>
      </c>
      <c r="K59">
        <v>0</v>
      </c>
      <c r="L59">
        <v>0</v>
      </c>
      <c r="M59">
        <v>170.415222167969</v>
      </c>
      <c r="N59">
        <v>0</v>
      </c>
      <c r="O59">
        <v>0</v>
      </c>
      <c r="P59">
        <v>0</v>
      </c>
      <c r="Q59">
        <v>170.415222167969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170.415222167969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100</v>
      </c>
      <c r="BA59">
        <v>0</v>
      </c>
      <c r="BB59">
        <v>0</v>
      </c>
      <c r="BC59">
        <v>0</v>
      </c>
      <c r="BD59">
        <v>1</v>
      </c>
      <c r="BE59">
        <v>3</v>
      </c>
      <c r="BF59">
        <v>170.415222167969</v>
      </c>
      <c r="BG59">
        <v>0</v>
      </c>
      <c r="BH59">
        <v>0</v>
      </c>
      <c r="BI59">
        <v>2</v>
      </c>
      <c r="BJ59">
        <v>0</v>
      </c>
      <c r="BK59">
        <v>0</v>
      </c>
      <c r="BL59">
        <v>0</v>
      </c>
      <c r="BM59">
        <v>2</v>
      </c>
      <c r="BN59">
        <v>170.415222167969</v>
      </c>
      <c r="BO59">
        <v>0</v>
      </c>
      <c r="BP59">
        <v>0</v>
      </c>
      <c r="BQ59">
        <v>0</v>
      </c>
      <c r="BR59">
        <v>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170.415222167969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170.415222167969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170.415222167969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170.415222167969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</row>
    <row r="60" spans="1:640">
      <c r="A60" t="s">
        <v>698</v>
      </c>
      <c r="B60" t="s">
        <v>797</v>
      </c>
      <c r="C60" t="s">
        <v>840</v>
      </c>
      <c r="D60" t="s">
        <v>855</v>
      </c>
      <c r="E60" t="s">
        <v>840</v>
      </c>
      <c r="F60" s="2">
        <v>45712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</v>
      </c>
      <c r="AY60">
        <v>6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</row>
    <row r="61" spans="1:640">
      <c r="A61" t="s">
        <v>699</v>
      </c>
      <c r="B61" t="s">
        <v>798</v>
      </c>
      <c r="C61" t="s">
        <v>840</v>
      </c>
      <c r="D61" t="s">
        <v>855</v>
      </c>
      <c r="E61" t="s">
        <v>840</v>
      </c>
      <c r="F61" s="2">
        <v>45700</v>
      </c>
      <c r="G61">
        <v>0</v>
      </c>
      <c r="H61">
        <v>39</v>
      </c>
      <c r="I61">
        <v>0</v>
      </c>
      <c r="J61">
        <v>0</v>
      </c>
      <c r="K61">
        <v>0</v>
      </c>
      <c r="L61">
        <v>0</v>
      </c>
      <c r="M61">
        <v>39</v>
      </c>
      <c r="N61">
        <v>0</v>
      </c>
      <c r="O61">
        <v>39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100</v>
      </c>
      <c r="BC61">
        <v>0</v>
      </c>
      <c r="BD61">
        <v>3</v>
      </c>
      <c r="BE61">
        <v>3</v>
      </c>
      <c r="BF61">
        <v>3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39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39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39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39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39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39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39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39</v>
      </c>
      <c r="OD61">
        <v>0</v>
      </c>
      <c r="OE61">
        <v>39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39</v>
      </c>
      <c r="OU61">
        <v>0</v>
      </c>
      <c r="OV61">
        <v>0</v>
      </c>
      <c r="OW61">
        <v>0</v>
      </c>
      <c r="OX61">
        <v>0</v>
      </c>
      <c r="OY61">
        <v>39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39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39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39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39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</row>
    <row r="62" spans="1:640">
      <c r="A62" t="s">
        <v>700</v>
      </c>
      <c r="B62" t="s">
        <v>799</v>
      </c>
      <c r="C62" t="s">
        <v>838</v>
      </c>
      <c r="D62" t="s">
        <v>843</v>
      </c>
      <c r="E62" t="s">
        <v>863</v>
      </c>
      <c r="F62" s="2">
        <v>45722</v>
      </c>
      <c r="G62">
        <v>0</v>
      </c>
      <c r="H62">
        <v>0</v>
      </c>
      <c r="I62">
        <v>386.659606933594</v>
      </c>
      <c r="J62">
        <v>0</v>
      </c>
      <c r="K62">
        <v>0</v>
      </c>
      <c r="L62">
        <v>0</v>
      </c>
      <c r="M62">
        <v>386.659606933594</v>
      </c>
      <c r="N62">
        <v>386.659606933594</v>
      </c>
      <c r="O62">
        <v>0</v>
      </c>
      <c r="P62">
        <v>0</v>
      </c>
      <c r="Q62">
        <v>0</v>
      </c>
      <c r="R62">
        <v>0</v>
      </c>
      <c r="S62">
        <v>0</v>
      </c>
      <c r="T62">
        <v>17.6192016601562</v>
      </c>
      <c r="U62">
        <v>101.190055847168</v>
      </c>
      <c r="V62">
        <v>267.850372314453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57.2999992370605</v>
      </c>
      <c r="BA62">
        <v>0</v>
      </c>
      <c r="BB62">
        <v>42.7000007629395</v>
      </c>
      <c r="BC62">
        <v>0</v>
      </c>
      <c r="BD62">
        <v>1</v>
      </c>
      <c r="BE62">
        <v>3</v>
      </c>
      <c r="BF62">
        <v>195.351684570312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1</v>
      </c>
      <c r="BN62">
        <v>386.659606933594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386.659606933594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174.844085693359</v>
      </c>
      <c r="EV62">
        <v>0</v>
      </c>
      <c r="EW62">
        <v>62.581859588623</v>
      </c>
      <c r="EX62">
        <v>0</v>
      </c>
      <c r="EY62">
        <v>0</v>
      </c>
      <c r="EZ62">
        <v>96.27978515625</v>
      </c>
      <c r="FA62">
        <v>0</v>
      </c>
      <c r="FB62">
        <v>52.9538803100586</v>
      </c>
      <c r="FC62">
        <v>174.844085693359</v>
      </c>
      <c r="FD62">
        <v>0</v>
      </c>
      <c r="FE62">
        <v>62.581859588623</v>
      </c>
      <c r="FF62">
        <v>0</v>
      </c>
      <c r="FG62">
        <v>0</v>
      </c>
      <c r="FH62">
        <v>96.27978515625</v>
      </c>
      <c r="FI62">
        <v>0</v>
      </c>
      <c r="FJ62">
        <v>52.9538803100586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17.6192016601562</v>
      </c>
      <c r="GZ62">
        <v>101.190055847168</v>
      </c>
      <c r="HA62">
        <v>267.850372314453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</row>
    <row r="63" spans="1:640">
      <c r="A63" t="s">
        <v>701</v>
      </c>
      <c r="B63" t="s">
        <v>800</v>
      </c>
      <c r="C63" t="s">
        <v>840</v>
      </c>
      <c r="D63" t="s">
        <v>859</v>
      </c>
      <c r="E63" t="s">
        <v>840</v>
      </c>
      <c r="F63" s="2">
        <v>45713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</v>
      </c>
      <c r="AY63">
        <v>7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</row>
    <row r="64" spans="1:640">
      <c r="A64" t="s">
        <v>702</v>
      </c>
      <c r="B64" t="s">
        <v>801</v>
      </c>
      <c r="C64" t="s">
        <v>842</v>
      </c>
      <c r="D64" t="s">
        <v>842</v>
      </c>
      <c r="E64" t="s">
        <v>842</v>
      </c>
      <c r="F64" s="2">
        <v>45722</v>
      </c>
      <c r="G64">
        <v>0</v>
      </c>
      <c r="H64">
        <v>82.8968963623047</v>
      </c>
      <c r="I64">
        <v>3398.580078125</v>
      </c>
      <c r="J64">
        <v>0</v>
      </c>
      <c r="K64">
        <v>0</v>
      </c>
      <c r="L64">
        <v>0</v>
      </c>
      <c r="M64">
        <v>3481.47705078125</v>
      </c>
      <c r="N64">
        <v>2988.62084960938</v>
      </c>
      <c r="O64">
        <v>343.62255859375</v>
      </c>
      <c r="P64">
        <v>0</v>
      </c>
      <c r="Q64">
        <v>0</v>
      </c>
      <c r="R64">
        <v>0</v>
      </c>
      <c r="S64">
        <v>149.233673095703</v>
      </c>
      <c r="T64">
        <v>606.562622070312</v>
      </c>
      <c r="U64">
        <v>421.705474853516</v>
      </c>
      <c r="V64">
        <v>1960.35266113281</v>
      </c>
      <c r="W64">
        <v>0</v>
      </c>
      <c r="X64">
        <v>0</v>
      </c>
      <c r="Y64">
        <v>0.481398940086365</v>
      </c>
      <c r="Z64">
        <v>0</v>
      </c>
      <c r="AA64">
        <v>343.141143798828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149.233673095703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100</v>
      </c>
      <c r="BC64">
        <v>0</v>
      </c>
      <c r="BD64">
        <v>1</v>
      </c>
      <c r="BE64">
        <v>3</v>
      </c>
      <c r="BF64">
        <v>1856.27429199219</v>
      </c>
      <c r="BG64">
        <v>0</v>
      </c>
      <c r="BH64">
        <v>1</v>
      </c>
      <c r="BI64">
        <v>10</v>
      </c>
      <c r="BJ64">
        <v>0</v>
      </c>
      <c r="BK64">
        <v>0</v>
      </c>
      <c r="BL64">
        <v>0</v>
      </c>
      <c r="BM64">
        <v>11</v>
      </c>
      <c r="BN64">
        <v>3481.47705078125</v>
      </c>
      <c r="BO64">
        <v>6</v>
      </c>
      <c r="BP64">
        <v>3</v>
      </c>
      <c r="BQ64">
        <v>0</v>
      </c>
      <c r="BR64">
        <v>0</v>
      </c>
      <c r="BS64">
        <v>0</v>
      </c>
      <c r="BT64">
        <v>2</v>
      </c>
      <c r="BU64">
        <v>0</v>
      </c>
      <c r="BV64">
        <v>82.8968963623047</v>
      </c>
      <c r="BW64">
        <v>2905.72387695312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343.62255859375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149.233673095703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5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3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2</v>
      </c>
      <c r="ER64">
        <v>0</v>
      </c>
      <c r="ES64">
        <v>0</v>
      </c>
      <c r="ET64">
        <v>0</v>
      </c>
      <c r="EU64">
        <v>1297.8515625</v>
      </c>
      <c r="EV64">
        <v>732.111511230469</v>
      </c>
      <c r="EW64">
        <v>0</v>
      </c>
      <c r="EX64">
        <v>321.574493408203</v>
      </c>
      <c r="EY64">
        <v>116.498542785645</v>
      </c>
      <c r="EZ64">
        <v>77.9866256713867</v>
      </c>
      <c r="FA64">
        <v>211.237854003906</v>
      </c>
      <c r="FB64">
        <v>724.216552734375</v>
      </c>
      <c r="FC64">
        <v>1297.8515625</v>
      </c>
      <c r="FD64">
        <v>384.156341552734</v>
      </c>
      <c r="FE64">
        <v>0</v>
      </c>
      <c r="FF64">
        <v>177.154800415039</v>
      </c>
      <c r="FG64">
        <v>116.498542785645</v>
      </c>
      <c r="FH64">
        <v>77.9866256713867</v>
      </c>
      <c r="FI64">
        <v>211.237854003906</v>
      </c>
      <c r="FJ64">
        <v>723.735168457031</v>
      </c>
      <c r="FK64">
        <v>0</v>
      </c>
      <c r="FL64">
        <v>198.721481323242</v>
      </c>
      <c r="FM64">
        <v>0</v>
      </c>
      <c r="FN64">
        <v>144.419677734375</v>
      </c>
      <c r="FO64">
        <v>0</v>
      </c>
      <c r="FP64">
        <v>0</v>
      </c>
      <c r="FQ64">
        <v>0</v>
      </c>
      <c r="FR64">
        <v>0.481398940086365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149.233673095703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607.044067382812</v>
      </c>
      <c r="GZ64">
        <v>421.705474853516</v>
      </c>
      <c r="HA64">
        <v>2452.7275390625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82.8968963623047</v>
      </c>
      <c r="NS64">
        <v>82.8968963623047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82.8968963623047</v>
      </c>
      <c r="OA64">
        <v>0</v>
      </c>
      <c r="OB64">
        <v>82.8968963623047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82.8968963623047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82.8968963623047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82.8968963623047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82.8968963623047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82.8968963623047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82.8968963623047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</row>
    <row r="65" spans="1:640">
      <c r="A65" t="s">
        <v>703</v>
      </c>
      <c r="B65" t="s">
        <v>802</v>
      </c>
      <c r="C65" t="s">
        <v>840</v>
      </c>
      <c r="D65" t="s">
        <v>860</v>
      </c>
      <c r="E65" t="s">
        <v>840</v>
      </c>
      <c r="F65" s="2">
        <v>45720</v>
      </c>
      <c r="G65">
        <v>0</v>
      </c>
      <c r="H65">
        <v>309.660003662109</v>
      </c>
      <c r="I65">
        <v>0</v>
      </c>
      <c r="J65">
        <v>0</v>
      </c>
      <c r="K65">
        <v>0</v>
      </c>
      <c r="L65">
        <v>0</v>
      </c>
      <c r="M65">
        <v>309.660003662109</v>
      </c>
      <c r="N65">
        <v>309.660003662109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309.660003662109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0.800000011920929</v>
      </c>
      <c r="BA65">
        <v>0</v>
      </c>
      <c r="BB65">
        <v>99.1999969482422</v>
      </c>
      <c r="BC65">
        <v>0</v>
      </c>
      <c r="BD65">
        <v>1</v>
      </c>
      <c r="BE65">
        <v>2</v>
      </c>
      <c r="BF65">
        <v>107.300003051758</v>
      </c>
      <c r="BG65">
        <v>0</v>
      </c>
      <c r="BH65">
        <v>2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309.660003662109</v>
      </c>
      <c r="BO65">
        <v>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309.660003662109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62.5999984741211</v>
      </c>
      <c r="EV65">
        <v>40.0800018310547</v>
      </c>
      <c r="EW65">
        <v>0</v>
      </c>
      <c r="EX65">
        <v>55.0299987792969</v>
      </c>
      <c r="EY65">
        <v>0</v>
      </c>
      <c r="EZ65">
        <v>4.1100001335144</v>
      </c>
      <c r="FA65">
        <v>128.289993286133</v>
      </c>
      <c r="FB65">
        <v>19.5499992370605</v>
      </c>
      <c r="FC65">
        <v>62.5999984741211</v>
      </c>
      <c r="FD65">
        <v>40.0800018310547</v>
      </c>
      <c r="FE65">
        <v>0</v>
      </c>
      <c r="FF65">
        <v>55.0299987792969</v>
      </c>
      <c r="FG65">
        <v>0</v>
      </c>
      <c r="FH65">
        <v>4.1100001335144</v>
      </c>
      <c r="FI65">
        <v>128.289993286133</v>
      </c>
      <c r="FJ65">
        <v>19.5499992370605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309.660003662109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62.5999984741211</v>
      </c>
      <c r="NL65">
        <v>40.0800018310547</v>
      </c>
      <c r="NM65">
        <v>0</v>
      </c>
      <c r="NN65">
        <v>55.0299987792969</v>
      </c>
      <c r="NO65">
        <v>0</v>
      </c>
      <c r="NP65">
        <v>4.1100001335144</v>
      </c>
      <c r="NQ65">
        <v>128.289993286133</v>
      </c>
      <c r="NR65">
        <v>19.5499992370605</v>
      </c>
      <c r="NS65">
        <v>309.660003662109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309.660003662109</v>
      </c>
      <c r="OB65">
        <v>309.660003662109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309.660003662109</v>
      </c>
      <c r="OU65">
        <v>0</v>
      </c>
      <c r="OV65">
        <v>0</v>
      </c>
      <c r="OW65">
        <v>0</v>
      </c>
      <c r="OX65">
        <v>62.5999984741211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40.0800018310547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55.0299987792969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4.1100001335144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128.289993286133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19.5499992370605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154.830001831055</v>
      </c>
      <c r="QV65">
        <v>92.90000152587891</v>
      </c>
      <c r="QW65">
        <v>0</v>
      </c>
      <c r="QX65">
        <v>0</v>
      </c>
      <c r="QY65">
        <v>0</v>
      </c>
      <c r="QZ65">
        <v>0</v>
      </c>
      <c r="RA65">
        <v>61.9300003051758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154.830001831055</v>
      </c>
      <c r="TJ65">
        <v>92.90000152587891</v>
      </c>
      <c r="TK65">
        <v>0</v>
      </c>
      <c r="TL65">
        <v>0</v>
      </c>
      <c r="TM65">
        <v>0</v>
      </c>
      <c r="TN65">
        <v>0</v>
      </c>
      <c r="TO65">
        <v>61.9300003051758</v>
      </c>
      <c r="TP65">
        <v>0</v>
      </c>
      <c r="TQ65">
        <v>0</v>
      </c>
      <c r="TR65">
        <v>0</v>
      </c>
      <c r="TS65">
        <v>0</v>
      </c>
      <c r="TT65">
        <v>309.660003662109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309.660003662109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</row>
    <row r="66" spans="1:640">
      <c r="A66" t="s">
        <v>704</v>
      </c>
      <c r="B66" t="s">
        <v>803</v>
      </c>
      <c r="C66" t="s">
        <v>839</v>
      </c>
      <c r="D66" t="s">
        <v>861</v>
      </c>
      <c r="E66" t="s">
        <v>839</v>
      </c>
      <c r="F66" s="2">
        <v>45723</v>
      </c>
      <c r="G66">
        <v>1464.70434570312</v>
      </c>
      <c r="H66">
        <v>0</v>
      </c>
      <c r="I66">
        <v>0</v>
      </c>
      <c r="J66">
        <v>0</v>
      </c>
      <c r="K66">
        <v>0</v>
      </c>
      <c r="L66">
        <v>0</v>
      </c>
      <c r="M66">
        <v>1464.70434570312</v>
      </c>
      <c r="N66">
        <v>1460.56433105469</v>
      </c>
      <c r="O66">
        <v>4.14003086090088</v>
      </c>
      <c r="P66">
        <v>0</v>
      </c>
      <c r="Q66">
        <v>0</v>
      </c>
      <c r="R66">
        <v>0</v>
      </c>
      <c r="S66">
        <v>0</v>
      </c>
      <c r="T66">
        <v>1287.2607421875</v>
      </c>
      <c r="U66">
        <v>173.303619384766</v>
      </c>
      <c r="V66">
        <v>0</v>
      </c>
      <c r="W66">
        <v>0</v>
      </c>
      <c r="X66">
        <v>0</v>
      </c>
      <c r="Y66">
        <v>4.14003086090088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11.6999998092651</v>
      </c>
      <c r="BA66">
        <v>0</v>
      </c>
      <c r="BB66">
        <v>87.90000152587891</v>
      </c>
      <c r="BC66">
        <v>0.400000005960464</v>
      </c>
      <c r="BD66">
        <v>1</v>
      </c>
      <c r="BE66">
        <v>3</v>
      </c>
      <c r="BF66">
        <v>764.94287109375</v>
      </c>
      <c r="BG66">
        <v>4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4</v>
      </c>
      <c r="BN66">
        <v>1464.70434570312</v>
      </c>
      <c r="BO66">
        <v>3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1460.56433105469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4.14003086090088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3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676.846923828125</v>
      </c>
      <c r="EV66">
        <v>0</v>
      </c>
      <c r="EW66">
        <v>673.95849609375</v>
      </c>
      <c r="EX66">
        <v>0</v>
      </c>
      <c r="EY66">
        <v>0</v>
      </c>
      <c r="EZ66">
        <v>0</v>
      </c>
      <c r="FA66">
        <v>105.23380279541</v>
      </c>
      <c r="FB66">
        <v>8.665181159973139</v>
      </c>
      <c r="FC66">
        <v>676.846923828125</v>
      </c>
      <c r="FD66">
        <v>0</v>
      </c>
      <c r="FE66">
        <v>673.95849609375</v>
      </c>
      <c r="FF66">
        <v>0</v>
      </c>
      <c r="FG66">
        <v>0</v>
      </c>
      <c r="FH66">
        <v>0</v>
      </c>
      <c r="FI66">
        <v>101.093772888184</v>
      </c>
      <c r="FJ66">
        <v>8.665181159973139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4.14003086090088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1291.40075683594</v>
      </c>
      <c r="GZ66">
        <v>173.303619384766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</row>
    <row r="67" spans="1:640">
      <c r="A67" t="s">
        <v>705</v>
      </c>
      <c r="B67" t="s">
        <v>804</v>
      </c>
      <c r="C67" t="s">
        <v>838</v>
      </c>
      <c r="D67" t="s">
        <v>843</v>
      </c>
      <c r="E67" t="s">
        <v>863</v>
      </c>
      <c r="F67" s="2">
        <v>45713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</v>
      </c>
      <c r="AY67">
        <v>7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</row>
    <row r="68" spans="1:640">
      <c r="A68" t="s">
        <v>706</v>
      </c>
      <c r="B68" t="s">
        <v>805</v>
      </c>
      <c r="C68" t="s">
        <v>838</v>
      </c>
      <c r="D68" t="s">
        <v>843</v>
      </c>
      <c r="E68" t="s">
        <v>863</v>
      </c>
      <c r="F68" s="2">
        <v>45729</v>
      </c>
      <c r="G68">
        <v>0</v>
      </c>
      <c r="H68">
        <v>0</v>
      </c>
      <c r="I68">
        <v>2821.47900390625</v>
      </c>
      <c r="J68">
        <v>0</v>
      </c>
      <c r="K68">
        <v>0</v>
      </c>
      <c r="L68">
        <v>0</v>
      </c>
      <c r="M68">
        <v>2821.47900390625</v>
      </c>
      <c r="N68">
        <v>2821.47900390625</v>
      </c>
      <c r="O68">
        <v>0</v>
      </c>
      <c r="P68">
        <v>0</v>
      </c>
      <c r="Q68">
        <v>0</v>
      </c>
      <c r="R68">
        <v>0</v>
      </c>
      <c r="S68">
        <v>0</v>
      </c>
      <c r="T68">
        <v>213.452285766602</v>
      </c>
      <c r="U68">
        <v>2471.40576171875</v>
      </c>
      <c r="V68">
        <v>127.955833435059</v>
      </c>
      <c r="W68">
        <v>8.665181159973139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100</v>
      </c>
      <c r="BD68">
        <v>1</v>
      </c>
      <c r="BE68">
        <v>3</v>
      </c>
      <c r="BF68">
        <v>754.063293457031</v>
      </c>
      <c r="BG68">
        <v>0</v>
      </c>
      <c r="BH68">
        <v>0</v>
      </c>
      <c r="BI68">
        <v>5</v>
      </c>
      <c r="BJ68">
        <v>0</v>
      </c>
      <c r="BK68">
        <v>0</v>
      </c>
      <c r="BL68">
        <v>0</v>
      </c>
      <c r="BM68">
        <v>5</v>
      </c>
      <c r="BN68">
        <v>2821.47900390625</v>
      </c>
      <c r="BO68">
        <v>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2821.47900390625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5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972.233276367188</v>
      </c>
      <c r="EV68">
        <v>90.98439788818359</v>
      </c>
      <c r="EW68">
        <v>0</v>
      </c>
      <c r="EX68">
        <v>0</v>
      </c>
      <c r="EY68">
        <v>137.102416992188</v>
      </c>
      <c r="EZ68">
        <v>3.0809531211853</v>
      </c>
      <c r="FA68">
        <v>493.915313720703</v>
      </c>
      <c r="FB68">
        <v>1124.16271972656</v>
      </c>
      <c r="FC68">
        <v>972.233276367188</v>
      </c>
      <c r="FD68">
        <v>90.98439788818359</v>
      </c>
      <c r="FE68">
        <v>0</v>
      </c>
      <c r="FF68">
        <v>0</v>
      </c>
      <c r="FG68">
        <v>137.102416992188</v>
      </c>
      <c r="FH68">
        <v>3.0809531211853</v>
      </c>
      <c r="FI68">
        <v>493.915313720703</v>
      </c>
      <c r="FJ68">
        <v>1124.16271972656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213.452285766602</v>
      </c>
      <c r="GZ68">
        <v>2471.40576171875</v>
      </c>
      <c r="HA68">
        <v>127.955833435059</v>
      </c>
      <c r="HB68">
        <v>8.665181159973139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</row>
    <row r="69" spans="1:640">
      <c r="A69" t="s">
        <v>707</v>
      </c>
      <c r="B69" t="s">
        <v>806</v>
      </c>
      <c r="C69" t="s">
        <v>839</v>
      </c>
      <c r="D69" t="s">
        <v>848</v>
      </c>
      <c r="E69" t="s">
        <v>839</v>
      </c>
      <c r="F69" s="2">
        <v>45733</v>
      </c>
      <c r="G69">
        <v>209.076766967773</v>
      </c>
      <c r="H69">
        <v>0</v>
      </c>
      <c r="I69">
        <v>0</v>
      </c>
      <c r="J69">
        <v>0</v>
      </c>
      <c r="K69">
        <v>0</v>
      </c>
      <c r="L69">
        <v>0</v>
      </c>
      <c r="M69">
        <v>209.076766967773</v>
      </c>
      <c r="N69">
        <v>0</v>
      </c>
      <c r="O69">
        <v>0</v>
      </c>
      <c r="P69">
        <v>0</v>
      </c>
      <c r="Q69">
        <v>209.076766967773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209.076766967773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100</v>
      </c>
      <c r="BB69">
        <v>0</v>
      </c>
      <c r="BC69">
        <v>0</v>
      </c>
      <c r="BD69">
        <v>1</v>
      </c>
      <c r="BE69">
        <v>3</v>
      </c>
      <c r="BF69">
        <v>209.076766967773</v>
      </c>
      <c r="BG69">
        <v>3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</v>
      </c>
      <c r="BN69">
        <v>209.076766967773</v>
      </c>
      <c r="BO69">
        <v>0</v>
      </c>
      <c r="BP69">
        <v>0</v>
      </c>
      <c r="BQ69">
        <v>0</v>
      </c>
      <c r="BR69">
        <v>3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209.076766967773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3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209.076766967773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209.076766967773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209.076766967773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</row>
    <row r="70" spans="1:640">
      <c r="A70" t="s">
        <v>708</v>
      </c>
      <c r="B70" t="s">
        <v>807</v>
      </c>
      <c r="C70" t="s">
        <v>840</v>
      </c>
      <c r="D70" t="s">
        <v>862</v>
      </c>
      <c r="E70" t="s">
        <v>840</v>
      </c>
      <c r="F70" s="2">
        <v>45698</v>
      </c>
      <c r="G70">
        <v>0</v>
      </c>
      <c r="H70">
        <v>900</v>
      </c>
      <c r="I70">
        <v>0</v>
      </c>
      <c r="J70">
        <v>0</v>
      </c>
      <c r="K70">
        <v>0</v>
      </c>
      <c r="L70">
        <v>0</v>
      </c>
      <c r="M70">
        <v>900</v>
      </c>
      <c r="N70">
        <v>900</v>
      </c>
      <c r="O70">
        <v>0</v>
      </c>
      <c r="P70">
        <v>0</v>
      </c>
      <c r="Q70">
        <v>0</v>
      </c>
      <c r="R70">
        <v>0</v>
      </c>
      <c r="S70">
        <v>0</v>
      </c>
      <c r="T70">
        <v>200</v>
      </c>
      <c r="U70">
        <v>400</v>
      </c>
      <c r="V70">
        <v>300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70</v>
      </c>
      <c r="BA70">
        <v>0</v>
      </c>
      <c r="BB70">
        <v>30</v>
      </c>
      <c r="BC70">
        <v>0</v>
      </c>
      <c r="BD70">
        <v>3</v>
      </c>
      <c r="BE70">
        <v>3</v>
      </c>
      <c r="BF70">
        <v>500</v>
      </c>
      <c r="BG70">
        <v>0</v>
      </c>
      <c r="BH70">
        <v>2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900</v>
      </c>
      <c r="BO70">
        <v>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900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50</v>
      </c>
      <c r="EV70">
        <v>50</v>
      </c>
      <c r="EW70">
        <v>100</v>
      </c>
      <c r="EX70">
        <v>100</v>
      </c>
      <c r="EY70">
        <v>200</v>
      </c>
      <c r="EZ70">
        <v>300</v>
      </c>
      <c r="FA70">
        <v>100</v>
      </c>
      <c r="FB70">
        <v>0</v>
      </c>
      <c r="FC70">
        <v>50</v>
      </c>
      <c r="FD70">
        <v>50</v>
      </c>
      <c r="FE70">
        <v>100</v>
      </c>
      <c r="FF70">
        <v>100</v>
      </c>
      <c r="FG70">
        <v>200</v>
      </c>
      <c r="FH70">
        <v>300</v>
      </c>
      <c r="FI70">
        <v>100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200</v>
      </c>
      <c r="GZ70">
        <v>400</v>
      </c>
      <c r="HA70">
        <v>300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50</v>
      </c>
      <c r="NL70">
        <v>50</v>
      </c>
      <c r="NM70">
        <v>100</v>
      </c>
      <c r="NN70">
        <v>100</v>
      </c>
      <c r="NO70">
        <v>200</v>
      </c>
      <c r="NP70">
        <v>300</v>
      </c>
      <c r="NQ70">
        <v>100</v>
      </c>
      <c r="NR70">
        <v>0</v>
      </c>
      <c r="NS70">
        <v>900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900</v>
      </c>
      <c r="OB70">
        <v>900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200</v>
      </c>
      <c r="OT70">
        <v>400</v>
      </c>
      <c r="OU70">
        <v>300</v>
      </c>
      <c r="OV70">
        <v>0</v>
      </c>
      <c r="OW70">
        <v>0</v>
      </c>
      <c r="OX70">
        <v>50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50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100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100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200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300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100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250</v>
      </c>
      <c r="QU70">
        <v>0</v>
      </c>
      <c r="QV70">
        <v>100</v>
      </c>
      <c r="QW70">
        <v>0</v>
      </c>
      <c r="QX70">
        <v>250</v>
      </c>
      <c r="QY70">
        <v>0</v>
      </c>
      <c r="QZ70">
        <v>0</v>
      </c>
      <c r="RA70">
        <v>50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250</v>
      </c>
      <c r="TI70">
        <v>0</v>
      </c>
      <c r="TJ70">
        <v>100</v>
      </c>
      <c r="TK70">
        <v>0</v>
      </c>
      <c r="TL70">
        <v>250</v>
      </c>
      <c r="TM70">
        <v>0</v>
      </c>
      <c r="TN70">
        <v>0</v>
      </c>
      <c r="TO70">
        <v>50</v>
      </c>
      <c r="TP70">
        <v>0</v>
      </c>
      <c r="TQ70">
        <v>0</v>
      </c>
      <c r="TR70">
        <v>0</v>
      </c>
      <c r="TS70">
        <v>200</v>
      </c>
      <c r="TT70">
        <v>400</v>
      </c>
      <c r="TU70">
        <v>300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</row>
    <row r="71" spans="1:640">
      <c r="A71" t="s">
        <v>709</v>
      </c>
      <c r="B71" t="s">
        <v>808</v>
      </c>
      <c r="C71" t="s">
        <v>839</v>
      </c>
      <c r="D71" t="s">
        <v>848</v>
      </c>
      <c r="E71" t="s">
        <v>839</v>
      </c>
      <c r="F71" s="2">
        <v>45723</v>
      </c>
      <c r="G71">
        <v>313.615142822266</v>
      </c>
      <c r="H71">
        <v>0</v>
      </c>
      <c r="I71">
        <v>0</v>
      </c>
      <c r="J71">
        <v>0</v>
      </c>
      <c r="K71">
        <v>0</v>
      </c>
      <c r="L71">
        <v>0</v>
      </c>
      <c r="M71">
        <v>313.615142822266</v>
      </c>
      <c r="N71">
        <v>0</v>
      </c>
      <c r="O71">
        <v>313.615142822266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313.615142822266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100</v>
      </c>
      <c r="BD71">
        <v>1</v>
      </c>
      <c r="BE71">
        <v>3</v>
      </c>
      <c r="BF71">
        <v>313.615142822266</v>
      </c>
      <c r="BG71">
        <v>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313.615142822266</v>
      </c>
      <c r="BO71">
        <v>0</v>
      </c>
      <c r="BP71">
        <v>2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313.615142822266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2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313.615142822266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313.615142822266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313.615142822266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</row>
    <row r="72" spans="1:640">
      <c r="A72" t="s">
        <v>710</v>
      </c>
      <c r="B72" t="s">
        <v>809</v>
      </c>
      <c r="C72" t="s">
        <v>840</v>
      </c>
      <c r="D72" t="s">
        <v>858</v>
      </c>
      <c r="E72" t="s">
        <v>840</v>
      </c>
      <c r="F72" s="2">
        <v>45712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</v>
      </c>
      <c r="AY72">
        <v>6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</row>
    <row r="73" spans="1:640">
      <c r="A73" t="s">
        <v>711</v>
      </c>
      <c r="B73" t="s">
        <v>810</v>
      </c>
      <c r="C73" t="s">
        <v>838</v>
      </c>
      <c r="D73" t="s">
        <v>843</v>
      </c>
      <c r="E73" t="s">
        <v>863</v>
      </c>
      <c r="F73" s="2">
        <v>45706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</v>
      </c>
      <c r="AY73">
        <v>6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3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</row>
    <row r="74" spans="1:640">
      <c r="A74" t="s">
        <v>712</v>
      </c>
      <c r="B74" t="s">
        <v>811</v>
      </c>
      <c r="C74" t="s">
        <v>840</v>
      </c>
      <c r="D74" t="s">
        <v>849</v>
      </c>
      <c r="E74" t="s">
        <v>840</v>
      </c>
      <c r="F74" s="2">
        <v>45723</v>
      </c>
      <c r="G74">
        <v>306.570190429688</v>
      </c>
      <c r="H74">
        <v>371.746520996094</v>
      </c>
      <c r="I74">
        <v>0</v>
      </c>
      <c r="J74">
        <v>178.631439208984</v>
      </c>
      <c r="K74">
        <v>0</v>
      </c>
      <c r="L74">
        <v>0</v>
      </c>
      <c r="M74">
        <v>856.948120117188</v>
      </c>
      <c r="N74">
        <v>475.545867919922</v>
      </c>
      <c r="O74">
        <v>0</v>
      </c>
      <c r="P74">
        <v>178.631439208984</v>
      </c>
      <c r="Q74">
        <v>202.77082824707</v>
      </c>
      <c r="R74">
        <v>0</v>
      </c>
      <c r="S74">
        <v>0</v>
      </c>
      <c r="T74">
        <v>19.3115081787109</v>
      </c>
      <c r="U74">
        <v>456.234375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178.631439208984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202.77082824707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25</v>
      </c>
      <c r="BB74">
        <v>32</v>
      </c>
      <c r="BC74">
        <v>43</v>
      </c>
      <c r="BD74">
        <v>1</v>
      </c>
      <c r="BE74">
        <v>1</v>
      </c>
      <c r="BF74">
        <v>382.609252929688</v>
      </c>
      <c r="BG74">
        <v>2</v>
      </c>
      <c r="BH74">
        <v>3</v>
      </c>
      <c r="BI74">
        <v>0</v>
      </c>
      <c r="BJ74">
        <v>1</v>
      </c>
      <c r="BK74">
        <v>0</v>
      </c>
      <c r="BL74">
        <v>0</v>
      </c>
      <c r="BM74">
        <v>6</v>
      </c>
      <c r="BN74">
        <v>856.948120117188</v>
      </c>
      <c r="BO74">
        <v>4</v>
      </c>
      <c r="BP74">
        <v>0</v>
      </c>
      <c r="BQ74">
        <v>1</v>
      </c>
      <c r="BR74">
        <v>1</v>
      </c>
      <c r="BS74">
        <v>0</v>
      </c>
      <c r="BT74">
        <v>0</v>
      </c>
      <c r="BU74">
        <v>306.570190429688</v>
      </c>
      <c r="BV74">
        <v>168.975692749023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178.631439208984</v>
      </c>
      <c r="CK74">
        <v>0</v>
      </c>
      <c r="CL74">
        <v>0</v>
      </c>
      <c r="CM74">
        <v>0</v>
      </c>
      <c r="CN74">
        <v>202.77082824707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2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231.738082885742</v>
      </c>
      <c r="EV74">
        <v>415.197418212891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210.012649536133</v>
      </c>
      <c r="FC74">
        <v>231.738082885742</v>
      </c>
      <c r="FD74">
        <v>236.565963745117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7.24181509017944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178.631439208984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202.77082824707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197.942947387695</v>
      </c>
      <c r="GZ74">
        <v>456.234375</v>
      </c>
      <c r="HA74">
        <v>202.77082824707</v>
      </c>
      <c r="HB74">
        <v>0</v>
      </c>
      <c r="HC74">
        <v>0</v>
      </c>
      <c r="HD74">
        <v>0</v>
      </c>
      <c r="HE74">
        <v>178.631439208984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178.631439208984</v>
      </c>
      <c r="HO74">
        <v>0</v>
      </c>
      <c r="HP74">
        <v>0</v>
      </c>
      <c r="HQ74">
        <v>0</v>
      </c>
      <c r="HR74">
        <v>0</v>
      </c>
      <c r="HS74">
        <v>178.631439208984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178.631439208984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178.631439208984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178.631439208984</v>
      </c>
      <c r="LX74">
        <v>178.631439208984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178.631439208984</v>
      </c>
      <c r="ML74">
        <v>0</v>
      </c>
      <c r="MM74">
        <v>0</v>
      </c>
      <c r="MN74">
        <v>0</v>
      </c>
      <c r="MO74">
        <v>178.631439208984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152.078125</v>
      </c>
      <c r="NL74">
        <v>9.655754089355471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210.012649536133</v>
      </c>
      <c r="NS74">
        <v>168.975692749023</v>
      </c>
      <c r="NT74">
        <v>0</v>
      </c>
      <c r="NU74">
        <v>0</v>
      </c>
      <c r="NV74">
        <v>202.77082824707</v>
      </c>
      <c r="NW74">
        <v>0</v>
      </c>
      <c r="NX74">
        <v>0</v>
      </c>
      <c r="NY74">
        <v>0</v>
      </c>
      <c r="NZ74">
        <v>0</v>
      </c>
      <c r="OA74">
        <v>168.975692749023</v>
      </c>
      <c r="OB74">
        <v>168.975692749023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202.77082824707</v>
      </c>
      <c r="OJ74">
        <v>0</v>
      </c>
      <c r="OK74">
        <v>202.77082824707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12.06969165802</v>
      </c>
      <c r="OT74">
        <v>156.905990600586</v>
      </c>
      <c r="OU74">
        <v>202.77082824707</v>
      </c>
      <c r="OV74">
        <v>0</v>
      </c>
      <c r="OW74">
        <v>0</v>
      </c>
      <c r="OX74">
        <v>152.078125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9.655754089355471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7.24181509017944</v>
      </c>
      <c r="QO74">
        <v>0</v>
      </c>
      <c r="QP74">
        <v>0</v>
      </c>
      <c r="QQ74">
        <v>202.77082824707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168.975692749023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202.77082824707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202.77082824707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168.975692749023</v>
      </c>
      <c r="TQ74">
        <v>0</v>
      </c>
      <c r="TR74">
        <v>0</v>
      </c>
      <c r="TS74">
        <v>12.06969165802</v>
      </c>
      <c r="TT74">
        <v>156.905990600586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202.77082824707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168.975692749023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202.77082824707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178.631439208984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</row>
    <row r="75" spans="1:640">
      <c r="A75" t="s">
        <v>713</v>
      </c>
      <c r="B75" t="s">
        <v>812</v>
      </c>
      <c r="C75" t="s">
        <v>840</v>
      </c>
      <c r="D75" t="s">
        <v>855</v>
      </c>
      <c r="E75" t="s">
        <v>840</v>
      </c>
      <c r="F75" s="2">
        <v>45700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</v>
      </c>
      <c r="AY75">
        <v>6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</row>
    <row r="76" spans="1:640">
      <c r="A76" t="s">
        <v>714</v>
      </c>
      <c r="B76" t="s">
        <v>813</v>
      </c>
      <c r="C76" t="s">
        <v>839</v>
      </c>
      <c r="D76" t="s">
        <v>844</v>
      </c>
      <c r="E76" t="s">
        <v>839</v>
      </c>
      <c r="F76" s="2">
        <v>45720</v>
      </c>
      <c r="G76">
        <v>123.238128662109</v>
      </c>
      <c r="H76">
        <v>0</v>
      </c>
      <c r="I76">
        <v>0</v>
      </c>
      <c r="J76">
        <v>0</v>
      </c>
      <c r="K76">
        <v>0</v>
      </c>
      <c r="L76">
        <v>0</v>
      </c>
      <c r="M76">
        <v>123.238128662109</v>
      </c>
      <c r="N76">
        <v>123.238128662109</v>
      </c>
      <c r="O76">
        <v>0</v>
      </c>
      <c r="P76">
        <v>0</v>
      </c>
      <c r="Q76">
        <v>0</v>
      </c>
      <c r="R76">
        <v>0</v>
      </c>
      <c r="S76">
        <v>0</v>
      </c>
      <c r="T76">
        <v>99.1681823730469</v>
      </c>
      <c r="U76">
        <v>0</v>
      </c>
      <c r="V76">
        <v>24.0699462890625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8</v>
      </c>
      <c r="BA76">
        <v>0</v>
      </c>
      <c r="BB76">
        <v>90</v>
      </c>
      <c r="BC76">
        <v>2</v>
      </c>
      <c r="BD76">
        <v>1</v>
      </c>
      <c r="BE76">
        <v>3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123.238128662109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123.238128662109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24.0699462890625</v>
      </c>
      <c r="FA76">
        <v>0</v>
      </c>
      <c r="FB76">
        <v>99.1681823730469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24.0699462890625</v>
      </c>
      <c r="FI76">
        <v>0</v>
      </c>
      <c r="FJ76">
        <v>99.1681823730469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99.1681823730469</v>
      </c>
      <c r="GZ76">
        <v>0</v>
      </c>
      <c r="HA76">
        <v>24.0699462890625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</row>
    <row r="77" spans="1:640">
      <c r="A77" t="s">
        <v>715</v>
      </c>
      <c r="B77" t="s">
        <v>814</v>
      </c>
      <c r="C77" t="s">
        <v>840</v>
      </c>
      <c r="D77" t="s">
        <v>849</v>
      </c>
      <c r="E77" t="s">
        <v>840</v>
      </c>
      <c r="F77" s="2">
        <v>45729</v>
      </c>
      <c r="G77">
        <v>0</v>
      </c>
      <c r="H77">
        <v>200</v>
      </c>
      <c r="I77">
        <v>0</v>
      </c>
      <c r="J77">
        <v>0</v>
      </c>
      <c r="K77">
        <v>0</v>
      </c>
      <c r="L77">
        <v>0</v>
      </c>
      <c r="M77">
        <v>200</v>
      </c>
      <c r="N77">
        <v>200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200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100</v>
      </c>
      <c r="BC77">
        <v>0</v>
      </c>
      <c r="BD77">
        <v>1</v>
      </c>
      <c r="BE77">
        <v>1</v>
      </c>
      <c r="BF77">
        <v>25.1700000762939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200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200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200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200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200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200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200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200</v>
      </c>
      <c r="OB77">
        <v>200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200</v>
      </c>
      <c r="OU77">
        <v>0</v>
      </c>
      <c r="OV77">
        <v>0</v>
      </c>
      <c r="OW77">
        <v>0</v>
      </c>
      <c r="OX77">
        <v>200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200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200</v>
      </c>
      <c r="TS77">
        <v>0</v>
      </c>
      <c r="TT77">
        <v>200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200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</row>
    <row r="78" spans="1:640">
      <c r="A78" t="s">
        <v>716</v>
      </c>
      <c r="B78" t="s">
        <v>815</v>
      </c>
      <c r="C78" t="s">
        <v>839</v>
      </c>
      <c r="D78" t="s">
        <v>848</v>
      </c>
      <c r="E78" t="s">
        <v>839</v>
      </c>
      <c r="F78" s="2">
        <v>45730</v>
      </c>
      <c r="G78">
        <v>1389.05822753906</v>
      </c>
      <c r="H78">
        <v>0</v>
      </c>
      <c r="I78">
        <v>0</v>
      </c>
      <c r="J78">
        <v>0</v>
      </c>
      <c r="K78">
        <v>0</v>
      </c>
      <c r="L78">
        <v>0</v>
      </c>
      <c r="M78">
        <v>1389.05822753906</v>
      </c>
      <c r="N78">
        <v>413.344787597656</v>
      </c>
      <c r="O78">
        <v>0</v>
      </c>
      <c r="P78">
        <v>0</v>
      </c>
      <c r="Q78">
        <v>975.713500976562</v>
      </c>
      <c r="R78">
        <v>0</v>
      </c>
      <c r="S78">
        <v>0</v>
      </c>
      <c r="T78">
        <v>344.672027587891</v>
      </c>
      <c r="U78">
        <v>64.64056396484381</v>
      </c>
      <c r="V78">
        <v>4.03219509124756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845.518432617188</v>
      </c>
      <c r="AJ78">
        <v>57.1615905761719</v>
      </c>
      <c r="AK78">
        <v>73.0335006713867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100</v>
      </c>
      <c r="BC78">
        <v>0</v>
      </c>
      <c r="BD78">
        <v>1</v>
      </c>
      <c r="BE78">
        <v>3</v>
      </c>
      <c r="BF78">
        <v>1389.05822753906</v>
      </c>
      <c r="BG78">
        <v>35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35</v>
      </c>
      <c r="BN78">
        <v>1389.05822753906</v>
      </c>
      <c r="BO78">
        <v>11</v>
      </c>
      <c r="BP78">
        <v>0</v>
      </c>
      <c r="BQ78">
        <v>0</v>
      </c>
      <c r="BR78">
        <v>24</v>
      </c>
      <c r="BS78">
        <v>0</v>
      </c>
      <c r="BT78">
        <v>0</v>
      </c>
      <c r="BU78">
        <v>413.344787597656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975.713500976562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24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564.375854492188</v>
      </c>
      <c r="EV78">
        <v>53.7327308654785</v>
      </c>
      <c r="EW78">
        <v>313.489715576172</v>
      </c>
      <c r="EX78">
        <v>177.386703491211</v>
      </c>
      <c r="EY78">
        <v>2.66423535346985</v>
      </c>
      <c r="EZ78">
        <v>0</v>
      </c>
      <c r="FA78">
        <v>5.79441356658936</v>
      </c>
      <c r="FB78">
        <v>271.614624023438</v>
      </c>
      <c r="FC78">
        <v>220.337051391602</v>
      </c>
      <c r="FD78">
        <v>53.7327308654785</v>
      </c>
      <c r="FE78">
        <v>31.6004600524902</v>
      </c>
      <c r="FF78">
        <v>4.52800559997559</v>
      </c>
      <c r="FG78">
        <v>2.08479404449463</v>
      </c>
      <c r="FH78">
        <v>0</v>
      </c>
      <c r="FI78">
        <v>4.13374662399292</v>
      </c>
      <c r="FJ78">
        <v>96.92799377441411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344.038818359375</v>
      </c>
      <c r="GB78">
        <v>0</v>
      </c>
      <c r="GC78">
        <v>281.889251708984</v>
      </c>
      <c r="GD78">
        <v>172.858703613281</v>
      </c>
      <c r="GE78">
        <v>0.5794413089752199</v>
      </c>
      <c r="GF78">
        <v>0</v>
      </c>
      <c r="GG78">
        <v>1.66066694259644</v>
      </c>
      <c r="GH78">
        <v>174.686630249023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1190.1904296875</v>
      </c>
      <c r="GZ78">
        <v>121.802154541016</v>
      </c>
      <c r="HA78">
        <v>77.06569671630859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</row>
    <row r="79" spans="1:640">
      <c r="A79" t="s">
        <v>717</v>
      </c>
      <c r="B79" t="s">
        <v>816</v>
      </c>
      <c r="C79" t="s">
        <v>840</v>
      </c>
      <c r="D79" t="s">
        <v>857</v>
      </c>
      <c r="E79" t="s">
        <v>840</v>
      </c>
      <c r="F79" s="2">
        <v>45719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2</v>
      </c>
      <c r="AY79">
        <v>6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</row>
    <row r="80" spans="1:640">
      <c r="A80" t="s">
        <v>718</v>
      </c>
      <c r="B80" t="s">
        <v>817</v>
      </c>
      <c r="C80" t="s">
        <v>839</v>
      </c>
      <c r="D80" t="s">
        <v>848</v>
      </c>
      <c r="E80" t="s">
        <v>839</v>
      </c>
      <c r="F80" s="2">
        <v>45712</v>
      </c>
      <c r="G80">
        <v>4.76097679138184</v>
      </c>
      <c r="H80">
        <v>0</v>
      </c>
      <c r="I80">
        <v>0</v>
      </c>
      <c r="J80">
        <v>0</v>
      </c>
      <c r="K80">
        <v>0</v>
      </c>
      <c r="L80">
        <v>0</v>
      </c>
      <c r="M80">
        <v>4.76097679138184</v>
      </c>
      <c r="N80">
        <v>4.76097679138184</v>
      </c>
      <c r="O80">
        <v>0</v>
      </c>
      <c r="P80">
        <v>0</v>
      </c>
      <c r="Q80">
        <v>0</v>
      </c>
      <c r="R80">
        <v>0</v>
      </c>
      <c r="S80">
        <v>0</v>
      </c>
      <c r="T80">
        <v>4.76097679138184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100</v>
      </c>
      <c r="BC80">
        <v>0</v>
      </c>
      <c r="BD80">
        <v>1</v>
      </c>
      <c r="BE80">
        <v>2</v>
      </c>
      <c r="BF80">
        <v>4.76097679138184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4.76097679138184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4.76097679138184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4.51008462905884</v>
      </c>
      <c r="EV80">
        <v>0</v>
      </c>
      <c r="EW80">
        <v>0</v>
      </c>
      <c r="EX80">
        <v>0</v>
      </c>
      <c r="EY80">
        <v>0.250892132520676</v>
      </c>
      <c r="EZ80">
        <v>0</v>
      </c>
      <c r="FA80">
        <v>0</v>
      </c>
      <c r="FB80">
        <v>0</v>
      </c>
      <c r="FC80">
        <v>4.51008462905884</v>
      </c>
      <c r="FD80">
        <v>0</v>
      </c>
      <c r="FE80">
        <v>0</v>
      </c>
      <c r="FF80">
        <v>0</v>
      </c>
      <c r="FG80">
        <v>0.250892132520676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4.76097679138184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</row>
    <row r="81" spans="1:640">
      <c r="A81" t="s">
        <v>719</v>
      </c>
      <c r="B81" t="s">
        <v>818</v>
      </c>
      <c r="C81" t="s">
        <v>840</v>
      </c>
      <c r="D81" t="s">
        <v>849</v>
      </c>
      <c r="E81" t="s">
        <v>840</v>
      </c>
      <c r="F81" s="2">
        <v>45729</v>
      </c>
      <c r="G81">
        <v>0</v>
      </c>
      <c r="H81">
        <v>362.090759277344</v>
      </c>
      <c r="I81">
        <v>0</v>
      </c>
      <c r="J81">
        <v>0</v>
      </c>
      <c r="K81">
        <v>0</v>
      </c>
      <c r="L81">
        <v>0</v>
      </c>
      <c r="M81">
        <v>362.090759277344</v>
      </c>
      <c r="N81">
        <v>362.090759277344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362.090759277344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100</v>
      </c>
      <c r="BA81">
        <v>0</v>
      </c>
      <c r="BB81">
        <v>0</v>
      </c>
      <c r="BC81">
        <v>0</v>
      </c>
      <c r="BD81">
        <v>1</v>
      </c>
      <c r="BE81">
        <v>3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362.090759277344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362.090759277344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362.090759277344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362.090759277344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362.090759277344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362.090759277344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362.090759277344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362.090759277344</v>
      </c>
      <c r="OA81">
        <v>0</v>
      </c>
      <c r="OB81">
        <v>362.090759277344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362.090759277344</v>
      </c>
      <c r="OU81">
        <v>0</v>
      </c>
      <c r="OV81">
        <v>0</v>
      </c>
      <c r="OW81">
        <v>0</v>
      </c>
      <c r="OX81">
        <v>362.090759277344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362.090759277344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362.090759277344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362.090759277344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362.090759277344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</row>
    <row r="82" spans="1:640">
      <c r="A82" t="s">
        <v>720</v>
      </c>
      <c r="B82" t="s">
        <v>819</v>
      </c>
      <c r="C82" t="s">
        <v>838</v>
      </c>
      <c r="D82" t="s">
        <v>843</v>
      </c>
      <c r="E82" t="s">
        <v>863</v>
      </c>
      <c r="F82" s="2">
        <v>45727</v>
      </c>
      <c r="G82">
        <v>0</v>
      </c>
      <c r="H82">
        <v>440</v>
      </c>
      <c r="I82">
        <v>0</v>
      </c>
      <c r="J82">
        <v>0</v>
      </c>
      <c r="K82">
        <v>0</v>
      </c>
      <c r="L82">
        <v>0</v>
      </c>
      <c r="M82">
        <v>440</v>
      </c>
      <c r="N82">
        <v>0</v>
      </c>
      <c r="O82">
        <v>0</v>
      </c>
      <c r="P82">
        <v>0</v>
      </c>
      <c r="Q82">
        <v>440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340</v>
      </c>
      <c r="AJ82">
        <v>0</v>
      </c>
      <c r="AK82">
        <v>100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100</v>
      </c>
      <c r="BC82">
        <v>0</v>
      </c>
      <c r="BD82">
        <v>1</v>
      </c>
      <c r="BE82">
        <v>3</v>
      </c>
      <c r="BF82">
        <v>200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440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440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100</v>
      </c>
      <c r="EW82">
        <v>300</v>
      </c>
      <c r="EX82">
        <v>0</v>
      </c>
      <c r="EY82">
        <v>0</v>
      </c>
      <c r="EZ82">
        <v>0</v>
      </c>
      <c r="FA82">
        <v>40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100</v>
      </c>
      <c r="GC82">
        <v>300</v>
      </c>
      <c r="GD82">
        <v>0</v>
      </c>
      <c r="GE82">
        <v>0</v>
      </c>
      <c r="GF82">
        <v>0</v>
      </c>
      <c r="GG82">
        <v>40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340</v>
      </c>
      <c r="GZ82">
        <v>0</v>
      </c>
      <c r="HA82">
        <v>100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100</v>
      </c>
      <c r="NM82">
        <v>300</v>
      </c>
      <c r="NN82">
        <v>0</v>
      </c>
      <c r="NO82">
        <v>0</v>
      </c>
      <c r="NP82">
        <v>0</v>
      </c>
      <c r="NQ82">
        <v>40</v>
      </c>
      <c r="NR82">
        <v>0</v>
      </c>
      <c r="NS82">
        <v>0</v>
      </c>
      <c r="NT82">
        <v>0</v>
      </c>
      <c r="NU82">
        <v>0</v>
      </c>
      <c r="NV82">
        <v>440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440</v>
      </c>
      <c r="OK82">
        <v>440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340</v>
      </c>
      <c r="OT82">
        <v>0</v>
      </c>
      <c r="OU82">
        <v>100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100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300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40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440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440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340</v>
      </c>
      <c r="UI82">
        <v>0</v>
      </c>
      <c r="UJ82">
        <v>100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440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</row>
    <row r="83" spans="1:640">
      <c r="A83" t="s">
        <v>721</v>
      </c>
      <c r="B83" t="s">
        <v>820</v>
      </c>
      <c r="C83" t="s">
        <v>839</v>
      </c>
      <c r="D83" t="s">
        <v>844</v>
      </c>
      <c r="E83" t="s">
        <v>839</v>
      </c>
      <c r="F83" s="2">
        <v>45719</v>
      </c>
      <c r="G83">
        <v>385.119140625</v>
      </c>
      <c r="H83">
        <v>0</v>
      </c>
      <c r="I83">
        <v>0</v>
      </c>
      <c r="J83">
        <v>0</v>
      </c>
      <c r="K83">
        <v>0</v>
      </c>
      <c r="L83">
        <v>0</v>
      </c>
      <c r="M83">
        <v>385.119140625</v>
      </c>
      <c r="N83">
        <v>24.0699462890625</v>
      </c>
      <c r="O83">
        <v>361.049194335938</v>
      </c>
      <c r="P83">
        <v>0</v>
      </c>
      <c r="Q83">
        <v>0</v>
      </c>
      <c r="R83">
        <v>0</v>
      </c>
      <c r="S83">
        <v>0</v>
      </c>
      <c r="T83">
        <v>24.0699462890625</v>
      </c>
      <c r="U83">
        <v>0</v>
      </c>
      <c r="V83">
        <v>0</v>
      </c>
      <c r="W83">
        <v>0</v>
      </c>
      <c r="X83">
        <v>0</v>
      </c>
      <c r="Y83">
        <v>361.049194335938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95</v>
      </c>
      <c r="BA83">
        <v>0</v>
      </c>
      <c r="BB83">
        <v>5</v>
      </c>
      <c r="BC83">
        <v>0</v>
      </c>
      <c r="BD83">
        <v>1</v>
      </c>
      <c r="BE83">
        <v>2</v>
      </c>
      <c r="BF83">
        <v>96.27978515625</v>
      </c>
      <c r="BG83">
        <v>3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3</v>
      </c>
      <c r="BN83">
        <v>385.119140625</v>
      </c>
      <c r="BO83">
        <v>1</v>
      </c>
      <c r="BP83">
        <v>2</v>
      </c>
      <c r="BQ83">
        <v>0</v>
      </c>
      <c r="BR83">
        <v>0</v>
      </c>
      <c r="BS83">
        <v>0</v>
      </c>
      <c r="BT83">
        <v>0</v>
      </c>
      <c r="BU83">
        <v>24.0699462890625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361.049194335938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375.491149902344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9.62797832489014</v>
      </c>
      <c r="FC83">
        <v>14.4419679641724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9.62797832489014</v>
      </c>
      <c r="FK83">
        <v>361.049194335938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385.119140625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</row>
    <row r="84" spans="1:640">
      <c r="A84" t="s">
        <v>722</v>
      </c>
      <c r="B84" t="s">
        <v>821</v>
      </c>
      <c r="C84" t="s">
        <v>840</v>
      </c>
      <c r="D84" t="s">
        <v>849</v>
      </c>
      <c r="E84" t="s">
        <v>840</v>
      </c>
      <c r="F84" s="2">
        <v>45719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</v>
      </c>
      <c r="AY84">
        <v>6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</row>
    <row r="85" spans="1:640">
      <c r="A85" t="s">
        <v>723</v>
      </c>
      <c r="B85" t="s">
        <v>822</v>
      </c>
      <c r="C85" t="s">
        <v>840</v>
      </c>
      <c r="D85" t="s">
        <v>849</v>
      </c>
      <c r="E85" t="s">
        <v>840</v>
      </c>
      <c r="F85" s="2">
        <v>45719</v>
      </c>
      <c r="G85">
        <v>0</v>
      </c>
      <c r="H85">
        <v>500</v>
      </c>
      <c r="I85">
        <v>0</v>
      </c>
      <c r="J85">
        <v>0</v>
      </c>
      <c r="K85">
        <v>0</v>
      </c>
      <c r="L85">
        <v>0</v>
      </c>
      <c r="M85">
        <v>500</v>
      </c>
      <c r="N85">
        <v>0</v>
      </c>
      <c r="O85">
        <v>400</v>
      </c>
      <c r="P85">
        <v>100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400</v>
      </c>
      <c r="AA85">
        <v>0</v>
      </c>
      <c r="AB85">
        <v>0</v>
      </c>
      <c r="AC85">
        <v>0</v>
      </c>
      <c r="AD85">
        <v>0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100</v>
      </c>
      <c r="BC85">
        <v>0</v>
      </c>
      <c r="BD85">
        <v>1</v>
      </c>
      <c r="BE85">
        <v>3</v>
      </c>
      <c r="BF85">
        <v>200</v>
      </c>
      <c r="BG85">
        <v>0</v>
      </c>
      <c r="BH85">
        <v>5</v>
      </c>
      <c r="BI85">
        <v>0</v>
      </c>
      <c r="BJ85">
        <v>0</v>
      </c>
      <c r="BK85">
        <v>0</v>
      </c>
      <c r="BL85">
        <v>0</v>
      </c>
      <c r="BM85">
        <v>5</v>
      </c>
      <c r="BN85">
        <v>500</v>
      </c>
      <c r="BO85">
        <v>0</v>
      </c>
      <c r="BP85">
        <v>3</v>
      </c>
      <c r="BQ85">
        <v>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400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100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3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2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500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400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100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500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500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400</v>
      </c>
      <c r="NU85">
        <v>100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400</v>
      </c>
      <c r="OD85">
        <v>0</v>
      </c>
      <c r="OE85">
        <v>400</v>
      </c>
      <c r="OF85">
        <v>100</v>
      </c>
      <c r="OG85">
        <v>0</v>
      </c>
      <c r="OH85">
        <v>100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500</v>
      </c>
      <c r="OU85">
        <v>0</v>
      </c>
      <c r="OV85">
        <v>0</v>
      </c>
      <c r="OW85">
        <v>0</v>
      </c>
      <c r="OX85">
        <v>0</v>
      </c>
      <c r="OY85">
        <v>400</v>
      </c>
      <c r="OZ85">
        <v>100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300</v>
      </c>
      <c r="RN85">
        <v>100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100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300</v>
      </c>
      <c r="TQ85">
        <v>200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400</v>
      </c>
      <c r="TZ85">
        <v>0</v>
      </c>
      <c r="UA85">
        <v>0</v>
      </c>
      <c r="UB85">
        <v>0</v>
      </c>
      <c r="UC85">
        <v>0</v>
      </c>
      <c r="UD85">
        <v>100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300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100</v>
      </c>
      <c r="VE85">
        <v>100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</row>
    <row r="86" spans="1:640">
      <c r="A86" t="s">
        <v>724</v>
      </c>
      <c r="B86" t="s">
        <v>823</v>
      </c>
      <c r="C86" t="s">
        <v>838</v>
      </c>
      <c r="D86" t="s">
        <v>843</v>
      </c>
      <c r="E86" t="s">
        <v>863</v>
      </c>
      <c r="F86" s="2">
        <v>45730</v>
      </c>
      <c r="G86">
        <v>267.754089355469</v>
      </c>
      <c r="H86">
        <v>652.488098144531</v>
      </c>
      <c r="I86">
        <v>589.135986328125</v>
      </c>
      <c r="J86">
        <v>315.123748779297</v>
      </c>
      <c r="K86">
        <v>49.391529083252</v>
      </c>
      <c r="L86">
        <v>0</v>
      </c>
      <c r="M86">
        <v>1873.89343261719</v>
      </c>
      <c r="N86">
        <v>1114.34228515625</v>
      </c>
      <c r="O86">
        <v>89.7327575683594</v>
      </c>
      <c r="P86">
        <v>0</v>
      </c>
      <c r="Q86">
        <v>669.818481445312</v>
      </c>
      <c r="R86">
        <v>0</v>
      </c>
      <c r="S86">
        <v>0</v>
      </c>
      <c r="T86">
        <v>54.398078918457</v>
      </c>
      <c r="U86">
        <v>595.20166015625</v>
      </c>
      <c r="V86">
        <v>464.742523193359</v>
      </c>
      <c r="W86">
        <v>0</v>
      </c>
      <c r="X86">
        <v>0</v>
      </c>
      <c r="Y86">
        <v>49.8729286193848</v>
      </c>
      <c r="Z86">
        <v>32.0611686706543</v>
      </c>
      <c r="AA86">
        <v>7.7986626625061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171.666854858398</v>
      </c>
      <c r="AJ86">
        <v>93.4876708984375</v>
      </c>
      <c r="AK86">
        <v>404.663940429688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100</v>
      </c>
      <c r="BD86">
        <v>1</v>
      </c>
      <c r="BE86">
        <v>3</v>
      </c>
      <c r="BF86">
        <v>0</v>
      </c>
      <c r="BG86">
        <v>5</v>
      </c>
      <c r="BH86">
        <v>11</v>
      </c>
      <c r="BI86">
        <v>28</v>
      </c>
      <c r="BJ86">
        <v>2</v>
      </c>
      <c r="BK86">
        <v>2</v>
      </c>
      <c r="BL86">
        <v>0</v>
      </c>
      <c r="BM86">
        <v>48</v>
      </c>
      <c r="BN86">
        <v>1873.89343261719</v>
      </c>
      <c r="BO86">
        <v>5</v>
      </c>
      <c r="BP86">
        <v>4</v>
      </c>
      <c r="BQ86">
        <v>0</v>
      </c>
      <c r="BR86">
        <v>39</v>
      </c>
      <c r="BS86">
        <v>0</v>
      </c>
      <c r="BT86">
        <v>0</v>
      </c>
      <c r="BU86">
        <v>105.13752746582</v>
      </c>
      <c r="BV86">
        <v>482.746856689453</v>
      </c>
      <c r="BW86">
        <v>219.132797241211</v>
      </c>
      <c r="BX86">
        <v>307.325073242188</v>
      </c>
      <c r="BY86">
        <v>0</v>
      </c>
      <c r="BZ86">
        <v>0</v>
      </c>
      <c r="CA86">
        <v>0</v>
      </c>
      <c r="CB86">
        <v>32.0611686706543</v>
      </c>
      <c r="CC86">
        <v>17.9080410003662</v>
      </c>
      <c r="CD86">
        <v>7.7986626625061</v>
      </c>
      <c r="CE86">
        <v>31.9648895263672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162.616561889648</v>
      </c>
      <c r="CN86">
        <v>137.680099487305</v>
      </c>
      <c r="CO86">
        <v>352.095184326172</v>
      </c>
      <c r="CP86">
        <v>0</v>
      </c>
      <c r="CQ86">
        <v>17.4266414642334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2</v>
      </c>
      <c r="DM86">
        <v>1</v>
      </c>
      <c r="DN86">
        <v>1</v>
      </c>
      <c r="DO86">
        <v>0</v>
      </c>
      <c r="DP86">
        <v>0</v>
      </c>
      <c r="DQ86">
        <v>0</v>
      </c>
      <c r="DR86">
        <v>1</v>
      </c>
      <c r="DS86">
        <v>1</v>
      </c>
      <c r="DT86">
        <v>1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4</v>
      </c>
      <c r="ED86">
        <v>8</v>
      </c>
      <c r="EE86">
        <v>26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401.871826171875</v>
      </c>
      <c r="EV86">
        <v>30.2318534851074</v>
      </c>
      <c r="EW86">
        <v>70.476806640625</v>
      </c>
      <c r="EX86">
        <v>0</v>
      </c>
      <c r="EY86">
        <v>22.3369102478027</v>
      </c>
      <c r="EZ86">
        <v>61.4265022277832</v>
      </c>
      <c r="FA86">
        <v>117.172500610352</v>
      </c>
      <c r="FB86">
        <v>1170.37707519531</v>
      </c>
      <c r="FC86">
        <v>330.047119140625</v>
      </c>
      <c r="FD86">
        <v>30.2318534851074</v>
      </c>
      <c r="FE86">
        <v>20.603874206543</v>
      </c>
      <c r="FF86">
        <v>0</v>
      </c>
      <c r="FG86">
        <v>22.3369102478027</v>
      </c>
      <c r="FH86">
        <v>61.4265022277832</v>
      </c>
      <c r="FI86">
        <v>4.91026926040649</v>
      </c>
      <c r="FJ86">
        <v>644.785705566406</v>
      </c>
      <c r="FK86">
        <v>39.8598327636719</v>
      </c>
      <c r="FL86">
        <v>0</v>
      </c>
      <c r="FM86">
        <v>49.8729286193848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31.9648895263672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112.262229919434</v>
      </c>
      <c r="GH86">
        <v>525.591369628906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275.937866210938</v>
      </c>
      <c r="GZ86">
        <v>720.75048828125</v>
      </c>
      <c r="HA86">
        <v>877.205139160156</v>
      </c>
      <c r="HB86">
        <v>0</v>
      </c>
      <c r="HC86">
        <v>0</v>
      </c>
      <c r="HD86">
        <v>7.7986626625061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307.325073242188</v>
      </c>
      <c r="HL86">
        <v>307.325073242188</v>
      </c>
      <c r="HM86">
        <v>7.7986626625061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315.123748779297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307.325073242188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7.7986626625061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307.325073242188</v>
      </c>
      <c r="KO86">
        <v>0</v>
      </c>
      <c r="KP86">
        <v>0</v>
      </c>
      <c r="KQ86">
        <v>0</v>
      </c>
      <c r="KR86">
        <v>0</v>
      </c>
      <c r="KS86">
        <v>7.7986626625061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307.325073242188</v>
      </c>
      <c r="LR86">
        <v>307.325073242188</v>
      </c>
      <c r="LS86">
        <v>0</v>
      </c>
      <c r="LT86">
        <v>7.7986626625061</v>
      </c>
      <c r="LU86">
        <v>7.7986626625061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307.325073242188</v>
      </c>
      <c r="MJ86">
        <v>7.7986626625061</v>
      </c>
      <c r="MK86">
        <v>0</v>
      </c>
      <c r="ML86">
        <v>0</v>
      </c>
      <c r="MM86">
        <v>0</v>
      </c>
      <c r="MN86">
        <v>0</v>
      </c>
      <c r="MO86">
        <v>315.123748779297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160.402130126953</v>
      </c>
      <c r="NL86">
        <v>20.603874206543</v>
      </c>
      <c r="NM86">
        <v>20.603874206543</v>
      </c>
      <c r="NN86">
        <v>0</v>
      </c>
      <c r="NO86">
        <v>3.0809531211853</v>
      </c>
      <c r="NP86">
        <v>61.4265022277832</v>
      </c>
      <c r="NQ86">
        <v>41.2077484130859</v>
      </c>
      <c r="NR86">
        <v>345.163024902344</v>
      </c>
      <c r="NS86">
        <v>482.746856689453</v>
      </c>
      <c r="NT86">
        <v>32.0611686706543</v>
      </c>
      <c r="NU86">
        <v>0</v>
      </c>
      <c r="NV86">
        <v>137.680099487305</v>
      </c>
      <c r="NW86">
        <v>0</v>
      </c>
      <c r="NX86">
        <v>0</v>
      </c>
      <c r="NY86">
        <v>0</v>
      </c>
      <c r="NZ86">
        <v>0</v>
      </c>
      <c r="OA86">
        <v>482.746856689453</v>
      </c>
      <c r="OB86">
        <v>482.746856689453</v>
      </c>
      <c r="OC86">
        <v>0</v>
      </c>
      <c r="OD86">
        <v>32.0611686706543</v>
      </c>
      <c r="OE86">
        <v>32.0611686706543</v>
      </c>
      <c r="OF86">
        <v>0</v>
      </c>
      <c r="OG86">
        <v>0</v>
      </c>
      <c r="OH86">
        <v>0</v>
      </c>
      <c r="OI86">
        <v>137.680099487305</v>
      </c>
      <c r="OJ86">
        <v>0</v>
      </c>
      <c r="OK86">
        <v>137.680099487305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45.2514991760254</v>
      </c>
      <c r="OT86">
        <v>456.173614501953</v>
      </c>
      <c r="OU86">
        <v>151.06298828125</v>
      </c>
      <c r="OV86">
        <v>0</v>
      </c>
      <c r="OW86">
        <v>0</v>
      </c>
      <c r="OX86">
        <v>128.340957641602</v>
      </c>
      <c r="OY86">
        <v>32.0611686706543</v>
      </c>
      <c r="OZ86">
        <v>0</v>
      </c>
      <c r="PA86">
        <v>0</v>
      </c>
      <c r="PB86">
        <v>0</v>
      </c>
      <c r="PC86">
        <v>0</v>
      </c>
      <c r="PD86">
        <v>20.603874206543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20.603874206543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3.0809531211853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61.4265022277832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41.2077484130859</v>
      </c>
      <c r="QL86">
        <v>0</v>
      </c>
      <c r="QM86">
        <v>0</v>
      </c>
      <c r="QN86">
        <v>248.690689086914</v>
      </c>
      <c r="QO86">
        <v>0</v>
      </c>
      <c r="QP86">
        <v>0</v>
      </c>
      <c r="QQ86">
        <v>96.4723434448242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482.746856689453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32.0611686706543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10.8796157836914</v>
      </c>
      <c r="SB86">
        <v>0</v>
      </c>
      <c r="SC86">
        <v>0</v>
      </c>
      <c r="SD86">
        <v>0</v>
      </c>
      <c r="SE86">
        <v>17.8117599487305</v>
      </c>
      <c r="SF86">
        <v>0</v>
      </c>
      <c r="SG86">
        <v>0</v>
      </c>
      <c r="SH86">
        <v>108.988716125488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10.8796157836914</v>
      </c>
      <c r="TI86">
        <v>0</v>
      </c>
      <c r="TJ86">
        <v>0</v>
      </c>
      <c r="TK86">
        <v>0</v>
      </c>
      <c r="TL86">
        <v>17.8117599487305</v>
      </c>
      <c r="TM86">
        <v>0</v>
      </c>
      <c r="TN86">
        <v>0</v>
      </c>
      <c r="TO86">
        <v>108.988716125488</v>
      </c>
      <c r="TP86">
        <v>514.808044433594</v>
      </c>
      <c r="TQ86">
        <v>0</v>
      </c>
      <c r="TR86">
        <v>0</v>
      </c>
      <c r="TS86">
        <v>44.7700996398926</v>
      </c>
      <c r="TT86">
        <v>338.519714355469</v>
      </c>
      <c r="TU86">
        <v>99.45701599121089</v>
      </c>
      <c r="TV86">
        <v>0</v>
      </c>
      <c r="TW86">
        <v>0</v>
      </c>
      <c r="TX86">
        <v>0</v>
      </c>
      <c r="TY86">
        <v>32.0611686706543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0.481398940086365</v>
      </c>
      <c r="UI86">
        <v>85.5927276611328</v>
      </c>
      <c r="UJ86">
        <v>51.6059646606445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482.746856689453</v>
      </c>
      <c r="UX86">
        <v>32.0611686706543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137.680099487305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307.325073242188</v>
      </c>
      <c r="WC86">
        <v>7.7986626625061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</row>
    <row r="87" spans="1:640">
      <c r="A87" t="s">
        <v>725</v>
      </c>
      <c r="B87" t="s">
        <v>824</v>
      </c>
      <c r="C87" t="s">
        <v>840</v>
      </c>
      <c r="D87" t="s">
        <v>845</v>
      </c>
      <c r="E87" t="s">
        <v>840</v>
      </c>
      <c r="F87" s="2">
        <v>45733</v>
      </c>
      <c r="G87">
        <v>0</v>
      </c>
      <c r="H87">
        <v>500</v>
      </c>
      <c r="I87">
        <v>0</v>
      </c>
      <c r="J87">
        <v>0</v>
      </c>
      <c r="K87">
        <v>0</v>
      </c>
      <c r="L87">
        <v>0</v>
      </c>
      <c r="M87">
        <v>500</v>
      </c>
      <c r="N87">
        <v>500</v>
      </c>
      <c r="O87">
        <v>0</v>
      </c>
      <c r="P87">
        <v>0</v>
      </c>
      <c r="Q87">
        <v>0</v>
      </c>
      <c r="R87">
        <v>0</v>
      </c>
      <c r="S87">
        <v>0</v>
      </c>
      <c r="T87">
        <v>186</v>
      </c>
      <c r="U87">
        <v>140</v>
      </c>
      <c r="V87">
        <v>174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100</v>
      </c>
      <c r="BB87">
        <v>0</v>
      </c>
      <c r="BC87">
        <v>0</v>
      </c>
      <c r="BD87">
        <v>1</v>
      </c>
      <c r="BE87">
        <v>3</v>
      </c>
      <c r="BF87">
        <v>200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500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500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140</v>
      </c>
      <c r="EV87">
        <v>0</v>
      </c>
      <c r="EW87">
        <v>0</v>
      </c>
      <c r="EX87">
        <v>186</v>
      </c>
      <c r="EY87">
        <v>0</v>
      </c>
      <c r="EZ87">
        <v>174</v>
      </c>
      <c r="FA87">
        <v>0</v>
      </c>
      <c r="FB87">
        <v>0</v>
      </c>
      <c r="FC87">
        <v>140</v>
      </c>
      <c r="FD87">
        <v>0</v>
      </c>
      <c r="FE87">
        <v>0</v>
      </c>
      <c r="FF87">
        <v>186</v>
      </c>
      <c r="FG87">
        <v>0</v>
      </c>
      <c r="FH87">
        <v>174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186</v>
      </c>
      <c r="GZ87">
        <v>140</v>
      </c>
      <c r="HA87">
        <v>174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140</v>
      </c>
      <c r="NL87">
        <v>0</v>
      </c>
      <c r="NM87">
        <v>0</v>
      </c>
      <c r="NN87">
        <v>186</v>
      </c>
      <c r="NO87">
        <v>0</v>
      </c>
      <c r="NP87">
        <v>174</v>
      </c>
      <c r="NQ87">
        <v>0</v>
      </c>
      <c r="NR87">
        <v>0</v>
      </c>
      <c r="NS87">
        <v>500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500</v>
      </c>
      <c r="OB87">
        <v>500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186</v>
      </c>
      <c r="OT87">
        <v>140</v>
      </c>
      <c r="OU87">
        <v>174</v>
      </c>
      <c r="OV87">
        <v>0</v>
      </c>
      <c r="OW87">
        <v>0</v>
      </c>
      <c r="OX87">
        <v>140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186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174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500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500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186</v>
      </c>
      <c r="TT87">
        <v>140</v>
      </c>
      <c r="TU87">
        <v>174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500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</row>
    <row r="88" spans="1:640">
      <c r="A88" t="s">
        <v>726</v>
      </c>
      <c r="B88" t="s">
        <v>825</v>
      </c>
      <c r="C88" t="s">
        <v>838</v>
      </c>
      <c r="D88" t="s">
        <v>843</v>
      </c>
      <c r="E88" t="s">
        <v>863</v>
      </c>
      <c r="F88" s="2">
        <v>45727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2</v>
      </c>
      <c r="AY88">
        <v>7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</row>
    <row r="89" spans="1:640">
      <c r="A89" t="s">
        <v>727</v>
      </c>
      <c r="B89" t="s">
        <v>826</v>
      </c>
      <c r="C89" t="s">
        <v>840</v>
      </c>
      <c r="D89" t="s">
        <v>849</v>
      </c>
      <c r="E89" t="s">
        <v>840</v>
      </c>
      <c r="F89" s="2">
        <v>45734</v>
      </c>
      <c r="G89">
        <v>110.047798156738</v>
      </c>
      <c r="H89">
        <v>0</v>
      </c>
      <c r="I89">
        <v>3153.8466796875</v>
      </c>
      <c r="J89">
        <v>0</v>
      </c>
      <c r="K89">
        <v>0</v>
      </c>
      <c r="L89">
        <v>0</v>
      </c>
      <c r="M89">
        <v>3263.89428710938</v>
      </c>
      <c r="N89">
        <v>1853.03930664062</v>
      </c>
      <c r="O89">
        <v>1375.33752441406</v>
      </c>
      <c r="P89">
        <v>0</v>
      </c>
      <c r="Q89">
        <v>0</v>
      </c>
      <c r="R89">
        <v>35.5176124572754</v>
      </c>
      <c r="S89">
        <v>0</v>
      </c>
      <c r="T89">
        <v>100.419815063477</v>
      </c>
      <c r="U89">
        <v>21.9517917633057</v>
      </c>
      <c r="V89">
        <v>1730.66760253906</v>
      </c>
      <c r="W89">
        <v>0</v>
      </c>
      <c r="X89">
        <v>0</v>
      </c>
      <c r="Y89">
        <v>0</v>
      </c>
      <c r="Z89">
        <v>266.290618896484</v>
      </c>
      <c r="AA89">
        <v>1109.046875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35.5176124572754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50</v>
      </c>
      <c r="BB89">
        <v>50</v>
      </c>
      <c r="BC89">
        <v>0</v>
      </c>
      <c r="BD89">
        <v>1</v>
      </c>
      <c r="BE89">
        <v>1</v>
      </c>
      <c r="BF89">
        <v>1754.50659179688</v>
      </c>
      <c r="BG89">
        <v>2</v>
      </c>
      <c r="BH89">
        <v>0</v>
      </c>
      <c r="BI89">
        <v>10</v>
      </c>
      <c r="BJ89">
        <v>0</v>
      </c>
      <c r="BK89">
        <v>0</v>
      </c>
      <c r="BL89">
        <v>0</v>
      </c>
      <c r="BM89">
        <v>12</v>
      </c>
      <c r="BN89">
        <v>3263.89428710938</v>
      </c>
      <c r="BO89">
        <v>9</v>
      </c>
      <c r="BP89">
        <v>1</v>
      </c>
      <c r="BQ89">
        <v>0</v>
      </c>
      <c r="BR89">
        <v>0</v>
      </c>
      <c r="BS89">
        <v>2</v>
      </c>
      <c r="BT89">
        <v>0</v>
      </c>
      <c r="BU89">
        <v>110.047798156738</v>
      </c>
      <c r="BV89">
        <v>0</v>
      </c>
      <c r="BW89">
        <v>1742.99145507812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1375.33752441406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35.5176124572754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2</v>
      </c>
      <c r="DL89">
        <v>0</v>
      </c>
      <c r="DM89">
        <v>7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2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876.309753417969</v>
      </c>
      <c r="EV89">
        <v>64.6903915405273</v>
      </c>
      <c r="EW89">
        <v>243.337524414062</v>
      </c>
      <c r="EX89">
        <v>52.1836433410645</v>
      </c>
      <c r="EY89">
        <v>1.64638435840607</v>
      </c>
      <c r="EZ89">
        <v>0</v>
      </c>
      <c r="FA89">
        <v>0</v>
      </c>
      <c r="FB89">
        <v>2025.736328125</v>
      </c>
      <c r="FC89">
        <v>213.510055541992</v>
      </c>
      <c r="FD89">
        <v>64.6903915405273</v>
      </c>
      <c r="FE89">
        <v>0</v>
      </c>
      <c r="FF89">
        <v>52.1836433410645</v>
      </c>
      <c r="FG89">
        <v>1.64638435840607</v>
      </c>
      <c r="FH89">
        <v>0</v>
      </c>
      <c r="FI89">
        <v>0</v>
      </c>
      <c r="FJ89">
        <v>1521.01843261719</v>
      </c>
      <c r="FK89">
        <v>662.799682617188</v>
      </c>
      <c r="FL89">
        <v>0</v>
      </c>
      <c r="FM89">
        <v>243.337524414062</v>
      </c>
      <c r="FN89">
        <v>0</v>
      </c>
      <c r="FO89">
        <v>0</v>
      </c>
      <c r="FP89">
        <v>0</v>
      </c>
      <c r="FQ89">
        <v>0</v>
      </c>
      <c r="FR89">
        <v>469.209899902344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35.5176124572754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100.419815063477</v>
      </c>
      <c r="GZ89">
        <v>288.242431640625</v>
      </c>
      <c r="HA89">
        <v>2875.23217773438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</row>
    <row r="90" spans="1:640">
      <c r="A90" t="s">
        <v>728</v>
      </c>
      <c r="B90" t="s">
        <v>827</v>
      </c>
      <c r="C90" t="s">
        <v>839</v>
      </c>
      <c r="D90" t="s">
        <v>848</v>
      </c>
      <c r="E90" t="s">
        <v>839</v>
      </c>
      <c r="F90" s="2">
        <v>45727</v>
      </c>
      <c r="G90">
        <v>307.342864990234</v>
      </c>
      <c r="H90">
        <v>0</v>
      </c>
      <c r="I90">
        <v>0</v>
      </c>
      <c r="J90">
        <v>0</v>
      </c>
      <c r="K90">
        <v>0</v>
      </c>
      <c r="L90">
        <v>0</v>
      </c>
      <c r="M90">
        <v>307.342864990234</v>
      </c>
      <c r="N90">
        <v>250.892120361328</v>
      </c>
      <c r="O90">
        <v>7.1683464050293</v>
      </c>
      <c r="P90">
        <v>0</v>
      </c>
      <c r="Q90">
        <v>49.2823829650879</v>
      </c>
      <c r="R90">
        <v>0</v>
      </c>
      <c r="S90">
        <v>0</v>
      </c>
      <c r="T90">
        <v>250.892120361328</v>
      </c>
      <c r="U90">
        <v>0</v>
      </c>
      <c r="V90">
        <v>0</v>
      </c>
      <c r="W90">
        <v>0</v>
      </c>
      <c r="X90">
        <v>0</v>
      </c>
      <c r="Y90">
        <v>7.1683464050293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49.2823829650879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100</v>
      </c>
      <c r="BC90">
        <v>0</v>
      </c>
      <c r="BD90">
        <v>1</v>
      </c>
      <c r="BE90">
        <v>3</v>
      </c>
      <c r="BF90">
        <v>84.9747772216797</v>
      </c>
      <c r="BG90">
        <v>7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7</v>
      </c>
      <c r="BN90">
        <v>307.342864990234</v>
      </c>
      <c r="BO90">
        <v>2</v>
      </c>
      <c r="BP90">
        <v>1</v>
      </c>
      <c r="BQ90">
        <v>0</v>
      </c>
      <c r="BR90">
        <v>4</v>
      </c>
      <c r="BS90">
        <v>0</v>
      </c>
      <c r="BT90">
        <v>0</v>
      </c>
      <c r="BU90">
        <v>250.892120361328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7.1683464050293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49.2823829650879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4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93.1885070800781</v>
      </c>
      <c r="EV90">
        <v>0</v>
      </c>
      <c r="EW90">
        <v>14.3366928100586</v>
      </c>
      <c r="EX90">
        <v>0</v>
      </c>
      <c r="EY90">
        <v>8.960433006286619</v>
      </c>
      <c r="EZ90">
        <v>91.0977325439453</v>
      </c>
      <c r="FA90">
        <v>60.3335838317871</v>
      </c>
      <c r="FB90">
        <v>39.4259071350098</v>
      </c>
      <c r="FC90">
        <v>59.7362213134766</v>
      </c>
      <c r="FD90">
        <v>0</v>
      </c>
      <c r="FE90">
        <v>0</v>
      </c>
      <c r="FF90">
        <v>0</v>
      </c>
      <c r="FG90">
        <v>8.960433006286619</v>
      </c>
      <c r="FH90">
        <v>89.6043319702148</v>
      </c>
      <c r="FI90">
        <v>53.1652374267578</v>
      </c>
      <c r="FJ90">
        <v>39.4259071350098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7.1683464050293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33.4522819519043</v>
      </c>
      <c r="GB90">
        <v>0</v>
      </c>
      <c r="GC90">
        <v>14.3366928100586</v>
      </c>
      <c r="GD90">
        <v>0</v>
      </c>
      <c r="GE90">
        <v>0</v>
      </c>
      <c r="GF90">
        <v>1.49340546131134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307.342864990234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</row>
    <row r="91" spans="1:640">
      <c r="A91" t="s">
        <v>729</v>
      </c>
      <c r="B91" t="s">
        <v>828</v>
      </c>
      <c r="C91" t="s">
        <v>838</v>
      </c>
      <c r="D91" t="s">
        <v>843</v>
      </c>
      <c r="E91" t="s">
        <v>863</v>
      </c>
      <c r="F91" s="2">
        <v>45715</v>
      </c>
      <c r="G91">
        <v>0</v>
      </c>
      <c r="H91">
        <v>0</v>
      </c>
      <c r="I91">
        <v>154.817901611328</v>
      </c>
      <c r="J91">
        <v>0</v>
      </c>
      <c r="K91">
        <v>0</v>
      </c>
      <c r="L91">
        <v>0</v>
      </c>
      <c r="M91">
        <v>154.817901611328</v>
      </c>
      <c r="N91">
        <v>154.817901611328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154.817901611328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100</v>
      </c>
      <c r="BC91">
        <v>0</v>
      </c>
      <c r="BD91">
        <v>1</v>
      </c>
      <c r="BE91">
        <v>3</v>
      </c>
      <c r="BF91">
        <v>89.34764099121089</v>
      </c>
      <c r="BG91">
        <v>0</v>
      </c>
      <c r="BH91">
        <v>0</v>
      </c>
      <c r="BI91">
        <v>2</v>
      </c>
      <c r="BJ91">
        <v>0</v>
      </c>
      <c r="BK91">
        <v>0</v>
      </c>
      <c r="BL91">
        <v>0</v>
      </c>
      <c r="BM91">
        <v>2</v>
      </c>
      <c r="BN91">
        <v>154.817901611328</v>
      </c>
      <c r="BO91">
        <v>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154.817901611328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2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149.522506713867</v>
      </c>
      <c r="EV91">
        <v>0</v>
      </c>
      <c r="EW91">
        <v>0</v>
      </c>
      <c r="EX91">
        <v>0</v>
      </c>
      <c r="EY91">
        <v>5.29538822174072</v>
      </c>
      <c r="EZ91">
        <v>0</v>
      </c>
      <c r="FA91">
        <v>0</v>
      </c>
      <c r="FB91">
        <v>0</v>
      </c>
      <c r="FC91">
        <v>149.522506713867</v>
      </c>
      <c r="FD91">
        <v>0</v>
      </c>
      <c r="FE91">
        <v>0</v>
      </c>
      <c r="FF91">
        <v>0</v>
      </c>
      <c r="FG91">
        <v>5.29538822174072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154.817901611328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</row>
    <row r="92" spans="1:640">
      <c r="A92" t="s">
        <v>730</v>
      </c>
      <c r="B92" t="s">
        <v>829</v>
      </c>
      <c r="C92" t="s">
        <v>839</v>
      </c>
      <c r="D92" t="s">
        <v>844</v>
      </c>
      <c r="E92" t="s">
        <v>839</v>
      </c>
      <c r="F92" s="2">
        <v>45719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6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</row>
    <row r="93" spans="1:640">
      <c r="A93" t="s">
        <v>731</v>
      </c>
      <c r="B93" t="s">
        <v>830</v>
      </c>
      <c r="C93" t="s">
        <v>840</v>
      </c>
      <c r="D93" t="s">
        <v>849</v>
      </c>
      <c r="E93" t="s">
        <v>840</v>
      </c>
      <c r="F93" s="2">
        <v>45720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2</v>
      </c>
      <c r="AY93">
        <v>6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</row>
    <row r="94" spans="1:640">
      <c r="A94" t="s">
        <v>732</v>
      </c>
      <c r="B94" t="s">
        <v>831</v>
      </c>
      <c r="C94" t="s">
        <v>839</v>
      </c>
      <c r="D94" t="s">
        <v>851</v>
      </c>
      <c r="E94" t="s">
        <v>839</v>
      </c>
      <c r="F94" s="2">
        <v>45723</v>
      </c>
      <c r="G94">
        <v>1025.51171875</v>
      </c>
      <c r="H94">
        <v>0</v>
      </c>
      <c r="I94">
        <v>0</v>
      </c>
      <c r="J94">
        <v>0</v>
      </c>
      <c r="K94">
        <v>0</v>
      </c>
      <c r="L94">
        <v>0</v>
      </c>
      <c r="M94">
        <v>1025.51171875</v>
      </c>
      <c r="N94">
        <v>0</v>
      </c>
      <c r="O94">
        <v>553.067138671875</v>
      </c>
      <c r="P94">
        <v>0</v>
      </c>
      <c r="Q94">
        <v>472.444610595703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553.067138671875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472.444610595703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100</v>
      </c>
      <c r="BB94">
        <v>0</v>
      </c>
      <c r="BC94">
        <v>0</v>
      </c>
      <c r="BD94">
        <v>3</v>
      </c>
      <c r="BE94">
        <v>3</v>
      </c>
      <c r="BF94">
        <v>1025.51171875</v>
      </c>
      <c r="BG94">
        <v>32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32</v>
      </c>
      <c r="BN94">
        <v>1025.51171875</v>
      </c>
      <c r="BO94">
        <v>0</v>
      </c>
      <c r="BP94">
        <v>21</v>
      </c>
      <c r="BQ94">
        <v>0</v>
      </c>
      <c r="BR94">
        <v>11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553.067138671875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472.444610595703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37.1187629699707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988.393005371094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553.067138671875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37.1187629699707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435.325866699219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1025.51171875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</row>
    <row r="95" spans="1:640">
      <c r="A95" t="s">
        <v>733</v>
      </c>
      <c r="B95" t="s">
        <v>832</v>
      </c>
      <c r="C95" t="s">
        <v>840</v>
      </c>
      <c r="D95" t="s">
        <v>849</v>
      </c>
      <c r="E95" t="s">
        <v>840</v>
      </c>
      <c r="F95" s="2">
        <v>45722</v>
      </c>
      <c r="G95">
        <v>0</v>
      </c>
      <c r="H95">
        <v>281</v>
      </c>
      <c r="I95">
        <v>0</v>
      </c>
      <c r="J95">
        <v>0</v>
      </c>
      <c r="K95">
        <v>0</v>
      </c>
      <c r="L95">
        <v>0</v>
      </c>
      <c r="M95">
        <v>281</v>
      </c>
      <c r="N95">
        <v>281</v>
      </c>
      <c r="O95">
        <v>0</v>
      </c>
      <c r="P95">
        <v>0</v>
      </c>
      <c r="Q95">
        <v>0</v>
      </c>
      <c r="R95">
        <v>0</v>
      </c>
      <c r="S95">
        <v>0</v>
      </c>
      <c r="T95">
        <v>181</v>
      </c>
      <c r="U95">
        <v>100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73</v>
      </c>
      <c r="BA95">
        <v>0</v>
      </c>
      <c r="BB95">
        <v>0</v>
      </c>
      <c r="BC95">
        <v>27</v>
      </c>
      <c r="BD95">
        <v>3</v>
      </c>
      <c r="BE95">
        <v>3</v>
      </c>
      <c r="BF95">
        <v>197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281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281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45</v>
      </c>
      <c r="EX95">
        <v>0</v>
      </c>
      <c r="EY95">
        <v>25</v>
      </c>
      <c r="EZ95">
        <v>106</v>
      </c>
      <c r="FA95">
        <v>0</v>
      </c>
      <c r="FB95">
        <v>105</v>
      </c>
      <c r="FC95">
        <v>0</v>
      </c>
      <c r="FD95">
        <v>0</v>
      </c>
      <c r="FE95">
        <v>45</v>
      </c>
      <c r="FF95">
        <v>0</v>
      </c>
      <c r="FG95">
        <v>25</v>
      </c>
      <c r="FH95">
        <v>106</v>
      </c>
      <c r="FI95">
        <v>0</v>
      </c>
      <c r="FJ95">
        <v>105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181</v>
      </c>
      <c r="GZ95">
        <v>100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45</v>
      </c>
      <c r="NN95">
        <v>0</v>
      </c>
      <c r="NO95">
        <v>25</v>
      </c>
      <c r="NP95">
        <v>106</v>
      </c>
      <c r="NQ95">
        <v>0</v>
      </c>
      <c r="NR95">
        <v>105</v>
      </c>
      <c r="NS95">
        <v>281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281</v>
      </c>
      <c r="OB95">
        <v>281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181</v>
      </c>
      <c r="OT95">
        <v>100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45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25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106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105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281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281</v>
      </c>
      <c r="TQ95">
        <v>0</v>
      </c>
      <c r="TR95">
        <v>0</v>
      </c>
      <c r="TS95">
        <v>181</v>
      </c>
      <c r="TT95">
        <v>100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281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</row>
    <row r="96" spans="1:640">
      <c r="A96" t="s">
        <v>734</v>
      </c>
      <c r="B96" t="s">
        <v>833</v>
      </c>
      <c r="C96" t="s">
        <v>840</v>
      </c>
      <c r="D96" t="s">
        <v>845</v>
      </c>
      <c r="E96" t="s">
        <v>840</v>
      </c>
      <c r="F96" s="2">
        <v>45734</v>
      </c>
      <c r="G96">
        <v>0</v>
      </c>
      <c r="H96">
        <v>300</v>
      </c>
      <c r="I96">
        <v>0</v>
      </c>
      <c r="J96">
        <v>0</v>
      </c>
      <c r="K96">
        <v>0</v>
      </c>
      <c r="L96">
        <v>0</v>
      </c>
      <c r="M96">
        <v>300</v>
      </c>
      <c r="N96">
        <v>150</v>
      </c>
      <c r="O96">
        <v>0</v>
      </c>
      <c r="P96">
        <v>0</v>
      </c>
      <c r="Q96">
        <v>150</v>
      </c>
      <c r="R96">
        <v>0</v>
      </c>
      <c r="S96">
        <v>0</v>
      </c>
      <c r="T96">
        <v>0</v>
      </c>
      <c r="U96">
        <v>150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150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50</v>
      </c>
      <c r="BC96">
        <v>50</v>
      </c>
      <c r="BD96">
        <v>1</v>
      </c>
      <c r="BE96">
        <v>1</v>
      </c>
      <c r="BF96">
        <v>300</v>
      </c>
      <c r="BG96">
        <v>0</v>
      </c>
      <c r="BH96">
        <v>4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300</v>
      </c>
      <c r="BO96">
        <v>2</v>
      </c>
      <c r="BP96">
        <v>0</v>
      </c>
      <c r="BQ96">
        <v>0</v>
      </c>
      <c r="BR96">
        <v>2</v>
      </c>
      <c r="BS96">
        <v>0</v>
      </c>
      <c r="BT96">
        <v>0</v>
      </c>
      <c r="BU96">
        <v>0</v>
      </c>
      <c r="BV96">
        <v>150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150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2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300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100</v>
      </c>
      <c r="OA96">
        <v>50</v>
      </c>
      <c r="OB96">
        <v>150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150</v>
      </c>
      <c r="OJ96">
        <v>0</v>
      </c>
      <c r="OK96">
        <v>150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300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75</v>
      </c>
      <c r="QV96">
        <v>0</v>
      </c>
      <c r="QW96">
        <v>0</v>
      </c>
      <c r="QX96">
        <v>0</v>
      </c>
      <c r="QY96">
        <v>0</v>
      </c>
      <c r="QZ96">
        <v>75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30</v>
      </c>
      <c r="SB96">
        <v>120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30</v>
      </c>
      <c r="TI96">
        <v>195</v>
      </c>
      <c r="TJ96">
        <v>0</v>
      </c>
      <c r="TK96">
        <v>0</v>
      </c>
      <c r="TL96">
        <v>0</v>
      </c>
      <c r="TM96">
        <v>0</v>
      </c>
      <c r="TN96">
        <v>75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150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150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100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50</v>
      </c>
      <c r="VD96">
        <v>0</v>
      </c>
      <c r="VE96">
        <v>0</v>
      </c>
      <c r="VF96">
        <v>120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30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</row>
    <row r="97" spans="1:640">
      <c r="A97" t="s">
        <v>735</v>
      </c>
      <c r="B97" t="s">
        <v>834</v>
      </c>
      <c r="C97" t="s">
        <v>838</v>
      </c>
      <c r="D97" t="s">
        <v>843</v>
      </c>
      <c r="E97" t="s">
        <v>863</v>
      </c>
      <c r="F97" s="2">
        <v>45733</v>
      </c>
      <c r="G97">
        <v>385.119140625</v>
      </c>
      <c r="H97">
        <v>5006.548828125</v>
      </c>
      <c r="I97">
        <v>10301.9375</v>
      </c>
      <c r="J97">
        <v>9146.580078125</v>
      </c>
      <c r="K97">
        <v>0</v>
      </c>
      <c r="L97">
        <v>0</v>
      </c>
      <c r="M97">
        <v>24840.185546875</v>
      </c>
      <c r="N97">
        <v>24840.185546875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100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24840.185546875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385.119140625</v>
      </c>
      <c r="BV97">
        <v>5006.548828125</v>
      </c>
      <c r="BW97">
        <v>10301.9375</v>
      </c>
      <c r="BX97">
        <v>9146.580078125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</row>
    <row r="98" spans="1:640">
      <c r="A98" t="s">
        <v>736</v>
      </c>
      <c r="B98" t="s">
        <v>835</v>
      </c>
      <c r="C98" t="s">
        <v>840</v>
      </c>
      <c r="D98" t="s">
        <v>858</v>
      </c>
      <c r="E98" t="s">
        <v>840</v>
      </c>
      <c r="F98" s="2">
        <v>45719</v>
      </c>
      <c r="G98">
        <v>0</v>
      </c>
      <c r="H98">
        <v>57500000</v>
      </c>
      <c r="I98">
        <v>0</v>
      </c>
      <c r="J98">
        <v>0</v>
      </c>
      <c r="K98">
        <v>0</v>
      </c>
      <c r="L98">
        <v>0</v>
      </c>
      <c r="M98">
        <v>57500000</v>
      </c>
      <c r="N98">
        <v>57500000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57500000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35</v>
      </c>
      <c r="BA98">
        <v>0</v>
      </c>
      <c r="BB98">
        <v>56</v>
      </c>
      <c r="BC98">
        <v>9</v>
      </c>
      <c r="BD98">
        <v>1</v>
      </c>
      <c r="BE98">
        <v>3</v>
      </c>
      <c r="BF98">
        <v>57500000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57500000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57500000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50000000</v>
      </c>
      <c r="FA98">
        <v>7500000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50000000</v>
      </c>
      <c r="FI98">
        <v>7500000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57500000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50000000</v>
      </c>
      <c r="NQ98">
        <v>7500000</v>
      </c>
      <c r="NR98">
        <v>0</v>
      </c>
      <c r="NS98">
        <v>57500000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57500000</v>
      </c>
      <c r="OA98">
        <v>0</v>
      </c>
      <c r="OB98">
        <v>57500000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57500000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50000000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7500000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57500000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57500000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57500000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57500000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</row>
    <row r="99" spans="1:640">
      <c r="A99" t="s">
        <v>737</v>
      </c>
      <c r="B99" t="s">
        <v>836</v>
      </c>
      <c r="C99" t="s">
        <v>840</v>
      </c>
      <c r="D99" t="s">
        <v>862</v>
      </c>
      <c r="E99" t="s">
        <v>840</v>
      </c>
      <c r="F99" s="2">
        <v>45716</v>
      </c>
      <c r="G99">
        <v>0</v>
      </c>
      <c r="H99">
        <v>300</v>
      </c>
      <c r="I99">
        <v>0</v>
      </c>
      <c r="J99">
        <v>0</v>
      </c>
      <c r="K99">
        <v>0</v>
      </c>
      <c r="L99">
        <v>0</v>
      </c>
      <c r="M99">
        <v>300</v>
      </c>
      <c r="N99">
        <v>300</v>
      </c>
      <c r="O99">
        <v>0</v>
      </c>
      <c r="P99">
        <v>0</v>
      </c>
      <c r="Q99">
        <v>0</v>
      </c>
      <c r="R99">
        <v>0</v>
      </c>
      <c r="S99">
        <v>0</v>
      </c>
      <c r="T99">
        <v>120</v>
      </c>
      <c r="U99">
        <v>175</v>
      </c>
      <c r="V99">
        <v>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100</v>
      </c>
      <c r="BC99">
        <v>0</v>
      </c>
      <c r="BD99">
        <v>1</v>
      </c>
      <c r="BE99">
        <v>2</v>
      </c>
      <c r="BF99">
        <v>120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300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300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22.5</v>
      </c>
      <c r="EV99">
        <v>47</v>
      </c>
      <c r="EW99">
        <v>120</v>
      </c>
      <c r="EX99">
        <v>0</v>
      </c>
      <c r="EY99">
        <v>0</v>
      </c>
      <c r="EZ99">
        <v>55</v>
      </c>
      <c r="FA99">
        <v>55.5</v>
      </c>
      <c r="FB99">
        <v>0</v>
      </c>
      <c r="FC99">
        <v>22.5</v>
      </c>
      <c r="FD99">
        <v>47</v>
      </c>
      <c r="FE99">
        <v>120</v>
      </c>
      <c r="FF99">
        <v>0</v>
      </c>
      <c r="FG99">
        <v>0</v>
      </c>
      <c r="FH99">
        <v>55</v>
      </c>
      <c r="FI99">
        <v>55.5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120</v>
      </c>
      <c r="GZ99">
        <v>175</v>
      </c>
      <c r="HA99">
        <v>5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22.5</v>
      </c>
      <c r="NL99">
        <v>47</v>
      </c>
      <c r="NM99">
        <v>120</v>
      </c>
      <c r="NN99">
        <v>0</v>
      </c>
      <c r="NO99">
        <v>0</v>
      </c>
      <c r="NP99">
        <v>55</v>
      </c>
      <c r="NQ99">
        <v>55.5</v>
      </c>
      <c r="NR99">
        <v>0</v>
      </c>
      <c r="NS99">
        <v>300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300</v>
      </c>
      <c r="OA99">
        <v>0</v>
      </c>
      <c r="OB99">
        <v>300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120</v>
      </c>
      <c r="OT99">
        <v>175</v>
      </c>
      <c r="OU99">
        <v>5</v>
      </c>
      <c r="OV99">
        <v>0</v>
      </c>
      <c r="OW99">
        <v>0</v>
      </c>
      <c r="OX99">
        <v>22.5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47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120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55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55.5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300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300</v>
      </c>
      <c r="TS99">
        <v>120</v>
      </c>
      <c r="TT99">
        <v>175</v>
      </c>
      <c r="TU99">
        <v>5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300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</row>
    <row r="100" spans="1:640">
      <c r="A100" t="s">
        <v>738</v>
      </c>
      <c r="B100" t="s">
        <v>837</v>
      </c>
      <c r="C100" t="s">
        <v>839</v>
      </c>
      <c r="D100" t="s">
        <v>848</v>
      </c>
      <c r="E100" t="s">
        <v>839</v>
      </c>
      <c r="F100" s="2">
        <v>45729</v>
      </c>
      <c r="G100">
        <v>49.40185546875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49.40185546875</v>
      </c>
      <c r="N100">
        <v>0</v>
      </c>
      <c r="O100">
        <v>49.40185546875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49.40185546875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100</v>
      </c>
      <c r="BA100">
        <v>0</v>
      </c>
      <c r="BB100">
        <v>0</v>
      </c>
      <c r="BC100">
        <v>0</v>
      </c>
      <c r="BD100">
        <v>1</v>
      </c>
      <c r="BE100">
        <v>3</v>
      </c>
      <c r="BF100">
        <v>49.40185546875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49.40185546875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49.40185546875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49.40185546875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49.40185546875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49.40185546875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F2326"/>
  <sheetViews>
    <sheetView workbookViewId="0"/>
  </sheetViews>
  <sheetFormatPr defaultRowHeight="15"/>
  <sheetData>
    <row r="1" spans="1:6">
      <c r="A1" s="1" t="s">
        <v>865</v>
      </c>
      <c r="B1" s="1" t="s">
        <v>866</v>
      </c>
      <c r="C1" s="1" t="s">
        <v>867</v>
      </c>
      <c r="D1" s="1" t="s">
        <v>868</v>
      </c>
      <c r="E1" s="1" t="s">
        <v>869</v>
      </c>
      <c r="F1" s="1" t="s">
        <v>870</v>
      </c>
    </row>
    <row r="2" spans="1:6">
      <c r="A2" t="s">
        <v>50</v>
      </c>
      <c r="B2">
        <v>2020</v>
      </c>
      <c r="C2" t="s">
        <v>871</v>
      </c>
      <c r="E2">
        <v>19</v>
      </c>
      <c r="F2">
        <v>19</v>
      </c>
    </row>
    <row r="3" spans="1:6">
      <c r="A3" t="s">
        <v>15</v>
      </c>
      <c r="B3">
        <v>2022</v>
      </c>
      <c r="C3" t="s">
        <v>872</v>
      </c>
      <c r="E3">
        <v>6.15876260471344</v>
      </c>
      <c r="F3">
        <v>7</v>
      </c>
    </row>
    <row r="4" spans="1:6">
      <c r="A4" t="s">
        <v>13</v>
      </c>
      <c r="B4">
        <v>2016</v>
      </c>
      <c r="C4" t="s">
        <v>873</v>
      </c>
      <c r="E4">
        <v>60.7861550442576</v>
      </c>
      <c r="F4">
        <v>105</v>
      </c>
    </row>
    <row r="5" spans="1:6">
      <c r="A5" t="s">
        <v>67</v>
      </c>
      <c r="B5">
        <v>2016</v>
      </c>
      <c r="C5" t="s">
        <v>874</v>
      </c>
      <c r="E5">
        <v>188</v>
      </c>
      <c r="F5">
        <v>54</v>
      </c>
    </row>
    <row r="6" spans="1:6">
      <c r="A6" t="s">
        <v>55</v>
      </c>
      <c r="B6">
        <v>2019</v>
      </c>
      <c r="C6" t="s">
        <v>875</v>
      </c>
      <c r="E6">
        <v>35</v>
      </c>
      <c r="F6">
        <v>35</v>
      </c>
    </row>
    <row r="7" spans="1:6">
      <c r="A7" t="s">
        <v>55</v>
      </c>
      <c r="B7">
        <v>2017</v>
      </c>
      <c r="C7" t="s">
        <v>876</v>
      </c>
      <c r="E7">
        <v>18</v>
      </c>
      <c r="F7">
        <v>18</v>
      </c>
    </row>
    <row r="8" spans="1:6">
      <c r="A8" t="s">
        <v>56</v>
      </c>
      <c r="B8">
        <v>2021</v>
      </c>
      <c r="C8" t="s">
        <v>877</v>
      </c>
      <c r="E8">
        <v>20</v>
      </c>
      <c r="F8">
        <v>20</v>
      </c>
    </row>
    <row r="9" spans="1:6">
      <c r="A9" t="s">
        <v>92</v>
      </c>
      <c r="B9">
        <v>2021</v>
      </c>
      <c r="C9" t="s">
        <v>878</v>
      </c>
      <c r="E9">
        <v>5.05683706283569</v>
      </c>
      <c r="F9">
        <v>8</v>
      </c>
    </row>
    <row r="10" spans="1:6">
      <c r="A10" t="s">
        <v>98</v>
      </c>
      <c r="B10">
        <v>2016</v>
      </c>
      <c r="C10" t="s">
        <v>879</v>
      </c>
      <c r="E10">
        <v>0.282409790039063</v>
      </c>
      <c r="F10">
        <v>2</v>
      </c>
    </row>
    <row r="11" spans="1:6">
      <c r="A11" t="s">
        <v>132</v>
      </c>
      <c r="B11">
        <v>2018</v>
      </c>
      <c r="C11" t="s">
        <v>878</v>
      </c>
      <c r="E11">
        <v>34</v>
      </c>
      <c r="F11">
        <v>10</v>
      </c>
    </row>
    <row r="12" spans="1:6">
      <c r="A12" t="s">
        <v>123</v>
      </c>
      <c r="B12">
        <v>2021</v>
      </c>
      <c r="C12" t="s">
        <v>874</v>
      </c>
      <c r="E12">
        <v>13</v>
      </c>
      <c r="F12">
        <v>4</v>
      </c>
    </row>
    <row r="13" spans="1:6">
      <c r="A13" t="s">
        <v>152</v>
      </c>
      <c r="B13">
        <v>2024</v>
      </c>
      <c r="C13" t="s">
        <v>880</v>
      </c>
      <c r="E13">
        <v>0.1</v>
      </c>
      <c r="F13">
        <v>1</v>
      </c>
    </row>
    <row r="14" spans="1:6">
      <c r="A14" t="s">
        <v>199</v>
      </c>
      <c r="B14">
        <v>2019</v>
      </c>
      <c r="C14" t="s">
        <v>881</v>
      </c>
      <c r="D14" t="s">
        <v>892</v>
      </c>
      <c r="E14">
        <v>14.4898644504547</v>
      </c>
      <c r="F14">
        <v>10</v>
      </c>
    </row>
    <row r="15" spans="1:6">
      <c r="A15" t="s">
        <v>25</v>
      </c>
      <c r="B15">
        <v>2017</v>
      </c>
      <c r="C15" t="s">
        <v>882</v>
      </c>
      <c r="D15" t="s">
        <v>840</v>
      </c>
      <c r="E15">
        <v>13.0989666194916</v>
      </c>
      <c r="F15">
        <v>35</v>
      </c>
    </row>
    <row r="16" spans="1:6">
      <c r="A16" t="s">
        <v>40</v>
      </c>
      <c r="B16">
        <v>2016</v>
      </c>
      <c r="C16" t="s">
        <v>879</v>
      </c>
      <c r="D16" t="s">
        <v>840</v>
      </c>
      <c r="E16">
        <v>2.24519213867188</v>
      </c>
      <c r="F16">
        <v>6</v>
      </c>
    </row>
    <row r="17" spans="1:6">
      <c r="A17" t="s">
        <v>217</v>
      </c>
      <c r="B17">
        <v>2022</v>
      </c>
      <c r="C17" t="s">
        <v>883</v>
      </c>
      <c r="E17">
        <v>5.58720302581787</v>
      </c>
      <c r="F17">
        <v>4</v>
      </c>
    </row>
    <row r="18" spans="1:6">
      <c r="A18" t="s">
        <v>413</v>
      </c>
      <c r="B18">
        <v>2019</v>
      </c>
      <c r="C18" t="s">
        <v>884</v>
      </c>
      <c r="E18">
        <v>10.120655828476</v>
      </c>
      <c r="F18">
        <v>48</v>
      </c>
    </row>
    <row r="19" spans="1:6">
      <c r="A19" t="s">
        <v>385</v>
      </c>
      <c r="B19">
        <v>2020</v>
      </c>
      <c r="C19" t="s">
        <v>885</v>
      </c>
      <c r="E19">
        <v>2.20094071388245</v>
      </c>
      <c r="F19">
        <v>15</v>
      </c>
    </row>
    <row r="20" spans="1:6">
      <c r="A20" t="s">
        <v>409</v>
      </c>
      <c r="B20">
        <v>2018</v>
      </c>
      <c r="C20" t="s">
        <v>840</v>
      </c>
      <c r="E20">
        <v>43.4296050405502</v>
      </c>
      <c r="F20">
        <v>81</v>
      </c>
    </row>
    <row r="21" spans="1:6">
      <c r="A21" t="s">
        <v>9</v>
      </c>
      <c r="B21">
        <v>2023</v>
      </c>
      <c r="C21" t="s">
        <v>886</v>
      </c>
      <c r="E21">
        <v>33.2365443878174</v>
      </c>
      <c r="F21">
        <v>10</v>
      </c>
    </row>
    <row r="22" spans="1:6">
      <c r="A22" t="s">
        <v>62</v>
      </c>
      <c r="B22">
        <v>2016</v>
      </c>
      <c r="C22" t="s">
        <v>841</v>
      </c>
      <c r="E22">
        <v>2</v>
      </c>
      <c r="F22">
        <v>2</v>
      </c>
    </row>
    <row r="23" spans="1:6">
      <c r="A23" t="s">
        <v>92</v>
      </c>
      <c r="B23">
        <v>2015</v>
      </c>
      <c r="C23" t="s">
        <v>878</v>
      </c>
      <c r="E23">
        <v>6.19480190086365</v>
      </c>
      <c r="F23">
        <v>10</v>
      </c>
    </row>
    <row r="24" spans="1:6">
      <c r="A24" t="s">
        <v>72</v>
      </c>
      <c r="B24">
        <v>2015</v>
      </c>
      <c r="C24" t="s">
        <v>873</v>
      </c>
      <c r="E24">
        <v>10.2845693492889</v>
      </c>
      <c r="F24">
        <v>36</v>
      </c>
    </row>
    <row r="25" spans="1:6">
      <c r="A25" t="s">
        <v>80</v>
      </c>
      <c r="B25">
        <v>2017</v>
      </c>
      <c r="C25" t="s">
        <v>874</v>
      </c>
      <c r="E25">
        <v>8.07647822570801</v>
      </c>
      <c r="F25">
        <v>17</v>
      </c>
    </row>
    <row r="26" spans="1:6">
      <c r="A26" t="s">
        <v>124</v>
      </c>
      <c r="B26">
        <v>2017</v>
      </c>
      <c r="C26" t="s">
        <v>874</v>
      </c>
      <c r="E26">
        <v>1</v>
      </c>
      <c r="F26">
        <v>1</v>
      </c>
    </row>
    <row r="27" spans="1:6">
      <c r="A27" t="s">
        <v>118</v>
      </c>
      <c r="B27">
        <v>2016</v>
      </c>
      <c r="C27" t="s">
        <v>873</v>
      </c>
      <c r="E27">
        <v>1</v>
      </c>
      <c r="F27">
        <v>1</v>
      </c>
    </row>
    <row r="28" spans="1:6">
      <c r="A28" t="s">
        <v>186</v>
      </c>
      <c r="B28">
        <v>2020</v>
      </c>
      <c r="C28" t="s">
        <v>878</v>
      </c>
      <c r="D28" t="s">
        <v>891</v>
      </c>
      <c r="E28">
        <v>0.0133000001907349</v>
      </c>
      <c r="F28">
        <v>1</v>
      </c>
    </row>
    <row r="29" spans="1:6">
      <c r="A29" t="s">
        <v>166</v>
      </c>
      <c r="B29">
        <v>2022</v>
      </c>
      <c r="C29" t="s">
        <v>874</v>
      </c>
      <c r="D29" t="s">
        <v>884</v>
      </c>
      <c r="E29">
        <v>15.91585090065</v>
      </c>
      <c r="F29">
        <v>23</v>
      </c>
    </row>
    <row r="30" spans="1:6">
      <c r="A30" t="s">
        <v>161</v>
      </c>
      <c r="B30">
        <v>2021</v>
      </c>
      <c r="C30" t="s">
        <v>887</v>
      </c>
      <c r="D30" t="s">
        <v>890</v>
      </c>
      <c r="E30">
        <v>2.3640067628026</v>
      </c>
      <c r="F30">
        <v>10</v>
      </c>
    </row>
    <row r="31" spans="1:6">
      <c r="A31" t="s">
        <v>39</v>
      </c>
      <c r="B31">
        <v>2018</v>
      </c>
      <c r="C31" t="s">
        <v>879</v>
      </c>
      <c r="D31" t="s">
        <v>839</v>
      </c>
      <c r="E31">
        <v>1.2406390953064</v>
      </c>
      <c r="F31">
        <v>4</v>
      </c>
    </row>
    <row r="32" spans="1:6">
      <c r="A32" t="s">
        <v>217</v>
      </c>
      <c r="B32">
        <v>2021</v>
      </c>
      <c r="C32" t="s">
        <v>883</v>
      </c>
      <c r="E32">
        <v>0.499030639648438</v>
      </c>
      <c r="F32">
        <v>2</v>
      </c>
    </row>
    <row r="33" spans="1:6">
      <c r="A33" t="s">
        <v>600</v>
      </c>
      <c r="B33">
        <v>2019</v>
      </c>
      <c r="C33" t="s">
        <v>884</v>
      </c>
      <c r="E33">
        <v>1.711</v>
      </c>
      <c r="F33">
        <v>1</v>
      </c>
    </row>
    <row r="34" spans="1:6">
      <c r="A34" t="s">
        <v>228</v>
      </c>
      <c r="B34">
        <v>2019</v>
      </c>
      <c r="C34" t="s">
        <v>838</v>
      </c>
      <c r="E34">
        <v>4.29096282958984</v>
      </c>
      <c r="F34">
        <v>5</v>
      </c>
    </row>
    <row r="35" spans="1:6">
      <c r="A35" t="s">
        <v>414</v>
      </c>
      <c r="B35">
        <v>2024</v>
      </c>
      <c r="C35" t="s">
        <v>884</v>
      </c>
      <c r="E35">
        <v>0.113</v>
      </c>
      <c r="F35">
        <v>2</v>
      </c>
    </row>
    <row r="36" spans="1:6">
      <c r="A36" t="s">
        <v>411</v>
      </c>
      <c r="B36">
        <v>2021</v>
      </c>
      <c r="C36" t="s">
        <v>841</v>
      </c>
      <c r="E36">
        <v>0.034540843963623</v>
      </c>
      <c r="F36">
        <v>3</v>
      </c>
    </row>
    <row r="37" spans="1:6">
      <c r="A37" t="s">
        <v>74</v>
      </c>
      <c r="B37">
        <v>2017</v>
      </c>
      <c r="C37" t="s">
        <v>873</v>
      </c>
      <c r="E37">
        <v>23.9521112785339</v>
      </c>
      <c r="F37">
        <v>30</v>
      </c>
    </row>
    <row r="38" spans="1:6">
      <c r="A38" t="s">
        <v>103</v>
      </c>
      <c r="B38">
        <v>2019</v>
      </c>
      <c r="C38" t="s">
        <v>888</v>
      </c>
      <c r="E38">
        <v>4.10368148803711</v>
      </c>
      <c r="F38">
        <v>7</v>
      </c>
    </row>
    <row r="39" spans="1:6">
      <c r="A39" t="s">
        <v>138</v>
      </c>
      <c r="B39">
        <v>2018</v>
      </c>
      <c r="C39" t="s">
        <v>879</v>
      </c>
      <c r="E39">
        <v>4</v>
      </c>
      <c r="F39">
        <v>3</v>
      </c>
    </row>
    <row r="40" spans="1:6">
      <c r="A40" t="s">
        <v>145</v>
      </c>
      <c r="B40">
        <v>2020</v>
      </c>
      <c r="C40" t="s">
        <v>888</v>
      </c>
      <c r="E40">
        <v>29</v>
      </c>
      <c r="F40">
        <v>17</v>
      </c>
    </row>
    <row r="41" spans="1:6">
      <c r="A41" t="s">
        <v>117</v>
      </c>
      <c r="B41">
        <v>2015</v>
      </c>
      <c r="C41" t="s">
        <v>873</v>
      </c>
      <c r="E41">
        <v>8</v>
      </c>
      <c r="F41">
        <v>6</v>
      </c>
    </row>
    <row r="42" spans="1:6">
      <c r="A42" t="s">
        <v>167</v>
      </c>
      <c r="B42">
        <v>2023</v>
      </c>
      <c r="C42" t="s">
        <v>874</v>
      </c>
      <c r="D42" t="s">
        <v>892</v>
      </c>
      <c r="E42">
        <v>3.83597349739075</v>
      </c>
      <c r="F42">
        <v>7</v>
      </c>
    </row>
    <row r="43" spans="1:6">
      <c r="A43" t="s">
        <v>166</v>
      </c>
      <c r="B43">
        <v>2023</v>
      </c>
      <c r="C43" t="s">
        <v>874</v>
      </c>
      <c r="D43" t="s">
        <v>884</v>
      </c>
      <c r="E43">
        <v>3.6214211101532</v>
      </c>
      <c r="F43">
        <v>18</v>
      </c>
    </row>
    <row r="44" spans="1:6">
      <c r="A44" t="s">
        <v>184</v>
      </c>
      <c r="B44">
        <v>2020</v>
      </c>
      <c r="C44" t="s">
        <v>878</v>
      </c>
      <c r="D44" t="s">
        <v>880</v>
      </c>
      <c r="E44">
        <v>2.1058473033905</v>
      </c>
      <c r="F44">
        <v>7</v>
      </c>
    </row>
    <row r="45" spans="1:6">
      <c r="A45" t="s">
        <v>206</v>
      </c>
      <c r="B45">
        <v>2024</v>
      </c>
      <c r="C45" t="s">
        <v>839</v>
      </c>
      <c r="E45">
        <v>0.863579523086548</v>
      </c>
      <c r="F45">
        <v>4</v>
      </c>
    </row>
    <row r="46" spans="1:6">
      <c r="A46" t="s">
        <v>31</v>
      </c>
      <c r="B46">
        <v>2018</v>
      </c>
      <c r="C46" t="s">
        <v>889</v>
      </c>
      <c r="D46" t="s">
        <v>838</v>
      </c>
      <c r="E46">
        <v>0.0874285049438477</v>
      </c>
      <c r="F46">
        <v>1</v>
      </c>
    </row>
    <row r="47" spans="1:6">
      <c r="A47" t="s">
        <v>25</v>
      </c>
      <c r="B47">
        <v>2019</v>
      </c>
      <c r="C47" t="s">
        <v>882</v>
      </c>
      <c r="D47" t="s">
        <v>840</v>
      </c>
      <c r="E47">
        <v>21.5991121444702</v>
      </c>
      <c r="F47">
        <v>31</v>
      </c>
    </row>
    <row r="48" spans="1:6">
      <c r="A48" t="s">
        <v>595</v>
      </c>
      <c r="B48">
        <v>2021</v>
      </c>
      <c r="C48" t="s">
        <v>890</v>
      </c>
      <c r="E48">
        <v>0.0881679534912109</v>
      </c>
      <c r="F48">
        <v>1</v>
      </c>
    </row>
    <row r="49" spans="1:6">
      <c r="A49" t="s">
        <v>307</v>
      </c>
      <c r="B49">
        <v>2020</v>
      </c>
      <c r="C49" t="s">
        <v>839</v>
      </c>
      <c r="E49">
        <v>0.767588806152344</v>
      </c>
      <c r="F49">
        <v>1</v>
      </c>
    </row>
    <row r="50" spans="1:6">
      <c r="A50" t="s">
        <v>437</v>
      </c>
      <c r="B50">
        <v>2018</v>
      </c>
      <c r="C50" t="s">
        <v>891</v>
      </c>
      <c r="E50">
        <v>1.05242460727319</v>
      </c>
      <c r="F50">
        <v>28</v>
      </c>
    </row>
    <row r="51" spans="1:6">
      <c r="A51" t="s">
        <v>419</v>
      </c>
      <c r="B51">
        <v>2016</v>
      </c>
      <c r="C51" t="s">
        <v>892</v>
      </c>
      <c r="E51">
        <v>4.88295529937744</v>
      </c>
      <c r="F51">
        <v>31</v>
      </c>
    </row>
    <row r="52" spans="1:6">
      <c r="A52" t="s">
        <v>422</v>
      </c>
      <c r="B52">
        <v>2023</v>
      </c>
      <c r="C52" t="s">
        <v>892</v>
      </c>
      <c r="E52">
        <v>0.100369171142578</v>
      </c>
      <c r="F52">
        <v>1</v>
      </c>
    </row>
    <row r="53" spans="1:6">
      <c r="A53" t="s">
        <v>436</v>
      </c>
      <c r="B53">
        <v>2021</v>
      </c>
      <c r="C53" t="s">
        <v>890</v>
      </c>
      <c r="E53">
        <v>0.0548034973144531</v>
      </c>
      <c r="F53">
        <v>1</v>
      </c>
    </row>
    <row r="54" spans="1:6">
      <c r="A54" t="s">
        <v>455</v>
      </c>
      <c r="B54">
        <v>2016</v>
      </c>
      <c r="C54" t="s">
        <v>893</v>
      </c>
      <c r="E54">
        <v>3.35630782371759</v>
      </c>
      <c r="F54">
        <v>27</v>
      </c>
    </row>
    <row r="55" spans="1:6">
      <c r="A55" t="s">
        <v>410</v>
      </c>
      <c r="B55">
        <v>2024</v>
      </c>
      <c r="C55" t="s">
        <v>838</v>
      </c>
      <c r="E55">
        <v>0.31</v>
      </c>
      <c r="F55">
        <v>2</v>
      </c>
    </row>
    <row r="56" spans="1:6">
      <c r="A56" t="s">
        <v>62</v>
      </c>
      <c r="B56">
        <v>2020</v>
      </c>
      <c r="C56" t="s">
        <v>841</v>
      </c>
      <c r="E56">
        <v>3</v>
      </c>
      <c r="F56">
        <v>3</v>
      </c>
    </row>
    <row r="57" spans="1:6">
      <c r="A57" t="s">
        <v>96</v>
      </c>
      <c r="B57">
        <v>2020</v>
      </c>
      <c r="C57" t="s">
        <v>879</v>
      </c>
      <c r="E57">
        <v>0.25</v>
      </c>
      <c r="F57">
        <v>2</v>
      </c>
    </row>
    <row r="58" spans="1:6">
      <c r="A58" t="s">
        <v>78</v>
      </c>
      <c r="B58">
        <v>2020</v>
      </c>
      <c r="C58" t="s">
        <v>874</v>
      </c>
      <c r="E58">
        <v>3.45959565734863</v>
      </c>
      <c r="F58">
        <v>9</v>
      </c>
    </row>
    <row r="59" spans="1:6">
      <c r="A59" t="s">
        <v>123</v>
      </c>
      <c r="B59">
        <v>2018</v>
      </c>
      <c r="C59" t="s">
        <v>874</v>
      </c>
      <c r="E59">
        <v>4</v>
      </c>
      <c r="F59">
        <v>4</v>
      </c>
    </row>
    <row r="60" spans="1:6">
      <c r="A60" t="s">
        <v>151</v>
      </c>
      <c r="B60">
        <v>2020</v>
      </c>
      <c r="C60" t="s">
        <v>892</v>
      </c>
      <c r="E60">
        <v>25.5998163232803</v>
      </c>
      <c r="F60">
        <v>42</v>
      </c>
    </row>
    <row r="61" spans="1:6">
      <c r="A61" t="s">
        <v>160</v>
      </c>
      <c r="B61">
        <v>2022</v>
      </c>
      <c r="C61" t="s">
        <v>887</v>
      </c>
      <c r="D61" t="s">
        <v>880</v>
      </c>
      <c r="E61">
        <v>13.5765422546864</v>
      </c>
      <c r="F61">
        <v>20</v>
      </c>
    </row>
    <row r="62" spans="1:6">
      <c r="A62" t="s">
        <v>184</v>
      </c>
      <c r="B62">
        <v>2018</v>
      </c>
      <c r="C62" t="s">
        <v>878</v>
      </c>
      <c r="D62" t="s">
        <v>880</v>
      </c>
      <c r="E62">
        <v>1.38989940452576</v>
      </c>
      <c r="F62">
        <v>8</v>
      </c>
    </row>
    <row r="63" spans="1:6">
      <c r="A63" t="s">
        <v>183</v>
      </c>
      <c r="B63">
        <v>2024</v>
      </c>
      <c r="C63" t="s">
        <v>878</v>
      </c>
      <c r="D63" t="s">
        <v>892</v>
      </c>
      <c r="E63">
        <v>0.0240699462890625</v>
      </c>
      <c r="F63">
        <v>1</v>
      </c>
    </row>
    <row r="64" spans="1:6">
      <c r="A64" t="s">
        <v>25</v>
      </c>
      <c r="B64">
        <v>2022</v>
      </c>
      <c r="C64" t="s">
        <v>882</v>
      </c>
      <c r="D64" t="s">
        <v>840</v>
      </c>
      <c r="E64">
        <v>8.288405246734619</v>
      </c>
      <c r="F64">
        <v>18</v>
      </c>
    </row>
    <row r="65" spans="1:6">
      <c r="A65" t="s">
        <v>45</v>
      </c>
      <c r="B65">
        <v>2021</v>
      </c>
      <c r="C65" t="s">
        <v>888</v>
      </c>
      <c r="D65" t="s">
        <v>840</v>
      </c>
      <c r="E65">
        <v>12.3801755447388</v>
      </c>
      <c r="F65">
        <v>16</v>
      </c>
    </row>
    <row r="66" spans="1:6">
      <c r="A66" t="s">
        <v>215</v>
      </c>
      <c r="B66">
        <v>2021</v>
      </c>
      <c r="C66" t="s">
        <v>891</v>
      </c>
      <c r="E66">
        <v>0.415271057128906</v>
      </c>
      <c r="F66">
        <v>1</v>
      </c>
    </row>
    <row r="67" spans="1:6">
      <c r="A67" t="s">
        <v>611</v>
      </c>
      <c r="B67">
        <v>2023</v>
      </c>
      <c r="C67" t="s">
        <v>890</v>
      </c>
      <c r="E67">
        <v>0.446531463623047</v>
      </c>
      <c r="F67">
        <v>1</v>
      </c>
    </row>
    <row r="68" spans="1:6">
      <c r="A68" t="s">
        <v>633</v>
      </c>
      <c r="B68">
        <v>2021</v>
      </c>
      <c r="C68" t="s">
        <v>892</v>
      </c>
      <c r="E68">
        <v>0.245</v>
      </c>
      <c r="F68">
        <v>2</v>
      </c>
    </row>
    <row r="69" spans="1:6">
      <c r="A69" t="s">
        <v>449</v>
      </c>
      <c r="B69">
        <v>2023</v>
      </c>
      <c r="C69" t="s">
        <v>883</v>
      </c>
      <c r="E69">
        <v>0.198367819786072</v>
      </c>
      <c r="F69">
        <v>7</v>
      </c>
    </row>
    <row r="70" spans="1:6">
      <c r="A70" t="s">
        <v>378</v>
      </c>
      <c r="B70">
        <v>2016</v>
      </c>
      <c r="C70" t="s">
        <v>891</v>
      </c>
      <c r="E70">
        <v>0.850424017071724</v>
      </c>
      <c r="F70">
        <v>19</v>
      </c>
    </row>
    <row r="71" spans="1:6">
      <c r="A71" t="s">
        <v>419</v>
      </c>
      <c r="B71">
        <v>2018</v>
      </c>
      <c r="C71" t="s">
        <v>892</v>
      </c>
      <c r="E71">
        <v>5.14830646312237</v>
      </c>
      <c r="F71">
        <v>35</v>
      </c>
    </row>
    <row r="72" spans="1:6">
      <c r="A72" t="s">
        <v>446</v>
      </c>
      <c r="B72">
        <v>2019</v>
      </c>
      <c r="C72" t="s">
        <v>879</v>
      </c>
      <c r="E72">
        <v>0.326150314331055</v>
      </c>
      <c r="F72">
        <v>3</v>
      </c>
    </row>
    <row r="73" spans="1:6">
      <c r="A73" t="s">
        <v>50</v>
      </c>
      <c r="B73">
        <v>2016</v>
      </c>
      <c r="C73" t="s">
        <v>894</v>
      </c>
      <c r="E73">
        <v>27</v>
      </c>
      <c r="F73">
        <v>27</v>
      </c>
    </row>
    <row r="74" spans="1:6">
      <c r="A74" t="s">
        <v>15</v>
      </c>
      <c r="B74">
        <v>2019</v>
      </c>
      <c r="C74" t="s">
        <v>895</v>
      </c>
      <c r="E74">
        <v>6.30082507514954</v>
      </c>
      <c r="F74">
        <v>14</v>
      </c>
    </row>
    <row r="75" spans="1:6">
      <c r="A75" t="s">
        <v>49</v>
      </c>
      <c r="B75">
        <v>2016</v>
      </c>
      <c r="C75" t="s">
        <v>896</v>
      </c>
      <c r="E75">
        <v>32</v>
      </c>
      <c r="F75">
        <v>32</v>
      </c>
    </row>
    <row r="76" spans="1:6">
      <c r="A76" t="s">
        <v>15</v>
      </c>
      <c r="B76">
        <v>2020</v>
      </c>
      <c r="C76" t="s">
        <v>872</v>
      </c>
      <c r="E76">
        <v>2.21704605102539</v>
      </c>
      <c r="F76">
        <v>7</v>
      </c>
    </row>
    <row r="77" spans="1:6">
      <c r="A77" t="s">
        <v>68</v>
      </c>
      <c r="B77">
        <v>2020</v>
      </c>
      <c r="C77" t="s">
        <v>872</v>
      </c>
      <c r="E77">
        <v>22</v>
      </c>
      <c r="F77">
        <v>7</v>
      </c>
    </row>
    <row r="78" spans="1:6">
      <c r="A78" t="s">
        <v>14</v>
      </c>
      <c r="B78">
        <v>2019</v>
      </c>
      <c r="C78" t="s">
        <v>874</v>
      </c>
      <c r="E78">
        <v>43.3469286737442</v>
      </c>
      <c r="F78">
        <v>48</v>
      </c>
    </row>
    <row r="79" spans="1:6">
      <c r="A79" t="s">
        <v>55</v>
      </c>
      <c r="B79">
        <v>2023</v>
      </c>
      <c r="C79" t="s">
        <v>875</v>
      </c>
      <c r="E79">
        <v>9</v>
      </c>
      <c r="F79">
        <v>9</v>
      </c>
    </row>
    <row r="80" spans="1:6">
      <c r="A80" t="s">
        <v>55</v>
      </c>
      <c r="B80">
        <v>2015</v>
      </c>
      <c r="C80" t="s">
        <v>897</v>
      </c>
      <c r="E80">
        <v>2</v>
      </c>
      <c r="F80">
        <v>2</v>
      </c>
    </row>
    <row r="81" spans="1:6">
      <c r="A81" t="s">
        <v>58</v>
      </c>
      <c r="B81">
        <v>2018</v>
      </c>
      <c r="C81" t="s">
        <v>839</v>
      </c>
      <c r="E81">
        <v>228</v>
      </c>
      <c r="F81">
        <v>53</v>
      </c>
    </row>
    <row r="82" spans="1:6">
      <c r="A82" t="s">
        <v>103</v>
      </c>
      <c r="B82">
        <v>2023</v>
      </c>
      <c r="C82" t="s">
        <v>888</v>
      </c>
      <c r="E82">
        <v>9.30541038608551</v>
      </c>
      <c r="F82">
        <v>7</v>
      </c>
    </row>
    <row r="83" spans="1:6">
      <c r="A83" t="s">
        <v>133</v>
      </c>
      <c r="B83">
        <v>2020</v>
      </c>
      <c r="C83" t="s">
        <v>878</v>
      </c>
      <c r="E83">
        <v>27</v>
      </c>
      <c r="F83">
        <v>16</v>
      </c>
    </row>
    <row r="84" spans="1:6">
      <c r="A84" t="s">
        <v>148</v>
      </c>
      <c r="B84">
        <v>2018</v>
      </c>
      <c r="C84" t="s">
        <v>888</v>
      </c>
      <c r="E84">
        <v>1</v>
      </c>
      <c r="F84">
        <v>1</v>
      </c>
    </row>
    <row r="85" spans="1:6">
      <c r="A85" t="s">
        <v>121</v>
      </c>
      <c r="B85">
        <v>2021</v>
      </c>
      <c r="C85" t="s">
        <v>874</v>
      </c>
      <c r="E85">
        <v>90</v>
      </c>
      <c r="F85">
        <v>24</v>
      </c>
    </row>
    <row r="86" spans="1:6">
      <c r="A86" t="s">
        <v>163</v>
      </c>
      <c r="B86">
        <v>2018</v>
      </c>
      <c r="C86" t="s">
        <v>887</v>
      </c>
      <c r="D86" t="s">
        <v>879</v>
      </c>
      <c r="E86">
        <v>2.78387124729156</v>
      </c>
      <c r="F86">
        <v>38</v>
      </c>
    </row>
    <row r="87" spans="1:6">
      <c r="A87" t="s">
        <v>210</v>
      </c>
      <c r="B87">
        <v>2020</v>
      </c>
      <c r="C87" t="s">
        <v>898</v>
      </c>
      <c r="E87">
        <v>0.0815412826538086</v>
      </c>
      <c r="F87">
        <v>1</v>
      </c>
    </row>
    <row r="88" spans="1:6">
      <c r="A88" t="s">
        <v>38</v>
      </c>
      <c r="B88">
        <v>2016</v>
      </c>
      <c r="C88" t="s">
        <v>878</v>
      </c>
      <c r="D88" t="s">
        <v>898</v>
      </c>
      <c r="E88">
        <v>0.106306259155273</v>
      </c>
      <c r="F88">
        <v>1</v>
      </c>
    </row>
    <row r="89" spans="1:6">
      <c r="A89" t="s">
        <v>22</v>
      </c>
      <c r="B89">
        <v>2022</v>
      </c>
      <c r="C89" t="s">
        <v>873</v>
      </c>
      <c r="D89" t="s">
        <v>841</v>
      </c>
      <c r="E89">
        <v>0.519834171295166</v>
      </c>
      <c r="F89">
        <v>8</v>
      </c>
    </row>
    <row r="90" spans="1:6">
      <c r="A90" t="s">
        <v>300</v>
      </c>
      <c r="B90">
        <v>2020</v>
      </c>
      <c r="C90" t="s">
        <v>841</v>
      </c>
      <c r="E90">
        <v>0.005</v>
      </c>
      <c r="F90">
        <v>1</v>
      </c>
    </row>
    <row r="91" spans="1:6">
      <c r="A91" t="s">
        <v>424</v>
      </c>
      <c r="B91">
        <v>2019</v>
      </c>
      <c r="C91" t="s">
        <v>892</v>
      </c>
      <c r="E91">
        <v>0.523540594100952</v>
      </c>
      <c r="F91">
        <v>4</v>
      </c>
    </row>
    <row r="92" spans="1:6">
      <c r="A92" t="s">
        <v>414</v>
      </c>
      <c r="B92">
        <v>2021</v>
      </c>
      <c r="C92" t="s">
        <v>884</v>
      </c>
      <c r="E92">
        <v>4.73823160743713</v>
      </c>
      <c r="F92">
        <v>14</v>
      </c>
    </row>
    <row r="93" spans="1:6">
      <c r="A93" t="s">
        <v>411</v>
      </c>
      <c r="B93">
        <v>2016</v>
      </c>
      <c r="C93" t="s">
        <v>841</v>
      </c>
      <c r="E93">
        <v>0.0495500001907349</v>
      </c>
      <c r="F93">
        <v>3</v>
      </c>
    </row>
    <row r="94" spans="1:6">
      <c r="A94" t="s">
        <v>9</v>
      </c>
      <c r="B94">
        <v>2016</v>
      </c>
      <c r="C94" t="s">
        <v>886</v>
      </c>
      <c r="E94">
        <v>11.3223223829269</v>
      </c>
      <c r="F94">
        <v>14</v>
      </c>
    </row>
    <row r="95" spans="1:6">
      <c r="A95" t="s">
        <v>97</v>
      </c>
      <c r="B95">
        <v>2016</v>
      </c>
      <c r="C95" t="s">
        <v>879</v>
      </c>
      <c r="E95">
        <v>1.29081524658203</v>
      </c>
      <c r="F95">
        <v>4</v>
      </c>
    </row>
    <row r="96" spans="1:6">
      <c r="A96" t="s">
        <v>79</v>
      </c>
      <c r="B96">
        <v>2018</v>
      </c>
      <c r="C96" t="s">
        <v>874</v>
      </c>
      <c r="E96">
        <v>19.2282286413908</v>
      </c>
      <c r="F96">
        <v>32</v>
      </c>
    </row>
    <row r="97" spans="1:6">
      <c r="A97" t="s">
        <v>72</v>
      </c>
      <c r="B97">
        <v>2016</v>
      </c>
      <c r="C97" t="s">
        <v>873</v>
      </c>
      <c r="E97">
        <v>11.1236748197079</v>
      </c>
      <c r="F97">
        <v>33</v>
      </c>
    </row>
    <row r="98" spans="1:6">
      <c r="A98" t="s">
        <v>81</v>
      </c>
      <c r="B98">
        <v>2019</v>
      </c>
      <c r="C98" t="s">
        <v>874</v>
      </c>
      <c r="E98">
        <v>3.41148400878906</v>
      </c>
      <c r="F98">
        <v>2</v>
      </c>
    </row>
    <row r="99" spans="1:6">
      <c r="A99" t="s">
        <v>147</v>
      </c>
      <c r="B99">
        <v>2020</v>
      </c>
      <c r="C99" t="s">
        <v>888</v>
      </c>
      <c r="E99">
        <v>1</v>
      </c>
      <c r="F99">
        <v>1</v>
      </c>
    </row>
    <row r="100" spans="1:6">
      <c r="A100" t="s">
        <v>138</v>
      </c>
      <c r="B100">
        <v>2020</v>
      </c>
      <c r="C100" t="s">
        <v>879</v>
      </c>
      <c r="E100">
        <v>2</v>
      </c>
      <c r="F100">
        <v>2</v>
      </c>
    </row>
    <row r="101" spans="1:6">
      <c r="A101" t="s">
        <v>190</v>
      </c>
      <c r="B101">
        <v>2023</v>
      </c>
      <c r="C101" t="s">
        <v>879</v>
      </c>
      <c r="D101" t="s">
        <v>884</v>
      </c>
      <c r="E101">
        <v>0.404833100318909</v>
      </c>
      <c r="F101">
        <v>3</v>
      </c>
    </row>
    <row r="102" spans="1:6">
      <c r="A102" t="s">
        <v>171</v>
      </c>
      <c r="B102">
        <v>2019</v>
      </c>
      <c r="C102" t="s">
        <v>874</v>
      </c>
      <c r="D102" t="s">
        <v>879</v>
      </c>
      <c r="E102">
        <v>2.53904309844971</v>
      </c>
      <c r="F102">
        <v>4</v>
      </c>
    </row>
    <row r="103" spans="1:6">
      <c r="A103" t="s">
        <v>187</v>
      </c>
      <c r="B103">
        <v>2018</v>
      </c>
      <c r="C103" t="s">
        <v>878</v>
      </c>
      <c r="D103" t="s">
        <v>879</v>
      </c>
      <c r="E103">
        <v>0.569684634208679</v>
      </c>
      <c r="F103">
        <v>4</v>
      </c>
    </row>
    <row r="104" spans="1:6">
      <c r="A104" t="s">
        <v>39</v>
      </c>
      <c r="B104">
        <v>2017</v>
      </c>
      <c r="C104" t="s">
        <v>879</v>
      </c>
      <c r="D104" t="s">
        <v>839</v>
      </c>
      <c r="E104">
        <v>0.715661208927631</v>
      </c>
      <c r="F104">
        <v>4</v>
      </c>
    </row>
    <row r="105" spans="1:6">
      <c r="A105" t="s">
        <v>592</v>
      </c>
      <c r="B105">
        <v>2021</v>
      </c>
      <c r="C105" t="s">
        <v>884</v>
      </c>
      <c r="E105">
        <v>3.9754930267334</v>
      </c>
      <c r="F105">
        <v>2</v>
      </c>
    </row>
    <row r="106" spans="1:6">
      <c r="A106" t="s">
        <v>600</v>
      </c>
      <c r="B106">
        <v>2022</v>
      </c>
      <c r="C106" t="s">
        <v>884</v>
      </c>
      <c r="E106">
        <v>3.90241625976563</v>
      </c>
      <c r="F106">
        <v>1</v>
      </c>
    </row>
    <row r="107" spans="1:6">
      <c r="A107" t="s">
        <v>307</v>
      </c>
      <c r="B107">
        <v>2017</v>
      </c>
      <c r="C107" t="s">
        <v>839</v>
      </c>
      <c r="E107">
        <v>0.307088394165039</v>
      </c>
      <c r="F107">
        <v>2</v>
      </c>
    </row>
    <row r="108" spans="1:6">
      <c r="A108" t="s">
        <v>425</v>
      </c>
      <c r="B108">
        <v>2021</v>
      </c>
      <c r="C108" t="s">
        <v>880</v>
      </c>
      <c r="E108">
        <v>1.14254301452637</v>
      </c>
      <c r="F108">
        <v>6</v>
      </c>
    </row>
    <row r="109" spans="1:6">
      <c r="A109" t="s">
        <v>56</v>
      </c>
      <c r="B109">
        <v>2019</v>
      </c>
      <c r="C109" t="s">
        <v>877</v>
      </c>
      <c r="E109">
        <v>28</v>
      </c>
      <c r="F109">
        <v>28</v>
      </c>
    </row>
    <row r="110" spans="1:6">
      <c r="A110" t="s">
        <v>81</v>
      </c>
      <c r="B110">
        <v>2023</v>
      </c>
      <c r="C110" t="s">
        <v>874</v>
      </c>
      <c r="E110">
        <v>0.65718890953064</v>
      </c>
      <c r="F110">
        <v>2</v>
      </c>
    </row>
    <row r="111" spans="1:6">
      <c r="A111" t="s">
        <v>76</v>
      </c>
      <c r="B111">
        <v>2017</v>
      </c>
      <c r="C111" t="s">
        <v>873</v>
      </c>
      <c r="E111">
        <v>0.2111826171875</v>
      </c>
      <c r="F111">
        <v>2</v>
      </c>
    </row>
    <row r="112" spans="1:6">
      <c r="A112" t="s">
        <v>114</v>
      </c>
      <c r="B112">
        <v>2015</v>
      </c>
      <c r="C112" t="s">
        <v>873</v>
      </c>
      <c r="E112">
        <v>63</v>
      </c>
      <c r="F112">
        <v>36</v>
      </c>
    </row>
    <row r="113" spans="1:6">
      <c r="A113" t="s">
        <v>146</v>
      </c>
      <c r="B113">
        <v>2015</v>
      </c>
      <c r="C113" t="s">
        <v>888</v>
      </c>
      <c r="E113">
        <v>12</v>
      </c>
      <c r="F113">
        <v>5</v>
      </c>
    </row>
    <row r="114" spans="1:6">
      <c r="A114" t="s">
        <v>156</v>
      </c>
      <c r="B114">
        <v>2021</v>
      </c>
      <c r="C114" t="s">
        <v>883</v>
      </c>
      <c r="E114">
        <v>10.6217600075006</v>
      </c>
      <c r="F114">
        <v>44</v>
      </c>
    </row>
    <row r="115" spans="1:6">
      <c r="A115" t="s">
        <v>186</v>
      </c>
      <c r="B115">
        <v>2022</v>
      </c>
      <c r="C115" t="s">
        <v>878</v>
      </c>
      <c r="D115" t="s">
        <v>891</v>
      </c>
      <c r="E115">
        <v>0.244924030303955</v>
      </c>
      <c r="F115">
        <v>2</v>
      </c>
    </row>
    <row r="116" spans="1:6">
      <c r="A116" t="s">
        <v>178</v>
      </c>
      <c r="B116">
        <v>2020</v>
      </c>
      <c r="C116" t="s">
        <v>895</v>
      </c>
      <c r="D116" t="s">
        <v>891</v>
      </c>
      <c r="E116">
        <v>0.036</v>
      </c>
      <c r="F116">
        <v>1</v>
      </c>
    </row>
    <row r="117" spans="1:6">
      <c r="A117" t="s">
        <v>171</v>
      </c>
      <c r="B117">
        <v>2021</v>
      </c>
      <c r="C117" t="s">
        <v>874</v>
      </c>
      <c r="D117" t="s">
        <v>879</v>
      </c>
      <c r="E117">
        <v>0.318641644477844</v>
      </c>
      <c r="F117">
        <v>3</v>
      </c>
    </row>
    <row r="118" spans="1:6">
      <c r="A118" t="s">
        <v>210</v>
      </c>
      <c r="B118">
        <v>2018</v>
      </c>
      <c r="C118" t="s">
        <v>898</v>
      </c>
      <c r="E118">
        <v>0.680767398146912</v>
      </c>
      <c r="F118">
        <v>8</v>
      </c>
    </row>
    <row r="119" spans="1:6">
      <c r="A119" t="s">
        <v>44</v>
      </c>
      <c r="B119">
        <v>2016</v>
      </c>
      <c r="C119" t="s">
        <v>888</v>
      </c>
      <c r="D119" t="s">
        <v>839</v>
      </c>
      <c r="E119">
        <v>0.8239835529327389</v>
      </c>
      <c r="F119">
        <v>9</v>
      </c>
    </row>
    <row r="120" spans="1:6">
      <c r="A120" t="s">
        <v>223</v>
      </c>
      <c r="B120">
        <v>2018</v>
      </c>
      <c r="C120" t="s">
        <v>885</v>
      </c>
      <c r="E120">
        <v>1.25329545783997</v>
      </c>
      <c r="F120">
        <v>3</v>
      </c>
    </row>
    <row r="121" spans="1:6">
      <c r="A121" t="s">
        <v>599</v>
      </c>
      <c r="B121">
        <v>2022</v>
      </c>
      <c r="C121" t="s">
        <v>893</v>
      </c>
      <c r="E121">
        <v>2.6344814453125</v>
      </c>
      <c r="F121">
        <v>2</v>
      </c>
    </row>
    <row r="122" spans="1:6">
      <c r="A122" t="s">
        <v>317</v>
      </c>
      <c r="B122">
        <v>2018</v>
      </c>
      <c r="C122" t="s">
        <v>839</v>
      </c>
      <c r="E122">
        <v>0.258204713821411</v>
      </c>
      <c r="F122">
        <v>2</v>
      </c>
    </row>
    <row r="123" spans="1:6">
      <c r="A123" t="s">
        <v>420</v>
      </c>
      <c r="B123">
        <v>2019</v>
      </c>
      <c r="C123" t="s">
        <v>892</v>
      </c>
      <c r="E123">
        <v>8.51490692424774</v>
      </c>
      <c r="F123">
        <v>10</v>
      </c>
    </row>
    <row r="124" spans="1:6">
      <c r="A124" t="s">
        <v>420</v>
      </c>
      <c r="B124">
        <v>2017</v>
      </c>
      <c r="C124" t="s">
        <v>892</v>
      </c>
      <c r="E124">
        <v>3.8746967086792</v>
      </c>
      <c r="F124">
        <v>10</v>
      </c>
    </row>
    <row r="125" spans="1:6">
      <c r="A125" t="s">
        <v>379</v>
      </c>
      <c r="B125">
        <v>2019</v>
      </c>
      <c r="C125" t="s">
        <v>879</v>
      </c>
      <c r="E125">
        <v>3.88769694900513</v>
      </c>
      <c r="F125">
        <v>22</v>
      </c>
    </row>
    <row r="126" spans="1:6">
      <c r="A126" t="s">
        <v>379</v>
      </c>
      <c r="B126">
        <v>2017</v>
      </c>
      <c r="C126" t="s">
        <v>879</v>
      </c>
      <c r="E126">
        <v>2.18891197872162</v>
      </c>
      <c r="F126">
        <v>25</v>
      </c>
    </row>
    <row r="127" spans="1:6">
      <c r="A127" t="s">
        <v>456</v>
      </c>
      <c r="B127">
        <v>2017</v>
      </c>
      <c r="C127" t="s">
        <v>893</v>
      </c>
      <c r="E127">
        <v>0.507741760253906</v>
      </c>
      <c r="F127">
        <v>3</v>
      </c>
    </row>
    <row r="128" spans="1:6">
      <c r="A128" t="s">
        <v>410</v>
      </c>
      <c r="B128">
        <v>2016</v>
      </c>
      <c r="C128" t="s">
        <v>838</v>
      </c>
      <c r="E128">
        <v>3.12014965629578</v>
      </c>
      <c r="F128">
        <v>21</v>
      </c>
    </row>
    <row r="129" spans="1:6">
      <c r="A129" t="s">
        <v>62</v>
      </c>
      <c r="B129">
        <v>2018</v>
      </c>
      <c r="C129" t="s">
        <v>841</v>
      </c>
      <c r="E129">
        <v>6</v>
      </c>
      <c r="F129">
        <v>4</v>
      </c>
    </row>
    <row r="130" spans="1:6">
      <c r="A130" t="s">
        <v>82</v>
      </c>
      <c r="B130">
        <v>2018</v>
      </c>
      <c r="C130" t="s">
        <v>874</v>
      </c>
      <c r="E130">
        <v>0.0795599365234375</v>
      </c>
      <c r="F130">
        <v>1</v>
      </c>
    </row>
    <row r="131" spans="1:6">
      <c r="A131" t="s">
        <v>72</v>
      </c>
      <c r="B131">
        <v>2022</v>
      </c>
      <c r="C131" t="s">
        <v>873</v>
      </c>
      <c r="E131">
        <v>14.7267571744919</v>
      </c>
      <c r="F131">
        <v>26</v>
      </c>
    </row>
    <row r="132" spans="1:6">
      <c r="A132" t="s">
        <v>123</v>
      </c>
      <c r="B132">
        <v>2016</v>
      </c>
      <c r="C132" t="s">
        <v>874</v>
      </c>
      <c r="E132">
        <v>11</v>
      </c>
      <c r="F132">
        <v>5</v>
      </c>
    </row>
    <row r="133" spans="1:6">
      <c r="A133" t="s">
        <v>157</v>
      </c>
      <c r="B133">
        <v>2022</v>
      </c>
      <c r="C133" t="s">
        <v>893</v>
      </c>
      <c r="E133">
        <v>35.3145196626186</v>
      </c>
      <c r="F133">
        <v>56</v>
      </c>
    </row>
    <row r="134" spans="1:6">
      <c r="A134" t="s">
        <v>164</v>
      </c>
      <c r="B134">
        <v>2023</v>
      </c>
      <c r="C134" t="s">
        <v>887</v>
      </c>
      <c r="D134" t="s">
        <v>883</v>
      </c>
      <c r="E134">
        <v>2.06613871623576</v>
      </c>
      <c r="F134">
        <v>18</v>
      </c>
    </row>
    <row r="135" spans="1:6">
      <c r="A135" t="s">
        <v>191</v>
      </c>
      <c r="B135">
        <v>2023</v>
      </c>
      <c r="C135" t="s">
        <v>879</v>
      </c>
      <c r="D135" t="s">
        <v>892</v>
      </c>
      <c r="E135">
        <v>0.00453046274185181</v>
      </c>
      <c r="F135">
        <v>1</v>
      </c>
    </row>
    <row r="136" spans="1:6">
      <c r="A136" t="s">
        <v>202</v>
      </c>
      <c r="B136">
        <v>2023</v>
      </c>
      <c r="C136" t="s">
        <v>881</v>
      </c>
      <c r="D136" t="s">
        <v>891</v>
      </c>
      <c r="E136">
        <v>0.06</v>
      </c>
      <c r="F136">
        <v>1</v>
      </c>
    </row>
    <row r="137" spans="1:6">
      <c r="A137" t="s">
        <v>29</v>
      </c>
      <c r="B137">
        <v>2015</v>
      </c>
      <c r="C137" t="s">
        <v>889</v>
      </c>
      <c r="D137" t="s">
        <v>839</v>
      </c>
      <c r="E137">
        <v>0.414944930076599</v>
      </c>
      <c r="F137">
        <v>4</v>
      </c>
    </row>
    <row r="138" spans="1:6">
      <c r="A138" t="s">
        <v>597</v>
      </c>
      <c r="B138">
        <v>2017</v>
      </c>
      <c r="C138" t="s">
        <v>879</v>
      </c>
      <c r="E138">
        <v>0.0500891761779785</v>
      </c>
      <c r="F138">
        <v>1</v>
      </c>
    </row>
    <row r="139" spans="1:6">
      <c r="A139" t="s">
        <v>223</v>
      </c>
      <c r="B139">
        <v>2021</v>
      </c>
      <c r="C139" t="s">
        <v>885</v>
      </c>
      <c r="E139">
        <v>0.775877990722656</v>
      </c>
      <c r="F139">
        <v>1</v>
      </c>
    </row>
    <row r="140" spans="1:6">
      <c r="A140" t="s">
        <v>612</v>
      </c>
      <c r="B140">
        <v>2019</v>
      </c>
      <c r="C140" t="s">
        <v>891</v>
      </c>
      <c r="E140">
        <v>0.151804565429688</v>
      </c>
      <c r="F140">
        <v>1</v>
      </c>
    </row>
    <row r="141" spans="1:6">
      <c r="A141" t="s">
        <v>309</v>
      </c>
      <c r="B141">
        <v>2016</v>
      </c>
      <c r="C141" t="s">
        <v>838</v>
      </c>
      <c r="E141">
        <v>0.0408140106201172</v>
      </c>
      <c r="F141">
        <v>1</v>
      </c>
    </row>
    <row r="142" spans="1:6">
      <c r="A142" t="s">
        <v>436</v>
      </c>
      <c r="B142">
        <v>2017</v>
      </c>
      <c r="C142" t="s">
        <v>890</v>
      </c>
      <c r="E142">
        <v>0.169468383789063</v>
      </c>
      <c r="F142">
        <v>1</v>
      </c>
    </row>
    <row r="143" spans="1:6">
      <c r="A143" t="s">
        <v>383</v>
      </c>
      <c r="B143">
        <v>2017</v>
      </c>
      <c r="C143" t="s">
        <v>885</v>
      </c>
      <c r="E143">
        <v>10.7422848014832</v>
      </c>
      <c r="F143">
        <v>25</v>
      </c>
    </row>
    <row r="144" spans="1:6">
      <c r="A144" t="s">
        <v>382</v>
      </c>
      <c r="B144">
        <v>2022</v>
      </c>
      <c r="C144" t="s">
        <v>885</v>
      </c>
      <c r="E144">
        <v>29.0301813087463</v>
      </c>
      <c r="F144">
        <v>52</v>
      </c>
    </row>
    <row r="145" spans="1:6">
      <c r="A145" t="s">
        <v>448</v>
      </c>
      <c r="B145">
        <v>2023</v>
      </c>
      <c r="C145" t="s">
        <v>879</v>
      </c>
      <c r="E145">
        <v>0.181218505859375</v>
      </c>
      <c r="F145">
        <v>1</v>
      </c>
    </row>
    <row r="146" spans="1:6">
      <c r="A146" t="s">
        <v>50</v>
      </c>
      <c r="B146">
        <v>2023</v>
      </c>
      <c r="C146" t="s">
        <v>899</v>
      </c>
      <c r="E146">
        <v>1</v>
      </c>
      <c r="F146">
        <v>1</v>
      </c>
    </row>
    <row r="147" spans="1:6">
      <c r="A147" t="s">
        <v>70</v>
      </c>
      <c r="B147">
        <v>2022</v>
      </c>
      <c r="C147" t="s">
        <v>900</v>
      </c>
      <c r="E147">
        <v>9</v>
      </c>
      <c r="F147">
        <v>4</v>
      </c>
    </row>
    <row r="148" spans="1:6">
      <c r="A148" t="s">
        <v>14</v>
      </c>
      <c r="B148">
        <v>2017</v>
      </c>
      <c r="C148" t="s">
        <v>874</v>
      </c>
      <c r="E148">
        <v>29.0092299785614</v>
      </c>
      <c r="F148">
        <v>51</v>
      </c>
    </row>
    <row r="149" spans="1:6">
      <c r="A149" t="s">
        <v>49</v>
      </c>
      <c r="B149">
        <v>2022</v>
      </c>
      <c r="C149" t="s">
        <v>896</v>
      </c>
      <c r="E149">
        <v>20</v>
      </c>
      <c r="F149">
        <v>20</v>
      </c>
    </row>
    <row r="150" spans="1:6">
      <c r="A150" t="s">
        <v>55</v>
      </c>
      <c r="B150">
        <v>2016</v>
      </c>
      <c r="C150" t="s">
        <v>876</v>
      </c>
      <c r="E150">
        <v>10</v>
      </c>
      <c r="F150">
        <v>10</v>
      </c>
    </row>
    <row r="151" spans="1:6">
      <c r="A151" t="s">
        <v>17</v>
      </c>
      <c r="B151">
        <v>2019</v>
      </c>
      <c r="C151" t="s">
        <v>879</v>
      </c>
      <c r="E151">
        <v>2.69185989809036</v>
      </c>
      <c r="F151">
        <v>10</v>
      </c>
    </row>
    <row r="152" spans="1:6">
      <c r="A152" t="s">
        <v>71</v>
      </c>
      <c r="B152">
        <v>2015</v>
      </c>
      <c r="C152" t="s">
        <v>888</v>
      </c>
      <c r="E152">
        <v>35</v>
      </c>
      <c r="F152">
        <v>15</v>
      </c>
    </row>
    <row r="153" spans="1:6">
      <c r="A153" t="s">
        <v>49</v>
      </c>
      <c r="B153">
        <v>2024</v>
      </c>
      <c r="C153" t="s">
        <v>901</v>
      </c>
      <c r="E153">
        <v>12</v>
      </c>
      <c r="F153">
        <v>12</v>
      </c>
    </row>
    <row r="154" spans="1:6">
      <c r="A154" t="s">
        <v>50</v>
      </c>
      <c r="B154">
        <v>2021</v>
      </c>
      <c r="C154" t="s">
        <v>894</v>
      </c>
      <c r="E154">
        <v>14</v>
      </c>
      <c r="F154">
        <v>14</v>
      </c>
    </row>
    <row r="155" spans="1:6">
      <c r="A155" t="s">
        <v>97</v>
      </c>
      <c r="B155">
        <v>2020</v>
      </c>
      <c r="C155" t="s">
        <v>879</v>
      </c>
      <c r="E155">
        <v>3.3</v>
      </c>
      <c r="F155">
        <v>1</v>
      </c>
    </row>
    <row r="156" spans="1:6">
      <c r="A156" t="s">
        <v>105</v>
      </c>
      <c r="B156">
        <v>2019</v>
      </c>
      <c r="C156" t="s">
        <v>888</v>
      </c>
      <c r="E156">
        <v>13.6444873046875</v>
      </c>
      <c r="F156">
        <v>4</v>
      </c>
    </row>
    <row r="157" spans="1:6">
      <c r="A157" t="s">
        <v>139</v>
      </c>
      <c r="B157">
        <v>2019</v>
      </c>
      <c r="C157" t="s">
        <v>879</v>
      </c>
      <c r="E157">
        <v>14</v>
      </c>
      <c r="F157">
        <v>3</v>
      </c>
    </row>
    <row r="158" spans="1:6">
      <c r="A158" t="s">
        <v>207</v>
      </c>
      <c r="B158">
        <v>2015</v>
      </c>
      <c r="C158" t="s">
        <v>840</v>
      </c>
      <c r="E158">
        <v>56.4115465098321</v>
      </c>
      <c r="F158">
        <v>90</v>
      </c>
    </row>
    <row r="159" spans="1:6">
      <c r="A159" t="s">
        <v>41</v>
      </c>
      <c r="B159">
        <v>2019</v>
      </c>
      <c r="C159" t="s">
        <v>879</v>
      </c>
      <c r="D159" t="s">
        <v>838</v>
      </c>
      <c r="E159">
        <v>0.38960192489624</v>
      </c>
      <c r="F159">
        <v>3</v>
      </c>
    </row>
    <row r="160" spans="1:6">
      <c r="A160" t="s">
        <v>219</v>
      </c>
      <c r="B160">
        <v>2021</v>
      </c>
      <c r="C160" t="s">
        <v>885</v>
      </c>
      <c r="E160">
        <v>11.3497130432129</v>
      </c>
      <c r="F160">
        <v>4</v>
      </c>
    </row>
    <row r="161" spans="1:6">
      <c r="A161" t="s">
        <v>639</v>
      </c>
      <c r="B161">
        <v>2018</v>
      </c>
      <c r="C161" t="s">
        <v>893</v>
      </c>
      <c r="E161">
        <v>0.776</v>
      </c>
      <c r="F161">
        <v>1</v>
      </c>
    </row>
    <row r="162" spans="1:6">
      <c r="A162" t="s">
        <v>228</v>
      </c>
      <c r="B162">
        <v>2016</v>
      </c>
      <c r="C162" t="s">
        <v>838</v>
      </c>
      <c r="E162">
        <v>1.61033990573883</v>
      </c>
      <c r="F162">
        <v>5</v>
      </c>
    </row>
    <row r="163" spans="1:6">
      <c r="A163" t="s">
        <v>382</v>
      </c>
      <c r="B163">
        <v>2019</v>
      </c>
      <c r="C163" t="s">
        <v>885</v>
      </c>
      <c r="E163">
        <v>24.1119496545792</v>
      </c>
      <c r="F163">
        <v>59</v>
      </c>
    </row>
    <row r="164" spans="1:6">
      <c r="A164" t="s">
        <v>425</v>
      </c>
      <c r="B164">
        <v>2020</v>
      </c>
      <c r="C164" t="s">
        <v>880</v>
      </c>
      <c r="E164">
        <v>1.27757636237144</v>
      </c>
      <c r="F164">
        <v>6</v>
      </c>
    </row>
    <row r="165" spans="1:6">
      <c r="A165" t="s">
        <v>409</v>
      </c>
      <c r="B165">
        <v>2016</v>
      </c>
      <c r="C165" t="s">
        <v>840</v>
      </c>
      <c r="E165">
        <v>41.7317287310362</v>
      </c>
      <c r="F165">
        <v>71</v>
      </c>
    </row>
    <row r="166" spans="1:6">
      <c r="A166" t="s">
        <v>60</v>
      </c>
      <c r="B166">
        <v>2022</v>
      </c>
      <c r="C166" t="s">
        <v>838</v>
      </c>
      <c r="E166">
        <v>224</v>
      </c>
      <c r="F166">
        <v>40</v>
      </c>
    </row>
    <row r="167" spans="1:6">
      <c r="A167" t="s">
        <v>73</v>
      </c>
      <c r="B167">
        <v>2020</v>
      </c>
      <c r="C167" t="s">
        <v>873</v>
      </c>
      <c r="E167">
        <v>22.6575101356506</v>
      </c>
      <c r="F167">
        <v>45</v>
      </c>
    </row>
    <row r="168" spans="1:6">
      <c r="A168" t="s">
        <v>134</v>
      </c>
      <c r="B168">
        <v>2021</v>
      </c>
      <c r="C168" t="s">
        <v>878</v>
      </c>
      <c r="E168">
        <v>48.869421005249</v>
      </c>
      <c r="F168">
        <v>8</v>
      </c>
    </row>
    <row r="169" spans="1:6">
      <c r="A169" t="s">
        <v>154</v>
      </c>
      <c r="B169">
        <v>2016</v>
      </c>
      <c r="C169" t="s">
        <v>891</v>
      </c>
      <c r="E169">
        <v>1.96197164398432</v>
      </c>
      <c r="F169">
        <v>39</v>
      </c>
    </row>
    <row r="170" spans="1:6">
      <c r="A170" t="s">
        <v>169</v>
      </c>
      <c r="B170">
        <v>2023</v>
      </c>
      <c r="C170" t="s">
        <v>874</v>
      </c>
      <c r="D170" t="s">
        <v>890</v>
      </c>
      <c r="E170">
        <v>0.0019027943611145</v>
      </c>
      <c r="F170">
        <v>1</v>
      </c>
    </row>
    <row r="171" spans="1:6">
      <c r="A171" t="s">
        <v>163</v>
      </c>
      <c r="B171">
        <v>2021</v>
      </c>
      <c r="C171" t="s">
        <v>887</v>
      </c>
      <c r="D171" t="s">
        <v>879</v>
      </c>
      <c r="E171">
        <v>5.80590710115433</v>
      </c>
      <c r="F171">
        <v>38</v>
      </c>
    </row>
    <row r="172" spans="1:6">
      <c r="A172" t="s">
        <v>169</v>
      </c>
      <c r="B172">
        <v>2019</v>
      </c>
      <c r="C172" t="s">
        <v>874</v>
      </c>
      <c r="D172" t="s">
        <v>890</v>
      </c>
      <c r="E172">
        <v>0.547634123802185</v>
      </c>
      <c r="F172">
        <v>5</v>
      </c>
    </row>
    <row r="173" spans="1:6">
      <c r="A173" t="s">
        <v>203</v>
      </c>
      <c r="B173">
        <v>2021</v>
      </c>
      <c r="C173" t="s">
        <v>881</v>
      </c>
      <c r="D173" t="s">
        <v>879</v>
      </c>
      <c r="E173">
        <v>1.37507332992554</v>
      </c>
      <c r="F173">
        <v>6</v>
      </c>
    </row>
    <row r="174" spans="1:6">
      <c r="A174" t="s">
        <v>38</v>
      </c>
      <c r="B174">
        <v>2015</v>
      </c>
      <c r="C174" t="s">
        <v>878</v>
      </c>
      <c r="D174" t="s">
        <v>898</v>
      </c>
      <c r="E174">
        <v>0.276145416259766</v>
      </c>
      <c r="F174">
        <v>1</v>
      </c>
    </row>
    <row r="175" spans="1:6">
      <c r="A175" t="s">
        <v>594</v>
      </c>
      <c r="B175">
        <v>2016</v>
      </c>
      <c r="C175" t="s">
        <v>880</v>
      </c>
      <c r="E175">
        <v>0.265765625</v>
      </c>
      <c r="F175">
        <v>1</v>
      </c>
    </row>
    <row r="176" spans="1:6">
      <c r="A176" t="s">
        <v>298</v>
      </c>
      <c r="B176">
        <v>2018</v>
      </c>
      <c r="C176" t="s">
        <v>840</v>
      </c>
      <c r="E176">
        <v>0.867828525543213</v>
      </c>
      <c r="F176">
        <v>3</v>
      </c>
    </row>
    <row r="177" spans="1:6">
      <c r="A177" t="s">
        <v>456</v>
      </c>
      <c r="B177">
        <v>2020</v>
      </c>
      <c r="C177" t="s">
        <v>893</v>
      </c>
      <c r="E177">
        <v>0.846849998474121</v>
      </c>
      <c r="F177">
        <v>4</v>
      </c>
    </row>
    <row r="178" spans="1:6">
      <c r="A178" t="s">
        <v>460</v>
      </c>
      <c r="B178">
        <v>2022</v>
      </c>
      <c r="C178" t="s">
        <v>893</v>
      </c>
      <c r="E178">
        <v>1.39434058380127</v>
      </c>
      <c r="F178">
        <v>5</v>
      </c>
    </row>
    <row r="179" spans="1:6">
      <c r="A179" t="s">
        <v>56</v>
      </c>
      <c r="B179">
        <v>2016</v>
      </c>
      <c r="C179" t="s">
        <v>897</v>
      </c>
      <c r="E179">
        <v>5</v>
      </c>
      <c r="F179">
        <v>5</v>
      </c>
    </row>
    <row r="180" spans="1:6">
      <c r="A180" t="s">
        <v>60</v>
      </c>
      <c r="B180">
        <v>2019</v>
      </c>
      <c r="C180" t="s">
        <v>838</v>
      </c>
      <c r="E180">
        <v>144</v>
      </c>
      <c r="F180">
        <v>32</v>
      </c>
    </row>
    <row r="181" spans="1:6">
      <c r="A181" t="s">
        <v>86</v>
      </c>
      <c r="B181">
        <v>2021</v>
      </c>
      <c r="C181" t="s">
        <v>895</v>
      </c>
      <c r="E181">
        <v>3.34899291992188</v>
      </c>
      <c r="F181">
        <v>3</v>
      </c>
    </row>
    <row r="182" spans="1:6">
      <c r="A182" t="s">
        <v>115</v>
      </c>
      <c r="B182">
        <v>2015</v>
      </c>
      <c r="C182" t="s">
        <v>873</v>
      </c>
      <c r="E182">
        <v>251</v>
      </c>
      <c r="F182">
        <v>53</v>
      </c>
    </row>
    <row r="183" spans="1:6">
      <c r="A183" t="s">
        <v>146</v>
      </c>
      <c r="B183">
        <v>2022</v>
      </c>
      <c r="C183" t="s">
        <v>888</v>
      </c>
      <c r="E183">
        <v>21</v>
      </c>
      <c r="F183">
        <v>12</v>
      </c>
    </row>
    <row r="184" spans="1:6">
      <c r="A184" t="s">
        <v>189</v>
      </c>
      <c r="B184">
        <v>2021</v>
      </c>
      <c r="C184" t="s">
        <v>878</v>
      </c>
      <c r="D184" t="s">
        <v>893</v>
      </c>
      <c r="E184">
        <v>3.21473260593414</v>
      </c>
      <c r="F184">
        <v>10</v>
      </c>
    </row>
    <row r="185" spans="1:6">
      <c r="A185" t="s">
        <v>27</v>
      </c>
      <c r="B185">
        <v>2021</v>
      </c>
      <c r="C185" t="s">
        <v>882</v>
      </c>
      <c r="D185" t="s">
        <v>841</v>
      </c>
      <c r="E185">
        <v>0.003</v>
      </c>
      <c r="F185">
        <v>1</v>
      </c>
    </row>
    <row r="186" spans="1:6">
      <c r="A186" t="s">
        <v>20</v>
      </c>
      <c r="B186">
        <v>2021</v>
      </c>
      <c r="C186" t="s">
        <v>873</v>
      </c>
      <c r="D186" t="s">
        <v>840</v>
      </c>
      <c r="E186">
        <v>35.5544791617394</v>
      </c>
      <c r="F186">
        <v>71</v>
      </c>
    </row>
    <row r="187" spans="1:6">
      <c r="A187" t="s">
        <v>598</v>
      </c>
      <c r="B187">
        <v>2018</v>
      </c>
      <c r="C187" t="s">
        <v>883</v>
      </c>
      <c r="E187">
        <v>0.221171354293823</v>
      </c>
      <c r="F187">
        <v>3</v>
      </c>
    </row>
    <row r="188" spans="1:6">
      <c r="A188" t="s">
        <v>381</v>
      </c>
      <c r="B188">
        <v>2022</v>
      </c>
      <c r="C188" t="s">
        <v>893</v>
      </c>
      <c r="E188">
        <v>8.716400272369381</v>
      </c>
      <c r="F188">
        <v>29</v>
      </c>
    </row>
    <row r="189" spans="1:6">
      <c r="A189" t="s">
        <v>422</v>
      </c>
      <c r="B189">
        <v>2022</v>
      </c>
      <c r="C189" t="s">
        <v>892</v>
      </c>
      <c r="E189">
        <v>0.834618316650391</v>
      </c>
      <c r="F189">
        <v>4</v>
      </c>
    </row>
    <row r="190" spans="1:6">
      <c r="A190" t="s">
        <v>424</v>
      </c>
      <c r="B190">
        <v>2022</v>
      </c>
      <c r="C190" t="s">
        <v>892</v>
      </c>
      <c r="E190">
        <v>0.356393827438355</v>
      </c>
      <c r="F190">
        <v>4</v>
      </c>
    </row>
    <row r="191" spans="1:6">
      <c r="A191" t="s">
        <v>419</v>
      </c>
      <c r="B191">
        <v>2019</v>
      </c>
      <c r="C191" t="s">
        <v>892</v>
      </c>
      <c r="E191">
        <v>5.66305572783947</v>
      </c>
      <c r="F191">
        <v>39</v>
      </c>
    </row>
    <row r="192" spans="1:6">
      <c r="A192" t="s">
        <v>446</v>
      </c>
      <c r="B192">
        <v>2021</v>
      </c>
      <c r="C192" t="s">
        <v>879</v>
      </c>
      <c r="E192">
        <v>0.201286228179932</v>
      </c>
      <c r="F192">
        <v>2</v>
      </c>
    </row>
    <row r="193" spans="1:6">
      <c r="A193" t="s">
        <v>56</v>
      </c>
      <c r="B193">
        <v>2018</v>
      </c>
      <c r="C193" t="s">
        <v>877</v>
      </c>
      <c r="E193">
        <v>44</v>
      </c>
      <c r="F193">
        <v>44</v>
      </c>
    </row>
    <row r="194" spans="1:6">
      <c r="A194" t="s">
        <v>61</v>
      </c>
      <c r="B194">
        <v>2022</v>
      </c>
      <c r="C194" t="s">
        <v>886</v>
      </c>
      <c r="E194">
        <v>38</v>
      </c>
      <c r="F194">
        <v>12</v>
      </c>
    </row>
    <row r="195" spans="1:6">
      <c r="A195" t="s">
        <v>85</v>
      </c>
      <c r="B195">
        <v>2018</v>
      </c>
      <c r="C195" t="s">
        <v>895</v>
      </c>
      <c r="E195">
        <v>2.48345966148376</v>
      </c>
      <c r="F195">
        <v>10</v>
      </c>
    </row>
    <row r="196" spans="1:6">
      <c r="A196" t="s">
        <v>79</v>
      </c>
      <c r="B196">
        <v>2020</v>
      </c>
      <c r="C196" t="s">
        <v>874</v>
      </c>
      <c r="E196">
        <v>11.7189632797241</v>
      </c>
      <c r="F196">
        <v>16</v>
      </c>
    </row>
    <row r="197" spans="1:6">
      <c r="A197" t="s">
        <v>118</v>
      </c>
      <c r="B197">
        <v>2017</v>
      </c>
      <c r="C197" t="s">
        <v>873</v>
      </c>
      <c r="E197">
        <v>2</v>
      </c>
      <c r="F197">
        <v>2</v>
      </c>
    </row>
    <row r="198" spans="1:6">
      <c r="A198" t="s">
        <v>179</v>
      </c>
      <c r="B198">
        <v>2022</v>
      </c>
      <c r="C198" t="s">
        <v>895</v>
      </c>
      <c r="D198" t="s">
        <v>879</v>
      </c>
      <c r="E198">
        <v>0.0499582490921021</v>
      </c>
      <c r="F198">
        <v>2</v>
      </c>
    </row>
    <row r="199" spans="1:6">
      <c r="A199" t="s">
        <v>164</v>
      </c>
      <c r="B199">
        <v>2024</v>
      </c>
      <c r="C199" t="s">
        <v>887</v>
      </c>
      <c r="D199" t="s">
        <v>883</v>
      </c>
      <c r="E199">
        <v>0.102599554300308</v>
      </c>
      <c r="F199">
        <v>2</v>
      </c>
    </row>
    <row r="200" spans="1:6">
      <c r="A200" t="s">
        <v>608</v>
      </c>
      <c r="B200">
        <v>2023</v>
      </c>
      <c r="C200" t="s">
        <v>884</v>
      </c>
      <c r="E200">
        <v>1.19952331161499</v>
      </c>
      <c r="F200">
        <v>3</v>
      </c>
    </row>
    <row r="201" spans="1:6">
      <c r="A201" t="s">
        <v>597</v>
      </c>
      <c r="B201">
        <v>2015</v>
      </c>
      <c r="C201" t="s">
        <v>879</v>
      </c>
      <c r="E201">
        <v>0.07139324378967291</v>
      </c>
      <c r="F201">
        <v>2</v>
      </c>
    </row>
    <row r="202" spans="1:6">
      <c r="A202" t="s">
        <v>227</v>
      </c>
      <c r="B202">
        <v>2021</v>
      </c>
      <c r="C202" t="s">
        <v>840</v>
      </c>
      <c r="E202">
        <v>4.29613284301758</v>
      </c>
      <c r="F202">
        <v>9</v>
      </c>
    </row>
    <row r="203" spans="1:6">
      <c r="A203" t="s">
        <v>423</v>
      </c>
      <c r="B203">
        <v>2019</v>
      </c>
      <c r="C203" t="s">
        <v>892</v>
      </c>
      <c r="E203">
        <v>0.09710114669799801</v>
      </c>
      <c r="F203">
        <v>3</v>
      </c>
    </row>
    <row r="204" spans="1:6">
      <c r="A204" t="s">
        <v>385</v>
      </c>
      <c r="B204">
        <v>2015</v>
      </c>
      <c r="C204" t="s">
        <v>885</v>
      </c>
      <c r="E204">
        <v>8.48785994911194</v>
      </c>
      <c r="F204">
        <v>23</v>
      </c>
    </row>
    <row r="205" spans="1:6">
      <c r="A205" t="s">
        <v>12</v>
      </c>
      <c r="B205">
        <v>2022</v>
      </c>
      <c r="E205">
        <v>246.266239655495</v>
      </c>
      <c r="F205">
        <v>96</v>
      </c>
    </row>
    <row r="206" spans="1:6">
      <c r="A206" t="s">
        <v>16</v>
      </c>
      <c r="B206">
        <v>2017</v>
      </c>
      <c r="C206" t="s">
        <v>878</v>
      </c>
      <c r="E206">
        <v>10.308365404129</v>
      </c>
      <c r="F206">
        <v>34</v>
      </c>
    </row>
    <row r="207" spans="1:6">
      <c r="A207" t="s">
        <v>68</v>
      </c>
      <c r="B207">
        <v>2023</v>
      </c>
      <c r="C207" t="s">
        <v>872</v>
      </c>
      <c r="E207">
        <v>11</v>
      </c>
      <c r="F207">
        <v>6</v>
      </c>
    </row>
    <row r="208" spans="1:6">
      <c r="A208" t="s">
        <v>49</v>
      </c>
      <c r="B208">
        <v>2015</v>
      </c>
      <c r="C208" t="s">
        <v>901</v>
      </c>
      <c r="E208">
        <v>123</v>
      </c>
      <c r="F208">
        <v>123</v>
      </c>
    </row>
    <row r="209" spans="1:6">
      <c r="A209" t="s">
        <v>55</v>
      </c>
      <c r="B209">
        <v>2016</v>
      </c>
      <c r="C209" t="s">
        <v>902</v>
      </c>
      <c r="E209">
        <v>114</v>
      </c>
      <c r="F209">
        <v>114</v>
      </c>
    </row>
    <row r="210" spans="1:6">
      <c r="A210" t="s">
        <v>59</v>
      </c>
      <c r="B210">
        <v>2020</v>
      </c>
      <c r="C210" t="s">
        <v>840</v>
      </c>
      <c r="E210">
        <v>311</v>
      </c>
      <c r="F210">
        <v>53</v>
      </c>
    </row>
    <row r="211" spans="1:6">
      <c r="A211" t="s">
        <v>99</v>
      </c>
      <c r="B211">
        <v>2021</v>
      </c>
      <c r="C211" t="s">
        <v>879</v>
      </c>
      <c r="E211">
        <v>1.46535137939453</v>
      </c>
      <c r="F211">
        <v>2</v>
      </c>
    </row>
    <row r="212" spans="1:6">
      <c r="A212" t="s">
        <v>88</v>
      </c>
      <c r="B212">
        <v>2015</v>
      </c>
      <c r="C212" t="s">
        <v>895</v>
      </c>
      <c r="E212">
        <v>0.136562454223633</v>
      </c>
      <c r="F212">
        <v>1</v>
      </c>
    </row>
    <row r="213" spans="1:6">
      <c r="A213" t="s">
        <v>134</v>
      </c>
      <c r="B213">
        <v>2022</v>
      </c>
      <c r="C213" t="s">
        <v>878</v>
      </c>
      <c r="E213">
        <v>59</v>
      </c>
      <c r="F213">
        <v>11</v>
      </c>
    </row>
    <row r="214" spans="1:6">
      <c r="A214" t="s">
        <v>115</v>
      </c>
      <c r="B214">
        <v>2024</v>
      </c>
      <c r="C214" t="s">
        <v>873</v>
      </c>
      <c r="E214">
        <v>7</v>
      </c>
      <c r="F214">
        <v>5</v>
      </c>
    </row>
    <row r="215" spans="1:6">
      <c r="A215" t="s">
        <v>126</v>
      </c>
      <c r="B215">
        <v>2020</v>
      </c>
      <c r="C215" t="s">
        <v>895</v>
      </c>
      <c r="E215">
        <v>1</v>
      </c>
      <c r="F215">
        <v>1</v>
      </c>
    </row>
    <row r="216" spans="1:6">
      <c r="A216" t="s">
        <v>205</v>
      </c>
      <c r="B216">
        <v>2018</v>
      </c>
      <c r="C216" t="s">
        <v>881</v>
      </c>
      <c r="D216" t="s">
        <v>893</v>
      </c>
      <c r="E216">
        <v>1.70128382503986</v>
      </c>
      <c r="F216">
        <v>9</v>
      </c>
    </row>
    <row r="217" spans="1:6">
      <c r="A217" t="s">
        <v>21</v>
      </c>
      <c r="B217">
        <v>2016</v>
      </c>
      <c r="C217" t="s">
        <v>873</v>
      </c>
      <c r="D217" t="s">
        <v>838</v>
      </c>
      <c r="E217">
        <v>19.3316240656376</v>
      </c>
      <c r="F217">
        <v>42</v>
      </c>
    </row>
    <row r="218" spans="1:6">
      <c r="A218" t="s">
        <v>632</v>
      </c>
      <c r="B218">
        <v>2017</v>
      </c>
      <c r="C218" t="s">
        <v>884</v>
      </c>
      <c r="E218">
        <v>0.5</v>
      </c>
      <c r="F218">
        <v>1</v>
      </c>
    </row>
    <row r="219" spans="1:6">
      <c r="A219" t="s">
        <v>599</v>
      </c>
      <c r="B219">
        <v>2023</v>
      </c>
      <c r="C219" t="s">
        <v>893</v>
      </c>
      <c r="E219">
        <v>0.228516540527344</v>
      </c>
      <c r="F219">
        <v>1</v>
      </c>
    </row>
    <row r="220" spans="1:6">
      <c r="A220" t="s">
        <v>226</v>
      </c>
      <c r="B220">
        <v>2017</v>
      </c>
      <c r="C220" t="s">
        <v>839</v>
      </c>
      <c r="E220">
        <v>1.90210856819153</v>
      </c>
      <c r="F220">
        <v>8</v>
      </c>
    </row>
    <row r="221" spans="1:6">
      <c r="A221" t="s">
        <v>456</v>
      </c>
      <c r="B221">
        <v>2015</v>
      </c>
      <c r="C221" t="s">
        <v>893</v>
      </c>
      <c r="E221">
        <v>1.0000805683136</v>
      </c>
      <c r="F221">
        <v>8</v>
      </c>
    </row>
    <row r="222" spans="1:6">
      <c r="A222" t="s">
        <v>458</v>
      </c>
      <c r="B222">
        <v>2018</v>
      </c>
      <c r="C222" t="s">
        <v>893</v>
      </c>
      <c r="E222">
        <v>2.72421893501282</v>
      </c>
      <c r="F222">
        <v>12</v>
      </c>
    </row>
    <row r="223" spans="1:6">
      <c r="A223" t="s">
        <v>438</v>
      </c>
      <c r="B223">
        <v>2021</v>
      </c>
      <c r="C223" t="s">
        <v>891</v>
      </c>
      <c r="E223">
        <v>0.0621917991638184</v>
      </c>
      <c r="F223">
        <v>2</v>
      </c>
    </row>
    <row r="224" spans="1:6">
      <c r="A224" t="s">
        <v>56</v>
      </c>
      <c r="B224">
        <v>2019</v>
      </c>
      <c r="C224" t="s">
        <v>903</v>
      </c>
      <c r="E224">
        <v>110</v>
      </c>
      <c r="F224">
        <v>110</v>
      </c>
    </row>
    <row r="225" spans="1:6">
      <c r="A225" t="s">
        <v>84</v>
      </c>
      <c r="B225">
        <v>2015</v>
      </c>
      <c r="C225" t="s">
        <v>895</v>
      </c>
      <c r="E225">
        <v>0.383595931053162</v>
      </c>
      <c r="F225">
        <v>4</v>
      </c>
    </row>
    <row r="226" spans="1:6">
      <c r="A226" t="s">
        <v>121</v>
      </c>
      <c r="B226">
        <v>2019</v>
      </c>
      <c r="C226" t="s">
        <v>874</v>
      </c>
      <c r="E226">
        <v>186</v>
      </c>
      <c r="F226">
        <v>29</v>
      </c>
    </row>
    <row r="227" spans="1:6">
      <c r="A227" t="s">
        <v>73</v>
      </c>
      <c r="B227">
        <v>2021</v>
      </c>
      <c r="C227" t="s">
        <v>873</v>
      </c>
      <c r="E227">
        <v>31.5382116947174</v>
      </c>
      <c r="F227">
        <v>61</v>
      </c>
    </row>
    <row r="228" spans="1:6">
      <c r="A228" t="s">
        <v>134</v>
      </c>
      <c r="B228">
        <v>2016</v>
      </c>
      <c r="C228" t="s">
        <v>878</v>
      </c>
      <c r="E228">
        <v>35</v>
      </c>
      <c r="F228">
        <v>9</v>
      </c>
    </row>
    <row r="229" spans="1:6">
      <c r="A229" t="s">
        <v>154</v>
      </c>
      <c r="B229">
        <v>2018</v>
      </c>
      <c r="C229" t="s">
        <v>891</v>
      </c>
      <c r="E229">
        <v>2.38337356328592</v>
      </c>
      <c r="F229">
        <v>51</v>
      </c>
    </row>
    <row r="230" spans="1:6">
      <c r="A230" t="s">
        <v>185</v>
      </c>
      <c r="B230">
        <v>2018</v>
      </c>
      <c r="C230" t="s">
        <v>878</v>
      </c>
      <c r="D230" t="s">
        <v>890</v>
      </c>
      <c r="E230">
        <v>0.371002206802368</v>
      </c>
      <c r="F230">
        <v>3</v>
      </c>
    </row>
    <row r="231" spans="1:6">
      <c r="A231" t="s">
        <v>197</v>
      </c>
      <c r="B231">
        <v>2021</v>
      </c>
      <c r="C231" t="s">
        <v>879</v>
      </c>
      <c r="D231" t="s">
        <v>893</v>
      </c>
      <c r="E231">
        <v>0.623347450256348</v>
      </c>
      <c r="F231">
        <v>2</v>
      </c>
    </row>
    <row r="232" spans="1:6">
      <c r="A232" t="s">
        <v>196</v>
      </c>
      <c r="B232">
        <v>2019</v>
      </c>
      <c r="C232" t="s">
        <v>879</v>
      </c>
      <c r="D232" t="s">
        <v>883</v>
      </c>
      <c r="E232">
        <v>0.306410655021667</v>
      </c>
      <c r="F232">
        <v>5</v>
      </c>
    </row>
    <row r="233" spans="1:6">
      <c r="A233" t="s">
        <v>24</v>
      </c>
      <c r="B233">
        <v>2015</v>
      </c>
      <c r="C233" t="s">
        <v>882</v>
      </c>
      <c r="D233" t="s">
        <v>839</v>
      </c>
      <c r="E233">
        <v>6.73199965158105</v>
      </c>
      <c r="F233">
        <v>21</v>
      </c>
    </row>
    <row r="234" spans="1:6">
      <c r="A234" t="s">
        <v>610</v>
      </c>
      <c r="B234">
        <v>2023</v>
      </c>
      <c r="C234" t="s">
        <v>880</v>
      </c>
      <c r="E234">
        <v>0.190170715332031</v>
      </c>
      <c r="F234">
        <v>1</v>
      </c>
    </row>
    <row r="235" spans="1:6">
      <c r="A235" t="s">
        <v>217</v>
      </c>
      <c r="B235">
        <v>2016</v>
      </c>
      <c r="C235" t="s">
        <v>883</v>
      </c>
      <c r="E235">
        <v>0.07147197723388669</v>
      </c>
      <c r="F235">
        <v>1</v>
      </c>
    </row>
    <row r="236" spans="1:6">
      <c r="A236" t="s">
        <v>607</v>
      </c>
      <c r="B236">
        <v>2016</v>
      </c>
      <c r="C236" t="s">
        <v>893</v>
      </c>
      <c r="E236">
        <v>0.305</v>
      </c>
      <c r="F236">
        <v>1</v>
      </c>
    </row>
    <row r="237" spans="1:6">
      <c r="A237" t="s">
        <v>302</v>
      </c>
      <c r="B237">
        <v>2022</v>
      </c>
      <c r="C237" t="s">
        <v>839</v>
      </c>
      <c r="E237">
        <v>3.738841796875</v>
      </c>
      <c r="F237">
        <v>1</v>
      </c>
    </row>
    <row r="238" spans="1:6">
      <c r="A238" t="s">
        <v>416</v>
      </c>
      <c r="B238">
        <v>2019</v>
      </c>
      <c r="C238" t="s">
        <v>884</v>
      </c>
      <c r="E238">
        <v>2.74930822753906</v>
      </c>
      <c r="F238">
        <v>14</v>
      </c>
    </row>
    <row r="239" spans="1:6">
      <c r="A239" t="s">
        <v>385</v>
      </c>
      <c r="B239">
        <v>2022</v>
      </c>
      <c r="C239" t="s">
        <v>885</v>
      </c>
      <c r="E239">
        <v>3.28022508239746</v>
      </c>
      <c r="F239">
        <v>10</v>
      </c>
    </row>
    <row r="240" spans="1:6">
      <c r="A240" t="s">
        <v>382</v>
      </c>
      <c r="B240">
        <v>2021</v>
      </c>
      <c r="C240" t="s">
        <v>885</v>
      </c>
      <c r="E240">
        <v>29.1884288387299</v>
      </c>
      <c r="F240">
        <v>57</v>
      </c>
    </row>
    <row r="241" spans="1:6">
      <c r="A241" t="s">
        <v>385</v>
      </c>
      <c r="B241">
        <v>2019</v>
      </c>
      <c r="C241" t="s">
        <v>885</v>
      </c>
      <c r="E241">
        <v>6.08950283241272</v>
      </c>
      <c r="F241">
        <v>21</v>
      </c>
    </row>
    <row r="242" spans="1:6">
      <c r="A242" t="s">
        <v>413</v>
      </c>
      <c r="B242">
        <v>2023</v>
      </c>
      <c r="C242" t="s">
        <v>884</v>
      </c>
      <c r="E242">
        <v>2.1885851752758</v>
      </c>
      <c r="F242">
        <v>18</v>
      </c>
    </row>
    <row r="243" spans="1:6">
      <c r="A243" t="s">
        <v>375</v>
      </c>
      <c r="B243">
        <v>2020</v>
      </c>
      <c r="C243" t="s">
        <v>892</v>
      </c>
      <c r="E243">
        <v>18.5669563770294</v>
      </c>
      <c r="F243">
        <v>29</v>
      </c>
    </row>
    <row r="244" spans="1:6">
      <c r="A244" t="s">
        <v>49</v>
      </c>
      <c r="B244">
        <v>2022</v>
      </c>
      <c r="C244" t="s">
        <v>901</v>
      </c>
      <c r="E244">
        <v>96</v>
      </c>
      <c r="F244">
        <v>96</v>
      </c>
    </row>
    <row r="245" spans="1:6">
      <c r="A245" t="s">
        <v>14</v>
      </c>
      <c r="B245">
        <v>2021</v>
      </c>
      <c r="C245" t="s">
        <v>904</v>
      </c>
      <c r="E245">
        <v>35.2352861061096</v>
      </c>
      <c r="F245">
        <v>38</v>
      </c>
    </row>
    <row r="246" spans="1:6">
      <c r="A246" t="s">
        <v>66</v>
      </c>
      <c r="B246">
        <v>2022</v>
      </c>
      <c r="C246" t="s">
        <v>905</v>
      </c>
      <c r="E246">
        <v>354</v>
      </c>
      <c r="F246">
        <v>87</v>
      </c>
    </row>
    <row r="247" spans="1:6">
      <c r="A247" t="s">
        <v>69</v>
      </c>
      <c r="B247">
        <v>2018</v>
      </c>
      <c r="C247" t="s">
        <v>878</v>
      </c>
      <c r="E247">
        <v>175</v>
      </c>
      <c r="F247">
        <v>39</v>
      </c>
    </row>
    <row r="248" spans="1:6">
      <c r="A248" t="s">
        <v>50</v>
      </c>
      <c r="B248">
        <v>2023</v>
      </c>
      <c r="C248" t="s">
        <v>871</v>
      </c>
      <c r="E248">
        <v>10</v>
      </c>
      <c r="F248">
        <v>10</v>
      </c>
    </row>
    <row r="249" spans="1:6">
      <c r="A249" t="s">
        <v>55</v>
      </c>
      <c r="B249">
        <v>2018</v>
      </c>
      <c r="C249" t="s">
        <v>875</v>
      </c>
      <c r="E249">
        <v>31</v>
      </c>
      <c r="F249">
        <v>31</v>
      </c>
    </row>
    <row r="250" spans="1:6">
      <c r="A250" t="s">
        <v>59</v>
      </c>
      <c r="B250">
        <v>2017</v>
      </c>
      <c r="C250" t="s">
        <v>840</v>
      </c>
      <c r="E250">
        <v>498</v>
      </c>
      <c r="F250">
        <v>83</v>
      </c>
    </row>
    <row r="251" spans="1:6">
      <c r="A251" t="s">
        <v>76</v>
      </c>
      <c r="B251">
        <v>2015</v>
      </c>
      <c r="C251" t="s">
        <v>873</v>
      </c>
      <c r="E251">
        <v>0.450326614379883</v>
      </c>
      <c r="F251">
        <v>2</v>
      </c>
    </row>
    <row r="252" spans="1:6">
      <c r="A252" t="s">
        <v>153</v>
      </c>
      <c r="B252">
        <v>2019</v>
      </c>
      <c r="C252" t="s">
        <v>890</v>
      </c>
      <c r="E252">
        <v>4.10423496067524</v>
      </c>
      <c r="F252">
        <v>17</v>
      </c>
    </row>
    <row r="253" spans="1:6">
      <c r="A253" t="s">
        <v>183</v>
      </c>
      <c r="B253">
        <v>2018</v>
      </c>
      <c r="C253" t="s">
        <v>878</v>
      </c>
      <c r="D253" t="s">
        <v>892</v>
      </c>
      <c r="E253">
        <v>2.21443399906158</v>
      </c>
      <c r="F253">
        <v>13</v>
      </c>
    </row>
    <row r="254" spans="1:6">
      <c r="A254" t="s">
        <v>31</v>
      </c>
      <c r="B254">
        <v>2017</v>
      </c>
      <c r="C254" t="s">
        <v>889</v>
      </c>
      <c r="D254" t="s">
        <v>838</v>
      </c>
      <c r="E254">
        <v>0.484612800598145</v>
      </c>
      <c r="F254">
        <v>3</v>
      </c>
    </row>
    <row r="255" spans="1:6">
      <c r="A255" t="s">
        <v>631</v>
      </c>
      <c r="B255">
        <v>2016</v>
      </c>
      <c r="C255" t="s">
        <v>893</v>
      </c>
      <c r="E255">
        <v>0.0768822021484375</v>
      </c>
      <c r="F255">
        <v>1</v>
      </c>
    </row>
    <row r="256" spans="1:6">
      <c r="A256" t="s">
        <v>219</v>
      </c>
      <c r="B256">
        <v>2016</v>
      </c>
      <c r="C256" t="s">
        <v>885</v>
      </c>
      <c r="E256">
        <v>5.43039876651764</v>
      </c>
      <c r="F256">
        <v>6</v>
      </c>
    </row>
    <row r="257" spans="1:6">
      <c r="A257" t="s">
        <v>298</v>
      </c>
      <c r="B257">
        <v>2023</v>
      </c>
      <c r="C257" t="s">
        <v>840</v>
      </c>
      <c r="E257">
        <v>0.167304626464844</v>
      </c>
      <c r="F257">
        <v>2</v>
      </c>
    </row>
    <row r="258" spans="1:6">
      <c r="A258" t="s">
        <v>324</v>
      </c>
      <c r="B258">
        <v>2019</v>
      </c>
      <c r="C258" t="s">
        <v>838</v>
      </c>
      <c r="E258">
        <v>0.602</v>
      </c>
      <c r="F258">
        <v>1</v>
      </c>
    </row>
    <row r="259" spans="1:6">
      <c r="A259" t="s">
        <v>431</v>
      </c>
      <c r="B259">
        <v>2017</v>
      </c>
      <c r="C259" t="s">
        <v>890</v>
      </c>
      <c r="E259">
        <v>0.583816401004791</v>
      </c>
      <c r="F259">
        <v>8</v>
      </c>
    </row>
    <row r="260" spans="1:6">
      <c r="A260" t="s">
        <v>376</v>
      </c>
      <c r="B260">
        <v>2015</v>
      </c>
      <c r="C260" t="s">
        <v>880</v>
      </c>
      <c r="E260">
        <v>3.32708484649658</v>
      </c>
      <c r="F260">
        <v>19</v>
      </c>
    </row>
    <row r="261" spans="1:6">
      <c r="A261" t="s">
        <v>56</v>
      </c>
      <c r="B261">
        <v>2022</v>
      </c>
      <c r="C261" t="s">
        <v>877</v>
      </c>
      <c r="E261">
        <v>19</v>
      </c>
      <c r="F261">
        <v>19</v>
      </c>
    </row>
    <row r="262" spans="1:6">
      <c r="A262" t="s">
        <v>102</v>
      </c>
      <c r="B262">
        <v>2019</v>
      </c>
      <c r="C262" t="s">
        <v>888</v>
      </c>
      <c r="E262">
        <v>0.6821435546875</v>
      </c>
      <c r="F262">
        <v>2</v>
      </c>
    </row>
    <row r="263" spans="1:6">
      <c r="A263" t="s">
        <v>103</v>
      </c>
      <c r="B263">
        <v>2021</v>
      </c>
      <c r="C263" t="s">
        <v>888</v>
      </c>
      <c r="E263">
        <v>12.4915568771362</v>
      </c>
      <c r="F263">
        <v>16</v>
      </c>
    </row>
    <row r="264" spans="1:6">
      <c r="A264" t="s">
        <v>129</v>
      </c>
      <c r="B264">
        <v>2023</v>
      </c>
      <c r="C264" t="s">
        <v>895</v>
      </c>
      <c r="E264">
        <v>9</v>
      </c>
      <c r="F264">
        <v>4</v>
      </c>
    </row>
    <row r="265" spans="1:6">
      <c r="A265" t="s">
        <v>141</v>
      </c>
      <c r="B265">
        <v>2021</v>
      </c>
      <c r="C265" t="s">
        <v>879</v>
      </c>
      <c r="E265">
        <v>7</v>
      </c>
      <c r="F265">
        <v>2</v>
      </c>
    </row>
    <row r="266" spans="1:6">
      <c r="A266" t="s">
        <v>152</v>
      </c>
      <c r="B266">
        <v>2017</v>
      </c>
      <c r="C266" t="s">
        <v>880</v>
      </c>
      <c r="E266">
        <v>5.40886591326818</v>
      </c>
      <c r="F266">
        <v>25</v>
      </c>
    </row>
    <row r="267" spans="1:6">
      <c r="A267" t="s">
        <v>40</v>
      </c>
      <c r="B267">
        <v>2019</v>
      </c>
      <c r="C267" t="s">
        <v>879</v>
      </c>
      <c r="D267" t="s">
        <v>840</v>
      </c>
      <c r="E267">
        <v>1.94291928863525</v>
      </c>
      <c r="F267">
        <v>7</v>
      </c>
    </row>
    <row r="268" spans="1:6">
      <c r="A268" t="s">
        <v>26</v>
      </c>
      <c r="B268">
        <v>2016</v>
      </c>
      <c r="C268" t="s">
        <v>882</v>
      </c>
      <c r="D268" t="s">
        <v>838</v>
      </c>
      <c r="E268">
        <v>5.31035063934326</v>
      </c>
      <c r="F268">
        <v>15</v>
      </c>
    </row>
    <row r="269" spans="1:6">
      <c r="A269" t="s">
        <v>22</v>
      </c>
      <c r="B269">
        <v>2015</v>
      </c>
      <c r="C269" t="s">
        <v>873</v>
      </c>
      <c r="D269" t="s">
        <v>841</v>
      </c>
      <c r="E269">
        <v>0.0576343803405762</v>
      </c>
      <c r="F269">
        <v>3</v>
      </c>
    </row>
    <row r="270" spans="1:6">
      <c r="A270" t="s">
        <v>211</v>
      </c>
      <c r="B270">
        <v>2022</v>
      </c>
      <c r="C270" t="s">
        <v>884</v>
      </c>
      <c r="E270">
        <v>5.3074213180542</v>
      </c>
      <c r="F270">
        <v>5</v>
      </c>
    </row>
    <row r="271" spans="1:6">
      <c r="A271" t="s">
        <v>597</v>
      </c>
      <c r="B271">
        <v>2022</v>
      </c>
      <c r="C271" t="s">
        <v>879</v>
      </c>
      <c r="E271">
        <v>0.08021685218811039</v>
      </c>
      <c r="F271">
        <v>2</v>
      </c>
    </row>
    <row r="272" spans="1:6">
      <c r="A272" t="s">
        <v>227</v>
      </c>
      <c r="B272">
        <v>2016</v>
      </c>
      <c r="C272" t="s">
        <v>840</v>
      </c>
      <c r="E272">
        <v>7.30563969802856</v>
      </c>
      <c r="F272">
        <v>9</v>
      </c>
    </row>
    <row r="273" spans="1:6">
      <c r="A273" t="s">
        <v>449</v>
      </c>
      <c r="B273">
        <v>2021</v>
      </c>
      <c r="C273" t="s">
        <v>883</v>
      </c>
      <c r="E273">
        <v>0.956015383720398</v>
      </c>
      <c r="F273">
        <v>22</v>
      </c>
    </row>
    <row r="274" spans="1:6">
      <c r="A274" t="s">
        <v>443</v>
      </c>
      <c r="B274">
        <v>2019</v>
      </c>
      <c r="C274" t="s">
        <v>879</v>
      </c>
      <c r="E274">
        <v>0.998855724334717</v>
      </c>
      <c r="F274">
        <v>17</v>
      </c>
    </row>
    <row r="275" spans="1:6">
      <c r="A275" t="s">
        <v>416</v>
      </c>
      <c r="B275">
        <v>2017</v>
      </c>
      <c r="C275" t="s">
        <v>884</v>
      </c>
      <c r="E275">
        <v>1.24152993583679</v>
      </c>
      <c r="F275">
        <v>9</v>
      </c>
    </row>
    <row r="276" spans="1:6">
      <c r="A276" t="s">
        <v>10</v>
      </c>
      <c r="B276">
        <v>2022</v>
      </c>
      <c r="C276" t="s">
        <v>841</v>
      </c>
      <c r="E276">
        <v>0.6396223869323731</v>
      </c>
      <c r="F276">
        <v>3</v>
      </c>
    </row>
    <row r="277" spans="1:6">
      <c r="A277" t="s">
        <v>102</v>
      </c>
      <c r="B277">
        <v>2020</v>
      </c>
      <c r="C277" t="s">
        <v>888</v>
      </c>
      <c r="E277">
        <v>0.225994323730469</v>
      </c>
      <c r="F277">
        <v>2</v>
      </c>
    </row>
    <row r="278" spans="1:6">
      <c r="A278" t="s">
        <v>104</v>
      </c>
      <c r="B278">
        <v>2017</v>
      </c>
      <c r="C278" t="s">
        <v>888</v>
      </c>
      <c r="E278">
        <v>3.7837059879303</v>
      </c>
      <c r="F278">
        <v>12</v>
      </c>
    </row>
    <row r="279" spans="1:6">
      <c r="A279" t="s">
        <v>135</v>
      </c>
      <c r="B279">
        <v>2019</v>
      </c>
      <c r="C279" t="s">
        <v>878</v>
      </c>
      <c r="E279">
        <v>5</v>
      </c>
      <c r="F279">
        <v>1</v>
      </c>
    </row>
    <row r="280" spans="1:6">
      <c r="A280" t="s">
        <v>121</v>
      </c>
      <c r="B280">
        <v>2018</v>
      </c>
      <c r="C280" t="s">
        <v>874</v>
      </c>
      <c r="E280">
        <v>122</v>
      </c>
      <c r="F280">
        <v>29</v>
      </c>
    </row>
    <row r="281" spans="1:6">
      <c r="A281" t="s">
        <v>200</v>
      </c>
      <c r="B281">
        <v>2019</v>
      </c>
      <c r="C281" t="s">
        <v>881</v>
      </c>
      <c r="D281" t="s">
        <v>880</v>
      </c>
      <c r="E281">
        <v>0.291267578125</v>
      </c>
      <c r="F281">
        <v>2</v>
      </c>
    </row>
    <row r="282" spans="1:6">
      <c r="A282" t="s">
        <v>39</v>
      </c>
      <c r="B282">
        <v>2016</v>
      </c>
      <c r="C282" t="s">
        <v>879</v>
      </c>
      <c r="D282" t="s">
        <v>839</v>
      </c>
      <c r="E282">
        <v>0.348601460456848</v>
      </c>
      <c r="F282">
        <v>4</v>
      </c>
    </row>
    <row r="283" spans="1:6">
      <c r="A283" t="s">
        <v>40</v>
      </c>
      <c r="B283">
        <v>2024</v>
      </c>
      <c r="C283" t="s">
        <v>879</v>
      </c>
      <c r="D283" t="s">
        <v>840</v>
      </c>
      <c r="E283">
        <v>0.005</v>
      </c>
      <c r="F283">
        <v>1</v>
      </c>
    </row>
    <row r="284" spans="1:6">
      <c r="A284" t="s">
        <v>598</v>
      </c>
      <c r="B284">
        <v>2022</v>
      </c>
      <c r="C284" t="s">
        <v>883</v>
      </c>
      <c r="E284">
        <v>5.58720302581787</v>
      </c>
      <c r="F284">
        <v>4</v>
      </c>
    </row>
    <row r="285" spans="1:6">
      <c r="A285" t="s">
        <v>616</v>
      </c>
      <c r="B285">
        <v>2023</v>
      </c>
      <c r="C285" t="s">
        <v>884</v>
      </c>
      <c r="E285">
        <v>0.4</v>
      </c>
      <c r="F285">
        <v>1</v>
      </c>
    </row>
    <row r="286" spans="1:6">
      <c r="A286" t="s">
        <v>300</v>
      </c>
      <c r="B286">
        <v>2022</v>
      </c>
      <c r="C286" t="s">
        <v>841</v>
      </c>
      <c r="E286">
        <v>0.0416226577758789</v>
      </c>
      <c r="F286">
        <v>1</v>
      </c>
    </row>
    <row r="287" spans="1:6">
      <c r="A287" t="s">
        <v>437</v>
      </c>
      <c r="B287">
        <v>2019</v>
      </c>
      <c r="C287" t="s">
        <v>891</v>
      </c>
      <c r="E287">
        <v>0.545079134643078</v>
      </c>
      <c r="F287">
        <v>16</v>
      </c>
    </row>
    <row r="288" spans="1:6">
      <c r="A288" t="s">
        <v>452</v>
      </c>
      <c r="B288">
        <v>2016</v>
      </c>
      <c r="C288" t="s">
        <v>883</v>
      </c>
      <c r="E288">
        <v>0.484973222732544</v>
      </c>
      <c r="F288">
        <v>5</v>
      </c>
    </row>
    <row r="289" spans="1:6">
      <c r="A289" t="s">
        <v>420</v>
      </c>
      <c r="B289">
        <v>2018</v>
      </c>
      <c r="C289" t="s">
        <v>892</v>
      </c>
      <c r="E289">
        <v>6.34905481338501</v>
      </c>
      <c r="F289">
        <v>12</v>
      </c>
    </row>
    <row r="290" spans="1:6">
      <c r="A290" t="s">
        <v>15</v>
      </c>
      <c r="B290">
        <v>2024</v>
      </c>
      <c r="C290" t="s">
        <v>872</v>
      </c>
      <c r="E290">
        <v>0.09</v>
      </c>
      <c r="F290">
        <v>1</v>
      </c>
    </row>
    <row r="291" spans="1:6">
      <c r="A291" t="s">
        <v>66</v>
      </c>
      <c r="B291">
        <v>2018</v>
      </c>
      <c r="C291" t="s">
        <v>873</v>
      </c>
      <c r="E291">
        <v>326</v>
      </c>
      <c r="F291">
        <v>118</v>
      </c>
    </row>
    <row r="292" spans="1:6">
      <c r="A292" t="s">
        <v>18</v>
      </c>
      <c r="B292">
        <v>2022</v>
      </c>
      <c r="C292" t="s">
        <v>906</v>
      </c>
      <c r="E292">
        <v>13.3036600399017</v>
      </c>
      <c r="F292">
        <v>19</v>
      </c>
    </row>
    <row r="293" spans="1:6">
      <c r="A293" t="s">
        <v>70</v>
      </c>
      <c r="B293">
        <v>2015</v>
      </c>
      <c r="C293" t="s">
        <v>900</v>
      </c>
      <c r="E293">
        <v>26</v>
      </c>
      <c r="F293">
        <v>13</v>
      </c>
    </row>
    <row r="294" spans="1:6">
      <c r="A294" t="s">
        <v>67</v>
      </c>
      <c r="B294">
        <v>2018</v>
      </c>
      <c r="C294" t="s">
        <v>874</v>
      </c>
      <c r="E294">
        <v>282</v>
      </c>
      <c r="F294">
        <v>55</v>
      </c>
    </row>
    <row r="295" spans="1:6">
      <c r="A295" t="s">
        <v>56</v>
      </c>
      <c r="B295">
        <v>2018</v>
      </c>
      <c r="C295" t="s">
        <v>903</v>
      </c>
      <c r="E295">
        <v>130</v>
      </c>
      <c r="F295">
        <v>130</v>
      </c>
    </row>
    <row r="296" spans="1:6">
      <c r="A296" t="s">
        <v>78</v>
      </c>
      <c r="B296">
        <v>2024</v>
      </c>
      <c r="C296" t="s">
        <v>874</v>
      </c>
      <c r="E296">
        <v>0.5310573730468749</v>
      </c>
      <c r="F296">
        <v>1</v>
      </c>
    </row>
    <row r="297" spans="1:6">
      <c r="A297" t="s">
        <v>82</v>
      </c>
      <c r="B297">
        <v>2017</v>
      </c>
      <c r="C297" t="s">
        <v>874</v>
      </c>
      <c r="E297">
        <v>0.107883743286133</v>
      </c>
      <c r="F297">
        <v>1</v>
      </c>
    </row>
    <row r="298" spans="1:6">
      <c r="A298" t="s">
        <v>147</v>
      </c>
      <c r="B298">
        <v>2021</v>
      </c>
      <c r="C298" t="s">
        <v>888</v>
      </c>
      <c r="E298">
        <v>5</v>
      </c>
      <c r="F298">
        <v>3</v>
      </c>
    </row>
    <row r="299" spans="1:6">
      <c r="A299" t="s">
        <v>158</v>
      </c>
      <c r="B299">
        <v>2022</v>
      </c>
      <c r="C299" t="s">
        <v>887</v>
      </c>
      <c r="D299" t="s">
        <v>884</v>
      </c>
      <c r="E299">
        <v>27.2490236549377</v>
      </c>
      <c r="F299">
        <v>64</v>
      </c>
    </row>
    <row r="300" spans="1:6">
      <c r="A300" t="s">
        <v>170</v>
      </c>
      <c r="B300">
        <v>2019</v>
      </c>
      <c r="C300" t="s">
        <v>874</v>
      </c>
      <c r="D300" t="s">
        <v>891</v>
      </c>
      <c r="E300">
        <v>0.233344566345215</v>
      </c>
      <c r="F300">
        <v>3</v>
      </c>
    </row>
    <row r="301" spans="1:6">
      <c r="A301" t="s">
        <v>208</v>
      </c>
      <c r="B301">
        <v>2019</v>
      </c>
      <c r="C301" t="s">
        <v>838</v>
      </c>
      <c r="E301">
        <v>50.3071316547394</v>
      </c>
      <c r="F301">
        <v>54</v>
      </c>
    </row>
    <row r="302" spans="1:6">
      <c r="A302" t="s">
        <v>49</v>
      </c>
      <c r="B302">
        <v>2017</v>
      </c>
      <c r="C302" t="s">
        <v>896</v>
      </c>
      <c r="E302">
        <v>41</v>
      </c>
      <c r="F302">
        <v>41</v>
      </c>
    </row>
    <row r="303" spans="1:6">
      <c r="A303" t="s">
        <v>16</v>
      </c>
      <c r="B303">
        <v>2016</v>
      </c>
      <c r="C303" t="s">
        <v>878</v>
      </c>
      <c r="E303">
        <v>16.8411136131287</v>
      </c>
      <c r="F303">
        <v>39</v>
      </c>
    </row>
    <row r="304" spans="1:6">
      <c r="A304" t="s">
        <v>69</v>
      </c>
      <c r="B304">
        <v>2015</v>
      </c>
      <c r="C304" t="s">
        <v>878</v>
      </c>
      <c r="E304">
        <v>113</v>
      </c>
      <c r="F304">
        <v>34</v>
      </c>
    </row>
    <row r="305" spans="1:6">
      <c r="A305" t="s">
        <v>50</v>
      </c>
      <c r="B305">
        <v>2017</v>
      </c>
      <c r="C305" t="s">
        <v>907</v>
      </c>
      <c r="E305">
        <v>4</v>
      </c>
      <c r="F305">
        <v>4</v>
      </c>
    </row>
    <row r="306" spans="1:6">
      <c r="A306" t="s">
        <v>56</v>
      </c>
      <c r="B306">
        <v>2017</v>
      </c>
      <c r="C306" t="s">
        <v>897</v>
      </c>
      <c r="E306">
        <v>5</v>
      </c>
      <c r="F306">
        <v>5</v>
      </c>
    </row>
    <row r="307" spans="1:6">
      <c r="A307" t="s">
        <v>104</v>
      </c>
      <c r="B307">
        <v>2019</v>
      </c>
      <c r="C307" t="s">
        <v>888</v>
      </c>
      <c r="E307">
        <v>13.6080179977417</v>
      </c>
      <c r="F307">
        <v>7</v>
      </c>
    </row>
    <row r="308" spans="1:6">
      <c r="A308" t="s">
        <v>129</v>
      </c>
      <c r="B308">
        <v>2022</v>
      </c>
      <c r="C308" t="s">
        <v>895</v>
      </c>
      <c r="E308">
        <v>12</v>
      </c>
      <c r="F308">
        <v>3</v>
      </c>
    </row>
    <row r="309" spans="1:6">
      <c r="A309" t="s">
        <v>154</v>
      </c>
      <c r="B309">
        <v>2020</v>
      </c>
      <c r="C309" t="s">
        <v>891</v>
      </c>
      <c r="E309">
        <v>1.76125110578537</v>
      </c>
      <c r="F309">
        <v>26</v>
      </c>
    </row>
    <row r="310" spans="1:6">
      <c r="A310" t="s">
        <v>26</v>
      </c>
      <c r="B310">
        <v>2018</v>
      </c>
      <c r="C310" t="s">
        <v>882</v>
      </c>
      <c r="D310" t="s">
        <v>838</v>
      </c>
      <c r="E310">
        <v>9.316160980224611</v>
      </c>
      <c r="F310">
        <v>24</v>
      </c>
    </row>
    <row r="311" spans="1:6">
      <c r="A311" t="s">
        <v>30</v>
      </c>
      <c r="B311">
        <v>2021</v>
      </c>
      <c r="C311" t="s">
        <v>889</v>
      </c>
      <c r="D311" t="s">
        <v>840</v>
      </c>
      <c r="E311">
        <v>3.65673782348633</v>
      </c>
      <c r="F311">
        <v>7</v>
      </c>
    </row>
    <row r="312" spans="1:6">
      <c r="A312" t="s">
        <v>608</v>
      </c>
      <c r="B312">
        <v>2018</v>
      </c>
      <c r="C312" t="s">
        <v>884</v>
      </c>
      <c r="E312">
        <v>1.82190112304687</v>
      </c>
      <c r="F312">
        <v>2</v>
      </c>
    </row>
    <row r="313" spans="1:6">
      <c r="A313" t="s">
        <v>628</v>
      </c>
      <c r="B313">
        <v>2017</v>
      </c>
      <c r="C313" t="s">
        <v>891</v>
      </c>
      <c r="E313">
        <v>0.06428111267089839</v>
      </c>
      <c r="F313">
        <v>1</v>
      </c>
    </row>
    <row r="314" spans="1:6">
      <c r="A314" t="s">
        <v>319</v>
      </c>
      <c r="B314">
        <v>2018</v>
      </c>
      <c r="C314" t="s">
        <v>838</v>
      </c>
      <c r="E314">
        <v>0.400422546386719</v>
      </c>
      <c r="F314">
        <v>1</v>
      </c>
    </row>
    <row r="315" spans="1:6">
      <c r="A315" t="s">
        <v>448</v>
      </c>
      <c r="B315">
        <v>2021</v>
      </c>
      <c r="C315" t="s">
        <v>879</v>
      </c>
      <c r="E315">
        <v>1.28955041122437</v>
      </c>
      <c r="F315">
        <v>5</v>
      </c>
    </row>
    <row r="316" spans="1:6">
      <c r="A316" t="s">
        <v>457</v>
      </c>
      <c r="B316">
        <v>2015</v>
      </c>
      <c r="C316" t="s">
        <v>893</v>
      </c>
      <c r="E316">
        <v>0.151</v>
      </c>
      <c r="F316">
        <v>2</v>
      </c>
    </row>
    <row r="317" spans="1:6">
      <c r="A317" t="s">
        <v>410</v>
      </c>
      <c r="B317">
        <v>2023</v>
      </c>
      <c r="C317" t="s">
        <v>838</v>
      </c>
      <c r="E317">
        <v>1.35119370937347</v>
      </c>
      <c r="F317">
        <v>10</v>
      </c>
    </row>
    <row r="318" spans="1:6">
      <c r="A318" t="s">
        <v>80</v>
      </c>
      <c r="B318">
        <v>2020</v>
      </c>
      <c r="C318" t="s">
        <v>874</v>
      </c>
      <c r="E318">
        <v>5.50376893997192</v>
      </c>
      <c r="F318">
        <v>16</v>
      </c>
    </row>
    <row r="319" spans="1:6">
      <c r="A319" t="s">
        <v>74</v>
      </c>
      <c r="B319">
        <v>2022</v>
      </c>
      <c r="C319" t="s">
        <v>873</v>
      </c>
      <c r="E319">
        <v>27.9023003425598</v>
      </c>
      <c r="F319">
        <v>32</v>
      </c>
    </row>
    <row r="320" spans="1:6">
      <c r="A320" t="s">
        <v>127</v>
      </c>
      <c r="B320">
        <v>2017</v>
      </c>
      <c r="C320" t="s">
        <v>895</v>
      </c>
      <c r="E320">
        <v>57</v>
      </c>
      <c r="F320">
        <v>8</v>
      </c>
    </row>
    <row r="321" spans="1:6">
      <c r="A321" t="s">
        <v>152</v>
      </c>
      <c r="B321">
        <v>2018</v>
      </c>
      <c r="C321" t="s">
        <v>880</v>
      </c>
      <c r="E321">
        <v>8.858503858089451</v>
      </c>
      <c r="F321">
        <v>31</v>
      </c>
    </row>
    <row r="322" spans="1:6">
      <c r="A322" t="s">
        <v>177</v>
      </c>
      <c r="B322">
        <v>2023</v>
      </c>
      <c r="C322" t="s">
        <v>895</v>
      </c>
      <c r="D322" t="s">
        <v>890</v>
      </c>
      <c r="E322">
        <v>0.446531463623047</v>
      </c>
      <c r="F322">
        <v>1</v>
      </c>
    </row>
    <row r="323" spans="1:6">
      <c r="A323" t="s">
        <v>196</v>
      </c>
      <c r="B323">
        <v>2018</v>
      </c>
      <c r="C323" t="s">
        <v>879</v>
      </c>
      <c r="D323" t="s">
        <v>883</v>
      </c>
      <c r="E323">
        <v>0.0938342452049255</v>
      </c>
      <c r="F323">
        <v>3</v>
      </c>
    </row>
    <row r="324" spans="1:6">
      <c r="A324" t="s">
        <v>173</v>
      </c>
      <c r="B324">
        <v>2021</v>
      </c>
      <c r="C324" t="s">
        <v>874</v>
      </c>
      <c r="D324" t="s">
        <v>893</v>
      </c>
      <c r="E324">
        <v>6.01271951293945</v>
      </c>
      <c r="F324">
        <v>15</v>
      </c>
    </row>
    <row r="325" spans="1:6">
      <c r="A325" t="s">
        <v>209</v>
      </c>
      <c r="B325">
        <v>2021</v>
      </c>
      <c r="C325" t="s">
        <v>841</v>
      </c>
      <c r="E325">
        <v>0.570666893959045</v>
      </c>
      <c r="F325">
        <v>12</v>
      </c>
    </row>
    <row r="326" spans="1:6">
      <c r="A326" t="s">
        <v>593</v>
      </c>
      <c r="B326">
        <v>2017</v>
      </c>
      <c r="C326" t="s">
        <v>892</v>
      </c>
      <c r="E326">
        <v>0.44605002117157</v>
      </c>
      <c r="F326">
        <v>4</v>
      </c>
    </row>
    <row r="327" spans="1:6">
      <c r="A327" t="s">
        <v>211</v>
      </c>
      <c r="B327">
        <v>2017</v>
      </c>
      <c r="C327" t="s">
        <v>884</v>
      </c>
      <c r="E327">
        <v>4.03847100830078</v>
      </c>
      <c r="F327">
        <v>9</v>
      </c>
    </row>
    <row r="328" spans="1:6">
      <c r="A328" t="s">
        <v>318</v>
      </c>
      <c r="B328">
        <v>2017</v>
      </c>
      <c r="C328" t="s">
        <v>840</v>
      </c>
      <c r="E328">
        <v>1.79213555908203</v>
      </c>
      <c r="F328">
        <v>5</v>
      </c>
    </row>
    <row r="329" spans="1:6">
      <c r="A329" t="s">
        <v>414</v>
      </c>
      <c r="B329">
        <v>2015</v>
      </c>
      <c r="C329" t="s">
        <v>884</v>
      </c>
      <c r="E329">
        <v>9.99685872346163</v>
      </c>
      <c r="F329">
        <v>23</v>
      </c>
    </row>
    <row r="330" spans="1:6">
      <c r="A330" t="s">
        <v>450</v>
      </c>
      <c r="B330">
        <v>2016</v>
      </c>
      <c r="C330" t="s">
        <v>883</v>
      </c>
      <c r="E330">
        <v>0.01</v>
      </c>
      <c r="F330">
        <v>1</v>
      </c>
    </row>
    <row r="331" spans="1:6">
      <c r="A331" t="s">
        <v>9</v>
      </c>
      <c r="B331">
        <v>2015</v>
      </c>
      <c r="C331" t="s">
        <v>886</v>
      </c>
      <c r="E331">
        <v>8.462237889766691</v>
      </c>
      <c r="F331">
        <v>17</v>
      </c>
    </row>
    <row r="332" spans="1:6">
      <c r="A332" t="s">
        <v>97</v>
      </c>
      <c r="B332">
        <v>2024</v>
      </c>
      <c r="C332" t="s">
        <v>879</v>
      </c>
      <c r="E332">
        <v>0.005</v>
      </c>
      <c r="F332">
        <v>1</v>
      </c>
    </row>
    <row r="333" spans="1:6">
      <c r="A333" t="s">
        <v>123</v>
      </c>
      <c r="B333">
        <v>2015</v>
      </c>
      <c r="C333" t="s">
        <v>874</v>
      </c>
      <c r="E333">
        <v>7</v>
      </c>
      <c r="F333">
        <v>4</v>
      </c>
    </row>
    <row r="334" spans="1:6">
      <c r="A334" t="s">
        <v>116</v>
      </c>
      <c r="B334">
        <v>2015</v>
      </c>
      <c r="C334" t="s">
        <v>873</v>
      </c>
      <c r="E334">
        <v>62</v>
      </c>
      <c r="F334">
        <v>22</v>
      </c>
    </row>
    <row r="335" spans="1:6">
      <c r="A335" t="s">
        <v>153</v>
      </c>
      <c r="B335">
        <v>2022</v>
      </c>
      <c r="C335" t="s">
        <v>890</v>
      </c>
      <c r="E335">
        <v>2.22501140069962</v>
      </c>
      <c r="F335">
        <v>19</v>
      </c>
    </row>
    <row r="336" spans="1:6">
      <c r="A336" t="s">
        <v>159</v>
      </c>
      <c r="B336">
        <v>2021</v>
      </c>
      <c r="C336" t="s">
        <v>887</v>
      </c>
      <c r="D336" t="s">
        <v>892</v>
      </c>
      <c r="E336">
        <v>13.6804368892014</v>
      </c>
      <c r="F336">
        <v>49</v>
      </c>
    </row>
    <row r="337" spans="1:6">
      <c r="A337" t="s">
        <v>35</v>
      </c>
      <c r="B337">
        <v>2020</v>
      </c>
      <c r="C337" t="s">
        <v>878</v>
      </c>
      <c r="D337" t="s">
        <v>840</v>
      </c>
      <c r="E337">
        <v>2.37374279117584</v>
      </c>
      <c r="F337">
        <v>18</v>
      </c>
    </row>
    <row r="338" spans="1:6">
      <c r="A338" t="s">
        <v>37</v>
      </c>
      <c r="B338">
        <v>2020</v>
      </c>
      <c r="C338" t="s">
        <v>878</v>
      </c>
      <c r="D338" t="s">
        <v>841</v>
      </c>
      <c r="E338">
        <v>0.000300000011920929</v>
      </c>
      <c r="F338">
        <v>1</v>
      </c>
    </row>
    <row r="339" spans="1:6">
      <c r="A339" t="s">
        <v>214</v>
      </c>
      <c r="B339">
        <v>2015</v>
      </c>
      <c r="C339" t="s">
        <v>890</v>
      </c>
      <c r="E339">
        <v>0.189466690063477</v>
      </c>
      <c r="F339">
        <v>1</v>
      </c>
    </row>
    <row r="340" spans="1:6">
      <c r="A340" t="s">
        <v>425</v>
      </c>
      <c r="B340">
        <v>2023</v>
      </c>
      <c r="C340" t="s">
        <v>880</v>
      </c>
      <c r="E340">
        <v>0.81875448513031</v>
      </c>
      <c r="F340">
        <v>4</v>
      </c>
    </row>
    <row r="341" spans="1:6">
      <c r="A341" t="s">
        <v>383</v>
      </c>
      <c r="B341">
        <v>2015</v>
      </c>
      <c r="C341" t="s">
        <v>885</v>
      </c>
      <c r="E341">
        <v>17.0722235565186</v>
      </c>
      <c r="F341">
        <v>36</v>
      </c>
    </row>
    <row r="342" spans="1:6">
      <c r="A342" t="s">
        <v>426</v>
      </c>
      <c r="B342">
        <v>2019</v>
      </c>
      <c r="C342" t="s">
        <v>880</v>
      </c>
      <c r="E342">
        <v>0.720416778564453</v>
      </c>
      <c r="F342">
        <v>3</v>
      </c>
    </row>
    <row r="343" spans="1:6">
      <c r="A343" t="s">
        <v>382</v>
      </c>
      <c r="B343">
        <v>2020</v>
      </c>
      <c r="C343" t="s">
        <v>885</v>
      </c>
      <c r="E343">
        <v>19.8977339897156</v>
      </c>
      <c r="F343">
        <v>39</v>
      </c>
    </row>
    <row r="344" spans="1:6">
      <c r="A344" t="s">
        <v>445</v>
      </c>
      <c r="B344">
        <v>2019</v>
      </c>
      <c r="C344" t="s">
        <v>879</v>
      </c>
      <c r="E344">
        <v>0.2</v>
      </c>
      <c r="F344">
        <v>1</v>
      </c>
    </row>
    <row r="345" spans="1:6">
      <c r="A345" t="s">
        <v>56</v>
      </c>
      <c r="B345">
        <v>2023</v>
      </c>
      <c r="C345" t="s">
        <v>877</v>
      </c>
      <c r="E345">
        <v>16</v>
      </c>
      <c r="F345">
        <v>16</v>
      </c>
    </row>
    <row r="346" spans="1:6">
      <c r="A346" t="s">
        <v>61</v>
      </c>
      <c r="B346">
        <v>2023</v>
      </c>
      <c r="C346" t="s">
        <v>886</v>
      </c>
      <c r="E346">
        <v>28</v>
      </c>
      <c r="F346">
        <v>9</v>
      </c>
    </row>
    <row r="347" spans="1:6">
      <c r="A347" t="s">
        <v>85</v>
      </c>
      <c r="B347">
        <v>2022</v>
      </c>
      <c r="C347" t="s">
        <v>895</v>
      </c>
      <c r="E347">
        <v>0.926</v>
      </c>
      <c r="F347">
        <v>2</v>
      </c>
    </row>
    <row r="348" spans="1:6">
      <c r="A348" t="s">
        <v>146</v>
      </c>
      <c r="B348">
        <v>2023</v>
      </c>
      <c r="C348" t="s">
        <v>888</v>
      </c>
      <c r="E348">
        <v>11</v>
      </c>
      <c r="F348">
        <v>4</v>
      </c>
    </row>
    <row r="349" spans="1:6">
      <c r="A349" t="s">
        <v>153</v>
      </c>
      <c r="B349">
        <v>2021</v>
      </c>
      <c r="C349" t="s">
        <v>890</v>
      </c>
      <c r="E349">
        <v>3.86661408931017</v>
      </c>
      <c r="F349">
        <v>14</v>
      </c>
    </row>
    <row r="350" spans="1:6">
      <c r="A350" t="s">
        <v>160</v>
      </c>
      <c r="B350">
        <v>2021</v>
      </c>
      <c r="C350" t="s">
        <v>887</v>
      </c>
      <c r="D350" t="s">
        <v>880</v>
      </c>
      <c r="E350">
        <v>10.4010437431335</v>
      </c>
      <c r="F350">
        <v>24</v>
      </c>
    </row>
    <row r="351" spans="1:6">
      <c r="A351" t="s">
        <v>196</v>
      </c>
      <c r="B351">
        <v>2023</v>
      </c>
      <c r="C351" t="s">
        <v>879</v>
      </c>
      <c r="D351" t="s">
        <v>883</v>
      </c>
      <c r="E351">
        <v>0.009060925483703609</v>
      </c>
      <c r="F351">
        <v>1</v>
      </c>
    </row>
    <row r="352" spans="1:6">
      <c r="A352" t="s">
        <v>592</v>
      </c>
      <c r="B352">
        <v>2020</v>
      </c>
      <c r="C352" t="s">
        <v>884</v>
      </c>
      <c r="E352">
        <v>0.11008073425293</v>
      </c>
      <c r="F352">
        <v>1</v>
      </c>
    </row>
    <row r="353" spans="1:6">
      <c r="A353" t="s">
        <v>632</v>
      </c>
      <c r="B353">
        <v>2019</v>
      </c>
      <c r="C353" t="s">
        <v>884</v>
      </c>
      <c r="E353">
        <v>0.07099999999999999</v>
      </c>
      <c r="F353">
        <v>1</v>
      </c>
    </row>
    <row r="354" spans="1:6">
      <c r="A354" t="s">
        <v>298</v>
      </c>
      <c r="B354">
        <v>2022</v>
      </c>
      <c r="C354" t="s">
        <v>840</v>
      </c>
      <c r="E354">
        <v>0.821604888916016</v>
      </c>
      <c r="F354">
        <v>3</v>
      </c>
    </row>
    <row r="355" spans="1:6">
      <c r="A355" t="s">
        <v>450</v>
      </c>
      <c r="B355">
        <v>2024</v>
      </c>
      <c r="C355" t="s">
        <v>883</v>
      </c>
      <c r="E355">
        <v>0.046</v>
      </c>
      <c r="F355">
        <v>1</v>
      </c>
    </row>
    <row r="356" spans="1:6">
      <c r="A356" t="s">
        <v>381</v>
      </c>
      <c r="B356">
        <v>2019</v>
      </c>
      <c r="C356" t="s">
        <v>893</v>
      </c>
      <c r="E356">
        <v>6.70698698455095</v>
      </c>
      <c r="F356">
        <v>33</v>
      </c>
    </row>
    <row r="357" spans="1:6">
      <c r="A357" t="s">
        <v>14</v>
      </c>
      <c r="B357">
        <v>2022</v>
      </c>
      <c r="C357" t="s">
        <v>904</v>
      </c>
      <c r="E357">
        <v>34.738341966629</v>
      </c>
      <c r="F357">
        <v>37</v>
      </c>
    </row>
    <row r="358" spans="1:6">
      <c r="A358" t="s">
        <v>16</v>
      </c>
      <c r="B358">
        <v>2018</v>
      </c>
      <c r="C358" t="s">
        <v>878</v>
      </c>
      <c r="E358">
        <v>15.3170029363632</v>
      </c>
      <c r="F358">
        <v>39</v>
      </c>
    </row>
    <row r="359" spans="1:6">
      <c r="A359" t="s">
        <v>70</v>
      </c>
      <c r="B359">
        <v>2024</v>
      </c>
      <c r="C359" t="s">
        <v>900</v>
      </c>
      <c r="E359">
        <v>1</v>
      </c>
      <c r="F359">
        <v>1</v>
      </c>
    </row>
    <row r="360" spans="1:6">
      <c r="A360" t="s">
        <v>50</v>
      </c>
      <c r="B360">
        <v>2024</v>
      </c>
      <c r="C360" t="s">
        <v>871</v>
      </c>
      <c r="E360">
        <v>4</v>
      </c>
      <c r="F360">
        <v>4</v>
      </c>
    </row>
    <row r="361" spans="1:6">
      <c r="A361" t="s">
        <v>55</v>
      </c>
      <c r="B361">
        <v>2018</v>
      </c>
      <c r="C361" t="s">
        <v>876</v>
      </c>
      <c r="E361">
        <v>18</v>
      </c>
      <c r="F361">
        <v>18</v>
      </c>
    </row>
    <row r="362" spans="1:6">
      <c r="A362" t="s">
        <v>76</v>
      </c>
      <c r="B362">
        <v>2020</v>
      </c>
      <c r="C362" t="s">
        <v>873</v>
      </c>
      <c r="E362">
        <v>0.0742025680541992</v>
      </c>
      <c r="F362">
        <v>2</v>
      </c>
    </row>
    <row r="363" spans="1:6">
      <c r="A363" t="s">
        <v>90</v>
      </c>
      <c r="B363">
        <v>2017</v>
      </c>
      <c r="C363" t="s">
        <v>878</v>
      </c>
      <c r="E363">
        <v>2.64688751029968</v>
      </c>
      <c r="F363">
        <v>10</v>
      </c>
    </row>
    <row r="364" spans="1:6">
      <c r="A364" t="s">
        <v>104</v>
      </c>
      <c r="B364">
        <v>2021</v>
      </c>
      <c r="C364" t="s">
        <v>888</v>
      </c>
      <c r="E364">
        <v>5.18172153091431</v>
      </c>
      <c r="F364">
        <v>10</v>
      </c>
    </row>
    <row r="365" spans="1:6">
      <c r="A365" t="s">
        <v>123</v>
      </c>
      <c r="B365">
        <v>2019</v>
      </c>
      <c r="C365" t="s">
        <v>874</v>
      </c>
      <c r="E365">
        <v>19</v>
      </c>
      <c r="F365">
        <v>1</v>
      </c>
    </row>
    <row r="366" spans="1:6">
      <c r="A366" t="s">
        <v>121</v>
      </c>
      <c r="B366">
        <v>2024</v>
      </c>
      <c r="C366" t="s">
        <v>874</v>
      </c>
      <c r="E366">
        <v>7</v>
      </c>
      <c r="F366">
        <v>2</v>
      </c>
    </row>
    <row r="367" spans="1:6">
      <c r="A367" t="s">
        <v>139</v>
      </c>
      <c r="B367">
        <v>2024</v>
      </c>
      <c r="C367" t="s">
        <v>879</v>
      </c>
      <c r="E367">
        <v>1</v>
      </c>
      <c r="F367">
        <v>1</v>
      </c>
    </row>
    <row r="368" spans="1:6">
      <c r="A368" t="s">
        <v>177</v>
      </c>
      <c r="B368">
        <v>2019</v>
      </c>
      <c r="C368" t="s">
        <v>895</v>
      </c>
      <c r="D368" t="s">
        <v>890</v>
      </c>
      <c r="E368">
        <v>2.02365386676788</v>
      </c>
      <c r="F368">
        <v>2</v>
      </c>
    </row>
    <row r="369" spans="1:6">
      <c r="A369" t="s">
        <v>26</v>
      </c>
      <c r="B369">
        <v>2019</v>
      </c>
      <c r="C369" t="s">
        <v>882</v>
      </c>
      <c r="D369" t="s">
        <v>838</v>
      </c>
      <c r="E369">
        <v>8.904413876533511</v>
      </c>
      <c r="F369">
        <v>19</v>
      </c>
    </row>
    <row r="370" spans="1:6">
      <c r="A370" t="s">
        <v>214</v>
      </c>
      <c r="B370">
        <v>2017</v>
      </c>
      <c r="C370" t="s">
        <v>890</v>
      </c>
      <c r="E370">
        <v>0.60728955078125</v>
      </c>
      <c r="F370">
        <v>3</v>
      </c>
    </row>
    <row r="371" spans="1:6">
      <c r="A371" t="s">
        <v>212</v>
      </c>
      <c r="B371">
        <v>2016</v>
      </c>
      <c r="C371" t="s">
        <v>892</v>
      </c>
      <c r="E371">
        <v>1.31512396907806</v>
      </c>
      <c r="F371">
        <v>6</v>
      </c>
    </row>
    <row r="372" spans="1:6">
      <c r="A372" t="s">
        <v>418</v>
      </c>
      <c r="B372">
        <v>2017</v>
      </c>
      <c r="C372" t="s">
        <v>884</v>
      </c>
      <c r="E372">
        <v>2.61827954101562</v>
      </c>
      <c r="F372">
        <v>6</v>
      </c>
    </row>
    <row r="373" spans="1:6">
      <c r="A373" t="s">
        <v>459</v>
      </c>
      <c r="B373">
        <v>2016</v>
      </c>
      <c r="C373" t="s">
        <v>893</v>
      </c>
      <c r="E373">
        <v>0.612</v>
      </c>
      <c r="F373">
        <v>2</v>
      </c>
    </row>
    <row r="374" spans="1:6">
      <c r="A374" t="s">
        <v>437</v>
      </c>
      <c r="B374">
        <v>2015</v>
      </c>
      <c r="C374" t="s">
        <v>891</v>
      </c>
      <c r="E374">
        <v>0.470429529935122</v>
      </c>
      <c r="F374">
        <v>14</v>
      </c>
    </row>
    <row r="375" spans="1:6">
      <c r="A375" t="s">
        <v>384</v>
      </c>
      <c r="B375">
        <v>2024</v>
      </c>
      <c r="C375" t="s">
        <v>885</v>
      </c>
      <c r="E375">
        <v>0.09</v>
      </c>
      <c r="F375">
        <v>1</v>
      </c>
    </row>
    <row r="376" spans="1:6">
      <c r="A376" t="s">
        <v>103</v>
      </c>
      <c r="B376">
        <v>2018</v>
      </c>
      <c r="C376" t="s">
        <v>888</v>
      </c>
      <c r="E376">
        <v>3.4420618057251</v>
      </c>
      <c r="F376">
        <v>11</v>
      </c>
    </row>
    <row r="377" spans="1:6">
      <c r="A377" t="s">
        <v>115</v>
      </c>
      <c r="B377">
        <v>2018</v>
      </c>
      <c r="C377" t="s">
        <v>873</v>
      </c>
      <c r="E377">
        <v>186</v>
      </c>
      <c r="F377">
        <v>75</v>
      </c>
    </row>
    <row r="378" spans="1:6">
      <c r="A378" t="s">
        <v>156</v>
      </c>
      <c r="B378">
        <v>2022</v>
      </c>
      <c r="C378" t="s">
        <v>883</v>
      </c>
      <c r="E378">
        <v>10.4716751792431</v>
      </c>
      <c r="F378">
        <v>43</v>
      </c>
    </row>
    <row r="379" spans="1:6">
      <c r="A379" t="s">
        <v>185</v>
      </c>
      <c r="B379">
        <v>2022</v>
      </c>
      <c r="C379" t="s">
        <v>878</v>
      </c>
      <c r="D379" t="s">
        <v>890</v>
      </c>
      <c r="E379">
        <v>0.342441764831543</v>
      </c>
      <c r="F379">
        <v>2</v>
      </c>
    </row>
    <row r="380" spans="1:6">
      <c r="A380" t="s">
        <v>199</v>
      </c>
      <c r="B380">
        <v>2023</v>
      </c>
      <c r="C380" t="s">
        <v>881</v>
      </c>
      <c r="D380" t="s">
        <v>892</v>
      </c>
      <c r="E380">
        <v>2.84056959843636</v>
      </c>
      <c r="F380">
        <v>7</v>
      </c>
    </row>
    <row r="381" spans="1:6">
      <c r="A381" t="s">
        <v>36</v>
      </c>
      <c r="B381">
        <v>2019</v>
      </c>
      <c r="C381" t="s">
        <v>878</v>
      </c>
      <c r="D381" t="s">
        <v>838</v>
      </c>
      <c r="E381">
        <v>3.6023542495966</v>
      </c>
      <c r="F381">
        <v>13</v>
      </c>
    </row>
    <row r="382" spans="1:6">
      <c r="A382" t="s">
        <v>220</v>
      </c>
      <c r="B382">
        <v>2019</v>
      </c>
      <c r="C382" t="s">
        <v>885</v>
      </c>
      <c r="E382">
        <v>2.965</v>
      </c>
      <c r="F382">
        <v>1</v>
      </c>
    </row>
    <row r="383" spans="1:6">
      <c r="A383" t="s">
        <v>603</v>
      </c>
      <c r="B383">
        <v>2016</v>
      </c>
      <c r="C383" t="s">
        <v>890</v>
      </c>
      <c r="E383">
        <v>0.194</v>
      </c>
      <c r="F383">
        <v>1</v>
      </c>
    </row>
    <row r="384" spans="1:6">
      <c r="A384" t="s">
        <v>318</v>
      </c>
      <c r="B384">
        <v>2023</v>
      </c>
      <c r="C384" t="s">
        <v>840</v>
      </c>
      <c r="E384">
        <v>0.154416290283203</v>
      </c>
      <c r="F384">
        <v>1</v>
      </c>
    </row>
    <row r="385" spans="1:6">
      <c r="A385" t="s">
        <v>304</v>
      </c>
      <c r="B385">
        <v>2022</v>
      </c>
      <c r="C385" t="s">
        <v>838</v>
      </c>
      <c r="E385">
        <v>0.163574325561523</v>
      </c>
      <c r="F385">
        <v>1</v>
      </c>
    </row>
    <row r="386" spans="1:6">
      <c r="A386" t="s">
        <v>449</v>
      </c>
      <c r="B386">
        <v>2018</v>
      </c>
      <c r="C386" t="s">
        <v>883</v>
      </c>
      <c r="E386">
        <v>2.24265082073212</v>
      </c>
      <c r="F386">
        <v>25</v>
      </c>
    </row>
    <row r="387" spans="1:6">
      <c r="A387" t="s">
        <v>385</v>
      </c>
      <c r="B387">
        <v>2018</v>
      </c>
      <c r="C387" t="s">
        <v>885</v>
      </c>
      <c r="E387">
        <v>5.79156392478943</v>
      </c>
      <c r="F387">
        <v>22</v>
      </c>
    </row>
    <row r="388" spans="1:6">
      <c r="A388" t="s">
        <v>426</v>
      </c>
      <c r="B388">
        <v>2018</v>
      </c>
      <c r="C388" t="s">
        <v>880</v>
      </c>
      <c r="E388">
        <v>0.298794204711914</v>
      </c>
      <c r="F388">
        <v>2</v>
      </c>
    </row>
    <row r="389" spans="1:6">
      <c r="A389" t="s">
        <v>387</v>
      </c>
      <c r="B389">
        <v>2018</v>
      </c>
      <c r="C389" t="s">
        <v>885</v>
      </c>
      <c r="E389">
        <v>2.37614330291748</v>
      </c>
      <c r="F389">
        <v>7</v>
      </c>
    </row>
    <row r="390" spans="1:6">
      <c r="A390" t="s">
        <v>412</v>
      </c>
      <c r="B390">
        <v>2019</v>
      </c>
      <c r="C390" t="s">
        <v>898</v>
      </c>
      <c r="E390">
        <v>0.075</v>
      </c>
      <c r="F390">
        <v>1</v>
      </c>
    </row>
    <row r="391" spans="1:6">
      <c r="A391" t="s">
        <v>80</v>
      </c>
      <c r="B391">
        <v>2021</v>
      </c>
      <c r="C391" t="s">
        <v>874</v>
      </c>
      <c r="E391">
        <v>8.378700916290279</v>
      </c>
      <c r="F391">
        <v>13</v>
      </c>
    </row>
    <row r="392" spans="1:6">
      <c r="A392" t="s">
        <v>90</v>
      </c>
      <c r="B392">
        <v>2022</v>
      </c>
      <c r="C392" t="s">
        <v>878</v>
      </c>
      <c r="E392">
        <v>6.65348892211914</v>
      </c>
      <c r="F392">
        <v>10</v>
      </c>
    </row>
    <row r="393" spans="1:6">
      <c r="A393" t="s">
        <v>122</v>
      </c>
      <c r="B393">
        <v>2018</v>
      </c>
      <c r="C393" t="s">
        <v>874</v>
      </c>
      <c r="E393">
        <v>57</v>
      </c>
      <c r="F393">
        <v>21</v>
      </c>
    </row>
    <row r="394" spans="1:6">
      <c r="A394" t="s">
        <v>181</v>
      </c>
      <c r="B394">
        <v>2019</v>
      </c>
      <c r="C394" t="s">
        <v>895</v>
      </c>
      <c r="D394" t="s">
        <v>893</v>
      </c>
      <c r="E394">
        <v>1.01027903318405</v>
      </c>
      <c r="F394">
        <v>7</v>
      </c>
    </row>
    <row r="395" spans="1:6">
      <c r="A395" t="s">
        <v>182</v>
      </c>
      <c r="B395">
        <v>2022</v>
      </c>
      <c r="C395" t="s">
        <v>878</v>
      </c>
      <c r="D395" t="s">
        <v>884</v>
      </c>
      <c r="E395">
        <v>2.62882302856445</v>
      </c>
      <c r="F395">
        <v>11</v>
      </c>
    </row>
    <row r="396" spans="1:6">
      <c r="A396" t="s">
        <v>193</v>
      </c>
      <c r="B396">
        <v>2019</v>
      </c>
      <c r="C396" t="s">
        <v>879</v>
      </c>
      <c r="D396" t="s">
        <v>890</v>
      </c>
      <c r="E396">
        <v>0.0446483993530273</v>
      </c>
      <c r="F396">
        <v>1</v>
      </c>
    </row>
    <row r="397" spans="1:6">
      <c r="A397" t="s">
        <v>30</v>
      </c>
      <c r="B397">
        <v>2016</v>
      </c>
      <c r="C397" t="s">
        <v>889</v>
      </c>
      <c r="D397" t="s">
        <v>840</v>
      </c>
      <c r="E397">
        <v>3.12521691894531</v>
      </c>
      <c r="F397">
        <v>11</v>
      </c>
    </row>
    <row r="398" spans="1:6">
      <c r="A398" t="s">
        <v>30</v>
      </c>
      <c r="B398">
        <v>2020</v>
      </c>
      <c r="C398" t="s">
        <v>889</v>
      </c>
      <c r="D398" t="s">
        <v>840</v>
      </c>
      <c r="E398">
        <v>0.914915969848633</v>
      </c>
      <c r="F398">
        <v>5</v>
      </c>
    </row>
    <row r="399" spans="1:6">
      <c r="A399" t="s">
        <v>216</v>
      </c>
      <c r="B399">
        <v>2022</v>
      </c>
      <c r="C399" t="s">
        <v>879</v>
      </c>
      <c r="E399">
        <v>0.08021685218811039</v>
      </c>
      <c r="F399">
        <v>2</v>
      </c>
    </row>
    <row r="400" spans="1:6">
      <c r="A400" t="s">
        <v>598</v>
      </c>
      <c r="B400">
        <v>2020</v>
      </c>
      <c r="C400" t="s">
        <v>883</v>
      </c>
      <c r="E400">
        <v>0.356550469398499</v>
      </c>
      <c r="F400">
        <v>4</v>
      </c>
    </row>
    <row r="401" spans="1:6">
      <c r="A401" t="s">
        <v>298</v>
      </c>
      <c r="B401">
        <v>2019</v>
      </c>
      <c r="C401" t="s">
        <v>840</v>
      </c>
      <c r="E401">
        <v>1.03874696969986</v>
      </c>
      <c r="F401">
        <v>4</v>
      </c>
    </row>
    <row r="402" spans="1:6">
      <c r="A402" t="s">
        <v>307</v>
      </c>
      <c r="B402">
        <v>2018</v>
      </c>
      <c r="C402" t="s">
        <v>839</v>
      </c>
      <c r="E402">
        <v>1.89009533691406</v>
      </c>
      <c r="F402">
        <v>2</v>
      </c>
    </row>
    <row r="403" spans="1:6">
      <c r="A403" t="s">
        <v>435</v>
      </c>
      <c r="B403">
        <v>2017</v>
      </c>
      <c r="C403" t="s">
        <v>890</v>
      </c>
      <c r="E403">
        <v>0.08</v>
      </c>
      <c r="F403">
        <v>2</v>
      </c>
    </row>
    <row r="404" spans="1:6">
      <c r="A404" t="s">
        <v>417</v>
      </c>
      <c r="B404">
        <v>2017</v>
      </c>
      <c r="C404" t="s">
        <v>884</v>
      </c>
      <c r="E404">
        <v>0.225374009132385</v>
      </c>
      <c r="F404">
        <v>5</v>
      </c>
    </row>
    <row r="405" spans="1:6">
      <c r="A405" t="s">
        <v>50</v>
      </c>
      <c r="B405">
        <v>2022</v>
      </c>
      <c r="C405" t="s">
        <v>871</v>
      </c>
      <c r="E405">
        <v>12</v>
      </c>
      <c r="F405">
        <v>12</v>
      </c>
    </row>
    <row r="406" spans="1:6">
      <c r="A406" t="s">
        <v>18</v>
      </c>
      <c r="B406">
        <v>2016</v>
      </c>
      <c r="C406" t="s">
        <v>888</v>
      </c>
      <c r="E406">
        <v>8.39286554145813</v>
      </c>
      <c r="F406">
        <v>20</v>
      </c>
    </row>
    <row r="407" spans="1:6">
      <c r="A407" t="s">
        <v>71</v>
      </c>
      <c r="B407">
        <v>2022</v>
      </c>
      <c r="C407" t="s">
        <v>906</v>
      </c>
      <c r="E407">
        <v>41</v>
      </c>
      <c r="F407">
        <v>19</v>
      </c>
    </row>
    <row r="408" spans="1:6">
      <c r="A408" t="s">
        <v>71</v>
      </c>
      <c r="B408">
        <v>2018</v>
      </c>
      <c r="C408" t="s">
        <v>888</v>
      </c>
      <c r="E408">
        <v>67</v>
      </c>
      <c r="F408">
        <v>21</v>
      </c>
    </row>
    <row r="409" spans="1:6">
      <c r="A409" t="s">
        <v>55</v>
      </c>
      <c r="B409">
        <v>2018</v>
      </c>
      <c r="C409" t="s">
        <v>902</v>
      </c>
      <c r="E409">
        <v>146</v>
      </c>
      <c r="F409">
        <v>146</v>
      </c>
    </row>
    <row r="410" spans="1:6">
      <c r="A410" t="s">
        <v>55</v>
      </c>
      <c r="B410">
        <v>2022</v>
      </c>
      <c r="C410" t="s">
        <v>897</v>
      </c>
      <c r="E410">
        <v>3</v>
      </c>
      <c r="F410">
        <v>3</v>
      </c>
    </row>
    <row r="411" spans="1:6">
      <c r="A411" t="s">
        <v>96</v>
      </c>
      <c r="B411">
        <v>2017</v>
      </c>
      <c r="C411" t="s">
        <v>879</v>
      </c>
      <c r="E411">
        <v>0.623807082951069</v>
      </c>
      <c r="F411">
        <v>5</v>
      </c>
    </row>
    <row r="412" spans="1:6">
      <c r="A412" t="s">
        <v>116</v>
      </c>
      <c r="B412">
        <v>2016</v>
      </c>
      <c r="C412" t="s">
        <v>873</v>
      </c>
      <c r="E412">
        <v>50</v>
      </c>
      <c r="F412">
        <v>23</v>
      </c>
    </row>
    <row r="413" spans="1:6">
      <c r="A413" t="s">
        <v>145</v>
      </c>
      <c r="B413">
        <v>2017</v>
      </c>
      <c r="C413" t="s">
        <v>888</v>
      </c>
      <c r="E413">
        <v>18</v>
      </c>
      <c r="F413">
        <v>13</v>
      </c>
    </row>
    <row r="414" spans="1:6">
      <c r="A414" t="s">
        <v>127</v>
      </c>
      <c r="B414">
        <v>2022</v>
      </c>
      <c r="C414" t="s">
        <v>895</v>
      </c>
      <c r="E414">
        <v>4</v>
      </c>
      <c r="F414">
        <v>2</v>
      </c>
    </row>
    <row r="415" spans="1:6">
      <c r="A415" t="s">
        <v>145</v>
      </c>
      <c r="B415">
        <v>2015</v>
      </c>
      <c r="C415" t="s">
        <v>888</v>
      </c>
      <c r="E415">
        <v>20</v>
      </c>
      <c r="F415">
        <v>12</v>
      </c>
    </row>
    <row r="416" spans="1:6">
      <c r="A416" t="s">
        <v>152</v>
      </c>
      <c r="B416">
        <v>2019</v>
      </c>
      <c r="C416" t="s">
        <v>880</v>
      </c>
      <c r="E416">
        <v>11.4577716128826</v>
      </c>
      <c r="F416">
        <v>33</v>
      </c>
    </row>
    <row r="417" spans="1:6">
      <c r="A417" t="s">
        <v>199</v>
      </c>
      <c r="B417">
        <v>2020</v>
      </c>
      <c r="C417" t="s">
        <v>881</v>
      </c>
      <c r="D417" t="s">
        <v>892</v>
      </c>
      <c r="E417">
        <v>4.70676340389252</v>
      </c>
      <c r="F417">
        <v>14</v>
      </c>
    </row>
    <row r="418" spans="1:6">
      <c r="A418" t="s">
        <v>20</v>
      </c>
      <c r="B418">
        <v>2015</v>
      </c>
      <c r="C418" t="s">
        <v>873</v>
      </c>
      <c r="D418" t="s">
        <v>840</v>
      </c>
      <c r="E418">
        <v>24.3340103717744</v>
      </c>
      <c r="F418">
        <v>67</v>
      </c>
    </row>
    <row r="419" spans="1:6">
      <c r="A419" t="s">
        <v>25</v>
      </c>
      <c r="B419">
        <v>2021</v>
      </c>
      <c r="C419" t="s">
        <v>882</v>
      </c>
      <c r="D419" t="s">
        <v>840</v>
      </c>
      <c r="E419">
        <v>14.9934342460632</v>
      </c>
      <c r="F419">
        <v>23</v>
      </c>
    </row>
    <row r="420" spans="1:6">
      <c r="A420" t="s">
        <v>223</v>
      </c>
      <c r="B420">
        <v>2023</v>
      </c>
      <c r="C420" t="s">
        <v>885</v>
      </c>
      <c r="E420">
        <v>0.537693451881409</v>
      </c>
      <c r="F420">
        <v>2</v>
      </c>
    </row>
    <row r="421" spans="1:6">
      <c r="A421" t="s">
        <v>599</v>
      </c>
      <c r="B421">
        <v>2021</v>
      </c>
      <c r="C421" t="s">
        <v>893</v>
      </c>
      <c r="E421">
        <v>2.87809530639648</v>
      </c>
      <c r="F421">
        <v>3</v>
      </c>
    </row>
    <row r="422" spans="1:6">
      <c r="A422" t="s">
        <v>211</v>
      </c>
      <c r="B422">
        <v>2019</v>
      </c>
      <c r="C422" t="s">
        <v>884</v>
      </c>
      <c r="E422">
        <v>4.1730986328125</v>
      </c>
      <c r="F422">
        <v>7</v>
      </c>
    </row>
    <row r="423" spans="1:6">
      <c r="A423" t="s">
        <v>227</v>
      </c>
      <c r="B423">
        <v>2023</v>
      </c>
      <c r="C423" t="s">
        <v>840</v>
      </c>
      <c r="E423">
        <v>1.80790217208862</v>
      </c>
      <c r="F423">
        <v>4</v>
      </c>
    </row>
    <row r="424" spans="1:6">
      <c r="A424" t="s">
        <v>227</v>
      </c>
      <c r="B424">
        <v>2019</v>
      </c>
      <c r="C424" t="s">
        <v>840</v>
      </c>
      <c r="E424">
        <v>6.52441088724136</v>
      </c>
      <c r="F424">
        <v>9</v>
      </c>
    </row>
    <row r="425" spans="1:6">
      <c r="A425" t="s">
        <v>448</v>
      </c>
      <c r="B425">
        <v>2016</v>
      </c>
      <c r="C425" t="s">
        <v>879</v>
      </c>
      <c r="E425">
        <v>0.0397024812698364</v>
      </c>
      <c r="F425">
        <v>2</v>
      </c>
    </row>
    <row r="426" spans="1:6">
      <c r="A426" t="s">
        <v>384</v>
      </c>
      <c r="B426">
        <v>2022</v>
      </c>
      <c r="C426" t="s">
        <v>885</v>
      </c>
      <c r="E426">
        <v>0.926</v>
      </c>
      <c r="F426">
        <v>2</v>
      </c>
    </row>
    <row r="427" spans="1:6">
      <c r="A427" t="s">
        <v>408</v>
      </c>
      <c r="B427">
        <v>2016</v>
      </c>
      <c r="C427" t="s">
        <v>839</v>
      </c>
      <c r="E427">
        <v>4.85362224984169</v>
      </c>
      <c r="F427">
        <v>23</v>
      </c>
    </row>
    <row r="428" spans="1:6">
      <c r="A428" t="s">
        <v>104</v>
      </c>
      <c r="B428">
        <v>2018</v>
      </c>
      <c r="C428" t="s">
        <v>888</v>
      </c>
      <c r="E428">
        <v>16.064154800415</v>
      </c>
      <c r="F428">
        <v>11</v>
      </c>
    </row>
    <row r="429" spans="1:6">
      <c r="A429" t="s">
        <v>94</v>
      </c>
      <c r="B429">
        <v>2020</v>
      </c>
      <c r="C429" t="s">
        <v>878</v>
      </c>
      <c r="E429">
        <v>0.0652330322265625</v>
      </c>
      <c r="F429">
        <v>1</v>
      </c>
    </row>
    <row r="430" spans="1:6">
      <c r="A430" t="s">
        <v>121</v>
      </c>
      <c r="B430">
        <v>2023</v>
      </c>
      <c r="C430" t="s">
        <v>874</v>
      </c>
      <c r="E430">
        <v>35</v>
      </c>
      <c r="F430">
        <v>14</v>
      </c>
    </row>
    <row r="431" spans="1:6">
      <c r="A431" t="s">
        <v>136</v>
      </c>
      <c r="B431">
        <v>2018</v>
      </c>
      <c r="C431" t="s">
        <v>878</v>
      </c>
      <c r="E431">
        <v>1</v>
      </c>
      <c r="F431">
        <v>1</v>
      </c>
    </row>
    <row r="432" spans="1:6">
      <c r="A432" t="s">
        <v>154</v>
      </c>
      <c r="B432">
        <v>2021</v>
      </c>
      <c r="C432" t="s">
        <v>891</v>
      </c>
      <c r="E432">
        <v>3.89605818861723</v>
      </c>
      <c r="F432">
        <v>37</v>
      </c>
    </row>
    <row r="433" spans="1:6">
      <c r="A433" t="s">
        <v>206</v>
      </c>
      <c r="B433">
        <v>2017</v>
      </c>
      <c r="C433" t="s">
        <v>839</v>
      </c>
      <c r="E433">
        <v>23.3993716252446</v>
      </c>
      <c r="F433">
        <v>68</v>
      </c>
    </row>
    <row r="434" spans="1:6">
      <c r="A434" t="s">
        <v>40</v>
      </c>
      <c r="B434">
        <v>2022</v>
      </c>
      <c r="C434" t="s">
        <v>879</v>
      </c>
      <c r="D434" t="s">
        <v>840</v>
      </c>
      <c r="E434">
        <v>0.368041315078735</v>
      </c>
      <c r="F434">
        <v>2</v>
      </c>
    </row>
    <row r="435" spans="1:6">
      <c r="A435" t="s">
        <v>625</v>
      </c>
      <c r="B435">
        <v>2015</v>
      </c>
      <c r="C435" t="s">
        <v>892</v>
      </c>
      <c r="E435">
        <v>0.016</v>
      </c>
      <c r="F435">
        <v>1</v>
      </c>
    </row>
    <row r="436" spans="1:6">
      <c r="A436" t="s">
        <v>319</v>
      </c>
      <c r="B436">
        <v>2017</v>
      </c>
      <c r="C436" t="s">
        <v>838</v>
      </c>
      <c r="E436">
        <v>0.40796800994873</v>
      </c>
      <c r="F436">
        <v>2</v>
      </c>
    </row>
    <row r="437" spans="1:6">
      <c r="A437" t="s">
        <v>418</v>
      </c>
      <c r="B437">
        <v>2015</v>
      </c>
      <c r="C437" t="s">
        <v>884</v>
      </c>
      <c r="E437">
        <v>5.40609845733643</v>
      </c>
      <c r="F437">
        <v>5</v>
      </c>
    </row>
    <row r="438" spans="1:6">
      <c r="A438" t="s">
        <v>416</v>
      </c>
      <c r="B438">
        <v>2022</v>
      </c>
      <c r="C438" t="s">
        <v>884</v>
      </c>
      <c r="E438">
        <v>0.428882415771484</v>
      </c>
      <c r="F438">
        <v>4</v>
      </c>
    </row>
    <row r="439" spans="1:6">
      <c r="A439" t="s">
        <v>56</v>
      </c>
      <c r="B439">
        <v>2024</v>
      </c>
      <c r="C439" t="s">
        <v>903</v>
      </c>
      <c r="E439">
        <v>8</v>
      </c>
      <c r="F439">
        <v>8</v>
      </c>
    </row>
    <row r="440" spans="1:6">
      <c r="A440" t="s">
        <v>62</v>
      </c>
      <c r="B440">
        <v>2017</v>
      </c>
      <c r="C440" t="s">
        <v>841</v>
      </c>
      <c r="E440">
        <v>5</v>
      </c>
      <c r="F440">
        <v>4</v>
      </c>
    </row>
    <row r="441" spans="1:6">
      <c r="A441" t="s">
        <v>87</v>
      </c>
      <c r="B441">
        <v>2017</v>
      </c>
      <c r="C441" t="s">
        <v>895</v>
      </c>
      <c r="E441">
        <v>2.95460375213623</v>
      </c>
      <c r="F441">
        <v>5</v>
      </c>
    </row>
    <row r="442" spans="1:6">
      <c r="A442" t="s">
        <v>80</v>
      </c>
      <c r="B442">
        <v>2023</v>
      </c>
      <c r="C442" t="s">
        <v>874</v>
      </c>
      <c r="E442">
        <v>4.06211764907837</v>
      </c>
      <c r="F442">
        <v>11</v>
      </c>
    </row>
    <row r="443" spans="1:6">
      <c r="A443" t="s">
        <v>136</v>
      </c>
      <c r="B443">
        <v>2021</v>
      </c>
      <c r="C443" t="s">
        <v>878</v>
      </c>
      <c r="E443">
        <v>3</v>
      </c>
      <c r="F443">
        <v>3</v>
      </c>
    </row>
    <row r="444" spans="1:6">
      <c r="A444" t="s">
        <v>128</v>
      </c>
      <c r="B444">
        <v>2021</v>
      </c>
      <c r="C444" t="s">
        <v>895</v>
      </c>
      <c r="E444">
        <v>5</v>
      </c>
      <c r="F444">
        <v>3</v>
      </c>
    </row>
    <row r="445" spans="1:6">
      <c r="A445" t="s">
        <v>171</v>
      </c>
      <c r="B445">
        <v>2023</v>
      </c>
      <c r="C445" t="s">
        <v>874</v>
      </c>
      <c r="D445" t="s">
        <v>879</v>
      </c>
      <c r="E445">
        <v>0.0467543754577637</v>
      </c>
      <c r="F445">
        <v>1</v>
      </c>
    </row>
    <row r="446" spans="1:6">
      <c r="A446" t="s">
        <v>205</v>
      </c>
      <c r="B446">
        <v>2019</v>
      </c>
      <c r="C446" t="s">
        <v>881</v>
      </c>
      <c r="D446" t="s">
        <v>893</v>
      </c>
      <c r="E446">
        <v>2.67256988143921</v>
      </c>
      <c r="F446">
        <v>11</v>
      </c>
    </row>
    <row r="447" spans="1:6">
      <c r="A447" t="s">
        <v>171</v>
      </c>
      <c r="B447">
        <v>2018</v>
      </c>
      <c r="C447" t="s">
        <v>874</v>
      </c>
      <c r="D447" t="s">
        <v>879</v>
      </c>
      <c r="E447">
        <v>0.574256139755249</v>
      </c>
      <c r="F447">
        <v>4</v>
      </c>
    </row>
    <row r="448" spans="1:6">
      <c r="A448" t="s">
        <v>208</v>
      </c>
      <c r="B448">
        <v>2018</v>
      </c>
      <c r="C448" t="s">
        <v>838</v>
      </c>
      <c r="E448">
        <v>54.7958775477409</v>
      </c>
      <c r="F448">
        <v>64</v>
      </c>
    </row>
    <row r="449" spans="1:6">
      <c r="A449" t="s">
        <v>24</v>
      </c>
      <c r="B449">
        <v>2021</v>
      </c>
      <c r="C449" t="s">
        <v>882</v>
      </c>
      <c r="D449" t="s">
        <v>839</v>
      </c>
      <c r="E449">
        <v>9.24521334934235</v>
      </c>
      <c r="F449">
        <v>19</v>
      </c>
    </row>
    <row r="450" spans="1:6">
      <c r="A450" t="s">
        <v>35</v>
      </c>
      <c r="B450">
        <v>2019</v>
      </c>
      <c r="C450" t="s">
        <v>878</v>
      </c>
      <c r="D450" t="s">
        <v>840</v>
      </c>
      <c r="E450">
        <v>8.241212102413179</v>
      </c>
      <c r="F450">
        <v>25</v>
      </c>
    </row>
    <row r="451" spans="1:6">
      <c r="A451" t="s">
        <v>221</v>
      </c>
      <c r="B451">
        <v>2018</v>
      </c>
      <c r="C451" t="s">
        <v>885</v>
      </c>
      <c r="E451">
        <v>3.30905993652344</v>
      </c>
      <c r="F451">
        <v>2</v>
      </c>
    </row>
    <row r="452" spans="1:6">
      <c r="A452" t="s">
        <v>127</v>
      </c>
      <c r="B452">
        <v>2018</v>
      </c>
      <c r="C452" t="s">
        <v>895</v>
      </c>
      <c r="E452">
        <v>17</v>
      </c>
      <c r="F452">
        <v>9</v>
      </c>
    </row>
    <row r="453" spans="1:6">
      <c r="A453" t="s">
        <v>160</v>
      </c>
      <c r="B453">
        <v>2018</v>
      </c>
      <c r="C453" t="s">
        <v>887</v>
      </c>
      <c r="D453" t="s">
        <v>880</v>
      </c>
      <c r="E453">
        <v>5.84840592467785</v>
      </c>
      <c r="F453">
        <v>25</v>
      </c>
    </row>
    <row r="454" spans="1:6">
      <c r="A454" t="s">
        <v>167</v>
      </c>
      <c r="B454">
        <v>2020</v>
      </c>
      <c r="C454" t="s">
        <v>874</v>
      </c>
      <c r="D454" t="s">
        <v>892</v>
      </c>
      <c r="E454">
        <v>9.799280136108401</v>
      </c>
      <c r="F454">
        <v>9</v>
      </c>
    </row>
    <row r="455" spans="1:6">
      <c r="A455" t="s">
        <v>195</v>
      </c>
      <c r="B455">
        <v>2024</v>
      </c>
      <c r="C455" t="s">
        <v>879</v>
      </c>
      <c r="D455" t="s">
        <v>879</v>
      </c>
      <c r="E455">
        <v>0.001</v>
      </c>
      <c r="F455">
        <v>1</v>
      </c>
    </row>
    <row r="456" spans="1:6">
      <c r="A456" t="s">
        <v>37</v>
      </c>
      <c r="B456">
        <v>2018</v>
      </c>
      <c r="C456" t="s">
        <v>878</v>
      </c>
      <c r="D456" t="s">
        <v>841</v>
      </c>
      <c r="E456">
        <v>0.101565689086914</v>
      </c>
      <c r="F456">
        <v>1</v>
      </c>
    </row>
    <row r="457" spans="1:6">
      <c r="A457" t="s">
        <v>624</v>
      </c>
      <c r="B457">
        <v>2018</v>
      </c>
      <c r="C457" t="s">
        <v>884</v>
      </c>
      <c r="E457">
        <v>0.679296691894531</v>
      </c>
      <c r="F457">
        <v>2</v>
      </c>
    </row>
    <row r="458" spans="1:6">
      <c r="A458" t="s">
        <v>625</v>
      </c>
      <c r="B458">
        <v>2016</v>
      </c>
      <c r="C458" t="s">
        <v>892</v>
      </c>
      <c r="E458">
        <v>0.028474889755249</v>
      </c>
      <c r="F458">
        <v>1</v>
      </c>
    </row>
    <row r="459" spans="1:6">
      <c r="A459" t="s">
        <v>384</v>
      </c>
      <c r="B459">
        <v>2016</v>
      </c>
      <c r="C459" t="s">
        <v>885</v>
      </c>
      <c r="E459">
        <v>1.76772265625</v>
      </c>
      <c r="F459">
        <v>6</v>
      </c>
    </row>
    <row r="460" spans="1:6">
      <c r="A460" t="s">
        <v>374</v>
      </c>
      <c r="B460">
        <v>2020</v>
      </c>
      <c r="C460" t="s">
        <v>884</v>
      </c>
      <c r="E460">
        <v>14.0704466543198</v>
      </c>
      <c r="F460">
        <v>38</v>
      </c>
    </row>
    <row r="461" spans="1:6">
      <c r="A461" t="s">
        <v>442</v>
      </c>
      <c r="B461">
        <v>2017</v>
      </c>
      <c r="C461" t="s">
        <v>891</v>
      </c>
      <c r="E461">
        <v>0.008</v>
      </c>
      <c r="F461">
        <v>1</v>
      </c>
    </row>
    <row r="462" spans="1:6">
      <c r="A462" t="s">
        <v>383</v>
      </c>
      <c r="B462">
        <v>2021</v>
      </c>
      <c r="C462" t="s">
        <v>885</v>
      </c>
      <c r="E462">
        <v>15.0392883377075</v>
      </c>
      <c r="F462">
        <v>21</v>
      </c>
    </row>
    <row r="463" spans="1:6">
      <c r="A463" t="s">
        <v>441</v>
      </c>
      <c r="B463">
        <v>2016</v>
      </c>
      <c r="C463" t="s">
        <v>891</v>
      </c>
      <c r="E463">
        <v>0.056</v>
      </c>
      <c r="F463">
        <v>1</v>
      </c>
    </row>
    <row r="464" spans="1:6">
      <c r="A464" t="s">
        <v>447</v>
      </c>
      <c r="B464">
        <v>2019</v>
      </c>
      <c r="C464" t="s">
        <v>879</v>
      </c>
      <c r="E464">
        <v>0.0350962829589844</v>
      </c>
      <c r="F464">
        <v>1</v>
      </c>
    </row>
    <row r="465" spans="1:6">
      <c r="A465" t="s">
        <v>50</v>
      </c>
      <c r="B465">
        <v>2019</v>
      </c>
      <c r="C465" t="s">
        <v>908</v>
      </c>
      <c r="E465">
        <v>3</v>
      </c>
      <c r="F465">
        <v>3</v>
      </c>
    </row>
    <row r="466" spans="1:6">
      <c r="A466" t="s">
        <v>69</v>
      </c>
      <c r="B466">
        <v>2022</v>
      </c>
      <c r="C466" t="s">
        <v>909</v>
      </c>
      <c r="E466">
        <v>159</v>
      </c>
      <c r="F466">
        <v>26</v>
      </c>
    </row>
    <row r="467" spans="1:6">
      <c r="A467" t="s">
        <v>71</v>
      </c>
      <c r="B467">
        <v>2019</v>
      </c>
      <c r="C467" t="s">
        <v>888</v>
      </c>
      <c r="E467">
        <v>48</v>
      </c>
      <c r="F467">
        <v>14</v>
      </c>
    </row>
    <row r="468" spans="1:6">
      <c r="A468" t="s">
        <v>66</v>
      </c>
      <c r="B468">
        <v>2019</v>
      </c>
      <c r="C468" t="s">
        <v>873</v>
      </c>
      <c r="E468">
        <v>353</v>
      </c>
      <c r="F468">
        <v>105</v>
      </c>
    </row>
    <row r="469" spans="1:6">
      <c r="A469" t="s">
        <v>9</v>
      </c>
      <c r="B469">
        <v>2018</v>
      </c>
      <c r="C469" t="s">
        <v>886</v>
      </c>
      <c r="E469">
        <v>10.8351090717316</v>
      </c>
      <c r="F469">
        <v>13</v>
      </c>
    </row>
    <row r="470" spans="1:6">
      <c r="A470" t="s">
        <v>75</v>
      </c>
      <c r="B470">
        <v>2016</v>
      </c>
      <c r="C470" t="s">
        <v>873</v>
      </c>
      <c r="E470">
        <v>5.91289629745483</v>
      </c>
      <c r="F470">
        <v>9</v>
      </c>
    </row>
    <row r="471" spans="1:6">
      <c r="A471" t="s">
        <v>115</v>
      </c>
      <c r="B471">
        <v>2016</v>
      </c>
      <c r="C471" t="s">
        <v>873</v>
      </c>
      <c r="E471">
        <v>175</v>
      </c>
      <c r="F471">
        <v>67</v>
      </c>
    </row>
    <row r="472" spans="1:6">
      <c r="A472" t="s">
        <v>156</v>
      </c>
      <c r="B472">
        <v>2015</v>
      </c>
      <c r="C472" t="s">
        <v>883</v>
      </c>
      <c r="E472">
        <v>3.2219244826436</v>
      </c>
      <c r="F472">
        <v>47</v>
      </c>
    </row>
    <row r="473" spans="1:6">
      <c r="A473" t="s">
        <v>173</v>
      </c>
      <c r="B473">
        <v>2019</v>
      </c>
      <c r="C473" t="s">
        <v>874</v>
      </c>
      <c r="D473" t="s">
        <v>893</v>
      </c>
      <c r="E473">
        <v>4.56035238361359</v>
      </c>
      <c r="F473">
        <v>14</v>
      </c>
    </row>
    <row r="474" spans="1:6">
      <c r="A474" t="s">
        <v>182</v>
      </c>
      <c r="B474">
        <v>2021</v>
      </c>
      <c r="C474" t="s">
        <v>878</v>
      </c>
      <c r="D474" t="s">
        <v>884</v>
      </c>
      <c r="E474">
        <v>3.86887326049805</v>
      </c>
      <c r="F474">
        <v>14</v>
      </c>
    </row>
    <row r="475" spans="1:6">
      <c r="A475" t="s">
        <v>31</v>
      </c>
      <c r="B475">
        <v>2015</v>
      </c>
      <c r="C475" t="s">
        <v>889</v>
      </c>
      <c r="D475" t="s">
        <v>838</v>
      </c>
      <c r="E475">
        <v>0.212577964782715</v>
      </c>
      <c r="F475">
        <v>2</v>
      </c>
    </row>
    <row r="476" spans="1:6">
      <c r="A476" t="s">
        <v>624</v>
      </c>
      <c r="B476">
        <v>2017</v>
      </c>
      <c r="C476" t="s">
        <v>884</v>
      </c>
      <c r="E476">
        <v>1.41737829589844</v>
      </c>
      <c r="F476">
        <v>4</v>
      </c>
    </row>
    <row r="477" spans="1:6">
      <c r="A477" t="s">
        <v>629</v>
      </c>
      <c r="B477">
        <v>2015</v>
      </c>
      <c r="C477" t="s">
        <v>879</v>
      </c>
      <c r="E477">
        <v>0.495</v>
      </c>
      <c r="F477">
        <v>1</v>
      </c>
    </row>
    <row r="478" spans="1:6">
      <c r="A478" t="s">
        <v>307</v>
      </c>
      <c r="B478">
        <v>2016</v>
      </c>
      <c r="C478" t="s">
        <v>839</v>
      </c>
      <c r="E478">
        <v>0.028474889755249</v>
      </c>
      <c r="F478">
        <v>1</v>
      </c>
    </row>
    <row r="479" spans="1:6">
      <c r="A479" t="s">
        <v>386</v>
      </c>
      <c r="B479">
        <v>2024</v>
      </c>
      <c r="C479" t="s">
        <v>885</v>
      </c>
      <c r="E479">
        <v>0.005</v>
      </c>
      <c r="F479">
        <v>1</v>
      </c>
    </row>
    <row r="480" spans="1:6">
      <c r="A480" t="s">
        <v>377</v>
      </c>
      <c r="B480">
        <v>2023</v>
      </c>
      <c r="C480" t="s">
        <v>890</v>
      </c>
      <c r="E480">
        <v>3.48043359375</v>
      </c>
      <c r="F480">
        <v>2</v>
      </c>
    </row>
    <row r="481" spans="1:6">
      <c r="A481" t="s">
        <v>380</v>
      </c>
      <c r="B481">
        <v>2022</v>
      </c>
      <c r="C481" t="s">
        <v>883</v>
      </c>
      <c r="E481">
        <v>0.5471163728237149</v>
      </c>
      <c r="F481">
        <v>18</v>
      </c>
    </row>
    <row r="482" spans="1:6">
      <c r="A482" t="s">
        <v>428</v>
      </c>
      <c r="B482">
        <v>2015</v>
      </c>
      <c r="C482" t="s">
        <v>880</v>
      </c>
      <c r="E482">
        <v>1.4291480255127</v>
      </c>
      <c r="F482">
        <v>6</v>
      </c>
    </row>
    <row r="483" spans="1:6">
      <c r="A483" t="s">
        <v>410</v>
      </c>
      <c r="B483">
        <v>2018</v>
      </c>
      <c r="C483" t="s">
        <v>838</v>
      </c>
      <c r="E483">
        <v>7.02659238433838</v>
      </c>
      <c r="F483">
        <v>26</v>
      </c>
    </row>
    <row r="484" spans="1:6">
      <c r="A484" t="s">
        <v>56</v>
      </c>
      <c r="B484">
        <v>2020</v>
      </c>
      <c r="C484" t="s">
        <v>877</v>
      </c>
      <c r="E484">
        <v>13</v>
      </c>
      <c r="F484">
        <v>13</v>
      </c>
    </row>
    <row r="485" spans="1:6">
      <c r="A485" t="s">
        <v>96</v>
      </c>
      <c r="B485">
        <v>2015</v>
      </c>
      <c r="C485" t="s">
        <v>879</v>
      </c>
      <c r="E485">
        <v>0.000941853165626526</v>
      </c>
      <c r="F485">
        <v>1</v>
      </c>
    </row>
    <row r="486" spans="1:6">
      <c r="A486" t="s">
        <v>127</v>
      </c>
      <c r="B486">
        <v>2024</v>
      </c>
      <c r="C486" t="s">
        <v>895</v>
      </c>
      <c r="E486">
        <v>1</v>
      </c>
      <c r="F486">
        <v>1</v>
      </c>
    </row>
    <row r="487" spans="1:6">
      <c r="A487" t="s">
        <v>150</v>
      </c>
      <c r="B487">
        <v>2019</v>
      </c>
      <c r="C487" t="s">
        <v>884</v>
      </c>
      <c r="E487">
        <v>59.3641750378609</v>
      </c>
      <c r="F487">
        <v>100</v>
      </c>
    </row>
    <row r="488" spans="1:6">
      <c r="A488" t="s">
        <v>167</v>
      </c>
      <c r="B488">
        <v>2024</v>
      </c>
      <c r="C488" t="s">
        <v>874</v>
      </c>
      <c r="D488" t="s">
        <v>892</v>
      </c>
      <c r="E488">
        <v>0.0417478637695312</v>
      </c>
      <c r="F488">
        <v>1</v>
      </c>
    </row>
    <row r="489" spans="1:6">
      <c r="A489" t="s">
        <v>168</v>
      </c>
      <c r="B489">
        <v>2019</v>
      </c>
      <c r="C489" t="s">
        <v>874</v>
      </c>
      <c r="D489" t="s">
        <v>880</v>
      </c>
      <c r="E489">
        <v>1.93380031532049</v>
      </c>
      <c r="F489">
        <v>8</v>
      </c>
    </row>
    <row r="490" spans="1:6">
      <c r="A490" t="s">
        <v>21</v>
      </c>
      <c r="B490">
        <v>2023</v>
      </c>
      <c r="C490" t="s">
        <v>873</v>
      </c>
      <c r="D490" t="s">
        <v>838</v>
      </c>
      <c r="E490">
        <v>9.776522636786099</v>
      </c>
      <c r="F490">
        <v>25</v>
      </c>
    </row>
    <row r="491" spans="1:6">
      <c r="A491" t="s">
        <v>624</v>
      </c>
      <c r="B491">
        <v>2016</v>
      </c>
      <c r="C491" t="s">
        <v>884</v>
      </c>
      <c r="E491">
        <v>0.433800964355469</v>
      </c>
      <c r="F491">
        <v>2</v>
      </c>
    </row>
    <row r="492" spans="1:6">
      <c r="A492" t="s">
        <v>297</v>
      </c>
      <c r="B492">
        <v>2023</v>
      </c>
      <c r="C492" t="s">
        <v>839</v>
      </c>
      <c r="E492">
        <v>0.6795693969726559</v>
      </c>
      <c r="F492">
        <v>2</v>
      </c>
    </row>
    <row r="493" spans="1:6">
      <c r="A493" t="s">
        <v>387</v>
      </c>
      <c r="B493">
        <v>2023</v>
      </c>
      <c r="C493" t="s">
        <v>885</v>
      </c>
      <c r="E493">
        <v>9.30541038608551</v>
      </c>
      <c r="F493">
        <v>7</v>
      </c>
    </row>
    <row r="494" spans="1:6">
      <c r="A494" t="s">
        <v>6</v>
      </c>
      <c r="B494">
        <v>2015</v>
      </c>
      <c r="C494" t="s">
        <v>839</v>
      </c>
      <c r="E494">
        <v>16.828980802536</v>
      </c>
      <c r="F494">
        <v>45</v>
      </c>
    </row>
    <row r="495" spans="1:6">
      <c r="A495" t="s">
        <v>81</v>
      </c>
      <c r="B495">
        <v>2018</v>
      </c>
      <c r="C495" t="s">
        <v>874</v>
      </c>
      <c r="E495">
        <v>0.501885581970215</v>
      </c>
      <c r="F495">
        <v>4</v>
      </c>
    </row>
    <row r="496" spans="1:6">
      <c r="A496" t="s">
        <v>79</v>
      </c>
      <c r="B496">
        <v>2021</v>
      </c>
      <c r="C496" t="s">
        <v>874</v>
      </c>
      <c r="E496">
        <v>17.3422352256775</v>
      </c>
      <c r="F496">
        <v>24</v>
      </c>
    </row>
    <row r="497" spans="1:6">
      <c r="A497" t="s">
        <v>120</v>
      </c>
      <c r="B497">
        <v>2020</v>
      </c>
      <c r="C497" t="s">
        <v>874</v>
      </c>
      <c r="E497">
        <v>32</v>
      </c>
      <c r="F497">
        <v>9</v>
      </c>
    </row>
    <row r="498" spans="1:6">
      <c r="A498" t="s">
        <v>129</v>
      </c>
      <c r="B498">
        <v>2020</v>
      </c>
      <c r="C498" t="s">
        <v>895</v>
      </c>
      <c r="E498">
        <v>8</v>
      </c>
      <c r="F498">
        <v>2</v>
      </c>
    </row>
    <row r="499" spans="1:6">
      <c r="A499" t="s">
        <v>122</v>
      </c>
      <c r="B499">
        <v>2022</v>
      </c>
      <c r="C499" t="s">
        <v>874</v>
      </c>
      <c r="E499">
        <v>58</v>
      </c>
      <c r="F499">
        <v>21</v>
      </c>
    </row>
    <row r="500" spans="1:6">
      <c r="A500" t="s">
        <v>152</v>
      </c>
      <c r="B500">
        <v>2021</v>
      </c>
      <c r="C500" t="s">
        <v>880</v>
      </c>
      <c r="E500">
        <v>15.7546969146729</v>
      </c>
      <c r="F500">
        <v>29</v>
      </c>
    </row>
    <row r="501" spans="1:6">
      <c r="A501" t="s">
        <v>188</v>
      </c>
      <c r="B501">
        <v>2020</v>
      </c>
      <c r="C501" t="s">
        <v>878</v>
      </c>
      <c r="D501" t="s">
        <v>883</v>
      </c>
      <c r="E501">
        <v>0.259169361889362</v>
      </c>
      <c r="F501">
        <v>4</v>
      </c>
    </row>
    <row r="502" spans="1:6">
      <c r="A502" t="s">
        <v>29</v>
      </c>
      <c r="B502">
        <v>2019</v>
      </c>
      <c r="C502" t="s">
        <v>889</v>
      </c>
      <c r="D502" t="s">
        <v>839</v>
      </c>
      <c r="E502">
        <v>3.37946720600128</v>
      </c>
      <c r="F502">
        <v>5</v>
      </c>
    </row>
    <row r="503" spans="1:6">
      <c r="A503" t="s">
        <v>20</v>
      </c>
      <c r="B503">
        <v>2019</v>
      </c>
      <c r="C503" t="s">
        <v>873</v>
      </c>
      <c r="D503" t="s">
        <v>840</v>
      </c>
      <c r="E503">
        <v>33.2509268600941</v>
      </c>
      <c r="F503">
        <v>84</v>
      </c>
    </row>
    <row r="504" spans="1:6">
      <c r="A504" t="s">
        <v>595</v>
      </c>
      <c r="B504">
        <v>2017</v>
      </c>
      <c r="C504" t="s">
        <v>890</v>
      </c>
      <c r="E504">
        <v>0.333927856445312</v>
      </c>
      <c r="F504">
        <v>1</v>
      </c>
    </row>
    <row r="505" spans="1:6">
      <c r="A505" t="s">
        <v>603</v>
      </c>
      <c r="B505">
        <v>2015</v>
      </c>
      <c r="C505" t="s">
        <v>890</v>
      </c>
      <c r="E505">
        <v>0.249955718994141</v>
      </c>
      <c r="F505">
        <v>1</v>
      </c>
    </row>
    <row r="506" spans="1:6">
      <c r="A506" t="s">
        <v>308</v>
      </c>
      <c r="B506">
        <v>2021</v>
      </c>
      <c r="C506" t="s">
        <v>840</v>
      </c>
      <c r="E506">
        <v>0.284783065795898</v>
      </c>
      <c r="F506">
        <v>2</v>
      </c>
    </row>
    <row r="507" spans="1:6">
      <c r="A507" t="s">
        <v>431</v>
      </c>
      <c r="B507">
        <v>2018</v>
      </c>
      <c r="C507" t="s">
        <v>890</v>
      </c>
      <c r="E507">
        <v>0.158403266787529</v>
      </c>
      <c r="F507">
        <v>5</v>
      </c>
    </row>
    <row r="508" spans="1:6">
      <c r="A508" t="s">
        <v>376</v>
      </c>
      <c r="B508">
        <v>2019</v>
      </c>
      <c r="C508" t="s">
        <v>880</v>
      </c>
      <c r="E508">
        <v>1.94640919184685</v>
      </c>
      <c r="F508">
        <v>15</v>
      </c>
    </row>
    <row r="509" spans="1:6">
      <c r="A509" t="s">
        <v>13</v>
      </c>
      <c r="B509">
        <v>2024</v>
      </c>
      <c r="C509" t="s">
        <v>905</v>
      </c>
      <c r="E509">
        <v>1.24272161483765</v>
      </c>
      <c r="F509">
        <v>7</v>
      </c>
    </row>
    <row r="510" spans="1:6">
      <c r="A510" t="s">
        <v>66</v>
      </c>
      <c r="B510">
        <v>2016</v>
      </c>
      <c r="C510" t="s">
        <v>873</v>
      </c>
      <c r="E510">
        <v>295</v>
      </c>
      <c r="F510">
        <v>105</v>
      </c>
    </row>
    <row r="511" spans="1:6">
      <c r="A511" t="s">
        <v>55</v>
      </c>
      <c r="B511">
        <v>2021</v>
      </c>
      <c r="C511" t="s">
        <v>902</v>
      </c>
      <c r="E511">
        <v>99</v>
      </c>
      <c r="F511">
        <v>99</v>
      </c>
    </row>
    <row r="512" spans="1:6">
      <c r="A512" t="s">
        <v>55</v>
      </c>
      <c r="B512">
        <v>2020</v>
      </c>
      <c r="C512" t="s">
        <v>897</v>
      </c>
      <c r="E512">
        <v>1</v>
      </c>
      <c r="F512">
        <v>1</v>
      </c>
    </row>
    <row r="513" spans="1:6">
      <c r="A513" t="s">
        <v>57</v>
      </c>
      <c r="B513">
        <v>2018</v>
      </c>
      <c r="C513" t="s">
        <v>910</v>
      </c>
      <c r="E513">
        <v>66.6874187512398</v>
      </c>
      <c r="F513">
        <v>128</v>
      </c>
    </row>
    <row r="514" spans="1:6">
      <c r="A514" t="s">
        <v>75</v>
      </c>
      <c r="B514">
        <v>2019</v>
      </c>
      <c r="C514" t="s">
        <v>873</v>
      </c>
      <c r="E514">
        <v>19.5879030761719</v>
      </c>
      <c r="F514">
        <v>8</v>
      </c>
    </row>
    <row r="515" spans="1:6">
      <c r="A515" t="s">
        <v>73</v>
      </c>
      <c r="B515">
        <v>2017</v>
      </c>
      <c r="C515" t="s">
        <v>873</v>
      </c>
      <c r="E515">
        <v>33.2555591678619</v>
      </c>
      <c r="F515">
        <v>72</v>
      </c>
    </row>
    <row r="516" spans="1:6">
      <c r="A516" t="s">
        <v>117</v>
      </c>
      <c r="B516">
        <v>2021</v>
      </c>
      <c r="C516" t="s">
        <v>873</v>
      </c>
      <c r="E516">
        <v>8</v>
      </c>
      <c r="F516">
        <v>6</v>
      </c>
    </row>
    <row r="517" spans="1:6">
      <c r="A517" t="s">
        <v>186</v>
      </c>
      <c r="B517">
        <v>2018</v>
      </c>
      <c r="C517" t="s">
        <v>878</v>
      </c>
      <c r="D517" t="s">
        <v>891</v>
      </c>
      <c r="E517">
        <v>0.0437142524719238</v>
      </c>
      <c r="F517">
        <v>1</v>
      </c>
    </row>
    <row r="518" spans="1:6">
      <c r="A518" t="s">
        <v>202</v>
      </c>
      <c r="B518">
        <v>2018</v>
      </c>
      <c r="C518" t="s">
        <v>881</v>
      </c>
      <c r="D518" t="s">
        <v>891</v>
      </c>
      <c r="E518">
        <v>0.02</v>
      </c>
      <c r="F518">
        <v>1</v>
      </c>
    </row>
    <row r="519" spans="1:6">
      <c r="A519" t="s">
        <v>21</v>
      </c>
      <c r="B519">
        <v>2018</v>
      </c>
      <c r="C519" t="s">
        <v>873</v>
      </c>
      <c r="D519" t="s">
        <v>838</v>
      </c>
      <c r="E519">
        <v>24.8697845277786</v>
      </c>
      <c r="F519">
        <v>48</v>
      </c>
    </row>
    <row r="520" spans="1:6">
      <c r="A520" t="s">
        <v>39</v>
      </c>
      <c r="B520">
        <v>2023</v>
      </c>
      <c r="C520" t="s">
        <v>879</v>
      </c>
      <c r="D520" t="s">
        <v>839</v>
      </c>
      <c r="E520">
        <v>0.0467996797561646</v>
      </c>
      <c r="F520">
        <v>2</v>
      </c>
    </row>
    <row r="521" spans="1:6">
      <c r="A521" t="s">
        <v>19</v>
      </c>
      <c r="B521">
        <v>2016</v>
      </c>
      <c r="C521" t="s">
        <v>873</v>
      </c>
      <c r="D521" t="s">
        <v>839</v>
      </c>
      <c r="E521">
        <v>10.3123134900331</v>
      </c>
      <c r="F521">
        <v>44</v>
      </c>
    </row>
    <row r="522" spans="1:6">
      <c r="A522" t="s">
        <v>624</v>
      </c>
      <c r="B522">
        <v>2015</v>
      </c>
      <c r="C522" t="s">
        <v>884</v>
      </c>
      <c r="E522">
        <v>1.81749071645737</v>
      </c>
      <c r="F522">
        <v>6</v>
      </c>
    </row>
    <row r="523" spans="1:6">
      <c r="A523" t="s">
        <v>299</v>
      </c>
      <c r="B523">
        <v>2016</v>
      </c>
      <c r="C523" t="s">
        <v>838</v>
      </c>
      <c r="E523">
        <v>1.05706712436676</v>
      </c>
      <c r="F523">
        <v>4</v>
      </c>
    </row>
    <row r="524" spans="1:6">
      <c r="A524" t="s">
        <v>308</v>
      </c>
      <c r="B524">
        <v>2018</v>
      </c>
      <c r="C524" t="s">
        <v>840</v>
      </c>
      <c r="E524">
        <v>1.41896459960937</v>
      </c>
      <c r="F524">
        <v>1</v>
      </c>
    </row>
    <row r="525" spans="1:6">
      <c r="A525" t="s">
        <v>379</v>
      </c>
      <c r="B525">
        <v>2015</v>
      </c>
      <c r="C525" t="s">
        <v>879</v>
      </c>
      <c r="E525">
        <v>1.1845786215812</v>
      </c>
      <c r="F525">
        <v>15</v>
      </c>
    </row>
    <row r="526" spans="1:6">
      <c r="A526" t="s">
        <v>380</v>
      </c>
      <c r="B526">
        <v>2017</v>
      </c>
      <c r="C526" t="s">
        <v>883</v>
      </c>
      <c r="E526">
        <v>4.25742421227694</v>
      </c>
      <c r="F526">
        <v>27</v>
      </c>
    </row>
    <row r="527" spans="1:6">
      <c r="A527" t="s">
        <v>377</v>
      </c>
      <c r="B527">
        <v>2016</v>
      </c>
      <c r="C527" t="s">
        <v>890</v>
      </c>
      <c r="E527">
        <v>0.795829607009888</v>
      </c>
      <c r="F527">
        <v>5</v>
      </c>
    </row>
    <row r="528" spans="1:6">
      <c r="A528" t="s">
        <v>56</v>
      </c>
      <c r="B528">
        <v>2015</v>
      </c>
      <c r="C528" t="s">
        <v>897</v>
      </c>
      <c r="E528">
        <v>3</v>
      </c>
      <c r="F528">
        <v>3</v>
      </c>
    </row>
    <row r="529" spans="1:6">
      <c r="A529" t="s">
        <v>60</v>
      </c>
      <c r="B529">
        <v>2016</v>
      </c>
      <c r="C529" t="s">
        <v>838</v>
      </c>
      <c r="E529">
        <v>136</v>
      </c>
      <c r="F529">
        <v>30</v>
      </c>
    </row>
    <row r="530" spans="1:6">
      <c r="A530" t="s">
        <v>80</v>
      </c>
      <c r="B530">
        <v>2022</v>
      </c>
      <c r="C530" t="s">
        <v>874</v>
      </c>
      <c r="E530">
        <v>14.271200088501</v>
      </c>
      <c r="F530">
        <v>21</v>
      </c>
    </row>
    <row r="531" spans="1:6">
      <c r="A531" t="s">
        <v>115</v>
      </c>
      <c r="B531">
        <v>2021</v>
      </c>
      <c r="C531" t="s">
        <v>873</v>
      </c>
      <c r="E531">
        <v>196</v>
      </c>
      <c r="F531">
        <v>61</v>
      </c>
    </row>
    <row r="532" spans="1:6">
      <c r="A532" t="s">
        <v>124</v>
      </c>
      <c r="B532">
        <v>2022</v>
      </c>
      <c r="C532" t="s">
        <v>874</v>
      </c>
      <c r="E532">
        <v>2</v>
      </c>
      <c r="F532">
        <v>2</v>
      </c>
    </row>
    <row r="533" spans="1:6">
      <c r="A533" t="s">
        <v>126</v>
      </c>
      <c r="B533">
        <v>2017</v>
      </c>
      <c r="C533" t="s">
        <v>895</v>
      </c>
      <c r="E533">
        <v>10</v>
      </c>
      <c r="F533">
        <v>2</v>
      </c>
    </row>
    <row r="534" spans="1:6">
      <c r="A534" t="s">
        <v>175</v>
      </c>
      <c r="B534">
        <v>2020</v>
      </c>
      <c r="C534" t="s">
        <v>895</v>
      </c>
      <c r="D534" t="s">
        <v>892</v>
      </c>
      <c r="E534">
        <v>0.767588806152344</v>
      </c>
      <c r="F534">
        <v>1</v>
      </c>
    </row>
    <row r="535" spans="1:6">
      <c r="A535" t="s">
        <v>37</v>
      </c>
      <c r="B535">
        <v>2017</v>
      </c>
      <c r="C535" t="s">
        <v>878</v>
      </c>
      <c r="D535" t="s">
        <v>841</v>
      </c>
      <c r="E535">
        <v>0.0198269653320313</v>
      </c>
      <c r="F535">
        <v>1</v>
      </c>
    </row>
    <row r="536" spans="1:6">
      <c r="A536" t="s">
        <v>212</v>
      </c>
      <c r="B536">
        <v>2018</v>
      </c>
      <c r="C536" t="s">
        <v>892</v>
      </c>
      <c r="E536">
        <v>0.937633827209473</v>
      </c>
      <c r="F536">
        <v>5</v>
      </c>
    </row>
    <row r="537" spans="1:6">
      <c r="A537" t="s">
        <v>596</v>
      </c>
      <c r="B537">
        <v>2017</v>
      </c>
      <c r="C537" t="s">
        <v>891</v>
      </c>
      <c r="E537">
        <v>0.0283838672637939</v>
      </c>
      <c r="F537">
        <v>1</v>
      </c>
    </row>
    <row r="538" spans="1:6">
      <c r="A538" t="s">
        <v>308</v>
      </c>
      <c r="B538">
        <v>2020</v>
      </c>
      <c r="C538" t="s">
        <v>840</v>
      </c>
      <c r="E538">
        <v>0.238915969848633</v>
      </c>
      <c r="F538">
        <v>1</v>
      </c>
    </row>
    <row r="539" spans="1:6">
      <c r="A539" t="s">
        <v>387</v>
      </c>
      <c r="B539">
        <v>2021</v>
      </c>
      <c r="C539" t="s">
        <v>885</v>
      </c>
      <c r="E539">
        <v>12.1771499557495</v>
      </c>
      <c r="F539">
        <v>15</v>
      </c>
    </row>
    <row r="540" spans="1:6">
      <c r="A540" t="s">
        <v>454</v>
      </c>
      <c r="B540">
        <v>2017</v>
      </c>
      <c r="C540" t="s">
        <v>883</v>
      </c>
      <c r="E540">
        <v>0.0051817798614502</v>
      </c>
      <c r="F540">
        <v>1</v>
      </c>
    </row>
    <row r="541" spans="1:6">
      <c r="A541" t="s">
        <v>378</v>
      </c>
      <c r="B541">
        <v>2018</v>
      </c>
      <c r="C541" t="s">
        <v>891</v>
      </c>
      <c r="E541">
        <v>1.13442460727319</v>
      </c>
      <c r="F541">
        <v>29</v>
      </c>
    </row>
    <row r="542" spans="1:6">
      <c r="A542" t="s">
        <v>12</v>
      </c>
      <c r="B542">
        <v>2024</v>
      </c>
      <c r="E542">
        <v>2.47726415634155</v>
      </c>
      <c r="F542">
        <v>12</v>
      </c>
    </row>
    <row r="543" spans="1:6">
      <c r="A543" t="s">
        <v>12</v>
      </c>
      <c r="B543">
        <v>2015</v>
      </c>
      <c r="E543">
        <v>123.453266875744</v>
      </c>
      <c r="F543">
        <v>122</v>
      </c>
    </row>
    <row r="544" spans="1:6">
      <c r="A544" t="s">
        <v>49</v>
      </c>
      <c r="B544">
        <v>2018</v>
      </c>
      <c r="C544" t="s">
        <v>901</v>
      </c>
      <c r="E544">
        <v>160</v>
      </c>
      <c r="F544">
        <v>160</v>
      </c>
    </row>
    <row r="545" spans="1:6">
      <c r="A545" t="s">
        <v>50</v>
      </c>
      <c r="B545">
        <v>2024</v>
      </c>
      <c r="C545" t="s">
        <v>907</v>
      </c>
      <c r="E545">
        <v>1</v>
      </c>
      <c r="F545">
        <v>1</v>
      </c>
    </row>
    <row r="546" spans="1:6">
      <c r="A546" t="s">
        <v>56</v>
      </c>
      <c r="B546">
        <v>2016</v>
      </c>
      <c r="C546" t="s">
        <v>877</v>
      </c>
      <c r="E546">
        <v>37</v>
      </c>
      <c r="F546">
        <v>37</v>
      </c>
    </row>
    <row r="547" spans="1:6">
      <c r="A547" t="s">
        <v>59</v>
      </c>
      <c r="B547">
        <v>2018</v>
      </c>
      <c r="C547" t="s">
        <v>840</v>
      </c>
      <c r="E547">
        <v>436</v>
      </c>
      <c r="F547">
        <v>99</v>
      </c>
    </row>
    <row r="548" spans="1:6">
      <c r="A548" t="s">
        <v>99</v>
      </c>
      <c r="B548">
        <v>2015</v>
      </c>
      <c r="C548" t="s">
        <v>879</v>
      </c>
      <c r="E548">
        <v>3.14925007772446</v>
      </c>
      <c r="F548">
        <v>9</v>
      </c>
    </row>
    <row r="549" spans="1:6">
      <c r="A549" t="s">
        <v>99</v>
      </c>
      <c r="B549">
        <v>2016</v>
      </c>
      <c r="C549" t="s">
        <v>879</v>
      </c>
      <c r="E549">
        <v>0.919022888183594</v>
      </c>
      <c r="F549">
        <v>3</v>
      </c>
    </row>
    <row r="550" spans="1:6">
      <c r="A550" t="s">
        <v>132</v>
      </c>
      <c r="B550">
        <v>2015</v>
      </c>
      <c r="C550" t="s">
        <v>878</v>
      </c>
      <c r="E550">
        <v>22</v>
      </c>
      <c r="F550">
        <v>9</v>
      </c>
    </row>
    <row r="551" spans="1:6">
      <c r="A551" t="s">
        <v>210</v>
      </c>
      <c r="B551">
        <v>2024</v>
      </c>
      <c r="C551" t="s">
        <v>898</v>
      </c>
      <c r="E551">
        <v>0.0240699462890625</v>
      </c>
      <c r="F551">
        <v>1</v>
      </c>
    </row>
    <row r="552" spans="1:6">
      <c r="A552" t="s">
        <v>29</v>
      </c>
      <c r="B552">
        <v>2020</v>
      </c>
      <c r="C552" t="s">
        <v>889</v>
      </c>
      <c r="D552" t="s">
        <v>839</v>
      </c>
      <c r="E552">
        <v>1.22058880615234</v>
      </c>
      <c r="F552">
        <v>4</v>
      </c>
    </row>
    <row r="553" spans="1:6">
      <c r="A553" t="s">
        <v>221</v>
      </c>
      <c r="B553">
        <v>2017</v>
      </c>
      <c r="C553" t="s">
        <v>885</v>
      </c>
      <c r="E553">
        <v>2.83927648925781</v>
      </c>
      <c r="F553">
        <v>4</v>
      </c>
    </row>
    <row r="554" spans="1:6">
      <c r="A554" t="s">
        <v>600</v>
      </c>
      <c r="B554">
        <v>2023</v>
      </c>
      <c r="C554" t="s">
        <v>884</v>
      </c>
      <c r="E554">
        <v>0.0120510311126709</v>
      </c>
      <c r="F554">
        <v>1</v>
      </c>
    </row>
    <row r="555" spans="1:6">
      <c r="A555" t="s">
        <v>227</v>
      </c>
      <c r="B555">
        <v>2020</v>
      </c>
      <c r="C555" t="s">
        <v>840</v>
      </c>
      <c r="E555">
        <v>0.743056173324585</v>
      </c>
      <c r="F555">
        <v>4</v>
      </c>
    </row>
    <row r="556" spans="1:6">
      <c r="A556" t="s">
        <v>415</v>
      </c>
      <c r="B556">
        <v>2017</v>
      </c>
      <c r="C556" t="s">
        <v>884</v>
      </c>
      <c r="E556">
        <v>0.972253173828125</v>
      </c>
      <c r="F556">
        <v>2</v>
      </c>
    </row>
    <row r="557" spans="1:6">
      <c r="A557" t="s">
        <v>446</v>
      </c>
      <c r="B557">
        <v>2018</v>
      </c>
      <c r="C557" t="s">
        <v>879</v>
      </c>
      <c r="E557">
        <v>0.0239903812408447</v>
      </c>
      <c r="F557">
        <v>1</v>
      </c>
    </row>
    <row r="558" spans="1:6">
      <c r="A558" t="s">
        <v>408</v>
      </c>
      <c r="B558">
        <v>2021</v>
      </c>
      <c r="C558" t="s">
        <v>839</v>
      </c>
      <c r="E558">
        <v>7.23185095977783</v>
      </c>
      <c r="F558">
        <v>22</v>
      </c>
    </row>
    <row r="559" spans="1:6">
      <c r="A559" t="s">
        <v>73</v>
      </c>
      <c r="B559">
        <v>2024</v>
      </c>
      <c r="C559" t="s">
        <v>873</v>
      </c>
      <c r="E559">
        <v>1.088</v>
      </c>
      <c r="F559">
        <v>5</v>
      </c>
    </row>
    <row r="560" spans="1:6">
      <c r="A560" t="s">
        <v>127</v>
      </c>
      <c r="B560">
        <v>2019</v>
      </c>
      <c r="C560" t="s">
        <v>895</v>
      </c>
      <c r="E560">
        <v>22</v>
      </c>
      <c r="F560">
        <v>9</v>
      </c>
    </row>
    <row r="561" spans="1:6">
      <c r="A561" t="s">
        <v>174</v>
      </c>
      <c r="B561">
        <v>2021</v>
      </c>
      <c r="C561" t="s">
        <v>895</v>
      </c>
      <c r="D561" t="s">
        <v>884</v>
      </c>
      <c r="E561">
        <v>3.89087823486328</v>
      </c>
      <c r="F561">
        <v>6</v>
      </c>
    </row>
    <row r="562" spans="1:6">
      <c r="A562" t="s">
        <v>159</v>
      </c>
      <c r="B562">
        <v>2024</v>
      </c>
      <c r="C562" t="s">
        <v>887</v>
      </c>
      <c r="D562" t="s">
        <v>892</v>
      </c>
      <c r="E562">
        <v>0.0888839359283447</v>
      </c>
      <c r="F562">
        <v>3</v>
      </c>
    </row>
    <row r="563" spans="1:6">
      <c r="A563" t="s">
        <v>37</v>
      </c>
      <c r="B563">
        <v>2023</v>
      </c>
      <c r="C563" t="s">
        <v>878</v>
      </c>
      <c r="D563" t="s">
        <v>841</v>
      </c>
      <c r="E563">
        <v>0.009967018127441409</v>
      </c>
      <c r="F563">
        <v>1</v>
      </c>
    </row>
    <row r="564" spans="1:6">
      <c r="A564" t="s">
        <v>214</v>
      </c>
      <c r="B564">
        <v>2021</v>
      </c>
      <c r="C564" t="s">
        <v>890</v>
      </c>
      <c r="E564">
        <v>0.0908129920959473</v>
      </c>
      <c r="F564">
        <v>2</v>
      </c>
    </row>
    <row r="565" spans="1:6">
      <c r="A565" t="s">
        <v>215</v>
      </c>
      <c r="B565">
        <v>2020</v>
      </c>
      <c r="C565" t="s">
        <v>891</v>
      </c>
      <c r="E565">
        <v>0.247885507106781</v>
      </c>
      <c r="F565">
        <v>2</v>
      </c>
    </row>
    <row r="566" spans="1:6">
      <c r="A566" t="s">
        <v>308</v>
      </c>
      <c r="B566">
        <v>2019</v>
      </c>
      <c r="C566" t="s">
        <v>840</v>
      </c>
      <c r="E566">
        <v>0.864393013000488</v>
      </c>
      <c r="F566">
        <v>2</v>
      </c>
    </row>
    <row r="567" spans="1:6">
      <c r="A567" t="s">
        <v>229</v>
      </c>
      <c r="B567">
        <v>2022</v>
      </c>
      <c r="C567" t="s">
        <v>841</v>
      </c>
      <c r="E567">
        <v>0.0416226577758789</v>
      </c>
      <c r="F567">
        <v>1</v>
      </c>
    </row>
    <row r="568" spans="1:6">
      <c r="A568" t="s">
        <v>457</v>
      </c>
      <c r="B568">
        <v>2019</v>
      </c>
      <c r="C568" t="s">
        <v>893</v>
      </c>
      <c r="E568">
        <v>0.52588818359375</v>
      </c>
      <c r="F568">
        <v>3</v>
      </c>
    </row>
    <row r="569" spans="1:6">
      <c r="A569" t="s">
        <v>431</v>
      </c>
      <c r="B569">
        <v>2016</v>
      </c>
      <c r="C569" t="s">
        <v>890</v>
      </c>
      <c r="E569">
        <v>0.0535424671173096</v>
      </c>
      <c r="F569">
        <v>2</v>
      </c>
    </row>
    <row r="570" spans="1:6">
      <c r="A570" t="s">
        <v>381</v>
      </c>
      <c r="B570">
        <v>2023</v>
      </c>
      <c r="C570" t="s">
        <v>893</v>
      </c>
      <c r="E570">
        <v>6.86254810602963</v>
      </c>
      <c r="F570">
        <v>23</v>
      </c>
    </row>
    <row r="571" spans="1:6">
      <c r="A571" t="s">
        <v>56</v>
      </c>
      <c r="B571">
        <v>2017</v>
      </c>
      <c r="C571" t="s">
        <v>911</v>
      </c>
      <c r="E571">
        <v>24</v>
      </c>
      <c r="F571">
        <v>24</v>
      </c>
    </row>
    <row r="572" spans="1:6">
      <c r="A572" t="s">
        <v>74</v>
      </c>
      <c r="B572">
        <v>2015</v>
      </c>
      <c r="C572" t="s">
        <v>873</v>
      </c>
      <c r="E572">
        <v>19.2635631387234</v>
      </c>
      <c r="F572">
        <v>22</v>
      </c>
    </row>
    <row r="573" spans="1:6">
      <c r="A573" t="s">
        <v>86</v>
      </c>
      <c r="B573">
        <v>2022</v>
      </c>
      <c r="C573" t="s">
        <v>895</v>
      </c>
      <c r="E573">
        <v>0.33</v>
      </c>
      <c r="F573">
        <v>1</v>
      </c>
    </row>
    <row r="574" spans="1:6">
      <c r="A574" t="s">
        <v>147</v>
      </c>
      <c r="B574">
        <v>2019</v>
      </c>
      <c r="C574" t="s">
        <v>888</v>
      </c>
      <c r="E574">
        <v>6</v>
      </c>
      <c r="F574">
        <v>3</v>
      </c>
    </row>
    <row r="575" spans="1:6">
      <c r="A575" t="s">
        <v>144</v>
      </c>
      <c r="B575">
        <v>2022</v>
      </c>
      <c r="C575" t="s">
        <v>888</v>
      </c>
      <c r="E575">
        <v>7</v>
      </c>
      <c r="F575">
        <v>2</v>
      </c>
    </row>
    <row r="576" spans="1:6">
      <c r="A576" t="s">
        <v>187</v>
      </c>
      <c r="B576">
        <v>2019</v>
      </c>
      <c r="C576" t="s">
        <v>878</v>
      </c>
      <c r="D576" t="s">
        <v>879</v>
      </c>
      <c r="E576">
        <v>0.647882409572601</v>
      </c>
      <c r="F576">
        <v>7</v>
      </c>
    </row>
    <row r="577" spans="1:6">
      <c r="A577" t="s">
        <v>159</v>
      </c>
      <c r="B577">
        <v>2023</v>
      </c>
      <c r="C577" t="s">
        <v>887</v>
      </c>
      <c r="D577" t="s">
        <v>892</v>
      </c>
      <c r="E577">
        <v>2.38470027792454</v>
      </c>
      <c r="F577">
        <v>21</v>
      </c>
    </row>
    <row r="578" spans="1:6">
      <c r="A578" t="s">
        <v>187</v>
      </c>
      <c r="B578">
        <v>2020</v>
      </c>
      <c r="C578" t="s">
        <v>878</v>
      </c>
      <c r="D578" t="s">
        <v>879</v>
      </c>
      <c r="E578">
        <v>0.400593406677246</v>
      </c>
      <c r="F578">
        <v>4</v>
      </c>
    </row>
    <row r="579" spans="1:6">
      <c r="A579" t="s">
        <v>184</v>
      </c>
      <c r="B579">
        <v>2019</v>
      </c>
      <c r="C579" t="s">
        <v>878</v>
      </c>
      <c r="D579" t="s">
        <v>880</v>
      </c>
      <c r="E579">
        <v>3.09230290031433</v>
      </c>
      <c r="F579">
        <v>11</v>
      </c>
    </row>
    <row r="580" spans="1:6">
      <c r="A580" t="s">
        <v>30</v>
      </c>
      <c r="B580">
        <v>2019</v>
      </c>
      <c r="C580" t="s">
        <v>889</v>
      </c>
      <c r="D580" t="s">
        <v>840</v>
      </c>
      <c r="E580">
        <v>2.35483448791504</v>
      </c>
      <c r="F580">
        <v>10</v>
      </c>
    </row>
    <row r="581" spans="1:6">
      <c r="A581" t="s">
        <v>29</v>
      </c>
      <c r="B581">
        <v>2022</v>
      </c>
      <c r="C581" t="s">
        <v>889</v>
      </c>
      <c r="D581" t="s">
        <v>839</v>
      </c>
      <c r="E581">
        <v>3.75465030002594</v>
      </c>
      <c r="F581">
        <v>4</v>
      </c>
    </row>
    <row r="582" spans="1:6">
      <c r="A582" t="s">
        <v>598</v>
      </c>
      <c r="B582">
        <v>2019</v>
      </c>
      <c r="C582" t="s">
        <v>883</v>
      </c>
      <c r="E582">
        <v>0.52508584831655</v>
      </c>
      <c r="F582">
        <v>3</v>
      </c>
    </row>
    <row r="583" spans="1:6">
      <c r="A583" t="s">
        <v>596</v>
      </c>
      <c r="B583">
        <v>2016</v>
      </c>
      <c r="C583" t="s">
        <v>891</v>
      </c>
      <c r="E583">
        <v>0.186920226097107</v>
      </c>
      <c r="F583">
        <v>3</v>
      </c>
    </row>
    <row r="584" spans="1:6">
      <c r="A584" t="s">
        <v>378</v>
      </c>
      <c r="B584">
        <v>2017</v>
      </c>
      <c r="C584" t="s">
        <v>891</v>
      </c>
      <c r="E584">
        <v>0.955117349438369</v>
      </c>
      <c r="F584">
        <v>29</v>
      </c>
    </row>
    <row r="585" spans="1:6">
      <c r="A585" t="s">
        <v>376</v>
      </c>
      <c r="B585">
        <v>2023</v>
      </c>
      <c r="C585" t="s">
        <v>880</v>
      </c>
      <c r="E585">
        <v>2.32869107341766</v>
      </c>
      <c r="F585">
        <v>8</v>
      </c>
    </row>
    <row r="586" spans="1:6">
      <c r="A586" t="s">
        <v>377</v>
      </c>
      <c r="B586">
        <v>2020</v>
      </c>
      <c r="C586" t="s">
        <v>890</v>
      </c>
      <c r="E586">
        <v>0.0392000007629395</v>
      </c>
      <c r="F586">
        <v>1</v>
      </c>
    </row>
    <row r="587" spans="1:6">
      <c r="A587" t="s">
        <v>384</v>
      </c>
      <c r="B587">
        <v>2021</v>
      </c>
      <c r="C587" t="s">
        <v>885</v>
      </c>
      <c r="E587">
        <v>2.32147344970703</v>
      </c>
      <c r="F587">
        <v>5</v>
      </c>
    </row>
    <row r="588" spans="1:6">
      <c r="A588" t="s">
        <v>415</v>
      </c>
      <c r="B588">
        <v>2022</v>
      </c>
      <c r="C588" t="s">
        <v>884</v>
      </c>
      <c r="E588">
        <v>0.702</v>
      </c>
      <c r="F588">
        <v>1</v>
      </c>
    </row>
    <row r="589" spans="1:6">
      <c r="A589" t="s">
        <v>47</v>
      </c>
      <c r="B589">
        <v>2023</v>
      </c>
      <c r="C589" t="s">
        <v>888</v>
      </c>
      <c r="D589" t="s">
        <v>841</v>
      </c>
      <c r="E589">
        <v>0.00362437033653259</v>
      </c>
      <c r="F589">
        <v>1</v>
      </c>
    </row>
    <row r="590" spans="1:6">
      <c r="A590" t="s">
        <v>615</v>
      </c>
      <c r="B590">
        <v>2017</v>
      </c>
      <c r="C590" t="s">
        <v>893</v>
      </c>
      <c r="E590">
        <v>0.120531257629395</v>
      </c>
      <c r="F590">
        <v>1</v>
      </c>
    </row>
    <row r="591" spans="1:6">
      <c r="A591" t="s">
        <v>596</v>
      </c>
      <c r="B591">
        <v>2018</v>
      </c>
      <c r="C591" t="s">
        <v>891</v>
      </c>
      <c r="E591">
        <v>0.0288514060974121</v>
      </c>
      <c r="F591">
        <v>1</v>
      </c>
    </row>
    <row r="592" spans="1:6">
      <c r="A592" t="s">
        <v>297</v>
      </c>
      <c r="B592">
        <v>2022</v>
      </c>
      <c r="C592" t="s">
        <v>839</v>
      </c>
      <c r="E592">
        <v>0.86999112701416</v>
      </c>
      <c r="F592">
        <v>3</v>
      </c>
    </row>
    <row r="593" spans="1:6">
      <c r="A593" t="s">
        <v>454</v>
      </c>
      <c r="B593">
        <v>2022</v>
      </c>
      <c r="C593" t="s">
        <v>883</v>
      </c>
      <c r="E593">
        <v>0.016</v>
      </c>
      <c r="F593">
        <v>1</v>
      </c>
    </row>
    <row r="594" spans="1:6">
      <c r="A594" t="s">
        <v>441</v>
      </c>
      <c r="B594">
        <v>2018</v>
      </c>
      <c r="C594" t="s">
        <v>891</v>
      </c>
      <c r="E594">
        <v>0.005</v>
      </c>
      <c r="F594">
        <v>1</v>
      </c>
    </row>
    <row r="595" spans="1:6">
      <c r="A595" t="s">
        <v>444</v>
      </c>
      <c r="B595">
        <v>2024</v>
      </c>
      <c r="C595" t="s">
        <v>879</v>
      </c>
      <c r="E595">
        <v>0.25</v>
      </c>
      <c r="F595">
        <v>1</v>
      </c>
    </row>
    <row r="596" spans="1:6">
      <c r="A596" t="s">
        <v>56</v>
      </c>
      <c r="B596">
        <v>2018</v>
      </c>
      <c r="C596" t="s">
        <v>897</v>
      </c>
      <c r="E596">
        <v>9</v>
      </c>
      <c r="F596">
        <v>9</v>
      </c>
    </row>
    <row r="597" spans="1:6">
      <c r="A597" t="s">
        <v>421</v>
      </c>
      <c r="B597">
        <v>2015</v>
      </c>
      <c r="C597" t="s">
        <v>892</v>
      </c>
      <c r="E597">
        <v>0.334424171447754</v>
      </c>
      <c r="F597">
        <v>5</v>
      </c>
    </row>
    <row r="598" spans="1:6">
      <c r="A598" t="s">
        <v>410</v>
      </c>
      <c r="B598">
        <v>2022</v>
      </c>
      <c r="C598" t="s">
        <v>838</v>
      </c>
      <c r="E598">
        <v>6.87719434189796</v>
      </c>
      <c r="F598">
        <v>23</v>
      </c>
    </row>
    <row r="599" spans="1:6">
      <c r="A599" t="s">
        <v>56</v>
      </c>
      <c r="B599">
        <v>2024</v>
      </c>
      <c r="C599" t="s">
        <v>911</v>
      </c>
      <c r="E599">
        <v>3</v>
      </c>
      <c r="F599">
        <v>3</v>
      </c>
    </row>
    <row r="600" spans="1:6">
      <c r="A600" t="s">
        <v>58</v>
      </c>
      <c r="B600">
        <v>2016</v>
      </c>
      <c r="C600" t="s">
        <v>839</v>
      </c>
      <c r="E600">
        <v>118</v>
      </c>
      <c r="F600">
        <v>52</v>
      </c>
    </row>
    <row r="601" spans="1:6">
      <c r="A601" t="s">
        <v>97</v>
      </c>
      <c r="B601">
        <v>2015</v>
      </c>
      <c r="C601" t="s">
        <v>879</v>
      </c>
      <c r="E601">
        <v>1.18792972183228</v>
      </c>
      <c r="F601">
        <v>3</v>
      </c>
    </row>
    <row r="602" spans="1:6">
      <c r="A602" t="s">
        <v>147</v>
      </c>
      <c r="B602">
        <v>2018</v>
      </c>
      <c r="C602" t="s">
        <v>888</v>
      </c>
      <c r="E602">
        <v>3</v>
      </c>
      <c r="F602">
        <v>1</v>
      </c>
    </row>
    <row r="603" spans="1:6">
      <c r="A603" t="s">
        <v>171</v>
      </c>
      <c r="B603">
        <v>2022</v>
      </c>
      <c r="C603" t="s">
        <v>874</v>
      </c>
      <c r="D603" t="s">
        <v>879</v>
      </c>
      <c r="E603">
        <v>0.0216291999816895</v>
      </c>
      <c r="F603">
        <v>1</v>
      </c>
    </row>
    <row r="604" spans="1:6">
      <c r="A604" t="s">
        <v>158</v>
      </c>
      <c r="B604">
        <v>2020</v>
      </c>
      <c r="C604" t="s">
        <v>887</v>
      </c>
      <c r="D604" t="s">
        <v>884</v>
      </c>
      <c r="E604">
        <v>17.3080515031815</v>
      </c>
      <c r="F604">
        <v>52</v>
      </c>
    </row>
    <row r="605" spans="1:6">
      <c r="A605" t="s">
        <v>176</v>
      </c>
      <c r="B605">
        <v>2018</v>
      </c>
      <c r="C605" t="s">
        <v>895</v>
      </c>
      <c r="D605" t="s">
        <v>880</v>
      </c>
      <c r="E605">
        <v>0.05</v>
      </c>
      <c r="F605">
        <v>1</v>
      </c>
    </row>
    <row r="606" spans="1:6">
      <c r="A606" t="s">
        <v>209</v>
      </c>
      <c r="B606">
        <v>2023</v>
      </c>
      <c r="C606" t="s">
        <v>841</v>
      </c>
      <c r="E606">
        <v>0.0252005269527435</v>
      </c>
      <c r="F606">
        <v>3</v>
      </c>
    </row>
    <row r="607" spans="1:6">
      <c r="A607" t="s">
        <v>35</v>
      </c>
      <c r="B607">
        <v>2022</v>
      </c>
      <c r="C607" t="s">
        <v>878</v>
      </c>
      <c r="D607" t="s">
        <v>840</v>
      </c>
      <c r="E607">
        <v>4.14799475097656</v>
      </c>
      <c r="F607">
        <v>14</v>
      </c>
    </row>
    <row r="608" spans="1:6">
      <c r="A608" t="s">
        <v>593</v>
      </c>
      <c r="B608">
        <v>2020</v>
      </c>
      <c r="C608" t="s">
        <v>892</v>
      </c>
      <c r="E608">
        <v>0.0195699081420898</v>
      </c>
      <c r="F608">
        <v>1</v>
      </c>
    </row>
    <row r="609" spans="1:6">
      <c r="A609" t="s">
        <v>322</v>
      </c>
      <c r="B609">
        <v>2018</v>
      </c>
      <c r="C609" t="s">
        <v>839</v>
      </c>
      <c r="E609">
        <v>0.776</v>
      </c>
      <c r="F609">
        <v>1</v>
      </c>
    </row>
    <row r="610" spans="1:6">
      <c r="A610" t="s">
        <v>434</v>
      </c>
      <c r="B610">
        <v>2018</v>
      </c>
      <c r="C610" t="s">
        <v>890</v>
      </c>
      <c r="E610">
        <v>0.166210006713867</v>
      </c>
      <c r="F610">
        <v>1</v>
      </c>
    </row>
    <row r="611" spans="1:6">
      <c r="A611" t="s">
        <v>437</v>
      </c>
      <c r="B611">
        <v>2023</v>
      </c>
      <c r="C611" t="s">
        <v>891</v>
      </c>
      <c r="E611">
        <v>0.0588309254646301</v>
      </c>
      <c r="F611">
        <v>4</v>
      </c>
    </row>
    <row r="612" spans="1:6">
      <c r="A612" t="s">
        <v>382</v>
      </c>
      <c r="B612">
        <v>2018</v>
      </c>
      <c r="C612" t="s">
        <v>885</v>
      </c>
      <c r="E612">
        <v>29.7121865663528</v>
      </c>
      <c r="F612">
        <v>66</v>
      </c>
    </row>
    <row r="613" spans="1:6">
      <c r="A613" t="s">
        <v>62</v>
      </c>
      <c r="B613">
        <v>2015</v>
      </c>
      <c r="C613" t="s">
        <v>841</v>
      </c>
      <c r="E613">
        <v>3</v>
      </c>
      <c r="F613">
        <v>3</v>
      </c>
    </row>
    <row r="614" spans="1:6">
      <c r="A614" t="s">
        <v>90</v>
      </c>
      <c r="B614">
        <v>2015</v>
      </c>
      <c r="C614" t="s">
        <v>878</v>
      </c>
      <c r="E614">
        <v>1.66575316810608</v>
      </c>
      <c r="F614">
        <v>9</v>
      </c>
    </row>
    <row r="615" spans="1:6">
      <c r="A615" t="s">
        <v>127</v>
      </c>
      <c r="B615">
        <v>2020</v>
      </c>
      <c r="C615" t="s">
        <v>895</v>
      </c>
      <c r="E615">
        <v>13</v>
      </c>
      <c r="F615">
        <v>5</v>
      </c>
    </row>
    <row r="616" spans="1:6">
      <c r="A616" t="s">
        <v>151</v>
      </c>
      <c r="B616">
        <v>2016</v>
      </c>
      <c r="C616" t="s">
        <v>892</v>
      </c>
      <c r="E616">
        <v>20.4641830620766</v>
      </c>
      <c r="F616">
        <v>66</v>
      </c>
    </row>
    <row r="617" spans="1:6">
      <c r="A617" t="s">
        <v>199</v>
      </c>
      <c r="B617">
        <v>2022</v>
      </c>
      <c r="C617" t="s">
        <v>881</v>
      </c>
      <c r="D617" t="s">
        <v>892</v>
      </c>
      <c r="E617">
        <v>3.78770666503906</v>
      </c>
      <c r="F617">
        <v>10</v>
      </c>
    </row>
    <row r="618" spans="1:6">
      <c r="A618" t="s">
        <v>161</v>
      </c>
      <c r="B618">
        <v>2024</v>
      </c>
      <c r="C618" t="s">
        <v>887</v>
      </c>
      <c r="D618" t="s">
        <v>890</v>
      </c>
      <c r="E618">
        <v>0.1</v>
      </c>
      <c r="F618">
        <v>1</v>
      </c>
    </row>
    <row r="619" spans="1:6">
      <c r="A619" t="s">
        <v>201</v>
      </c>
      <c r="B619">
        <v>2022</v>
      </c>
      <c r="C619" t="s">
        <v>881</v>
      </c>
      <c r="D619" t="s">
        <v>890</v>
      </c>
      <c r="E619">
        <v>0.00934710502624512</v>
      </c>
      <c r="F619">
        <v>1</v>
      </c>
    </row>
    <row r="620" spans="1:6">
      <c r="A620" t="s">
        <v>188</v>
      </c>
      <c r="B620">
        <v>2021</v>
      </c>
      <c r="C620" t="s">
        <v>878</v>
      </c>
      <c r="D620" t="s">
        <v>883</v>
      </c>
      <c r="E620">
        <v>0.615356384277344</v>
      </c>
      <c r="F620">
        <v>3</v>
      </c>
    </row>
    <row r="621" spans="1:6">
      <c r="A621" t="s">
        <v>20</v>
      </c>
      <c r="B621">
        <v>2022</v>
      </c>
      <c r="C621" t="s">
        <v>873</v>
      </c>
      <c r="D621" t="s">
        <v>840</v>
      </c>
      <c r="E621">
        <v>26.8173642814159</v>
      </c>
      <c r="F621">
        <v>64</v>
      </c>
    </row>
    <row r="622" spans="1:6">
      <c r="A622" t="s">
        <v>40</v>
      </c>
      <c r="B622">
        <v>2015</v>
      </c>
      <c r="C622" t="s">
        <v>879</v>
      </c>
      <c r="D622" t="s">
        <v>840</v>
      </c>
      <c r="E622">
        <v>2.75862354660034</v>
      </c>
      <c r="F622">
        <v>8</v>
      </c>
    </row>
    <row r="623" spans="1:6">
      <c r="A623" t="s">
        <v>627</v>
      </c>
      <c r="B623">
        <v>2019</v>
      </c>
      <c r="C623" t="s">
        <v>890</v>
      </c>
      <c r="E623">
        <v>0.0446483993530273</v>
      </c>
      <c r="F623">
        <v>1</v>
      </c>
    </row>
    <row r="624" spans="1:6">
      <c r="A624" t="s">
        <v>297</v>
      </c>
      <c r="B624">
        <v>2019</v>
      </c>
      <c r="C624" t="s">
        <v>839</v>
      </c>
      <c r="E624">
        <v>0.10685394692421</v>
      </c>
      <c r="F624">
        <v>3</v>
      </c>
    </row>
    <row r="625" spans="1:6">
      <c r="A625" t="s">
        <v>430</v>
      </c>
      <c r="B625">
        <v>2018</v>
      </c>
      <c r="C625" t="s">
        <v>880</v>
      </c>
      <c r="E625">
        <v>0.111045822143555</v>
      </c>
      <c r="F625">
        <v>1</v>
      </c>
    </row>
    <row r="626" spans="1:6">
      <c r="A626" t="s">
        <v>427</v>
      </c>
      <c r="B626">
        <v>2023</v>
      </c>
      <c r="C626" t="s">
        <v>880</v>
      </c>
      <c r="E626">
        <v>0.3461005859375</v>
      </c>
      <c r="F626">
        <v>1</v>
      </c>
    </row>
    <row r="627" spans="1:6">
      <c r="A627" t="s">
        <v>8</v>
      </c>
      <c r="B627">
        <v>2022</v>
      </c>
      <c r="C627" t="s">
        <v>838</v>
      </c>
      <c r="E627">
        <v>84.996148765564</v>
      </c>
      <c r="F627">
        <v>41</v>
      </c>
    </row>
    <row r="628" spans="1:6">
      <c r="A628" t="s">
        <v>18</v>
      </c>
      <c r="B628">
        <v>2015</v>
      </c>
      <c r="C628" t="s">
        <v>888</v>
      </c>
      <c r="E628">
        <v>11.0899810256958</v>
      </c>
      <c r="F628">
        <v>15</v>
      </c>
    </row>
    <row r="629" spans="1:6">
      <c r="A629" t="s">
        <v>15</v>
      </c>
      <c r="B629">
        <v>2021</v>
      </c>
      <c r="C629" t="s">
        <v>872</v>
      </c>
      <c r="E629">
        <v>10.4678399353027</v>
      </c>
      <c r="F629">
        <v>8</v>
      </c>
    </row>
    <row r="630" spans="1:6">
      <c r="A630" t="s">
        <v>66</v>
      </c>
      <c r="B630">
        <v>2020</v>
      </c>
      <c r="C630" t="s">
        <v>905</v>
      </c>
      <c r="E630">
        <v>332</v>
      </c>
      <c r="F630">
        <v>69</v>
      </c>
    </row>
    <row r="631" spans="1:6">
      <c r="A631" t="s">
        <v>55</v>
      </c>
      <c r="B631">
        <v>2021</v>
      </c>
      <c r="C631" t="s">
        <v>876</v>
      </c>
      <c r="E631">
        <v>1</v>
      </c>
      <c r="F631">
        <v>1</v>
      </c>
    </row>
    <row r="632" spans="1:6">
      <c r="A632" t="s">
        <v>60</v>
      </c>
      <c r="B632">
        <v>2023</v>
      </c>
      <c r="C632" t="s">
        <v>838</v>
      </c>
      <c r="E632">
        <v>104</v>
      </c>
      <c r="F632">
        <v>22</v>
      </c>
    </row>
    <row r="633" spans="1:6">
      <c r="A633" t="s">
        <v>98</v>
      </c>
      <c r="B633">
        <v>2017</v>
      </c>
      <c r="C633" t="s">
        <v>879</v>
      </c>
      <c r="E633">
        <v>0.616946128845215</v>
      </c>
      <c r="F633">
        <v>2</v>
      </c>
    </row>
    <row r="634" spans="1:6">
      <c r="A634" t="s">
        <v>78</v>
      </c>
      <c r="B634">
        <v>2023</v>
      </c>
      <c r="C634" t="s">
        <v>874</v>
      </c>
      <c r="E634">
        <v>3.40904052734375</v>
      </c>
      <c r="F634">
        <v>10</v>
      </c>
    </row>
    <row r="635" spans="1:6">
      <c r="A635" t="s">
        <v>118</v>
      </c>
      <c r="B635">
        <v>2018</v>
      </c>
      <c r="C635" t="s">
        <v>873</v>
      </c>
      <c r="E635">
        <v>1</v>
      </c>
      <c r="F635">
        <v>1</v>
      </c>
    </row>
    <row r="636" spans="1:6">
      <c r="A636" t="s">
        <v>154</v>
      </c>
      <c r="B636">
        <v>2023</v>
      </c>
      <c r="C636" t="s">
        <v>891</v>
      </c>
      <c r="E636">
        <v>0.456466743141413</v>
      </c>
      <c r="F636">
        <v>16</v>
      </c>
    </row>
    <row r="637" spans="1:6">
      <c r="A637" t="s">
        <v>190</v>
      </c>
      <c r="B637">
        <v>2021</v>
      </c>
      <c r="C637" t="s">
        <v>879</v>
      </c>
      <c r="D637" t="s">
        <v>884</v>
      </c>
      <c r="E637">
        <v>0.665668060302734</v>
      </c>
      <c r="F637">
        <v>2</v>
      </c>
    </row>
    <row r="638" spans="1:6">
      <c r="A638" t="s">
        <v>26</v>
      </c>
      <c r="B638">
        <v>2020</v>
      </c>
      <c r="C638" t="s">
        <v>882</v>
      </c>
      <c r="D638" t="s">
        <v>838</v>
      </c>
      <c r="E638">
        <v>3.97564944076538</v>
      </c>
      <c r="F638">
        <v>18</v>
      </c>
    </row>
    <row r="639" spans="1:6">
      <c r="A639" t="s">
        <v>624</v>
      </c>
      <c r="B639">
        <v>2023</v>
      </c>
      <c r="C639" t="s">
        <v>884</v>
      </c>
      <c r="E639">
        <v>0.359528473854065</v>
      </c>
      <c r="F639">
        <v>2</v>
      </c>
    </row>
    <row r="640" spans="1:6">
      <c r="A640" t="s">
        <v>133</v>
      </c>
      <c r="B640">
        <v>2022</v>
      </c>
      <c r="C640" t="s">
        <v>878</v>
      </c>
      <c r="E640">
        <v>41</v>
      </c>
      <c r="F640">
        <v>13</v>
      </c>
    </row>
    <row r="641" spans="1:6">
      <c r="A641" t="s">
        <v>136</v>
      </c>
      <c r="B641">
        <v>2022</v>
      </c>
      <c r="C641" t="s">
        <v>878</v>
      </c>
      <c r="E641">
        <v>1</v>
      </c>
      <c r="F641">
        <v>1</v>
      </c>
    </row>
    <row r="642" spans="1:6">
      <c r="A642" t="s">
        <v>164</v>
      </c>
      <c r="B642">
        <v>2018</v>
      </c>
      <c r="C642" t="s">
        <v>887</v>
      </c>
      <c r="D642" t="s">
        <v>883</v>
      </c>
      <c r="E642">
        <v>3.44488358730078</v>
      </c>
      <c r="F642">
        <v>51</v>
      </c>
    </row>
    <row r="643" spans="1:6">
      <c r="A643" t="s">
        <v>187</v>
      </c>
      <c r="B643">
        <v>2023</v>
      </c>
      <c r="C643" t="s">
        <v>878</v>
      </c>
      <c r="D643" t="s">
        <v>879</v>
      </c>
      <c r="E643">
        <v>0.202681246757507</v>
      </c>
      <c r="F643">
        <v>3</v>
      </c>
    </row>
    <row r="644" spans="1:6">
      <c r="A644" t="s">
        <v>203</v>
      </c>
      <c r="B644">
        <v>2023</v>
      </c>
      <c r="C644" t="s">
        <v>881</v>
      </c>
      <c r="D644" t="s">
        <v>879</v>
      </c>
      <c r="E644">
        <v>0.261091247558594</v>
      </c>
      <c r="F644">
        <v>2</v>
      </c>
    </row>
    <row r="645" spans="1:6">
      <c r="A645" t="s">
        <v>19</v>
      </c>
      <c r="B645">
        <v>2022</v>
      </c>
      <c r="C645" t="s">
        <v>873</v>
      </c>
      <c r="D645" t="s">
        <v>839</v>
      </c>
      <c r="E645">
        <v>25.6254705610275</v>
      </c>
      <c r="F645">
        <v>44</v>
      </c>
    </row>
    <row r="646" spans="1:6">
      <c r="A646" t="s">
        <v>22</v>
      </c>
      <c r="B646">
        <v>2020</v>
      </c>
      <c r="C646" t="s">
        <v>873</v>
      </c>
      <c r="D646" t="s">
        <v>841</v>
      </c>
      <c r="E646">
        <v>0.0710247070789337</v>
      </c>
      <c r="F646">
        <v>5</v>
      </c>
    </row>
    <row r="647" spans="1:6">
      <c r="A647" t="s">
        <v>37</v>
      </c>
      <c r="B647">
        <v>2015</v>
      </c>
      <c r="C647" t="s">
        <v>878</v>
      </c>
      <c r="D647" t="s">
        <v>841</v>
      </c>
      <c r="E647">
        <v>0.0557416477203369</v>
      </c>
      <c r="F647">
        <v>2</v>
      </c>
    </row>
    <row r="648" spans="1:6">
      <c r="A648" t="s">
        <v>221</v>
      </c>
      <c r="B648">
        <v>2023</v>
      </c>
      <c r="C648" t="s">
        <v>885</v>
      </c>
      <c r="E648">
        <v>2.52837746810913</v>
      </c>
      <c r="F648">
        <v>4</v>
      </c>
    </row>
    <row r="649" spans="1:6">
      <c r="A649" t="s">
        <v>443</v>
      </c>
      <c r="B649">
        <v>2021</v>
      </c>
      <c r="C649" t="s">
        <v>879</v>
      </c>
      <c r="E649">
        <v>2.54200688695908</v>
      </c>
      <c r="F649">
        <v>26</v>
      </c>
    </row>
    <row r="650" spans="1:6">
      <c r="A650" t="s">
        <v>427</v>
      </c>
      <c r="B650">
        <v>2018</v>
      </c>
      <c r="C650" t="s">
        <v>880</v>
      </c>
      <c r="E650">
        <v>0.05</v>
      </c>
      <c r="F650">
        <v>1</v>
      </c>
    </row>
    <row r="651" spans="1:6">
      <c r="A651" t="s">
        <v>460</v>
      </c>
      <c r="B651">
        <v>2016</v>
      </c>
      <c r="C651" t="s">
        <v>893</v>
      </c>
      <c r="E651">
        <v>0.351902839660645</v>
      </c>
      <c r="F651">
        <v>4</v>
      </c>
    </row>
    <row r="652" spans="1:6">
      <c r="A652" t="s">
        <v>422</v>
      </c>
      <c r="B652">
        <v>2017</v>
      </c>
      <c r="C652" t="s">
        <v>892</v>
      </c>
      <c r="E652">
        <v>0.305991920471191</v>
      </c>
      <c r="F652">
        <v>4</v>
      </c>
    </row>
    <row r="653" spans="1:6">
      <c r="A653" t="s">
        <v>377</v>
      </c>
      <c r="B653">
        <v>2018</v>
      </c>
      <c r="C653" t="s">
        <v>890</v>
      </c>
      <c r="E653">
        <v>0.652470153689384</v>
      </c>
      <c r="F653">
        <v>6</v>
      </c>
    </row>
    <row r="654" spans="1:6">
      <c r="A654" t="s">
        <v>629</v>
      </c>
      <c r="B654">
        <v>2017</v>
      </c>
      <c r="C654" t="s">
        <v>879</v>
      </c>
      <c r="E654">
        <v>0.0183660316467285</v>
      </c>
      <c r="F654">
        <v>1</v>
      </c>
    </row>
    <row r="655" spans="1:6">
      <c r="A655" t="s">
        <v>608</v>
      </c>
      <c r="B655">
        <v>2019</v>
      </c>
      <c r="C655" t="s">
        <v>884</v>
      </c>
      <c r="E655">
        <v>0.205382633209229</v>
      </c>
      <c r="F655">
        <v>2</v>
      </c>
    </row>
    <row r="656" spans="1:6">
      <c r="A656" t="s">
        <v>380</v>
      </c>
      <c r="B656">
        <v>2016</v>
      </c>
      <c r="C656" t="s">
        <v>883</v>
      </c>
      <c r="E656">
        <v>1.54433069896698</v>
      </c>
      <c r="F656">
        <v>19</v>
      </c>
    </row>
    <row r="657" spans="1:6">
      <c r="A657" t="s">
        <v>387</v>
      </c>
      <c r="B657">
        <v>2022</v>
      </c>
      <c r="C657" t="s">
        <v>885</v>
      </c>
      <c r="E657">
        <v>2.52055816459656</v>
      </c>
      <c r="F657">
        <v>8</v>
      </c>
    </row>
    <row r="658" spans="1:6">
      <c r="A658" t="s">
        <v>594</v>
      </c>
      <c r="B658">
        <v>2023</v>
      </c>
      <c r="C658" t="s">
        <v>880</v>
      </c>
      <c r="E658">
        <v>0.135913879394531</v>
      </c>
      <c r="F658">
        <v>1</v>
      </c>
    </row>
    <row r="659" spans="1:6">
      <c r="A659" t="s">
        <v>303</v>
      </c>
      <c r="B659">
        <v>2019</v>
      </c>
      <c r="C659" t="s">
        <v>840</v>
      </c>
      <c r="E659">
        <v>2.498</v>
      </c>
      <c r="F659">
        <v>1</v>
      </c>
    </row>
    <row r="660" spans="1:6">
      <c r="A660" t="s">
        <v>418</v>
      </c>
      <c r="B660">
        <v>2018</v>
      </c>
      <c r="C660" t="s">
        <v>884</v>
      </c>
      <c r="E660">
        <v>1.14180251312256</v>
      </c>
      <c r="F660">
        <v>5</v>
      </c>
    </row>
    <row r="661" spans="1:6">
      <c r="A661" t="s">
        <v>383</v>
      </c>
      <c r="B661">
        <v>2016</v>
      </c>
      <c r="C661" t="s">
        <v>885</v>
      </c>
      <c r="E661">
        <v>15.0772919816375</v>
      </c>
      <c r="F661">
        <v>33</v>
      </c>
    </row>
    <row r="662" spans="1:6">
      <c r="A662" t="s">
        <v>17</v>
      </c>
      <c r="B662">
        <v>2015</v>
      </c>
      <c r="C662" t="s">
        <v>879</v>
      </c>
      <c r="E662">
        <v>4.96639848148823</v>
      </c>
      <c r="F662">
        <v>13</v>
      </c>
    </row>
    <row r="663" spans="1:6">
      <c r="A663" t="s">
        <v>16</v>
      </c>
      <c r="B663">
        <v>2019</v>
      </c>
      <c r="C663" t="s">
        <v>878</v>
      </c>
      <c r="E663">
        <v>16.8531168251038</v>
      </c>
      <c r="F663">
        <v>38</v>
      </c>
    </row>
    <row r="664" spans="1:6">
      <c r="A664" t="s">
        <v>66</v>
      </c>
      <c r="B664">
        <v>2017</v>
      </c>
      <c r="C664" t="s">
        <v>873</v>
      </c>
      <c r="E664">
        <v>372</v>
      </c>
      <c r="F664">
        <v>104</v>
      </c>
    </row>
    <row r="665" spans="1:6">
      <c r="A665" t="s">
        <v>55</v>
      </c>
      <c r="B665">
        <v>2016</v>
      </c>
      <c r="C665" t="s">
        <v>875</v>
      </c>
      <c r="E665">
        <v>34</v>
      </c>
      <c r="F665">
        <v>34</v>
      </c>
    </row>
    <row r="666" spans="1:6">
      <c r="A666" t="s">
        <v>61</v>
      </c>
      <c r="B666">
        <v>2019</v>
      </c>
      <c r="C666" t="s">
        <v>886</v>
      </c>
      <c r="E666">
        <v>79</v>
      </c>
      <c r="F666">
        <v>15</v>
      </c>
    </row>
    <row r="667" spans="1:6">
      <c r="A667" t="s">
        <v>103</v>
      </c>
      <c r="B667">
        <v>2016</v>
      </c>
      <c r="C667" t="s">
        <v>888</v>
      </c>
      <c r="E667">
        <v>5.47553168010712</v>
      </c>
      <c r="F667">
        <v>13</v>
      </c>
    </row>
    <row r="668" spans="1:6">
      <c r="A668" t="s">
        <v>82</v>
      </c>
      <c r="B668">
        <v>2022</v>
      </c>
      <c r="C668" t="s">
        <v>874</v>
      </c>
      <c r="E668">
        <v>0.186287796020508</v>
      </c>
      <c r="F668">
        <v>2</v>
      </c>
    </row>
    <row r="669" spans="1:6">
      <c r="A669" t="s">
        <v>128</v>
      </c>
      <c r="B669">
        <v>2019</v>
      </c>
      <c r="C669" t="s">
        <v>895</v>
      </c>
      <c r="E669">
        <v>1</v>
      </c>
      <c r="F669">
        <v>1</v>
      </c>
    </row>
    <row r="670" spans="1:6">
      <c r="A670" t="s">
        <v>186</v>
      </c>
      <c r="B670">
        <v>2023</v>
      </c>
      <c r="C670" t="s">
        <v>878</v>
      </c>
      <c r="D670" t="s">
        <v>891</v>
      </c>
      <c r="E670">
        <v>0.0556193313598633</v>
      </c>
      <c r="F670">
        <v>2</v>
      </c>
    </row>
    <row r="671" spans="1:6">
      <c r="A671" t="s">
        <v>198</v>
      </c>
      <c r="B671">
        <v>2021</v>
      </c>
      <c r="C671" t="s">
        <v>881</v>
      </c>
      <c r="D671" t="s">
        <v>884</v>
      </c>
      <c r="E671">
        <v>8.23901958084106</v>
      </c>
      <c r="F671">
        <v>18</v>
      </c>
    </row>
    <row r="672" spans="1:6">
      <c r="A672" t="s">
        <v>160</v>
      </c>
      <c r="B672">
        <v>2024</v>
      </c>
      <c r="C672" t="s">
        <v>887</v>
      </c>
      <c r="D672" t="s">
        <v>880</v>
      </c>
      <c r="E672">
        <v>0.1</v>
      </c>
      <c r="F672">
        <v>1</v>
      </c>
    </row>
    <row r="673" spans="1:6">
      <c r="A673" t="s">
        <v>23</v>
      </c>
      <c r="B673">
        <v>2018</v>
      </c>
      <c r="C673" t="s">
        <v>873</v>
      </c>
      <c r="D673" t="s">
        <v>898</v>
      </c>
      <c r="E673">
        <v>0.437051705626771</v>
      </c>
      <c r="F673">
        <v>6</v>
      </c>
    </row>
    <row r="674" spans="1:6">
      <c r="A674" t="s">
        <v>39</v>
      </c>
      <c r="B674">
        <v>2022</v>
      </c>
      <c r="C674" t="s">
        <v>879</v>
      </c>
      <c r="D674" t="s">
        <v>839</v>
      </c>
      <c r="E674">
        <v>0.0682338638305664</v>
      </c>
      <c r="F674">
        <v>1</v>
      </c>
    </row>
    <row r="675" spans="1:6">
      <c r="A675" t="s">
        <v>212</v>
      </c>
      <c r="B675">
        <v>2020</v>
      </c>
      <c r="C675" t="s">
        <v>892</v>
      </c>
      <c r="E675">
        <v>0.787158714294434</v>
      </c>
      <c r="F675">
        <v>2</v>
      </c>
    </row>
    <row r="676" spans="1:6">
      <c r="A676" t="s">
        <v>593</v>
      </c>
      <c r="B676">
        <v>2018</v>
      </c>
      <c r="C676" t="s">
        <v>892</v>
      </c>
      <c r="E676">
        <v>0.187428504943848</v>
      </c>
      <c r="F676">
        <v>3</v>
      </c>
    </row>
    <row r="677" spans="1:6">
      <c r="A677" t="s">
        <v>299</v>
      </c>
      <c r="B677">
        <v>2021</v>
      </c>
      <c r="C677" t="s">
        <v>838</v>
      </c>
      <c r="E677">
        <v>6.6619091796875</v>
      </c>
      <c r="F677">
        <v>3</v>
      </c>
    </row>
    <row r="678" spans="1:6">
      <c r="A678" t="s">
        <v>437</v>
      </c>
      <c r="B678">
        <v>2024</v>
      </c>
      <c r="C678" t="s">
        <v>891</v>
      </c>
      <c r="E678">
        <v>0.2</v>
      </c>
      <c r="F678">
        <v>1</v>
      </c>
    </row>
    <row r="679" spans="1:6">
      <c r="A679" t="s">
        <v>375</v>
      </c>
      <c r="B679">
        <v>2016</v>
      </c>
      <c r="C679" t="s">
        <v>892</v>
      </c>
      <c r="E679">
        <v>12.7966292352676</v>
      </c>
      <c r="F679">
        <v>42</v>
      </c>
    </row>
    <row r="680" spans="1:6">
      <c r="A680" t="s">
        <v>430</v>
      </c>
      <c r="B680">
        <v>2021</v>
      </c>
      <c r="C680" t="s">
        <v>880</v>
      </c>
      <c r="E680">
        <v>0.603950500488281</v>
      </c>
      <c r="F680">
        <v>1</v>
      </c>
    </row>
    <row r="681" spans="1:6">
      <c r="A681" t="s">
        <v>456</v>
      </c>
      <c r="B681">
        <v>2022</v>
      </c>
      <c r="C681" t="s">
        <v>893</v>
      </c>
      <c r="E681">
        <v>1.64301951599121</v>
      </c>
      <c r="F681">
        <v>7</v>
      </c>
    </row>
    <row r="682" spans="1:6">
      <c r="A682" t="s">
        <v>16</v>
      </c>
      <c r="B682">
        <v>2023</v>
      </c>
      <c r="C682" t="s">
        <v>909</v>
      </c>
      <c r="E682">
        <v>9.15586828613281</v>
      </c>
      <c r="F682">
        <v>19</v>
      </c>
    </row>
    <row r="683" spans="1:6">
      <c r="A683" t="s">
        <v>18</v>
      </c>
      <c r="B683">
        <v>2020</v>
      </c>
      <c r="C683" t="s">
        <v>906</v>
      </c>
      <c r="E683">
        <v>14.636416721344</v>
      </c>
      <c r="F683">
        <v>23</v>
      </c>
    </row>
    <row r="684" spans="1:6">
      <c r="A684" t="s">
        <v>14</v>
      </c>
      <c r="B684">
        <v>2015</v>
      </c>
      <c r="C684" t="s">
        <v>904</v>
      </c>
      <c r="E684">
        <v>30.0852169157565</v>
      </c>
      <c r="F684">
        <v>50</v>
      </c>
    </row>
    <row r="685" spans="1:6">
      <c r="A685" t="s">
        <v>49</v>
      </c>
      <c r="B685">
        <v>2016</v>
      </c>
      <c r="C685" t="s">
        <v>901</v>
      </c>
      <c r="E685">
        <v>130</v>
      </c>
      <c r="F685">
        <v>130</v>
      </c>
    </row>
    <row r="686" spans="1:6">
      <c r="A686" t="s">
        <v>85</v>
      </c>
      <c r="B686">
        <v>2015</v>
      </c>
      <c r="C686" t="s">
        <v>895</v>
      </c>
      <c r="E686">
        <v>1.30098809766769</v>
      </c>
      <c r="F686">
        <v>11</v>
      </c>
    </row>
    <row r="687" spans="1:6">
      <c r="A687" t="s">
        <v>98</v>
      </c>
      <c r="B687">
        <v>2019</v>
      </c>
      <c r="C687" t="s">
        <v>879</v>
      </c>
      <c r="E687">
        <v>0.0892967987060547</v>
      </c>
      <c r="F687">
        <v>1</v>
      </c>
    </row>
    <row r="688" spans="1:6">
      <c r="A688" t="s">
        <v>120</v>
      </c>
      <c r="B688">
        <v>2016</v>
      </c>
      <c r="C688" t="s">
        <v>874</v>
      </c>
      <c r="E688">
        <v>20</v>
      </c>
      <c r="F688">
        <v>14</v>
      </c>
    </row>
    <row r="689" spans="1:6">
      <c r="A689" t="s">
        <v>140</v>
      </c>
      <c r="B689">
        <v>2023</v>
      </c>
      <c r="C689" t="s">
        <v>879</v>
      </c>
      <c r="E689">
        <v>4</v>
      </c>
      <c r="F689">
        <v>2</v>
      </c>
    </row>
    <row r="690" spans="1:6">
      <c r="A690" t="s">
        <v>167</v>
      </c>
      <c r="B690">
        <v>2019</v>
      </c>
      <c r="C690" t="s">
        <v>874</v>
      </c>
      <c r="D690" t="s">
        <v>892</v>
      </c>
      <c r="E690">
        <v>12.3822746276855</v>
      </c>
      <c r="F690">
        <v>17</v>
      </c>
    </row>
    <row r="691" spans="1:6">
      <c r="A691" t="s">
        <v>199</v>
      </c>
      <c r="B691">
        <v>2021</v>
      </c>
      <c r="C691" t="s">
        <v>881</v>
      </c>
      <c r="D691" t="s">
        <v>892</v>
      </c>
      <c r="E691">
        <v>8.188420635223389</v>
      </c>
      <c r="F691">
        <v>18</v>
      </c>
    </row>
    <row r="692" spans="1:6">
      <c r="A692" t="s">
        <v>173</v>
      </c>
      <c r="B692">
        <v>2018</v>
      </c>
      <c r="C692" t="s">
        <v>874</v>
      </c>
      <c r="D692" t="s">
        <v>893</v>
      </c>
      <c r="E692">
        <v>4.60611466217041</v>
      </c>
      <c r="F692">
        <v>18</v>
      </c>
    </row>
    <row r="693" spans="1:6">
      <c r="A693" t="s">
        <v>210</v>
      </c>
      <c r="B693">
        <v>2015</v>
      </c>
      <c r="C693" t="s">
        <v>898</v>
      </c>
      <c r="E693">
        <v>0.276145416259766</v>
      </c>
      <c r="F693">
        <v>1</v>
      </c>
    </row>
    <row r="694" spans="1:6">
      <c r="A694" t="s">
        <v>22</v>
      </c>
      <c r="B694">
        <v>2019</v>
      </c>
      <c r="C694" t="s">
        <v>873</v>
      </c>
      <c r="D694" t="s">
        <v>841</v>
      </c>
      <c r="E694">
        <v>0.17543271780014</v>
      </c>
      <c r="F694">
        <v>7</v>
      </c>
    </row>
    <row r="695" spans="1:6">
      <c r="A695" t="s">
        <v>34</v>
      </c>
      <c r="B695">
        <v>2019</v>
      </c>
      <c r="C695" t="s">
        <v>878</v>
      </c>
      <c r="D695" t="s">
        <v>839</v>
      </c>
      <c r="E695">
        <v>4.25910879898071</v>
      </c>
      <c r="F695">
        <v>16</v>
      </c>
    </row>
    <row r="696" spans="1:6">
      <c r="A696" t="s">
        <v>609</v>
      </c>
      <c r="B696">
        <v>2020</v>
      </c>
      <c r="C696" t="s">
        <v>892</v>
      </c>
      <c r="E696">
        <v>0.767588806152344</v>
      </c>
      <c r="F696">
        <v>1</v>
      </c>
    </row>
    <row r="697" spans="1:6">
      <c r="A697" t="s">
        <v>228</v>
      </c>
      <c r="B697">
        <v>2022</v>
      </c>
      <c r="C697" t="s">
        <v>838</v>
      </c>
      <c r="E697">
        <v>8.84016426086426</v>
      </c>
      <c r="F697">
        <v>5</v>
      </c>
    </row>
    <row r="698" spans="1:6">
      <c r="A698" t="s">
        <v>448</v>
      </c>
      <c r="B698">
        <v>2018</v>
      </c>
      <c r="C698" t="s">
        <v>879</v>
      </c>
      <c r="E698">
        <v>0.0866157379150391</v>
      </c>
      <c r="F698">
        <v>1</v>
      </c>
    </row>
    <row r="699" spans="1:6">
      <c r="A699" t="s">
        <v>422</v>
      </c>
      <c r="B699">
        <v>2018</v>
      </c>
      <c r="C699" t="s">
        <v>892</v>
      </c>
      <c r="E699">
        <v>0.5572095870971679</v>
      </c>
      <c r="F699">
        <v>8</v>
      </c>
    </row>
    <row r="700" spans="1:6">
      <c r="A700" t="s">
        <v>455</v>
      </c>
      <c r="B700">
        <v>2020</v>
      </c>
      <c r="C700" t="s">
        <v>893</v>
      </c>
      <c r="E700">
        <v>4.12328389883041</v>
      </c>
      <c r="F700">
        <v>23</v>
      </c>
    </row>
    <row r="701" spans="1:6">
      <c r="A701" t="s">
        <v>410</v>
      </c>
      <c r="B701">
        <v>2020</v>
      </c>
      <c r="C701" t="s">
        <v>838</v>
      </c>
      <c r="E701">
        <v>3.1523688365221</v>
      </c>
      <c r="F701">
        <v>16</v>
      </c>
    </row>
    <row r="702" spans="1:6">
      <c r="A702" t="s">
        <v>59</v>
      </c>
      <c r="B702">
        <v>2019</v>
      </c>
      <c r="C702" t="s">
        <v>840</v>
      </c>
      <c r="E702">
        <v>495</v>
      </c>
      <c r="F702">
        <v>83</v>
      </c>
    </row>
    <row r="703" spans="1:6">
      <c r="A703" t="s">
        <v>73</v>
      </c>
      <c r="B703">
        <v>2018</v>
      </c>
      <c r="C703" t="s">
        <v>873</v>
      </c>
      <c r="E703">
        <v>34.7741041059494</v>
      </c>
      <c r="F703">
        <v>77</v>
      </c>
    </row>
    <row r="704" spans="1:6">
      <c r="A704" t="s">
        <v>138</v>
      </c>
      <c r="B704">
        <v>2015</v>
      </c>
      <c r="C704" t="s">
        <v>879</v>
      </c>
      <c r="E704">
        <v>1</v>
      </c>
      <c r="F704">
        <v>1</v>
      </c>
    </row>
    <row r="705" spans="1:6">
      <c r="A705" t="s">
        <v>144</v>
      </c>
      <c r="B705">
        <v>2015</v>
      </c>
      <c r="C705" t="s">
        <v>888</v>
      </c>
      <c r="E705">
        <v>3</v>
      </c>
      <c r="F705">
        <v>2</v>
      </c>
    </row>
    <row r="706" spans="1:6">
      <c r="A706" t="s">
        <v>153</v>
      </c>
      <c r="B706">
        <v>2023</v>
      </c>
      <c r="C706" t="s">
        <v>890</v>
      </c>
      <c r="E706">
        <v>4.50734006166458</v>
      </c>
      <c r="F706">
        <v>9</v>
      </c>
    </row>
    <row r="707" spans="1:6">
      <c r="A707" t="s">
        <v>152</v>
      </c>
      <c r="B707">
        <v>2015</v>
      </c>
      <c r="C707" t="s">
        <v>880</v>
      </c>
      <c r="E707">
        <v>13.3731957306862</v>
      </c>
      <c r="F707">
        <v>28</v>
      </c>
    </row>
    <row r="708" spans="1:6">
      <c r="A708" t="s">
        <v>163</v>
      </c>
      <c r="B708">
        <v>2024</v>
      </c>
      <c r="C708" t="s">
        <v>887</v>
      </c>
      <c r="D708" t="s">
        <v>879</v>
      </c>
      <c r="E708">
        <v>0.328883935928345</v>
      </c>
      <c r="F708">
        <v>2</v>
      </c>
    </row>
    <row r="709" spans="1:6">
      <c r="A709" t="s">
        <v>189</v>
      </c>
      <c r="B709">
        <v>2020</v>
      </c>
      <c r="C709" t="s">
        <v>878</v>
      </c>
      <c r="D709" t="s">
        <v>893</v>
      </c>
      <c r="E709">
        <v>0.660017169952393</v>
      </c>
      <c r="F709">
        <v>10</v>
      </c>
    </row>
    <row r="710" spans="1:6">
      <c r="A710" t="s">
        <v>39</v>
      </c>
      <c r="B710">
        <v>2019</v>
      </c>
      <c r="C710" t="s">
        <v>879</v>
      </c>
      <c r="D710" t="s">
        <v>839</v>
      </c>
      <c r="E710">
        <v>0.358419083595276</v>
      </c>
      <c r="F710">
        <v>4</v>
      </c>
    </row>
    <row r="711" spans="1:6">
      <c r="A711" t="s">
        <v>22</v>
      </c>
      <c r="B711">
        <v>2023</v>
      </c>
      <c r="C711" t="s">
        <v>873</v>
      </c>
      <c r="D711" t="s">
        <v>841</v>
      </c>
      <c r="E711">
        <v>0.0116091388463974</v>
      </c>
      <c r="F711">
        <v>2</v>
      </c>
    </row>
    <row r="712" spans="1:6">
      <c r="A712" t="s">
        <v>594</v>
      </c>
      <c r="B712">
        <v>2015</v>
      </c>
      <c r="C712" t="s">
        <v>880</v>
      </c>
      <c r="E712">
        <v>0.756951446533203</v>
      </c>
      <c r="F712">
        <v>2</v>
      </c>
    </row>
    <row r="713" spans="1:6">
      <c r="A713" t="s">
        <v>609</v>
      </c>
      <c r="B713">
        <v>2021</v>
      </c>
      <c r="C713" t="s">
        <v>892</v>
      </c>
      <c r="E713">
        <v>0.365753784179688</v>
      </c>
      <c r="F713">
        <v>1</v>
      </c>
    </row>
    <row r="714" spans="1:6">
      <c r="A714" t="s">
        <v>221</v>
      </c>
      <c r="B714">
        <v>2016</v>
      </c>
      <c r="C714" t="s">
        <v>885</v>
      </c>
      <c r="E714">
        <v>1.55060628700256</v>
      </c>
      <c r="F714">
        <v>6</v>
      </c>
    </row>
    <row r="715" spans="1:6">
      <c r="A715" t="s">
        <v>448</v>
      </c>
      <c r="B715">
        <v>2020</v>
      </c>
      <c r="C715" t="s">
        <v>879</v>
      </c>
      <c r="E715">
        <v>0.087959545135498</v>
      </c>
      <c r="F715">
        <v>3</v>
      </c>
    </row>
    <row r="716" spans="1:6">
      <c r="A716" t="s">
        <v>8</v>
      </c>
      <c r="B716">
        <v>2015</v>
      </c>
      <c r="C716" t="s">
        <v>838</v>
      </c>
      <c r="E716">
        <v>34.482389591217</v>
      </c>
      <c r="F716">
        <v>33</v>
      </c>
    </row>
    <row r="717" spans="1:6">
      <c r="A717" t="s">
        <v>457</v>
      </c>
      <c r="B717">
        <v>2021</v>
      </c>
      <c r="C717" t="s">
        <v>893</v>
      </c>
      <c r="E717">
        <v>0.79</v>
      </c>
      <c r="F717">
        <v>1</v>
      </c>
    </row>
    <row r="718" spans="1:6">
      <c r="A718" t="s">
        <v>408</v>
      </c>
      <c r="B718">
        <v>2023</v>
      </c>
      <c r="C718" t="s">
        <v>839</v>
      </c>
      <c r="E718">
        <v>3.32282679653168</v>
      </c>
      <c r="F718">
        <v>16</v>
      </c>
    </row>
    <row r="719" spans="1:6">
      <c r="A719" t="s">
        <v>78</v>
      </c>
      <c r="B719">
        <v>2016</v>
      </c>
      <c r="C719" t="s">
        <v>874</v>
      </c>
      <c r="E719">
        <v>2.8864961912632</v>
      </c>
      <c r="F719">
        <v>14</v>
      </c>
    </row>
    <row r="720" spans="1:6">
      <c r="A720" t="s">
        <v>98</v>
      </c>
      <c r="B720">
        <v>2022</v>
      </c>
      <c r="C720" t="s">
        <v>879</v>
      </c>
      <c r="E720">
        <v>0.130859466552734</v>
      </c>
      <c r="F720">
        <v>1</v>
      </c>
    </row>
    <row r="721" spans="1:6">
      <c r="A721" t="s">
        <v>157</v>
      </c>
      <c r="B721">
        <v>2018</v>
      </c>
      <c r="C721" t="s">
        <v>893</v>
      </c>
      <c r="E721">
        <v>18.9839234805703</v>
      </c>
      <c r="F721">
        <v>70</v>
      </c>
    </row>
    <row r="722" spans="1:6">
      <c r="A722" t="s">
        <v>204</v>
      </c>
      <c r="B722">
        <v>2019</v>
      </c>
      <c r="C722" t="s">
        <v>881</v>
      </c>
      <c r="D722" t="s">
        <v>883</v>
      </c>
      <c r="E722">
        <v>0.1140908203125</v>
      </c>
      <c r="F722">
        <v>3</v>
      </c>
    </row>
    <row r="723" spans="1:6">
      <c r="A723" t="s">
        <v>170</v>
      </c>
      <c r="B723">
        <v>2024</v>
      </c>
      <c r="C723" t="s">
        <v>874</v>
      </c>
      <c r="D723" t="s">
        <v>891</v>
      </c>
      <c r="E723">
        <v>0.425459869384766</v>
      </c>
      <c r="F723">
        <v>1</v>
      </c>
    </row>
    <row r="724" spans="1:6">
      <c r="A724" t="s">
        <v>30</v>
      </c>
      <c r="B724">
        <v>2024</v>
      </c>
      <c r="C724" t="s">
        <v>889</v>
      </c>
      <c r="D724" t="s">
        <v>840</v>
      </c>
      <c r="E724">
        <v>0.09</v>
      </c>
      <c r="F724">
        <v>1</v>
      </c>
    </row>
    <row r="725" spans="1:6">
      <c r="A725" t="s">
        <v>31</v>
      </c>
      <c r="B725">
        <v>2022</v>
      </c>
      <c r="C725" t="s">
        <v>889</v>
      </c>
      <c r="D725" t="s">
        <v>838</v>
      </c>
      <c r="E725">
        <v>0.293499084472656</v>
      </c>
      <c r="F725">
        <v>1</v>
      </c>
    </row>
    <row r="726" spans="1:6">
      <c r="A726" t="s">
        <v>600</v>
      </c>
      <c r="B726">
        <v>2018</v>
      </c>
      <c r="C726" t="s">
        <v>884</v>
      </c>
      <c r="E726">
        <v>0.368485580444336</v>
      </c>
      <c r="F726">
        <v>2</v>
      </c>
    </row>
    <row r="727" spans="1:6">
      <c r="A727" t="s">
        <v>304</v>
      </c>
      <c r="B727">
        <v>2020</v>
      </c>
      <c r="C727" t="s">
        <v>838</v>
      </c>
      <c r="E727">
        <v>0.469677795410156</v>
      </c>
      <c r="F727">
        <v>1</v>
      </c>
    </row>
    <row r="728" spans="1:6">
      <c r="A728" t="s">
        <v>386</v>
      </c>
      <c r="B728">
        <v>2018</v>
      </c>
      <c r="C728" t="s">
        <v>885</v>
      </c>
      <c r="E728">
        <v>0.0773199462890625</v>
      </c>
      <c r="F728">
        <v>2</v>
      </c>
    </row>
    <row r="729" spans="1:6">
      <c r="A729" t="s">
        <v>424</v>
      </c>
      <c r="B729">
        <v>2016</v>
      </c>
      <c r="C729" t="s">
        <v>892</v>
      </c>
      <c r="E729">
        <v>2.57794805145264</v>
      </c>
      <c r="F729">
        <v>6</v>
      </c>
    </row>
    <row r="730" spans="1:6">
      <c r="A730" t="s">
        <v>442</v>
      </c>
      <c r="B730">
        <v>2015</v>
      </c>
      <c r="C730" t="s">
        <v>891</v>
      </c>
      <c r="E730">
        <v>0.015</v>
      </c>
      <c r="F730">
        <v>1</v>
      </c>
    </row>
    <row r="731" spans="1:6">
      <c r="A731" t="s">
        <v>434</v>
      </c>
      <c r="B731">
        <v>2019</v>
      </c>
      <c r="C731" t="s">
        <v>890</v>
      </c>
      <c r="E731">
        <v>0.079</v>
      </c>
      <c r="F731">
        <v>1</v>
      </c>
    </row>
    <row r="732" spans="1:6">
      <c r="A732" t="s">
        <v>10</v>
      </c>
      <c r="B732">
        <v>2016</v>
      </c>
      <c r="C732" t="s">
        <v>841</v>
      </c>
      <c r="E732">
        <v>0.560006196498871</v>
      </c>
      <c r="F732">
        <v>2</v>
      </c>
    </row>
    <row r="733" spans="1:6">
      <c r="A733" t="s">
        <v>126</v>
      </c>
      <c r="B733">
        <v>2019</v>
      </c>
      <c r="C733" t="s">
        <v>895</v>
      </c>
      <c r="E733">
        <v>17</v>
      </c>
      <c r="F733">
        <v>6</v>
      </c>
    </row>
    <row r="734" spans="1:6">
      <c r="A734" t="s">
        <v>140</v>
      </c>
      <c r="B734">
        <v>2017</v>
      </c>
      <c r="C734" t="s">
        <v>879</v>
      </c>
      <c r="E734">
        <v>6</v>
      </c>
      <c r="F734">
        <v>2</v>
      </c>
    </row>
    <row r="735" spans="1:6">
      <c r="A735" t="s">
        <v>155</v>
      </c>
      <c r="B735">
        <v>2019</v>
      </c>
      <c r="C735" t="s">
        <v>879</v>
      </c>
      <c r="E735">
        <v>7.80820583343506</v>
      </c>
      <c r="F735">
        <v>46</v>
      </c>
    </row>
    <row r="736" spans="1:6">
      <c r="A736" t="s">
        <v>175</v>
      </c>
      <c r="B736">
        <v>2019</v>
      </c>
      <c r="C736" t="s">
        <v>895</v>
      </c>
      <c r="D736" t="s">
        <v>892</v>
      </c>
      <c r="E736">
        <v>1.81942808151245</v>
      </c>
      <c r="F736">
        <v>4</v>
      </c>
    </row>
    <row r="737" spans="1:6">
      <c r="A737" t="s">
        <v>200</v>
      </c>
      <c r="B737">
        <v>2022</v>
      </c>
      <c r="C737" t="s">
        <v>881</v>
      </c>
      <c r="D737" t="s">
        <v>880</v>
      </c>
      <c r="E737">
        <v>0.777414726257324</v>
      </c>
      <c r="F737">
        <v>3</v>
      </c>
    </row>
    <row r="738" spans="1:6">
      <c r="A738" t="s">
        <v>183</v>
      </c>
      <c r="B738">
        <v>2020</v>
      </c>
      <c r="C738" t="s">
        <v>878</v>
      </c>
      <c r="D738" t="s">
        <v>892</v>
      </c>
      <c r="E738">
        <v>0.957889442443848</v>
      </c>
      <c r="F738">
        <v>7</v>
      </c>
    </row>
    <row r="739" spans="1:6">
      <c r="A739" t="s">
        <v>20</v>
      </c>
      <c r="B739">
        <v>2018</v>
      </c>
      <c r="C739" t="s">
        <v>873</v>
      </c>
      <c r="D739" t="s">
        <v>840</v>
      </c>
      <c r="E739">
        <v>26.5597070534229</v>
      </c>
      <c r="F739">
        <v>91</v>
      </c>
    </row>
    <row r="740" spans="1:6">
      <c r="A740" t="s">
        <v>217</v>
      </c>
      <c r="B740">
        <v>2018</v>
      </c>
      <c r="C740" t="s">
        <v>883</v>
      </c>
      <c r="E740">
        <v>0.297519899368286</v>
      </c>
      <c r="F740">
        <v>5</v>
      </c>
    </row>
    <row r="741" spans="1:6">
      <c r="A741" t="s">
        <v>609</v>
      </c>
      <c r="B741">
        <v>2022</v>
      </c>
      <c r="C741" t="s">
        <v>892</v>
      </c>
      <c r="E741">
        <v>0.711264892578125</v>
      </c>
      <c r="F741">
        <v>1</v>
      </c>
    </row>
    <row r="742" spans="1:6">
      <c r="A742" t="s">
        <v>220</v>
      </c>
      <c r="B742">
        <v>2020</v>
      </c>
      <c r="C742" t="s">
        <v>885</v>
      </c>
      <c r="E742">
        <v>0.49740185546875</v>
      </c>
      <c r="F742">
        <v>1</v>
      </c>
    </row>
    <row r="743" spans="1:6">
      <c r="A743" t="s">
        <v>299</v>
      </c>
      <c r="B743">
        <v>2022</v>
      </c>
      <c r="C743" t="s">
        <v>838</v>
      </c>
      <c r="E743">
        <v>8.676589935302729</v>
      </c>
      <c r="F743">
        <v>4</v>
      </c>
    </row>
    <row r="744" spans="1:6">
      <c r="A744" t="s">
        <v>432</v>
      </c>
      <c r="B744">
        <v>2022</v>
      </c>
      <c r="C744" t="s">
        <v>890</v>
      </c>
      <c r="E744">
        <v>0.035</v>
      </c>
      <c r="F744">
        <v>1</v>
      </c>
    </row>
    <row r="745" spans="1:6">
      <c r="A745" t="s">
        <v>446</v>
      </c>
      <c r="B745">
        <v>2015</v>
      </c>
      <c r="C745" t="s">
        <v>879</v>
      </c>
      <c r="E745">
        <v>0.145</v>
      </c>
      <c r="F745">
        <v>1</v>
      </c>
    </row>
    <row r="746" spans="1:6">
      <c r="A746" t="s">
        <v>379</v>
      </c>
      <c r="B746">
        <v>2022</v>
      </c>
      <c r="C746" t="s">
        <v>879</v>
      </c>
      <c r="E746">
        <v>1.48415672445297</v>
      </c>
      <c r="F746">
        <v>18</v>
      </c>
    </row>
    <row r="747" spans="1:6">
      <c r="A747" t="s">
        <v>377</v>
      </c>
      <c r="B747">
        <v>2021</v>
      </c>
      <c r="C747" t="s">
        <v>890</v>
      </c>
      <c r="E747">
        <v>0.446704303741455</v>
      </c>
      <c r="F747">
        <v>6</v>
      </c>
    </row>
    <row r="748" spans="1:6">
      <c r="A748" t="s">
        <v>376</v>
      </c>
      <c r="B748">
        <v>2020</v>
      </c>
      <c r="C748" t="s">
        <v>880</v>
      </c>
      <c r="E748">
        <v>1.63197926402092</v>
      </c>
      <c r="F748">
        <v>9</v>
      </c>
    </row>
    <row r="749" spans="1:6">
      <c r="A749" t="s">
        <v>433</v>
      </c>
      <c r="B749">
        <v>2017</v>
      </c>
      <c r="C749" t="s">
        <v>890</v>
      </c>
      <c r="E749">
        <v>0.0807498970031738</v>
      </c>
      <c r="F749">
        <v>2</v>
      </c>
    </row>
    <row r="750" spans="1:6">
      <c r="A750" t="s">
        <v>49</v>
      </c>
      <c r="B750">
        <v>2020</v>
      </c>
      <c r="C750" t="s">
        <v>901</v>
      </c>
      <c r="E750">
        <v>87</v>
      </c>
      <c r="F750">
        <v>87</v>
      </c>
    </row>
    <row r="751" spans="1:6">
      <c r="A751" t="s">
        <v>17</v>
      </c>
      <c r="B751">
        <v>2021</v>
      </c>
      <c r="C751" t="s">
        <v>900</v>
      </c>
      <c r="E751">
        <v>1.46711474609375</v>
      </c>
      <c r="F751">
        <v>2</v>
      </c>
    </row>
    <row r="752" spans="1:6">
      <c r="A752" t="s">
        <v>71</v>
      </c>
      <c r="B752">
        <v>2023</v>
      </c>
      <c r="C752" t="s">
        <v>906</v>
      </c>
      <c r="E752">
        <v>36</v>
      </c>
      <c r="F752">
        <v>12</v>
      </c>
    </row>
    <row r="753" spans="1:6">
      <c r="A753" t="s">
        <v>49</v>
      </c>
      <c r="B753">
        <v>2018</v>
      </c>
      <c r="C753" t="s">
        <v>896</v>
      </c>
      <c r="E753">
        <v>43</v>
      </c>
      <c r="F753">
        <v>43</v>
      </c>
    </row>
    <row r="754" spans="1:6">
      <c r="A754" t="s">
        <v>50</v>
      </c>
      <c r="B754">
        <v>2023</v>
      </c>
      <c r="C754" t="s">
        <v>907</v>
      </c>
      <c r="E754">
        <v>1</v>
      </c>
      <c r="F754">
        <v>1</v>
      </c>
    </row>
    <row r="755" spans="1:6">
      <c r="A755" t="s">
        <v>56</v>
      </c>
      <c r="B755">
        <v>2021</v>
      </c>
      <c r="C755" t="s">
        <v>903</v>
      </c>
      <c r="E755">
        <v>87</v>
      </c>
      <c r="F755">
        <v>87</v>
      </c>
    </row>
    <row r="756" spans="1:6">
      <c r="A756" t="s">
        <v>58</v>
      </c>
      <c r="B756">
        <v>2019</v>
      </c>
      <c r="C756" t="s">
        <v>839</v>
      </c>
      <c r="E756">
        <v>262</v>
      </c>
      <c r="F756">
        <v>44</v>
      </c>
    </row>
    <row r="757" spans="1:6">
      <c r="A757" t="s">
        <v>123</v>
      </c>
      <c r="B757">
        <v>2020</v>
      </c>
      <c r="C757" t="s">
        <v>874</v>
      </c>
      <c r="E757">
        <v>4</v>
      </c>
      <c r="F757">
        <v>1</v>
      </c>
    </row>
    <row r="758" spans="1:6">
      <c r="A758" t="s">
        <v>190</v>
      </c>
      <c r="B758">
        <v>2022</v>
      </c>
      <c r="C758" t="s">
        <v>879</v>
      </c>
      <c r="D758" t="s">
        <v>884</v>
      </c>
      <c r="E758">
        <v>0.0280413150787354</v>
      </c>
      <c r="F758">
        <v>1</v>
      </c>
    </row>
    <row r="759" spans="1:6">
      <c r="A759" t="s">
        <v>203</v>
      </c>
      <c r="B759">
        <v>2022</v>
      </c>
      <c r="C759" t="s">
        <v>881</v>
      </c>
      <c r="D759" t="s">
        <v>879</v>
      </c>
      <c r="E759">
        <v>0.00186942100524902</v>
      </c>
      <c r="F759">
        <v>1</v>
      </c>
    </row>
    <row r="760" spans="1:6">
      <c r="A760" t="s">
        <v>38</v>
      </c>
      <c r="B760">
        <v>2021</v>
      </c>
      <c r="C760" t="s">
        <v>878</v>
      </c>
      <c r="D760" t="s">
        <v>898</v>
      </c>
      <c r="E760">
        <v>0.0409981002807617</v>
      </c>
      <c r="F760">
        <v>1</v>
      </c>
    </row>
    <row r="761" spans="1:6">
      <c r="A761" t="s">
        <v>211</v>
      </c>
      <c r="B761">
        <v>2021</v>
      </c>
      <c r="C761" t="s">
        <v>884</v>
      </c>
      <c r="E761">
        <v>5.94051220703125</v>
      </c>
      <c r="F761">
        <v>8</v>
      </c>
    </row>
    <row r="762" spans="1:6">
      <c r="A762" t="s">
        <v>593</v>
      </c>
      <c r="B762">
        <v>2021</v>
      </c>
      <c r="C762" t="s">
        <v>892</v>
      </c>
      <c r="E762">
        <v>0.694322662353516</v>
      </c>
      <c r="F762">
        <v>3</v>
      </c>
    </row>
    <row r="763" spans="1:6">
      <c r="A763" t="s">
        <v>226</v>
      </c>
      <c r="B763">
        <v>2018</v>
      </c>
      <c r="C763" t="s">
        <v>839</v>
      </c>
      <c r="E763">
        <v>3.24855687141418</v>
      </c>
      <c r="F763">
        <v>5</v>
      </c>
    </row>
    <row r="764" spans="1:6">
      <c r="A764" t="s">
        <v>318</v>
      </c>
      <c r="B764">
        <v>2018</v>
      </c>
      <c r="C764" t="s">
        <v>840</v>
      </c>
      <c r="E764">
        <v>0.599668243408203</v>
      </c>
      <c r="F764">
        <v>2</v>
      </c>
    </row>
    <row r="765" spans="1:6">
      <c r="A765" t="s">
        <v>383</v>
      </c>
      <c r="B765">
        <v>2020</v>
      </c>
      <c r="C765" t="s">
        <v>885</v>
      </c>
      <c r="E765">
        <v>11.6904238300323</v>
      </c>
      <c r="F765">
        <v>15</v>
      </c>
    </row>
    <row r="766" spans="1:6">
      <c r="A766" t="s">
        <v>451</v>
      </c>
      <c r="B766">
        <v>2015</v>
      </c>
      <c r="C766" t="s">
        <v>883</v>
      </c>
      <c r="E766">
        <v>0.0698489990234375</v>
      </c>
      <c r="F766">
        <v>2</v>
      </c>
    </row>
    <row r="767" spans="1:6">
      <c r="A767" t="s">
        <v>9</v>
      </c>
      <c r="B767">
        <v>2022</v>
      </c>
      <c r="C767" t="s">
        <v>886</v>
      </c>
      <c r="E767">
        <v>63.8707819747925</v>
      </c>
      <c r="F767">
        <v>13</v>
      </c>
    </row>
    <row r="768" spans="1:6">
      <c r="A768" t="s">
        <v>103</v>
      </c>
      <c r="B768">
        <v>2020</v>
      </c>
      <c r="C768" t="s">
        <v>888</v>
      </c>
      <c r="E768">
        <v>9.62472077178955</v>
      </c>
      <c r="F768">
        <v>17</v>
      </c>
    </row>
    <row r="769" spans="1:6">
      <c r="A769" t="s">
        <v>99</v>
      </c>
      <c r="B769">
        <v>2017</v>
      </c>
      <c r="C769" t="s">
        <v>879</v>
      </c>
      <c r="E769">
        <v>5.12720903015137</v>
      </c>
      <c r="F769">
        <v>7</v>
      </c>
    </row>
    <row r="770" spans="1:6">
      <c r="A770" t="s">
        <v>133</v>
      </c>
      <c r="B770">
        <v>2017</v>
      </c>
      <c r="C770" t="s">
        <v>878</v>
      </c>
      <c r="E770">
        <v>49</v>
      </c>
      <c r="F770">
        <v>22</v>
      </c>
    </row>
    <row r="771" spans="1:6">
      <c r="A771" t="s">
        <v>127</v>
      </c>
      <c r="B771">
        <v>2023</v>
      </c>
      <c r="C771" t="s">
        <v>895</v>
      </c>
      <c r="E771">
        <v>1</v>
      </c>
      <c r="F771">
        <v>1</v>
      </c>
    </row>
    <row r="772" spans="1:6">
      <c r="A772" t="s">
        <v>205</v>
      </c>
      <c r="B772">
        <v>2021</v>
      </c>
      <c r="C772" t="s">
        <v>881</v>
      </c>
      <c r="D772" t="s">
        <v>893</v>
      </c>
      <c r="E772">
        <v>2.10998636054993</v>
      </c>
      <c r="F772">
        <v>10</v>
      </c>
    </row>
    <row r="773" spans="1:6">
      <c r="A773" t="s">
        <v>34</v>
      </c>
      <c r="B773">
        <v>2020</v>
      </c>
      <c r="C773" t="s">
        <v>878</v>
      </c>
      <c r="D773" t="s">
        <v>839</v>
      </c>
      <c r="E773">
        <v>3.50835071277618</v>
      </c>
      <c r="F773">
        <v>10</v>
      </c>
    </row>
    <row r="774" spans="1:6">
      <c r="A774" t="s">
        <v>47</v>
      </c>
      <c r="B774">
        <v>2019</v>
      </c>
      <c r="C774" t="s">
        <v>888</v>
      </c>
      <c r="D774" t="s">
        <v>841</v>
      </c>
      <c r="E774">
        <v>0.173235794067383</v>
      </c>
      <c r="F774">
        <v>1</v>
      </c>
    </row>
    <row r="775" spans="1:6">
      <c r="A775" t="s">
        <v>31</v>
      </c>
      <c r="B775">
        <v>2020</v>
      </c>
      <c r="C775" t="s">
        <v>889</v>
      </c>
      <c r="D775" t="s">
        <v>838</v>
      </c>
      <c r="E775">
        <v>0.0815412826538086</v>
      </c>
      <c r="F775">
        <v>1</v>
      </c>
    </row>
    <row r="776" spans="1:6">
      <c r="A776" t="s">
        <v>615</v>
      </c>
      <c r="B776">
        <v>2020</v>
      </c>
      <c r="C776" t="s">
        <v>893</v>
      </c>
      <c r="E776">
        <v>0.0203853206634521</v>
      </c>
      <c r="F776">
        <v>1</v>
      </c>
    </row>
    <row r="777" spans="1:6">
      <c r="A777" t="s">
        <v>217</v>
      </c>
      <c r="B777">
        <v>2020</v>
      </c>
      <c r="C777" t="s">
        <v>883</v>
      </c>
      <c r="E777">
        <v>0.366550469398499</v>
      </c>
      <c r="F777">
        <v>5</v>
      </c>
    </row>
    <row r="778" spans="1:6">
      <c r="A778" t="s">
        <v>226</v>
      </c>
      <c r="B778">
        <v>2023</v>
      </c>
      <c r="C778" t="s">
        <v>839</v>
      </c>
      <c r="E778">
        <v>2.47089260864258</v>
      </c>
      <c r="F778">
        <v>6</v>
      </c>
    </row>
    <row r="779" spans="1:6">
      <c r="A779" t="s">
        <v>377</v>
      </c>
      <c r="B779">
        <v>2015</v>
      </c>
      <c r="C779" t="s">
        <v>890</v>
      </c>
      <c r="E779">
        <v>1.35825749397278</v>
      </c>
      <c r="F779">
        <v>11</v>
      </c>
    </row>
    <row r="780" spans="1:6">
      <c r="A780" t="s">
        <v>425</v>
      </c>
      <c r="B780">
        <v>2015</v>
      </c>
      <c r="C780" t="s">
        <v>880</v>
      </c>
      <c r="E780">
        <v>1.07547909927368</v>
      </c>
      <c r="F780">
        <v>10</v>
      </c>
    </row>
    <row r="781" spans="1:6">
      <c r="A781" t="s">
        <v>417</v>
      </c>
      <c r="B781">
        <v>2019</v>
      </c>
      <c r="C781" t="s">
        <v>884</v>
      </c>
      <c r="E781">
        <v>0.34</v>
      </c>
      <c r="F781">
        <v>1</v>
      </c>
    </row>
    <row r="782" spans="1:6">
      <c r="A782" t="s">
        <v>61</v>
      </c>
      <c r="B782">
        <v>2020</v>
      </c>
      <c r="C782" t="s">
        <v>886</v>
      </c>
      <c r="E782">
        <v>26</v>
      </c>
      <c r="F782">
        <v>11</v>
      </c>
    </row>
    <row r="783" spans="1:6">
      <c r="A783" t="s">
        <v>84</v>
      </c>
      <c r="B783">
        <v>2018</v>
      </c>
      <c r="C783" t="s">
        <v>895</v>
      </c>
      <c r="E783">
        <v>1.32953565216064</v>
      </c>
      <c r="F783">
        <v>5</v>
      </c>
    </row>
    <row r="784" spans="1:6">
      <c r="A784" t="s">
        <v>132</v>
      </c>
      <c r="B784">
        <v>2016</v>
      </c>
      <c r="C784" t="s">
        <v>878</v>
      </c>
      <c r="E784">
        <v>29</v>
      </c>
      <c r="F784">
        <v>18</v>
      </c>
    </row>
    <row r="785" spans="1:6">
      <c r="A785" t="s">
        <v>120</v>
      </c>
      <c r="B785">
        <v>2015</v>
      </c>
      <c r="C785" t="s">
        <v>874</v>
      </c>
      <c r="E785">
        <v>27</v>
      </c>
      <c r="F785">
        <v>16</v>
      </c>
    </row>
    <row r="786" spans="1:6">
      <c r="A786" t="s">
        <v>134</v>
      </c>
      <c r="B786">
        <v>2020</v>
      </c>
      <c r="C786" t="s">
        <v>878</v>
      </c>
      <c r="E786">
        <v>11</v>
      </c>
      <c r="F786">
        <v>5</v>
      </c>
    </row>
    <row r="787" spans="1:6">
      <c r="A787" t="s">
        <v>159</v>
      </c>
      <c r="B787">
        <v>2018</v>
      </c>
      <c r="C787" t="s">
        <v>887</v>
      </c>
      <c r="D787" t="s">
        <v>892</v>
      </c>
      <c r="E787">
        <v>8.84282209825516</v>
      </c>
      <c r="F787">
        <v>62</v>
      </c>
    </row>
    <row r="788" spans="1:6">
      <c r="A788" t="s">
        <v>19</v>
      </c>
      <c r="B788">
        <v>2019</v>
      </c>
      <c r="C788" t="s">
        <v>873</v>
      </c>
      <c r="D788" t="s">
        <v>839</v>
      </c>
      <c r="E788">
        <v>15.8712918901443</v>
      </c>
      <c r="F788">
        <v>52</v>
      </c>
    </row>
    <row r="789" spans="1:6">
      <c r="A789" t="s">
        <v>221</v>
      </c>
      <c r="B789">
        <v>2021</v>
      </c>
      <c r="C789" t="s">
        <v>885</v>
      </c>
      <c r="E789">
        <v>1.23508683776855</v>
      </c>
      <c r="F789">
        <v>3</v>
      </c>
    </row>
    <row r="790" spans="1:6">
      <c r="A790" t="s">
        <v>608</v>
      </c>
      <c r="B790">
        <v>2016</v>
      </c>
      <c r="C790" t="s">
        <v>884</v>
      </c>
      <c r="E790">
        <v>0.733649078369141</v>
      </c>
      <c r="F790">
        <v>2</v>
      </c>
    </row>
    <row r="791" spans="1:6">
      <c r="A791" t="s">
        <v>224</v>
      </c>
      <c r="B791">
        <v>2018</v>
      </c>
      <c r="C791" t="s">
        <v>885</v>
      </c>
      <c r="E791">
        <v>1.07619995117187</v>
      </c>
      <c r="F791">
        <v>1</v>
      </c>
    </row>
    <row r="792" spans="1:6">
      <c r="A792" t="s">
        <v>318</v>
      </c>
      <c r="B792">
        <v>2021</v>
      </c>
      <c r="C792" t="s">
        <v>840</v>
      </c>
      <c r="E792">
        <v>0.662141357421875</v>
      </c>
      <c r="F792">
        <v>1</v>
      </c>
    </row>
    <row r="793" spans="1:6">
      <c r="A793" t="s">
        <v>444</v>
      </c>
      <c r="B793">
        <v>2019</v>
      </c>
      <c r="C793" t="s">
        <v>879</v>
      </c>
      <c r="E793">
        <v>2.30091479492188</v>
      </c>
      <c r="F793">
        <v>2</v>
      </c>
    </row>
    <row r="794" spans="1:6">
      <c r="A794" t="s">
        <v>421</v>
      </c>
      <c r="B794">
        <v>2018</v>
      </c>
      <c r="C794" t="s">
        <v>892</v>
      </c>
      <c r="E794">
        <v>0.934667917251587</v>
      </c>
      <c r="F794">
        <v>3</v>
      </c>
    </row>
    <row r="795" spans="1:6">
      <c r="A795" t="s">
        <v>417</v>
      </c>
      <c r="B795">
        <v>2015</v>
      </c>
      <c r="C795" t="s">
        <v>884</v>
      </c>
      <c r="E795">
        <v>0.605280735015869</v>
      </c>
      <c r="F795">
        <v>3</v>
      </c>
    </row>
    <row r="796" spans="1:6">
      <c r="A796" t="s">
        <v>15</v>
      </c>
      <c r="B796">
        <v>2015</v>
      </c>
      <c r="C796" t="s">
        <v>872</v>
      </c>
      <c r="E796">
        <v>2.41293846035004</v>
      </c>
      <c r="F796">
        <v>17</v>
      </c>
    </row>
    <row r="797" spans="1:6">
      <c r="A797" t="s">
        <v>68</v>
      </c>
      <c r="B797">
        <v>2015</v>
      </c>
      <c r="C797" t="s">
        <v>895</v>
      </c>
      <c r="E797">
        <v>35</v>
      </c>
      <c r="F797">
        <v>18</v>
      </c>
    </row>
    <row r="798" spans="1:6">
      <c r="A798" t="s">
        <v>17</v>
      </c>
      <c r="B798">
        <v>2020</v>
      </c>
      <c r="C798" t="s">
        <v>900</v>
      </c>
      <c r="E798">
        <v>3.65702253723145</v>
      </c>
      <c r="F798">
        <v>4</v>
      </c>
    </row>
    <row r="799" spans="1:6">
      <c r="A799" t="s">
        <v>70</v>
      </c>
      <c r="B799">
        <v>2015</v>
      </c>
      <c r="C799" t="s">
        <v>879</v>
      </c>
      <c r="E799">
        <v>26</v>
      </c>
      <c r="F799">
        <v>13</v>
      </c>
    </row>
    <row r="800" spans="1:6">
      <c r="A800" t="s">
        <v>50</v>
      </c>
      <c r="B800">
        <v>2015</v>
      </c>
      <c r="C800" t="s">
        <v>899</v>
      </c>
      <c r="E800">
        <v>1</v>
      </c>
      <c r="F800">
        <v>1</v>
      </c>
    </row>
    <row r="801" spans="1:6">
      <c r="A801" t="s">
        <v>57</v>
      </c>
      <c r="B801">
        <v>2022</v>
      </c>
      <c r="C801" t="s">
        <v>910</v>
      </c>
      <c r="E801">
        <v>65.0769384336472</v>
      </c>
      <c r="F801">
        <v>75</v>
      </c>
    </row>
    <row r="802" spans="1:6">
      <c r="A802" t="s">
        <v>91</v>
      </c>
      <c r="B802">
        <v>2016</v>
      </c>
      <c r="C802" t="s">
        <v>878</v>
      </c>
      <c r="E802">
        <v>6.42203733444214</v>
      </c>
      <c r="F802">
        <v>25</v>
      </c>
    </row>
    <row r="803" spans="1:6">
      <c r="A803" t="s">
        <v>121</v>
      </c>
      <c r="B803">
        <v>2017</v>
      </c>
      <c r="C803" t="s">
        <v>874</v>
      </c>
      <c r="E803">
        <v>106</v>
      </c>
      <c r="F803">
        <v>32</v>
      </c>
    </row>
    <row r="804" spans="1:6">
      <c r="A804" t="s">
        <v>155</v>
      </c>
      <c r="B804">
        <v>2018</v>
      </c>
      <c r="C804" t="s">
        <v>879</v>
      </c>
      <c r="E804">
        <v>5.23047447109222</v>
      </c>
      <c r="F804">
        <v>47</v>
      </c>
    </row>
    <row r="805" spans="1:6">
      <c r="A805" t="s">
        <v>194</v>
      </c>
      <c r="B805">
        <v>2018</v>
      </c>
      <c r="C805" t="s">
        <v>879</v>
      </c>
      <c r="D805" t="s">
        <v>891</v>
      </c>
      <c r="E805">
        <v>0.104559936523437</v>
      </c>
      <c r="F805">
        <v>3</v>
      </c>
    </row>
    <row r="806" spans="1:6">
      <c r="A806" t="s">
        <v>169</v>
      </c>
      <c r="B806">
        <v>2018</v>
      </c>
      <c r="C806" t="s">
        <v>874</v>
      </c>
      <c r="D806" t="s">
        <v>890</v>
      </c>
      <c r="E806">
        <v>1.21884073448181</v>
      </c>
      <c r="F806">
        <v>5</v>
      </c>
    </row>
    <row r="807" spans="1:6">
      <c r="A807" t="s">
        <v>80</v>
      </c>
      <c r="B807">
        <v>2018</v>
      </c>
      <c r="C807" t="s">
        <v>874</v>
      </c>
      <c r="E807">
        <v>9.315921966552731</v>
      </c>
      <c r="F807">
        <v>22</v>
      </c>
    </row>
    <row r="808" spans="1:6">
      <c r="A808" t="s">
        <v>126</v>
      </c>
      <c r="B808">
        <v>2022</v>
      </c>
      <c r="C808" t="s">
        <v>895</v>
      </c>
      <c r="E808">
        <v>3</v>
      </c>
      <c r="F808">
        <v>3</v>
      </c>
    </row>
    <row r="809" spans="1:6">
      <c r="A809" t="s">
        <v>156</v>
      </c>
      <c r="B809">
        <v>2024</v>
      </c>
      <c r="C809" t="s">
        <v>883</v>
      </c>
      <c r="E809">
        <v>0.240599554300308</v>
      </c>
      <c r="F809">
        <v>5</v>
      </c>
    </row>
    <row r="810" spans="1:6">
      <c r="A810" t="s">
        <v>163</v>
      </c>
      <c r="B810">
        <v>2019</v>
      </c>
      <c r="C810" t="s">
        <v>887</v>
      </c>
      <c r="D810" t="s">
        <v>879</v>
      </c>
      <c r="E810">
        <v>4.17082008552551</v>
      </c>
      <c r="F810">
        <v>38</v>
      </c>
    </row>
    <row r="811" spans="1:6">
      <c r="A811" t="s">
        <v>160</v>
      </c>
      <c r="B811">
        <v>2020</v>
      </c>
      <c r="C811" t="s">
        <v>887</v>
      </c>
      <c r="D811" t="s">
        <v>880</v>
      </c>
      <c r="E811">
        <v>3.82019799017906</v>
      </c>
      <c r="F811">
        <v>19</v>
      </c>
    </row>
    <row r="812" spans="1:6">
      <c r="A812" t="s">
        <v>26</v>
      </c>
      <c r="B812">
        <v>2022</v>
      </c>
      <c r="C812" t="s">
        <v>882</v>
      </c>
      <c r="D812" t="s">
        <v>838</v>
      </c>
      <c r="E812">
        <v>9.36512656784058</v>
      </c>
      <c r="F812">
        <v>21</v>
      </c>
    </row>
    <row r="813" spans="1:6">
      <c r="A813" t="s">
        <v>639</v>
      </c>
      <c r="B813">
        <v>2023</v>
      </c>
      <c r="C813" t="s">
        <v>893</v>
      </c>
      <c r="E813">
        <v>0.385269989013672</v>
      </c>
      <c r="F813">
        <v>1</v>
      </c>
    </row>
    <row r="814" spans="1:6">
      <c r="A814" t="s">
        <v>598</v>
      </c>
      <c r="B814">
        <v>2016</v>
      </c>
      <c r="C814" t="s">
        <v>883</v>
      </c>
      <c r="E814">
        <v>0.0429970855712891</v>
      </c>
      <c r="F814">
        <v>1</v>
      </c>
    </row>
    <row r="815" spans="1:6">
      <c r="A815" t="s">
        <v>304</v>
      </c>
      <c r="B815">
        <v>2016</v>
      </c>
      <c r="C815" t="s">
        <v>838</v>
      </c>
      <c r="E815">
        <v>0.409</v>
      </c>
      <c r="F815">
        <v>1</v>
      </c>
    </row>
    <row r="816" spans="1:6">
      <c r="A816" t="s">
        <v>377</v>
      </c>
      <c r="B816">
        <v>2024</v>
      </c>
      <c r="C816" t="s">
        <v>890</v>
      </c>
      <c r="E816">
        <v>0.1</v>
      </c>
      <c r="F816">
        <v>1</v>
      </c>
    </row>
    <row r="817" spans="1:6">
      <c r="A817" t="s">
        <v>443</v>
      </c>
      <c r="B817">
        <v>2022</v>
      </c>
      <c r="C817" t="s">
        <v>879</v>
      </c>
      <c r="E817">
        <v>1.10300045919418</v>
      </c>
      <c r="F817">
        <v>18</v>
      </c>
    </row>
    <row r="818" spans="1:6">
      <c r="A818" t="s">
        <v>455</v>
      </c>
      <c r="B818">
        <v>2023</v>
      </c>
      <c r="C818" t="s">
        <v>893</v>
      </c>
      <c r="E818">
        <v>2.81938954240084</v>
      </c>
      <c r="F818">
        <v>15</v>
      </c>
    </row>
    <row r="819" spans="1:6">
      <c r="A819" t="s">
        <v>458</v>
      </c>
      <c r="B819">
        <v>2020</v>
      </c>
      <c r="C819" t="s">
        <v>893</v>
      </c>
      <c r="E819">
        <v>0.391656091690063</v>
      </c>
      <c r="F819">
        <v>4</v>
      </c>
    </row>
    <row r="820" spans="1:6">
      <c r="A820" t="s">
        <v>385</v>
      </c>
      <c r="B820">
        <v>2021</v>
      </c>
      <c r="C820" t="s">
        <v>885</v>
      </c>
      <c r="E820">
        <v>6.28429670715332</v>
      </c>
      <c r="F820">
        <v>13</v>
      </c>
    </row>
    <row r="821" spans="1:6">
      <c r="A821" t="s">
        <v>56</v>
      </c>
      <c r="B821">
        <v>2020</v>
      </c>
      <c r="C821" t="s">
        <v>911</v>
      </c>
      <c r="E821">
        <v>20</v>
      </c>
      <c r="F821">
        <v>20</v>
      </c>
    </row>
    <row r="822" spans="1:6">
      <c r="A822" t="s">
        <v>96</v>
      </c>
      <c r="B822">
        <v>2016</v>
      </c>
      <c r="C822" t="s">
        <v>879</v>
      </c>
      <c r="E822">
        <v>0.525821537971497</v>
      </c>
      <c r="F822">
        <v>6</v>
      </c>
    </row>
    <row r="823" spans="1:6">
      <c r="A823" t="s">
        <v>124</v>
      </c>
      <c r="B823">
        <v>2018</v>
      </c>
      <c r="C823" t="s">
        <v>874</v>
      </c>
      <c r="E823">
        <v>3</v>
      </c>
      <c r="F823">
        <v>1</v>
      </c>
    </row>
    <row r="824" spans="1:6">
      <c r="A824" t="s">
        <v>129</v>
      </c>
      <c r="B824">
        <v>2016</v>
      </c>
      <c r="C824" t="s">
        <v>895</v>
      </c>
      <c r="E824">
        <v>12</v>
      </c>
      <c r="F824">
        <v>6</v>
      </c>
    </row>
    <row r="825" spans="1:6">
      <c r="A825" t="s">
        <v>164</v>
      </c>
      <c r="B825">
        <v>2021</v>
      </c>
      <c r="C825" t="s">
        <v>887</v>
      </c>
      <c r="D825" t="s">
        <v>883</v>
      </c>
      <c r="E825">
        <v>9.89007088434696</v>
      </c>
      <c r="F825">
        <v>42</v>
      </c>
    </row>
    <row r="826" spans="1:6">
      <c r="A826" t="s">
        <v>182</v>
      </c>
      <c r="B826">
        <v>2023</v>
      </c>
      <c r="C826" t="s">
        <v>878</v>
      </c>
      <c r="D826" t="s">
        <v>884</v>
      </c>
      <c r="E826">
        <v>1.55317563819885</v>
      </c>
      <c r="F826">
        <v>9</v>
      </c>
    </row>
    <row r="827" spans="1:6">
      <c r="A827" t="s">
        <v>168</v>
      </c>
      <c r="B827">
        <v>2021</v>
      </c>
      <c r="C827" t="s">
        <v>874</v>
      </c>
      <c r="D827" t="s">
        <v>880</v>
      </c>
      <c r="E827">
        <v>1.65774942016602</v>
      </c>
      <c r="F827">
        <v>7</v>
      </c>
    </row>
    <row r="828" spans="1:6">
      <c r="A828" t="s">
        <v>46</v>
      </c>
      <c r="B828">
        <v>2021</v>
      </c>
      <c r="C828" t="s">
        <v>888</v>
      </c>
      <c r="D828" t="s">
        <v>838</v>
      </c>
      <c r="E828">
        <v>4.4798207321167</v>
      </c>
      <c r="F828">
        <v>9</v>
      </c>
    </row>
    <row r="829" spans="1:6">
      <c r="A829" t="s">
        <v>36</v>
      </c>
      <c r="B829">
        <v>2016</v>
      </c>
      <c r="C829" t="s">
        <v>878</v>
      </c>
      <c r="D829" t="s">
        <v>838</v>
      </c>
      <c r="E829">
        <v>3.91175919818878</v>
      </c>
      <c r="F829">
        <v>17</v>
      </c>
    </row>
    <row r="830" spans="1:6">
      <c r="A830" t="s">
        <v>218</v>
      </c>
      <c r="B830">
        <v>2021</v>
      </c>
      <c r="C830" t="s">
        <v>893</v>
      </c>
      <c r="E830">
        <v>3.57914831662178</v>
      </c>
      <c r="F830">
        <v>6</v>
      </c>
    </row>
    <row r="831" spans="1:6">
      <c r="A831" t="s">
        <v>639</v>
      </c>
      <c r="B831">
        <v>2021</v>
      </c>
      <c r="C831" t="s">
        <v>893</v>
      </c>
      <c r="E831">
        <v>0.15</v>
      </c>
      <c r="F831">
        <v>1</v>
      </c>
    </row>
    <row r="832" spans="1:6">
      <c r="A832" t="s">
        <v>226</v>
      </c>
      <c r="B832">
        <v>2020</v>
      </c>
      <c r="C832" t="s">
        <v>839</v>
      </c>
      <c r="E832">
        <v>1.97063413047791</v>
      </c>
      <c r="F832">
        <v>5</v>
      </c>
    </row>
    <row r="833" spans="1:6">
      <c r="A833" t="s">
        <v>320</v>
      </c>
      <c r="B833">
        <v>2021</v>
      </c>
      <c r="C833" t="s">
        <v>841</v>
      </c>
      <c r="E833">
        <v>0.00617175674438477</v>
      </c>
      <c r="F833">
        <v>1</v>
      </c>
    </row>
    <row r="834" spans="1:6">
      <c r="A834" t="s">
        <v>455</v>
      </c>
      <c r="B834">
        <v>2021</v>
      </c>
      <c r="C834" t="s">
        <v>893</v>
      </c>
      <c r="E834">
        <v>5.53182693254948</v>
      </c>
      <c r="F834">
        <v>30</v>
      </c>
    </row>
    <row r="835" spans="1:6">
      <c r="A835" t="s">
        <v>420</v>
      </c>
      <c r="B835">
        <v>2016</v>
      </c>
      <c r="C835" t="s">
        <v>892</v>
      </c>
      <c r="E835">
        <v>3.21169120788574</v>
      </c>
      <c r="F835">
        <v>13</v>
      </c>
    </row>
    <row r="836" spans="1:6">
      <c r="A836" t="s">
        <v>50</v>
      </c>
      <c r="B836">
        <v>2022</v>
      </c>
      <c r="C836" t="s">
        <v>894</v>
      </c>
      <c r="E836">
        <v>8</v>
      </c>
      <c r="F836">
        <v>8</v>
      </c>
    </row>
    <row r="837" spans="1:6">
      <c r="A837" t="s">
        <v>13</v>
      </c>
      <c r="B837">
        <v>2017</v>
      </c>
      <c r="C837" t="s">
        <v>873</v>
      </c>
      <c r="E837">
        <v>76.7677057957649</v>
      </c>
      <c r="F837">
        <v>104</v>
      </c>
    </row>
    <row r="838" spans="1:6">
      <c r="A838" t="s">
        <v>69</v>
      </c>
      <c r="B838">
        <v>2023</v>
      </c>
      <c r="C838" t="s">
        <v>909</v>
      </c>
      <c r="E838">
        <v>114</v>
      </c>
      <c r="F838">
        <v>19</v>
      </c>
    </row>
    <row r="839" spans="1:6">
      <c r="A839" t="s">
        <v>69</v>
      </c>
      <c r="B839">
        <v>2015</v>
      </c>
      <c r="C839" t="s">
        <v>909</v>
      </c>
      <c r="E839">
        <v>113</v>
      </c>
      <c r="F839">
        <v>34</v>
      </c>
    </row>
    <row r="840" spans="1:6">
      <c r="A840" t="s">
        <v>55</v>
      </c>
      <c r="B840">
        <v>2015</v>
      </c>
      <c r="C840" t="s">
        <v>876</v>
      </c>
      <c r="E840">
        <v>12</v>
      </c>
      <c r="F840">
        <v>12</v>
      </c>
    </row>
    <row r="841" spans="1:6">
      <c r="A841" t="s">
        <v>55</v>
      </c>
      <c r="B841">
        <v>2019</v>
      </c>
      <c r="C841" t="s">
        <v>902</v>
      </c>
      <c r="E841">
        <v>110</v>
      </c>
      <c r="F841">
        <v>110</v>
      </c>
    </row>
    <row r="842" spans="1:6">
      <c r="A842" t="s">
        <v>104</v>
      </c>
      <c r="B842">
        <v>2015</v>
      </c>
      <c r="C842" t="s">
        <v>888</v>
      </c>
      <c r="E842">
        <v>1.97305586242676</v>
      </c>
      <c r="F842">
        <v>5</v>
      </c>
    </row>
    <row r="843" spans="1:6">
      <c r="A843" t="s">
        <v>123</v>
      </c>
      <c r="B843">
        <v>2022</v>
      </c>
      <c r="C843" t="s">
        <v>874</v>
      </c>
      <c r="E843">
        <v>4</v>
      </c>
      <c r="F843">
        <v>1</v>
      </c>
    </row>
    <row r="844" spans="1:6">
      <c r="A844" t="s">
        <v>121</v>
      </c>
      <c r="B844">
        <v>2020</v>
      </c>
      <c r="C844" t="s">
        <v>874</v>
      </c>
      <c r="E844">
        <v>68</v>
      </c>
      <c r="F844">
        <v>16</v>
      </c>
    </row>
    <row r="845" spans="1:6">
      <c r="A845" t="s">
        <v>122</v>
      </c>
      <c r="B845">
        <v>2015</v>
      </c>
      <c r="C845" t="s">
        <v>874</v>
      </c>
      <c r="E845">
        <v>38</v>
      </c>
      <c r="F845">
        <v>14</v>
      </c>
    </row>
    <row r="846" spans="1:6">
      <c r="A846" t="s">
        <v>150</v>
      </c>
      <c r="B846">
        <v>2018</v>
      </c>
      <c r="C846" t="s">
        <v>884</v>
      </c>
      <c r="E846">
        <v>55.0785076293945</v>
      </c>
      <c r="F846">
        <v>127</v>
      </c>
    </row>
    <row r="847" spans="1:6">
      <c r="A847" t="s">
        <v>153</v>
      </c>
      <c r="B847">
        <v>2020</v>
      </c>
      <c r="C847" t="s">
        <v>890</v>
      </c>
      <c r="E847">
        <v>1.44307123565674</v>
      </c>
      <c r="F847">
        <v>6</v>
      </c>
    </row>
    <row r="848" spans="1:6">
      <c r="A848" t="s">
        <v>206</v>
      </c>
      <c r="B848">
        <v>2022</v>
      </c>
      <c r="C848" t="s">
        <v>839</v>
      </c>
      <c r="E848">
        <v>51.2107504367828</v>
      </c>
      <c r="F848">
        <v>51</v>
      </c>
    </row>
    <row r="849" spans="1:6">
      <c r="A849" t="s">
        <v>31</v>
      </c>
      <c r="B849">
        <v>2021</v>
      </c>
      <c r="C849" t="s">
        <v>889</v>
      </c>
      <c r="D849" t="s">
        <v>838</v>
      </c>
      <c r="E849">
        <v>1.41329340744019</v>
      </c>
      <c r="F849">
        <v>4</v>
      </c>
    </row>
    <row r="850" spans="1:6">
      <c r="A850" t="s">
        <v>37</v>
      </c>
      <c r="B850">
        <v>2022</v>
      </c>
      <c r="C850" t="s">
        <v>878</v>
      </c>
      <c r="D850" t="s">
        <v>841</v>
      </c>
      <c r="E850">
        <v>0.07131840896606451</v>
      </c>
      <c r="F850">
        <v>2</v>
      </c>
    </row>
    <row r="851" spans="1:6">
      <c r="A851" t="s">
        <v>601</v>
      </c>
      <c r="B851">
        <v>2019</v>
      </c>
      <c r="C851" t="s">
        <v>892</v>
      </c>
      <c r="E851">
        <v>1.254</v>
      </c>
      <c r="F851">
        <v>1</v>
      </c>
    </row>
    <row r="852" spans="1:6">
      <c r="A852" t="s">
        <v>599</v>
      </c>
      <c r="B852">
        <v>2018</v>
      </c>
      <c r="C852" t="s">
        <v>893</v>
      </c>
      <c r="E852">
        <v>0.0437142524719238</v>
      </c>
      <c r="F852">
        <v>1</v>
      </c>
    </row>
    <row r="853" spans="1:6">
      <c r="A853" t="s">
        <v>628</v>
      </c>
      <c r="B853">
        <v>2016</v>
      </c>
      <c r="C853" t="s">
        <v>891</v>
      </c>
      <c r="E853">
        <v>0.0408140106201172</v>
      </c>
      <c r="F853">
        <v>1</v>
      </c>
    </row>
    <row r="854" spans="1:6">
      <c r="A854" t="s">
        <v>299</v>
      </c>
      <c r="B854">
        <v>2023</v>
      </c>
      <c r="C854" t="s">
        <v>838</v>
      </c>
      <c r="E854">
        <v>0.409735046386719</v>
      </c>
      <c r="F854">
        <v>2</v>
      </c>
    </row>
    <row r="855" spans="1:6">
      <c r="A855" t="s">
        <v>455</v>
      </c>
      <c r="B855">
        <v>2015</v>
      </c>
      <c r="C855" t="s">
        <v>893</v>
      </c>
      <c r="E855">
        <v>7.32497105103731</v>
      </c>
      <c r="F855">
        <v>32</v>
      </c>
    </row>
    <row r="856" spans="1:6">
      <c r="A856" t="s">
        <v>426</v>
      </c>
      <c r="B856">
        <v>2023</v>
      </c>
      <c r="C856" t="s">
        <v>880</v>
      </c>
      <c r="E856">
        <v>0.4</v>
      </c>
      <c r="F856">
        <v>1</v>
      </c>
    </row>
    <row r="857" spans="1:6">
      <c r="A857" t="s">
        <v>380</v>
      </c>
      <c r="B857">
        <v>2023</v>
      </c>
      <c r="C857" t="s">
        <v>883</v>
      </c>
      <c r="E857">
        <v>0.256367819786072</v>
      </c>
      <c r="F857">
        <v>7</v>
      </c>
    </row>
    <row r="858" spans="1:6">
      <c r="A858" t="s">
        <v>6</v>
      </c>
      <c r="B858">
        <v>2018</v>
      </c>
      <c r="C858" t="s">
        <v>839</v>
      </c>
      <c r="E858">
        <v>22.9338479852676</v>
      </c>
      <c r="F858">
        <v>54</v>
      </c>
    </row>
    <row r="859" spans="1:6">
      <c r="A859" t="s">
        <v>79</v>
      </c>
      <c r="B859">
        <v>2022</v>
      </c>
      <c r="C859" t="s">
        <v>874</v>
      </c>
      <c r="E859">
        <v>10.1193758974075</v>
      </c>
      <c r="F859">
        <v>17</v>
      </c>
    </row>
    <row r="860" spans="1:6">
      <c r="A860" t="s">
        <v>91</v>
      </c>
      <c r="B860">
        <v>2017</v>
      </c>
      <c r="C860" t="s">
        <v>878</v>
      </c>
      <c r="E860">
        <v>5.63376903915405</v>
      </c>
      <c r="F860">
        <v>22</v>
      </c>
    </row>
    <row r="861" spans="1:6">
      <c r="A861" t="s">
        <v>139</v>
      </c>
      <c r="B861">
        <v>2015</v>
      </c>
      <c r="C861" t="s">
        <v>879</v>
      </c>
      <c r="E861">
        <v>7</v>
      </c>
      <c r="F861">
        <v>3</v>
      </c>
    </row>
    <row r="862" spans="1:6">
      <c r="A862" t="s">
        <v>116</v>
      </c>
      <c r="B862">
        <v>2019</v>
      </c>
      <c r="C862" t="s">
        <v>873</v>
      </c>
      <c r="E862">
        <v>51</v>
      </c>
      <c r="F862">
        <v>24</v>
      </c>
    </row>
    <row r="863" spans="1:6">
      <c r="A863" t="s">
        <v>163</v>
      </c>
      <c r="B863">
        <v>2022</v>
      </c>
      <c r="C863" t="s">
        <v>887</v>
      </c>
      <c r="D863" t="s">
        <v>879</v>
      </c>
      <c r="E863">
        <v>4.07290364289284</v>
      </c>
      <c r="F863">
        <v>35</v>
      </c>
    </row>
    <row r="864" spans="1:6">
      <c r="A864" t="s">
        <v>23</v>
      </c>
      <c r="B864">
        <v>2019</v>
      </c>
      <c r="C864" t="s">
        <v>873</v>
      </c>
      <c r="D864" t="s">
        <v>898</v>
      </c>
      <c r="E864">
        <v>0.075</v>
      </c>
      <c r="F864">
        <v>1</v>
      </c>
    </row>
    <row r="865" spans="1:6">
      <c r="A865" t="s">
        <v>593</v>
      </c>
      <c r="B865">
        <v>2022</v>
      </c>
      <c r="C865" t="s">
        <v>892</v>
      </c>
      <c r="E865">
        <v>0.477637054443359</v>
      </c>
      <c r="F865">
        <v>1</v>
      </c>
    </row>
    <row r="866" spans="1:6">
      <c r="A866" t="s">
        <v>615</v>
      </c>
      <c r="B866">
        <v>2018</v>
      </c>
      <c r="C866" t="s">
        <v>893</v>
      </c>
      <c r="E866">
        <v>0.0201085548400879</v>
      </c>
      <c r="F866">
        <v>1</v>
      </c>
    </row>
    <row r="867" spans="1:6">
      <c r="A867" t="s">
        <v>297</v>
      </c>
      <c r="B867">
        <v>2017</v>
      </c>
      <c r="C867" t="s">
        <v>839</v>
      </c>
      <c r="E867">
        <v>1.20984784126282</v>
      </c>
      <c r="F867">
        <v>3</v>
      </c>
    </row>
    <row r="868" spans="1:6">
      <c r="A868" t="s">
        <v>428</v>
      </c>
      <c r="B868">
        <v>2019</v>
      </c>
      <c r="C868" t="s">
        <v>880</v>
      </c>
      <c r="E868">
        <v>0.419402236938477</v>
      </c>
      <c r="F868">
        <v>4</v>
      </c>
    </row>
    <row r="869" spans="1:6">
      <c r="A869" t="s">
        <v>446</v>
      </c>
      <c r="B869">
        <v>2020</v>
      </c>
      <c r="C869" t="s">
        <v>879</v>
      </c>
      <c r="E869">
        <v>0.224464225769043</v>
      </c>
      <c r="F869">
        <v>3</v>
      </c>
    </row>
    <row r="870" spans="1:6">
      <c r="A870" t="s">
        <v>60</v>
      </c>
      <c r="B870">
        <v>2015</v>
      </c>
      <c r="C870" t="s">
        <v>838</v>
      </c>
      <c r="E870">
        <v>159</v>
      </c>
      <c r="F870">
        <v>33</v>
      </c>
    </row>
    <row r="871" spans="1:6">
      <c r="A871" t="s">
        <v>91</v>
      </c>
      <c r="B871">
        <v>2022</v>
      </c>
      <c r="C871" t="s">
        <v>878</v>
      </c>
      <c r="E871">
        <v>6.58597299194336</v>
      </c>
      <c r="F871">
        <v>13</v>
      </c>
    </row>
    <row r="872" spans="1:6">
      <c r="A872" t="s">
        <v>78</v>
      </c>
      <c r="B872">
        <v>2018</v>
      </c>
      <c r="C872" t="s">
        <v>874</v>
      </c>
      <c r="E872">
        <v>4.78660983204842</v>
      </c>
      <c r="F872">
        <v>18</v>
      </c>
    </row>
    <row r="873" spans="1:6">
      <c r="A873" t="s">
        <v>81</v>
      </c>
      <c r="B873">
        <v>2020</v>
      </c>
      <c r="C873" t="s">
        <v>874</v>
      </c>
      <c r="E873">
        <v>0.49740185546875</v>
      </c>
      <c r="F873">
        <v>1</v>
      </c>
    </row>
    <row r="874" spans="1:6">
      <c r="A874" t="s">
        <v>124</v>
      </c>
      <c r="B874">
        <v>2016</v>
      </c>
      <c r="C874" t="s">
        <v>874</v>
      </c>
      <c r="E874">
        <v>1</v>
      </c>
      <c r="F874">
        <v>1</v>
      </c>
    </row>
    <row r="875" spans="1:6">
      <c r="A875" t="s">
        <v>152</v>
      </c>
      <c r="B875">
        <v>2023</v>
      </c>
      <c r="C875" t="s">
        <v>880</v>
      </c>
      <c r="E875">
        <v>7.62639808082581</v>
      </c>
      <c r="F875">
        <v>22</v>
      </c>
    </row>
    <row r="876" spans="1:6">
      <c r="A876" t="s">
        <v>161</v>
      </c>
      <c r="B876">
        <v>2023</v>
      </c>
      <c r="C876" t="s">
        <v>887</v>
      </c>
      <c r="D876" t="s">
        <v>890</v>
      </c>
      <c r="E876">
        <v>0.462242473602295</v>
      </c>
      <c r="F876">
        <v>5</v>
      </c>
    </row>
    <row r="877" spans="1:6">
      <c r="A877" t="s">
        <v>162</v>
      </c>
      <c r="B877">
        <v>2020</v>
      </c>
      <c r="C877" t="s">
        <v>887</v>
      </c>
      <c r="D877" t="s">
        <v>891</v>
      </c>
      <c r="E877">
        <v>1.58912837553024</v>
      </c>
      <c r="F877">
        <v>25</v>
      </c>
    </row>
    <row r="878" spans="1:6">
      <c r="A878" t="s">
        <v>170</v>
      </c>
      <c r="B878">
        <v>2022</v>
      </c>
      <c r="C878" t="s">
        <v>874</v>
      </c>
      <c r="D878" t="s">
        <v>891</v>
      </c>
      <c r="E878">
        <v>0.0994528675079346</v>
      </c>
      <c r="F878">
        <v>2</v>
      </c>
    </row>
    <row r="879" spans="1:6">
      <c r="A879" t="s">
        <v>206</v>
      </c>
      <c r="B879">
        <v>2015</v>
      </c>
      <c r="C879" t="s">
        <v>839</v>
      </c>
      <c r="E879">
        <v>26.901542662859</v>
      </c>
      <c r="F879">
        <v>66</v>
      </c>
    </row>
    <row r="880" spans="1:6">
      <c r="A880" t="s">
        <v>56</v>
      </c>
      <c r="B880">
        <v>2016</v>
      </c>
      <c r="C880" t="s">
        <v>903</v>
      </c>
      <c r="E880">
        <v>90</v>
      </c>
      <c r="F880">
        <v>90</v>
      </c>
    </row>
    <row r="881" spans="1:6">
      <c r="A881" t="s">
        <v>92</v>
      </c>
      <c r="B881">
        <v>2023</v>
      </c>
      <c r="C881" t="s">
        <v>878</v>
      </c>
      <c r="E881">
        <v>0.44452278137207</v>
      </c>
      <c r="F881">
        <v>3</v>
      </c>
    </row>
    <row r="882" spans="1:6">
      <c r="A882" t="s">
        <v>140</v>
      </c>
      <c r="B882">
        <v>2016</v>
      </c>
      <c r="C882" t="s">
        <v>879</v>
      </c>
      <c r="E882">
        <v>4</v>
      </c>
      <c r="F882">
        <v>2</v>
      </c>
    </row>
    <row r="883" spans="1:6">
      <c r="A883" t="s">
        <v>114</v>
      </c>
      <c r="B883">
        <v>2022</v>
      </c>
      <c r="C883" t="s">
        <v>873</v>
      </c>
      <c r="E883">
        <v>87</v>
      </c>
      <c r="F883">
        <v>26</v>
      </c>
    </row>
    <row r="884" spans="1:6">
      <c r="A884" t="s">
        <v>159</v>
      </c>
      <c r="B884">
        <v>2020</v>
      </c>
      <c r="C884" t="s">
        <v>887</v>
      </c>
      <c r="D884" t="s">
        <v>892</v>
      </c>
      <c r="E884">
        <v>9.318294602394101</v>
      </c>
      <c r="F884">
        <v>35</v>
      </c>
    </row>
    <row r="885" spans="1:6">
      <c r="A885" t="s">
        <v>189</v>
      </c>
      <c r="B885">
        <v>2018</v>
      </c>
      <c r="C885" t="s">
        <v>878</v>
      </c>
      <c r="D885" t="s">
        <v>893</v>
      </c>
      <c r="E885">
        <v>5.10582812595367</v>
      </c>
      <c r="F885">
        <v>20</v>
      </c>
    </row>
    <row r="886" spans="1:6">
      <c r="A886" t="s">
        <v>210</v>
      </c>
      <c r="B886">
        <v>2019</v>
      </c>
      <c r="C886" t="s">
        <v>898</v>
      </c>
      <c r="E886">
        <v>0.141079627990723</v>
      </c>
      <c r="F886">
        <v>2</v>
      </c>
    </row>
    <row r="887" spans="1:6">
      <c r="A887" t="s">
        <v>21</v>
      </c>
      <c r="B887">
        <v>2022</v>
      </c>
      <c r="C887" t="s">
        <v>873</v>
      </c>
      <c r="D887" t="s">
        <v>838</v>
      </c>
      <c r="E887">
        <v>34.1577832511067</v>
      </c>
      <c r="F887">
        <v>45</v>
      </c>
    </row>
    <row r="888" spans="1:6">
      <c r="A888" t="s">
        <v>632</v>
      </c>
      <c r="B888">
        <v>2018</v>
      </c>
      <c r="C888" t="s">
        <v>884</v>
      </c>
      <c r="E888">
        <v>0.0901999969482422</v>
      </c>
      <c r="F888">
        <v>1</v>
      </c>
    </row>
    <row r="889" spans="1:6">
      <c r="A889" t="s">
        <v>297</v>
      </c>
      <c r="B889">
        <v>2016</v>
      </c>
      <c r="C889" t="s">
        <v>839</v>
      </c>
      <c r="E889">
        <v>0.362713493347168</v>
      </c>
      <c r="F889">
        <v>2</v>
      </c>
    </row>
    <row r="890" spans="1:6">
      <c r="A890" t="s">
        <v>456</v>
      </c>
      <c r="B890">
        <v>2018</v>
      </c>
      <c r="C890" t="s">
        <v>893</v>
      </c>
      <c r="E890">
        <v>1.82819508361816</v>
      </c>
      <c r="F890">
        <v>8</v>
      </c>
    </row>
    <row r="891" spans="1:6">
      <c r="A891" t="s">
        <v>419</v>
      </c>
      <c r="B891">
        <v>2023</v>
      </c>
      <c r="C891" t="s">
        <v>892</v>
      </c>
      <c r="E891">
        <v>0.510110380172729</v>
      </c>
      <c r="F891">
        <v>10</v>
      </c>
    </row>
    <row r="892" spans="1:6">
      <c r="A892" t="s">
        <v>439</v>
      </c>
      <c r="B892">
        <v>2017</v>
      </c>
      <c r="C892" t="s">
        <v>891</v>
      </c>
      <c r="E892">
        <v>0.004</v>
      </c>
      <c r="F892">
        <v>1</v>
      </c>
    </row>
    <row r="893" spans="1:6">
      <c r="A893" t="s">
        <v>425</v>
      </c>
      <c r="B893">
        <v>2019</v>
      </c>
      <c r="C893" t="s">
        <v>880</v>
      </c>
      <c r="E893">
        <v>0.465322598218918</v>
      </c>
      <c r="F893">
        <v>6</v>
      </c>
    </row>
    <row r="894" spans="1:6">
      <c r="A894" t="s">
        <v>432</v>
      </c>
      <c r="B894">
        <v>2019</v>
      </c>
      <c r="C894" t="s">
        <v>890</v>
      </c>
      <c r="E894">
        <v>0.0175708236694336</v>
      </c>
      <c r="F894">
        <v>1</v>
      </c>
    </row>
    <row r="895" spans="1:6">
      <c r="A895" t="s">
        <v>413</v>
      </c>
      <c r="B895">
        <v>2021</v>
      </c>
      <c r="C895" t="s">
        <v>884</v>
      </c>
      <c r="E895">
        <v>12.1749575781822</v>
      </c>
      <c r="F895">
        <v>45</v>
      </c>
    </row>
    <row r="896" spans="1:6">
      <c r="A896" t="s">
        <v>13</v>
      </c>
      <c r="B896">
        <v>2023</v>
      </c>
      <c r="C896" t="s">
        <v>905</v>
      </c>
      <c r="E896">
        <v>26.8074838497639</v>
      </c>
      <c r="F896">
        <v>51</v>
      </c>
    </row>
    <row r="897" spans="1:6">
      <c r="A897" t="s">
        <v>67</v>
      </c>
      <c r="B897">
        <v>2015</v>
      </c>
      <c r="C897" t="s">
        <v>904</v>
      </c>
      <c r="E897">
        <v>206</v>
      </c>
      <c r="F897">
        <v>50</v>
      </c>
    </row>
    <row r="898" spans="1:6">
      <c r="A898" t="s">
        <v>71</v>
      </c>
      <c r="B898">
        <v>2017</v>
      </c>
      <c r="C898" t="s">
        <v>888</v>
      </c>
      <c r="E898">
        <v>66</v>
      </c>
      <c r="F898">
        <v>24</v>
      </c>
    </row>
    <row r="899" spans="1:6">
      <c r="A899" t="s">
        <v>55</v>
      </c>
      <c r="B899">
        <v>2017</v>
      </c>
      <c r="C899" t="s">
        <v>875</v>
      </c>
      <c r="E899">
        <v>31</v>
      </c>
      <c r="F899">
        <v>31</v>
      </c>
    </row>
    <row r="900" spans="1:6">
      <c r="A900" t="s">
        <v>86</v>
      </c>
      <c r="B900">
        <v>2016</v>
      </c>
      <c r="C900" t="s">
        <v>895</v>
      </c>
      <c r="E900">
        <v>0.057</v>
      </c>
      <c r="F900">
        <v>2</v>
      </c>
    </row>
    <row r="901" spans="1:6">
      <c r="A901" t="s">
        <v>104</v>
      </c>
      <c r="B901">
        <v>2023</v>
      </c>
      <c r="C901" t="s">
        <v>888</v>
      </c>
      <c r="E901">
        <v>4.85564868164063</v>
      </c>
      <c r="F901">
        <v>4</v>
      </c>
    </row>
    <row r="902" spans="1:6">
      <c r="A902" t="s">
        <v>145</v>
      </c>
      <c r="B902">
        <v>2023</v>
      </c>
      <c r="C902" t="s">
        <v>888</v>
      </c>
      <c r="E902">
        <v>12</v>
      </c>
      <c r="F902">
        <v>7</v>
      </c>
    </row>
    <row r="903" spans="1:6">
      <c r="A903" t="s">
        <v>178</v>
      </c>
      <c r="B903">
        <v>2022</v>
      </c>
      <c r="C903" t="s">
        <v>895</v>
      </c>
      <c r="D903" t="s">
        <v>891</v>
      </c>
      <c r="E903">
        <v>0.00934710502624512</v>
      </c>
      <c r="F903">
        <v>1</v>
      </c>
    </row>
    <row r="904" spans="1:6">
      <c r="A904" t="s">
        <v>169</v>
      </c>
      <c r="B904">
        <v>2020</v>
      </c>
      <c r="C904" t="s">
        <v>874</v>
      </c>
      <c r="D904" t="s">
        <v>890</v>
      </c>
      <c r="E904">
        <v>0.122311925888062</v>
      </c>
      <c r="F904">
        <v>2</v>
      </c>
    </row>
    <row r="905" spans="1:6">
      <c r="A905" t="s">
        <v>44</v>
      </c>
      <c r="B905">
        <v>2021</v>
      </c>
      <c r="C905" t="s">
        <v>888</v>
      </c>
      <c r="D905" t="s">
        <v>839</v>
      </c>
      <c r="E905">
        <v>3.29385554504395</v>
      </c>
      <c r="F905">
        <v>13</v>
      </c>
    </row>
    <row r="906" spans="1:6">
      <c r="A906" t="s">
        <v>595</v>
      </c>
      <c r="B906">
        <v>2015</v>
      </c>
      <c r="C906" t="s">
        <v>890</v>
      </c>
      <c r="E906">
        <v>0.189466690063477</v>
      </c>
      <c r="F906">
        <v>1</v>
      </c>
    </row>
    <row r="907" spans="1:6">
      <c r="A907" t="s">
        <v>594</v>
      </c>
      <c r="B907">
        <v>2018</v>
      </c>
      <c r="C907" t="s">
        <v>880</v>
      </c>
      <c r="E907">
        <v>0.12239990234375</v>
      </c>
      <c r="F907">
        <v>1</v>
      </c>
    </row>
    <row r="908" spans="1:6">
      <c r="A908" t="s">
        <v>226</v>
      </c>
      <c r="B908">
        <v>2016</v>
      </c>
      <c r="C908" t="s">
        <v>839</v>
      </c>
      <c r="E908">
        <v>1.58479438018799</v>
      </c>
      <c r="F908">
        <v>5</v>
      </c>
    </row>
    <row r="909" spans="1:6">
      <c r="A909" t="s">
        <v>323</v>
      </c>
      <c r="B909">
        <v>2018</v>
      </c>
      <c r="C909" t="s">
        <v>840</v>
      </c>
      <c r="E909">
        <v>0.300200012207031</v>
      </c>
      <c r="F909">
        <v>1</v>
      </c>
    </row>
    <row r="910" spans="1:6">
      <c r="A910" t="s">
        <v>439</v>
      </c>
      <c r="B910">
        <v>2016</v>
      </c>
      <c r="C910" t="s">
        <v>891</v>
      </c>
      <c r="E910">
        <v>0.0575999984741211</v>
      </c>
      <c r="F910">
        <v>1</v>
      </c>
    </row>
    <row r="911" spans="1:6">
      <c r="A911" t="s">
        <v>376</v>
      </c>
      <c r="B911">
        <v>2016</v>
      </c>
      <c r="C911" t="s">
        <v>880</v>
      </c>
      <c r="E911">
        <v>1.75586795949936</v>
      </c>
      <c r="F911">
        <v>11</v>
      </c>
    </row>
    <row r="912" spans="1:6">
      <c r="A912" t="s">
        <v>418</v>
      </c>
      <c r="B912">
        <v>2020</v>
      </c>
      <c r="C912" t="s">
        <v>884</v>
      </c>
      <c r="E912">
        <v>4.50348212814331</v>
      </c>
      <c r="F912">
        <v>9</v>
      </c>
    </row>
    <row r="913" spans="1:6">
      <c r="A913" t="s">
        <v>446</v>
      </c>
      <c r="B913">
        <v>2017</v>
      </c>
      <c r="C913" t="s">
        <v>879</v>
      </c>
      <c r="E913">
        <v>0.379258563995361</v>
      </c>
      <c r="F913">
        <v>2</v>
      </c>
    </row>
    <row r="914" spans="1:6">
      <c r="A914" t="s">
        <v>410</v>
      </c>
      <c r="B914">
        <v>2021</v>
      </c>
      <c r="C914" t="s">
        <v>838</v>
      </c>
      <c r="E914">
        <v>4.22291181945801</v>
      </c>
      <c r="F914">
        <v>22</v>
      </c>
    </row>
    <row r="915" spans="1:6">
      <c r="A915" t="s">
        <v>56</v>
      </c>
      <c r="B915">
        <v>2019</v>
      </c>
      <c r="C915" t="s">
        <v>897</v>
      </c>
      <c r="E915">
        <v>3</v>
      </c>
      <c r="F915">
        <v>3</v>
      </c>
    </row>
    <row r="916" spans="1:6">
      <c r="A916" t="s">
        <v>102</v>
      </c>
      <c r="B916">
        <v>2022</v>
      </c>
      <c r="C916" t="s">
        <v>888</v>
      </c>
      <c r="E916">
        <v>1.9647705078125</v>
      </c>
      <c r="F916">
        <v>2</v>
      </c>
    </row>
    <row r="917" spans="1:6">
      <c r="A917" t="s">
        <v>144</v>
      </c>
      <c r="B917">
        <v>2018</v>
      </c>
      <c r="C917" t="s">
        <v>888</v>
      </c>
      <c r="E917">
        <v>22</v>
      </c>
      <c r="F917">
        <v>5</v>
      </c>
    </row>
    <row r="918" spans="1:6">
      <c r="A918" t="s">
        <v>198</v>
      </c>
      <c r="B918">
        <v>2018</v>
      </c>
      <c r="C918" t="s">
        <v>881</v>
      </c>
      <c r="D918" t="s">
        <v>884</v>
      </c>
      <c r="E918">
        <v>2.81756981658936</v>
      </c>
      <c r="F918">
        <v>12</v>
      </c>
    </row>
    <row r="919" spans="1:6">
      <c r="A919" t="s">
        <v>172</v>
      </c>
      <c r="B919">
        <v>2018</v>
      </c>
      <c r="C919" t="s">
        <v>874</v>
      </c>
      <c r="D919" t="s">
        <v>883</v>
      </c>
      <c r="E919">
        <v>0.265500383257866</v>
      </c>
      <c r="F919">
        <v>7</v>
      </c>
    </row>
    <row r="920" spans="1:6">
      <c r="A920" t="s">
        <v>209</v>
      </c>
      <c r="B920">
        <v>2015</v>
      </c>
      <c r="C920" t="s">
        <v>841</v>
      </c>
      <c r="E920">
        <v>0.114748975038528</v>
      </c>
      <c r="F920">
        <v>6</v>
      </c>
    </row>
    <row r="921" spans="1:6">
      <c r="A921" t="s">
        <v>19</v>
      </c>
      <c r="B921">
        <v>2024</v>
      </c>
      <c r="C921" t="s">
        <v>873</v>
      </c>
      <c r="D921" t="s">
        <v>839</v>
      </c>
      <c r="E921">
        <v>0.228883935928345</v>
      </c>
      <c r="F921">
        <v>2</v>
      </c>
    </row>
    <row r="922" spans="1:6">
      <c r="A922" t="s">
        <v>607</v>
      </c>
      <c r="B922">
        <v>2015</v>
      </c>
      <c r="C922" t="s">
        <v>893</v>
      </c>
      <c r="E922">
        <v>0.146447677612305</v>
      </c>
      <c r="F922">
        <v>1</v>
      </c>
    </row>
    <row r="923" spans="1:6">
      <c r="A923" t="s">
        <v>425</v>
      </c>
      <c r="B923">
        <v>2024</v>
      </c>
      <c r="C923" t="s">
        <v>880</v>
      </c>
      <c r="E923">
        <v>0.1</v>
      </c>
      <c r="F923">
        <v>1</v>
      </c>
    </row>
    <row r="924" spans="1:6">
      <c r="A924" t="s">
        <v>457</v>
      </c>
      <c r="B924">
        <v>2017</v>
      </c>
      <c r="C924" t="s">
        <v>893</v>
      </c>
      <c r="E924">
        <v>0.207339996337891</v>
      </c>
      <c r="F924">
        <v>3</v>
      </c>
    </row>
    <row r="925" spans="1:6">
      <c r="A925" t="s">
        <v>7</v>
      </c>
      <c r="B925">
        <v>2023</v>
      </c>
      <c r="C925" t="s">
        <v>840</v>
      </c>
      <c r="E925">
        <v>28.7501673069</v>
      </c>
      <c r="F925">
        <v>35</v>
      </c>
    </row>
    <row r="926" spans="1:6">
      <c r="A926" t="s">
        <v>72</v>
      </c>
      <c r="B926">
        <v>2018</v>
      </c>
      <c r="C926" t="s">
        <v>873</v>
      </c>
      <c r="E926">
        <v>11.5657265901566</v>
      </c>
      <c r="F926">
        <v>35</v>
      </c>
    </row>
    <row r="927" spans="1:6">
      <c r="A927" t="s">
        <v>90</v>
      </c>
      <c r="B927">
        <v>2016</v>
      </c>
      <c r="C927" t="s">
        <v>878</v>
      </c>
      <c r="E927">
        <v>6.25597188949585</v>
      </c>
      <c r="F927">
        <v>18</v>
      </c>
    </row>
    <row r="928" spans="1:6">
      <c r="A928" t="s">
        <v>134</v>
      </c>
      <c r="B928">
        <v>2023</v>
      </c>
      <c r="C928" t="s">
        <v>878</v>
      </c>
      <c r="E928">
        <v>14</v>
      </c>
      <c r="F928">
        <v>3</v>
      </c>
    </row>
    <row r="929" spans="1:6">
      <c r="A929" t="s">
        <v>118</v>
      </c>
      <c r="B929">
        <v>2022</v>
      </c>
      <c r="C929" t="s">
        <v>873</v>
      </c>
      <c r="E929">
        <v>1</v>
      </c>
      <c r="F929">
        <v>1</v>
      </c>
    </row>
    <row r="930" spans="1:6">
      <c r="A930" t="s">
        <v>147</v>
      </c>
      <c r="B930">
        <v>2017</v>
      </c>
      <c r="C930" t="s">
        <v>888</v>
      </c>
      <c r="E930">
        <v>11</v>
      </c>
      <c r="F930">
        <v>3</v>
      </c>
    </row>
    <row r="931" spans="1:6">
      <c r="A931" t="s">
        <v>154</v>
      </c>
      <c r="B931">
        <v>2017</v>
      </c>
      <c r="C931" t="s">
        <v>891</v>
      </c>
      <c r="E931">
        <v>2.11947287356108</v>
      </c>
      <c r="F931">
        <v>45</v>
      </c>
    </row>
    <row r="932" spans="1:6">
      <c r="A932" t="s">
        <v>170</v>
      </c>
      <c r="B932">
        <v>2021</v>
      </c>
      <c r="C932" t="s">
        <v>874</v>
      </c>
      <c r="D932" t="s">
        <v>891</v>
      </c>
      <c r="E932">
        <v>0.175473480224609</v>
      </c>
      <c r="F932">
        <v>3</v>
      </c>
    </row>
    <row r="933" spans="1:6">
      <c r="A933" t="s">
        <v>46</v>
      </c>
      <c r="B933">
        <v>2023</v>
      </c>
      <c r="C933" t="s">
        <v>888</v>
      </c>
      <c r="D933" t="s">
        <v>838</v>
      </c>
      <c r="E933">
        <v>3.45664172363281</v>
      </c>
      <c r="F933">
        <v>4</v>
      </c>
    </row>
    <row r="934" spans="1:6">
      <c r="A934" t="s">
        <v>26</v>
      </c>
      <c r="B934">
        <v>2023</v>
      </c>
      <c r="C934" t="s">
        <v>882</v>
      </c>
      <c r="D934" t="s">
        <v>838</v>
      </c>
      <c r="E934">
        <v>2.31429534339905</v>
      </c>
      <c r="F934">
        <v>9</v>
      </c>
    </row>
    <row r="935" spans="1:6">
      <c r="A935" t="s">
        <v>596</v>
      </c>
      <c r="B935">
        <v>2019</v>
      </c>
      <c r="C935" t="s">
        <v>891</v>
      </c>
      <c r="E935">
        <v>0.08599999999999999</v>
      </c>
      <c r="F935">
        <v>1</v>
      </c>
    </row>
    <row r="936" spans="1:6">
      <c r="A936" t="s">
        <v>211</v>
      </c>
      <c r="B936">
        <v>2015</v>
      </c>
      <c r="C936" t="s">
        <v>884</v>
      </c>
      <c r="E936">
        <v>4.12075297689438</v>
      </c>
      <c r="F936">
        <v>11</v>
      </c>
    </row>
    <row r="937" spans="1:6">
      <c r="A937" t="s">
        <v>309</v>
      </c>
      <c r="B937">
        <v>2020</v>
      </c>
      <c r="C937" t="s">
        <v>838</v>
      </c>
      <c r="E937">
        <v>0.0815412826538086</v>
      </c>
      <c r="F937">
        <v>1</v>
      </c>
    </row>
    <row r="938" spans="1:6">
      <c r="A938" t="s">
        <v>383</v>
      </c>
      <c r="B938">
        <v>2018</v>
      </c>
      <c r="C938" t="s">
        <v>885</v>
      </c>
      <c r="E938">
        <v>14.2983983801603</v>
      </c>
      <c r="F938">
        <v>25</v>
      </c>
    </row>
    <row r="939" spans="1:6">
      <c r="A939" t="s">
        <v>418</v>
      </c>
      <c r="B939">
        <v>2019</v>
      </c>
      <c r="C939" t="s">
        <v>884</v>
      </c>
      <c r="E939">
        <v>2.11484417724609</v>
      </c>
      <c r="F939">
        <v>4</v>
      </c>
    </row>
    <row r="940" spans="1:6">
      <c r="A940" t="s">
        <v>55</v>
      </c>
      <c r="B940">
        <v>2023</v>
      </c>
      <c r="C940" t="s">
        <v>876</v>
      </c>
      <c r="E940">
        <v>2</v>
      </c>
      <c r="F940">
        <v>2</v>
      </c>
    </row>
    <row r="941" spans="1:6">
      <c r="A941" t="s">
        <v>56</v>
      </c>
      <c r="B941">
        <v>2021</v>
      </c>
      <c r="C941" t="s">
        <v>911</v>
      </c>
      <c r="E941">
        <v>18</v>
      </c>
      <c r="F941">
        <v>18</v>
      </c>
    </row>
    <row r="942" spans="1:6">
      <c r="A942" t="s">
        <v>7</v>
      </c>
      <c r="B942">
        <v>2017</v>
      </c>
      <c r="C942" t="s">
        <v>840</v>
      </c>
      <c r="E942">
        <v>63.6018722648621</v>
      </c>
      <c r="F942">
        <v>84</v>
      </c>
    </row>
    <row r="943" spans="1:6">
      <c r="A943" t="s">
        <v>91</v>
      </c>
      <c r="B943">
        <v>2018</v>
      </c>
      <c r="C943" t="s">
        <v>878</v>
      </c>
      <c r="E943">
        <v>7.40204962730408</v>
      </c>
      <c r="F943">
        <v>26</v>
      </c>
    </row>
    <row r="944" spans="1:6">
      <c r="A944" t="s">
        <v>86</v>
      </c>
      <c r="B944">
        <v>2019</v>
      </c>
      <c r="C944" t="s">
        <v>895</v>
      </c>
      <c r="E944">
        <v>0.198</v>
      </c>
      <c r="F944">
        <v>1</v>
      </c>
    </row>
    <row r="945" spans="1:6">
      <c r="A945" t="s">
        <v>157</v>
      </c>
      <c r="B945">
        <v>2023</v>
      </c>
      <c r="C945" t="s">
        <v>893</v>
      </c>
      <c r="E945">
        <v>18.9893026564866</v>
      </c>
      <c r="F945">
        <v>40</v>
      </c>
    </row>
    <row r="946" spans="1:6">
      <c r="A946" t="s">
        <v>194</v>
      </c>
      <c r="B946">
        <v>2021</v>
      </c>
      <c r="C946" t="s">
        <v>879</v>
      </c>
      <c r="D946" t="s">
        <v>891</v>
      </c>
      <c r="E946">
        <v>0.0149885520935059</v>
      </c>
      <c r="F946">
        <v>1</v>
      </c>
    </row>
    <row r="947" spans="1:6">
      <c r="A947" t="s">
        <v>206</v>
      </c>
      <c r="B947">
        <v>2020</v>
      </c>
      <c r="C947" t="s">
        <v>839</v>
      </c>
      <c r="E947">
        <v>29.1394428825378</v>
      </c>
      <c r="F947">
        <v>45</v>
      </c>
    </row>
    <row r="948" spans="1:6">
      <c r="A948" t="s">
        <v>30</v>
      </c>
      <c r="B948">
        <v>2023</v>
      </c>
      <c r="C948" t="s">
        <v>889</v>
      </c>
      <c r="D948" t="s">
        <v>840</v>
      </c>
      <c r="E948">
        <v>1.06938125610352</v>
      </c>
      <c r="F948">
        <v>2</v>
      </c>
    </row>
    <row r="949" spans="1:6">
      <c r="A949" t="s">
        <v>20</v>
      </c>
      <c r="B949">
        <v>2020</v>
      </c>
      <c r="C949" t="s">
        <v>873</v>
      </c>
      <c r="D949" t="s">
        <v>840</v>
      </c>
      <c r="E949">
        <v>19.995737123251</v>
      </c>
      <c r="F949">
        <v>54</v>
      </c>
    </row>
    <row r="950" spans="1:6">
      <c r="A950" t="s">
        <v>212</v>
      </c>
      <c r="B950">
        <v>2019</v>
      </c>
      <c r="C950" t="s">
        <v>892</v>
      </c>
      <c r="E950">
        <v>3.56423955154419</v>
      </c>
      <c r="F950">
        <v>6</v>
      </c>
    </row>
    <row r="951" spans="1:6">
      <c r="A951" t="s">
        <v>213</v>
      </c>
      <c r="B951">
        <v>2021</v>
      </c>
      <c r="C951" t="s">
        <v>880</v>
      </c>
      <c r="E951">
        <v>2.79933266067505</v>
      </c>
      <c r="F951">
        <v>2</v>
      </c>
    </row>
    <row r="952" spans="1:6">
      <c r="A952" t="s">
        <v>226</v>
      </c>
      <c r="B952">
        <v>2022</v>
      </c>
      <c r="C952" t="s">
        <v>839</v>
      </c>
      <c r="E952">
        <v>5.38833170318603</v>
      </c>
      <c r="F952">
        <v>5</v>
      </c>
    </row>
    <row r="953" spans="1:6">
      <c r="A953" t="s">
        <v>443</v>
      </c>
      <c r="B953">
        <v>2017</v>
      </c>
      <c r="C953" t="s">
        <v>879</v>
      </c>
      <c r="E953">
        <v>1.71817179107666</v>
      </c>
      <c r="F953">
        <v>22</v>
      </c>
    </row>
    <row r="954" spans="1:6">
      <c r="A954" t="s">
        <v>451</v>
      </c>
      <c r="B954">
        <v>2020</v>
      </c>
      <c r="C954" t="s">
        <v>883</v>
      </c>
      <c r="E954">
        <v>0.05</v>
      </c>
      <c r="F954">
        <v>1</v>
      </c>
    </row>
    <row r="955" spans="1:6">
      <c r="A955" t="s">
        <v>440</v>
      </c>
      <c r="B955">
        <v>2020</v>
      </c>
      <c r="C955" t="s">
        <v>891</v>
      </c>
      <c r="E955">
        <v>0.0133000001907349</v>
      </c>
      <c r="F955">
        <v>1</v>
      </c>
    </row>
    <row r="956" spans="1:6">
      <c r="A956" t="s">
        <v>437</v>
      </c>
      <c r="B956">
        <v>2021</v>
      </c>
      <c r="C956" t="s">
        <v>891</v>
      </c>
      <c r="E956">
        <v>1.02664461135864</v>
      </c>
      <c r="F956">
        <v>17</v>
      </c>
    </row>
    <row r="957" spans="1:6">
      <c r="A957" t="s">
        <v>9</v>
      </c>
      <c r="B957">
        <v>2017</v>
      </c>
      <c r="C957" t="s">
        <v>886</v>
      </c>
      <c r="E957">
        <v>14.2894554462433</v>
      </c>
      <c r="F957">
        <v>17</v>
      </c>
    </row>
    <row r="958" spans="1:6">
      <c r="A958" t="s">
        <v>73</v>
      </c>
      <c r="B958">
        <v>2015</v>
      </c>
      <c r="C958" t="s">
        <v>873</v>
      </c>
      <c r="E958">
        <v>25.4567430667877</v>
      </c>
      <c r="F958">
        <v>53</v>
      </c>
    </row>
    <row r="959" spans="1:6">
      <c r="A959" t="s">
        <v>74</v>
      </c>
      <c r="B959">
        <v>2023</v>
      </c>
      <c r="C959" t="s">
        <v>873</v>
      </c>
      <c r="E959">
        <v>10.081999130249</v>
      </c>
      <c r="F959">
        <v>18</v>
      </c>
    </row>
    <row r="960" spans="1:6">
      <c r="A960" t="s">
        <v>122</v>
      </c>
      <c r="B960">
        <v>2019</v>
      </c>
      <c r="C960" t="s">
        <v>874</v>
      </c>
      <c r="E960">
        <v>58</v>
      </c>
      <c r="F960">
        <v>15</v>
      </c>
    </row>
    <row r="961" spans="1:6">
      <c r="A961" t="s">
        <v>144</v>
      </c>
      <c r="B961">
        <v>2021</v>
      </c>
      <c r="C961" t="s">
        <v>888</v>
      </c>
      <c r="E961">
        <v>6</v>
      </c>
      <c r="F961">
        <v>4</v>
      </c>
    </row>
    <row r="962" spans="1:6">
      <c r="A962" t="s">
        <v>120</v>
      </c>
      <c r="B962">
        <v>2021</v>
      </c>
      <c r="C962" t="s">
        <v>874</v>
      </c>
      <c r="E962">
        <v>27</v>
      </c>
      <c r="F962">
        <v>12</v>
      </c>
    </row>
    <row r="963" spans="1:6">
      <c r="A963" t="s">
        <v>45</v>
      </c>
      <c r="B963">
        <v>2020</v>
      </c>
      <c r="C963" t="s">
        <v>888</v>
      </c>
      <c r="D963" t="s">
        <v>840</v>
      </c>
      <c r="E963">
        <v>7.4693289604187</v>
      </c>
      <c r="F963">
        <v>17</v>
      </c>
    </row>
    <row r="964" spans="1:6">
      <c r="A964" t="s">
        <v>636</v>
      </c>
      <c r="B964">
        <v>2017</v>
      </c>
      <c r="C964" t="s">
        <v>891</v>
      </c>
      <c r="E964">
        <v>0.03</v>
      </c>
      <c r="F964">
        <v>1</v>
      </c>
    </row>
    <row r="965" spans="1:6">
      <c r="A965" t="s">
        <v>219</v>
      </c>
      <c r="B965">
        <v>2023</v>
      </c>
      <c r="C965" t="s">
        <v>885</v>
      </c>
      <c r="E965">
        <v>1.25660906982422</v>
      </c>
      <c r="F965">
        <v>4</v>
      </c>
    </row>
    <row r="966" spans="1:6">
      <c r="A966" t="s">
        <v>299</v>
      </c>
      <c r="B966">
        <v>2020</v>
      </c>
      <c r="C966" t="s">
        <v>838</v>
      </c>
      <c r="E966">
        <v>0.411489929199219</v>
      </c>
      <c r="F966">
        <v>2</v>
      </c>
    </row>
    <row r="967" spans="1:6">
      <c r="A967" t="s">
        <v>383</v>
      </c>
      <c r="B967">
        <v>2019</v>
      </c>
      <c r="C967" t="s">
        <v>885</v>
      </c>
      <c r="E967">
        <v>20.0657958679199</v>
      </c>
      <c r="F967">
        <v>23</v>
      </c>
    </row>
    <row r="968" spans="1:6">
      <c r="A968" t="s">
        <v>374</v>
      </c>
      <c r="B968">
        <v>2022</v>
      </c>
      <c r="C968" t="s">
        <v>884</v>
      </c>
      <c r="E968">
        <v>15.4453886556625</v>
      </c>
      <c r="F968">
        <v>44</v>
      </c>
    </row>
    <row r="969" spans="1:6">
      <c r="A969" t="s">
        <v>438</v>
      </c>
      <c r="B969">
        <v>2018</v>
      </c>
      <c r="C969" t="s">
        <v>891</v>
      </c>
      <c r="E969">
        <v>0.057</v>
      </c>
      <c r="F969">
        <v>1</v>
      </c>
    </row>
    <row r="970" spans="1:6">
      <c r="A970" t="s">
        <v>460</v>
      </c>
      <c r="B970">
        <v>2020</v>
      </c>
      <c r="C970" t="s">
        <v>893</v>
      </c>
      <c r="E970">
        <v>1.57829057168961</v>
      </c>
      <c r="F970">
        <v>7</v>
      </c>
    </row>
    <row r="971" spans="1:6">
      <c r="A971" t="s">
        <v>14</v>
      </c>
      <c r="B971">
        <v>2016</v>
      </c>
      <c r="C971" t="s">
        <v>874</v>
      </c>
      <c r="E971">
        <v>28.5567271162868</v>
      </c>
      <c r="F971">
        <v>54</v>
      </c>
    </row>
    <row r="972" spans="1:6">
      <c r="A972" t="s">
        <v>71</v>
      </c>
      <c r="B972">
        <v>2021</v>
      </c>
      <c r="C972" t="s">
        <v>906</v>
      </c>
      <c r="E972">
        <v>64</v>
      </c>
      <c r="F972">
        <v>23</v>
      </c>
    </row>
    <row r="973" spans="1:6">
      <c r="A973" t="s">
        <v>49</v>
      </c>
      <c r="B973">
        <v>2023</v>
      </c>
      <c r="C973" t="s">
        <v>901</v>
      </c>
      <c r="E973">
        <v>62</v>
      </c>
      <c r="F973">
        <v>62</v>
      </c>
    </row>
    <row r="974" spans="1:6">
      <c r="A974" t="s">
        <v>55</v>
      </c>
      <c r="B974">
        <v>2020</v>
      </c>
      <c r="C974" t="s">
        <v>902</v>
      </c>
      <c r="E974">
        <v>96</v>
      </c>
      <c r="F974">
        <v>96</v>
      </c>
    </row>
    <row r="975" spans="1:6">
      <c r="A975" t="s">
        <v>8</v>
      </c>
      <c r="B975">
        <v>2020</v>
      </c>
      <c r="C975" t="s">
        <v>838</v>
      </c>
      <c r="E975">
        <v>29.4673280544281</v>
      </c>
      <c r="F975">
        <v>32</v>
      </c>
    </row>
    <row r="976" spans="1:6">
      <c r="A976" t="s">
        <v>59</v>
      </c>
      <c r="B976">
        <v>2024</v>
      </c>
      <c r="C976" t="s">
        <v>840</v>
      </c>
      <c r="E976">
        <v>17</v>
      </c>
      <c r="F976">
        <v>8</v>
      </c>
    </row>
    <row r="977" spans="1:6">
      <c r="A977" t="s">
        <v>105</v>
      </c>
      <c r="B977">
        <v>2017</v>
      </c>
      <c r="C977" t="s">
        <v>888</v>
      </c>
      <c r="E977">
        <v>2.25736706542969</v>
      </c>
      <c r="F977">
        <v>3</v>
      </c>
    </row>
    <row r="978" spans="1:6">
      <c r="A978" t="s">
        <v>75</v>
      </c>
      <c r="B978">
        <v>2015</v>
      </c>
      <c r="C978" t="s">
        <v>873</v>
      </c>
      <c r="E978">
        <v>2.973495677948</v>
      </c>
      <c r="F978">
        <v>6</v>
      </c>
    </row>
    <row r="979" spans="1:6">
      <c r="A979" t="s">
        <v>123</v>
      </c>
      <c r="B979">
        <v>2017</v>
      </c>
      <c r="C979" t="s">
        <v>874</v>
      </c>
      <c r="E979">
        <v>3</v>
      </c>
      <c r="F979">
        <v>2</v>
      </c>
    </row>
    <row r="980" spans="1:6">
      <c r="A980" t="s">
        <v>20</v>
      </c>
      <c r="B980">
        <v>2017</v>
      </c>
      <c r="C980" t="s">
        <v>873</v>
      </c>
      <c r="D980" t="s">
        <v>840</v>
      </c>
      <c r="E980">
        <v>29.6407757987976</v>
      </c>
      <c r="F980">
        <v>80</v>
      </c>
    </row>
    <row r="981" spans="1:6">
      <c r="A981" t="s">
        <v>40</v>
      </c>
      <c r="B981">
        <v>2023</v>
      </c>
      <c r="C981" t="s">
        <v>879</v>
      </c>
      <c r="D981" t="s">
        <v>840</v>
      </c>
      <c r="E981">
        <v>0.154416290283203</v>
      </c>
      <c r="F981">
        <v>1</v>
      </c>
    </row>
    <row r="982" spans="1:6">
      <c r="A982" t="s">
        <v>600</v>
      </c>
      <c r="B982">
        <v>2021</v>
      </c>
      <c r="C982" t="s">
        <v>884</v>
      </c>
      <c r="E982">
        <v>0.390801544189453</v>
      </c>
      <c r="F982">
        <v>2</v>
      </c>
    </row>
    <row r="983" spans="1:6">
      <c r="A983" t="s">
        <v>623</v>
      </c>
      <c r="B983">
        <v>2019</v>
      </c>
      <c r="C983" t="s">
        <v>893</v>
      </c>
      <c r="E983">
        <v>0.018</v>
      </c>
      <c r="F983">
        <v>1</v>
      </c>
    </row>
    <row r="984" spans="1:6">
      <c r="A984" t="s">
        <v>309</v>
      </c>
      <c r="B984">
        <v>2023</v>
      </c>
      <c r="C984" t="s">
        <v>838</v>
      </c>
      <c r="E984">
        <v>0.09974266815185549</v>
      </c>
      <c r="F984">
        <v>1</v>
      </c>
    </row>
    <row r="985" spans="1:6">
      <c r="A985" t="s">
        <v>432</v>
      </c>
      <c r="B985">
        <v>2015</v>
      </c>
      <c r="C985" t="s">
        <v>890</v>
      </c>
      <c r="E985">
        <v>0.58697998046875</v>
      </c>
      <c r="F985">
        <v>4</v>
      </c>
    </row>
    <row r="986" spans="1:6">
      <c r="A986" t="s">
        <v>451</v>
      </c>
      <c r="B986">
        <v>2024</v>
      </c>
      <c r="C986" t="s">
        <v>883</v>
      </c>
      <c r="E986">
        <v>0.09</v>
      </c>
      <c r="F986">
        <v>1</v>
      </c>
    </row>
    <row r="987" spans="1:6">
      <c r="A987" t="s">
        <v>56</v>
      </c>
      <c r="B987">
        <v>2017</v>
      </c>
      <c r="C987" t="s">
        <v>877</v>
      </c>
      <c r="E987">
        <v>36</v>
      </c>
      <c r="F987">
        <v>36</v>
      </c>
    </row>
    <row r="988" spans="1:6">
      <c r="A988" t="s">
        <v>102</v>
      </c>
      <c r="B988">
        <v>2015</v>
      </c>
      <c r="C988" t="s">
        <v>888</v>
      </c>
      <c r="E988">
        <v>0.236356033325195</v>
      </c>
      <c r="F988">
        <v>2</v>
      </c>
    </row>
    <row r="989" spans="1:6">
      <c r="A989" t="s">
        <v>151</v>
      </c>
      <c r="B989">
        <v>2017</v>
      </c>
      <c r="C989" t="s">
        <v>892</v>
      </c>
      <c r="E989">
        <v>18.8516828179359</v>
      </c>
      <c r="F989">
        <v>68</v>
      </c>
    </row>
    <row r="990" spans="1:6">
      <c r="A990" t="s">
        <v>162</v>
      </c>
      <c r="B990">
        <v>2018</v>
      </c>
      <c r="C990" t="s">
        <v>887</v>
      </c>
      <c r="D990" t="s">
        <v>891</v>
      </c>
      <c r="E990">
        <v>2.15809937429056</v>
      </c>
      <c r="F990">
        <v>49</v>
      </c>
    </row>
    <row r="991" spans="1:6">
      <c r="A991" t="s">
        <v>209</v>
      </c>
      <c r="B991">
        <v>2019</v>
      </c>
      <c r="C991" t="s">
        <v>841</v>
      </c>
      <c r="E991">
        <v>0.348668511867523</v>
      </c>
      <c r="F991">
        <v>8</v>
      </c>
    </row>
    <row r="992" spans="1:6">
      <c r="A992" t="s">
        <v>220</v>
      </c>
      <c r="B992">
        <v>2018</v>
      </c>
      <c r="C992" t="s">
        <v>885</v>
      </c>
      <c r="E992">
        <v>0.422588415145874</v>
      </c>
      <c r="F992">
        <v>4</v>
      </c>
    </row>
    <row r="993" spans="1:6">
      <c r="A993" t="s">
        <v>215</v>
      </c>
      <c r="B993">
        <v>2016</v>
      </c>
      <c r="C993" t="s">
        <v>891</v>
      </c>
      <c r="E993">
        <v>0.227734236717224</v>
      </c>
      <c r="F993">
        <v>4</v>
      </c>
    </row>
    <row r="994" spans="1:6">
      <c r="A994" t="s">
        <v>600</v>
      </c>
      <c r="B994">
        <v>2016</v>
      </c>
      <c r="C994" t="s">
        <v>884</v>
      </c>
      <c r="E994">
        <v>0.741633602142334</v>
      </c>
      <c r="F994">
        <v>4</v>
      </c>
    </row>
    <row r="995" spans="1:6">
      <c r="A995" t="s">
        <v>304</v>
      </c>
      <c r="B995">
        <v>2023</v>
      </c>
      <c r="C995" t="s">
        <v>838</v>
      </c>
      <c r="E995">
        <v>0.65718890953064</v>
      </c>
      <c r="F995">
        <v>2</v>
      </c>
    </row>
    <row r="996" spans="1:6">
      <c r="A996" t="s">
        <v>380</v>
      </c>
      <c r="B996">
        <v>2018</v>
      </c>
      <c r="C996" t="s">
        <v>883</v>
      </c>
      <c r="E996">
        <v>3.1295943287611</v>
      </c>
      <c r="F996">
        <v>36</v>
      </c>
    </row>
    <row r="997" spans="1:6">
      <c r="A997" t="s">
        <v>418</v>
      </c>
      <c r="B997">
        <v>2021</v>
      </c>
      <c r="C997" t="s">
        <v>884</v>
      </c>
      <c r="E997">
        <v>4.48123607635498</v>
      </c>
      <c r="F997">
        <v>10</v>
      </c>
    </row>
    <row r="998" spans="1:6">
      <c r="A998" t="s">
        <v>452</v>
      </c>
      <c r="B998">
        <v>2015</v>
      </c>
      <c r="C998" t="s">
        <v>883</v>
      </c>
      <c r="E998">
        <v>0.271230718612671</v>
      </c>
      <c r="F998">
        <v>5</v>
      </c>
    </row>
    <row r="999" spans="1:6">
      <c r="A999" t="s">
        <v>422</v>
      </c>
      <c r="B999">
        <v>2021</v>
      </c>
      <c r="C999" t="s">
        <v>892</v>
      </c>
      <c r="E999">
        <v>0.8718768386840819</v>
      </c>
      <c r="F999">
        <v>6</v>
      </c>
    </row>
    <row r="1000" spans="1:6">
      <c r="A1000" t="s">
        <v>80</v>
      </c>
      <c r="B1000">
        <v>2019</v>
      </c>
      <c r="C1000" t="s">
        <v>874</v>
      </c>
      <c r="E1000">
        <v>10.0781963119507</v>
      </c>
      <c r="F1000">
        <v>16</v>
      </c>
    </row>
    <row r="1001" spans="1:6">
      <c r="A1001" t="s">
        <v>104</v>
      </c>
      <c r="B1001">
        <v>2016</v>
      </c>
      <c r="C1001" t="s">
        <v>888</v>
      </c>
      <c r="E1001">
        <v>2.738898021698</v>
      </c>
      <c r="F1001">
        <v>7</v>
      </c>
    </row>
    <row r="1002" spans="1:6">
      <c r="A1002" t="s">
        <v>74</v>
      </c>
      <c r="B1002">
        <v>2024</v>
      </c>
      <c r="C1002" t="s">
        <v>873</v>
      </c>
      <c r="E1002">
        <v>0.154721614837646</v>
      </c>
      <c r="F1002">
        <v>2</v>
      </c>
    </row>
    <row r="1003" spans="1:6">
      <c r="A1003" t="s">
        <v>146</v>
      </c>
      <c r="B1003">
        <v>2019</v>
      </c>
      <c r="C1003" t="s">
        <v>888</v>
      </c>
      <c r="E1003">
        <v>10</v>
      </c>
      <c r="F1003">
        <v>6</v>
      </c>
    </row>
    <row r="1004" spans="1:6">
      <c r="A1004" t="s">
        <v>156</v>
      </c>
      <c r="B1004">
        <v>2018</v>
      </c>
      <c r="C1004" t="s">
        <v>883</v>
      </c>
      <c r="E1004">
        <v>4.76451597291231</v>
      </c>
      <c r="F1004">
        <v>65</v>
      </c>
    </row>
    <row r="1005" spans="1:6">
      <c r="A1005" t="s">
        <v>172</v>
      </c>
      <c r="B1005">
        <v>2021</v>
      </c>
      <c r="C1005" t="s">
        <v>874</v>
      </c>
      <c r="D1005" t="s">
        <v>883</v>
      </c>
      <c r="E1005">
        <v>0.0440335559844971</v>
      </c>
      <c r="F1005">
        <v>3</v>
      </c>
    </row>
    <row r="1006" spans="1:6">
      <c r="A1006" t="s">
        <v>178</v>
      </c>
      <c r="B1006">
        <v>2023</v>
      </c>
      <c r="C1006" t="s">
        <v>895</v>
      </c>
      <c r="D1006" t="s">
        <v>891</v>
      </c>
      <c r="E1006">
        <v>0.0330270729064941</v>
      </c>
      <c r="F1006">
        <v>1</v>
      </c>
    </row>
    <row r="1007" spans="1:6">
      <c r="A1007" t="s">
        <v>191</v>
      </c>
      <c r="B1007">
        <v>2020</v>
      </c>
      <c r="C1007" t="s">
        <v>879</v>
      </c>
      <c r="D1007" t="s">
        <v>892</v>
      </c>
      <c r="E1007">
        <v>0.05</v>
      </c>
      <c r="F1007">
        <v>1</v>
      </c>
    </row>
    <row r="1008" spans="1:6">
      <c r="A1008" t="s">
        <v>209</v>
      </c>
      <c r="B1008">
        <v>2020</v>
      </c>
      <c r="C1008" t="s">
        <v>841</v>
      </c>
      <c r="E1008">
        <v>0.07132470703125</v>
      </c>
      <c r="F1008">
        <v>5</v>
      </c>
    </row>
    <row r="1009" spans="1:6">
      <c r="A1009" t="s">
        <v>45</v>
      </c>
      <c r="B1009">
        <v>2023</v>
      </c>
      <c r="C1009" t="s">
        <v>888</v>
      </c>
      <c r="D1009" t="s">
        <v>840</v>
      </c>
      <c r="E1009">
        <v>8.14830375766754</v>
      </c>
      <c r="F1009">
        <v>7</v>
      </c>
    </row>
    <row r="1010" spans="1:6">
      <c r="A1010" t="s">
        <v>31</v>
      </c>
      <c r="B1010">
        <v>2016</v>
      </c>
      <c r="C1010" t="s">
        <v>889</v>
      </c>
      <c r="D1010" t="s">
        <v>838</v>
      </c>
      <c r="E1010">
        <v>0.088272159576416</v>
      </c>
      <c r="F1010">
        <v>2</v>
      </c>
    </row>
    <row r="1011" spans="1:6">
      <c r="A1011" t="s">
        <v>631</v>
      </c>
      <c r="B1011">
        <v>2022</v>
      </c>
      <c r="C1011" t="s">
        <v>893</v>
      </c>
      <c r="E1011">
        <v>0.0682338638305664</v>
      </c>
      <c r="F1011">
        <v>1</v>
      </c>
    </row>
    <row r="1012" spans="1:6">
      <c r="A1012" t="s">
        <v>609</v>
      </c>
      <c r="B1012">
        <v>2023</v>
      </c>
      <c r="C1012" t="s">
        <v>892</v>
      </c>
      <c r="E1012">
        <v>0.659115829467773</v>
      </c>
      <c r="F1012">
        <v>2</v>
      </c>
    </row>
    <row r="1013" spans="1:6">
      <c r="A1013" t="s">
        <v>458</v>
      </c>
      <c r="B1013">
        <v>2017</v>
      </c>
      <c r="C1013" t="s">
        <v>893</v>
      </c>
      <c r="E1013">
        <v>1.42052699279785</v>
      </c>
      <c r="F1013">
        <v>8</v>
      </c>
    </row>
    <row r="1014" spans="1:6">
      <c r="A1014" t="s">
        <v>374</v>
      </c>
      <c r="B1014">
        <v>2021</v>
      </c>
      <c r="C1014" t="s">
        <v>884</v>
      </c>
      <c r="E1014">
        <v>23.9436104426384</v>
      </c>
      <c r="F1014">
        <v>55</v>
      </c>
    </row>
    <row r="1015" spans="1:6">
      <c r="A1015" t="s">
        <v>424</v>
      </c>
      <c r="B1015">
        <v>2018</v>
      </c>
      <c r="C1015" t="s">
        <v>892</v>
      </c>
      <c r="E1015">
        <v>1.00335075378418</v>
      </c>
      <c r="F1015">
        <v>5</v>
      </c>
    </row>
    <row r="1016" spans="1:6">
      <c r="A1016" t="s">
        <v>450</v>
      </c>
      <c r="B1016">
        <v>2019</v>
      </c>
      <c r="C1016" t="s">
        <v>883</v>
      </c>
      <c r="E1016">
        <v>1.32215705108643</v>
      </c>
      <c r="F1016">
        <v>3</v>
      </c>
    </row>
    <row r="1017" spans="1:6">
      <c r="A1017" t="s">
        <v>410</v>
      </c>
      <c r="B1017">
        <v>2019</v>
      </c>
      <c r="C1017" t="s">
        <v>838</v>
      </c>
      <c r="E1017">
        <v>3.17788430786133</v>
      </c>
      <c r="F1017">
        <v>24</v>
      </c>
    </row>
    <row r="1018" spans="1:6">
      <c r="A1018" t="s">
        <v>208</v>
      </c>
      <c r="B1018">
        <v>2023</v>
      </c>
      <c r="C1018" t="s">
        <v>838</v>
      </c>
      <c r="E1018">
        <v>18.3645156940371</v>
      </c>
      <c r="F1018">
        <v>29</v>
      </c>
    </row>
    <row r="1019" spans="1:6">
      <c r="A1019" t="s">
        <v>34</v>
      </c>
      <c r="B1019">
        <v>2022</v>
      </c>
      <c r="C1019" t="s">
        <v>878</v>
      </c>
      <c r="D1019" t="s">
        <v>839</v>
      </c>
      <c r="E1019">
        <v>5.84826058197021</v>
      </c>
      <c r="F1019">
        <v>12</v>
      </c>
    </row>
    <row r="1020" spans="1:6">
      <c r="A1020" t="s">
        <v>224</v>
      </c>
      <c r="B1020">
        <v>2021</v>
      </c>
      <c r="C1020" t="s">
        <v>885</v>
      </c>
      <c r="E1020">
        <v>1.70295040893555</v>
      </c>
      <c r="F1020">
        <v>3</v>
      </c>
    </row>
    <row r="1021" spans="1:6">
      <c r="A1021" t="s">
        <v>624</v>
      </c>
      <c r="B1021">
        <v>2021</v>
      </c>
      <c r="C1021" t="s">
        <v>884</v>
      </c>
      <c r="E1021">
        <v>0.170164154052734</v>
      </c>
      <c r="F1021">
        <v>1</v>
      </c>
    </row>
    <row r="1022" spans="1:6">
      <c r="A1022" t="s">
        <v>297</v>
      </c>
      <c r="B1022">
        <v>2021</v>
      </c>
      <c r="C1022" t="s">
        <v>839</v>
      </c>
      <c r="E1022">
        <v>2.27473321533203</v>
      </c>
      <c r="F1022">
        <v>2</v>
      </c>
    </row>
    <row r="1023" spans="1:6">
      <c r="A1023" t="s">
        <v>380</v>
      </c>
      <c r="B1023">
        <v>2019</v>
      </c>
      <c r="C1023" t="s">
        <v>883</v>
      </c>
      <c r="E1023">
        <v>3.37105836892128</v>
      </c>
      <c r="F1023">
        <v>30</v>
      </c>
    </row>
    <row r="1024" spans="1:6">
      <c r="A1024" t="s">
        <v>415</v>
      </c>
      <c r="B1024">
        <v>2015</v>
      </c>
      <c r="C1024" t="s">
        <v>884</v>
      </c>
      <c r="E1024">
        <v>0.637156524181366</v>
      </c>
      <c r="F1024">
        <v>5</v>
      </c>
    </row>
    <row r="1025" spans="1:6">
      <c r="A1025" t="s">
        <v>450</v>
      </c>
      <c r="B1025">
        <v>2015</v>
      </c>
      <c r="C1025" t="s">
        <v>883</v>
      </c>
      <c r="E1025">
        <v>0.288899993896484</v>
      </c>
      <c r="F1025">
        <v>2</v>
      </c>
    </row>
    <row r="1026" spans="1:6">
      <c r="A1026" t="s">
        <v>376</v>
      </c>
      <c r="B1026">
        <v>2018</v>
      </c>
      <c r="C1026" t="s">
        <v>880</v>
      </c>
      <c r="E1026">
        <v>3.41588745880127</v>
      </c>
      <c r="F1026">
        <v>15</v>
      </c>
    </row>
    <row r="1027" spans="1:6">
      <c r="A1027" t="s">
        <v>438</v>
      </c>
      <c r="B1027">
        <v>2016</v>
      </c>
      <c r="C1027" t="s">
        <v>891</v>
      </c>
      <c r="E1027">
        <v>0.206001846313477</v>
      </c>
      <c r="F1027">
        <v>4</v>
      </c>
    </row>
    <row r="1028" spans="1:6">
      <c r="A1028" t="s">
        <v>56</v>
      </c>
      <c r="B1028">
        <v>2017</v>
      </c>
      <c r="C1028" t="s">
        <v>903</v>
      </c>
      <c r="E1028">
        <v>110</v>
      </c>
      <c r="F1028">
        <v>110</v>
      </c>
    </row>
    <row r="1029" spans="1:6">
      <c r="A1029" t="s">
        <v>57</v>
      </c>
      <c r="B1029">
        <v>2019</v>
      </c>
      <c r="C1029" t="s">
        <v>910</v>
      </c>
      <c r="E1029">
        <v>105.743503605843</v>
      </c>
      <c r="F1029">
        <v>106</v>
      </c>
    </row>
    <row r="1030" spans="1:6">
      <c r="A1030" t="s">
        <v>92</v>
      </c>
      <c r="B1030">
        <v>2018</v>
      </c>
      <c r="C1030" t="s">
        <v>878</v>
      </c>
      <c r="E1030">
        <v>3.45026055145264</v>
      </c>
      <c r="F1030">
        <v>10</v>
      </c>
    </row>
    <row r="1031" spans="1:6">
      <c r="A1031" t="s">
        <v>99</v>
      </c>
      <c r="B1031">
        <v>2022</v>
      </c>
      <c r="C1031" t="s">
        <v>879</v>
      </c>
      <c r="E1031">
        <v>0.874654388427734</v>
      </c>
      <c r="F1031">
        <v>3</v>
      </c>
    </row>
    <row r="1032" spans="1:6">
      <c r="A1032" t="s">
        <v>157</v>
      </c>
      <c r="B1032">
        <v>2016</v>
      </c>
      <c r="C1032" t="s">
        <v>893</v>
      </c>
      <c r="E1032">
        <v>18.7941138337255</v>
      </c>
      <c r="F1032">
        <v>68</v>
      </c>
    </row>
    <row r="1033" spans="1:6">
      <c r="A1033" t="s">
        <v>205</v>
      </c>
      <c r="B1033">
        <v>2020</v>
      </c>
      <c r="C1033" t="s">
        <v>881</v>
      </c>
      <c r="D1033" t="s">
        <v>893</v>
      </c>
      <c r="E1033">
        <v>2.2829501824379</v>
      </c>
      <c r="F1033">
        <v>11</v>
      </c>
    </row>
    <row r="1034" spans="1:6">
      <c r="A1034" t="s">
        <v>198</v>
      </c>
      <c r="B1034">
        <v>2020</v>
      </c>
      <c r="C1034" t="s">
        <v>881</v>
      </c>
      <c r="D1034" t="s">
        <v>884</v>
      </c>
      <c r="E1034">
        <v>6.60778028106689</v>
      </c>
      <c r="F1034">
        <v>13</v>
      </c>
    </row>
    <row r="1035" spans="1:6">
      <c r="A1035" t="s">
        <v>195</v>
      </c>
      <c r="B1035">
        <v>2021</v>
      </c>
      <c r="C1035" t="s">
        <v>879</v>
      </c>
      <c r="D1035" t="s">
        <v>879</v>
      </c>
      <c r="E1035">
        <v>0.0282137451171875</v>
      </c>
      <c r="F1035">
        <v>1</v>
      </c>
    </row>
    <row r="1036" spans="1:6">
      <c r="A1036" t="s">
        <v>34</v>
      </c>
      <c r="B1036">
        <v>2015</v>
      </c>
      <c r="C1036" t="s">
        <v>878</v>
      </c>
      <c r="D1036" t="s">
        <v>839</v>
      </c>
      <c r="E1036">
        <v>4.63012166213989</v>
      </c>
      <c r="F1036">
        <v>16</v>
      </c>
    </row>
    <row r="1037" spans="1:6">
      <c r="A1037" t="s">
        <v>38</v>
      </c>
      <c r="B1037">
        <v>2024</v>
      </c>
      <c r="C1037" t="s">
        <v>878</v>
      </c>
      <c r="D1037" t="s">
        <v>898</v>
      </c>
      <c r="E1037">
        <v>0.0240699462890625</v>
      </c>
      <c r="F1037">
        <v>1</v>
      </c>
    </row>
    <row r="1038" spans="1:6">
      <c r="A1038" t="s">
        <v>218</v>
      </c>
      <c r="B1038">
        <v>2015</v>
      </c>
      <c r="C1038" t="s">
        <v>893</v>
      </c>
      <c r="E1038">
        <v>0.2313805103302</v>
      </c>
      <c r="F1038">
        <v>3</v>
      </c>
    </row>
    <row r="1039" spans="1:6">
      <c r="A1039" t="s">
        <v>322</v>
      </c>
      <c r="B1039">
        <v>2021</v>
      </c>
      <c r="C1039" t="s">
        <v>839</v>
      </c>
      <c r="E1039">
        <v>0.961</v>
      </c>
      <c r="F1039">
        <v>2</v>
      </c>
    </row>
    <row r="1040" spans="1:6">
      <c r="A1040" t="s">
        <v>432</v>
      </c>
      <c r="B1040">
        <v>2021</v>
      </c>
      <c r="C1040" t="s">
        <v>890</v>
      </c>
      <c r="E1040">
        <v>0.0132251930236816</v>
      </c>
      <c r="F1040">
        <v>1</v>
      </c>
    </row>
    <row r="1041" spans="1:6">
      <c r="A1041" t="s">
        <v>417</v>
      </c>
      <c r="B1041">
        <v>2018</v>
      </c>
      <c r="C1041" t="s">
        <v>884</v>
      </c>
      <c r="E1041">
        <v>0.0148628454208374</v>
      </c>
      <c r="F1041">
        <v>1</v>
      </c>
    </row>
    <row r="1042" spans="1:6">
      <c r="A1042" t="s">
        <v>56</v>
      </c>
      <c r="B1042">
        <v>2018</v>
      </c>
      <c r="C1042" t="s">
        <v>911</v>
      </c>
      <c r="E1042">
        <v>20</v>
      </c>
      <c r="F1042">
        <v>20</v>
      </c>
    </row>
    <row r="1043" spans="1:6">
      <c r="A1043" t="s">
        <v>62</v>
      </c>
      <c r="B1043">
        <v>2023</v>
      </c>
      <c r="C1043" t="s">
        <v>841</v>
      </c>
      <c r="E1043">
        <v>1</v>
      </c>
      <c r="F1043">
        <v>1</v>
      </c>
    </row>
    <row r="1044" spans="1:6">
      <c r="A1044" t="s">
        <v>91</v>
      </c>
      <c r="B1044">
        <v>2015</v>
      </c>
      <c r="C1044" t="s">
        <v>878</v>
      </c>
      <c r="E1044">
        <v>8.604322710037231</v>
      </c>
      <c r="F1044">
        <v>24</v>
      </c>
    </row>
    <row r="1045" spans="1:6">
      <c r="A1045" t="s">
        <v>146</v>
      </c>
      <c r="B1045">
        <v>2018</v>
      </c>
      <c r="C1045" t="s">
        <v>888</v>
      </c>
      <c r="E1045">
        <v>24</v>
      </c>
      <c r="F1045">
        <v>11</v>
      </c>
    </row>
    <row r="1046" spans="1:6">
      <c r="A1046" t="s">
        <v>155</v>
      </c>
      <c r="B1046">
        <v>2020</v>
      </c>
      <c r="C1046" t="s">
        <v>879</v>
      </c>
      <c r="E1046">
        <v>1.88684115469456</v>
      </c>
      <c r="F1046">
        <v>27</v>
      </c>
    </row>
    <row r="1047" spans="1:6">
      <c r="A1047" t="s">
        <v>187</v>
      </c>
      <c r="B1047">
        <v>2022</v>
      </c>
      <c r="C1047" t="s">
        <v>878</v>
      </c>
      <c r="D1047" t="s">
        <v>879</v>
      </c>
      <c r="E1047">
        <v>1.02901554489136</v>
      </c>
      <c r="F1047">
        <v>3</v>
      </c>
    </row>
    <row r="1048" spans="1:6">
      <c r="A1048" t="s">
        <v>191</v>
      </c>
      <c r="B1048">
        <v>2019</v>
      </c>
      <c r="C1048" t="s">
        <v>879</v>
      </c>
      <c r="D1048" t="s">
        <v>892</v>
      </c>
      <c r="E1048">
        <v>0.202642512321472</v>
      </c>
      <c r="F1048">
        <v>6</v>
      </c>
    </row>
    <row r="1049" spans="1:6">
      <c r="A1049" t="s">
        <v>173</v>
      </c>
      <c r="B1049">
        <v>2024</v>
      </c>
      <c r="C1049" t="s">
        <v>874</v>
      </c>
      <c r="D1049" t="s">
        <v>893</v>
      </c>
      <c r="E1049">
        <v>0.06384967422485351</v>
      </c>
      <c r="F1049">
        <v>1</v>
      </c>
    </row>
    <row r="1050" spans="1:6">
      <c r="A1050" t="s">
        <v>177</v>
      </c>
      <c r="B1050">
        <v>2018</v>
      </c>
      <c r="C1050" t="s">
        <v>895</v>
      </c>
      <c r="D1050" t="s">
        <v>890</v>
      </c>
      <c r="E1050">
        <v>1.04914196777344</v>
      </c>
      <c r="F1050">
        <v>1</v>
      </c>
    </row>
    <row r="1051" spans="1:6">
      <c r="A1051" t="s">
        <v>38</v>
      </c>
      <c r="B1051">
        <v>2019</v>
      </c>
      <c r="C1051" t="s">
        <v>878</v>
      </c>
      <c r="D1051" t="s">
        <v>898</v>
      </c>
      <c r="E1051">
        <v>0.0660796279907227</v>
      </c>
      <c r="F1051">
        <v>1</v>
      </c>
    </row>
    <row r="1052" spans="1:6">
      <c r="A1052" t="s">
        <v>217</v>
      </c>
      <c r="B1052">
        <v>2019</v>
      </c>
      <c r="C1052" t="s">
        <v>883</v>
      </c>
      <c r="E1052">
        <v>0.826495882496238</v>
      </c>
      <c r="F1052">
        <v>7</v>
      </c>
    </row>
    <row r="1053" spans="1:6">
      <c r="A1053" t="s">
        <v>215</v>
      </c>
      <c r="B1053">
        <v>2019</v>
      </c>
      <c r="C1053" t="s">
        <v>891</v>
      </c>
      <c r="E1053">
        <v>0.242269393920898</v>
      </c>
      <c r="F1053">
        <v>2</v>
      </c>
    </row>
    <row r="1054" spans="1:6">
      <c r="A1054" t="s">
        <v>319</v>
      </c>
      <c r="B1054">
        <v>2023</v>
      </c>
      <c r="C1054" t="s">
        <v>838</v>
      </c>
      <c r="E1054">
        <v>0.336477478027344</v>
      </c>
      <c r="F1054">
        <v>1</v>
      </c>
    </row>
    <row r="1055" spans="1:6">
      <c r="A1055" t="s">
        <v>433</v>
      </c>
      <c r="B1055">
        <v>2019</v>
      </c>
      <c r="C1055" t="s">
        <v>890</v>
      </c>
      <c r="E1055">
        <v>0.0428624649047852</v>
      </c>
      <c r="F1055">
        <v>1</v>
      </c>
    </row>
    <row r="1056" spans="1:6">
      <c r="A1056" t="s">
        <v>425</v>
      </c>
      <c r="B1056">
        <v>2022</v>
      </c>
      <c r="C1056" t="s">
        <v>880</v>
      </c>
      <c r="E1056">
        <v>4.75220671081543</v>
      </c>
      <c r="F1056">
        <v>6</v>
      </c>
    </row>
    <row r="1057" spans="1:6">
      <c r="A1057" t="s">
        <v>9</v>
      </c>
      <c r="B1057">
        <v>2021</v>
      </c>
      <c r="C1057" t="s">
        <v>886</v>
      </c>
      <c r="E1057">
        <v>56.3268031768799</v>
      </c>
      <c r="F1057">
        <v>18</v>
      </c>
    </row>
    <row r="1058" spans="1:6">
      <c r="A1058" t="s">
        <v>66</v>
      </c>
      <c r="B1058">
        <v>2024</v>
      </c>
      <c r="C1058" t="s">
        <v>905</v>
      </c>
      <c r="E1058">
        <v>14</v>
      </c>
      <c r="F1058">
        <v>7</v>
      </c>
    </row>
    <row r="1059" spans="1:6">
      <c r="A1059" t="s">
        <v>17</v>
      </c>
      <c r="B1059">
        <v>2017</v>
      </c>
      <c r="C1059" t="s">
        <v>879</v>
      </c>
      <c r="E1059">
        <v>7.47647020512819</v>
      </c>
      <c r="F1059">
        <v>13</v>
      </c>
    </row>
    <row r="1060" spans="1:6">
      <c r="A1060" t="s">
        <v>68</v>
      </c>
      <c r="B1060">
        <v>2016</v>
      </c>
      <c r="C1060" t="s">
        <v>895</v>
      </c>
      <c r="E1060">
        <v>44</v>
      </c>
      <c r="F1060">
        <v>17</v>
      </c>
    </row>
    <row r="1061" spans="1:6">
      <c r="A1061" t="s">
        <v>56</v>
      </c>
      <c r="B1061">
        <v>2022</v>
      </c>
      <c r="C1061" t="s">
        <v>911</v>
      </c>
      <c r="E1061">
        <v>13</v>
      </c>
      <c r="F1061">
        <v>13</v>
      </c>
    </row>
    <row r="1062" spans="1:6">
      <c r="A1062" t="s">
        <v>102</v>
      </c>
      <c r="B1062">
        <v>2017</v>
      </c>
      <c r="C1062" t="s">
        <v>888</v>
      </c>
      <c r="E1062">
        <v>1.01276125335693</v>
      </c>
      <c r="F1062">
        <v>3</v>
      </c>
    </row>
    <row r="1063" spans="1:6">
      <c r="A1063" t="s">
        <v>75</v>
      </c>
      <c r="B1063">
        <v>2017</v>
      </c>
      <c r="C1063" t="s">
        <v>873</v>
      </c>
      <c r="E1063">
        <v>3.43256234169006</v>
      </c>
      <c r="F1063">
        <v>8</v>
      </c>
    </row>
    <row r="1064" spans="1:6">
      <c r="A1064" t="s">
        <v>138</v>
      </c>
      <c r="B1064">
        <v>2017</v>
      </c>
      <c r="C1064" t="s">
        <v>879</v>
      </c>
      <c r="E1064">
        <v>9</v>
      </c>
      <c r="F1064">
        <v>5</v>
      </c>
    </row>
    <row r="1065" spans="1:6">
      <c r="A1065" t="s">
        <v>115</v>
      </c>
      <c r="B1065">
        <v>2017</v>
      </c>
      <c r="C1065" t="s">
        <v>873</v>
      </c>
      <c r="E1065">
        <v>246</v>
      </c>
      <c r="F1065">
        <v>72</v>
      </c>
    </row>
    <row r="1066" spans="1:6">
      <c r="A1066" t="s">
        <v>155</v>
      </c>
      <c r="B1066">
        <v>2021</v>
      </c>
      <c r="C1066" t="s">
        <v>879</v>
      </c>
      <c r="E1066">
        <v>8.1551408200264</v>
      </c>
      <c r="F1066">
        <v>42</v>
      </c>
    </row>
    <row r="1067" spans="1:6">
      <c r="A1067" t="s">
        <v>202</v>
      </c>
      <c r="B1067">
        <v>2020</v>
      </c>
      <c r="C1067" t="s">
        <v>881</v>
      </c>
      <c r="D1067" t="s">
        <v>891</v>
      </c>
      <c r="E1067">
        <v>0.09428327941894531</v>
      </c>
      <c r="F1067">
        <v>1</v>
      </c>
    </row>
    <row r="1068" spans="1:6">
      <c r="A1068" t="s">
        <v>34</v>
      </c>
      <c r="B1068">
        <v>2016</v>
      </c>
      <c r="C1068" t="s">
        <v>878</v>
      </c>
      <c r="D1068" t="s">
        <v>839</v>
      </c>
      <c r="E1068">
        <v>7.04807105731964</v>
      </c>
      <c r="F1068">
        <v>20</v>
      </c>
    </row>
    <row r="1069" spans="1:6">
      <c r="A1069" t="s">
        <v>97</v>
      </c>
      <c r="B1069">
        <v>2019</v>
      </c>
      <c r="C1069" t="s">
        <v>879</v>
      </c>
      <c r="E1069">
        <v>0.821464141845703</v>
      </c>
      <c r="F1069">
        <v>3</v>
      </c>
    </row>
    <row r="1070" spans="1:6">
      <c r="A1070" t="s">
        <v>121</v>
      </c>
      <c r="B1070">
        <v>2015</v>
      </c>
      <c r="C1070" t="s">
        <v>874</v>
      </c>
      <c r="E1070">
        <v>134</v>
      </c>
      <c r="F1070">
        <v>37</v>
      </c>
    </row>
    <row r="1071" spans="1:6">
      <c r="A1071" t="s">
        <v>145</v>
      </c>
      <c r="B1071">
        <v>2021</v>
      </c>
      <c r="C1071" t="s">
        <v>888</v>
      </c>
      <c r="E1071">
        <v>35</v>
      </c>
      <c r="F1071">
        <v>16</v>
      </c>
    </row>
    <row r="1072" spans="1:6">
      <c r="A1072" t="s">
        <v>166</v>
      </c>
      <c r="B1072">
        <v>2019</v>
      </c>
      <c r="C1072" t="s">
        <v>874</v>
      </c>
      <c r="D1072" t="s">
        <v>884</v>
      </c>
      <c r="E1072">
        <v>18.8962181892395</v>
      </c>
      <c r="F1072">
        <v>30</v>
      </c>
    </row>
    <row r="1073" spans="1:6">
      <c r="A1073" t="s">
        <v>201</v>
      </c>
      <c r="B1073">
        <v>2019</v>
      </c>
      <c r="C1073" t="s">
        <v>881</v>
      </c>
      <c r="D1073" t="s">
        <v>890</v>
      </c>
      <c r="E1073">
        <v>0.0669726028442383</v>
      </c>
      <c r="F1073">
        <v>1</v>
      </c>
    </row>
    <row r="1074" spans="1:6">
      <c r="A1074" t="s">
        <v>190</v>
      </c>
      <c r="B1074">
        <v>2020</v>
      </c>
      <c r="C1074" t="s">
        <v>879</v>
      </c>
      <c r="D1074" t="s">
        <v>884</v>
      </c>
      <c r="E1074">
        <v>0.0970225372314453</v>
      </c>
      <c r="F1074">
        <v>1</v>
      </c>
    </row>
    <row r="1075" spans="1:6">
      <c r="A1075" t="s">
        <v>25</v>
      </c>
      <c r="B1075">
        <v>2023</v>
      </c>
      <c r="C1075" t="s">
        <v>882</v>
      </c>
      <c r="D1075" t="s">
        <v>840</v>
      </c>
      <c r="E1075">
        <v>6.14791601109505</v>
      </c>
      <c r="F1075">
        <v>18</v>
      </c>
    </row>
    <row r="1076" spans="1:6">
      <c r="A1076" t="s">
        <v>35</v>
      </c>
      <c r="B1076">
        <v>2017</v>
      </c>
      <c r="C1076" t="s">
        <v>878</v>
      </c>
      <c r="D1076" t="s">
        <v>840</v>
      </c>
      <c r="E1076">
        <v>4.68169990539551</v>
      </c>
      <c r="F1076">
        <v>22</v>
      </c>
    </row>
    <row r="1077" spans="1:6">
      <c r="A1077" t="s">
        <v>624</v>
      </c>
      <c r="B1077">
        <v>2022</v>
      </c>
      <c r="C1077" t="s">
        <v>884</v>
      </c>
      <c r="E1077">
        <v>0.0280413150787354</v>
      </c>
      <c r="F1077">
        <v>1</v>
      </c>
    </row>
    <row r="1078" spans="1:6">
      <c r="A1078" t="s">
        <v>302</v>
      </c>
      <c r="B1078">
        <v>2016</v>
      </c>
      <c r="C1078" t="s">
        <v>839</v>
      </c>
      <c r="E1078">
        <v>0.978112487792969</v>
      </c>
      <c r="F1078">
        <v>1</v>
      </c>
    </row>
    <row r="1079" spans="1:6">
      <c r="A1079" t="s">
        <v>415</v>
      </c>
      <c r="B1079">
        <v>2019</v>
      </c>
      <c r="C1079" t="s">
        <v>884</v>
      </c>
      <c r="E1079">
        <v>0.891708236694336</v>
      </c>
      <c r="F1079">
        <v>5</v>
      </c>
    </row>
    <row r="1080" spans="1:6">
      <c r="A1080" t="s">
        <v>415</v>
      </c>
      <c r="B1080">
        <v>2021</v>
      </c>
      <c r="C1080" t="s">
        <v>884</v>
      </c>
      <c r="E1080">
        <v>0.920702362060547</v>
      </c>
      <c r="F1080">
        <v>4</v>
      </c>
    </row>
    <row r="1081" spans="1:6">
      <c r="A1081" t="s">
        <v>414</v>
      </c>
      <c r="B1081">
        <v>2019</v>
      </c>
      <c r="C1081" t="s">
        <v>884</v>
      </c>
      <c r="E1081">
        <v>6.32711518096924</v>
      </c>
      <c r="F1081">
        <v>15</v>
      </c>
    </row>
    <row r="1082" spans="1:6">
      <c r="A1082" t="s">
        <v>424</v>
      </c>
      <c r="B1082">
        <v>2021</v>
      </c>
      <c r="C1082" t="s">
        <v>892</v>
      </c>
      <c r="E1082">
        <v>4.89751062011719</v>
      </c>
      <c r="F1082">
        <v>14</v>
      </c>
    </row>
    <row r="1083" spans="1:6">
      <c r="A1083" t="s">
        <v>418</v>
      </c>
      <c r="B1083">
        <v>2022</v>
      </c>
      <c r="C1083" t="s">
        <v>884</v>
      </c>
      <c r="E1083">
        <v>0.5276663818359379</v>
      </c>
      <c r="F1083">
        <v>2</v>
      </c>
    </row>
    <row r="1084" spans="1:6">
      <c r="A1084" t="s">
        <v>219</v>
      </c>
      <c r="B1084">
        <v>2015</v>
      </c>
      <c r="C1084" t="s">
        <v>885</v>
      </c>
      <c r="E1084">
        <v>1.54129223251343</v>
      </c>
      <c r="F1084">
        <v>4</v>
      </c>
    </row>
    <row r="1085" spans="1:6">
      <c r="A1085" t="s">
        <v>308</v>
      </c>
      <c r="B1085">
        <v>2016</v>
      </c>
      <c r="C1085" t="s">
        <v>840</v>
      </c>
      <c r="E1085">
        <v>1.48131737136841</v>
      </c>
      <c r="F1085">
        <v>5</v>
      </c>
    </row>
    <row r="1086" spans="1:6">
      <c r="A1086" t="s">
        <v>421</v>
      </c>
      <c r="B1086">
        <v>2017</v>
      </c>
      <c r="C1086" t="s">
        <v>892</v>
      </c>
      <c r="E1086">
        <v>0.278</v>
      </c>
      <c r="F1086">
        <v>2</v>
      </c>
    </row>
    <row r="1087" spans="1:6">
      <c r="A1087" t="s">
        <v>24</v>
      </c>
      <c r="B1087">
        <v>2023</v>
      </c>
      <c r="C1087" t="s">
        <v>882</v>
      </c>
      <c r="D1087" t="s">
        <v>839</v>
      </c>
      <c r="E1087">
        <v>3.57696585273743</v>
      </c>
      <c r="F1087">
        <v>14</v>
      </c>
    </row>
    <row r="1088" spans="1:6">
      <c r="A1088" t="s">
        <v>44</v>
      </c>
      <c r="B1088">
        <v>2020</v>
      </c>
      <c r="C1088" t="s">
        <v>888</v>
      </c>
      <c r="D1088" t="s">
        <v>839</v>
      </c>
      <c r="E1088">
        <v>2.84459760046005</v>
      </c>
      <c r="F1088">
        <v>14</v>
      </c>
    </row>
    <row r="1089" spans="1:6">
      <c r="A1089" t="s">
        <v>609</v>
      </c>
      <c r="B1089">
        <v>2017</v>
      </c>
      <c r="C1089" t="s">
        <v>892</v>
      </c>
      <c r="E1089">
        <v>1.47955859375</v>
      </c>
      <c r="F1089">
        <v>3</v>
      </c>
    </row>
    <row r="1090" spans="1:6">
      <c r="A1090" t="s">
        <v>627</v>
      </c>
      <c r="B1090">
        <v>2017</v>
      </c>
      <c r="C1090" t="s">
        <v>890</v>
      </c>
      <c r="E1090">
        <v>0.1636246509552</v>
      </c>
      <c r="F1090">
        <v>2</v>
      </c>
    </row>
    <row r="1091" spans="1:6">
      <c r="A1091" t="s">
        <v>323</v>
      </c>
      <c r="B1091">
        <v>2019</v>
      </c>
      <c r="C1091" t="s">
        <v>840</v>
      </c>
      <c r="E1091">
        <v>0.4</v>
      </c>
      <c r="F1091">
        <v>1</v>
      </c>
    </row>
    <row r="1092" spans="1:6">
      <c r="A1092" t="s">
        <v>440</v>
      </c>
      <c r="B1092">
        <v>2015</v>
      </c>
      <c r="C1092" t="s">
        <v>891</v>
      </c>
      <c r="E1092">
        <v>0.0374731068611145</v>
      </c>
      <c r="F1092">
        <v>2</v>
      </c>
    </row>
    <row r="1093" spans="1:6">
      <c r="A1093" t="s">
        <v>374</v>
      </c>
      <c r="B1093">
        <v>2018</v>
      </c>
      <c r="C1093" t="s">
        <v>884</v>
      </c>
      <c r="E1093">
        <v>22.6093390216827</v>
      </c>
      <c r="F1093">
        <v>69</v>
      </c>
    </row>
    <row r="1094" spans="1:6">
      <c r="A1094" t="s">
        <v>66</v>
      </c>
      <c r="B1094">
        <v>2023</v>
      </c>
      <c r="C1094" t="s">
        <v>905</v>
      </c>
      <c r="E1094">
        <v>203</v>
      </c>
      <c r="F1094">
        <v>51</v>
      </c>
    </row>
    <row r="1095" spans="1:6">
      <c r="A1095" t="s">
        <v>13</v>
      </c>
      <c r="B1095">
        <v>2019</v>
      </c>
      <c r="C1095" t="s">
        <v>873</v>
      </c>
      <c r="E1095">
        <v>95.30891492271419</v>
      </c>
      <c r="F1095">
        <v>107</v>
      </c>
    </row>
    <row r="1096" spans="1:6">
      <c r="A1096" t="s">
        <v>68</v>
      </c>
      <c r="B1096">
        <v>2019</v>
      </c>
      <c r="C1096" t="s">
        <v>895</v>
      </c>
      <c r="E1096">
        <v>54</v>
      </c>
      <c r="F1096">
        <v>14</v>
      </c>
    </row>
    <row r="1097" spans="1:6">
      <c r="A1097" t="s">
        <v>55</v>
      </c>
      <c r="B1097">
        <v>2019</v>
      </c>
      <c r="C1097" t="s">
        <v>897</v>
      </c>
      <c r="E1097">
        <v>3</v>
      </c>
      <c r="F1097">
        <v>3</v>
      </c>
    </row>
    <row r="1098" spans="1:6">
      <c r="A1098" t="s">
        <v>59</v>
      </c>
      <c r="B1098">
        <v>2022</v>
      </c>
      <c r="C1098" t="s">
        <v>840</v>
      </c>
      <c r="E1098">
        <v>296</v>
      </c>
      <c r="F1098">
        <v>63</v>
      </c>
    </row>
    <row r="1099" spans="1:6">
      <c r="A1099" t="s">
        <v>78</v>
      </c>
      <c r="B1099">
        <v>2022</v>
      </c>
      <c r="C1099" t="s">
        <v>874</v>
      </c>
      <c r="E1099">
        <v>6.25906172180176</v>
      </c>
      <c r="F1099">
        <v>15</v>
      </c>
    </row>
    <row r="1100" spans="1:6">
      <c r="A1100" t="s">
        <v>87</v>
      </c>
      <c r="B1100">
        <v>2015</v>
      </c>
      <c r="C1100" t="s">
        <v>895</v>
      </c>
      <c r="E1100">
        <v>0.459571670532227</v>
      </c>
      <c r="F1100">
        <v>2</v>
      </c>
    </row>
    <row r="1101" spans="1:6">
      <c r="A1101" t="s">
        <v>134</v>
      </c>
      <c r="B1101">
        <v>2024</v>
      </c>
      <c r="C1101" t="s">
        <v>878</v>
      </c>
      <c r="E1101">
        <v>3</v>
      </c>
      <c r="F1101">
        <v>2</v>
      </c>
    </row>
    <row r="1102" spans="1:6">
      <c r="A1102" t="s">
        <v>166</v>
      </c>
      <c r="B1102">
        <v>2021</v>
      </c>
      <c r="C1102" t="s">
        <v>874</v>
      </c>
      <c r="D1102" t="s">
        <v>884</v>
      </c>
      <c r="E1102">
        <v>12.3550623073578</v>
      </c>
      <c r="F1102">
        <v>25</v>
      </c>
    </row>
    <row r="1103" spans="1:6">
      <c r="A1103" t="s">
        <v>190</v>
      </c>
      <c r="B1103">
        <v>2024</v>
      </c>
      <c r="C1103" t="s">
        <v>879</v>
      </c>
      <c r="D1103" t="s">
        <v>884</v>
      </c>
      <c r="E1103">
        <v>0.002</v>
      </c>
      <c r="F1103">
        <v>1</v>
      </c>
    </row>
    <row r="1104" spans="1:6">
      <c r="A1104" t="s">
        <v>193</v>
      </c>
      <c r="B1104">
        <v>2021</v>
      </c>
      <c r="C1104" t="s">
        <v>879</v>
      </c>
      <c r="D1104" t="s">
        <v>890</v>
      </c>
      <c r="E1104">
        <v>0.00264503860473633</v>
      </c>
      <c r="F1104">
        <v>1</v>
      </c>
    </row>
    <row r="1105" spans="1:6">
      <c r="A1105" t="s">
        <v>45</v>
      </c>
      <c r="B1105">
        <v>2015</v>
      </c>
      <c r="C1105" t="s">
        <v>888</v>
      </c>
      <c r="D1105" t="s">
        <v>840</v>
      </c>
      <c r="E1105">
        <v>8.01888312530518</v>
      </c>
      <c r="F1105">
        <v>10</v>
      </c>
    </row>
    <row r="1106" spans="1:6">
      <c r="A1106" t="s">
        <v>608</v>
      </c>
      <c r="B1106">
        <v>2017</v>
      </c>
      <c r="C1106" t="s">
        <v>884</v>
      </c>
      <c r="E1106">
        <v>1.12944967651367</v>
      </c>
      <c r="F1106">
        <v>3</v>
      </c>
    </row>
    <row r="1107" spans="1:6">
      <c r="A1107" t="s">
        <v>212</v>
      </c>
      <c r="B1107">
        <v>2022</v>
      </c>
      <c r="C1107" t="s">
        <v>892</v>
      </c>
      <c r="E1107">
        <v>1.18890194702148</v>
      </c>
      <c r="F1107">
        <v>2</v>
      </c>
    </row>
    <row r="1108" spans="1:6">
      <c r="A1108" t="s">
        <v>596</v>
      </c>
      <c r="B1108">
        <v>2022</v>
      </c>
      <c r="C1108" t="s">
        <v>891</v>
      </c>
      <c r="E1108">
        <v>0.159835493087769</v>
      </c>
      <c r="F1108">
        <v>2</v>
      </c>
    </row>
    <row r="1109" spans="1:6">
      <c r="A1109" t="s">
        <v>459</v>
      </c>
      <c r="B1109">
        <v>2017</v>
      </c>
      <c r="C1109" t="s">
        <v>893</v>
      </c>
      <c r="E1109">
        <v>0.544800786011852</v>
      </c>
      <c r="F1109">
        <v>3</v>
      </c>
    </row>
    <row r="1110" spans="1:6">
      <c r="A1110" t="s">
        <v>449</v>
      </c>
      <c r="B1110">
        <v>2024</v>
      </c>
      <c r="C1110" t="s">
        <v>883</v>
      </c>
      <c r="E1110">
        <v>0.1</v>
      </c>
      <c r="F1110">
        <v>1</v>
      </c>
    </row>
    <row r="1111" spans="1:6">
      <c r="A1111" t="s">
        <v>451</v>
      </c>
      <c r="B1111">
        <v>2019</v>
      </c>
      <c r="C1111" t="s">
        <v>883</v>
      </c>
      <c r="E1111">
        <v>0.014</v>
      </c>
      <c r="F1111">
        <v>1</v>
      </c>
    </row>
    <row r="1112" spans="1:6">
      <c r="A1112" t="s">
        <v>458</v>
      </c>
      <c r="B1112">
        <v>2023</v>
      </c>
      <c r="C1112" t="s">
        <v>893</v>
      </c>
      <c r="E1112">
        <v>1.60491259765625</v>
      </c>
      <c r="F1112">
        <v>4</v>
      </c>
    </row>
    <row r="1113" spans="1:6">
      <c r="A1113" t="s">
        <v>408</v>
      </c>
      <c r="B1113">
        <v>2017</v>
      </c>
      <c r="C1113" t="s">
        <v>839</v>
      </c>
      <c r="E1113">
        <v>5.61726454305649</v>
      </c>
      <c r="F1113">
        <v>31</v>
      </c>
    </row>
    <row r="1114" spans="1:6">
      <c r="A1114" t="s">
        <v>18</v>
      </c>
      <c r="B1114">
        <v>2017</v>
      </c>
      <c r="C1114" t="s">
        <v>888</v>
      </c>
      <c r="E1114">
        <v>11.3295902175903</v>
      </c>
      <c r="F1114">
        <v>24</v>
      </c>
    </row>
    <row r="1115" spans="1:6">
      <c r="A1115" t="s">
        <v>16</v>
      </c>
      <c r="B1115">
        <v>2015</v>
      </c>
      <c r="C1115" t="s">
        <v>909</v>
      </c>
      <c r="E1115">
        <v>16.4648777942657</v>
      </c>
      <c r="F1115">
        <v>34</v>
      </c>
    </row>
    <row r="1116" spans="1:6">
      <c r="A1116" t="s">
        <v>15</v>
      </c>
      <c r="B1116">
        <v>2017</v>
      </c>
      <c r="C1116" t="s">
        <v>895</v>
      </c>
      <c r="E1116">
        <v>5.03321443682909</v>
      </c>
      <c r="F1116">
        <v>14</v>
      </c>
    </row>
    <row r="1117" spans="1:6">
      <c r="A1117" t="s">
        <v>49</v>
      </c>
      <c r="B1117">
        <v>2019</v>
      </c>
      <c r="C1117" t="s">
        <v>896</v>
      </c>
      <c r="E1117">
        <v>34</v>
      </c>
      <c r="F1117">
        <v>34</v>
      </c>
    </row>
    <row r="1118" spans="1:6">
      <c r="A1118" t="s">
        <v>79</v>
      </c>
      <c r="B1118">
        <v>2015</v>
      </c>
      <c r="C1118" t="s">
        <v>874</v>
      </c>
      <c r="E1118">
        <v>17.6622169113159</v>
      </c>
      <c r="F1118">
        <v>37</v>
      </c>
    </row>
    <row r="1119" spans="1:6">
      <c r="A1119" t="s">
        <v>84</v>
      </c>
      <c r="B1119">
        <v>2023</v>
      </c>
      <c r="C1119" t="s">
        <v>895</v>
      </c>
      <c r="E1119">
        <v>0.0420416030883789</v>
      </c>
      <c r="F1119">
        <v>1</v>
      </c>
    </row>
    <row r="1120" spans="1:6">
      <c r="A1120" t="s">
        <v>115</v>
      </c>
      <c r="B1120">
        <v>2023</v>
      </c>
      <c r="C1120" t="s">
        <v>873</v>
      </c>
      <c r="E1120">
        <v>104</v>
      </c>
      <c r="F1120">
        <v>30</v>
      </c>
    </row>
    <row r="1121" spans="1:6">
      <c r="A1121" t="s">
        <v>153</v>
      </c>
      <c r="B1121">
        <v>2015</v>
      </c>
      <c r="C1121" t="s">
        <v>890</v>
      </c>
      <c r="E1121">
        <v>4.14637809562683</v>
      </c>
      <c r="F1121">
        <v>16</v>
      </c>
    </row>
    <row r="1122" spans="1:6">
      <c r="A1122" t="s">
        <v>171</v>
      </c>
      <c r="B1122">
        <v>2020</v>
      </c>
      <c r="C1122" t="s">
        <v>874</v>
      </c>
      <c r="D1122" t="s">
        <v>879</v>
      </c>
      <c r="E1122">
        <v>0.036236946105957</v>
      </c>
      <c r="F1122">
        <v>1</v>
      </c>
    </row>
    <row r="1123" spans="1:6">
      <c r="A1123" t="s">
        <v>171</v>
      </c>
      <c r="B1123">
        <v>2024</v>
      </c>
      <c r="C1123" t="s">
        <v>874</v>
      </c>
      <c r="D1123" t="s">
        <v>879</v>
      </c>
      <c r="E1123">
        <v>0.25</v>
      </c>
      <c r="F1123">
        <v>1</v>
      </c>
    </row>
    <row r="1124" spans="1:6">
      <c r="A1124" t="s">
        <v>206</v>
      </c>
      <c r="B1124">
        <v>2018</v>
      </c>
      <c r="C1124" t="s">
        <v>839</v>
      </c>
      <c r="E1124">
        <v>29.9937134907246</v>
      </c>
      <c r="F1124">
        <v>71</v>
      </c>
    </row>
    <row r="1125" spans="1:6">
      <c r="A1125" t="s">
        <v>25</v>
      </c>
      <c r="B1125">
        <v>2015</v>
      </c>
      <c r="C1125" t="s">
        <v>882</v>
      </c>
      <c r="D1125" t="s">
        <v>840</v>
      </c>
      <c r="E1125">
        <v>14.773993229866</v>
      </c>
      <c r="F1125">
        <v>31</v>
      </c>
    </row>
    <row r="1126" spans="1:6">
      <c r="A1126" t="s">
        <v>44</v>
      </c>
      <c r="B1126">
        <v>2019</v>
      </c>
      <c r="C1126" t="s">
        <v>888</v>
      </c>
      <c r="D1126" t="s">
        <v>839</v>
      </c>
      <c r="E1126">
        <v>2.41266650390625</v>
      </c>
      <c r="F1126">
        <v>7</v>
      </c>
    </row>
    <row r="1127" spans="1:6">
      <c r="A1127" t="s">
        <v>44</v>
      </c>
      <c r="B1127">
        <v>2015</v>
      </c>
      <c r="C1127" t="s">
        <v>888</v>
      </c>
      <c r="D1127" t="s">
        <v>839</v>
      </c>
      <c r="E1127">
        <v>0.843272827148438</v>
      </c>
      <c r="F1127">
        <v>4</v>
      </c>
    </row>
    <row r="1128" spans="1:6">
      <c r="A1128" t="s">
        <v>218</v>
      </c>
      <c r="B1128">
        <v>2016</v>
      </c>
      <c r="C1128" t="s">
        <v>893</v>
      </c>
      <c r="E1128">
        <v>2.20788220214844</v>
      </c>
      <c r="F1128">
        <v>2</v>
      </c>
    </row>
    <row r="1129" spans="1:6">
      <c r="A1129" t="s">
        <v>297</v>
      </c>
      <c r="B1129">
        <v>2018</v>
      </c>
      <c r="C1129" t="s">
        <v>839</v>
      </c>
      <c r="E1129">
        <v>0.297256896972656</v>
      </c>
      <c r="F1129">
        <v>1</v>
      </c>
    </row>
    <row r="1130" spans="1:6">
      <c r="A1130" t="s">
        <v>460</v>
      </c>
      <c r="B1130">
        <v>2021</v>
      </c>
      <c r="C1130" t="s">
        <v>893</v>
      </c>
      <c r="E1130">
        <v>0.835107683181763</v>
      </c>
      <c r="F1130">
        <v>6</v>
      </c>
    </row>
    <row r="1131" spans="1:6">
      <c r="A1131" t="s">
        <v>419</v>
      </c>
      <c r="B1131">
        <v>2024</v>
      </c>
      <c r="C1131" t="s">
        <v>892</v>
      </c>
      <c r="E1131">
        <v>0.06</v>
      </c>
      <c r="F1131">
        <v>2</v>
      </c>
    </row>
    <row r="1132" spans="1:6">
      <c r="A1132" t="s">
        <v>380</v>
      </c>
      <c r="B1132">
        <v>2021</v>
      </c>
      <c r="C1132" t="s">
        <v>883</v>
      </c>
      <c r="E1132">
        <v>0.984305460929871</v>
      </c>
      <c r="F1132">
        <v>23</v>
      </c>
    </row>
    <row r="1133" spans="1:6">
      <c r="A1133" t="s">
        <v>56</v>
      </c>
      <c r="B1133">
        <v>2019</v>
      </c>
      <c r="C1133" t="s">
        <v>911</v>
      </c>
      <c r="E1133">
        <v>18</v>
      </c>
      <c r="F1133">
        <v>18</v>
      </c>
    </row>
    <row r="1134" spans="1:6">
      <c r="A1134" t="s">
        <v>59</v>
      </c>
      <c r="B1134">
        <v>2021</v>
      </c>
      <c r="C1134" t="s">
        <v>840</v>
      </c>
      <c r="E1134">
        <v>381</v>
      </c>
      <c r="F1134">
        <v>72</v>
      </c>
    </row>
    <row r="1135" spans="1:6">
      <c r="A1135" t="s">
        <v>81</v>
      </c>
      <c r="B1135">
        <v>2017</v>
      </c>
      <c r="C1135" t="s">
        <v>874</v>
      </c>
      <c r="E1135">
        <v>0.517713375091553</v>
      </c>
      <c r="F1135">
        <v>2</v>
      </c>
    </row>
    <row r="1136" spans="1:6">
      <c r="A1136" t="s">
        <v>117</v>
      </c>
      <c r="B1136">
        <v>2022</v>
      </c>
      <c r="C1136" t="s">
        <v>873</v>
      </c>
      <c r="E1136">
        <v>15</v>
      </c>
      <c r="F1136">
        <v>8</v>
      </c>
    </row>
    <row r="1137" spans="1:6">
      <c r="A1137" t="s">
        <v>136</v>
      </c>
      <c r="B1137">
        <v>2020</v>
      </c>
      <c r="C1137" t="s">
        <v>878</v>
      </c>
      <c r="E1137">
        <v>1</v>
      </c>
      <c r="F1137">
        <v>1</v>
      </c>
    </row>
    <row r="1138" spans="1:6">
      <c r="A1138" t="s">
        <v>150</v>
      </c>
      <c r="B1138">
        <v>2021</v>
      </c>
      <c r="C1138" t="s">
        <v>884</v>
      </c>
      <c r="E1138">
        <v>68.53470069074631</v>
      </c>
      <c r="F1138">
        <v>80</v>
      </c>
    </row>
    <row r="1139" spans="1:6">
      <c r="A1139" t="s">
        <v>157</v>
      </c>
      <c r="B1139">
        <v>2021</v>
      </c>
      <c r="C1139" t="s">
        <v>893</v>
      </c>
      <c r="E1139">
        <v>33.3567882292271</v>
      </c>
      <c r="F1139">
        <v>57</v>
      </c>
    </row>
    <row r="1140" spans="1:6">
      <c r="A1140" t="s">
        <v>188</v>
      </c>
      <c r="B1140">
        <v>2023</v>
      </c>
      <c r="C1140" t="s">
        <v>878</v>
      </c>
      <c r="D1140" t="s">
        <v>883</v>
      </c>
      <c r="E1140">
        <v>0.0154941824674606</v>
      </c>
      <c r="F1140">
        <v>2</v>
      </c>
    </row>
    <row r="1141" spans="1:6">
      <c r="A1141" t="s">
        <v>210</v>
      </c>
      <c r="B1141">
        <v>2016</v>
      </c>
      <c r="C1141" t="s">
        <v>898</v>
      </c>
      <c r="E1141">
        <v>0.106306259155273</v>
      </c>
      <c r="F1141">
        <v>1</v>
      </c>
    </row>
    <row r="1142" spans="1:6">
      <c r="A1142" t="s">
        <v>36</v>
      </c>
      <c r="B1142">
        <v>2023</v>
      </c>
      <c r="C1142" t="s">
        <v>878</v>
      </c>
      <c r="D1142" t="s">
        <v>838</v>
      </c>
      <c r="E1142">
        <v>1.58419924163818</v>
      </c>
      <c r="F1142">
        <v>8</v>
      </c>
    </row>
    <row r="1143" spans="1:6">
      <c r="A1143" t="s">
        <v>36</v>
      </c>
      <c r="B1143">
        <v>2024</v>
      </c>
      <c r="C1143" t="s">
        <v>878</v>
      </c>
      <c r="D1143" t="s">
        <v>838</v>
      </c>
      <c r="E1143">
        <v>0.170415222167969</v>
      </c>
      <c r="F1143">
        <v>1</v>
      </c>
    </row>
    <row r="1144" spans="1:6">
      <c r="A1144" t="s">
        <v>217</v>
      </c>
      <c r="B1144">
        <v>2017</v>
      </c>
      <c r="C1144" t="s">
        <v>883</v>
      </c>
      <c r="E1144">
        <v>0.554865489959717</v>
      </c>
      <c r="F1144">
        <v>5</v>
      </c>
    </row>
    <row r="1145" spans="1:6">
      <c r="A1145" t="s">
        <v>599</v>
      </c>
      <c r="B1145">
        <v>2017</v>
      </c>
      <c r="C1145" t="s">
        <v>893</v>
      </c>
      <c r="E1145">
        <v>0.383832570075989</v>
      </c>
      <c r="F1145">
        <v>5</v>
      </c>
    </row>
    <row r="1146" spans="1:6">
      <c r="A1146" t="s">
        <v>228</v>
      </c>
      <c r="B1146">
        <v>2017</v>
      </c>
      <c r="C1146" t="s">
        <v>838</v>
      </c>
      <c r="E1146">
        <v>1.26708068084717</v>
      </c>
      <c r="F1146">
        <v>6</v>
      </c>
    </row>
    <row r="1147" spans="1:6">
      <c r="A1147" t="s">
        <v>452</v>
      </c>
      <c r="B1147">
        <v>2018</v>
      </c>
      <c r="C1147" t="s">
        <v>883</v>
      </c>
      <c r="E1147">
        <v>0.770974464416504</v>
      </c>
      <c r="F1147">
        <v>8</v>
      </c>
    </row>
    <row r="1148" spans="1:6">
      <c r="A1148" t="s">
        <v>7</v>
      </c>
      <c r="B1148">
        <v>2021</v>
      </c>
      <c r="C1148" t="s">
        <v>840</v>
      </c>
      <c r="E1148">
        <v>72.97638105583189</v>
      </c>
      <c r="F1148">
        <v>73</v>
      </c>
    </row>
    <row r="1149" spans="1:6">
      <c r="A1149" t="s">
        <v>385</v>
      </c>
      <c r="B1149">
        <v>2023</v>
      </c>
      <c r="C1149" t="s">
        <v>885</v>
      </c>
      <c r="E1149">
        <v>2.30504999160767</v>
      </c>
      <c r="F1149">
        <v>8</v>
      </c>
    </row>
    <row r="1150" spans="1:6">
      <c r="A1150" t="s">
        <v>8</v>
      </c>
      <c r="B1150">
        <v>2016</v>
      </c>
      <c r="C1150" t="s">
        <v>838</v>
      </c>
      <c r="E1150">
        <v>31.6279704856873</v>
      </c>
      <c r="F1150">
        <v>30</v>
      </c>
    </row>
    <row r="1151" spans="1:6">
      <c r="A1151" t="s">
        <v>91</v>
      </c>
      <c r="B1151">
        <v>2019</v>
      </c>
      <c r="C1151" t="s">
        <v>878</v>
      </c>
      <c r="E1151">
        <v>7.50781311988831</v>
      </c>
      <c r="F1151">
        <v>25</v>
      </c>
    </row>
    <row r="1152" spans="1:6">
      <c r="A1152" t="s">
        <v>132</v>
      </c>
      <c r="B1152">
        <v>2020</v>
      </c>
      <c r="C1152" t="s">
        <v>878</v>
      </c>
      <c r="E1152">
        <v>32</v>
      </c>
      <c r="F1152">
        <v>11</v>
      </c>
    </row>
    <row r="1153" spans="1:6">
      <c r="A1153" t="s">
        <v>151</v>
      </c>
      <c r="B1153">
        <v>2024</v>
      </c>
      <c r="C1153" t="s">
        <v>892</v>
      </c>
      <c r="E1153">
        <v>0.154701745986938</v>
      </c>
      <c r="F1153">
        <v>5</v>
      </c>
    </row>
    <row r="1154" spans="1:6">
      <c r="A1154" t="s">
        <v>199</v>
      </c>
      <c r="B1154">
        <v>2018</v>
      </c>
      <c r="C1154" t="s">
        <v>881</v>
      </c>
      <c r="D1154" t="s">
        <v>892</v>
      </c>
      <c r="E1154">
        <v>15.477406917572</v>
      </c>
      <c r="F1154">
        <v>11</v>
      </c>
    </row>
    <row r="1155" spans="1:6">
      <c r="A1155" t="s">
        <v>176</v>
      </c>
      <c r="B1155">
        <v>2023</v>
      </c>
      <c r="C1155" t="s">
        <v>895</v>
      </c>
      <c r="D1155" t="s">
        <v>880</v>
      </c>
      <c r="E1155">
        <v>0.536271301269531</v>
      </c>
      <c r="F1155">
        <v>2</v>
      </c>
    </row>
    <row r="1156" spans="1:6">
      <c r="A1156" t="s">
        <v>48</v>
      </c>
      <c r="B1156">
        <v>2021</v>
      </c>
      <c r="C1156" t="s">
        <v>888</v>
      </c>
      <c r="D1156" t="s">
        <v>898</v>
      </c>
      <c r="E1156">
        <v>0.69427857208252</v>
      </c>
      <c r="F1156">
        <v>2</v>
      </c>
    </row>
    <row r="1157" spans="1:6">
      <c r="A1157" t="s">
        <v>216</v>
      </c>
      <c r="B1157">
        <v>2017</v>
      </c>
      <c r="C1157" t="s">
        <v>879</v>
      </c>
      <c r="E1157">
        <v>0.068455207824707</v>
      </c>
      <c r="F1157">
        <v>2</v>
      </c>
    </row>
    <row r="1158" spans="1:6">
      <c r="A1158" t="s">
        <v>222</v>
      </c>
      <c r="B1158">
        <v>2019</v>
      </c>
      <c r="C1158" t="s">
        <v>885</v>
      </c>
      <c r="E1158">
        <v>0.5649999999999999</v>
      </c>
      <c r="F1158">
        <v>1</v>
      </c>
    </row>
    <row r="1159" spans="1:6">
      <c r="A1159" t="s">
        <v>324</v>
      </c>
      <c r="B1159">
        <v>2017</v>
      </c>
      <c r="C1159" t="s">
        <v>838</v>
      </c>
      <c r="E1159">
        <v>0.075</v>
      </c>
      <c r="F1159">
        <v>1</v>
      </c>
    </row>
    <row r="1160" spans="1:6">
      <c r="A1160" t="s">
        <v>437</v>
      </c>
      <c r="B1160">
        <v>2017</v>
      </c>
      <c r="C1160" t="s">
        <v>891</v>
      </c>
      <c r="E1160">
        <v>0.8110727594420311</v>
      </c>
      <c r="F1160">
        <v>25</v>
      </c>
    </row>
    <row r="1161" spans="1:6">
      <c r="A1161" t="s">
        <v>386</v>
      </c>
      <c r="B1161">
        <v>2017</v>
      </c>
      <c r="C1161" t="s">
        <v>885</v>
      </c>
      <c r="E1161">
        <v>1.00896777153015</v>
      </c>
      <c r="F1161">
        <v>7</v>
      </c>
    </row>
    <row r="1162" spans="1:6">
      <c r="A1162" t="s">
        <v>423</v>
      </c>
      <c r="B1162">
        <v>2016</v>
      </c>
      <c r="C1162" t="s">
        <v>892</v>
      </c>
      <c r="E1162">
        <v>0.146171096801758</v>
      </c>
      <c r="F1162">
        <v>1</v>
      </c>
    </row>
    <row r="1163" spans="1:6">
      <c r="A1163" t="s">
        <v>447</v>
      </c>
      <c r="B1163">
        <v>2024</v>
      </c>
      <c r="C1163" t="s">
        <v>879</v>
      </c>
      <c r="E1163">
        <v>0.001</v>
      </c>
      <c r="F1163">
        <v>1</v>
      </c>
    </row>
    <row r="1164" spans="1:6">
      <c r="A1164" t="s">
        <v>55</v>
      </c>
      <c r="B1164">
        <v>2021</v>
      </c>
      <c r="C1164" t="s">
        <v>875</v>
      </c>
      <c r="E1164">
        <v>27</v>
      </c>
      <c r="F1164">
        <v>27</v>
      </c>
    </row>
    <row r="1165" spans="1:6">
      <c r="A1165" t="s">
        <v>67</v>
      </c>
      <c r="B1165">
        <v>2021</v>
      </c>
      <c r="C1165" t="s">
        <v>904</v>
      </c>
      <c r="E1165">
        <v>172.934710502625</v>
      </c>
      <c r="F1165">
        <v>39</v>
      </c>
    </row>
    <row r="1166" spans="1:6">
      <c r="A1166" t="s">
        <v>69</v>
      </c>
      <c r="B1166">
        <v>2021</v>
      </c>
      <c r="C1166" t="s">
        <v>909</v>
      </c>
      <c r="E1166">
        <v>138.869421005249</v>
      </c>
      <c r="F1166">
        <v>20</v>
      </c>
    </row>
    <row r="1167" spans="1:6">
      <c r="A1167" t="s">
        <v>49</v>
      </c>
      <c r="B1167">
        <v>2021</v>
      </c>
      <c r="C1167" t="s">
        <v>901</v>
      </c>
      <c r="E1167">
        <v>102</v>
      </c>
      <c r="F1167">
        <v>102</v>
      </c>
    </row>
    <row r="1168" spans="1:6">
      <c r="A1168" t="s">
        <v>50</v>
      </c>
      <c r="B1168">
        <v>2019</v>
      </c>
      <c r="C1168" t="s">
        <v>907</v>
      </c>
      <c r="E1168">
        <v>1</v>
      </c>
      <c r="F1168">
        <v>1</v>
      </c>
    </row>
    <row r="1169" spans="1:6">
      <c r="A1169" t="s">
        <v>58</v>
      </c>
      <c r="B1169">
        <v>2017</v>
      </c>
      <c r="C1169" t="s">
        <v>839</v>
      </c>
      <c r="E1169">
        <v>138</v>
      </c>
      <c r="F1169">
        <v>46</v>
      </c>
    </row>
    <row r="1170" spans="1:6">
      <c r="A1170" t="s">
        <v>76</v>
      </c>
      <c r="B1170">
        <v>2019</v>
      </c>
      <c r="C1170" t="s">
        <v>873</v>
      </c>
      <c r="E1170">
        <v>0.161627212524414</v>
      </c>
      <c r="F1170">
        <v>1</v>
      </c>
    </row>
    <row r="1171" spans="1:6">
      <c r="A1171" t="s">
        <v>128</v>
      </c>
      <c r="B1171">
        <v>2018</v>
      </c>
      <c r="C1171" t="s">
        <v>895</v>
      </c>
      <c r="E1171">
        <v>2</v>
      </c>
      <c r="F1171">
        <v>2</v>
      </c>
    </row>
    <row r="1172" spans="1:6">
      <c r="A1172" t="s">
        <v>208</v>
      </c>
      <c r="B1172">
        <v>2020</v>
      </c>
      <c r="C1172" t="s">
        <v>838</v>
      </c>
      <c r="E1172">
        <v>20.8939165450335</v>
      </c>
      <c r="F1172">
        <v>43</v>
      </c>
    </row>
    <row r="1173" spans="1:6">
      <c r="A1173" t="s">
        <v>19</v>
      </c>
      <c r="B1173">
        <v>2021</v>
      </c>
      <c r="C1173" t="s">
        <v>873</v>
      </c>
      <c r="D1173" t="s">
        <v>839</v>
      </c>
      <c r="E1173">
        <v>24.7011417970657</v>
      </c>
      <c r="F1173">
        <v>42</v>
      </c>
    </row>
    <row r="1174" spans="1:6">
      <c r="A1174" t="s">
        <v>217</v>
      </c>
      <c r="B1174">
        <v>2023</v>
      </c>
      <c r="C1174" t="s">
        <v>883</v>
      </c>
      <c r="E1174">
        <v>0.009060925483703609</v>
      </c>
      <c r="F1174">
        <v>1</v>
      </c>
    </row>
    <row r="1175" spans="1:6">
      <c r="A1175" t="s">
        <v>625</v>
      </c>
      <c r="B1175">
        <v>2021</v>
      </c>
      <c r="C1175" t="s">
        <v>892</v>
      </c>
      <c r="E1175">
        <v>0.0555458106994629</v>
      </c>
      <c r="F1175">
        <v>1</v>
      </c>
    </row>
    <row r="1176" spans="1:6">
      <c r="A1176" t="s">
        <v>220</v>
      </c>
      <c r="B1176">
        <v>2021</v>
      </c>
      <c r="C1176" t="s">
        <v>885</v>
      </c>
      <c r="E1176">
        <v>0.390801544189453</v>
      </c>
      <c r="F1176">
        <v>2</v>
      </c>
    </row>
    <row r="1177" spans="1:6">
      <c r="A1177" t="s">
        <v>382</v>
      </c>
      <c r="B1177">
        <v>2015</v>
      </c>
      <c r="C1177" t="s">
        <v>885</v>
      </c>
      <c r="E1177">
        <v>24.6048639011383</v>
      </c>
      <c r="F1177">
        <v>52</v>
      </c>
    </row>
    <row r="1178" spans="1:6">
      <c r="A1178" t="s">
        <v>387</v>
      </c>
      <c r="B1178">
        <v>2019</v>
      </c>
      <c r="C1178" t="s">
        <v>885</v>
      </c>
      <c r="E1178">
        <v>3.36023149108887</v>
      </c>
      <c r="F1178">
        <v>5</v>
      </c>
    </row>
    <row r="1179" spans="1:6">
      <c r="A1179" t="s">
        <v>428</v>
      </c>
      <c r="B1179">
        <v>2017</v>
      </c>
      <c r="C1179" t="s">
        <v>880</v>
      </c>
      <c r="E1179">
        <v>0.174</v>
      </c>
      <c r="F1179">
        <v>1</v>
      </c>
    </row>
    <row r="1180" spans="1:6">
      <c r="A1180" t="s">
        <v>10</v>
      </c>
      <c r="B1180">
        <v>2019</v>
      </c>
      <c r="C1180" t="s">
        <v>841</v>
      </c>
      <c r="E1180">
        <v>0.788490737915039</v>
      </c>
      <c r="F1180">
        <v>2</v>
      </c>
    </row>
    <row r="1181" spans="1:6">
      <c r="A1181" t="s">
        <v>92</v>
      </c>
      <c r="B1181">
        <v>2016</v>
      </c>
      <c r="C1181" t="s">
        <v>878</v>
      </c>
      <c r="E1181">
        <v>4.16310438919067</v>
      </c>
      <c r="F1181">
        <v>9</v>
      </c>
    </row>
    <row r="1182" spans="1:6">
      <c r="A1182" t="s">
        <v>78</v>
      </c>
      <c r="B1182">
        <v>2019</v>
      </c>
      <c r="C1182" t="s">
        <v>874</v>
      </c>
      <c r="E1182">
        <v>8.39905996417999</v>
      </c>
      <c r="F1182">
        <v>14</v>
      </c>
    </row>
    <row r="1183" spans="1:6">
      <c r="A1183" t="s">
        <v>129</v>
      </c>
      <c r="B1183">
        <v>2018</v>
      </c>
      <c r="C1183" t="s">
        <v>895</v>
      </c>
      <c r="E1183">
        <v>16</v>
      </c>
      <c r="F1183">
        <v>2</v>
      </c>
    </row>
    <row r="1184" spans="1:6">
      <c r="A1184" t="s">
        <v>155</v>
      </c>
      <c r="B1184">
        <v>2022</v>
      </c>
      <c r="C1184" t="s">
        <v>879</v>
      </c>
      <c r="E1184">
        <v>5.17537609505653</v>
      </c>
      <c r="F1184">
        <v>37</v>
      </c>
    </row>
    <row r="1185" spans="1:6">
      <c r="A1185" t="s">
        <v>164</v>
      </c>
      <c r="B1185">
        <v>2019</v>
      </c>
      <c r="C1185" t="s">
        <v>887</v>
      </c>
      <c r="D1185" t="s">
        <v>883</v>
      </c>
      <c r="E1185">
        <v>4.43890627002716</v>
      </c>
      <c r="F1185">
        <v>44</v>
      </c>
    </row>
    <row r="1186" spans="1:6">
      <c r="A1186" t="s">
        <v>165</v>
      </c>
      <c r="B1186">
        <v>2022</v>
      </c>
      <c r="C1186" t="s">
        <v>887</v>
      </c>
      <c r="D1186" t="s">
        <v>893</v>
      </c>
      <c r="E1186">
        <v>18.260883472681</v>
      </c>
      <c r="F1186">
        <v>46</v>
      </c>
    </row>
    <row r="1187" spans="1:6">
      <c r="A1187" t="s">
        <v>200</v>
      </c>
      <c r="B1187">
        <v>2020</v>
      </c>
      <c r="C1187" t="s">
        <v>881</v>
      </c>
      <c r="D1187" t="s">
        <v>880</v>
      </c>
      <c r="E1187">
        <v>0.117142214775085</v>
      </c>
      <c r="F1187">
        <v>3</v>
      </c>
    </row>
    <row r="1188" spans="1:6">
      <c r="A1188" t="s">
        <v>19</v>
      </c>
      <c r="B1188">
        <v>2023</v>
      </c>
      <c r="C1188" t="s">
        <v>873</v>
      </c>
      <c r="D1188" t="s">
        <v>839</v>
      </c>
      <c r="E1188">
        <v>7.69979161715507</v>
      </c>
      <c r="F1188">
        <v>31</v>
      </c>
    </row>
    <row r="1189" spans="1:6">
      <c r="A1189" t="s">
        <v>223</v>
      </c>
      <c r="B1189">
        <v>2015</v>
      </c>
      <c r="C1189" t="s">
        <v>885</v>
      </c>
      <c r="E1189">
        <v>2.06037824249268</v>
      </c>
      <c r="F1189">
        <v>7</v>
      </c>
    </row>
    <row r="1190" spans="1:6">
      <c r="A1190" t="s">
        <v>228</v>
      </c>
      <c r="B1190">
        <v>2018</v>
      </c>
      <c r="C1190" t="s">
        <v>838</v>
      </c>
      <c r="E1190">
        <v>0.763250823974609</v>
      </c>
      <c r="F1190">
        <v>3</v>
      </c>
    </row>
    <row r="1191" spans="1:6">
      <c r="A1191" t="s">
        <v>375</v>
      </c>
      <c r="B1191">
        <v>2018</v>
      </c>
      <c r="C1191" t="s">
        <v>892</v>
      </c>
      <c r="E1191">
        <v>14.0500466297865</v>
      </c>
      <c r="F1191">
        <v>45</v>
      </c>
    </row>
    <row r="1192" spans="1:6">
      <c r="A1192" t="s">
        <v>431</v>
      </c>
      <c r="B1192">
        <v>2020</v>
      </c>
      <c r="C1192" t="s">
        <v>890</v>
      </c>
      <c r="E1192">
        <v>0.0392000007629395</v>
      </c>
      <c r="F1192">
        <v>1</v>
      </c>
    </row>
    <row r="1193" spans="1:6">
      <c r="A1193" t="s">
        <v>456</v>
      </c>
      <c r="B1193">
        <v>2023</v>
      </c>
      <c r="C1193" t="s">
        <v>893</v>
      </c>
      <c r="E1193">
        <v>0.5758405201435089</v>
      </c>
      <c r="F1193">
        <v>6</v>
      </c>
    </row>
    <row r="1194" spans="1:6">
      <c r="A1194" t="s">
        <v>9</v>
      </c>
      <c r="B1194">
        <v>2019</v>
      </c>
      <c r="C1194" t="s">
        <v>886</v>
      </c>
      <c r="E1194">
        <v>42.4232650995255</v>
      </c>
      <c r="F1194">
        <v>16</v>
      </c>
    </row>
    <row r="1195" spans="1:6">
      <c r="A1195" t="s">
        <v>105</v>
      </c>
      <c r="B1195">
        <v>2020</v>
      </c>
      <c r="C1195" t="s">
        <v>888</v>
      </c>
      <c r="E1195">
        <v>1.62946398925781</v>
      </c>
      <c r="F1195">
        <v>1</v>
      </c>
    </row>
    <row r="1196" spans="1:6">
      <c r="A1196" t="s">
        <v>141</v>
      </c>
      <c r="B1196">
        <v>2022</v>
      </c>
      <c r="C1196" t="s">
        <v>879</v>
      </c>
      <c r="E1196">
        <v>7</v>
      </c>
      <c r="F1196">
        <v>3</v>
      </c>
    </row>
    <row r="1197" spans="1:6">
      <c r="A1197" t="s">
        <v>138</v>
      </c>
      <c r="B1197">
        <v>2019</v>
      </c>
      <c r="C1197" t="s">
        <v>879</v>
      </c>
      <c r="E1197">
        <v>1</v>
      </c>
      <c r="F1197">
        <v>1</v>
      </c>
    </row>
    <row r="1198" spans="1:6">
      <c r="A1198" t="s">
        <v>175</v>
      </c>
      <c r="B1198">
        <v>2022</v>
      </c>
      <c r="C1198" t="s">
        <v>895</v>
      </c>
      <c r="D1198" t="s">
        <v>892</v>
      </c>
      <c r="E1198">
        <v>3.20278662109375</v>
      </c>
      <c r="F1198">
        <v>4</v>
      </c>
    </row>
    <row r="1199" spans="1:6">
      <c r="A1199" t="s">
        <v>25</v>
      </c>
      <c r="B1199">
        <v>2018</v>
      </c>
      <c r="C1199" t="s">
        <v>882</v>
      </c>
      <c r="D1199" t="s">
        <v>840</v>
      </c>
      <c r="E1199">
        <v>15.6439416540861</v>
      </c>
      <c r="F1199">
        <v>29</v>
      </c>
    </row>
    <row r="1200" spans="1:6">
      <c r="A1200" t="s">
        <v>19</v>
      </c>
      <c r="B1200">
        <v>2020</v>
      </c>
      <c r="C1200" t="s">
        <v>873</v>
      </c>
      <c r="D1200" t="s">
        <v>839</v>
      </c>
      <c r="E1200">
        <v>15.5349232254028</v>
      </c>
      <c r="F1200">
        <v>38</v>
      </c>
    </row>
    <row r="1201" spans="1:6">
      <c r="A1201" t="s">
        <v>214</v>
      </c>
      <c r="B1201">
        <v>2019</v>
      </c>
      <c r="C1201" t="s">
        <v>890</v>
      </c>
      <c r="E1201">
        <v>2.01274987792969</v>
      </c>
      <c r="F1201">
        <v>1</v>
      </c>
    </row>
    <row r="1202" spans="1:6">
      <c r="A1202" t="s">
        <v>628</v>
      </c>
      <c r="B1202">
        <v>2023</v>
      </c>
      <c r="C1202" t="s">
        <v>891</v>
      </c>
      <c r="E1202">
        <v>0.0418614768981934</v>
      </c>
      <c r="F1202">
        <v>1</v>
      </c>
    </row>
    <row r="1203" spans="1:6">
      <c r="A1203" t="s">
        <v>380</v>
      </c>
      <c r="B1203">
        <v>2024</v>
      </c>
      <c r="C1203" t="s">
        <v>883</v>
      </c>
      <c r="E1203">
        <v>0.238</v>
      </c>
      <c r="F1203">
        <v>4</v>
      </c>
    </row>
    <row r="1204" spans="1:6">
      <c r="A1204" t="s">
        <v>453</v>
      </c>
      <c r="B1204">
        <v>2024</v>
      </c>
      <c r="C1204" t="s">
        <v>883</v>
      </c>
      <c r="E1204">
        <v>0.002</v>
      </c>
      <c r="F1204">
        <v>1</v>
      </c>
    </row>
    <row r="1205" spans="1:6">
      <c r="A1205" t="s">
        <v>456</v>
      </c>
      <c r="B1205">
        <v>2021</v>
      </c>
      <c r="C1205" t="s">
        <v>893</v>
      </c>
      <c r="E1205">
        <v>2.57844544410706</v>
      </c>
      <c r="F1205">
        <v>8</v>
      </c>
    </row>
    <row r="1206" spans="1:6">
      <c r="A1206" t="s">
        <v>421</v>
      </c>
      <c r="B1206">
        <v>2019</v>
      </c>
      <c r="C1206" t="s">
        <v>892</v>
      </c>
      <c r="E1206">
        <v>0.703239440917969</v>
      </c>
      <c r="F1206">
        <v>3</v>
      </c>
    </row>
    <row r="1207" spans="1:6">
      <c r="A1207" t="s">
        <v>411</v>
      </c>
      <c r="B1207">
        <v>2023</v>
      </c>
      <c r="C1207" t="s">
        <v>841</v>
      </c>
      <c r="E1207">
        <v>0.09632879638671871</v>
      </c>
      <c r="F1207">
        <v>2</v>
      </c>
    </row>
    <row r="1208" spans="1:6">
      <c r="A1208" t="s">
        <v>61</v>
      </c>
      <c r="B1208">
        <v>2018</v>
      </c>
      <c r="C1208" t="s">
        <v>886</v>
      </c>
      <c r="E1208">
        <v>37</v>
      </c>
      <c r="F1208">
        <v>12</v>
      </c>
    </row>
    <row r="1209" spans="1:6">
      <c r="A1209" t="s">
        <v>81</v>
      </c>
      <c r="B1209">
        <v>2022</v>
      </c>
      <c r="C1209" t="s">
        <v>874</v>
      </c>
      <c r="E1209">
        <v>3.90241625976563</v>
      </c>
      <c r="F1209">
        <v>1</v>
      </c>
    </row>
    <row r="1210" spans="1:6">
      <c r="A1210" t="s">
        <v>85</v>
      </c>
      <c r="B1210">
        <v>2024</v>
      </c>
      <c r="C1210" t="s">
        <v>895</v>
      </c>
      <c r="E1210">
        <v>0.09</v>
      </c>
      <c r="F1210">
        <v>1</v>
      </c>
    </row>
    <row r="1211" spans="1:6">
      <c r="A1211" t="s">
        <v>117</v>
      </c>
      <c r="B1211">
        <v>2020</v>
      </c>
      <c r="C1211" t="s">
        <v>873</v>
      </c>
      <c r="E1211">
        <v>11</v>
      </c>
      <c r="F1211">
        <v>7</v>
      </c>
    </row>
    <row r="1212" spans="1:6">
      <c r="A1212" t="s">
        <v>197</v>
      </c>
      <c r="B1212">
        <v>2022</v>
      </c>
      <c r="C1212" t="s">
        <v>879</v>
      </c>
      <c r="D1212" t="s">
        <v>893</v>
      </c>
      <c r="E1212">
        <v>0.539093330383301</v>
      </c>
      <c r="F1212">
        <v>3</v>
      </c>
    </row>
    <row r="1213" spans="1:6">
      <c r="A1213" t="s">
        <v>190</v>
      </c>
      <c r="B1213">
        <v>2019</v>
      </c>
      <c r="C1213" t="s">
        <v>879</v>
      </c>
      <c r="D1213" t="s">
        <v>884</v>
      </c>
      <c r="E1213">
        <v>1.02208133554459</v>
      </c>
      <c r="F1213">
        <v>7</v>
      </c>
    </row>
    <row r="1214" spans="1:6">
      <c r="A1214" t="s">
        <v>212</v>
      </c>
      <c r="B1214">
        <v>2017</v>
      </c>
      <c r="C1214" t="s">
        <v>892</v>
      </c>
      <c r="E1214">
        <v>2.33947081184387</v>
      </c>
      <c r="F1214">
        <v>10</v>
      </c>
    </row>
    <row r="1215" spans="1:6">
      <c r="A1215" t="s">
        <v>633</v>
      </c>
      <c r="B1215">
        <v>2018</v>
      </c>
      <c r="C1215" t="s">
        <v>892</v>
      </c>
      <c r="E1215">
        <v>0.21</v>
      </c>
      <c r="F1215">
        <v>1</v>
      </c>
    </row>
    <row r="1216" spans="1:6">
      <c r="A1216" t="s">
        <v>309</v>
      </c>
      <c r="B1216">
        <v>2017</v>
      </c>
      <c r="C1216" t="s">
        <v>838</v>
      </c>
      <c r="E1216">
        <v>0.407817741394043</v>
      </c>
      <c r="F1216">
        <v>2</v>
      </c>
    </row>
    <row r="1217" spans="1:6">
      <c r="A1217" t="s">
        <v>454</v>
      </c>
      <c r="B1217">
        <v>2021</v>
      </c>
      <c r="C1217" t="s">
        <v>883</v>
      </c>
      <c r="E1217">
        <v>0.015</v>
      </c>
      <c r="F1217">
        <v>1</v>
      </c>
    </row>
    <row r="1218" spans="1:6">
      <c r="A1218" t="s">
        <v>444</v>
      </c>
      <c r="B1218">
        <v>2017</v>
      </c>
      <c r="C1218" t="s">
        <v>879</v>
      </c>
      <c r="E1218">
        <v>0.025</v>
      </c>
      <c r="F1218">
        <v>1</v>
      </c>
    </row>
    <row r="1219" spans="1:6">
      <c r="A1219" t="s">
        <v>409</v>
      </c>
      <c r="B1219">
        <v>2019</v>
      </c>
      <c r="C1219" t="s">
        <v>840</v>
      </c>
      <c r="E1219">
        <v>46.8075997257233</v>
      </c>
      <c r="F1219">
        <v>66</v>
      </c>
    </row>
    <row r="1220" spans="1:6">
      <c r="A1220" t="s">
        <v>16</v>
      </c>
      <c r="B1220">
        <v>2015</v>
      </c>
      <c r="C1220" t="s">
        <v>878</v>
      </c>
      <c r="E1220">
        <v>16.464877779007</v>
      </c>
      <c r="F1220">
        <v>34</v>
      </c>
    </row>
    <row r="1221" spans="1:6">
      <c r="A1221" t="s">
        <v>67</v>
      </c>
      <c r="B1221">
        <v>2024</v>
      </c>
      <c r="C1221" t="s">
        <v>904</v>
      </c>
      <c r="E1221">
        <v>15</v>
      </c>
      <c r="F1221">
        <v>3</v>
      </c>
    </row>
    <row r="1222" spans="1:6">
      <c r="A1222" t="s">
        <v>49</v>
      </c>
      <c r="B1222">
        <v>2020</v>
      </c>
      <c r="C1222" t="s">
        <v>896</v>
      </c>
      <c r="E1222">
        <v>40</v>
      </c>
      <c r="F1222">
        <v>40</v>
      </c>
    </row>
    <row r="1223" spans="1:6">
      <c r="A1223" t="s">
        <v>55</v>
      </c>
      <c r="B1223">
        <v>2018</v>
      </c>
      <c r="C1223" t="s">
        <v>897</v>
      </c>
      <c r="E1223">
        <v>8</v>
      </c>
      <c r="F1223">
        <v>8</v>
      </c>
    </row>
    <row r="1224" spans="1:6">
      <c r="A1224" t="s">
        <v>56</v>
      </c>
      <c r="B1224">
        <v>2024</v>
      </c>
      <c r="C1224" t="s">
        <v>877</v>
      </c>
      <c r="E1224">
        <v>5</v>
      </c>
      <c r="F1224">
        <v>5</v>
      </c>
    </row>
    <row r="1225" spans="1:6">
      <c r="A1225" t="s">
        <v>97</v>
      </c>
      <c r="B1225">
        <v>2021</v>
      </c>
      <c r="C1225" t="s">
        <v>879</v>
      </c>
      <c r="E1225">
        <v>0.00176335906982422</v>
      </c>
      <c r="F1225">
        <v>1</v>
      </c>
    </row>
    <row r="1226" spans="1:6">
      <c r="A1226" t="s">
        <v>103</v>
      </c>
      <c r="B1226">
        <v>2022</v>
      </c>
      <c r="C1226" t="s">
        <v>888</v>
      </c>
      <c r="E1226">
        <v>2.67758952140808</v>
      </c>
      <c r="F1226">
        <v>9</v>
      </c>
    </row>
    <row r="1227" spans="1:6">
      <c r="A1227" t="s">
        <v>122</v>
      </c>
      <c r="B1227">
        <v>2016</v>
      </c>
      <c r="C1227" t="s">
        <v>874</v>
      </c>
      <c r="E1227">
        <v>36</v>
      </c>
      <c r="F1227">
        <v>11</v>
      </c>
    </row>
    <row r="1228" spans="1:6">
      <c r="A1228" t="s">
        <v>140</v>
      </c>
      <c r="B1228">
        <v>2015</v>
      </c>
      <c r="C1228" t="s">
        <v>879</v>
      </c>
      <c r="E1228">
        <v>3</v>
      </c>
      <c r="F1228">
        <v>2</v>
      </c>
    </row>
    <row r="1229" spans="1:6">
      <c r="A1229" t="s">
        <v>115</v>
      </c>
      <c r="B1229">
        <v>2019</v>
      </c>
      <c r="C1229" t="s">
        <v>873</v>
      </c>
      <c r="E1229">
        <v>204</v>
      </c>
      <c r="F1229">
        <v>70</v>
      </c>
    </row>
    <row r="1230" spans="1:6">
      <c r="A1230" t="s">
        <v>181</v>
      </c>
      <c r="B1230">
        <v>2018</v>
      </c>
      <c r="C1230" t="s">
        <v>895</v>
      </c>
      <c r="D1230" t="s">
        <v>893</v>
      </c>
      <c r="E1230">
        <v>0.297362783432007</v>
      </c>
      <c r="F1230">
        <v>3</v>
      </c>
    </row>
    <row r="1231" spans="1:6">
      <c r="A1231" t="s">
        <v>206</v>
      </c>
      <c r="B1231">
        <v>2021</v>
      </c>
      <c r="C1231" t="s">
        <v>839</v>
      </c>
      <c r="E1231">
        <v>45.6628138370514</v>
      </c>
      <c r="F1231">
        <v>54</v>
      </c>
    </row>
    <row r="1232" spans="1:6">
      <c r="A1232" t="s">
        <v>592</v>
      </c>
      <c r="B1232">
        <v>2019</v>
      </c>
      <c r="C1232" t="s">
        <v>884</v>
      </c>
      <c r="E1232">
        <v>1.37820726013184</v>
      </c>
      <c r="F1232">
        <v>4</v>
      </c>
    </row>
    <row r="1233" spans="1:6">
      <c r="A1233" t="s">
        <v>218</v>
      </c>
      <c r="B1233">
        <v>2023</v>
      </c>
      <c r="C1233" t="s">
        <v>893</v>
      </c>
      <c r="E1233">
        <v>0.736498649597168</v>
      </c>
      <c r="F1233">
        <v>3</v>
      </c>
    </row>
    <row r="1234" spans="1:6">
      <c r="A1234" t="s">
        <v>220</v>
      </c>
      <c r="B1234">
        <v>2015</v>
      </c>
      <c r="C1234" t="s">
        <v>885</v>
      </c>
      <c r="E1234">
        <v>1.3464476776123</v>
      </c>
      <c r="F1234">
        <v>2</v>
      </c>
    </row>
    <row r="1235" spans="1:6">
      <c r="A1235" t="s">
        <v>419</v>
      </c>
      <c r="B1235">
        <v>2022</v>
      </c>
      <c r="C1235" t="s">
        <v>892</v>
      </c>
      <c r="E1235">
        <v>4.34518745040894</v>
      </c>
      <c r="F1235">
        <v>29</v>
      </c>
    </row>
    <row r="1236" spans="1:6">
      <c r="A1236" t="s">
        <v>374</v>
      </c>
      <c r="B1236">
        <v>2016</v>
      </c>
      <c r="C1236" t="s">
        <v>884</v>
      </c>
      <c r="E1236">
        <v>22.8406152905226</v>
      </c>
      <c r="F1236">
        <v>63</v>
      </c>
    </row>
    <row r="1237" spans="1:6">
      <c r="A1237" t="s">
        <v>458</v>
      </c>
      <c r="B1237">
        <v>2022</v>
      </c>
      <c r="C1237" t="s">
        <v>893</v>
      </c>
      <c r="E1237">
        <v>0.931743286132813</v>
      </c>
      <c r="F1237">
        <v>3</v>
      </c>
    </row>
    <row r="1238" spans="1:6">
      <c r="A1238" t="s">
        <v>444</v>
      </c>
      <c r="B1238">
        <v>2016</v>
      </c>
      <c r="C1238" t="s">
        <v>879</v>
      </c>
      <c r="E1238">
        <v>0.14</v>
      </c>
      <c r="F1238">
        <v>1</v>
      </c>
    </row>
    <row r="1239" spans="1:6">
      <c r="A1239" t="s">
        <v>12</v>
      </c>
      <c r="B1239">
        <v>2023</v>
      </c>
      <c r="E1239">
        <v>117.202578669786</v>
      </c>
      <c r="F1239">
        <v>62</v>
      </c>
    </row>
    <row r="1240" spans="1:6">
      <c r="A1240" t="s">
        <v>13</v>
      </c>
      <c r="B1240">
        <v>2015</v>
      </c>
      <c r="C1240" t="s">
        <v>873</v>
      </c>
      <c r="E1240">
        <v>58.4286978471279</v>
      </c>
      <c r="F1240">
        <v>94</v>
      </c>
    </row>
    <row r="1241" spans="1:6">
      <c r="A1241" t="s">
        <v>68</v>
      </c>
      <c r="B1241">
        <v>2015</v>
      </c>
      <c r="C1241" t="s">
        <v>872</v>
      </c>
      <c r="E1241">
        <v>35</v>
      </c>
      <c r="F1241">
        <v>18</v>
      </c>
    </row>
    <row r="1242" spans="1:6">
      <c r="A1242" t="s">
        <v>68</v>
      </c>
      <c r="B1242">
        <v>2017</v>
      </c>
      <c r="C1242" t="s">
        <v>895</v>
      </c>
      <c r="E1242">
        <v>103</v>
      </c>
      <c r="F1242">
        <v>14</v>
      </c>
    </row>
    <row r="1243" spans="1:6">
      <c r="A1243" t="s">
        <v>50</v>
      </c>
      <c r="B1243">
        <v>2017</v>
      </c>
      <c r="C1243" t="s">
        <v>894</v>
      </c>
      <c r="E1243">
        <v>33</v>
      </c>
      <c r="F1243">
        <v>33</v>
      </c>
    </row>
    <row r="1244" spans="1:6">
      <c r="A1244" t="s">
        <v>6</v>
      </c>
      <c r="B1244">
        <v>2024</v>
      </c>
      <c r="C1244" t="s">
        <v>839</v>
      </c>
      <c r="E1244">
        <v>0.5310573730468749</v>
      </c>
      <c r="F1244">
        <v>1</v>
      </c>
    </row>
    <row r="1245" spans="1:6">
      <c r="A1245" t="s">
        <v>85</v>
      </c>
      <c r="B1245">
        <v>2021</v>
      </c>
      <c r="C1245" t="s">
        <v>895</v>
      </c>
      <c r="E1245">
        <v>2.3338169631958</v>
      </c>
      <c r="F1245">
        <v>6</v>
      </c>
    </row>
    <row r="1246" spans="1:6">
      <c r="A1246" t="s">
        <v>129</v>
      </c>
      <c r="B1246">
        <v>2019</v>
      </c>
      <c r="C1246" t="s">
        <v>895</v>
      </c>
      <c r="E1246">
        <v>14</v>
      </c>
      <c r="F1246">
        <v>2</v>
      </c>
    </row>
    <row r="1247" spans="1:6">
      <c r="A1247" t="s">
        <v>153</v>
      </c>
      <c r="B1247">
        <v>2017</v>
      </c>
      <c r="C1247" t="s">
        <v>890</v>
      </c>
      <c r="E1247">
        <v>6.52270160579681</v>
      </c>
      <c r="F1247">
        <v>23</v>
      </c>
    </row>
    <row r="1248" spans="1:6">
      <c r="A1248" t="s">
        <v>19</v>
      </c>
      <c r="B1248">
        <v>2018</v>
      </c>
      <c r="C1248" t="s">
        <v>873</v>
      </c>
      <c r="D1248" t="s">
        <v>839</v>
      </c>
      <c r="E1248">
        <v>12.4126829407215</v>
      </c>
      <c r="F1248">
        <v>48</v>
      </c>
    </row>
    <row r="1249" spans="1:6">
      <c r="A1249" t="s">
        <v>34</v>
      </c>
      <c r="B1249">
        <v>2018</v>
      </c>
      <c r="C1249" t="s">
        <v>878</v>
      </c>
      <c r="D1249" t="s">
        <v>839</v>
      </c>
      <c r="E1249">
        <v>5.05443354320526</v>
      </c>
      <c r="F1249">
        <v>17</v>
      </c>
    </row>
    <row r="1250" spans="1:6">
      <c r="A1250" t="s">
        <v>628</v>
      </c>
      <c r="B1250">
        <v>2019</v>
      </c>
      <c r="C1250" t="s">
        <v>891</v>
      </c>
      <c r="E1250">
        <v>0.00446483993530273</v>
      </c>
      <c r="F1250">
        <v>1</v>
      </c>
    </row>
    <row r="1251" spans="1:6">
      <c r="A1251" t="s">
        <v>213</v>
      </c>
      <c r="B1251">
        <v>2022</v>
      </c>
      <c r="C1251" t="s">
        <v>880</v>
      </c>
      <c r="E1251">
        <v>0.09347104644775391</v>
      </c>
      <c r="F1251">
        <v>1</v>
      </c>
    </row>
    <row r="1252" spans="1:6">
      <c r="A1252" t="s">
        <v>297</v>
      </c>
      <c r="B1252">
        <v>2020</v>
      </c>
      <c r="C1252" t="s">
        <v>839</v>
      </c>
      <c r="E1252">
        <v>1.20304532432556</v>
      </c>
      <c r="F1252">
        <v>4</v>
      </c>
    </row>
    <row r="1253" spans="1:6">
      <c r="A1253" t="s">
        <v>384</v>
      </c>
      <c r="B1253">
        <v>2015</v>
      </c>
      <c r="C1253" t="s">
        <v>885</v>
      </c>
      <c r="E1253">
        <v>1.19242969465256</v>
      </c>
      <c r="F1253">
        <v>10</v>
      </c>
    </row>
    <row r="1254" spans="1:6">
      <c r="A1254" t="s">
        <v>444</v>
      </c>
      <c r="B1254">
        <v>2020</v>
      </c>
      <c r="C1254" t="s">
        <v>879</v>
      </c>
      <c r="E1254">
        <v>0.036236946105957</v>
      </c>
      <c r="F1254">
        <v>1</v>
      </c>
    </row>
    <row r="1255" spans="1:6">
      <c r="A1255" t="s">
        <v>57</v>
      </c>
      <c r="B1255">
        <v>2024</v>
      </c>
      <c r="C1255" t="s">
        <v>910</v>
      </c>
      <c r="E1255">
        <v>1.91205431747437</v>
      </c>
      <c r="F1255">
        <v>11</v>
      </c>
    </row>
    <row r="1256" spans="1:6">
      <c r="A1256" t="s">
        <v>96</v>
      </c>
      <c r="B1256">
        <v>2019</v>
      </c>
      <c r="C1256" t="s">
        <v>879</v>
      </c>
      <c r="E1256">
        <v>0.00731298017501831</v>
      </c>
      <c r="F1256">
        <v>1</v>
      </c>
    </row>
    <row r="1257" spans="1:6">
      <c r="A1257" t="s">
        <v>86</v>
      </c>
      <c r="B1257">
        <v>2017</v>
      </c>
      <c r="C1257" t="s">
        <v>895</v>
      </c>
      <c r="E1257">
        <v>0.472185775756836</v>
      </c>
      <c r="F1257">
        <v>2</v>
      </c>
    </row>
    <row r="1258" spans="1:6">
      <c r="A1258" t="s">
        <v>129</v>
      </c>
      <c r="B1258">
        <v>2015</v>
      </c>
      <c r="C1258" t="s">
        <v>895</v>
      </c>
      <c r="E1258">
        <v>4</v>
      </c>
      <c r="F1258">
        <v>2</v>
      </c>
    </row>
    <row r="1259" spans="1:6">
      <c r="A1259" t="s">
        <v>151</v>
      </c>
      <c r="B1259">
        <v>2021</v>
      </c>
      <c r="C1259" t="s">
        <v>892</v>
      </c>
      <c r="E1259">
        <v>33.5609546504319</v>
      </c>
      <c r="F1259">
        <v>57</v>
      </c>
    </row>
    <row r="1260" spans="1:6">
      <c r="A1260" t="s">
        <v>166</v>
      </c>
      <c r="B1260">
        <v>2018</v>
      </c>
      <c r="C1260" t="s">
        <v>874</v>
      </c>
      <c r="D1260" t="s">
        <v>884</v>
      </c>
      <c r="E1260">
        <v>12.0683725090027</v>
      </c>
      <c r="F1260">
        <v>37</v>
      </c>
    </row>
    <row r="1261" spans="1:6">
      <c r="A1261" t="s">
        <v>203</v>
      </c>
      <c r="B1261">
        <v>2020</v>
      </c>
      <c r="C1261" t="s">
        <v>881</v>
      </c>
      <c r="D1261" t="s">
        <v>879</v>
      </c>
      <c r="E1261">
        <v>0.087959545135498</v>
      </c>
      <c r="F1261">
        <v>3</v>
      </c>
    </row>
    <row r="1262" spans="1:6">
      <c r="A1262" t="s">
        <v>164</v>
      </c>
      <c r="B1262">
        <v>2020</v>
      </c>
      <c r="C1262" t="s">
        <v>887</v>
      </c>
      <c r="D1262" t="s">
        <v>883</v>
      </c>
      <c r="E1262">
        <v>2.54978661942482</v>
      </c>
      <c r="F1262">
        <v>30</v>
      </c>
    </row>
    <row r="1263" spans="1:6">
      <c r="A1263" t="s">
        <v>46</v>
      </c>
      <c r="B1263">
        <v>2016</v>
      </c>
      <c r="C1263" t="s">
        <v>888</v>
      </c>
      <c r="D1263" t="s">
        <v>838</v>
      </c>
      <c r="E1263">
        <v>2.04669365310669</v>
      </c>
      <c r="F1263">
        <v>7</v>
      </c>
    </row>
    <row r="1264" spans="1:6">
      <c r="A1264" t="s">
        <v>214</v>
      </c>
      <c r="B1264">
        <v>2018</v>
      </c>
      <c r="C1264" t="s">
        <v>890</v>
      </c>
      <c r="E1264">
        <v>1.17667804145813</v>
      </c>
      <c r="F1264">
        <v>2</v>
      </c>
    </row>
    <row r="1265" spans="1:6">
      <c r="A1265" t="s">
        <v>611</v>
      </c>
      <c r="B1265">
        <v>2019</v>
      </c>
      <c r="C1265" t="s">
        <v>890</v>
      </c>
      <c r="E1265">
        <v>1.96810144042969</v>
      </c>
      <c r="F1265">
        <v>1</v>
      </c>
    </row>
    <row r="1266" spans="1:6">
      <c r="A1266" t="s">
        <v>386</v>
      </c>
      <c r="B1266">
        <v>2016</v>
      </c>
      <c r="C1266" t="s">
        <v>885</v>
      </c>
      <c r="E1266">
        <v>1.2698660736084</v>
      </c>
      <c r="F1266">
        <v>3</v>
      </c>
    </row>
    <row r="1267" spans="1:6">
      <c r="A1267" t="s">
        <v>413</v>
      </c>
      <c r="B1267">
        <v>2016</v>
      </c>
      <c r="C1267" t="s">
        <v>884</v>
      </c>
      <c r="E1267">
        <v>10.706088793695</v>
      </c>
      <c r="F1267">
        <v>50</v>
      </c>
    </row>
    <row r="1268" spans="1:6">
      <c r="A1268" t="s">
        <v>456</v>
      </c>
      <c r="B1268">
        <v>2016</v>
      </c>
      <c r="C1268" t="s">
        <v>893</v>
      </c>
      <c r="E1268">
        <v>2.54555523872375</v>
      </c>
      <c r="F1268">
        <v>9</v>
      </c>
    </row>
    <row r="1269" spans="1:6">
      <c r="A1269" t="s">
        <v>6</v>
      </c>
      <c r="B1269">
        <v>2017</v>
      </c>
      <c r="C1269" t="s">
        <v>839</v>
      </c>
      <c r="E1269">
        <v>22.6770729063153</v>
      </c>
      <c r="F1269">
        <v>46</v>
      </c>
    </row>
    <row r="1270" spans="1:6">
      <c r="A1270" t="s">
        <v>103</v>
      </c>
      <c r="B1270">
        <v>2017</v>
      </c>
      <c r="C1270" t="s">
        <v>888</v>
      </c>
      <c r="E1270">
        <v>4.2683154425621</v>
      </c>
      <c r="F1270">
        <v>13</v>
      </c>
    </row>
    <row r="1271" spans="1:6">
      <c r="A1271" t="s">
        <v>121</v>
      </c>
      <c r="B1271">
        <v>2022</v>
      </c>
      <c r="C1271" t="s">
        <v>874</v>
      </c>
      <c r="E1271">
        <v>70</v>
      </c>
      <c r="F1271">
        <v>17</v>
      </c>
    </row>
    <row r="1272" spans="1:6">
      <c r="A1272" t="s">
        <v>116</v>
      </c>
      <c r="B1272">
        <v>2024</v>
      </c>
      <c r="C1272" t="s">
        <v>873</v>
      </c>
      <c r="E1272">
        <v>7</v>
      </c>
      <c r="F1272">
        <v>2</v>
      </c>
    </row>
    <row r="1273" spans="1:6">
      <c r="A1273" t="s">
        <v>162</v>
      </c>
      <c r="B1273">
        <v>2023</v>
      </c>
      <c r="C1273" t="s">
        <v>887</v>
      </c>
      <c r="D1273" t="s">
        <v>891</v>
      </c>
      <c r="E1273">
        <v>0.265958857923746</v>
      </c>
      <c r="F1273">
        <v>13</v>
      </c>
    </row>
    <row r="1274" spans="1:6">
      <c r="A1274" t="s">
        <v>200</v>
      </c>
      <c r="B1274">
        <v>2021</v>
      </c>
      <c r="C1274" t="s">
        <v>881</v>
      </c>
      <c r="D1274" t="s">
        <v>880</v>
      </c>
      <c r="E1274">
        <v>0.761153961181641</v>
      </c>
      <c r="F1274">
        <v>2</v>
      </c>
    </row>
    <row r="1275" spans="1:6">
      <c r="A1275" t="s">
        <v>45</v>
      </c>
      <c r="B1275">
        <v>2019</v>
      </c>
      <c r="C1275" t="s">
        <v>888</v>
      </c>
      <c r="D1275" t="s">
        <v>840</v>
      </c>
      <c r="E1275">
        <v>4.21783428955078</v>
      </c>
      <c r="F1275">
        <v>7</v>
      </c>
    </row>
    <row r="1276" spans="1:6">
      <c r="A1276" t="s">
        <v>220</v>
      </c>
      <c r="B1276">
        <v>2017</v>
      </c>
      <c r="C1276" t="s">
        <v>885</v>
      </c>
      <c r="E1276">
        <v>0.0510492210388184</v>
      </c>
      <c r="F1276">
        <v>1</v>
      </c>
    </row>
    <row r="1277" spans="1:6">
      <c r="A1277" t="s">
        <v>612</v>
      </c>
      <c r="B1277">
        <v>2023</v>
      </c>
      <c r="C1277" t="s">
        <v>891</v>
      </c>
      <c r="E1277">
        <v>0.0330270729064941</v>
      </c>
      <c r="F1277">
        <v>1</v>
      </c>
    </row>
    <row r="1278" spans="1:6">
      <c r="A1278" t="s">
        <v>380</v>
      </c>
      <c r="B1278">
        <v>2015</v>
      </c>
      <c r="C1278" t="s">
        <v>883</v>
      </c>
      <c r="E1278">
        <v>1.03586639672518</v>
      </c>
      <c r="F1278">
        <v>22</v>
      </c>
    </row>
    <row r="1279" spans="1:6">
      <c r="A1279" t="s">
        <v>437</v>
      </c>
      <c r="B1279">
        <v>2022</v>
      </c>
      <c r="C1279" t="s">
        <v>891</v>
      </c>
      <c r="E1279">
        <v>0.639730958938599</v>
      </c>
      <c r="F1279">
        <v>10</v>
      </c>
    </row>
    <row r="1280" spans="1:6">
      <c r="A1280" t="s">
        <v>445</v>
      </c>
      <c r="B1280">
        <v>2016</v>
      </c>
      <c r="C1280" t="s">
        <v>879</v>
      </c>
      <c r="E1280">
        <v>0.002</v>
      </c>
      <c r="F1280">
        <v>1</v>
      </c>
    </row>
    <row r="1281" spans="1:6">
      <c r="A1281" t="s">
        <v>460</v>
      </c>
      <c r="B1281">
        <v>2018</v>
      </c>
      <c r="C1281" t="s">
        <v>893</v>
      </c>
      <c r="E1281">
        <v>0.0133284368515015</v>
      </c>
      <c r="F1281">
        <v>2</v>
      </c>
    </row>
    <row r="1282" spans="1:6">
      <c r="A1282" t="s">
        <v>412</v>
      </c>
      <c r="B1282">
        <v>2023</v>
      </c>
      <c r="C1282" t="s">
        <v>898</v>
      </c>
      <c r="E1282">
        <v>0.0268203392028809</v>
      </c>
      <c r="F1282">
        <v>1</v>
      </c>
    </row>
    <row r="1283" spans="1:6">
      <c r="A1283" t="s">
        <v>7</v>
      </c>
      <c r="B1283">
        <v>2022</v>
      </c>
      <c r="C1283" t="s">
        <v>840</v>
      </c>
      <c r="E1283">
        <v>64.7175410919189</v>
      </c>
      <c r="F1283">
        <v>64</v>
      </c>
    </row>
    <row r="1284" spans="1:6">
      <c r="A1284" t="s">
        <v>74</v>
      </c>
      <c r="B1284">
        <v>2020</v>
      </c>
      <c r="C1284" t="s">
        <v>873</v>
      </c>
      <c r="E1284">
        <v>19.8149274406433</v>
      </c>
      <c r="F1284">
        <v>27</v>
      </c>
    </row>
    <row r="1285" spans="1:6">
      <c r="A1285" t="s">
        <v>98</v>
      </c>
      <c r="B1285">
        <v>2023</v>
      </c>
      <c r="C1285" t="s">
        <v>879</v>
      </c>
      <c r="E1285">
        <v>0.796636581420898</v>
      </c>
      <c r="F1285">
        <v>2</v>
      </c>
    </row>
    <row r="1286" spans="1:6">
      <c r="A1286" t="s">
        <v>134</v>
      </c>
      <c r="B1286">
        <v>2019</v>
      </c>
      <c r="C1286" t="s">
        <v>878</v>
      </c>
      <c r="E1286">
        <v>23</v>
      </c>
      <c r="F1286">
        <v>9</v>
      </c>
    </row>
    <row r="1287" spans="1:6">
      <c r="A1287" t="s">
        <v>182</v>
      </c>
      <c r="B1287">
        <v>2019</v>
      </c>
      <c r="C1287" t="s">
        <v>878</v>
      </c>
      <c r="D1287" t="s">
        <v>884</v>
      </c>
      <c r="E1287">
        <v>6.44665544128418</v>
      </c>
      <c r="F1287">
        <v>24</v>
      </c>
    </row>
    <row r="1288" spans="1:6">
      <c r="A1288" t="s">
        <v>168</v>
      </c>
      <c r="B1288">
        <v>2018</v>
      </c>
      <c r="C1288" t="s">
        <v>874</v>
      </c>
      <c r="D1288" t="s">
        <v>880</v>
      </c>
      <c r="E1288">
        <v>1.26707236480713</v>
      </c>
      <c r="F1288">
        <v>6</v>
      </c>
    </row>
    <row r="1289" spans="1:6">
      <c r="A1289" t="s">
        <v>631</v>
      </c>
      <c r="B1289">
        <v>2015</v>
      </c>
      <c r="C1289" t="s">
        <v>893</v>
      </c>
      <c r="E1289">
        <v>0.0742238388061523</v>
      </c>
      <c r="F1289">
        <v>2</v>
      </c>
    </row>
    <row r="1290" spans="1:6">
      <c r="A1290" t="s">
        <v>220</v>
      </c>
      <c r="B1290">
        <v>2016</v>
      </c>
      <c r="C1290" t="s">
        <v>885</v>
      </c>
      <c r="E1290">
        <v>2.9407460899353</v>
      </c>
      <c r="F1290">
        <v>5</v>
      </c>
    </row>
    <row r="1291" spans="1:6">
      <c r="A1291" t="s">
        <v>227</v>
      </c>
      <c r="B1291">
        <v>2017</v>
      </c>
      <c r="C1291" t="s">
        <v>840</v>
      </c>
      <c r="E1291">
        <v>6.25100041198731</v>
      </c>
      <c r="F1291">
        <v>12</v>
      </c>
    </row>
    <row r="1292" spans="1:6">
      <c r="A1292" t="s">
        <v>381</v>
      </c>
      <c r="B1292">
        <v>2017</v>
      </c>
      <c r="C1292" t="s">
        <v>893</v>
      </c>
      <c r="E1292">
        <v>8.587554598271851</v>
      </c>
      <c r="F1292">
        <v>43</v>
      </c>
    </row>
    <row r="1293" spans="1:6">
      <c r="A1293" t="s">
        <v>456</v>
      </c>
      <c r="B1293">
        <v>2019</v>
      </c>
      <c r="C1293" t="s">
        <v>893</v>
      </c>
      <c r="E1293">
        <v>0.838714569091797</v>
      </c>
      <c r="F1293">
        <v>6</v>
      </c>
    </row>
    <row r="1294" spans="1:6">
      <c r="A1294" t="s">
        <v>443</v>
      </c>
      <c r="B1294">
        <v>2023</v>
      </c>
      <c r="C1294" t="s">
        <v>879</v>
      </c>
      <c r="E1294">
        <v>0.0160378386974335</v>
      </c>
      <c r="F1294">
        <v>2</v>
      </c>
    </row>
    <row r="1295" spans="1:6">
      <c r="A1295" t="s">
        <v>17</v>
      </c>
      <c r="B1295">
        <v>2016</v>
      </c>
      <c r="C1295" t="s">
        <v>879</v>
      </c>
      <c r="E1295">
        <v>3.01806946277618</v>
      </c>
      <c r="F1295">
        <v>9</v>
      </c>
    </row>
    <row r="1296" spans="1:6">
      <c r="A1296" t="s">
        <v>70</v>
      </c>
      <c r="B1296">
        <v>2023</v>
      </c>
      <c r="C1296" t="s">
        <v>900</v>
      </c>
      <c r="E1296">
        <v>13</v>
      </c>
      <c r="F1296">
        <v>4</v>
      </c>
    </row>
    <row r="1297" spans="1:6">
      <c r="A1297" t="s">
        <v>70</v>
      </c>
      <c r="B1297">
        <v>2019</v>
      </c>
      <c r="C1297" t="s">
        <v>879</v>
      </c>
      <c r="E1297">
        <v>24</v>
      </c>
      <c r="F1297">
        <v>10</v>
      </c>
    </row>
    <row r="1298" spans="1:6">
      <c r="A1298" t="s">
        <v>50</v>
      </c>
      <c r="B1298">
        <v>2019</v>
      </c>
      <c r="C1298" t="s">
        <v>899</v>
      </c>
      <c r="E1298">
        <v>1</v>
      </c>
      <c r="F1298">
        <v>1</v>
      </c>
    </row>
    <row r="1299" spans="1:6">
      <c r="A1299" t="s">
        <v>55</v>
      </c>
      <c r="B1299">
        <v>2024</v>
      </c>
      <c r="C1299" t="s">
        <v>902</v>
      </c>
      <c r="E1299">
        <v>14</v>
      </c>
      <c r="F1299">
        <v>14</v>
      </c>
    </row>
    <row r="1300" spans="1:6">
      <c r="A1300" t="s">
        <v>81</v>
      </c>
      <c r="B1300">
        <v>2015</v>
      </c>
      <c r="C1300" t="s">
        <v>874</v>
      </c>
      <c r="E1300">
        <v>1.87992054748535</v>
      </c>
      <c r="F1300">
        <v>4</v>
      </c>
    </row>
    <row r="1301" spans="1:6">
      <c r="A1301" t="s">
        <v>92</v>
      </c>
      <c r="B1301">
        <v>2017</v>
      </c>
      <c r="C1301" t="s">
        <v>878</v>
      </c>
      <c r="E1301">
        <v>2.02770885467529</v>
      </c>
      <c r="F1301">
        <v>7</v>
      </c>
    </row>
    <row r="1302" spans="1:6">
      <c r="A1302" t="s">
        <v>94</v>
      </c>
      <c r="B1302">
        <v>2019</v>
      </c>
      <c r="C1302" t="s">
        <v>878</v>
      </c>
      <c r="E1302">
        <v>0.626863525390625</v>
      </c>
      <c r="F1302">
        <v>1</v>
      </c>
    </row>
    <row r="1303" spans="1:6">
      <c r="A1303" t="s">
        <v>117</v>
      </c>
      <c r="B1303">
        <v>2019</v>
      </c>
      <c r="C1303" t="s">
        <v>873</v>
      </c>
      <c r="E1303">
        <v>27</v>
      </c>
      <c r="F1303">
        <v>8</v>
      </c>
    </row>
    <row r="1304" spans="1:6">
      <c r="A1304" t="s">
        <v>114</v>
      </c>
      <c r="B1304">
        <v>2021</v>
      </c>
      <c r="C1304" t="s">
        <v>873</v>
      </c>
      <c r="E1304">
        <v>46</v>
      </c>
      <c r="F1304">
        <v>24</v>
      </c>
    </row>
    <row r="1305" spans="1:6">
      <c r="A1305" t="s">
        <v>152</v>
      </c>
      <c r="B1305">
        <v>2022</v>
      </c>
      <c r="C1305" t="s">
        <v>880</v>
      </c>
      <c r="E1305">
        <v>19.777401911974</v>
      </c>
      <c r="F1305">
        <v>29</v>
      </c>
    </row>
    <row r="1306" spans="1:6">
      <c r="A1306" t="s">
        <v>207</v>
      </c>
      <c r="B1306">
        <v>2019</v>
      </c>
      <c r="C1306" t="s">
        <v>840</v>
      </c>
      <c r="E1306">
        <v>71.5554144141674</v>
      </c>
      <c r="F1306">
        <v>97</v>
      </c>
    </row>
    <row r="1307" spans="1:6">
      <c r="A1307" t="s">
        <v>36</v>
      </c>
      <c r="B1307">
        <v>2021</v>
      </c>
      <c r="C1307" t="s">
        <v>878</v>
      </c>
      <c r="D1307" t="s">
        <v>838</v>
      </c>
      <c r="E1307">
        <v>3.40123443603516</v>
      </c>
      <c r="F1307">
        <v>10</v>
      </c>
    </row>
    <row r="1308" spans="1:6">
      <c r="A1308" t="s">
        <v>599</v>
      </c>
      <c r="B1308">
        <v>2020</v>
      </c>
      <c r="C1308" t="s">
        <v>893</v>
      </c>
      <c r="E1308">
        <v>0.441864070892334</v>
      </c>
      <c r="F1308">
        <v>3</v>
      </c>
    </row>
    <row r="1309" spans="1:6">
      <c r="A1309" t="s">
        <v>628</v>
      </c>
      <c r="B1309">
        <v>2018</v>
      </c>
      <c r="C1309" t="s">
        <v>891</v>
      </c>
      <c r="E1309">
        <v>0.0995599365234375</v>
      </c>
      <c r="F1309">
        <v>2</v>
      </c>
    </row>
    <row r="1310" spans="1:6">
      <c r="A1310" t="s">
        <v>378</v>
      </c>
      <c r="B1310">
        <v>2021</v>
      </c>
      <c r="C1310" t="s">
        <v>891</v>
      </c>
      <c r="E1310">
        <v>1.08883641052246</v>
      </c>
      <c r="F1310">
        <v>18</v>
      </c>
    </row>
    <row r="1311" spans="1:6">
      <c r="A1311" t="s">
        <v>459</v>
      </c>
      <c r="B1311">
        <v>2019</v>
      </c>
      <c r="C1311" t="s">
        <v>893</v>
      </c>
      <c r="E1311">
        <v>0.349266712188721</v>
      </c>
      <c r="F1311">
        <v>2</v>
      </c>
    </row>
    <row r="1312" spans="1:6">
      <c r="A1312" t="s">
        <v>423</v>
      </c>
      <c r="B1312">
        <v>2018</v>
      </c>
      <c r="C1312" t="s">
        <v>892</v>
      </c>
      <c r="E1312">
        <v>0.0574570999145508</v>
      </c>
      <c r="F1312">
        <v>2</v>
      </c>
    </row>
    <row r="1313" spans="1:6">
      <c r="A1313" t="s">
        <v>421</v>
      </c>
      <c r="B1313">
        <v>2022</v>
      </c>
      <c r="C1313" t="s">
        <v>892</v>
      </c>
      <c r="E1313">
        <v>0.224</v>
      </c>
      <c r="F1313">
        <v>1</v>
      </c>
    </row>
    <row r="1314" spans="1:6">
      <c r="A1314" t="s">
        <v>15</v>
      </c>
      <c r="B1314">
        <v>2023</v>
      </c>
      <c r="C1314" t="s">
        <v>872</v>
      </c>
      <c r="E1314">
        <v>2.91651965713501</v>
      </c>
      <c r="F1314">
        <v>6</v>
      </c>
    </row>
    <row r="1315" spans="1:6">
      <c r="A1315" t="s">
        <v>71</v>
      </c>
      <c r="B1315">
        <v>2016</v>
      </c>
      <c r="C1315" t="s">
        <v>888</v>
      </c>
      <c r="E1315">
        <v>35</v>
      </c>
      <c r="F1315">
        <v>20</v>
      </c>
    </row>
    <row r="1316" spans="1:6">
      <c r="A1316" t="s">
        <v>50</v>
      </c>
      <c r="B1316">
        <v>2015</v>
      </c>
      <c r="C1316" t="s">
        <v>907</v>
      </c>
      <c r="E1316">
        <v>1</v>
      </c>
      <c r="F1316">
        <v>1</v>
      </c>
    </row>
    <row r="1317" spans="1:6">
      <c r="A1317" t="s">
        <v>55</v>
      </c>
      <c r="B1317">
        <v>2024</v>
      </c>
      <c r="C1317" t="s">
        <v>897</v>
      </c>
      <c r="E1317">
        <v>1</v>
      </c>
      <c r="F1317">
        <v>1</v>
      </c>
    </row>
    <row r="1318" spans="1:6">
      <c r="A1318" t="s">
        <v>55</v>
      </c>
      <c r="B1318">
        <v>2020</v>
      </c>
      <c r="C1318" t="s">
        <v>876</v>
      </c>
      <c r="E1318">
        <v>5</v>
      </c>
      <c r="F1318">
        <v>5</v>
      </c>
    </row>
    <row r="1319" spans="1:6">
      <c r="A1319" t="s">
        <v>87</v>
      </c>
      <c r="B1319">
        <v>2021</v>
      </c>
      <c r="C1319" t="s">
        <v>895</v>
      </c>
      <c r="E1319">
        <v>3.73464836120605</v>
      </c>
      <c r="F1319">
        <v>4</v>
      </c>
    </row>
    <row r="1320" spans="1:6">
      <c r="A1320" t="s">
        <v>84</v>
      </c>
      <c r="B1320">
        <v>2021</v>
      </c>
      <c r="C1320" t="s">
        <v>895</v>
      </c>
      <c r="E1320">
        <v>1.0503818397522</v>
      </c>
      <c r="F1320">
        <v>4</v>
      </c>
    </row>
    <row r="1321" spans="1:6">
      <c r="A1321" t="s">
        <v>117</v>
      </c>
      <c r="B1321">
        <v>2017</v>
      </c>
      <c r="C1321" t="s">
        <v>873</v>
      </c>
      <c r="E1321">
        <v>10</v>
      </c>
      <c r="F1321">
        <v>8</v>
      </c>
    </row>
    <row r="1322" spans="1:6">
      <c r="A1322" t="s">
        <v>134</v>
      </c>
      <c r="B1322">
        <v>2018</v>
      </c>
      <c r="C1322" t="s">
        <v>878</v>
      </c>
      <c r="E1322">
        <v>61</v>
      </c>
      <c r="F1322">
        <v>10</v>
      </c>
    </row>
    <row r="1323" spans="1:6">
      <c r="A1323" t="s">
        <v>150</v>
      </c>
      <c r="B1323">
        <v>2015</v>
      </c>
      <c r="C1323" t="s">
        <v>884</v>
      </c>
      <c r="E1323">
        <v>57.2383982260227</v>
      </c>
      <c r="F1323">
        <v>98</v>
      </c>
    </row>
    <row r="1324" spans="1:6">
      <c r="A1324" t="s">
        <v>183</v>
      </c>
      <c r="B1324">
        <v>2023</v>
      </c>
      <c r="C1324" t="s">
        <v>878</v>
      </c>
      <c r="D1324" t="s">
        <v>892</v>
      </c>
      <c r="E1324">
        <v>1.27670907402039</v>
      </c>
      <c r="F1324">
        <v>6</v>
      </c>
    </row>
    <row r="1325" spans="1:6">
      <c r="A1325" t="s">
        <v>21</v>
      </c>
      <c r="B1325">
        <v>2019</v>
      </c>
      <c r="C1325" t="s">
        <v>873</v>
      </c>
      <c r="D1325" t="s">
        <v>838</v>
      </c>
      <c r="E1325">
        <v>23.1787663507462</v>
      </c>
      <c r="F1325">
        <v>45</v>
      </c>
    </row>
    <row r="1326" spans="1:6">
      <c r="A1326" t="s">
        <v>35</v>
      </c>
      <c r="B1326">
        <v>2016</v>
      </c>
      <c r="C1326" t="s">
        <v>878</v>
      </c>
      <c r="D1326" t="s">
        <v>840</v>
      </c>
      <c r="E1326">
        <v>5.46235695266724</v>
      </c>
      <c r="F1326">
        <v>24</v>
      </c>
    </row>
    <row r="1327" spans="1:6">
      <c r="A1327" t="s">
        <v>594</v>
      </c>
      <c r="B1327">
        <v>2021</v>
      </c>
      <c r="C1327" t="s">
        <v>880</v>
      </c>
      <c r="E1327">
        <v>2.79933266067505</v>
      </c>
      <c r="F1327">
        <v>2</v>
      </c>
    </row>
    <row r="1328" spans="1:6">
      <c r="A1328" t="s">
        <v>304</v>
      </c>
      <c r="B1328">
        <v>2021</v>
      </c>
      <c r="C1328" t="s">
        <v>838</v>
      </c>
      <c r="E1328">
        <v>0.105801544189453</v>
      </c>
      <c r="F1328">
        <v>1</v>
      </c>
    </row>
    <row r="1329" spans="1:6">
      <c r="A1329" t="s">
        <v>419</v>
      </c>
      <c r="B1329">
        <v>2015</v>
      </c>
      <c r="C1329" t="s">
        <v>892</v>
      </c>
      <c r="E1329">
        <v>4.16600945854187</v>
      </c>
      <c r="F1329">
        <v>28</v>
      </c>
    </row>
    <row r="1330" spans="1:6">
      <c r="A1330" t="s">
        <v>444</v>
      </c>
      <c r="B1330">
        <v>2015</v>
      </c>
      <c r="C1330" t="s">
        <v>879</v>
      </c>
      <c r="E1330">
        <v>0.417100006103516</v>
      </c>
      <c r="F1330">
        <v>3</v>
      </c>
    </row>
    <row r="1331" spans="1:6">
      <c r="A1331" t="s">
        <v>56</v>
      </c>
      <c r="B1331">
        <v>2020</v>
      </c>
      <c r="C1331" t="s">
        <v>903</v>
      </c>
      <c r="E1331">
        <v>93</v>
      </c>
      <c r="F1331">
        <v>93</v>
      </c>
    </row>
    <row r="1332" spans="1:6">
      <c r="A1332" t="s">
        <v>60</v>
      </c>
      <c r="B1332">
        <v>2021</v>
      </c>
      <c r="C1332" t="s">
        <v>838</v>
      </c>
      <c r="E1332">
        <v>185.542973518372</v>
      </c>
      <c r="F1332">
        <v>32</v>
      </c>
    </row>
    <row r="1333" spans="1:6">
      <c r="A1333" t="s">
        <v>72</v>
      </c>
      <c r="B1333">
        <v>2020</v>
      </c>
      <c r="C1333" t="s">
        <v>873</v>
      </c>
      <c r="E1333">
        <v>13.3810771689415</v>
      </c>
      <c r="F1333">
        <v>26</v>
      </c>
    </row>
    <row r="1334" spans="1:6">
      <c r="A1334" t="s">
        <v>94</v>
      </c>
      <c r="B1334">
        <v>2018</v>
      </c>
      <c r="C1334" t="s">
        <v>878</v>
      </c>
      <c r="E1334">
        <v>0.699428039550781</v>
      </c>
      <c r="F1334">
        <v>1</v>
      </c>
    </row>
    <row r="1335" spans="1:6">
      <c r="A1335" t="s">
        <v>80</v>
      </c>
      <c r="B1335">
        <v>2016</v>
      </c>
      <c r="C1335" t="s">
        <v>874</v>
      </c>
      <c r="E1335">
        <v>5.38007038116455</v>
      </c>
      <c r="F1335">
        <v>11</v>
      </c>
    </row>
    <row r="1336" spans="1:6">
      <c r="A1336" t="s">
        <v>144</v>
      </c>
      <c r="B1336">
        <v>2020</v>
      </c>
      <c r="C1336" t="s">
        <v>888</v>
      </c>
      <c r="E1336">
        <v>36</v>
      </c>
      <c r="F1336">
        <v>2</v>
      </c>
    </row>
    <row r="1337" spans="1:6">
      <c r="A1337" t="s">
        <v>129</v>
      </c>
      <c r="B1337">
        <v>2021</v>
      </c>
      <c r="C1337" t="s">
        <v>895</v>
      </c>
      <c r="E1337">
        <v>19</v>
      </c>
      <c r="F1337">
        <v>4</v>
      </c>
    </row>
    <row r="1338" spans="1:6">
      <c r="A1338" t="s">
        <v>118</v>
      </c>
      <c r="B1338">
        <v>2019</v>
      </c>
      <c r="C1338" t="s">
        <v>873</v>
      </c>
      <c r="E1338">
        <v>1</v>
      </c>
      <c r="F1338">
        <v>1</v>
      </c>
    </row>
    <row r="1339" spans="1:6">
      <c r="A1339" t="s">
        <v>185</v>
      </c>
      <c r="B1339">
        <v>2023</v>
      </c>
      <c r="C1339" t="s">
        <v>878</v>
      </c>
      <c r="D1339" t="s">
        <v>890</v>
      </c>
      <c r="E1339">
        <v>0.156229736328125</v>
      </c>
      <c r="F1339">
        <v>1</v>
      </c>
    </row>
    <row r="1340" spans="1:6">
      <c r="A1340" t="s">
        <v>203</v>
      </c>
      <c r="B1340">
        <v>2018</v>
      </c>
      <c r="C1340" t="s">
        <v>881</v>
      </c>
      <c r="D1340" t="s">
        <v>879</v>
      </c>
      <c r="E1340">
        <v>0.280182439804077</v>
      </c>
      <c r="F1340">
        <v>4</v>
      </c>
    </row>
    <row r="1341" spans="1:6">
      <c r="A1341" t="s">
        <v>44</v>
      </c>
      <c r="B1341">
        <v>2018</v>
      </c>
      <c r="C1341" t="s">
        <v>888</v>
      </c>
      <c r="D1341" t="s">
        <v>839</v>
      </c>
      <c r="E1341">
        <v>2.35208239650726</v>
      </c>
      <c r="F1341">
        <v>7</v>
      </c>
    </row>
    <row r="1342" spans="1:6">
      <c r="A1342" t="s">
        <v>24</v>
      </c>
      <c r="B1342">
        <v>2024</v>
      </c>
      <c r="C1342" t="s">
        <v>882</v>
      </c>
      <c r="D1342" t="s">
        <v>839</v>
      </c>
      <c r="E1342">
        <v>0.634695587158203</v>
      </c>
      <c r="F1342">
        <v>2</v>
      </c>
    </row>
    <row r="1343" spans="1:6">
      <c r="A1343" t="s">
        <v>631</v>
      </c>
      <c r="B1343">
        <v>2021</v>
      </c>
      <c r="C1343" t="s">
        <v>893</v>
      </c>
      <c r="E1343">
        <v>0.547523010253906</v>
      </c>
      <c r="F1343">
        <v>1</v>
      </c>
    </row>
    <row r="1344" spans="1:6">
      <c r="A1344" t="s">
        <v>611</v>
      </c>
      <c r="B1344">
        <v>2017</v>
      </c>
      <c r="C1344" t="s">
        <v>890</v>
      </c>
      <c r="E1344">
        <v>0.109737037658691</v>
      </c>
      <c r="F1344">
        <v>1</v>
      </c>
    </row>
    <row r="1345" spans="1:6">
      <c r="A1345" t="s">
        <v>381</v>
      </c>
      <c r="B1345">
        <v>2018</v>
      </c>
      <c r="C1345" t="s">
        <v>893</v>
      </c>
      <c r="E1345">
        <v>8.18098340505361</v>
      </c>
      <c r="F1345">
        <v>38</v>
      </c>
    </row>
    <row r="1346" spans="1:6">
      <c r="A1346" t="s">
        <v>375</v>
      </c>
      <c r="B1346">
        <v>2023</v>
      </c>
      <c r="C1346" t="s">
        <v>892</v>
      </c>
      <c r="E1346">
        <v>3.00412460899353</v>
      </c>
      <c r="F1346">
        <v>13</v>
      </c>
    </row>
    <row r="1347" spans="1:6">
      <c r="A1347" t="s">
        <v>8</v>
      </c>
      <c r="B1347">
        <v>2021</v>
      </c>
      <c r="C1347" t="s">
        <v>838</v>
      </c>
      <c r="E1347">
        <v>89.7239490470886</v>
      </c>
      <c r="F1347">
        <v>33</v>
      </c>
    </row>
    <row r="1348" spans="1:6">
      <c r="A1348" t="s">
        <v>104</v>
      </c>
      <c r="B1348">
        <v>2020</v>
      </c>
      <c r="C1348" t="s">
        <v>888</v>
      </c>
      <c r="E1348">
        <v>3.15623762130737</v>
      </c>
      <c r="F1348">
        <v>9</v>
      </c>
    </row>
    <row r="1349" spans="1:6">
      <c r="A1349" t="s">
        <v>114</v>
      </c>
      <c r="B1349">
        <v>2020</v>
      </c>
      <c r="C1349" t="s">
        <v>873</v>
      </c>
      <c r="E1349">
        <v>85</v>
      </c>
      <c r="F1349">
        <v>26</v>
      </c>
    </row>
    <row r="1350" spans="1:6">
      <c r="A1350" t="s">
        <v>140</v>
      </c>
      <c r="B1350">
        <v>2022</v>
      </c>
      <c r="C1350" t="s">
        <v>879</v>
      </c>
      <c r="E1350">
        <v>2</v>
      </c>
      <c r="F1350">
        <v>1</v>
      </c>
    </row>
    <row r="1351" spans="1:6">
      <c r="A1351" t="s">
        <v>120</v>
      </c>
      <c r="B1351">
        <v>2017</v>
      </c>
      <c r="C1351" t="s">
        <v>874</v>
      </c>
      <c r="E1351">
        <v>30</v>
      </c>
      <c r="F1351">
        <v>19</v>
      </c>
    </row>
    <row r="1352" spans="1:6">
      <c r="A1352" t="s">
        <v>161</v>
      </c>
      <c r="B1352">
        <v>2020</v>
      </c>
      <c r="C1352" t="s">
        <v>887</v>
      </c>
      <c r="D1352" t="s">
        <v>890</v>
      </c>
      <c r="E1352">
        <v>1.31775930976868</v>
      </c>
      <c r="F1352">
        <v>4</v>
      </c>
    </row>
    <row r="1353" spans="1:6">
      <c r="A1353" t="s">
        <v>174</v>
      </c>
      <c r="B1353">
        <v>2018</v>
      </c>
      <c r="C1353" t="s">
        <v>895</v>
      </c>
      <c r="D1353" t="s">
        <v>884</v>
      </c>
      <c r="E1353">
        <v>4.27653423690796</v>
      </c>
      <c r="F1353">
        <v>8</v>
      </c>
    </row>
    <row r="1354" spans="1:6">
      <c r="A1354" t="s">
        <v>194</v>
      </c>
      <c r="B1354">
        <v>2023</v>
      </c>
      <c r="C1354" t="s">
        <v>879</v>
      </c>
      <c r="D1354" t="s">
        <v>891</v>
      </c>
      <c r="E1354">
        <v>0.0418614768981934</v>
      </c>
      <c r="F1354">
        <v>1</v>
      </c>
    </row>
    <row r="1355" spans="1:6">
      <c r="A1355" t="s">
        <v>207</v>
      </c>
      <c r="B1355">
        <v>2016</v>
      </c>
      <c r="C1355" t="s">
        <v>840</v>
      </c>
      <c r="E1355">
        <v>60.4246133173704</v>
      </c>
      <c r="F1355">
        <v>107</v>
      </c>
    </row>
    <row r="1356" spans="1:6">
      <c r="A1356" t="s">
        <v>47</v>
      </c>
      <c r="B1356">
        <v>2021</v>
      </c>
      <c r="C1356" t="s">
        <v>888</v>
      </c>
      <c r="D1356" t="s">
        <v>841</v>
      </c>
      <c r="E1356">
        <v>0.00705343627929688</v>
      </c>
      <c r="F1356">
        <v>2</v>
      </c>
    </row>
    <row r="1357" spans="1:6">
      <c r="A1357" t="s">
        <v>45</v>
      </c>
      <c r="B1357">
        <v>2018</v>
      </c>
      <c r="C1357" t="s">
        <v>888</v>
      </c>
      <c r="D1357" t="s">
        <v>840</v>
      </c>
      <c r="E1357">
        <v>3.69000649261475</v>
      </c>
      <c r="F1357">
        <v>9</v>
      </c>
    </row>
    <row r="1358" spans="1:6">
      <c r="A1358" t="s">
        <v>224</v>
      </c>
      <c r="B1358">
        <v>2019</v>
      </c>
      <c r="C1358" t="s">
        <v>885</v>
      </c>
      <c r="E1358">
        <v>1.523</v>
      </c>
      <c r="F1358">
        <v>2</v>
      </c>
    </row>
    <row r="1359" spans="1:6">
      <c r="A1359" t="s">
        <v>226</v>
      </c>
      <c r="B1359">
        <v>2019</v>
      </c>
      <c r="C1359" t="s">
        <v>839</v>
      </c>
      <c r="E1359">
        <v>3.37176092934608</v>
      </c>
      <c r="F1359">
        <v>7</v>
      </c>
    </row>
    <row r="1360" spans="1:6">
      <c r="A1360" t="s">
        <v>385</v>
      </c>
      <c r="B1360">
        <v>2017</v>
      </c>
      <c r="C1360" t="s">
        <v>885</v>
      </c>
      <c r="E1360">
        <v>4.0451052532196</v>
      </c>
      <c r="F1360">
        <v>21</v>
      </c>
    </row>
    <row r="1361" spans="1:6">
      <c r="A1361" t="s">
        <v>448</v>
      </c>
      <c r="B1361">
        <v>2017</v>
      </c>
      <c r="C1361" t="s">
        <v>879</v>
      </c>
      <c r="E1361">
        <v>0.0564816427230835</v>
      </c>
      <c r="F1361">
        <v>3</v>
      </c>
    </row>
    <row r="1362" spans="1:6">
      <c r="A1362" t="s">
        <v>374</v>
      </c>
      <c r="B1362">
        <v>2024</v>
      </c>
      <c r="C1362" t="s">
        <v>884</v>
      </c>
      <c r="E1362">
        <v>0.343</v>
      </c>
      <c r="F1362">
        <v>6</v>
      </c>
    </row>
    <row r="1363" spans="1:6">
      <c r="A1363" t="s">
        <v>427</v>
      </c>
      <c r="B1363">
        <v>2019</v>
      </c>
      <c r="C1363" t="s">
        <v>880</v>
      </c>
      <c r="E1363">
        <v>0.05</v>
      </c>
      <c r="F1363">
        <v>1</v>
      </c>
    </row>
    <row r="1364" spans="1:6">
      <c r="A1364" t="s">
        <v>421</v>
      </c>
      <c r="B1364">
        <v>2016</v>
      </c>
      <c r="C1364" t="s">
        <v>892</v>
      </c>
      <c r="E1364">
        <v>1.18547454833984</v>
      </c>
      <c r="F1364">
        <v>3</v>
      </c>
    </row>
    <row r="1365" spans="1:6">
      <c r="A1365" t="s">
        <v>411</v>
      </c>
      <c r="B1365">
        <v>2018</v>
      </c>
      <c r="C1365" t="s">
        <v>841</v>
      </c>
      <c r="E1365">
        <v>0.0425522909164429</v>
      </c>
      <c r="F1365">
        <v>4</v>
      </c>
    </row>
    <row r="1366" spans="1:6">
      <c r="A1366" t="s">
        <v>10</v>
      </c>
      <c r="B1366">
        <v>2017</v>
      </c>
      <c r="C1366" t="s">
        <v>841</v>
      </c>
      <c r="E1366">
        <v>0.427038673400879</v>
      </c>
      <c r="F1366">
        <v>4</v>
      </c>
    </row>
    <row r="1367" spans="1:6">
      <c r="A1367" t="s">
        <v>78</v>
      </c>
      <c r="B1367">
        <v>2017</v>
      </c>
      <c r="C1367" t="s">
        <v>874</v>
      </c>
      <c r="E1367">
        <v>2.3936170425415</v>
      </c>
      <c r="F1367">
        <v>19</v>
      </c>
    </row>
    <row r="1368" spans="1:6">
      <c r="A1368" t="s">
        <v>99</v>
      </c>
      <c r="B1368">
        <v>2020</v>
      </c>
      <c r="C1368" t="s">
        <v>879</v>
      </c>
      <c r="E1368">
        <v>0.107022537231445</v>
      </c>
      <c r="F1368">
        <v>2</v>
      </c>
    </row>
    <row r="1369" spans="1:6">
      <c r="A1369" t="s">
        <v>116</v>
      </c>
      <c r="B1369">
        <v>2021</v>
      </c>
      <c r="C1369" t="s">
        <v>873</v>
      </c>
      <c r="E1369">
        <v>71.738842010498</v>
      </c>
      <c r="F1369">
        <v>27</v>
      </c>
    </row>
    <row r="1370" spans="1:6">
      <c r="A1370" t="s">
        <v>136</v>
      </c>
      <c r="B1370">
        <v>2023</v>
      </c>
      <c r="C1370" t="s">
        <v>878</v>
      </c>
      <c r="E1370">
        <v>1</v>
      </c>
      <c r="F1370">
        <v>1</v>
      </c>
    </row>
    <row r="1371" spans="1:6">
      <c r="A1371" t="s">
        <v>157</v>
      </c>
      <c r="B1371">
        <v>2020</v>
      </c>
      <c r="C1371" t="s">
        <v>893</v>
      </c>
      <c r="E1371">
        <v>18.0985651667118</v>
      </c>
      <c r="F1371">
        <v>44</v>
      </c>
    </row>
    <row r="1372" spans="1:6">
      <c r="A1372" t="s">
        <v>174</v>
      </c>
      <c r="B1372">
        <v>2020</v>
      </c>
      <c r="C1372" t="s">
        <v>895</v>
      </c>
      <c r="D1372" t="s">
        <v>884</v>
      </c>
      <c r="E1372">
        <v>0.450071929931641</v>
      </c>
      <c r="F1372">
        <v>3</v>
      </c>
    </row>
    <row r="1373" spans="1:6">
      <c r="A1373" t="s">
        <v>173</v>
      </c>
      <c r="B1373">
        <v>2020</v>
      </c>
      <c r="C1373" t="s">
        <v>874</v>
      </c>
      <c r="D1373" t="s">
        <v>893</v>
      </c>
      <c r="E1373">
        <v>2.71640378022194</v>
      </c>
      <c r="F1373">
        <v>14</v>
      </c>
    </row>
    <row r="1374" spans="1:6">
      <c r="A1374" t="s">
        <v>207</v>
      </c>
      <c r="B1374">
        <v>2021</v>
      </c>
      <c r="C1374" t="s">
        <v>840</v>
      </c>
      <c r="E1374">
        <v>72.5172514967918</v>
      </c>
      <c r="F1374">
        <v>82</v>
      </c>
    </row>
    <row r="1375" spans="1:6">
      <c r="A1375" t="s">
        <v>36</v>
      </c>
      <c r="B1375">
        <v>2017</v>
      </c>
      <c r="C1375" t="s">
        <v>878</v>
      </c>
      <c r="D1375" t="s">
        <v>838</v>
      </c>
      <c r="E1375">
        <v>2.70562887954712</v>
      </c>
      <c r="F1375">
        <v>12</v>
      </c>
    </row>
    <row r="1376" spans="1:6">
      <c r="A1376" t="s">
        <v>223</v>
      </c>
      <c r="B1376">
        <v>2019</v>
      </c>
      <c r="C1376" t="s">
        <v>885</v>
      </c>
      <c r="E1376">
        <v>1.74208837890625</v>
      </c>
      <c r="F1376">
        <v>5</v>
      </c>
    </row>
    <row r="1377" spans="1:6">
      <c r="A1377" t="s">
        <v>213</v>
      </c>
      <c r="B1377">
        <v>2023</v>
      </c>
      <c r="C1377" t="s">
        <v>880</v>
      </c>
      <c r="E1377">
        <v>0.326084594726562</v>
      </c>
      <c r="F1377">
        <v>2</v>
      </c>
    </row>
    <row r="1378" spans="1:6">
      <c r="A1378" t="s">
        <v>603</v>
      </c>
      <c r="B1378">
        <v>2020</v>
      </c>
      <c r="C1378" t="s">
        <v>890</v>
      </c>
      <c r="E1378">
        <v>0.469677795410156</v>
      </c>
      <c r="F1378">
        <v>1</v>
      </c>
    </row>
    <row r="1379" spans="1:6">
      <c r="A1379" t="s">
        <v>420</v>
      </c>
      <c r="B1379">
        <v>2022</v>
      </c>
      <c r="C1379" t="s">
        <v>892</v>
      </c>
      <c r="E1379">
        <v>1.34848413085937</v>
      </c>
      <c r="F1379">
        <v>5</v>
      </c>
    </row>
    <row r="1380" spans="1:6">
      <c r="A1380" t="s">
        <v>379</v>
      </c>
      <c r="B1380">
        <v>2023</v>
      </c>
      <c r="C1380" t="s">
        <v>879</v>
      </c>
      <c r="E1380">
        <v>0.197256344556808</v>
      </c>
      <c r="F1380">
        <v>3</v>
      </c>
    </row>
    <row r="1381" spans="1:6">
      <c r="A1381" t="s">
        <v>428</v>
      </c>
      <c r="B1381">
        <v>2021</v>
      </c>
      <c r="C1381" t="s">
        <v>880</v>
      </c>
      <c r="E1381">
        <v>0.662055419921875</v>
      </c>
      <c r="F1381">
        <v>2</v>
      </c>
    </row>
    <row r="1382" spans="1:6">
      <c r="A1382" t="s">
        <v>443</v>
      </c>
      <c r="B1382">
        <v>2018</v>
      </c>
      <c r="C1382" t="s">
        <v>879</v>
      </c>
      <c r="E1382">
        <v>1.23085451221466</v>
      </c>
      <c r="F1382">
        <v>24</v>
      </c>
    </row>
    <row r="1383" spans="1:6">
      <c r="A1383" t="s">
        <v>50</v>
      </c>
      <c r="B1383">
        <v>2021</v>
      </c>
      <c r="C1383" t="s">
        <v>871</v>
      </c>
      <c r="E1383">
        <v>13</v>
      </c>
      <c r="F1383">
        <v>13</v>
      </c>
    </row>
    <row r="1384" spans="1:6">
      <c r="A1384" t="s">
        <v>13</v>
      </c>
      <c r="B1384">
        <v>2021</v>
      </c>
      <c r="C1384" t="s">
        <v>905</v>
      </c>
      <c r="E1384">
        <v>104.086852690697</v>
      </c>
      <c r="F1384">
        <v>84</v>
      </c>
    </row>
    <row r="1385" spans="1:6">
      <c r="A1385" t="s">
        <v>16</v>
      </c>
      <c r="B1385">
        <v>2021</v>
      </c>
      <c r="C1385" t="s">
        <v>909</v>
      </c>
      <c r="E1385">
        <v>13.9584215164185</v>
      </c>
      <c r="F1385">
        <v>19</v>
      </c>
    </row>
    <row r="1386" spans="1:6">
      <c r="A1386" t="s">
        <v>68</v>
      </c>
      <c r="B1386">
        <v>2021</v>
      </c>
      <c r="C1386" t="s">
        <v>872</v>
      </c>
      <c r="E1386">
        <v>37</v>
      </c>
      <c r="F1386">
        <v>8</v>
      </c>
    </row>
    <row r="1387" spans="1:6">
      <c r="A1387" t="s">
        <v>55</v>
      </c>
      <c r="B1387">
        <v>2016</v>
      </c>
      <c r="C1387" t="s">
        <v>897</v>
      </c>
      <c r="E1387">
        <v>4</v>
      </c>
      <c r="F1387">
        <v>4</v>
      </c>
    </row>
    <row r="1388" spans="1:6">
      <c r="A1388" t="s">
        <v>55</v>
      </c>
      <c r="B1388">
        <v>2022</v>
      </c>
      <c r="C1388" t="s">
        <v>875</v>
      </c>
      <c r="E1388">
        <v>23</v>
      </c>
      <c r="F1388">
        <v>23</v>
      </c>
    </row>
    <row r="1389" spans="1:6">
      <c r="A1389" t="s">
        <v>56</v>
      </c>
      <c r="B1389">
        <v>2023</v>
      </c>
      <c r="C1389" t="s">
        <v>911</v>
      </c>
      <c r="E1389">
        <v>12</v>
      </c>
      <c r="F1389">
        <v>12</v>
      </c>
    </row>
    <row r="1390" spans="1:6">
      <c r="A1390" t="s">
        <v>81</v>
      </c>
      <c r="B1390">
        <v>2021</v>
      </c>
      <c r="C1390" t="s">
        <v>874</v>
      </c>
      <c r="E1390">
        <v>3.99687082290649</v>
      </c>
      <c r="F1390">
        <v>4</v>
      </c>
    </row>
    <row r="1391" spans="1:6">
      <c r="A1391" t="s">
        <v>141</v>
      </c>
      <c r="B1391">
        <v>2018</v>
      </c>
      <c r="C1391" t="s">
        <v>879</v>
      </c>
      <c r="E1391">
        <v>5</v>
      </c>
      <c r="F1391">
        <v>5</v>
      </c>
    </row>
    <row r="1392" spans="1:6">
      <c r="A1392" t="s">
        <v>151</v>
      </c>
      <c r="B1392">
        <v>2022</v>
      </c>
      <c r="C1392" t="s">
        <v>892</v>
      </c>
      <c r="E1392">
        <v>26.1925400089026</v>
      </c>
      <c r="F1392">
        <v>48</v>
      </c>
    </row>
    <row r="1393" spans="1:6">
      <c r="A1393" t="s">
        <v>172</v>
      </c>
      <c r="B1393">
        <v>2022</v>
      </c>
      <c r="C1393" t="s">
        <v>874</v>
      </c>
      <c r="D1393" t="s">
        <v>883</v>
      </c>
      <c r="E1393">
        <v>0.0336495780944824</v>
      </c>
      <c r="F1393">
        <v>1</v>
      </c>
    </row>
    <row r="1394" spans="1:6">
      <c r="A1394" t="s">
        <v>163</v>
      </c>
      <c r="B1394">
        <v>2020</v>
      </c>
      <c r="C1394" t="s">
        <v>887</v>
      </c>
      <c r="D1394" t="s">
        <v>879</v>
      </c>
      <c r="E1394">
        <v>1.36205127966404</v>
      </c>
      <c r="F1394">
        <v>22</v>
      </c>
    </row>
    <row r="1395" spans="1:6">
      <c r="A1395" t="s">
        <v>198</v>
      </c>
      <c r="B1395">
        <v>2022</v>
      </c>
      <c r="C1395" t="s">
        <v>881</v>
      </c>
      <c r="D1395" t="s">
        <v>884</v>
      </c>
      <c r="E1395">
        <v>1.40828456878662</v>
      </c>
      <c r="F1395">
        <v>7</v>
      </c>
    </row>
    <row r="1396" spans="1:6">
      <c r="A1396" t="s">
        <v>21</v>
      </c>
      <c r="B1396">
        <v>2024</v>
      </c>
      <c r="C1396" t="s">
        <v>873</v>
      </c>
      <c r="D1396" t="s">
        <v>838</v>
      </c>
      <c r="E1396">
        <v>0.373255819320679</v>
      </c>
      <c r="F1396">
        <v>4</v>
      </c>
    </row>
    <row r="1397" spans="1:6">
      <c r="A1397" t="s">
        <v>630</v>
      </c>
      <c r="B1397">
        <v>2018</v>
      </c>
      <c r="C1397" t="s">
        <v>883</v>
      </c>
      <c r="E1397">
        <v>0.0492457098960876</v>
      </c>
      <c r="F1397">
        <v>2</v>
      </c>
    </row>
    <row r="1398" spans="1:6">
      <c r="A1398" t="s">
        <v>599</v>
      </c>
      <c r="B1398">
        <v>2019</v>
      </c>
      <c r="C1398" t="s">
        <v>893</v>
      </c>
      <c r="E1398">
        <v>6.14881225585937</v>
      </c>
      <c r="F1398">
        <v>3</v>
      </c>
    </row>
    <row r="1399" spans="1:6">
      <c r="A1399" t="s">
        <v>625</v>
      </c>
      <c r="B1399">
        <v>2017</v>
      </c>
      <c r="C1399" t="s">
        <v>892</v>
      </c>
      <c r="E1399">
        <v>0.326862223625183</v>
      </c>
      <c r="F1399">
        <v>5</v>
      </c>
    </row>
    <row r="1400" spans="1:6">
      <c r="A1400" t="s">
        <v>317</v>
      </c>
      <c r="B1400">
        <v>2019</v>
      </c>
      <c r="C1400" t="s">
        <v>839</v>
      </c>
      <c r="E1400">
        <v>0.2793154296875</v>
      </c>
      <c r="F1400">
        <v>2</v>
      </c>
    </row>
    <row r="1401" spans="1:6">
      <c r="A1401" t="s">
        <v>379</v>
      </c>
      <c r="B1401">
        <v>2018</v>
      </c>
      <c r="C1401" t="s">
        <v>879</v>
      </c>
      <c r="E1401">
        <v>1.34146063137054</v>
      </c>
      <c r="F1401">
        <v>25</v>
      </c>
    </row>
    <row r="1402" spans="1:6">
      <c r="A1402" t="s">
        <v>428</v>
      </c>
      <c r="B1402">
        <v>2020</v>
      </c>
      <c r="C1402" t="s">
        <v>880</v>
      </c>
      <c r="E1402">
        <v>0.0293548622131348</v>
      </c>
      <c r="F1402">
        <v>1</v>
      </c>
    </row>
    <row r="1403" spans="1:6">
      <c r="A1403" t="s">
        <v>416</v>
      </c>
      <c r="B1403">
        <v>2020</v>
      </c>
      <c r="C1403" t="s">
        <v>884</v>
      </c>
      <c r="E1403">
        <v>0.921345548629761</v>
      </c>
      <c r="F1403">
        <v>7</v>
      </c>
    </row>
    <row r="1404" spans="1:6">
      <c r="A1404" t="s">
        <v>416</v>
      </c>
      <c r="B1404">
        <v>2023</v>
      </c>
      <c r="C1404" t="s">
        <v>884</v>
      </c>
      <c r="E1404">
        <v>0.537806243896484</v>
      </c>
      <c r="F1404">
        <v>2</v>
      </c>
    </row>
    <row r="1405" spans="1:6">
      <c r="A1405" t="s">
        <v>375</v>
      </c>
      <c r="B1405">
        <v>2017</v>
      </c>
      <c r="C1405" t="s">
        <v>892</v>
      </c>
      <c r="E1405">
        <v>9.711425120353701</v>
      </c>
      <c r="F1405">
        <v>42</v>
      </c>
    </row>
    <row r="1406" spans="1:6">
      <c r="A1406" t="s">
        <v>413</v>
      </c>
      <c r="B1406">
        <v>2017</v>
      </c>
      <c r="C1406" t="s">
        <v>884</v>
      </c>
      <c r="E1406">
        <v>10.018331738472</v>
      </c>
      <c r="F1406">
        <v>55</v>
      </c>
    </row>
    <row r="1407" spans="1:6">
      <c r="A1407" t="s">
        <v>411</v>
      </c>
      <c r="B1407">
        <v>2019</v>
      </c>
      <c r="C1407" t="s">
        <v>841</v>
      </c>
      <c r="E1407">
        <v>0.150649765014648</v>
      </c>
      <c r="F1407">
        <v>6</v>
      </c>
    </row>
    <row r="1408" spans="1:6">
      <c r="A1408" t="s">
        <v>12</v>
      </c>
      <c r="B1408">
        <v>2018</v>
      </c>
      <c r="E1408">
        <v>158.357836522102</v>
      </c>
      <c r="F1408">
        <v>157</v>
      </c>
    </row>
    <row r="1409" spans="1:6">
      <c r="A1409" t="s">
        <v>67</v>
      </c>
      <c r="B1409">
        <v>2020</v>
      </c>
      <c r="C1409" t="s">
        <v>904</v>
      </c>
      <c r="E1409">
        <v>184</v>
      </c>
      <c r="F1409">
        <v>34</v>
      </c>
    </row>
    <row r="1410" spans="1:6">
      <c r="A1410" t="s">
        <v>17</v>
      </c>
      <c r="B1410">
        <v>2015</v>
      </c>
      <c r="C1410" t="s">
        <v>900</v>
      </c>
      <c r="E1410">
        <v>4.96639848148823</v>
      </c>
      <c r="F1410">
        <v>13</v>
      </c>
    </row>
    <row r="1411" spans="1:6">
      <c r="A1411" t="s">
        <v>50</v>
      </c>
      <c r="B1411">
        <v>2015</v>
      </c>
      <c r="C1411" t="s">
        <v>894</v>
      </c>
      <c r="E1411">
        <v>27</v>
      </c>
      <c r="F1411">
        <v>27</v>
      </c>
    </row>
    <row r="1412" spans="1:6">
      <c r="A1412" t="s">
        <v>50</v>
      </c>
      <c r="B1412">
        <v>2017</v>
      </c>
      <c r="C1412" t="s">
        <v>908</v>
      </c>
      <c r="E1412">
        <v>4</v>
      </c>
      <c r="F1412">
        <v>4</v>
      </c>
    </row>
    <row r="1413" spans="1:6">
      <c r="A1413" t="s">
        <v>6</v>
      </c>
      <c r="B1413">
        <v>2023</v>
      </c>
      <c r="C1413" t="s">
        <v>839</v>
      </c>
      <c r="E1413">
        <v>19.8830644543171</v>
      </c>
      <c r="F1413">
        <v>35</v>
      </c>
    </row>
    <row r="1414" spans="1:6">
      <c r="A1414" t="s">
        <v>86</v>
      </c>
      <c r="B1414">
        <v>2018</v>
      </c>
      <c r="C1414" t="s">
        <v>895</v>
      </c>
      <c r="E1414">
        <v>0.142428504943848</v>
      </c>
      <c r="F1414">
        <v>3</v>
      </c>
    </row>
    <row r="1415" spans="1:6">
      <c r="A1415" t="s">
        <v>151</v>
      </c>
      <c r="B1415">
        <v>2018</v>
      </c>
      <c r="C1415" t="s">
        <v>892</v>
      </c>
      <c r="E1415">
        <v>38.9481319417953</v>
      </c>
      <c r="F1415">
        <v>78</v>
      </c>
    </row>
    <row r="1416" spans="1:6">
      <c r="A1416" t="s">
        <v>161</v>
      </c>
      <c r="B1416">
        <v>2018</v>
      </c>
      <c r="C1416" t="s">
        <v>887</v>
      </c>
      <c r="D1416" t="s">
        <v>890</v>
      </c>
      <c r="E1416">
        <v>3.5037732129097</v>
      </c>
      <c r="F1416">
        <v>18</v>
      </c>
    </row>
    <row r="1417" spans="1:6">
      <c r="A1417" t="s">
        <v>41</v>
      </c>
      <c r="B1417">
        <v>2018</v>
      </c>
      <c r="C1417" t="s">
        <v>879</v>
      </c>
      <c r="D1417" t="s">
        <v>838</v>
      </c>
      <c r="E1417">
        <v>1.09810202026367</v>
      </c>
      <c r="F1417">
        <v>3</v>
      </c>
    </row>
    <row r="1418" spans="1:6">
      <c r="A1418" t="s">
        <v>36</v>
      </c>
      <c r="B1418">
        <v>2015</v>
      </c>
      <c r="C1418" t="s">
        <v>878</v>
      </c>
      <c r="D1418" t="s">
        <v>838</v>
      </c>
      <c r="E1418">
        <v>6.25577020204067</v>
      </c>
      <c r="F1418">
        <v>17</v>
      </c>
    </row>
    <row r="1419" spans="1:6">
      <c r="A1419" t="s">
        <v>630</v>
      </c>
      <c r="B1419">
        <v>2019</v>
      </c>
      <c r="C1419" t="s">
        <v>883</v>
      </c>
      <c r="E1419">
        <v>0.301410034179687</v>
      </c>
      <c r="F1419">
        <v>4</v>
      </c>
    </row>
    <row r="1420" spans="1:6">
      <c r="A1420" t="s">
        <v>628</v>
      </c>
      <c r="B1420">
        <v>2015</v>
      </c>
      <c r="C1420" t="s">
        <v>891</v>
      </c>
      <c r="E1420">
        <v>0.0410518531799316</v>
      </c>
      <c r="F1420">
        <v>2</v>
      </c>
    </row>
    <row r="1421" spans="1:6">
      <c r="A1421" t="s">
        <v>307</v>
      </c>
      <c r="B1421">
        <v>2019</v>
      </c>
      <c r="C1421" t="s">
        <v>839</v>
      </c>
      <c r="E1421">
        <v>2.46459155273438</v>
      </c>
      <c r="F1421">
        <v>1</v>
      </c>
    </row>
    <row r="1422" spans="1:6">
      <c r="A1422" t="s">
        <v>414</v>
      </c>
      <c r="B1422">
        <v>2018</v>
      </c>
      <c r="C1422" t="s">
        <v>884</v>
      </c>
      <c r="E1422">
        <v>5.32152837371826</v>
      </c>
      <c r="F1422">
        <v>19</v>
      </c>
    </row>
    <row r="1423" spans="1:6">
      <c r="A1423" t="s">
        <v>376</v>
      </c>
      <c r="B1423">
        <v>2022</v>
      </c>
      <c r="C1423" t="s">
        <v>880</v>
      </c>
      <c r="E1423">
        <v>6.63837115478516</v>
      </c>
      <c r="F1423">
        <v>10</v>
      </c>
    </row>
    <row r="1424" spans="1:6">
      <c r="A1424" t="s">
        <v>432</v>
      </c>
      <c r="B1424">
        <v>2017</v>
      </c>
      <c r="C1424" t="s">
        <v>890</v>
      </c>
      <c r="E1424">
        <v>0.185958724975586</v>
      </c>
      <c r="F1424">
        <v>2</v>
      </c>
    </row>
    <row r="1425" spans="1:6">
      <c r="A1425" t="s">
        <v>74</v>
      </c>
      <c r="B1425">
        <v>2016</v>
      </c>
      <c r="C1425" t="s">
        <v>873</v>
      </c>
      <c r="E1425">
        <v>19.0064879302979</v>
      </c>
      <c r="F1425">
        <v>23</v>
      </c>
    </row>
    <row r="1426" spans="1:6">
      <c r="A1426" t="s">
        <v>93</v>
      </c>
      <c r="B1426">
        <v>2023</v>
      </c>
      <c r="C1426" t="s">
        <v>878</v>
      </c>
      <c r="E1426">
        <v>0.4</v>
      </c>
      <c r="F1426">
        <v>1</v>
      </c>
    </row>
    <row r="1427" spans="1:6">
      <c r="A1427" t="s">
        <v>100</v>
      </c>
      <c r="B1427">
        <v>2017</v>
      </c>
      <c r="C1427" t="s">
        <v>879</v>
      </c>
      <c r="E1427">
        <v>0.100531845092773</v>
      </c>
      <c r="F1427">
        <v>1</v>
      </c>
    </row>
    <row r="1428" spans="1:6">
      <c r="A1428" t="s">
        <v>120</v>
      </c>
      <c r="B1428">
        <v>2024</v>
      </c>
      <c r="C1428" t="s">
        <v>874</v>
      </c>
      <c r="E1428">
        <v>8</v>
      </c>
      <c r="F1428">
        <v>1</v>
      </c>
    </row>
    <row r="1429" spans="1:6">
      <c r="A1429" t="s">
        <v>157</v>
      </c>
      <c r="B1429">
        <v>2015</v>
      </c>
      <c r="C1429" t="s">
        <v>893</v>
      </c>
      <c r="E1429">
        <v>15.3311878748536</v>
      </c>
      <c r="F1429">
        <v>66</v>
      </c>
    </row>
    <row r="1430" spans="1:6">
      <c r="A1430" t="s">
        <v>208</v>
      </c>
      <c r="B1430">
        <v>2017</v>
      </c>
      <c r="C1430" t="s">
        <v>838</v>
      </c>
      <c r="E1430">
        <v>30.5428139773607</v>
      </c>
      <c r="F1430">
        <v>56</v>
      </c>
    </row>
    <row r="1431" spans="1:6">
      <c r="A1431" t="s">
        <v>23</v>
      </c>
      <c r="B1431">
        <v>2022</v>
      </c>
      <c r="C1431" t="s">
        <v>873</v>
      </c>
      <c r="D1431" t="s">
        <v>898</v>
      </c>
      <c r="E1431">
        <v>0.126185916900635</v>
      </c>
      <c r="F1431">
        <v>2</v>
      </c>
    </row>
    <row r="1432" spans="1:6">
      <c r="A1432" t="s">
        <v>27</v>
      </c>
      <c r="B1432">
        <v>2017</v>
      </c>
      <c r="C1432" t="s">
        <v>882</v>
      </c>
      <c r="D1432" t="s">
        <v>841</v>
      </c>
      <c r="E1432">
        <v>0.166963928222656</v>
      </c>
      <c r="F1432">
        <v>1</v>
      </c>
    </row>
    <row r="1433" spans="1:6">
      <c r="A1433" t="s">
        <v>213</v>
      </c>
      <c r="B1433">
        <v>2016</v>
      </c>
      <c r="C1433" t="s">
        <v>880</v>
      </c>
      <c r="E1433">
        <v>1.24387811279297</v>
      </c>
      <c r="F1433">
        <v>2</v>
      </c>
    </row>
    <row r="1434" spans="1:6">
      <c r="A1434" t="s">
        <v>211</v>
      </c>
      <c r="B1434">
        <v>2020</v>
      </c>
      <c r="C1434" t="s">
        <v>884</v>
      </c>
      <c r="E1434">
        <v>0.41015266418457</v>
      </c>
      <c r="F1434">
        <v>2</v>
      </c>
    </row>
    <row r="1435" spans="1:6">
      <c r="A1435" t="s">
        <v>300</v>
      </c>
      <c r="B1435">
        <v>2021</v>
      </c>
      <c r="C1435" t="s">
        <v>841</v>
      </c>
      <c r="E1435">
        <v>0.0908129959106445</v>
      </c>
      <c r="F1435">
        <v>1</v>
      </c>
    </row>
    <row r="1436" spans="1:6">
      <c r="A1436" t="s">
        <v>431</v>
      </c>
      <c r="B1436">
        <v>2021</v>
      </c>
      <c r="C1436" t="s">
        <v>890</v>
      </c>
      <c r="E1436">
        <v>0.37867561340332</v>
      </c>
      <c r="F1436">
        <v>4</v>
      </c>
    </row>
    <row r="1437" spans="1:6">
      <c r="A1437" t="s">
        <v>449</v>
      </c>
      <c r="B1437">
        <v>2020</v>
      </c>
      <c r="C1437" t="s">
        <v>883</v>
      </c>
      <c r="E1437">
        <v>0.632596964597702</v>
      </c>
      <c r="F1437">
        <v>11</v>
      </c>
    </row>
    <row r="1438" spans="1:6">
      <c r="A1438" t="s">
        <v>387</v>
      </c>
      <c r="B1438">
        <v>2015</v>
      </c>
      <c r="C1438" t="s">
        <v>885</v>
      </c>
      <c r="E1438">
        <v>8.851569129943851</v>
      </c>
      <c r="F1438">
        <v>11</v>
      </c>
    </row>
    <row r="1439" spans="1:6">
      <c r="A1439" t="s">
        <v>6</v>
      </c>
      <c r="B1439">
        <v>2020</v>
      </c>
      <c r="C1439" t="s">
        <v>839</v>
      </c>
      <c r="E1439">
        <v>21.3383159461021</v>
      </c>
      <c r="F1439">
        <v>34</v>
      </c>
    </row>
    <row r="1440" spans="1:6">
      <c r="A1440" t="s">
        <v>72</v>
      </c>
      <c r="B1440">
        <v>2019</v>
      </c>
      <c r="C1440" t="s">
        <v>873</v>
      </c>
      <c r="E1440">
        <v>15.5418906145096</v>
      </c>
      <c r="F1440">
        <v>39</v>
      </c>
    </row>
    <row r="1441" spans="1:6">
      <c r="A1441" t="s">
        <v>102</v>
      </c>
      <c r="B1441">
        <v>2023</v>
      </c>
      <c r="C1441" t="s">
        <v>888</v>
      </c>
      <c r="E1441">
        <v>1.71669707870483</v>
      </c>
      <c r="F1441">
        <v>6</v>
      </c>
    </row>
    <row r="1442" spans="1:6">
      <c r="A1442" t="s">
        <v>127</v>
      </c>
      <c r="B1442">
        <v>2015</v>
      </c>
      <c r="C1442" t="s">
        <v>895</v>
      </c>
      <c r="E1442">
        <v>18</v>
      </c>
      <c r="F1442">
        <v>11</v>
      </c>
    </row>
    <row r="1443" spans="1:6">
      <c r="A1443" t="s">
        <v>145</v>
      </c>
      <c r="B1443">
        <v>2016</v>
      </c>
      <c r="C1443" t="s">
        <v>888</v>
      </c>
      <c r="E1443">
        <v>22</v>
      </c>
      <c r="F1443">
        <v>13</v>
      </c>
    </row>
    <row r="1444" spans="1:6">
      <c r="A1444" t="s">
        <v>173</v>
      </c>
      <c r="B1444">
        <v>2023</v>
      </c>
      <c r="C1444" t="s">
        <v>874</v>
      </c>
      <c r="D1444" t="s">
        <v>893</v>
      </c>
      <c r="E1444">
        <v>2.52482015347481</v>
      </c>
      <c r="F1444">
        <v>12</v>
      </c>
    </row>
    <row r="1445" spans="1:6">
      <c r="A1445" t="s">
        <v>207</v>
      </c>
      <c r="B1445">
        <v>2020</v>
      </c>
      <c r="C1445" t="s">
        <v>840</v>
      </c>
      <c r="E1445">
        <v>45.5838369739056</v>
      </c>
      <c r="F1445">
        <v>63</v>
      </c>
    </row>
    <row r="1446" spans="1:6">
      <c r="A1446" t="s">
        <v>41</v>
      </c>
      <c r="B1446">
        <v>2016</v>
      </c>
      <c r="C1446" t="s">
        <v>879</v>
      </c>
      <c r="D1446" t="s">
        <v>838</v>
      </c>
      <c r="E1446">
        <v>0.423326705932617</v>
      </c>
      <c r="F1446">
        <v>2</v>
      </c>
    </row>
    <row r="1447" spans="1:6">
      <c r="A1447" t="s">
        <v>624</v>
      </c>
      <c r="B1447">
        <v>2019</v>
      </c>
      <c r="C1447" t="s">
        <v>884</v>
      </c>
      <c r="E1447">
        <v>0.579508728027344</v>
      </c>
      <c r="F1447">
        <v>3</v>
      </c>
    </row>
    <row r="1448" spans="1:6">
      <c r="A1448" t="s">
        <v>593</v>
      </c>
      <c r="B1448">
        <v>2016</v>
      </c>
      <c r="C1448" t="s">
        <v>892</v>
      </c>
      <c r="E1448">
        <v>0.121389956474304</v>
      </c>
      <c r="F1448">
        <v>2</v>
      </c>
    </row>
    <row r="1449" spans="1:6">
      <c r="A1449" t="s">
        <v>303</v>
      </c>
      <c r="B1449">
        <v>2021</v>
      </c>
      <c r="C1449" t="s">
        <v>840</v>
      </c>
      <c r="E1449">
        <v>0.285</v>
      </c>
      <c r="F1449">
        <v>1</v>
      </c>
    </row>
    <row r="1450" spans="1:6">
      <c r="A1450" t="s">
        <v>443</v>
      </c>
      <c r="B1450">
        <v>2016</v>
      </c>
      <c r="C1450" t="s">
        <v>879</v>
      </c>
      <c r="E1450">
        <v>1.28825071144104</v>
      </c>
      <c r="F1450">
        <v>23</v>
      </c>
    </row>
    <row r="1451" spans="1:6">
      <c r="A1451" t="s">
        <v>382</v>
      </c>
      <c r="B1451">
        <v>2024</v>
      </c>
      <c r="C1451" t="s">
        <v>885</v>
      </c>
      <c r="E1451">
        <v>1.088</v>
      </c>
      <c r="F1451">
        <v>5</v>
      </c>
    </row>
    <row r="1452" spans="1:6">
      <c r="A1452" t="s">
        <v>430</v>
      </c>
      <c r="B1452">
        <v>2022</v>
      </c>
      <c r="C1452" t="s">
        <v>880</v>
      </c>
      <c r="E1452">
        <v>0.226157363891602</v>
      </c>
      <c r="F1452">
        <v>1</v>
      </c>
    </row>
    <row r="1453" spans="1:6">
      <c r="A1453" t="s">
        <v>17</v>
      </c>
      <c r="B1453">
        <v>2022</v>
      </c>
      <c r="C1453" t="s">
        <v>900</v>
      </c>
      <c r="E1453">
        <v>1.00551385498047</v>
      </c>
      <c r="F1453">
        <v>4</v>
      </c>
    </row>
    <row r="1454" spans="1:6">
      <c r="A1454" t="s">
        <v>14</v>
      </c>
      <c r="B1454">
        <v>2015</v>
      </c>
      <c r="C1454" t="s">
        <v>874</v>
      </c>
      <c r="E1454">
        <v>30.0852169214785</v>
      </c>
      <c r="F1454">
        <v>50</v>
      </c>
    </row>
    <row r="1455" spans="1:6">
      <c r="A1455" t="s">
        <v>13</v>
      </c>
      <c r="B1455">
        <v>2015</v>
      </c>
      <c r="C1455" t="s">
        <v>905</v>
      </c>
      <c r="E1455">
        <v>58.4338542742729</v>
      </c>
      <c r="F1455">
        <v>95</v>
      </c>
    </row>
    <row r="1456" spans="1:6">
      <c r="A1456" t="s">
        <v>18</v>
      </c>
      <c r="B1456">
        <v>2019</v>
      </c>
      <c r="C1456" t="s">
        <v>888</v>
      </c>
      <c r="E1456">
        <v>32.0383303451538</v>
      </c>
      <c r="F1456">
        <v>16</v>
      </c>
    </row>
    <row r="1457" spans="1:6">
      <c r="A1457" t="s">
        <v>66</v>
      </c>
      <c r="B1457">
        <v>2015</v>
      </c>
      <c r="C1457" t="s">
        <v>873</v>
      </c>
      <c r="E1457">
        <v>386</v>
      </c>
      <c r="F1457">
        <v>94</v>
      </c>
    </row>
    <row r="1458" spans="1:6">
      <c r="A1458" t="s">
        <v>55</v>
      </c>
      <c r="B1458">
        <v>2023</v>
      </c>
      <c r="C1458" t="s">
        <v>902</v>
      </c>
      <c r="E1458">
        <v>69</v>
      </c>
      <c r="F1458">
        <v>69</v>
      </c>
    </row>
    <row r="1459" spans="1:6">
      <c r="A1459" t="s">
        <v>87</v>
      </c>
      <c r="B1459">
        <v>2023</v>
      </c>
      <c r="C1459" t="s">
        <v>895</v>
      </c>
      <c r="E1459">
        <v>2.52837746810913</v>
      </c>
      <c r="F1459">
        <v>4</v>
      </c>
    </row>
    <row r="1460" spans="1:6">
      <c r="A1460" t="s">
        <v>105</v>
      </c>
      <c r="B1460">
        <v>2021</v>
      </c>
      <c r="C1460" t="s">
        <v>888</v>
      </c>
      <c r="E1460">
        <v>1.70295040893555</v>
      </c>
      <c r="F1460">
        <v>3</v>
      </c>
    </row>
    <row r="1461" spans="1:6">
      <c r="A1461" t="s">
        <v>133</v>
      </c>
      <c r="B1461">
        <v>2023</v>
      </c>
      <c r="C1461" t="s">
        <v>878</v>
      </c>
      <c r="E1461">
        <v>28</v>
      </c>
      <c r="F1461">
        <v>8</v>
      </c>
    </row>
    <row r="1462" spans="1:6">
      <c r="A1462" t="s">
        <v>165</v>
      </c>
      <c r="B1462">
        <v>2021</v>
      </c>
      <c r="C1462" t="s">
        <v>887</v>
      </c>
      <c r="D1462" t="s">
        <v>893</v>
      </c>
      <c r="E1462">
        <v>18.2642586882114</v>
      </c>
      <c r="F1462">
        <v>48</v>
      </c>
    </row>
    <row r="1463" spans="1:6">
      <c r="A1463" t="s">
        <v>173</v>
      </c>
      <c r="B1463">
        <v>2022</v>
      </c>
      <c r="C1463" t="s">
        <v>874</v>
      </c>
      <c r="D1463" t="s">
        <v>893</v>
      </c>
      <c r="E1463">
        <v>5.09371504974365</v>
      </c>
      <c r="F1463">
        <v>15</v>
      </c>
    </row>
    <row r="1464" spans="1:6">
      <c r="A1464" t="s">
        <v>178</v>
      </c>
      <c r="B1464">
        <v>2021</v>
      </c>
      <c r="C1464" t="s">
        <v>895</v>
      </c>
      <c r="D1464" t="s">
        <v>891</v>
      </c>
      <c r="E1464">
        <v>0.00352671813964844</v>
      </c>
      <c r="F1464">
        <v>1</v>
      </c>
    </row>
    <row r="1465" spans="1:6">
      <c r="A1465" t="s">
        <v>49</v>
      </c>
      <c r="B1465">
        <v>2017</v>
      </c>
      <c r="C1465" t="s">
        <v>901</v>
      </c>
      <c r="E1465">
        <v>134</v>
      </c>
      <c r="F1465">
        <v>134</v>
      </c>
    </row>
    <row r="1466" spans="1:6">
      <c r="A1466" t="s">
        <v>14</v>
      </c>
      <c r="B1466">
        <v>2023</v>
      </c>
      <c r="C1466" t="s">
        <v>904</v>
      </c>
      <c r="E1466">
        <v>12.5950258247852</v>
      </c>
      <c r="F1466">
        <v>27</v>
      </c>
    </row>
    <row r="1467" spans="1:6">
      <c r="A1467" t="s">
        <v>68</v>
      </c>
      <c r="B1467">
        <v>2024</v>
      </c>
      <c r="C1467" t="s">
        <v>872</v>
      </c>
      <c r="E1467">
        <v>1</v>
      </c>
      <c r="F1467">
        <v>1</v>
      </c>
    </row>
    <row r="1468" spans="1:6">
      <c r="A1468" t="s">
        <v>67</v>
      </c>
      <c r="B1468">
        <v>2015</v>
      </c>
      <c r="C1468" t="s">
        <v>874</v>
      </c>
      <c r="E1468">
        <v>206</v>
      </c>
      <c r="F1468">
        <v>50</v>
      </c>
    </row>
    <row r="1469" spans="1:6">
      <c r="A1469" t="s">
        <v>55</v>
      </c>
      <c r="B1469">
        <v>2017</v>
      </c>
      <c r="C1469" t="s">
        <v>902</v>
      </c>
      <c r="E1469">
        <v>121</v>
      </c>
      <c r="F1469">
        <v>121</v>
      </c>
    </row>
    <row r="1470" spans="1:6">
      <c r="A1470" t="s">
        <v>55</v>
      </c>
      <c r="B1470">
        <v>2015</v>
      </c>
      <c r="C1470" t="s">
        <v>902</v>
      </c>
      <c r="E1470">
        <v>112</v>
      </c>
      <c r="F1470">
        <v>112</v>
      </c>
    </row>
    <row r="1471" spans="1:6">
      <c r="A1471" t="s">
        <v>98</v>
      </c>
      <c r="B1471">
        <v>2015</v>
      </c>
      <c r="C1471" t="s">
        <v>879</v>
      </c>
      <c r="E1471">
        <v>0.628276828765869</v>
      </c>
      <c r="F1471">
        <v>2</v>
      </c>
    </row>
    <row r="1472" spans="1:6">
      <c r="A1472" t="s">
        <v>72</v>
      </c>
      <c r="B1472">
        <v>2023</v>
      </c>
      <c r="C1472" t="s">
        <v>873</v>
      </c>
      <c r="E1472">
        <v>8.487903390169141</v>
      </c>
      <c r="F1472">
        <v>22</v>
      </c>
    </row>
    <row r="1473" spans="1:6">
      <c r="A1473" t="s">
        <v>139</v>
      </c>
      <c r="B1473">
        <v>2021</v>
      </c>
      <c r="C1473" t="s">
        <v>879</v>
      </c>
      <c r="E1473">
        <v>1</v>
      </c>
      <c r="F1473">
        <v>1</v>
      </c>
    </row>
    <row r="1474" spans="1:6">
      <c r="A1474" t="s">
        <v>123</v>
      </c>
      <c r="B1474">
        <v>2023</v>
      </c>
      <c r="C1474" t="s">
        <v>874</v>
      </c>
      <c r="E1474">
        <v>2</v>
      </c>
      <c r="F1474">
        <v>2</v>
      </c>
    </row>
    <row r="1475" spans="1:6">
      <c r="A1475" t="s">
        <v>153</v>
      </c>
      <c r="B1475">
        <v>2024</v>
      </c>
      <c r="C1475" t="s">
        <v>890</v>
      </c>
      <c r="E1475">
        <v>0.1</v>
      </c>
      <c r="F1475">
        <v>1</v>
      </c>
    </row>
    <row r="1476" spans="1:6">
      <c r="A1476" t="s">
        <v>189</v>
      </c>
      <c r="B1476">
        <v>2019</v>
      </c>
      <c r="C1476" t="s">
        <v>878</v>
      </c>
      <c r="D1476" t="s">
        <v>893</v>
      </c>
      <c r="E1476">
        <v>2.43667871630192</v>
      </c>
      <c r="F1476">
        <v>13</v>
      </c>
    </row>
    <row r="1477" spans="1:6">
      <c r="A1477" t="s">
        <v>46</v>
      </c>
      <c r="B1477">
        <v>2020</v>
      </c>
      <c r="C1477" t="s">
        <v>888</v>
      </c>
      <c r="D1477" t="s">
        <v>838</v>
      </c>
      <c r="E1477">
        <v>2.69301789474487</v>
      </c>
      <c r="F1477">
        <v>10</v>
      </c>
    </row>
    <row r="1478" spans="1:6">
      <c r="A1478" t="s">
        <v>35</v>
      </c>
      <c r="B1478">
        <v>2015</v>
      </c>
      <c r="C1478" t="s">
        <v>878</v>
      </c>
      <c r="D1478" t="s">
        <v>840</v>
      </c>
      <c r="E1478">
        <v>5.11798986434937</v>
      </c>
      <c r="F1478">
        <v>15</v>
      </c>
    </row>
    <row r="1479" spans="1:6">
      <c r="A1479" t="s">
        <v>597</v>
      </c>
      <c r="B1479">
        <v>2019</v>
      </c>
      <c r="C1479" t="s">
        <v>879</v>
      </c>
      <c r="E1479">
        <v>0.09755000329017641</v>
      </c>
      <c r="F1479">
        <v>2</v>
      </c>
    </row>
    <row r="1480" spans="1:6">
      <c r="A1480" t="s">
        <v>303</v>
      </c>
      <c r="B1480">
        <v>2017</v>
      </c>
      <c r="C1480" t="s">
        <v>840</v>
      </c>
      <c r="E1480">
        <v>0.0510492210388184</v>
      </c>
      <c r="F1480">
        <v>1</v>
      </c>
    </row>
    <row r="1481" spans="1:6">
      <c r="A1481" t="s">
        <v>457</v>
      </c>
      <c r="B1481">
        <v>2016</v>
      </c>
      <c r="C1481" t="s">
        <v>893</v>
      </c>
      <c r="E1481">
        <v>0.100900001525879</v>
      </c>
      <c r="F1481">
        <v>1</v>
      </c>
    </row>
    <row r="1482" spans="1:6">
      <c r="A1482" t="s">
        <v>452</v>
      </c>
      <c r="B1482">
        <v>2020</v>
      </c>
      <c r="C1482" t="s">
        <v>883</v>
      </c>
      <c r="E1482">
        <v>0.0333000000119209</v>
      </c>
      <c r="F1482">
        <v>2</v>
      </c>
    </row>
    <row r="1483" spans="1:6">
      <c r="A1483" t="s">
        <v>408</v>
      </c>
      <c r="B1483">
        <v>2019</v>
      </c>
      <c r="C1483" t="s">
        <v>839</v>
      </c>
      <c r="E1483">
        <v>7.01245552062988</v>
      </c>
      <c r="F1483">
        <v>26</v>
      </c>
    </row>
    <row r="1484" spans="1:6">
      <c r="A1484" t="s">
        <v>60</v>
      </c>
      <c r="B1484">
        <v>2020</v>
      </c>
      <c r="C1484" t="s">
        <v>838</v>
      </c>
      <c r="E1484">
        <v>171</v>
      </c>
      <c r="F1484">
        <v>31</v>
      </c>
    </row>
    <row r="1485" spans="1:6">
      <c r="A1485" t="s">
        <v>99</v>
      </c>
      <c r="B1485">
        <v>2019</v>
      </c>
      <c r="C1485" t="s">
        <v>879</v>
      </c>
      <c r="E1485">
        <v>1.77378597736359</v>
      </c>
      <c r="F1485">
        <v>7</v>
      </c>
    </row>
    <row r="1486" spans="1:6">
      <c r="A1486" t="s">
        <v>87</v>
      </c>
      <c r="B1486">
        <v>2020</v>
      </c>
      <c r="C1486" t="s">
        <v>895</v>
      </c>
      <c r="E1486">
        <v>1.08804605102539</v>
      </c>
      <c r="F1486">
        <v>2</v>
      </c>
    </row>
    <row r="1487" spans="1:6">
      <c r="A1487" t="s">
        <v>91</v>
      </c>
      <c r="B1487">
        <v>2020</v>
      </c>
      <c r="C1487" t="s">
        <v>878</v>
      </c>
      <c r="E1487">
        <v>2.21894071388245</v>
      </c>
      <c r="F1487">
        <v>16</v>
      </c>
    </row>
    <row r="1488" spans="1:6">
      <c r="A1488" t="s">
        <v>122</v>
      </c>
      <c r="B1488">
        <v>2023</v>
      </c>
      <c r="C1488" t="s">
        <v>874</v>
      </c>
      <c r="E1488">
        <v>23</v>
      </c>
      <c r="F1488">
        <v>11</v>
      </c>
    </row>
    <row r="1489" spans="1:6">
      <c r="A1489" t="s">
        <v>139</v>
      </c>
      <c r="B1489">
        <v>2016</v>
      </c>
      <c r="C1489" t="s">
        <v>879</v>
      </c>
      <c r="E1489">
        <v>12</v>
      </c>
      <c r="F1489">
        <v>4</v>
      </c>
    </row>
    <row r="1490" spans="1:6">
      <c r="A1490" t="s">
        <v>142</v>
      </c>
      <c r="B1490">
        <v>2017</v>
      </c>
      <c r="C1490" t="s">
        <v>879</v>
      </c>
      <c r="E1490">
        <v>1</v>
      </c>
      <c r="F1490">
        <v>1</v>
      </c>
    </row>
    <row r="1491" spans="1:6">
      <c r="A1491" t="s">
        <v>202</v>
      </c>
      <c r="B1491">
        <v>2019</v>
      </c>
      <c r="C1491" t="s">
        <v>881</v>
      </c>
      <c r="D1491" t="s">
        <v>891</v>
      </c>
      <c r="E1491">
        <v>0.0234404106140137</v>
      </c>
      <c r="F1491">
        <v>1</v>
      </c>
    </row>
    <row r="1492" spans="1:6">
      <c r="A1492" t="s">
        <v>180</v>
      </c>
      <c r="B1492">
        <v>2020</v>
      </c>
      <c r="C1492" t="s">
        <v>895</v>
      </c>
      <c r="D1492" t="s">
        <v>883</v>
      </c>
      <c r="E1492">
        <v>0.05</v>
      </c>
      <c r="F1492">
        <v>1</v>
      </c>
    </row>
    <row r="1493" spans="1:6">
      <c r="A1493" t="s">
        <v>22</v>
      </c>
      <c r="B1493">
        <v>2018</v>
      </c>
      <c r="C1493" t="s">
        <v>873</v>
      </c>
      <c r="D1493" t="s">
        <v>841</v>
      </c>
      <c r="E1493">
        <v>0.0507705698013306</v>
      </c>
      <c r="F1493">
        <v>5</v>
      </c>
    </row>
    <row r="1494" spans="1:6">
      <c r="A1494" t="s">
        <v>38</v>
      </c>
      <c r="B1494">
        <v>2020</v>
      </c>
      <c r="C1494" t="s">
        <v>878</v>
      </c>
      <c r="D1494" t="s">
        <v>898</v>
      </c>
      <c r="E1494">
        <v>0.0815412826538086</v>
      </c>
      <c r="F1494">
        <v>1</v>
      </c>
    </row>
    <row r="1495" spans="1:6">
      <c r="A1495" t="s">
        <v>601</v>
      </c>
      <c r="B1495">
        <v>2018</v>
      </c>
      <c r="C1495" t="s">
        <v>892</v>
      </c>
      <c r="E1495">
        <v>0.027</v>
      </c>
      <c r="F1495">
        <v>1</v>
      </c>
    </row>
    <row r="1496" spans="1:6">
      <c r="A1496" t="s">
        <v>639</v>
      </c>
      <c r="B1496">
        <v>2017</v>
      </c>
      <c r="C1496" t="s">
        <v>893</v>
      </c>
      <c r="E1496">
        <v>0.03</v>
      </c>
      <c r="F1496">
        <v>1</v>
      </c>
    </row>
    <row r="1497" spans="1:6">
      <c r="A1497" t="s">
        <v>458</v>
      </c>
      <c r="B1497">
        <v>2015</v>
      </c>
      <c r="C1497" t="s">
        <v>893</v>
      </c>
      <c r="E1497">
        <v>0.784107075691223</v>
      </c>
      <c r="F1497">
        <v>6</v>
      </c>
    </row>
    <row r="1498" spans="1:6">
      <c r="A1498" t="s">
        <v>448</v>
      </c>
      <c r="B1498">
        <v>2015</v>
      </c>
      <c r="C1498" t="s">
        <v>879</v>
      </c>
      <c r="E1498">
        <v>0.173693435668945</v>
      </c>
      <c r="F1498">
        <v>2</v>
      </c>
    </row>
    <row r="1499" spans="1:6">
      <c r="A1499" t="s">
        <v>10</v>
      </c>
      <c r="B1499">
        <v>2020</v>
      </c>
      <c r="C1499" t="s">
        <v>841</v>
      </c>
      <c r="E1499">
        <v>0.139435600280762</v>
      </c>
      <c r="F1499">
        <v>3</v>
      </c>
    </row>
    <row r="1500" spans="1:6">
      <c r="A1500" t="s">
        <v>90</v>
      </c>
      <c r="B1500">
        <v>2018</v>
      </c>
      <c r="C1500" t="s">
        <v>878</v>
      </c>
      <c r="E1500">
        <v>3.76526471805573</v>
      </c>
      <c r="F1500">
        <v>10</v>
      </c>
    </row>
    <row r="1501" spans="1:6">
      <c r="A1501" t="s">
        <v>133</v>
      </c>
      <c r="B1501">
        <v>2016</v>
      </c>
      <c r="C1501" t="s">
        <v>878</v>
      </c>
      <c r="E1501">
        <v>79</v>
      </c>
      <c r="F1501">
        <v>25</v>
      </c>
    </row>
    <row r="1502" spans="1:6">
      <c r="A1502" t="s">
        <v>120</v>
      </c>
      <c r="B1502">
        <v>2019</v>
      </c>
      <c r="C1502" t="s">
        <v>874</v>
      </c>
      <c r="E1502">
        <v>115</v>
      </c>
      <c r="F1502">
        <v>14</v>
      </c>
    </row>
    <row r="1503" spans="1:6">
      <c r="A1503" t="s">
        <v>140</v>
      </c>
      <c r="B1503">
        <v>2018</v>
      </c>
      <c r="C1503" t="s">
        <v>879</v>
      </c>
      <c r="E1503">
        <v>4</v>
      </c>
      <c r="F1503">
        <v>3</v>
      </c>
    </row>
    <row r="1504" spans="1:6">
      <c r="A1504" t="s">
        <v>153</v>
      </c>
      <c r="B1504">
        <v>2018</v>
      </c>
      <c r="C1504" t="s">
        <v>890</v>
      </c>
      <c r="E1504">
        <v>7.07463656723499</v>
      </c>
      <c r="F1504">
        <v>21</v>
      </c>
    </row>
    <row r="1505" spans="1:6">
      <c r="A1505" t="s">
        <v>167</v>
      </c>
      <c r="B1505">
        <v>2018</v>
      </c>
      <c r="C1505" t="s">
        <v>874</v>
      </c>
      <c r="D1505" t="s">
        <v>892</v>
      </c>
      <c r="E1505">
        <v>10.9011439990997</v>
      </c>
      <c r="F1505">
        <v>22</v>
      </c>
    </row>
    <row r="1506" spans="1:6">
      <c r="A1506" t="s">
        <v>190</v>
      </c>
      <c r="B1506">
        <v>2018</v>
      </c>
      <c r="C1506" t="s">
        <v>879</v>
      </c>
      <c r="D1506" t="s">
        <v>884</v>
      </c>
      <c r="E1506">
        <v>1.34812476348877</v>
      </c>
      <c r="F1506">
        <v>4</v>
      </c>
    </row>
    <row r="1507" spans="1:6">
      <c r="A1507" t="s">
        <v>197</v>
      </c>
      <c r="B1507">
        <v>2023</v>
      </c>
      <c r="C1507" t="s">
        <v>879</v>
      </c>
      <c r="D1507" t="s">
        <v>893</v>
      </c>
      <c r="E1507">
        <v>0.874044082641602</v>
      </c>
      <c r="F1507">
        <v>3</v>
      </c>
    </row>
    <row r="1508" spans="1:6">
      <c r="A1508" t="s">
        <v>206</v>
      </c>
      <c r="B1508">
        <v>2019</v>
      </c>
      <c r="C1508" t="s">
        <v>839</v>
      </c>
      <c r="E1508">
        <v>38.7200345039368</v>
      </c>
      <c r="F1508">
        <v>65</v>
      </c>
    </row>
    <row r="1509" spans="1:6">
      <c r="A1509" t="s">
        <v>35</v>
      </c>
      <c r="B1509">
        <v>2018</v>
      </c>
      <c r="C1509" t="s">
        <v>878</v>
      </c>
      <c r="D1509" t="s">
        <v>840</v>
      </c>
      <c r="E1509">
        <v>5.90077854061127</v>
      </c>
      <c r="F1509">
        <v>24</v>
      </c>
    </row>
    <row r="1510" spans="1:6">
      <c r="A1510" t="s">
        <v>639</v>
      </c>
      <c r="B1510">
        <v>2019</v>
      </c>
      <c r="C1510" t="s">
        <v>893</v>
      </c>
      <c r="E1510">
        <v>1.052</v>
      </c>
      <c r="F1510">
        <v>2</v>
      </c>
    </row>
    <row r="1511" spans="1:6">
      <c r="A1511" t="s">
        <v>228</v>
      </c>
      <c r="B1511">
        <v>2020</v>
      </c>
      <c r="C1511" t="s">
        <v>838</v>
      </c>
      <c r="E1511">
        <v>0.962709007263184</v>
      </c>
      <c r="F1511">
        <v>4</v>
      </c>
    </row>
    <row r="1512" spans="1:6">
      <c r="A1512" t="s">
        <v>375</v>
      </c>
      <c r="B1512">
        <v>2015</v>
      </c>
      <c r="C1512" t="s">
        <v>892</v>
      </c>
      <c r="E1512">
        <v>12.9072221641541</v>
      </c>
      <c r="F1512">
        <v>44</v>
      </c>
    </row>
    <row r="1513" spans="1:6">
      <c r="A1513" t="s">
        <v>380</v>
      </c>
      <c r="B1513">
        <v>2020</v>
      </c>
      <c r="C1513" t="s">
        <v>883</v>
      </c>
      <c r="E1513">
        <v>0.790356553673744</v>
      </c>
      <c r="F1513">
        <v>12</v>
      </c>
    </row>
    <row r="1514" spans="1:6">
      <c r="A1514" t="s">
        <v>414</v>
      </c>
      <c r="B1514">
        <v>2017</v>
      </c>
      <c r="C1514" t="s">
        <v>884</v>
      </c>
      <c r="E1514">
        <v>4.60522037124634</v>
      </c>
      <c r="F1514">
        <v>18</v>
      </c>
    </row>
    <row r="1515" spans="1:6">
      <c r="A1515" t="s">
        <v>377</v>
      </c>
      <c r="B1515">
        <v>2017</v>
      </c>
      <c r="C1515" t="s">
        <v>890</v>
      </c>
      <c r="E1515">
        <v>1.17647274637222</v>
      </c>
      <c r="F1515">
        <v>12</v>
      </c>
    </row>
    <row r="1516" spans="1:6">
      <c r="A1516" t="s">
        <v>431</v>
      </c>
      <c r="B1516">
        <v>2015</v>
      </c>
      <c r="C1516" t="s">
        <v>890</v>
      </c>
      <c r="E1516">
        <v>0.347550124406815</v>
      </c>
      <c r="F1516">
        <v>7</v>
      </c>
    </row>
    <row r="1517" spans="1:6">
      <c r="A1517" t="s">
        <v>408</v>
      </c>
      <c r="B1517">
        <v>2022</v>
      </c>
      <c r="C1517" t="s">
        <v>839</v>
      </c>
      <c r="E1517">
        <v>8.7021627779007</v>
      </c>
      <c r="F1517">
        <v>22</v>
      </c>
    </row>
    <row r="1518" spans="1:6">
      <c r="A1518" t="s">
        <v>56</v>
      </c>
      <c r="B1518">
        <v>2021</v>
      </c>
      <c r="C1518" t="s">
        <v>897</v>
      </c>
      <c r="E1518">
        <v>5</v>
      </c>
      <c r="F1518">
        <v>5</v>
      </c>
    </row>
    <row r="1519" spans="1:6">
      <c r="A1519" t="s">
        <v>62</v>
      </c>
      <c r="B1519">
        <v>2019</v>
      </c>
      <c r="C1519" t="s">
        <v>841</v>
      </c>
      <c r="E1519">
        <v>2</v>
      </c>
      <c r="F1519">
        <v>2</v>
      </c>
    </row>
    <row r="1520" spans="1:6">
      <c r="A1520" t="s">
        <v>97</v>
      </c>
      <c r="B1520">
        <v>2018</v>
      </c>
      <c r="C1520" t="s">
        <v>879</v>
      </c>
      <c r="E1520">
        <v>2.76639419937134</v>
      </c>
      <c r="F1520">
        <v>6</v>
      </c>
    </row>
    <row r="1521" spans="1:6">
      <c r="A1521" t="s">
        <v>145</v>
      </c>
      <c r="B1521">
        <v>2019</v>
      </c>
      <c r="C1521" t="s">
        <v>888</v>
      </c>
      <c r="E1521">
        <v>15</v>
      </c>
      <c r="F1521">
        <v>6</v>
      </c>
    </row>
    <row r="1522" spans="1:6">
      <c r="A1522" t="s">
        <v>129</v>
      </c>
      <c r="B1522">
        <v>2017</v>
      </c>
      <c r="C1522" t="s">
        <v>895</v>
      </c>
      <c r="E1522">
        <v>30</v>
      </c>
      <c r="F1522">
        <v>5</v>
      </c>
    </row>
    <row r="1523" spans="1:6">
      <c r="A1523" t="s">
        <v>151</v>
      </c>
      <c r="B1523">
        <v>2019</v>
      </c>
      <c r="C1523" t="s">
        <v>892</v>
      </c>
      <c r="E1523">
        <v>44.3101274598837</v>
      </c>
      <c r="F1523">
        <v>71</v>
      </c>
    </row>
    <row r="1524" spans="1:6">
      <c r="A1524" t="s">
        <v>193</v>
      </c>
      <c r="B1524">
        <v>2018</v>
      </c>
      <c r="C1524" t="s">
        <v>879</v>
      </c>
      <c r="D1524" t="s">
        <v>890</v>
      </c>
      <c r="E1524">
        <v>0.127536058425903</v>
      </c>
      <c r="F1524">
        <v>2</v>
      </c>
    </row>
    <row r="1525" spans="1:6">
      <c r="A1525" t="s">
        <v>172</v>
      </c>
      <c r="B1525">
        <v>2020</v>
      </c>
      <c r="C1525" t="s">
        <v>874</v>
      </c>
      <c r="D1525" t="s">
        <v>883</v>
      </c>
      <c r="E1525">
        <v>0.107634494781494</v>
      </c>
      <c r="F1525">
        <v>3</v>
      </c>
    </row>
    <row r="1526" spans="1:6">
      <c r="A1526" t="s">
        <v>197</v>
      </c>
      <c r="B1526">
        <v>2018</v>
      </c>
      <c r="C1526" t="s">
        <v>879</v>
      </c>
      <c r="D1526" t="s">
        <v>893</v>
      </c>
      <c r="E1526">
        <v>0.210255907058716</v>
      </c>
      <c r="F1526">
        <v>2</v>
      </c>
    </row>
    <row r="1527" spans="1:6">
      <c r="A1527" t="s">
        <v>24</v>
      </c>
      <c r="B1527">
        <v>2020</v>
      </c>
      <c r="C1527" t="s">
        <v>882</v>
      </c>
      <c r="D1527" t="s">
        <v>839</v>
      </c>
      <c r="E1527">
        <v>6.03098263931274</v>
      </c>
      <c r="F1527">
        <v>16</v>
      </c>
    </row>
    <row r="1528" spans="1:6">
      <c r="A1528" t="s">
        <v>596</v>
      </c>
      <c r="B1528">
        <v>2020</v>
      </c>
      <c r="C1528" t="s">
        <v>891</v>
      </c>
      <c r="E1528">
        <v>0.247885507106781</v>
      </c>
      <c r="F1528">
        <v>2</v>
      </c>
    </row>
    <row r="1529" spans="1:6">
      <c r="A1529" t="s">
        <v>596</v>
      </c>
      <c r="B1529">
        <v>2021</v>
      </c>
      <c r="C1529" t="s">
        <v>891</v>
      </c>
      <c r="E1529">
        <v>0.415271057128906</v>
      </c>
      <c r="F1529">
        <v>1</v>
      </c>
    </row>
    <row r="1530" spans="1:6">
      <c r="A1530" t="s">
        <v>219</v>
      </c>
      <c r="B1530">
        <v>2019</v>
      </c>
      <c r="C1530" t="s">
        <v>885</v>
      </c>
      <c r="E1530">
        <v>8.76376457214355</v>
      </c>
      <c r="F1530">
        <v>5</v>
      </c>
    </row>
    <row r="1531" spans="1:6">
      <c r="A1531" t="s">
        <v>381</v>
      </c>
      <c r="B1531">
        <v>2015</v>
      </c>
      <c r="C1531" t="s">
        <v>893</v>
      </c>
      <c r="E1531">
        <v>9.7711170566678</v>
      </c>
      <c r="F1531">
        <v>43</v>
      </c>
    </row>
    <row r="1532" spans="1:6">
      <c r="A1532" t="s">
        <v>436</v>
      </c>
      <c r="B1532">
        <v>2023</v>
      </c>
      <c r="C1532" t="s">
        <v>890</v>
      </c>
      <c r="E1532">
        <v>3.44043359375</v>
      </c>
      <c r="F1532">
        <v>1</v>
      </c>
    </row>
    <row r="1533" spans="1:6">
      <c r="A1533" t="s">
        <v>414</v>
      </c>
      <c r="B1533">
        <v>2020</v>
      </c>
      <c r="C1533" t="s">
        <v>884</v>
      </c>
      <c r="E1533">
        <v>2.04372424507141</v>
      </c>
      <c r="F1533">
        <v>11</v>
      </c>
    </row>
    <row r="1534" spans="1:6">
      <c r="A1534" t="s">
        <v>425</v>
      </c>
      <c r="B1534">
        <v>2018</v>
      </c>
      <c r="C1534" t="s">
        <v>880</v>
      </c>
      <c r="E1534">
        <v>2.93768744659424</v>
      </c>
      <c r="F1534">
        <v>12</v>
      </c>
    </row>
    <row r="1535" spans="1:6">
      <c r="A1535" t="s">
        <v>409</v>
      </c>
      <c r="B1535">
        <v>2022</v>
      </c>
      <c r="C1535" t="s">
        <v>840</v>
      </c>
      <c r="E1535">
        <v>26.6832898674011</v>
      </c>
      <c r="F1535">
        <v>52</v>
      </c>
    </row>
    <row r="1536" spans="1:6">
      <c r="A1536" t="s">
        <v>50</v>
      </c>
      <c r="B1536">
        <v>2016</v>
      </c>
      <c r="C1536" t="s">
        <v>907</v>
      </c>
      <c r="E1536">
        <v>2</v>
      </c>
      <c r="F1536">
        <v>2</v>
      </c>
    </row>
    <row r="1537" spans="1:6">
      <c r="A1537" t="s">
        <v>67</v>
      </c>
      <c r="B1537">
        <v>2022</v>
      </c>
      <c r="C1537" t="s">
        <v>904</v>
      </c>
      <c r="E1537">
        <v>164</v>
      </c>
      <c r="F1537">
        <v>37</v>
      </c>
    </row>
    <row r="1538" spans="1:6">
      <c r="A1538" t="s">
        <v>69</v>
      </c>
      <c r="B1538">
        <v>2024</v>
      </c>
      <c r="C1538" t="s">
        <v>909</v>
      </c>
      <c r="E1538">
        <v>3</v>
      </c>
      <c r="F1538">
        <v>2</v>
      </c>
    </row>
    <row r="1539" spans="1:6">
      <c r="A1539" t="s">
        <v>58</v>
      </c>
      <c r="B1539">
        <v>2023</v>
      </c>
      <c r="C1539" t="s">
        <v>839</v>
      </c>
      <c r="E1539">
        <v>171</v>
      </c>
      <c r="F1539">
        <v>34</v>
      </c>
    </row>
    <row r="1540" spans="1:6">
      <c r="A1540" t="s">
        <v>117</v>
      </c>
      <c r="B1540">
        <v>2016</v>
      </c>
      <c r="C1540" t="s">
        <v>873</v>
      </c>
      <c r="E1540">
        <v>22</v>
      </c>
      <c r="F1540">
        <v>9</v>
      </c>
    </row>
    <row r="1541" spans="1:6">
      <c r="A1541" t="s">
        <v>153</v>
      </c>
      <c r="B1541">
        <v>2016</v>
      </c>
      <c r="C1541" t="s">
        <v>890</v>
      </c>
      <c r="E1541">
        <v>3.81205072212219</v>
      </c>
      <c r="F1541">
        <v>13</v>
      </c>
    </row>
    <row r="1542" spans="1:6">
      <c r="A1542" t="s">
        <v>175</v>
      </c>
      <c r="B1542">
        <v>2021</v>
      </c>
      <c r="C1542" t="s">
        <v>895</v>
      </c>
      <c r="D1542" t="s">
        <v>892</v>
      </c>
      <c r="E1542">
        <v>2.03542205810547</v>
      </c>
      <c r="F1542">
        <v>4</v>
      </c>
    </row>
    <row r="1543" spans="1:6">
      <c r="A1543" t="s">
        <v>166</v>
      </c>
      <c r="B1543">
        <v>2024</v>
      </c>
      <c r="C1543" t="s">
        <v>874</v>
      </c>
      <c r="D1543" t="s">
        <v>884</v>
      </c>
      <c r="E1543">
        <v>0.113</v>
      </c>
      <c r="F1543">
        <v>2</v>
      </c>
    </row>
    <row r="1544" spans="1:6">
      <c r="A1544" t="s">
        <v>195</v>
      </c>
      <c r="B1544">
        <v>2018</v>
      </c>
      <c r="C1544" t="s">
        <v>879</v>
      </c>
      <c r="D1544" t="s">
        <v>879</v>
      </c>
      <c r="E1544">
        <v>1.02247998046875</v>
      </c>
      <c r="F1544">
        <v>1</v>
      </c>
    </row>
    <row r="1545" spans="1:6">
      <c r="A1545" t="s">
        <v>26</v>
      </c>
      <c r="B1545">
        <v>2015</v>
      </c>
      <c r="C1545" t="s">
        <v>882</v>
      </c>
      <c r="D1545" t="s">
        <v>838</v>
      </c>
      <c r="E1545">
        <v>7.74954523086548</v>
      </c>
      <c r="F1545">
        <v>18</v>
      </c>
    </row>
    <row r="1546" spans="1:6">
      <c r="A1546" t="s">
        <v>29</v>
      </c>
      <c r="B1546">
        <v>2023</v>
      </c>
      <c r="C1546" t="s">
        <v>889</v>
      </c>
      <c r="D1546" t="s">
        <v>839</v>
      </c>
      <c r="E1546">
        <v>1.74738666152954</v>
      </c>
      <c r="F1546">
        <v>5</v>
      </c>
    </row>
    <row r="1547" spans="1:6">
      <c r="A1547" t="s">
        <v>601</v>
      </c>
      <c r="B1547">
        <v>2023</v>
      </c>
      <c r="C1547" t="s">
        <v>892</v>
      </c>
      <c r="E1547">
        <v>0.645137878417969</v>
      </c>
      <c r="F1547">
        <v>1</v>
      </c>
    </row>
    <row r="1548" spans="1:6">
      <c r="A1548" t="s">
        <v>631</v>
      </c>
      <c r="B1548">
        <v>2023</v>
      </c>
      <c r="C1548" t="s">
        <v>893</v>
      </c>
      <c r="E1548">
        <v>0.122712120056152</v>
      </c>
      <c r="F1548">
        <v>1</v>
      </c>
    </row>
    <row r="1549" spans="1:6">
      <c r="A1549" t="s">
        <v>317</v>
      </c>
      <c r="B1549">
        <v>2016</v>
      </c>
      <c r="C1549" t="s">
        <v>839</v>
      </c>
      <c r="E1549">
        <v>0.21549348449707</v>
      </c>
      <c r="F1549">
        <v>2</v>
      </c>
    </row>
    <row r="1550" spans="1:6">
      <c r="A1550" t="s">
        <v>298</v>
      </c>
      <c r="B1550">
        <v>2016</v>
      </c>
      <c r="C1550" t="s">
        <v>840</v>
      </c>
      <c r="E1550">
        <v>4.01061813354492</v>
      </c>
      <c r="F1550">
        <v>3</v>
      </c>
    </row>
    <row r="1551" spans="1:6">
      <c r="A1551" t="s">
        <v>431</v>
      </c>
      <c r="B1551">
        <v>2023</v>
      </c>
      <c r="C1551" t="s">
        <v>890</v>
      </c>
      <c r="E1551">
        <v>0.04</v>
      </c>
      <c r="F1551">
        <v>1</v>
      </c>
    </row>
    <row r="1552" spans="1:6">
      <c r="A1552" t="s">
        <v>381</v>
      </c>
      <c r="B1552">
        <v>2016</v>
      </c>
      <c r="C1552" t="s">
        <v>893</v>
      </c>
      <c r="E1552">
        <v>7.52645910698175</v>
      </c>
      <c r="F1552">
        <v>37</v>
      </c>
    </row>
    <row r="1553" spans="1:6">
      <c r="A1553" t="s">
        <v>444</v>
      </c>
      <c r="B1553">
        <v>2021</v>
      </c>
      <c r="C1553" t="s">
        <v>879</v>
      </c>
      <c r="E1553">
        <v>0.08500000000000001</v>
      </c>
      <c r="F1553">
        <v>1</v>
      </c>
    </row>
    <row r="1554" spans="1:6">
      <c r="A1554" t="s">
        <v>443</v>
      </c>
      <c r="B1554">
        <v>2015</v>
      </c>
      <c r="C1554" t="s">
        <v>879</v>
      </c>
      <c r="E1554">
        <v>0.448785179808736</v>
      </c>
      <c r="F1554">
        <v>10</v>
      </c>
    </row>
    <row r="1555" spans="1:6">
      <c r="A1555" t="s">
        <v>428</v>
      </c>
      <c r="B1555">
        <v>2022</v>
      </c>
      <c r="C1555" t="s">
        <v>880</v>
      </c>
      <c r="E1555">
        <v>0.3</v>
      </c>
      <c r="F1555">
        <v>1</v>
      </c>
    </row>
    <row r="1556" spans="1:6">
      <c r="A1556" t="s">
        <v>420</v>
      </c>
      <c r="B1556">
        <v>2020</v>
      </c>
      <c r="C1556" t="s">
        <v>892</v>
      </c>
      <c r="E1556">
        <v>8.555682373046871</v>
      </c>
      <c r="F1556">
        <v>7</v>
      </c>
    </row>
    <row r="1557" spans="1:6">
      <c r="A1557" t="s">
        <v>12</v>
      </c>
      <c r="B1557">
        <v>2017</v>
      </c>
      <c r="E1557">
        <v>139.924575097859</v>
      </c>
      <c r="F1557">
        <v>130</v>
      </c>
    </row>
    <row r="1558" spans="1:6">
      <c r="A1558" t="s">
        <v>17</v>
      </c>
      <c r="B1558">
        <v>2018</v>
      </c>
      <c r="C1558" t="s">
        <v>879</v>
      </c>
      <c r="E1558">
        <v>8.01712059783936</v>
      </c>
      <c r="F1558">
        <v>11</v>
      </c>
    </row>
    <row r="1559" spans="1:6">
      <c r="A1559" t="s">
        <v>70</v>
      </c>
      <c r="B1559">
        <v>2016</v>
      </c>
      <c r="C1559" t="s">
        <v>879</v>
      </c>
      <c r="E1559">
        <v>28</v>
      </c>
      <c r="F1559">
        <v>9</v>
      </c>
    </row>
    <row r="1560" spans="1:6">
      <c r="A1560" t="s">
        <v>49</v>
      </c>
      <c r="B1560">
        <v>2019</v>
      </c>
      <c r="C1560" t="s">
        <v>901</v>
      </c>
      <c r="E1560">
        <v>125</v>
      </c>
      <c r="F1560">
        <v>125</v>
      </c>
    </row>
    <row r="1561" spans="1:6">
      <c r="A1561" t="s">
        <v>50</v>
      </c>
      <c r="B1561">
        <v>2020</v>
      </c>
      <c r="C1561" t="s">
        <v>894</v>
      </c>
      <c r="E1561">
        <v>21</v>
      </c>
      <c r="F1561">
        <v>21</v>
      </c>
    </row>
    <row r="1562" spans="1:6">
      <c r="A1562" t="s">
        <v>7</v>
      </c>
      <c r="B1562">
        <v>2020</v>
      </c>
      <c r="C1562" t="s">
        <v>840</v>
      </c>
      <c r="E1562">
        <v>50.6461347160339</v>
      </c>
      <c r="F1562">
        <v>53</v>
      </c>
    </row>
    <row r="1563" spans="1:6">
      <c r="A1563" t="s">
        <v>90</v>
      </c>
      <c r="B1563">
        <v>2021</v>
      </c>
      <c r="C1563" t="s">
        <v>878</v>
      </c>
      <c r="E1563">
        <v>2.54682315826416</v>
      </c>
      <c r="F1563">
        <v>10</v>
      </c>
    </row>
    <row r="1564" spans="1:6">
      <c r="A1564" t="s">
        <v>155</v>
      </c>
      <c r="B1564">
        <v>2024</v>
      </c>
      <c r="C1564" t="s">
        <v>879</v>
      </c>
      <c r="E1564">
        <v>0.755299158096313</v>
      </c>
      <c r="F1564">
        <v>5</v>
      </c>
    </row>
    <row r="1565" spans="1:6">
      <c r="A1565" t="s">
        <v>204</v>
      </c>
      <c r="B1565">
        <v>2018</v>
      </c>
      <c r="C1565" t="s">
        <v>881</v>
      </c>
      <c r="D1565" t="s">
        <v>883</v>
      </c>
      <c r="E1565">
        <v>0.0305999765396118</v>
      </c>
      <c r="F1565">
        <v>2</v>
      </c>
    </row>
    <row r="1566" spans="1:6">
      <c r="A1566" t="s">
        <v>209</v>
      </c>
      <c r="B1566">
        <v>2018</v>
      </c>
      <c r="C1566" t="s">
        <v>841</v>
      </c>
      <c r="E1566">
        <v>0.231896195411682</v>
      </c>
      <c r="F1566">
        <v>7</v>
      </c>
    </row>
    <row r="1567" spans="1:6">
      <c r="A1567" t="s">
        <v>42</v>
      </c>
      <c r="B1567">
        <v>2021</v>
      </c>
      <c r="C1567" t="s">
        <v>879</v>
      </c>
      <c r="D1567" t="s">
        <v>841</v>
      </c>
      <c r="E1567">
        <v>0.00617175674438477</v>
      </c>
      <c r="F1567">
        <v>1</v>
      </c>
    </row>
    <row r="1568" spans="1:6">
      <c r="A1568" t="s">
        <v>218</v>
      </c>
      <c r="B1568">
        <v>2018</v>
      </c>
      <c r="C1568" t="s">
        <v>893</v>
      </c>
      <c r="E1568">
        <v>1.04218283557892</v>
      </c>
      <c r="F1568">
        <v>4</v>
      </c>
    </row>
    <row r="1569" spans="1:6">
      <c r="A1569" t="s">
        <v>222</v>
      </c>
      <c r="B1569">
        <v>2023</v>
      </c>
      <c r="C1569" t="s">
        <v>885</v>
      </c>
      <c r="E1569">
        <v>0.4</v>
      </c>
      <c r="F1569">
        <v>1</v>
      </c>
    </row>
    <row r="1570" spans="1:6">
      <c r="A1570" t="s">
        <v>323</v>
      </c>
      <c r="B1570">
        <v>2023</v>
      </c>
      <c r="C1570" t="s">
        <v>840</v>
      </c>
      <c r="E1570">
        <v>0.0167999992370605</v>
      </c>
      <c r="F1570">
        <v>1</v>
      </c>
    </row>
    <row r="1571" spans="1:6">
      <c r="A1571" t="s">
        <v>441</v>
      </c>
      <c r="B1571">
        <v>2017</v>
      </c>
      <c r="C1571" t="s">
        <v>891</v>
      </c>
      <c r="E1571">
        <v>0.017</v>
      </c>
      <c r="F1571">
        <v>2</v>
      </c>
    </row>
    <row r="1572" spans="1:6">
      <c r="A1572" t="s">
        <v>387</v>
      </c>
      <c r="B1572">
        <v>2016</v>
      </c>
      <c r="C1572" t="s">
        <v>885</v>
      </c>
      <c r="E1572">
        <v>4.68747011089325</v>
      </c>
      <c r="F1572">
        <v>11</v>
      </c>
    </row>
    <row r="1573" spans="1:6">
      <c r="A1573" t="s">
        <v>383</v>
      </c>
      <c r="B1573">
        <v>2022</v>
      </c>
      <c r="C1573" t="s">
        <v>885</v>
      </c>
      <c r="E1573">
        <v>6.65281969261169</v>
      </c>
      <c r="F1573">
        <v>14</v>
      </c>
    </row>
    <row r="1574" spans="1:6">
      <c r="A1574" t="s">
        <v>59</v>
      </c>
      <c r="B1574">
        <v>2023</v>
      </c>
      <c r="C1574" t="s">
        <v>840</v>
      </c>
      <c r="E1574">
        <v>180</v>
      </c>
      <c r="F1574">
        <v>34</v>
      </c>
    </row>
    <row r="1575" spans="1:6">
      <c r="A1575" t="s">
        <v>75</v>
      </c>
      <c r="B1575">
        <v>2021</v>
      </c>
      <c r="C1575" t="s">
        <v>873</v>
      </c>
      <c r="E1575">
        <v>20.2991132507324</v>
      </c>
      <c r="F1575">
        <v>6</v>
      </c>
    </row>
    <row r="1576" spans="1:6">
      <c r="A1576" t="s">
        <v>90</v>
      </c>
      <c r="B1576">
        <v>2023</v>
      </c>
      <c r="C1576" t="s">
        <v>878</v>
      </c>
      <c r="E1576">
        <v>5.9555542678833</v>
      </c>
      <c r="F1576">
        <v>13</v>
      </c>
    </row>
    <row r="1577" spans="1:6">
      <c r="A1577" t="s">
        <v>145</v>
      </c>
      <c r="B1577">
        <v>2018</v>
      </c>
      <c r="C1577" t="s">
        <v>888</v>
      </c>
      <c r="E1577">
        <v>17</v>
      </c>
      <c r="F1577">
        <v>10</v>
      </c>
    </row>
    <row r="1578" spans="1:6">
      <c r="A1578" t="s">
        <v>154</v>
      </c>
      <c r="B1578">
        <v>2019</v>
      </c>
      <c r="C1578" t="s">
        <v>891</v>
      </c>
      <c r="E1578">
        <v>2.92218339407444</v>
      </c>
      <c r="F1578">
        <v>38</v>
      </c>
    </row>
    <row r="1579" spans="1:6">
      <c r="A1579" t="s">
        <v>189</v>
      </c>
      <c r="B1579">
        <v>2023</v>
      </c>
      <c r="C1579" t="s">
        <v>878</v>
      </c>
      <c r="D1579" t="s">
        <v>893</v>
      </c>
      <c r="E1579">
        <v>4.45467215061188</v>
      </c>
      <c r="F1579">
        <v>12</v>
      </c>
    </row>
    <row r="1580" spans="1:6">
      <c r="A1580" t="s">
        <v>45</v>
      </c>
      <c r="B1580">
        <v>2022</v>
      </c>
      <c r="C1580" t="s">
        <v>888</v>
      </c>
      <c r="D1580" t="s">
        <v>840</v>
      </c>
      <c r="E1580">
        <v>1.9299672088623</v>
      </c>
      <c r="F1580">
        <v>8</v>
      </c>
    </row>
    <row r="1581" spans="1:6">
      <c r="A1581" t="s">
        <v>25</v>
      </c>
      <c r="B1581">
        <v>2024</v>
      </c>
      <c r="C1581" t="s">
        <v>882</v>
      </c>
      <c r="D1581" t="s">
        <v>840</v>
      </c>
      <c r="E1581">
        <v>0.305361804962158</v>
      </c>
      <c r="F1581">
        <v>3</v>
      </c>
    </row>
    <row r="1582" spans="1:6">
      <c r="A1582" t="s">
        <v>214</v>
      </c>
      <c r="B1582">
        <v>2016</v>
      </c>
      <c r="C1582" t="s">
        <v>890</v>
      </c>
      <c r="E1582">
        <v>1.03072509002686</v>
      </c>
      <c r="F1582">
        <v>4</v>
      </c>
    </row>
    <row r="1583" spans="1:6">
      <c r="A1583" t="s">
        <v>596</v>
      </c>
      <c r="B1583">
        <v>2015</v>
      </c>
      <c r="C1583" t="s">
        <v>891</v>
      </c>
      <c r="E1583">
        <v>0.247588108062744</v>
      </c>
      <c r="F1583">
        <v>2</v>
      </c>
    </row>
    <row r="1584" spans="1:6">
      <c r="A1584" t="s">
        <v>601</v>
      </c>
      <c r="B1584">
        <v>2016</v>
      </c>
      <c r="C1584" t="s">
        <v>892</v>
      </c>
      <c r="E1584">
        <v>0.722</v>
      </c>
      <c r="F1584">
        <v>1</v>
      </c>
    </row>
    <row r="1585" spans="1:6">
      <c r="A1585" t="s">
        <v>387</v>
      </c>
      <c r="B1585">
        <v>2017</v>
      </c>
      <c r="C1585" t="s">
        <v>885</v>
      </c>
      <c r="E1585">
        <v>3.95784435796738</v>
      </c>
      <c r="F1585">
        <v>11</v>
      </c>
    </row>
    <row r="1586" spans="1:6">
      <c r="A1586" t="s">
        <v>418</v>
      </c>
      <c r="B1586">
        <v>2016</v>
      </c>
      <c r="C1586" t="s">
        <v>884</v>
      </c>
      <c r="E1586">
        <v>1.7179167509079</v>
      </c>
      <c r="F1586">
        <v>9</v>
      </c>
    </row>
    <row r="1587" spans="1:6">
      <c r="A1587" t="s">
        <v>378</v>
      </c>
      <c r="B1587">
        <v>2022</v>
      </c>
      <c r="C1587" t="s">
        <v>891</v>
      </c>
      <c r="E1587">
        <v>0.897572359085083</v>
      </c>
      <c r="F1587">
        <v>12</v>
      </c>
    </row>
    <row r="1588" spans="1:6">
      <c r="A1588" t="s">
        <v>10</v>
      </c>
      <c r="B1588">
        <v>2015</v>
      </c>
      <c r="C1588" t="s">
        <v>841</v>
      </c>
      <c r="E1588">
        <v>0.586889068603516</v>
      </c>
      <c r="F1588">
        <v>3</v>
      </c>
    </row>
    <row r="1589" spans="1:6">
      <c r="A1589" t="s">
        <v>58</v>
      </c>
      <c r="B1589">
        <v>2020</v>
      </c>
      <c r="C1589" t="s">
        <v>839</v>
      </c>
      <c r="E1589">
        <v>188</v>
      </c>
      <c r="F1589">
        <v>34</v>
      </c>
    </row>
    <row r="1590" spans="1:6">
      <c r="A1590" t="s">
        <v>96</v>
      </c>
      <c r="B1590">
        <v>2018</v>
      </c>
      <c r="C1590" t="s">
        <v>879</v>
      </c>
      <c r="E1590">
        <v>0.299895891189575</v>
      </c>
      <c r="F1590">
        <v>4</v>
      </c>
    </row>
    <row r="1591" spans="1:6">
      <c r="A1591" t="s">
        <v>132</v>
      </c>
      <c r="B1591">
        <v>2019</v>
      </c>
      <c r="C1591" t="s">
        <v>878</v>
      </c>
      <c r="E1591">
        <v>42</v>
      </c>
      <c r="F1591">
        <v>13</v>
      </c>
    </row>
    <row r="1592" spans="1:6">
      <c r="A1592" t="s">
        <v>146</v>
      </c>
      <c r="B1592">
        <v>2020</v>
      </c>
      <c r="C1592" t="s">
        <v>888</v>
      </c>
      <c r="E1592">
        <v>10</v>
      </c>
      <c r="F1592">
        <v>9</v>
      </c>
    </row>
    <row r="1593" spans="1:6">
      <c r="A1593" t="s">
        <v>155</v>
      </c>
      <c r="B1593">
        <v>2016</v>
      </c>
      <c r="C1593" t="s">
        <v>879</v>
      </c>
      <c r="E1593">
        <v>3.53797371292114</v>
      </c>
      <c r="F1593">
        <v>40</v>
      </c>
    </row>
    <row r="1594" spans="1:6">
      <c r="A1594" t="s">
        <v>197</v>
      </c>
      <c r="B1594">
        <v>2019</v>
      </c>
      <c r="C1594" t="s">
        <v>879</v>
      </c>
      <c r="D1594" t="s">
        <v>893</v>
      </c>
      <c r="E1594">
        <v>1.07559637069702</v>
      </c>
      <c r="F1594">
        <v>3</v>
      </c>
    </row>
    <row r="1595" spans="1:6">
      <c r="A1595" t="s">
        <v>41</v>
      </c>
      <c r="B1595">
        <v>2017</v>
      </c>
      <c r="C1595" t="s">
        <v>879</v>
      </c>
      <c r="D1595" t="s">
        <v>838</v>
      </c>
      <c r="E1595">
        <v>1.20355111694336</v>
      </c>
      <c r="F1595">
        <v>3</v>
      </c>
    </row>
    <row r="1596" spans="1:6">
      <c r="A1596" t="s">
        <v>631</v>
      </c>
      <c r="B1596">
        <v>2019</v>
      </c>
      <c r="C1596" t="s">
        <v>893</v>
      </c>
      <c r="E1596">
        <v>0.7090166015625</v>
      </c>
      <c r="F1596">
        <v>1</v>
      </c>
    </row>
    <row r="1597" spans="1:6">
      <c r="A1597" t="s">
        <v>215</v>
      </c>
      <c r="B1597">
        <v>2017</v>
      </c>
      <c r="C1597" t="s">
        <v>891</v>
      </c>
      <c r="E1597">
        <v>0.122664979934692</v>
      </c>
      <c r="F1597">
        <v>3</v>
      </c>
    </row>
    <row r="1598" spans="1:6">
      <c r="A1598" t="s">
        <v>309</v>
      </c>
      <c r="B1598">
        <v>2019</v>
      </c>
      <c r="C1598" t="s">
        <v>838</v>
      </c>
      <c r="E1598">
        <v>0.111621002197266</v>
      </c>
      <c r="F1598">
        <v>1</v>
      </c>
    </row>
    <row r="1599" spans="1:6">
      <c r="A1599" t="s">
        <v>226</v>
      </c>
      <c r="B1599">
        <v>2021</v>
      </c>
      <c r="C1599" t="s">
        <v>839</v>
      </c>
      <c r="E1599">
        <v>3.62088723111153</v>
      </c>
      <c r="F1599">
        <v>7</v>
      </c>
    </row>
    <row r="1600" spans="1:6">
      <c r="A1600" t="s">
        <v>374</v>
      </c>
      <c r="B1600">
        <v>2023</v>
      </c>
      <c r="C1600" t="s">
        <v>884</v>
      </c>
      <c r="E1600">
        <v>6.80206332874298</v>
      </c>
      <c r="F1600">
        <v>23</v>
      </c>
    </row>
    <row r="1601" spans="1:6">
      <c r="A1601" t="s">
        <v>416</v>
      </c>
      <c r="B1601">
        <v>2018</v>
      </c>
      <c r="C1601" t="s">
        <v>884</v>
      </c>
      <c r="E1601">
        <v>1.53060060501099</v>
      </c>
      <c r="F1601">
        <v>12</v>
      </c>
    </row>
    <row r="1602" spans="1:6">
      <c r="A1602" t="s">
        <v>408</v>
      </c>
      <c r="B1602">
        <v>2018</v>
      </c>
      <c r="C1602" t="s">
        <v>839</v>
      </c>
      <c r="E1602">
        <v>6.78330410194397</v>
      </c>
      <c r="F1602">
        <v>31</v>
      </c>
    </row>
    <row r="1603" spans="1:6">
      <c r="A1603" t="s">
        <v>17</v>
      </c>
      <c r="B1603">
        <v>2023</v>
      </c>
      <c r="C1603" t="s">
        <v>900</v>
      </c>
      <c r="E1603">
        <v>1.33433003330231</v>
      </c>
      <c r="F1603">
        <v>4</v>
      </c>
    </row>
    <row r="1604" spans="1:6">
      <c r="A1604" t="s">
        <v>12</v>
      </c>
      <c r="B1604">
        <v>2020</v>
      </c>
      <c r="E1604">
        <v>122.904131431103</v>
      </c>
      <c r="F1604">
        <v>86</v>
      </c>
    </row>
    <row r="1605" spans="1:6">
      <c r="A1605" t="s">
        <v>18</v>
      </c>
      <c r="B1605">
        <v>2023</v>
      </c>
      <c r="C1605" t="s">
        <v>906</v>
      </c>
      <c r="E1605">
        <v>16.2798261232376</v>
      </c>
      <c r="F1605">
        <v>12</v>
      </c>
    </row>
    <row r="1606" spans="1:6">
      <c r="A1606" t="s">
        <v>69</v>
      </c>
      <c r="B1606">
        <v>2016</v>
      </c>
      <c r="C1606" t="s">
        <v>878</v>
      </c>
      <c r="E1606">
        <v>143</v>
      </c>
      <c r="F1606">
        <v>39</v>
      </c>
    </row>
    <row r="1607" spans="1:6">
      <c r="A1607" t="s">
        <v>55</v>
      </c>
      <c r="B1607">
        <v>2015</v>
      </c>
      <c r="C1607" t="s">
        <v>875</v>
      </c>
      <c r="E1607">
        <v>27</v>
      </c>
      <c r="F1607">
        <v>27</v>
      </c>
    </row>
    <row r="1608" spans="1:6">
      <c r="A1608" t="s">
        <v>6</v>
      </c>
      <c r="B1608">
        <v>2016</v>
      </c>
      <c r="C1608" t="s">
        <v>839</v>
      </c>
      <c r="E1608">
        <v>21.7260080976486</v>
      </c>
      <c r="F1608">
        <v>52</v>
      </c>
    </row>
    <row r="1609" spans="1:6">
      <c r="A1609" t="s">
        <v>93</v>
      </c>
      <c r="B1609">
        <v>2019</v>
      </c>
      <c r="C1609" t="s">
        <v>878</v>
      </c>
      <c r="E1609">
        <v>0.5649999999999999</v>
      </c>
      <c r="F1609">
        <v>1</v>
      </c>
    </row>
    <row r="1610" spans="1:6">
      <c r="A1610" t="s">
        <v>133</v>
      </c>
      <c r="B1610">
        <v>2015</v>
      </c>
      <c r="C1610" t="s">
        <v>878</v>
      </c>
      <c r="E1610">
        <v>49</v>
      </c>
      <c r="F1610">
        <v>24</v>
      </c>
    </row>
    <row r="1611" spans="1:6">
      <c r="A1611" t="s">
        <v>158</v>
      </c>
      <c r="B1611">
        <v>2018</v>
      </c>
      <c r="C1611" t="s">
        <v>887</v>
      </c>
      <c r="D1611" t="s">
        <v>884</v>
      </c>
      <c r="E1611">
        <v>30.1382886352539</v>
      </c>
      <c r="F1611">
        <v>101</v>
      </c>
    </row>
    <row r="1612" spans="1:6">
      <c r="A1612" t="s">
        <v>184</v>
      </c>
      <c r="B1612">
        <v>2021</v>
      </c>
      <c r="C1612" t="s">
        <v>878</v>
      </c>
      <c r="D1612" t="s">
        <v>880</v>
      </c>
      <c r="E1612">
        <v>1.52758926010132</v>
      </c>
      <c r="F1612">
        <v>7</v>
      </c>
    </row>
    <row r="1613" spans="1:6">
      <c r="A1613" t="s">
        <v>181</v>
      </c>
      <c r="B1613">
        <v>2020</v>
      </c>
      <c r="C1613" t="s">
        <v>895</v>
      </c>
      <c r="D1613" t="s">
        <v>893</v>
      </c>
      <c r="E1613">
        <v>0.910385320663452</v>
      </c>
      <c r="F1613">
        <v>4</v>
      </c>
    </row>
    <row r="1614" spans="1:6">
      <c r="A1614" t="s">
        <v>24</v>
      </c>
      <c r="B1614">
        <v>2017</v>
      </c>
      <c r="C1614" t="s">
        <v>882</v>
      </c>
      <c r="D1614" t="s">
        <v>839</v>
      </c>
      <c r="E1614">
        <v>3.08749376487732</v>
      </c>
      <c r="F1614">
        <v>22</v>
      </c>
    </row>
    <row r="1615" spans="1:6">
      <c r="A1615" t="s">
        <v>27</v>
      </c>
      <c r="B1615">
        <v>2018</v>
      </c>
      <c r="C1615" t="s">
        <v>882</v>
      </c>
      <c r="D1615" t="s">
        <v>841</v>
      </c>
      <c r="E1615">
        <v>0.0795599365234375</v>
      </c>
      <c r="F1615">
        <v>1</v>
      </c>
    </row>
    <row r="1616" spans="1:6">
      <c r="A1616" t="s">
        <v>94</v>
      </c>
      <c r="B1616">
        <v>2023</v>
      </c>
      <c r="C1616" t="s">
        <v>878</v>
      </c>
      <c r="E1616">
        <v>0.0507411842346191</v>
      </c>
      <c r="F1616">
        <v>1</v>
      </c>
    </row>
    <row r="1617" spans="1:6">
      <c r="A1617" t="s">
        <v>126</v>
      </c>
      <c r="B1617">
        <v>2016</v>
      </c>
      <c r="C1617" t="s">
        <v>895</v>
      </c>
      <c r="E1617">
        <v>10</v>
      </c>
      <c r="F1617">
        <v>6</v>
      </c>
    </row>
    <row r="1618" spans="1:6">
      <c r="A1618" t="s">
        <v>136</v>
      </c>
      <c r="B1618">
        <v>2019</v>
      </c>
      <c r="C1618" t="s">
        <v>878</v>
      </c>
      <c r="E1618">
        <v>1</v>
      </c>
      <c r="F1618">
        <v>1</v>
      </c>
    </row>
    <row r="1619" spans="1:6">
      <c r="A1619" t="s">
        <v>162</v>
      </c>
      <c r="B1619">
        <v>2022</v>
      </c>
      <c r="C1619" t="s">
        <v>887</v>
      </c>
      <c r="D1619" t="s">
        <v>891</v>
      </c>
      <c r="E1619">
        <v>2.33134362268448</v>
      </c>
      <c r="F1619">
        <v>31</v>
      </c>
    </row>
    <row r="1620" spans="1:6">
      <c r="A1620" t="s">
        <v>176</v>
      </c>
      <c r="B1620">
        <v>2021</v>
      </c>
      <c r="C1620" t="s">
        <v>895</v>
      </c>
      <c r="D1620" t="s">
        <v>880</v>
      </c>
      <c r="E1620">
        <v>1.40716052246094</v>
      </c>
      <c r="F1620">
        <v>2</v>
      </c>
    </row>
    <row r="1621" spans="1:6">
      <c r="A1621" t="s">
        <v>210</v>
      </c>
      <c r="B1621">
        <v>2023</v>
      </c>
      <c r="C1621" t="s">
        <v>898</v>
      </c>
      <c r="E1621">
        <v>0.0449421901702881</v>
      </c>
      <c r="F1621">
        <v>2</v>
      </c>
    </row>
    <row r="1622" spans="1:6">
      <c r="A1622" t="s">
        <v>37</v>
      </c>
      <c r="B1622">
        <v>2016</v>
      </c>
      <c r="C1622" t="s">
        <v>878</v>
      </c>
      <c r="D1622" t="s">
        <v>841</v>
      </c>
      <c r="E1622">
        <v>0.0735086784362793</v>
      </c>
      <c r="F1622">
        <v>3</v>
      </c>
    </row>
    <row r="1623" spans="1:6">
      <c r="A1623" t="s">
        <v>609</v>
      </c>
      <c r="B1623">
        <v>2016</v>
      </c>
      <c r="C1623" t="s">
        <v>892</v>
      </c>
      <c r="E1623">
        <v>0.443259128570557</v>
      </c>
      <c r="F1623">
        <v>3</v>
      </c>
    </row>
    <row r="1624" spans="1:6">
      <c r="A1624" t="s">
        <v>599</v>
      </c>
      <c r="B1624">
        <v>2015</v>
      </c>
      <c r="C1624" t="s">
        <v>893</v>
      </c>
      <c r="E1624">
        <v>0.231295800924301</v>
      </c>
      <c r="F1624">
        <v>3</v>
      </c>
    </row>
    <row r="1625" spans="1:6">
      <c r="A1625" t="s">
        <v>309</v>
      </c>
      <c r="B1625">
        <v>2021</v>
      </c>
      <c r="C1625" t="s">
        <v>838</v>
      </c>
      <c r="E1625">
        <v>0.581030029296875</v>
      </c>
      <c r="F1625">
        <v>1</v>
      </c>
    </row>
    <row r="1626" spans="1:6">
      <c r="A1626" t="s">
        <v>426</v>
      </c>
      <c r="B1626">
        <v>2016</v>
      </c>
      <c r="C1626" t="s">
        <v>880</v>
      </c>
      <c r="E1626">
        <v>1.21448719787598</v>
      </c>
      <c r="F1626">
        <v>4</v>
      </c>
    </row>
    <row r="1627" spans="1:6">
      <c r="A1627" t="s">
        <v>452</v>
      </c>
      <c r="B1627">
        <v>2017</v>
      </c>
      <c r="C1627" t="s">
        <v>883</v>
      </c>
      <c r="E1627">
        <v>0.357273929595947</v>
      </c>
      <c r="F1627">
        <v>3</v>
      </c>
    </row>
    <row r="1628" spans="1:6">
      <c r="A1628" t="s">
        <v>378</v>
      </c>
      <c r="B1628">
        <v>2019</v>
      </c>
      <c r="C1628" t="s">
        <v>891</v>
      </c>
      <c r="E1628">
        <v>0.569079134643078</v>
      </c>
      <c r="F1628">
        <v>17</v>
      </c>
    </row>
    <row r="1629" spans="1:6">
      <c r="A1629" t="s">
        <v>431</v>
      </c>
      <c r="B1629">
        <v>2019</v>
      </c>
      <c r="C1629" t="s">
        <v>890</v>
      </c>
      <c r="E1629">
        <v>0.1719070302248</v>
      </c>
      <c r="F1629">
        <v>5</v>
      </c>
    </row>
    <row r="1630" spans="1:6">
      <c r="A1630" t="s">
        <v>409</v>
      </c>
      <c r="B1630">
        <v>2017</v>
      </c>
      <c r="C1630" t="s">
        <v>840</v>
      </c>
      <c r="E1630">
        <v>42.1736569271088</v>
      </c>
      <c r="F1630">
        <v>75</v>
      </c>
    </row>
    <row r="1631" spans="1:6">
      <c r="A1631" t="s">
        <v>62</v>
      </c>
      <c r="B1631">
        <v>2021</v>
      </c>
      <c r="C1631" t="s">
        <v>841</v>
      </c>
      <c r="E1631">
        <v>4</v>
      </c>
      <c r="F1631">
        <v>3</v>
      </c>
    </row>
    <row r="1632" spans="1:6">
      <c r="A1632" t="s">
        <v>99</v>
      </c>
      <c r="B1632">
        <v>2023</v>
      </c>
      <c r="C1632" t="s">
        <v>879</v>
      </c>
      <c r="E1632">
        <v>0.537693451881409</v>
      </c>
      <c r="F1632">
        <v>2</v>
      </c>
    </row>
    <row r="1633" spans="1:6">
      <c r="A1633" t="s">
        <v>114</v>
      </c>
      <c r="B1633">
        <v>2017</v>
      </c>
      <c r="C1633" t="s">
        <v>873</v>
      </c>
      <c r="E1633">
        <v>50</v>
      </c>
      <c r="F1633">
        <v>30</v>
      </c>
    </row>
    <row r="1634" spans="1:6">
      <c r="A1634" t="s">
        <v>151</v>
      </c>
      <c r="B1634">
        <v>2015</v>
      </c>
      <c r="C1634" t="s">
        <v>892</v>
      </c>
      <c r="E1634">
        <v>18.084940486908</v>
      </c>
      <c r="F1634">
        <v>62</v>
      </c>
    </row>
    <row r="1635" spans="1:6">
      <c r="A1635" t="s">
        <v>162</v>
      </c>
      <c r="B1635">
        <v>2024</v>
      </c>
      <c r="C1635" t="s">
        <v>887</v>
      </c>
      <c r="D1635" t="s">
        <v>891</v>
      </c>
      <c r="E1635">
        <v>0.202888393640518</v>
      </c>
      <c r="F1635">
        <v>2</v>
      </c>
    </row>
    <row r="1636" spans="1:6">
      <c r="A1636" t="s">
        <v>205</v>
      </c>
      <c r="B1636">
        <v>2023</v>
      </c>
      <c r="C1636" t="s">
        <v>881</v>
      </c>
      <c r="D1636" t="s">
        <v>893</v>
      </c>
      <c r="E1636">
        <v>4.29234215165675</v>
      </c>
      <c r="F1636">
        <v>8</v>
      </c>
    </row>
    <row r="1637" spans="1:6">
      <c r="A1637" t="s">
        <v>207</v>
      </c>
      <c r="B1637">
        <v>2022</v>
      </c>
      <c r="C1637" t="s">
        <v>840</v>
      </c>
      <c r="E1637">
        <v>44.1007652232647</v>
      </c>
      <c r="F1637">
        <v>70</v>
      </c>
    </row>
    <row r="1638" spans="1:6">
      <c r="A1638" t="s">
        <v>24</v>
      </c>
      <c r="B1638">
        <v>2019</v>
      </c>
      <c r="C1638" t="s">
        <v>882</v>
      </c>
      <c r="D1638" t="s">
        <v>839</v>
      </c>
      <c r="E1638">
        <v>12.4390805969238</v>
      </c>
      <c r="F1638">
        <v>20</v>
      </c>
    </row>
    <row r="1639" spans="1:6">
      <c r="A1639" t="s">
        <v>216</v>
      </c>
      <c r="B1639">
        <v>2015</v>
      </c>
      <c r="C1639" t="s">
        <v>879</v>
      </c>
      <c r="E1639">
        <v>0.566393243789673</v>
      </c>
      <c r="F1639">
        <v>3</v>
      </c>
    </row>
    <row r="1640" spans="1:6">
      <c r="A1640" t="s">
        <v>633</v>
      </c>
      <c r="B1640">
        <v>2019</v>
      </c>
      <c r="C1640" t="s">
        <v>892</v>
      </c>
      <c r="E1640">
        <v>0.4</v>
      </c>
      <c r="F1640">
        <v>1</v>
      </c>
    </row>
    <row r="1641" spans="1:6">
      <c r="A1641" t="s">
        <v>219</v>
      </c>
      <c r="B1641">
        <v>2017</v>
      </c>
      <c r="C1641" t="s">
        <v>885</v>
      </c>
      <c r="E1641">
        <v>3.16810286903381</v>
      </c>
      <c r="F1641">
        <v>6</v>
      </c>
    </row>
    <row r="1642" spans="1:6">
      <c r="A1642" t="s">
        <v>303</v>
      </c>
      <c r="B1642">
        <v>2016</v>
      </c>
      <c r="C1642" t="s">
        <v>840</v>
      </c>
      <c r="E1642">
        <v>1.55363360214233</v>
      </c>
      <c r="F1642">
        <v>5</v>
      </c>
    </row>
    <row r="1643" spans="1:6">
      <c r="A1643" t="s">
        <v>319</v>
      </c>
      <c r="B1643">
        <v>2021</v>
      </c>
      <c r="C1643" t="s">
        <v>838</v>
      </c>
      <c r="E1643">
        <v>0.0916946716308594</v>
      </c>
      <c r="F1643">
        <v>1</v>
      </c>
    </row>
    <row r="1644" spans="1:6">
      <c r="A1644" t="s">
        <v>440</v>
      </c>
      <c r="B1644">
        <v>2016</v>
      </c>
      <c r="C1644" t="s">
        <v>891</v>
      </c>
      <c r="E1644">
        <v>0.0965200023651123</v>
      </c>
      <c r="F1644">
        <v>2</v>
      </c>
    </row>
    <row r="1645" spans="1:6">
      <c r="A1645" t="s">
        <v>386</v>
      </c>
      <c r="B1645">
        <v>2015</v>
      </c>
      <c r="C1645" t="s">
        <v>885</v>
      </c>
      <c r="E1645">
        <v>1.18792972183228</v>
      </c>
      <c r="F1645">
        <v>3</v>
      </c>
    </row>
    <row r="1646" spans="1:6">
      <c r="A1646" t="s">
        <v>13</v>
      </c>
      <c r="B1646">
        <v>2022</v>
      </c>
      <c r="C1646" t="s">
        <v>905</v>
      </c>
      <c r="E1646">
        <v>91.3612117986679</v>
      </c>
      <c r="F1646">
        <v>87</v>
      </c>
    </row>
    <row r="1647" spans="1:6">
      <c r="A1647" t="s">
        <v>15</v>
      </c>
      <c r="B1647">
        <v>2015</v>
      </c>
      <c r="C1647" t="s">
        <v>895</v>
      </c>
      <c r="E1647">
        <v>2.41809497690201</v>
      </c>
      <c r="F1647">
        <v>18</v>
      </c>
    </row>
    <row r="1648" spans="1:6">
      <c r="A1648" t="s">
        <v>66</v>
      </c>
      <c r="B1648">
        <v>2015</v>
      </c>
      <c r="C1648" t="s">
        <v>905</v>
      </c>
      <c r="E1648">
        <v>386</v>
      </c>
      <c r="F1648">
        <v>94</v>
      </c>
    </row>
    <row r="1649" spans="1:6">
      <c r="A1649" t="s">
        <v>49</v>
      </c>
      <c r="B1649">
        <v>2024</v>
      </c>
      <c r="C1649" t="s">
        <v>896</v>
      </c>
      <c r="E1649">
        <v>5</v>
      </c>
      <c r="F1649">
        <v>5</v>
      </c>
    </row>
    <row r="1650" spans="1:6">
      <c r="A1650" t="s">
        <v>55</v>
      </c>
      <c r="B1650">
        <v>2020</v>
      </c>
      <c r="C1650" t="s">
        <v>875</v>
      </c>
      <c r="E1650">
        <v>25</v>
      </c>
      <c r="F1650">
        <v>25</v>
      </c>
    </row>
    <row r="1651" spans="1:6">
      <c r="A1651" t="s">
        <v>60</v>
      </c>
      <c r="B1651">
        <v>2024</v>
      </c>
      <c r="C1651" t="s">
        <v>838</v>
      </c>
      <c r="E1651">
        <v>10</v>
      </c>
      <c r="F1651">
        <v>3</v>
      </c>
    </row>
    <row r="1652" spans="1:6">
      <c r="A1652" t="s">
        <v>84</v>
      </c>
      <c r="B1652">
        <v>2022</v>
      </c>
      <c r="C1652" t="s">
        <v>895</v>
      </c>
      <c r="E1652">
        <v>0.662116852760315</v>
      </c>
      <c r="F1652">
        <v>3</v>
      </c>
    </row>
    <row r="1653" spans="1:6">
      <c r="A1653" t="s">
        <v>114</v>
      </c>
      <c r="B1653">
        <v>2018</v>
      </c>
      <c r="C1653" t="s">
        <v>873</v>
      </c>
      <c r="E1653">
        <v>52</v>
      </c>
      <c r="F1653">
        <v>34</v>
      </c>
    </row>
    <row r="1654" spans="1:6">
      <c r="A1654" t="s">
        <v>126</v>
      </c>
      <c r="B1654">
        <v>2015</v>
      </c>
      <c r="C1654" t="s">
        <v>895</v>
      </c>
      <c r="E1654">
        <v>10</v>
      </c>
      <c r="F1654">
        <v>4</v>
      </c>
    </row>
    <row r="1655" spans="1:6">
      <c r="A1655" t="s">
        <v>116</v>
      </c>
      <c r="B1655">
        <v>2022</v>
      </c>
      <c r="C1655" t="s">
        <v>873</v>
      </c>
      <c r="E1655">
        <v>83</v>
      </c>
      <c r="F1655">
        <v>32</v>
      </c>
    </row>
    <row r="1656" spans="1:6">
      <c r="A1656" t="s">
        <v>156</v>
      </c>
      <c r="B1656">
        <v>2017</v>
      </c>
      <c r="C1656" t="s">
        <v>883</v>
      </c>
      <c r="E1656">
        <v>6.04980544024706</v>
      </c>
      <c r="F1656">
        <v>51</v>
      </c>
    </row>
    <row r="1657" spans="1:6">
      <c r="A1657" t="s">
        <v>204</v>
      </c>
      <c r="B1657">
        <v>2020</v>
      </c>
      <c r="C1657" t="s">
        <v>881</v>
      </c>
      <c r="D1657" t="s">
        <v>883</v>
      </c>
      <c r="E1657">
        <v>0.30423886680603</v>
      </c>
      <c r="F1657">
        <v>4</v>
      </c>
    </row>
    <row r="1658" spans="1:6">
      <c r="A1658" t="s">
        <v>208</v>
      </c>
      <c r="B1658">
        <v>2016</v>
      </c>
      <c r="C1658" t="s">
        <v>838</v>
      </c>
      <c r="E1658">
        <v>32.0853169145584</v>
      </c>
      <c r="F1658">
        <v>55</v>
      </c>
    </row>
    <row r="1659" spans="1:6">
      <c r="A1659" t="s">
        <v>46</v>
      </c>
      <c r="B1659">
        <v>2018</v>
      </c>
      <c r="C1659" t="s">
        <v>888</v>
      </c>
      <c r="D1659" t="s">
        <v>838</v>
      </c>
      <c r="E1659">
        <v>15.9494528121948</v>
      </c>
      <c r="F1659">
        <v>9</v>
      </c>
    </row>
    <row r="1660" spans="1:6">
      <c r="A1660" t="s">
        <v>594</v>
      </c>
      <c r="B1660">
        <v>2019</v>
      </c>
      <c r="C1660" t="s">
        <v>880</v>
      </c>
      <c r="E1660">
        <v>0.110578079223633</v>
      </c>
      <c r="F1660">
        <v>2</v>
      </c>
    </row>
    <row r="1661" spans="1:6">
      <c r="A1661" t="s">
        <v>224</v>
      </c>
      <c r="B1661">
        <v>2017</v>
      </c>
      <c r="C1661" t="s">
        <v>885</v>
      </c>
      <c r="E1661">
        <v>0.647</v>
      </c>
      <c r="F1661">
        <v>2</v>
      </c>
    </row>
    <row r="1662" spans="1:6">
      <c r="A1662" t="s">
        <v>218</v>
      </c>
      <c r="B1662">
        <v>2022</v>
      </c>
      <c r="C1662" t="s">
        <v>893</v>
      </c>
      <c r="E1662">
        <v>2.70271530914307</v>
      </c>
      <c r="F1662">
        <v>3</v>
      </c>
    </row>
    <row r="1663" spans="1:6">
      <c r="A1663" t="s">
        <v>633</v>
      </c>
      <c r="B1663">
        <v>2023</v>
      </c>
      <c r="C1663" t="s">
        <v>892</v>
      </c>
      <c r="E1663">
        <v>0.0167999992370605</v>
      </c>
      <c r="F1663">
        <v>1</v>
      </c>
    </row>
    <row r="1664" spans="1:6">
      <c r="A1664" t="s">
        <v>305</v>
      </c>
      <c r="B1664">
        <v>2020</v>
      </c>
      <c r="C1664" t="s">
        <v>841</v>
      </c>
      <c r="E1664">
        <v>0.0277240371704102</v>
      </c>
      <c r="F1664">
        <v>1</v>
      </c>
    </row>
    <row r="1665" spans="1:6">
      <c r="A1665" t="s">
        <v>455</v>
      </c>
      <c r="B1665">
        <v>2018</v>
      </c>
      <c r="C1665" t="s">
        <v>893</v>
      </c>
      <c r="E1665">
        <v>3.6152409247756</v>
      </c>
      <c r="F1665">
        <v>26</v>
      </c>
    </row>
    <row r="1666" spans="1:6">
      <c r="A1666" t="s">
        <v>413</v>
      </c>
      <c r="B1666">
        <v>2022</v>
      </c>
      <c r="C1666" t="s">
        <v>884</v>
      </c>
      <c r="E1666">
        <v>11.5895309228897</v>
      </c>
      <c r="F1666">
        <v>37</v>
      </c>
    </row>
    <row r="1667" spans="1:6">
      <c r="A1667" t="s">
        <v>454</v>
      </c>
      <c r="B1667">
        <v>2019</v>
      </c>
      <c r="C1667" t="s">
        <v>883</v>
      </c>
      <c r="E1667">
        <v>0.0672099990844727</v>
      </c>
      <c r="F1667">
        <v>1</v>
      </c>
    </row>
    <row r="1668" spans="1:6">
      <c r="A1668" t="s">
        <v>97</v>
      </c>
      <c r="B1668">
        <v>2017</v>
      </c>
      <c r="C1668" t="s">
        <v>879</v>
      </c>
      <c r="E1668">
        <v>1.00797611808777</v>
      </c>
      <c r="F1668">
        <v>7</v>
      </c>
    </row>
    <row r="1669" spans="1:6">
      <c r="A1669" t="s">
        <v>87</v>
      </c>
      <c r="B1669">
        <v>2016</v>
      </c>
      <c r="C1669" t="s">
        <v>895</v>
      </c>
      <c r="E1669">
        <v>1.54965706825256</v>
      </c>
      <c r="F1669">
        <v>6</v>
      </c>
    </row>
    <row r="1670" spans="1:6">
      <c r="A1670" t="s">
        <v>127</v>
      </c>
      <c r="B1670">
        <v>2016</v>
      </c>
      <c r="C1670" t="s">
        <v>895</v>
      </c>
      <c r="E1670">
        <v>20</v>
      </c>
      <c r="F1670">
        <v>8</v>
      </c>
    </row>
    <row r="1671" spans="1:6">
      <c r="A1671" t="s">
        <v>148</v>
      </c>
      <c r="B1671">
        <v>2017</v>
      </c>
      <c r="C1671" t="s">
        <v>888</v>
      </c>
      <c r="E1671">
        <v>1</v>
      </c>
      <c r="F1671">
        <v>1</v>
      </c>
    </row>
    <row r="1672" spans="1:6">
      <c r="A1672" t="s">
        <v>151</v>
      </c>
      <c r="B1672">
        <v>2023</v>
      </c>
      <c r="C1672" t="s">
        <v>892</v>
      </c>
      <c r="E1672">
        <v>11.0015986424685</v>
      </c>
      <c r="F1672">
        <v>28</v>
      </c>
    </row>
    <row r="1673" spans="1:6">
      <c r="A1673" t="s">
        <v>209</v>
      </c>
      <c r="B1673">
        <v>2017</v>
      </c>
      <c r="C1673" t="s">
        <v>841</v>
      </c>
      <c r="E1673">
        <v>0.576287728905678</v>
      </c>
      <c r="F1673">
        <v>7</v>
      </c>
    </row>
    <row r="1674" spans="1:6">
      <c r="A1674" t="s">
        <v>23</v>
      </c>
      <c r="B1674">
        <v>2021</v>
      </c>
      <c r="C1674" t="s">
        <v>873</v>
      </c>
      <c r="D1674" t="s">
        <v>898</v>
      </c>
      <c r="E1674">
        <v>0.0220419883728027</v>
      </c>
      <c r="F1674">
        <v>1</v>
      </c>
    </row>
    <row r="1675" spans="1:6">
      <c r="A1675" t="s">
        <v>630</v>
      </c>
      <c r="B1675">
        <v>2015</v>
      </c>
      <c r="C1675" t="s">
        <v>883</v>
      </c>
      <c r="E1675">
        <v>0.229043182373047</v>
      </c>
      <c r="F1675">
        <v>4</v>
      </c>
    </row>
    <row r="1676" spans="1:6">
      <c r="A1676" t="s">
        <v>302</v>
      </c>
      <c r="B1676">
        <v>2018</v>
      </c>
      <c r="C1676" t="s">
        <v>839</v>
      </c>
      <c r="E1676">
        <v>0.027</v>
      </c>
      <c r="F1676">
        <v>1</v>
      </c>
    </row>
    <row r="1677" spans="1:6">
      <c r="A1677" t="s">
        <v>446</v>
      </c>
      <c r="B1677">
        <v>2022</v>
      </c>
      <c r="C1677" t="s">
        <v>879</v>
      </c>
      <c r="E1677">
        <v>0.38115625</v>
      </c>
      <c r="F1677">
        <v>1</v>
      </c>
    </row>
    <row r="1678" spans="1:6">
      <c r="A1678" t="s">
        <v>430</v>
      </c>
      <c r="B1678">
        <v>2015</v>
      </c>
      <c r="C1678" t="s">
        <v>880</v>
      </c>
      <c r="E1678">
        <v>0.08</v>
      </c>
      <c r="F1678">
        <v>1</v>
      </c>
    </row>
    <row r="1679" spans="1:6">
      <c r="A1679" t="s">
        <v>56</v>
      </c>
      <c r="B1679">
        <v>2024</v>
      </c>
      <c r="C1679" t="s">
        <v>897</v>
      </c>
      <c r="E1679">
        <v>1</v>
      </c>
      <c r="F1679">
        <v>1</v>
      </c>
    </row>
    <row r="1680" spans="1:6">
      <c r="A1680" t="s">
        <v>58</v>
      </c>
      <c r="B1680">
        <v>2024</v>
      </c>
      <c r="C1680" t="s">
        <v>839</v>
      </c>
      <c r="E1680">
        <v>8</v>
      </c>
      <c r="F1680">
        <v>1</v>
      </c>
    </row>
    <row r="1681" spans="1:6">
      <c r="A1681" t="s">
        <v>84</v>
      </c>
      <c r="B1681">
        <v>2017</v>
      </c>
      <c r="C1681" t="s">
        <v>895</v>
      </c>
      <c r="E1681">
        <v>0.0837095502018929</v>
      </c>
      <c r="F1681">
        <v>2</v>
      </c>
    </row>
    <row r="1682" spans="1:6">
      <c r="A1682" t="s">
        <v>73</v>
      </c>
      <c r="B1682">
        <v>2022</v>
      </c>
      <c r="C1682" t="s">
        <v>873</v>
      </c>
      <c r="E1682">
        <v>33.9398460426331</v>
      </c>
      <c r="F1682">
        <v>58</v>
      </c>
    </row>
    <row r="1683" spans="1:6">
      <c r="A1683" t="s">
        <v>146</v>
      </c>
      <c r="B1683">
        <v>2016</v>
      </c>
      <c r="C1683" t="s">
        <v>888</v>
      </c>
      <c r="E1683">
        <v>9</v>
      </c>
      <c r="F1683">
        <v>7</v>
      </c>
    </row>
    <row r="1684" spans="1:6">
      <c r="A1684" t="s">
        <v>116</v>
      </c>
      <c r="B1684">
        <v>2017</v>
      </c>
      <c r="C1684" t="s">
        <v>873</v>
      </c>
      <c r="E1684">
        <v>64</v>
      </c>
      <c r="F1684">
        <v>30</v>
      </c>
    </row>
    <row r="1685" spans="1:6">
      <c r="A1685" t="s">
        <v>188</v>
      </c>
      <c r="B1685">
        <v>2022</v>
      </c>
      <c r="C1685" t="s">
        <v>878</v>
      </c>
      <c r="D1685" t="s">
        <v>883</v>
      </c>
      <c r="E1685">
        <v>0.216355236053467</v>
      </c>
      <c r="F1685">
        <v>6</v>
      </c>
    </row>
    <row r="1686" spans="1:6">
      <c r="A1686" t="s">
        <v>159</v>
      </c>
      <c r="B1686">
        <v>2019</v>
      </c>
      <c r="C1686" t="s">
        <v>887</v>
      </c>
      <c r="D1686" t="s">
        <v>892</v>
      </c>
      <c r="E1686">
        <v>12.5112747753859</v>
      </c>
      <c r="F1686">
        <v>62</v>
      </c>
    </row>
    <row r="1687" spans="1:6">
      <c r="A1687" t="s">
        <v>167</v>
      </c>
      <c r="B1687">
        <v>2022</v>
      </c>
      <c r="C1687" t="s">
        <v>874</v>
      </c>
      <c r="D1687" t="s">
        <v>892</v>
      </c>
      <c r="E1687">
        <v>6.19734772872925</v>
      </c>
      <c r="F1687">
        <v>9</v>
      </c>
    </row>
    <row r="1688" spans="1:6">
      <c r="A1688" t="s">
        <v>169</v>
      </c>
      <c r="B1688">
        <v>2022</v>
      </c>
      <c r="C1688" t="s">
        <v>874</v>
      </c>
      <c r="D1688" t="s">
        <v>890</v>
      </c>
      <c r="E1688">
        <v>0.187170867919922</v>
      </c>
      <c r="F1688">
        <v>3</v>
      </c>
    </row>
    <row r="1689" spans="1:6">
      <c r="A1689" t="s">
        <v>84</v>
      </c>
      <c r="B1689">
        <v>2016</v>
      </c>
      <c r="C1689" t="s">
        <v>895</v>
      </c>
      <c r="E1689">
        <v>0.755607643127441</v>
      </c>
      <c r="F1689">
        <v>6</v>
      </c>
    </row>
    <row r="1690" spans="1:6">
      <c r="A1690" t="s">
        <v>115</v>
      </c>
      <c r="B1690">
        <v>2020</v>
      </c>
      <c r="C1690" t="s">
        <v>873</v>
      </c>
      <c r="E1690">
        <v>164</v>
      </c>
      <c r="F1690">
        <v>45</v>
      </c>
    </row>
    <row r="1691" spans="1:6">
      <c r="A1691" t="s">
        <v>141</v>
      </c>
      <c r="B1691">
        <v>2020</v>
      </c>
      <c r="C1691" t="s">
        <v>879</v>
      </c>
      <c r="E1691">
        <v>2</v>
      </c>
      <c r="F1691">
        <v>2</v>
      </c>
    </row>
    <row r="1692" spans="1:6">
      <c r="A1692" t="s">
        <v>165</v>
      </c>
      <c r="B1692">
        <v>2020</v>
      </c>
      <c r="C1692" t="s">
        <v>887</v>
      </c>
      <c r="D1692" t="s">
        <v>893</v>
      </c>
      <c r="E1692">
        <v>11.5288088576794</v>
      </c>
      <c r="F1692">
        <v>40</v>
      </c>
    </row>
    <row r="1693" spans="1:6">
      <c r="A1693" t="s">
        <v>183</v>
      </c>
      <c r="B1693">
        <v>2022</v>
      </c>
      <c r="C1693" t="s">
        <v>878</v>
      </c>
      <c r="D1693" t="s">
        <v>892</v>
      </c>
      <c r="E1693">
        <v>1.30383795166016</v>
      </c>
      <c r="F1693">
        <v>7</v>
      </c>
    </row>
    <row r="1694" spans="1:6">
      <c r="A1694" t="s">
        <v>175</v>
      </c>
      <c r="B1694">
        <v>2023</v>
      </c>
      <c r="C1694" t="s">
        <v>895</v>
      </c>
      <c r="D1694" t="s">
        <v>892</v>
      </c>
      <c r="E1694">
        <v>0.659115829467773</v>
      </c>
      <c r="F1694">
        <v>2</v>
      </c>
    </row>
    <row r="1695" spans="1:6">
      <c r="A1695" t="s">
        <v>19</v>
      </c>
      <c r="B1695">
        <v>2017</v>
      </c>
      <c r="C1695" t="s">
        <v>873</v>
      </c>
      <c r="D1695" t="s">
        <v>839</v>
      </c>
      <c r="E1695">
        <v>14.330223115921</v>
      </c>
      <c r="F1695">
        <v>49</v>
      </c>
    </row>
    <row r="1696" spans="1:6">
      <c r="A1696" t="s">
        <v>609</v>
      </c>
      <c r="B1696">
        <v>2018</v>
      </c>
      <c r="C1696" t="s">
        <v>892</v>
      </c>
      <c r="E1696">
        <v>0.417908233642578</v>
      </c>
      <c r="F1696">
        <v>1</v>
      </c>
    </row>
    <row r="1697" spans="1:6">
      <c r="A1697" t="s">
        <v>615</v>
      </c>
      <c r="B1697">
        <v>2019</v>
      </c>
      <c r="C1697" t="s">
        <v>893</v>
      </c>
      <c r="E1697">
        <v>0.0446483993530273</v>
      </c>
      <c r="F1697">
        <v>1</v>
      </c>
    </row>
    <row r="1698" spans="1:6">
      <c r="A1698" t="s">
        <v>228</v>
      </c>
      <c r="B1698">
        <v>2023</v>
      </c>
      <c r="C1698" t="s">
        <v>838</v>
      </c>
      <c r="E1698">
        <v>1.5031441192627</v>
      </c>
      <c r="F1698">
        <v>4</v>
      </c>
    </row>
    <row r="1699" spans="1:6">
      <c r="A1699" t="s">
        <v>438</v>
      </c>
      <c r="B1699">
        <v>2017</v>
      </c>
      <c r="C1699" t="s">
        <v>891</v>
      </c>
      <c r="E1699">
        <v>0.025</v>
      </c>
      <c r="F1699">
        <v>2</v>
      </c>
    </row>
    <row r="1700" spans="1:6">
      <c r="A1700" t="s">
        <v>432</v>
      </c>
      <c r="B1700">
        <v>2016</v>
      </c>
      <c r="C1700" t="s">
        <v>890</v>
      </c>
      <c r="E1700">
        <v>0.742287139892578</v>
      </c>
      <c r="F1700">
        <v>3</v>
      </c>
    </row>
    <row r="1701" spans="1:6">
      <c r="A1701" t="s">
        <v>446</v>
      </c>
      <c r="B1701">
        <v>2016</v>
      </c>
      <c r="C1701" t="s">
        <v>879</v>
      </c>
      <c r="E1701">
        <v>0.175039999999106</v>
      </c>
      <c r="F1701">
        <v>3</v>
      </c>
    </row>
    <row r="1702" spans="1:6">
      <c r="A1702" t="s">
        <v>377</v>
      </c>
      <c r="B1702">
        <v>2019</v>
      </c>
      <c r="C1702" t="s">
        <v>890</v>
      </c>
      <c r="E1702">
        <v>0.311340318799019</v>
      </c>
      <c r="F1702">
        <v>8</v>
      </c>
    </row>
    <row r="1703" spans="1:6">
      <c r="A1703" t="s">
        <v>409</v>
      </c>
      <c r="B1703">
        <v>2024</v>
      </c>
      <c r="C1703" t="s">
        <v>840</v>
      </c>
      <c r="E1703">
        <v>0.9409999999999999</v>
      </c>
      <c r="F1703">
        <v>7</v>
      </c>
    </row>
    <row r="1704" spans="1:6">
      <c r="A1704" t="s">
        <v>61</v>
      </c>
      <c r="B1704">
        <v>2015</v>
      </c>
      <c r="C1704" t="s">
        <v>886</v>
      </c>
      <c r="E1704">
        <v>34</v>
      </c>
      <c r="F1704">
        <v>17</v>
      </c>
    </row>
    <row r="1705" spans="1:6">
      <c r="A1705" t="s">
        <v>102</v>
      </c>
      <c r="B1705">
        <v>2021</v>
      </c>
      <c r="C1705" t="s">
        <v>888</v>
      </c>
      <c r="E1705">
        <v>1.55147207641602</v>
      </c>
      <c r="F1705">
        <v>4</v>
      </c>
    </row>
    <row r="1706" spans="1:6">
      <c r="A1706" t="s">
        <v>114</v>
      </c>
      <c r="B1706">
        <v>2023</v>
      </c>
      <c r="C1706" t="s">
        <v>873</v>
      </c>
      <c r="E1706">
        <v>42</v>
      </c>
      <c r="F1706">
        <v>22</v>
      </c>
    </row>
    <row r="1707" spans="1:6">
      <c r="A1707" t="s">
        <v>157</v>
      </c>
      <c r="B1707">
        <v>2024</v>
      </c>
      <c r="C1707" t="s">
        <v>893</v>
      </c>
      <c r="E1707">
        <v>0.06384967422485351</v>
      </c>
      <c r="F1707">
        <v>1</v>
      </c>
    </row>
    <row r="1708" spans="1:6">
      <c r="A1708" t="s">
        <v>168</v>
      </c>
      <c r="B1708">
        <v>2020</v>
      </c>
      <c r="C1708" t="s">
        <v>874</v>
      </c>
      <c r="D1708" t="s">
        <v>880</v>
      </c>
      <c r="E1708">
        <v>1.55782844543457</v>
      </c>
      <c r="F1708">
        <v>7</v>
      </c>
    </row>
    <row r="1709" spans="1:6">
      <c r="A1709" t="s">
        <v>204</v>
      </c>
      <c r="B1709">
        <v>2021</v>
      </c>
      <c r="C1709" t="s">
        <v>881</v>
      </c>
      <c r="D1709" t="s">
        <v>883</v>
      </c>
      <c r="E1709">
        <v>0.0723091697692871</v>
      </c>
      <c r="F1709">
        <v>2</v>
      </c>
    </row>
    <row r="1710" spans="1:6">
      <c r="A1710" t="s">
        <v>207</v>
      </c>
      <c r="B1710">
        <v>2017</v>
      </c>
      <c r="C1710" t="s">
        <v>840</v>
      </c>
      <c r="E1710">
        <v>58.4788716888428</v>
      </c>
      <c r="F1710">
        <v>98</v>
      </c>
    </row>
    <row r="1711" spans="1:6">
      <c r="A1711" t="s">
        <v>22</v>
      </c>
      <c r="B1711">
        <v>2017</v>
      </c>
      <c r="C1711" t="s">
        <v>873</v>
      </c>
      <c r="D1711" t="s">
        <v>841</v>
      </c>
      <c r="E1711">
        <v>0.389496845841408</v>
      </c>
      <c r="F1711">
        <v>6</v>
      </c>
    </row>
    <row r="1712" spans="1:6">
      <c r="A1712" t="s">
        <v>29</v>
      </c>
      <c r="B1712">
        <v>2018</v>
      </c>
      <c r="C1712" t="s">
        <v>889</v>
      </c>
      <c r="D1712" t="s">
        <v>839</v>
      </c>
      <c r="E1712">
        <v>3.35854521179199</v>
      </c>
      <c r="F1712">
        <v>5</v>
      </c>
    </row>
    <row r="1713" spans="1:6">
      <c r="A1713" t="s">
        <v>217</v>
      </c>
      <c r="B1713">
        <v>2015</v>
      </c>
      <c r="C1713" t="s">
        <v>883</v>
      </c>
      <c r="E1713">
        <v>0.401290866851807</v>
      </c>
      <c r="F1713">
        <v>7</v>
      </c>
    </row>
    <row r="1714" spans="1:6">
      <c r="A1714" t="s">
        <v>223</v>
      </c>
      <c r="B1714">
        <v>2022</v>
      </c>
      <c r="C1714" t="s">
        <v>885</v>
      </c>
      <c r="E1714">
        <v>0.09627517700195309</v>
      </c>
      <c r="F1714">
        <v>1</v>
      </c>
    </row>
    <row r="1715" spans="1:6">
      <c r="A1715" t="s">
        <v>299</v>
      </c>
      <c r="B1715">
        <v>2019</v>
      </c>
      <c r="C1715" t="s">
        <v>838</v>
      </c>
      <c r="E1715">
        <v>2.80583975219727</v>
      </c>
      <c r="F1715">
        <v>3</v>
      </c>
    </row>
    <row r="1716" spans="1:6">
      <c r="A1716" t="s">
        <v>229</v>
      </c>
      <c r="B1716">
        <v>2021</v>
      </c>
      <c r="C1716" t="s">
        <v>841</v>
      </c>
      <c r="E1716">
        <v>0.0969847526550293</v>
      </c>
      <c r="F1716">
        <v>2</v>
      </c>
    </row>
    <row r="1717" spans="1:6">
      <c r="A1717" t="s">
        <v>379</v>
      </c>
      <c r="B1717">
        <v>2021</v>
      </c>
      <c r="C1717" t="s">
        <v>879</v>
      </c>
      <c r="E1717">
        <v>4.11783467245102</v>
      </c>
      <c r="F1717">
        <v>30</v>
      </c>
    </row>
    <row r="1718" spans="1:6">
      <c r="A1718" t="s">
        <v>455</v>
      </c>
      <c r="B1718">
        <v>2019</v>
      </c>
      <c r="C1718" t="s">
        <v>893</v>
      </c>
      <c r="E1718">
        <v>4.43469481498003</v>
      </c>
      <c r="F1718">
        <v>25</v>
      </c>
    </row>
    <row r="1719" spans="1:6">
      <c r="A1719" t="s">
        <v>12</v>
      </c>
      <c r="B1719">
        <v>2021</v>
      </c>
      <c r="E1719">
        <v>253.766324152946</v>
      </c>
      <c r="F1719">
        <v>102</v>
      </c>
    </row>
    <row r="1720" spans="1:6">
      <c r="A1720" t="s">
        <v>15</v>
      </c>
      <c r="B1720">
        <v>2016</v>
      </c>
      <c r="C1720" t="s">
        <v>895</v>
      </c>
      <c r="E1720">
        <v>4.24180636405945</v>
      </c>
      <c r="F1720">
        <v>17</v>
      </c>
    </row>
    <row r="1721" spans="1:6">
      <c r="A1721" t="s">
        <v>66</v>
      </c>
      <c r="B1721">
        <v>2021</v>
      </c>
      <c r="C1721" t="s">
        <v>905</v>
      </c>
      <c r="E1721">
        <v>321.738842010498</v>
      </c>
      <c r="F1721">
        <v>85</v>
      </c>
    </row>
    <row r="1722" spans="1:6">
      <c r="A1722" t="s">
        <v>49</v>
      </c>
      <c r="B1722">
        <v>2015</v>
      </c>
      <c r="C1722" t="s">
        <v>896</v>
      </c>
      <c r="E1722">
        <v>30</v>
      </c>
      <c r="F1722">
        <v>30</v>
      </c>
    </row>
    <row r="1723" spans="1:6">
      <c r="A1723" t="s">
        <v>55</v>
      </c>
      <c r="B1723">
        <v>2023</v>
      </c>
      <c r="C1723" t="s">
        <v>897</v>
      </c>
      <c r="E1723">
        <v>3</v>
      </c>
      <c r="F1723">
        <v>3</v>
      </c>
    </row>
    <row r="1724" spans="1:6">
      <c r="A1724" t="s">
        <v>60</v>
      </c>
      <c r="B1724">
        <v>2017</v>
      </c>
      <c r="C1724" t="s">
        <v>838</v>
      </c>
      <c r="E1724">
        <v>188</v>
      </c>
      <c r="F1724">
        <v>36</v>
      </c>
    </row>
    <row r="1725" spans="1:6">
      <c r="A1725" t="s">
        <v>105</v>
      </c>
      <c r="B1725">
        <v>2018</v>
      </c>
      <c r="C1725" t="s">
        <v>888</v>
      </c>
      <c r="E1725">
        <v>1.07619995117187</v>
      </c>
      <c r="F1725">
        <v>1</v>
      </c>
    </row>
    <row r="1726" spans="1:6">
      <c r="A1726" t="s">
        <v>132</v>
      </c>
      <c r="B1726">
        <v>2017</v>
      </c>
      <c r="C1726" t="s">
        <v>878</v>
      </c>
      <c r="E1726">
        <v>24</v>
      </c>
      <c r="F1726">
        <v>10</v>
      </c>
    </row>
    <row r="1727" spans="1:6">
      <c r="A1727" t="s">
        <v>115</v>
      </c>
      <c r="B1727">
        <v>2022</v>
      </c>
      <c r="C1727" t="s">
        <v>873</v>
      </c>
      <c r="E1727">
        <v>168</v>
      </c>
      <c r="F1727">
        <v>58</v>
      </c>
    </row>
    <row r="1728" spans="1:6">
      <c r="A1728" t="s">
        <v>122</v>
      </c>
      <c r="B1728">
        <v>2021</v>
      </c>
      <c r="C1728" t="s">
        <v>874</v>
      </c>
      <c r="E1728">
        <v>41.9347105026245</v>
      </c>
      <c r="F1728">
        <v>13</v>
      </c>
    </row>
    <row r="1729" spans="1:6">
      <c r="A1729" t="s">
        <v>156</v>
      </c>
      <c r="B1729">
        <v>2019</v>
      </c>
      <c r="C1729" t="s">
        <v>883</v>
      </c>
      <c r="E1729">
        <v>6.86860934686661</v>
      </c>
      <c r="F1729">
        <v>53</v>
      </c>
    </row>
    <row r="1730" spans="1:6">
      <c r="A1730" t="s">
        <v>194</v>
      </c>
      <c r="B1730">
        <v>2019</v>
      </c>
      <c r="C1730" t="s">
        <v>879</v>
      </c>
      <c r="D1730" t="s">
        <v>891</v>
      </c>
      <c r="E1730">
        <v>0.00446483993530273</v>
      </c>
      <c r="F1730">
        <v>1</v>
      </c>
    </row>
    <row r="1731" spans="1:6">
      <c r="A1731" t="s">
        <v>206</v>
      </c>
      <c r="B1731">
        <v>2016</v>
      </c>
      <c r="C1731" t="s">
        <v>839</v>
      </c>
      <c r="E1731">
        <v>26.6936747125387</v>
      </c>
      <c r="F1731">
        <v>65</v>
      </c>
    </row>
    <row r="1732" spans="1:6">
      <c r="A1732" t="s">
        <v>45</v>
      </c>
      <c r="B1732">
        <v>2016</v>
      </c>
      <c r="C1732" t="s">
        <v>888</v>
      </c>
      <c r="D1732" t="s">
        <v>840</v>
      </c>
      <c r="E1732">
        <v>4.57217108821869</v>
      </c>
      <c r="F1732">
        <v>12</v>
      </c>
    </row>
    <row r="1733" spans="1:6">
      <c r="A1733" t="s">
        <v>24</v>
      </c>
      <c r="B1733">
        <v>2022</v>
      </c>
      <c r="C1733" t="s">
        <v>882</v>
      </c>
      <c r="D1733" t="s">
        <v>839</v>
      </c>
      <c r="E1733">
        <v>11.7856561946869</v>
      </c>
      <c r="F1733">
        <v>15</v>
      </c>
    </row>
    <row r="1734" spans="1:6">
      <c r="A1734" t="s">
        <v>593</v>
      </c>
      <c r="B1734">
        <v>2015</v>
      </c>
      <c r="C1734" t="s">
        <v>892</v>
      </c>
      <c r="E1734">
        <v>0.100845601081848</v>
      </c>
      <c r="F1734">
        <v>3</v>
      </c>
    </row>
    <row r="1735" spans="1:6">
      <c r="A1735" t="s">
        <v>212</v>
      </c>
      <c r="B1735">
        <v>2021</v>
      </c>
      <c r="C1735" t="s">
        <v>892</v>
      </c>
      <c r="E1735">
        <v>1.36062225723267</v>
      </c>
      <c r="F1735">
        <v>7</v>
      </c>
    </row>
    <row r="1736" spans="1:6">
      <c r="A1736" t="s">
        <v>598</v>
      </c>
      <c r="B1736">
        <v>2021</v>
      </c>
      <c r="C1736" t="s">
        <v>883</v>
      </c>
      <c r="E1736">
        <v>0.499030639648438</v>
      </c>
      <c r="F1736">
        <v>2</v>
      </c>
    </row>
    <row r="1737" spans="1:6">
      <c r="A1737" t="s">
        <v>228</v>
      </c>
      <c r="B1737">
        <v>2021</v>
      </c>
      <c r="C1737" t="s">
        <v>838</v>
      </c>
      <c r="E1737">
        <v>6.85940539550781</v>
      </c>
      <c r="F1737">
        <v>5</v>
      </c>
    </row>
    <row r="1738" spans="1:6">
      <c r="A1738" t="s">
        <v>424</v>
      </c>
      <c r="B1738">
        <v>2017</v>
      </c>
      <c r="C1738" t="s">
        <v>892</v>
      </c>
      <c r="E1738">
        <v>0.800630310058594</v>
      </c>
      <c r="F1738">
        <v>6</v>
      </c>
    </row>
    <row r="1739" spans="1:6">
      <c r="A1739" t="s">
        <v>413</v>
      </c>
      <c r="B1739">
        <v>2018</v>
      </c>
      <c r="C1739" t="s">
        <v>884</v>
      </c>
      <c r="E1739">
        <v>13.3266273384094</v>
      </c>
      <c r="F1739">
        <v>54</v>
      </c>
    </row>
    <row r="1740" spans="1:6">
      <c r="A1740" t="s">
        <v>423</v>
      </c>
      <c r="B1740">
        <v>2017</v>
      </c>
      <c r="C1740" t="s">
        <v>892</v>
      </c>
      <c r="E1740">
        <v>0.13179296875</v>
      </c>
      <c r="F1740">
        <v>1</v>
      </c>
    </row>
    <row r="1741" spans="1:6">
      <c r="A1741" t="s">
        <v>10</v>
      </c>
      <c r="B1741">
        <v>2021</v>
      </c>
      <c r="C1741" t="s">
        <v>841</v>
      </c>
      <c r="E1741">
        <v>0.41703443145752</v>
      </c>
      <c r="F1741">
        <v>3</v>
      </c>
    </row>
    <row r="1742" spans="1:6">
      <c r="A1742" t="s">
        <v>102</v>
      </c>
      <c r="B1742">
        <v>2016</v>
      </c>
      <c r="C1742" t="s">
        <v>888</v>
      </c>
      <c r="E1742">
        <v>0.178435839653015</v>
      </c>
      <c r="F1742">
        <v>2</v>
      </c>
    </row>
    <row r="1743" spans="1:6">
      <c r="A1743" t="s">
        <v>72</v>
      </c>
      <c r="B1743">
        <v>2017</v>
      </c>
      <c r="C1743" t="s">
        <v>873</v>
      </c>
      <c r="E1743">
        <v>15.9162903904915</v>
      </c>
      <c r="F1743">
        <v>30</v>
      </c>
    </row>
    <row r="1744" spans="1:6">
      <c r="A1744" t="s">
        <v>144</v>
      </c>
      <c r="B1744">
        <v>2017</v>
      </c>
      <c r="C1744" t="s">
        <v>888</v>
      </c>
      <c r="E1744">
        <v>15</v>
      </c>
      <c r="F1744">
        <v>3</v>
      </c>
    </row>
    <row r="1745" spans="1:6">
      <c r="A1745" t="s">
        <v>134</v>
      </c>
      <c r="B1745">
        <v>2015</v>
      </c>
      <c r="C1745" t="s">
        <v>878</v>
      </c>
      <c r="E1745">
        <v>42</v>
      </c>
      <c r="F1745">
        <v>10</v>
      </c>
    </row>
    <row r="1746" spans="1:6">
      <c r="A1746" t="s">
        <v>198</v>
      </c>
      <c r="B1746">
        <v>2019</v>
      </c>
      <c r="C1746" t="s">
        <v>881</v>
      </c>
      <c r="D1746" t="s">
        <v>884</v>
      </c>
      <c r="E1746">
        <v>2.51409069824219</v>
      </c>
      <c r="F1746">
        <v>8</v>
      </c>
    </row>
    <row r="1747" spans="1:6">
      <c r="A1747" t="s">
        <v>21</v>
      </c>
      <c r="B1747">
        <v>2017</v>
      </c>
      <c r="C1747" t="s">
        <v>873</v>
      </c>
      <c r="D1747" t="s">
        <v>838</v>
      </c>
      <c r="E1747">
        <v>17.5210731095672</v>
      </c>
      <c r="F1747">
        <v>46</v>
      </c>
    </row>
    <row r="1748" spans="1:6">
      <c r="A1748" t="s">
        <v>219</v>
      </c>
      <c r="B1748">
        <v>2018</v>
      </c>
      <c r="C1748" t="s">
        <v>885</v>
      </c>
      <c r="E1748">
        <v>1.52791368103027</v>
      </c>
      <c r="F1748">
        <v>4</v>
      </c>
    </row>
    <row r="1749" spans="1:6">
      <c r="A1749" t="s">
        <v>317</v>
      </c>
      <c r="B1749">
        <v>2023</v>
      </c>
      <c r="C1749" t="s">
        <v>839</v>
      </c>
      <c r="E1749">
        <v>0.0467996797561646</v>
      </c>
      <c r="F1749">
        <v>2</v>
      </c>
    </row>
    <row r="1750" spans="1:6">
      <c r="A1750" t="s">
        <v>450</v>
      </c>
      <c r="B1750">
        <v>2018</v>
      </c>
      <c r="C1750" t="s">
        <v>883</v>
      </c>
      <c r="E1750">
        <v>0.11596904361248</v>
      </c>
      <c r="F1750">
        <v>4</v>
      </c>
    </row>
    <row r="1751" spans="1:6">
      <c r="A1751" t="s">
        <v>460</v>
      </c>
      <c r="B1751">
        <v>2023</v>
      </c>
      <c r="C1751" t="s">
        <v>893</v>
      </c>
      <c r="E1751">
        <v>1.86240546800196</v>
      </c>
      <c r="F1751">
        <v>5</v>
      </c>
    </row>
    <row r="1752" spans="1:6">
      <c r="A1752" t="s">
        <v>422</v>
      </c>
      <c r="B1752">
        <v>2019</v>
      </c>
      <c r="C1752" t="s">
        <v>892</v>
      </c>
      <c r="E1752">
        <v>2.03858615112305</v>
      </c>
      <c r="F1752">
        <v>7</v>
      </c>
    </row>
    <row r="1753" spans="1:6">
      <c r="A1753" t="s">
        <v>62</v>
      </c>
      <c r="B1753">
        <v>2022</v>
      </c>
      <c r="C1753" t="s">
        <v>841</v>
      </c>
      <c r="E1753">
        <v>4</v>
      </c>
      <c r="F1753">
        <v>3</v>
      </c>
    </row>
    <row r="1754" spans="1:6">
      <c r="A1754" t="s">
        <v>92</v>
      </c>
      <c r="B1754">
        <v>2022</v>
      </c>
      <c r="C1754" t="s">
        <v>878</v>
      </c>
      <c r="E1754">
        <v>3.97669502830505</v>
      </c>
      <c r="F1754">
        <v>11</v>
      </c>
    </row>
    <row r="1755" spans="1:6">
      <c r="A1755" t="s">
        <v>73</v>
      </c>
      <c r="B1755">
        <v>2019</v>
      </c>
      <c r="C1755" t="s">
        <v>873</v>
      </c>
      <c r="E1755">
        <v>37.4228697957993</v>
      </c>
      <c r="F1755">
        <v>71</v>
      </c>
    </row>
    <row r="1756" spans="1:6">
      <c r="A1756" t="s">
        <v>122</v>
      </c>
      <c r="B1756">
        <v>2017</v>
      </c>
      <c r="C1756" t="s">
        <v>874</v>
      </c>
      <c r="E1756">
        <v>63</v>
      </c>
      <c r="F1756">
        <v>17</v>
      </c>
    </row>
    <row r="1757" spans="1:6">
      <c r="A1757" t="s">
        <v>116</v>
      </c>
      <c r="B1757">
        <v>2020</v>
      </c>
      <c r="C1757" t="s">
        <v>873</v>
      </c>
      <c r="E1757">
        <v>70</v>
      </c>
      <c r="F1757">
        <v>26</v>
      </c>
    </row>
    <row r="1758" spans="1:6">
      <c r="A1758" t="s">
        <v>152</v>
      </c>
      <c r="B1758">
        <v>2020</v>
      </c>
      <c r="C1758" t="s">
        <v>880</v>
      </c>
      <c r="E1758">
        <v>7.60101596903801</v>
      </c>
      <c r="F1758">
        <v>26</v>
      </c>
    </row>
    <row r="1759" spans="1:6">
      <c r="A1759" t="s">
        <v>176</v>
      </c>
      <c r="B1759">
        <v>2019</v>
      </c>
      <c r="C1759" t="s">
        <v>895</v>
      </c>
      <c r="D1759" t="s">
        <v>880</v>
      </c>
      <c r="E1759">
        <v>0.05</v>
      </c>
      <c r="F1759">
        <v>1</v>
      </c>
    </row>
    <row r="1760" spans="1:6">
      <c r="A1760" t="s">
        <v>177</v>
      </c>
      <c r="B1760">
        <v>2020</v>
      </c>
      <c r="C1760" t="s">
        <v>895</v>
      </c>
      <c r="D1760" t="s">
        <v>890</v>
      </c>
      <c r="E1760">
        <v>0.003</v>
      </c>
      <c r="F1760">
        <v>1</v>
      </c>
    </row>
    <row r="1761" spans="1:6">
      <c r="A1761" t="s">
        <v>163</v>
      </c>
      <c r="B1761">
        <v>2023</v>
      </c>
      <c r="C1761" t="s">
        <v>887</v>
      </c>
      <c r="D1761" t="s">
        <v>879</v>
      </c>
      <c r="E1761">
        <v>0.9969939485788341</v>
      </c>
      <c r="F1761">
        <v>11</v>
      </c>
    </row>
    <row r="1762" spans="1:6">
      <c r="A1762" t="s">
        <v>208</v>
      </c>
      <c r="B1762">
        <v>2022</v>
      </c>
      <c r="C1762" t="s">
        <v>838</v>
      </c>
      <c r="E1762">
        <v>50.4985066077113</v>
      </c>
      <c r="F1762">
        <v>50</v>
      </c>
    </row>
    <row r="1763" spans="1:6">
      <c r="A1763" t="s">
        <v>78</v>
      </c>
      <c r="B1763">
        <v>2015</v>
      </c>
      <c r="C1763" t="s">
        <v>874</v>
      </c>
      <c r="E1763">
        <v>4.25776437917352</v>
      </c>
      <c r="F1763">
        <v>16</v>
      </c>
    </row>
    <row r="1764" spans="1:6">
      <c r="A1764" t="s">
        <v>106</v>
      </c>
      <c r="B1764">
        <v>2017</v>
      </c>
      <c r="C1764" t="s">
        <v>888</v>
      </c>
      <c r="E1764">
        <v>0.00744046831130981</v>
      </c>
      <c r="F1764">
        <v>1</v>
      </c>
    </row>
    <row r="1765" spans="1:6">
      <c r="A1765" t="s">
        <v>139</v>
      </c>
      <c r="B1765">
        <v>2017</v>
      </c>
      <c r="C1765" t="s">
        <v>879</v>
      </c>
      <c r="E1765">
        <v>22</v>
      </c>
      <c r="F1765">
        <v>7</v>
      </c>
    </row>
    <row r="1766" spans="1:6">
      <c r="A1766" t="s">
        <v>128</v>
      </c>
      <c r="B1766">
        <v>2022</v>
      </c>
      <c r="C1766" t="s">
        <v>895</v>
      </c>
      <c r="E1766">
        <v>1</v>
      </c>
      <c r="F1766">
        <v>1</v>
      </c>
    </row>
    <row r="1767" spans="1:6">
      <c r="A1767" t="s">
        <v>181</v>
      </c>
      <c r="B1767">
        <v>2021</v>
      </c>
      <c r="C1767" t="s">
        <v>895</v>
      </c>
      <c r="D1767" t="s">
        <v>893</v>
      </c>
      <c r="E1767">
        <v>3.13174251937866</v>
      </c>
      <c r="F1767">
        <v>3</v>
      </c>
    </row>
    <row r="1768" spans="1:6">
      <c r="A1768" t="s">
        <v>159</v>
      </c>
      <c r="B1768">
        <v>2022</v>
      </c>
      <c r="C1768" t="s">
        <v>887</v>
      </c>
      <c r="D1768" t="s">
        <v>892</v>
      </c>
      <c r="E1768">
        <v>11.7008611472845</v>
      </c>
      <c r="F1768">
        <v>43</v>
      </c>
    </row>
    <row r="1769" spans="1:6">
      <c r="A1769" t="s">
        <v>46</v>
      </c>
      <c r="B1769">
        <v>2015</v>
      </c>
      <c r="C1769" t="s">
        <v>888</v>
      </c>
      <c r="D1769" t="s">
        <v>838</v>
      </c>
      <c r="E1769">
        <v>2.19882502746582</v>
      </c>
      <c r="F1769">
        <v>7</v>
      </c>
    </row>
    <row r="1770" spans="1:6">
      <c r="A1770" t="s">
        <v>27</v>
      </c>
      <c r="B1770">
        <v>2022</v>
      </c>
      <c r="C1770" t="s">
        <v>882</v>
      </c>
      <c r="D1770" t="s">
        <v>841</v>
      </c>
      <c r="E1770">
        <v>0.0928167495727539</v>
      </c>
      <c r="F1770">
        <v>1</v>
      </c>
    </row>
    <row r="1771" spans="1:6">
      <c r="A1771" t="s">
        <v>221</v>
      </c>
      <c r="B1771">
        <v>2019</v>
      </c>
      <c r="C1771" t="s">
        <v>885</v>
      </c>
      <c r="E1771">
        <v>3.44060568237305</v>
      </c>
      <c r="F1771">
        <v>2</v>
      </c>
    </row>
    <row r="1772" spans="1:6">
      <c r="A1772" t="s">
        <v>323</v>
      </c>
      <c r="B1772">
        <v>2021</v>
      </c>
      <c r="C1772" t="s">
        <v>840</v>
      </c>
      <c r="E1772">
        <v>0.741950408935547</v>
      </c>
      <c r="F1772">
        <v>2</v>
      </c>
    </row>
    <row r="1773" spans="1:6">
      <c r="A1773" t="s">
        <v>374</v>
      </c>
      <c r="B1773">
        <v>2019</v>
      </c>
      <c r="C1773" t="s">
        <v>884</v>
      </c>
      <c r="E1773">
        <v>22.5436315898895</v>
      </c>
      <c r="F1773">
        <v>57</v>
      </c>
    </row>
    <row r="1774" spans="1:6">
      <c r="A1774" t="s">
        <v>437</v>
      </c>
      <c r="B1774">
        <v>2016</v>
      </c>
      <c r="C1774" t="s">
        <v>891</v>
      </c>
      <c r="E1774">
        <v>0.434302166104317</v>
      </c>
      <c r="F1774">
        <v>15</v>
      </c>
    </row>
    <row r="1775" spans="1:6">
      <c r="A1775" t="s">
        <v>416</v>
      </c>
      <c r="B1775">
        <v>2016</v>
      </c>
      <c r="C1775" t="s">
        <v>884</v>
      </c>
      <c r="E1775">
        <v>2.53389723491669</v>
      </c>
      <c r="F1775">
        <v>12</v>
      </c>
    </row>
    <row r="1776" spans="1:6">
      <c r="A1776" t="s">
        <v>422</v>
      </c>
      <c r="B1776">
        <v>2020</v>
      </c>
      <c r="C1776" t="s">
        <v>892</v>
      </c>
      <c r="E1776">
        <v>0.587519996643066</v>
      </c>
      <c r="F1776">
        <v>5</v>
      </c>
    </row>
    <row r="1777" spans="1:6">
      <c r="A1777" t="s">
        <v>430</v>
      </c>
      <c r="B1777">
        <v>2023</v>
      </c>
      <c r="C1777" t="s">
        <v>880</v>
      </c>
      <c r="E1777">
        <v>0.7248740234375</v>
      </c>
      <c r="F1777">
        <v>1</v>
      </c>
    </row>
    <row r="1778" spans="1:6">
      <c r="A1778" t="s">
        <v>413</v>
      </c>
      <c r="B1778">
        <v>2024</v>
      </c>
      <c r="C1778" t="s">
        <v>884</v>
      </c>
      <c r="E1778">
        <v>0.228</v>
      </c>
      <c r="F1778">
        <v>4</v>
      </c>
    </row>
    <row r="1779" spans="1:6">
      <c r="A1779" t="s">
        <v>17</v>
      </c>
      <c r="B1779">
        <v>2024</v>
      </c>
      <c r="C1779" t="s">
        <v>900</v>
      </c>
      <c r="E1779">
        <v>0.005</v>
      </c>
      <c r="F1779">
        <v>1</v>
      </c>
    </row>
    <row r="1780" spans="1:6">
      <c r="A1780" t="s">
        <v>70</v>
      </c>
      <c r="B1780">
        <v>2021</v>
      </c>
      <c r="C1780" t="s">
        <v>900</v>
      </c>
      <c r="E1780">
        <v>8</v>
      </c>
      <c r="F1780">
        <v>2</v>
      </c>
    </row>
    <row r="1781" spans="1:6">
      <c r="A1781" t="s">
        <v>69</v>
      </c>
      <c r="B1781">
        <v>2019</v>
      </c>
      <c r="C1781" t="s">
        <v>878</v>
      </c>
      <c r="E1781">
        <v>125</v>
      </c>
      <c r="F1781">
        <v>36</v>
      </c>
    </row>
    <row r="1782" spans="1:6">
      <c r="A1782" t="s">
        <v>8</v>
      </c>
      <c r="B1782">
        <v>2017</v>
      </c>
      <c r="C1782" t="s">
        <v>838</v>
      </c>
      <c r="E1782">
        <v>38.9291358070374</v>
      </c>
      <c r="F1782">
        <v>36</v>
      </c>
    </row>
    <row r="1783" spans="1:6">
      <c r="A1783" t="s">
        <v>74</v>
      </c>
      <c r="B1783">
        <v>2018</v>
      </c>
      <c r="C1783" t="s">
        <v>873</v>
      </c>
      <c r="E1783">
        <v>23.5848772315979</v>
      </c>
      <c r="F1783">
        <v>36</v>
      </c>
    </row>
    <row r="1784" spans="1:6">
      <c r="A1784" t="s">
        <v>85</v>
      </c>
      <c r="B1784">
        <v>2016</v>
      </c>
      <c r="C1784" t="s">
        <v>895</v>
      </c>
      <c r="E1784">
        <v>1.87954165267944</v>
      </c>
      <c r="F1784">
        <v>8</v>
      </c>
    </row>
    <row r="1785" spans="1:6">
      <c r="A1785" t="s">
        <v>116</v>
      </c>
      <c r="B1785">
        <v>2023</v>
      </c>
      <c r="C1785" t="s">
        <v>873</v>
      </c>
      <c r="E1785">
        <v>52</v>
      </c>
      <c r="F1785">
        <v>18</v>
      </c>
    </row>
    <row r="1786" spans="1:6">
      <c r="A1786" t="s">
        <v>161</v>
      </c>
      <c r="B1786">
        <v>2022</v>
      </c>
      <c r="C1786" t="s">
        <v>887</v>
      </c>
      <c r="D1786" t="s">
        <v>890</v>
      </c>
      <c r="E1786">
        <v>1.68605165052414</v>
      </c>
      <c r="F1786">
        <v>16</v>
      </c>
    </row>
    <row r="1787" spans="1:6">
      <c r="A1787" t="s">
        <v>162</v>
      </c>
      <c r="B1787">
        <v>2019</v>
      </c>
      <c r="C1787" t="s">
        <v>887</v>
      </c>
      <c r="D1787" t="s">
        <v>891</v>
      </c>
      <c r="E1787">
        <v>2.66093357527256</v>
      </c>
      <c r="F1787">
        <v>37</v>
      </c>
    </row>
    <row r="1788" spans="1:6">
      <c r="A1788" t="s">
        <v>31</v>
      </c>
      <c r="B1788">
        <v>2023</v>
      </c>
      <c r="C1788" t="s">
        <v>889</v>
      </c>
      <c r="D1788" t="s">
        <v>838</v>
      </c>
      <c r="E1788">
        <v>0.09974266815185549</v>
      </c>
      <c r="F1788">
        <v>1</v>
      </c>
    </row>
    <row r="1789" spans="1:6">
      <c r="A1789" t="s">
        <v>607</v>
      </c>
      <c r="B1789">
        <v>2020</v>
      </c>
      <c r="C1789" t="s">
        <v>893</v>
      </c>
      <c r="E1789">
        <v>0.0277240371704102</v>
      </c>
      <c r="F1789">
        <v>1</v>
      </c>
    </row>
    <row r="1790" spans="1:6">
      <c r="A1790" t="s">
        <v>631</v>
      </c>
      <c r="B1790">
        <v>2017</v>
      </c>
      <c r="C1790" t="s">
        <v>893</v>
      </c>
      <c r="E1790">
        <v>0.401601526260376</v>
      </c>
      <c r="F1790">
        <v>3</v>
      </c>
    </row>
    <row r="1791" spans="1:6">
      <c r="A1791" t="s">
        <v>318</v>
      </c>
      <c r="B1791">
        <v>2022</v>
      </c>
      <c r="C1791" t="s">
        <v>840</v>
      </c>
      <c r="E1791">
        <v>0.0280413150787354</v>
      </c>
      <c r="F1791">
        <v>1</v>
      </c>
    </row>
    <row r="1792" spans="1:6">
      <c r="A1792" t="s">
        <v>457</v>
      </c>
      <c r="B1792">
        <v>2020</v>
      </c>
      <c r="C1792" t="s">
        <v>893</v>
      </c>
      <c r="E1792">
        <v>0.85</v>
      </c>
      <c r="F1792">
        <v>2</v>
      </c>
    </row>
    <row r="1793" spans="1:6">
      <c r="A1793" t="s">
        <v>415</v>
      </c>
      <c r="B1793">
        <v>2016</v>
      </c>
      <c r="C1793" t="s">
        <v>884</v>
      </c>
      <c r="E1793">
        <v>0.419748100280762</v>
      </c>
      <c r="F1793">
        <v>6</v>
      </c>
    </row>
    <row r="1794" spans="1:6">
      <c r="A1794" t="s">
        <v>414</v>
      </c>
      <c r="B1794">
        <v>2022</v>
      </c>
      <c r="C1794" t="s">
        <v>884</v>
      </c>
      <c r="E1794">
        <v>2.19730899810791</v>
      </c>
      <c r="F1794">
        <v>7</v>
      </c>
    </row>
    <row r="1795" spans="1:6">
      <c r="A1795" t="s">
        <v>434</v>
      </c>
      <c r="B1795">
        <v>2015</v>
      </c>
      <c r="C1795" t="s">
        <v>890</v>
      </c>
      <c r="E1795">
        <v>0.423727386474609</v>
      </c>
      <c r="F1795">
        <v>2</v>
      </c>
    </row>
    <row r="1796" spans="1:6">
      <c r="A1796" t="s">
        <v>455</v>
      </c>
      <c r="B1796">
        <v>2022</v>
      </c>
      <c r="C1796" t="s">
        <v>893</v>
      </c>
      <c r="E1796">
        <v>4.74729687547684</v>
      </c>
      <c r="F1796">
        <v>23</v>
      </c>
    </row>
    <row r="1797" spans="1:6">
      <c r="A1797" t="s">
        <v>411</v>
      </c>
      <c r="B1797">
        <v>2022</v>
      </c>
      <c r="C1797" t="s">
        <v>841</v>
      </c>
      <c r="E1797">
        <v>0.06768668556213379</v>
      </c>
      <c r="F1797">
        <v>4</v>
      </c>
    </row>
    <row r="1798" spans="1:6">
      <c r="A1798" t="s">
        <v>61</v>
      </c>
      <c r="B1798">
        <v>2021</v>
      </c>
      <c r="C1798" t="s">
        <v>886</v>
      </c>
      <c r="E1798">
        <v>52</v>
      </c>
      <c r="F1798">
        <v>17</v>
      </c>
    </row>
    <row r="1799" spans="1:6">
      <c r="A1799" t="s">
        <v>82</v>
      </c>
      <c r="B1799">
        <v>2021</v>
      </c>
      <c r="C1799" t="s">
        <v>874</v>
      </c>
      <c r="E1799">
        <v>0.0423206176757812</v>
      </c>
      <c r="F1799">
        <v>1</v>
      </c>
    </row>
    <row r="1800" spans="1:6">
      <c r="A1800" t="s">
        <v>114</v>
      </c>
      <c r="B1800">
        <v>2016</v>
      </c>
      <c r="C1800" t="s">
        <v>873</v>
      </c>
      <c r="E1800">
        <v>47</v>
      </c>
      <c r="F1800">
        <v>33</v>
      </c>
    </row>
    <row r="1801" spans="1:6">
      <c r="A1801" t="s">
        <v>165</v>
      </c>
      <c r="B1801">
        <v>2023</v>
      </c>
      <c r="C1801" t="s">
        <v>887</v>
      </c>
      <c r="D1801" t="s">
        <v>893</v>
      </c>
      <c r="E1801">
        <v>6.80138233977556</v>
      </c>
      <c r="F1801">
        <v>30</v>
      </c>
    </row>
    <row r="1802" spans="1:6">
      <c r="A1802" t="s">
        <v>165</v>
      </c>
      <c r="B1802">
        <v>2018</v>
      </c>
      <c r="C1802" t="s">
        <v>887</v>
      </c>
      <c r="D1802" t="s">
        <v>893</v>
      </c>
      <c r="E1802">
        <v>7.06307813727856</v>
      </c>
      <c r="F1802">
        <v>52</v>
      </c>
    </row>
    <row r="1803" spans="1:6">
      <c r="A1803" t="s">
        <v>30</v>
      </c>
      <c r="B1803">
        <v>2015</v>
      </c>
      <c r="C1803" t="s">
        <v>889</v>
      </c>
      <c r="D1803" t="s">
        <v>840</v>
      </c>
      <c r="E1803">
        <v>1.40804654788971</v>
      </c>
      <c r="F1803">
        <v>11</v>
      </c>
    </row>
    <row r="1804" spans="1:6">
      <c r="A1804" t="s">
        <v>40</v>
      </c>
      <c r="B1804">
        <v>2021</v>
      </c>
      <c r="C1804" t="s">
        <v>879</v>
      </c>
      <c r="D1804" t="s">
        <v>840</v>
      </c>
      <c r="E1804">
        <v>0.908129959106445</v>
      </c>
      <c r="F1804">
        <v>2</v>
      </c>
    </row>
    <row r="1805" spans="1:6">
      <c r="A1805" t="s">
        <v>215</v>
      </c>
      <c r="B1805">
        <v>2023</v>
      </c>
      <c r="C1805" t="s">
        <v>891</v>
      </c>
      <c r="E1805">
        <v>0.0748885498046875</v>
      </c>
      <c r="F1805">
        <v>1</v>
      </c>
    </row>
    <row r="1806" spans="1:6">
      <c r="A1806" t="s">
        <v>387</v>
      </c>
      <c r="B1806">
        <v>2020</v>
      </c>
      <c r="C1806" t="s">
        <v>885</v>
      </c>
      <c r="E1806">
        <v>9.60968815612793</v>
      </c>
      <c r="F1806">
        <v>16</v>
      </c>
    </row>
    <row r="1807" spans="1:6">
      <c r="A1807" t="s">
        <v>414</v>
      </c>
      <c r="B1807">
        <v>2023</v>
      </c>
      <c r="C1807" t="s">
        <v>884</v>
      </c>
      <c r="E1807">
        <v>1.18340155029297</v>
      </c>
      <c r="F1807">
        <v>8</v>
      </c>
    </row>
    <row r="1808" spans="1:6">
      <c r="A1808" t="s">
        <v>8</v>
      </c>
      <c r="B1808">
        <v>2019</v>
      </c>
      <c r="C1808" t="s">
        <v>838</v>
      </c>
      <c r="E1808">
        <v>50.7355417346954</v>
      </c>
      <c r="F1808">
        <v>33</v>
      </c>
    </row>
    <row r="1809" spans="1:6">
      <c r="A1809" t="s">
        <v>91</v>
      </c>
      <c r="B1809">
        <v>2021</v>
      </c>
      <c r="C1809" t="s">
        <v>878</v>
      </c>
      <c r="E1809">
        <v>6.44740742492676</v>
      </c>
      <c r="F1809">
        <v>14</v>
      </c>
    </row>
    <row r="1810" spans="1:6">
      <c r="A1810" t="s">
        <v>85</v>
      </c>
      <c r="B1810">
        <v>2019</v>
      </c>
      <c r="C1810" t="s">
        <v>895</v>
      </c>
      <c r="E1810">
        <v>2.02769830322266</v>
      </c>
      <c r="F1810">
        <v>9</v>
      </c>
    </row>
    <row r="1811" spans="1:6">
      <c r="A1811" t="s">
        <v>140</v>
      </c>
      <c r="B1811">
        <v>2019</v>
      </c>
      <c r="C1811" t="s">
        <v>879</v>
      </c>
      <c r="E1811">
        <v>1</v>
      </c>
      <c r="F1811">
        <v>1</v>
      </c>
    </row>
    <row r="1812" spans="1:6">
      <c r="A1812" t="s">
        <v>120</v>
      </c>
      <c r="B1812">
        <v>2018</v>
      </c>
      <c r="C1812" t="s">
        <v>874</v>
      </c>
      <c r="E1812">
        <v>96</v>
      </c>
      <c r="F1812">
        <v>17</v>
      </c>
    </row>
    <row r="1813" spans="1:6">
      <c r="A1813" t="s">
        <v>155</v>
      </c>
      <c r="B1813">
        <v>2015</v>
      </c>
      <c r="C1813" t="s">
        <v>879</v>
      </c>
      <c r="E1813">
        <v>3.05055249662697</v>
      </c>
      <c r="F1813">
        <v>34</v>
      </c>
    </row>
    <row r="1814" spans="1:6">
      <c r="A1814" t="s">
        <v>158</v>
      </c>
      <c r="B1814">
        <v>2019</v>
      </c>
      <c r="C1814" t="s">
        <v>887</v>
      </c>
      <c r="D1814" t="s">
        <v>884</v>
      </c>
      <c r="E1814">
        <v>29.0310117986202</v>
      </c>
      <c r="F1814">
        <v>86</v>
      </c>
    </row>
    <row r="1815" spans="1:6">
      <c r="A1815" t="s">
        <v>187</v>
      </c>
      <c r="B1815">
        <v>2024</v>
      </c>
      <c r="C1815" t="s">
        <v>878</v>
      </c>
      <c r="D1815" t="s">
        <v>879</v>
      </c>
      <c r="E1815">
        <v>0.170415222167969</v>
      </c>
      <c r="F1815">
        <v>1</v>
      </c>
    </row>
    <row r="1816" spans="1:6">
      <c r="A1816" t="s">
        <v>39</v>
      </c>
      <c r="B1816">
        <v>2021</v>
      </c>
      <c r="C1816" t="s">
        <v>879</v>
      </c>
      <c r="D1816" t="s">
        <v>839</v>
      </c>
      <c r="E1816">
        <v>0.12519849395752</v>
      </c>
      <c r="F1816">
        <v>2</v>
      </c>
    </row>
    <row r="1817" spans="1:6">
      <c r="A1817" t="s">
        <v>602</v>
      </c>
      <c r="B1817">
        <v>2016</v>
      </c>
      <c r="C1817" t="s">
        <v>880</v>
      </c>
      <c r="E1817">
        <v>0.978112487792969</v>
      </c>
      <c r="F1817">
        <v>1</v>
      </c>
    </row>
    <row r="1818" spans="1:6">
      <c r="A1818" t="s">
        <v>216</v>
      </c>
      <c r="B1818">
        <v>2019</v>
      </c>
      <c r="C1818" t="s">
        <v>879</v>
      </c>
      <c r="E1818">
        <v>0.09755000329017641</v>
      </c>
      <c r="F1818">
        <v>2</v>
      </c>
    </row>
    <row r="1819" spans="1:6">
      <c r="A1819" t="s">
        <v>213</v>
      </c>
      <c r="B1819">
        <v>2017</v>
      </c>
      <c r="C1819" t="s">
        <v>880</v>
      </c>
      <c r="E1819">
        <v>0.753007308959961</v>
      </c>
      <c r="F1819">
        <v>3</v>
      </c>
    </row>
    <row r="1820" spans="1:6">
      <c r="A1820" t="s">
        <v>319</v>
      </c>
      <c r="B1820">
        <v>2019</v>
      </c>
      <c r="C1820" t="s">
        <v>838</v>
      </c>
      <c r="E1820">
        <v>0.304502075195313</v>
      </c>
      <c r="F1820">
        <v>1</v>
      </c>
    </row>
    <row r="1821" spans="1:6">
      <c r="A1821" t="s">
        <v>379</v>
      </c>
      <c r="B1821">
        <v>2024</v>
      </c>
      <c r="C1821" t="s">
        <v>879</v>
      </c>
      <c r="E1821">
        <v>0.556</v>
      </c>
      <c r="F1821">
        <v>3</v>
      </c>
    </row>
    <row r="1822" spans="1:6">
      <c r="A1822" t="s">
        <v>375</v>
      </c>
      <c r="B1822">
        <v>2024</v>
      </c>
      <c r="C1822" t="s">
        <v>892</v>
      </c>
      <c r="E1822">
        <v>0.06</v>
      </c>
      <c r="F1822">
        <v>2</v>
      </c>
    </row>
    <row r="1823" spans="1:6">
      <c r="A1823" t="s">
        <v>49</v>
      </c>
      <c r="B1823">
        <v>2023</v>
      </c>
      <c r="C1823" t="s">
        <v>896</v>
      </c>
      <c r="E1823">
        <v>21</v>
      </c>
      <c r="F1823">
        <v>21</v>
      </c>
    </row>
    <row r="1824" spans="1:6">
      <c r="A1824" t="s">
        <v>55</v>
      </c>
      <c r="B1824">
        <v>2022</v>
      </c>
      <c r="C1824" t="s">
        <v>902</v>
      </c>
      <c r="E1824">
        <v>81</v>
      </c>
      <c r="F1824">
        <v>81</v>
      </c>
    </row>
    <row r="1825" spans="1:6">
      <c r="A1825" t="s">
        <v>56</v>
      </c>
      <c r="B1825">
        <v>2015</v>
      </c>
      <c r="C1825" t="s">
        <v>911</v>
      </c>
      <c r="E1825">
        <v>28</v>
      </c>
      <c r="F1825">
        <v>28</v>
      </c>
    </row>
    <row r="1826" spans="1:6">
      <c r="A1826" t="s">
        <v>58</v>
      </c>
      <c r="B1826">
        <v>2015</v>
      </c>
      <c r="C1826" t="s">
        <v>839</v>
      </c>
      <c r="E1826">
        <v>126</v>
      </c>
      <c r="F1826">
        <v>45</v>
      </c>
    </row>
    <row r="1827" spans="1:6">
      <c r="A1827" t="s">
        <v>91</v>
      </c>
      <c r="B1827">
        <v>2023</v>
      </c>
      <c r="C1827" t="s">
        <v>878</v>
      </c>
      <c r="E1827">
        <v>2.30504999160767</v>
      </c>
      <c r="F1827">
        <v>8</v>
      </c>
    </row>
    <row r="1828" spans="1:6">
      <c r="A1828" t="s">
        <v>92</v>
      </c>
      <c r="B1828">
        <v>2020</v>
      </c>
      <c r="C1828" t="s">
        <v>878</v>
      </c>
      <c r="E1828">
        <v>0.992394065856934</v>
      </c>
      <c r="F1828">
        <v>5</v>
      </c>
    </row>
    <row r="1829" spans="1:6">
      <c r="A1829" t="s">
        <v>155</v>
      </c>
      <c r="B1829">
        <v>2017</v>
      </c>
      <c r="C1829" t="s">
        <v>879</v>
      </c>
      <c r="E1829">
        <v>5.63033196127415</v>
      </c>
      <c r="F1829">
        <v>46</v>
      </c>
    </row>
    <row r="1830" spans="1:6">
      <c r="A1830" t="s">
        <v>164</v>
      </c>
      <c r="B1830">
        <v>2022</v>
      </c>
      <c r="C1830" t="s">
        <v>887</v>
      </c>
      <c r="D1830" t="s">
        <v>883</v>
      </c>
      <c r="E1830">
        <v>9.24951989102364</v>
      </c>
      <c r="F1830">
        <v>41</v>
      </c>
    </row>
    <row r="1831" spans="1:6">
      <c r="A1831" t="s">
        <v>20</v>
      </c>
      <c r="B1831">
        <v>2016</v>
      </c>
      <c r="C1831" t="s">
        <v>873</v>
      </c>
      <c r="D1831" t="s">
        <v>840</v>
      </c>
      <c r="E1831">
        <v>29.6169693800807</v>
      </c>
      <c r="F1831">
        <v>89</v>
      </c>
    </row>
    <row r="1832" spans="1:6">
      <c r="A1832" t="s">
        <v>41</v>
      </c>
      <c r="B1832">
        <v>2022</v>
      </c>
      <c r="C1832" t="s">
        <v>879</v>
      </c>
      <c r="D1832" t="s">
        <v>838</v>
      </c>
      <c r="E1832">
        <v>0.130859466552734</v>
      </c>
      <c r="F1832">
        <v>1</v>
      </c>
    </row>
    <row r="1833" spans="1:6">
      <c r="A1833" t="s">
        <v>38</v>
      </c>
      <c r="B1833">
        <v>2018</v>
      </c>
      <c r="C1833" t="s">
        <v>878</v>
      </c>
      <c r="D1833" t="s">
        <v>898</v>
      </c>
      <c r="E1833">
        <v>0.243715692520142</v>
      </c>
      <c r="F1833">
        <v>2</v>
      </c>
    </row>
    <row r="1834" spans="1:6">
      <c r="A1834" t="s">
        <v>211</v>
      </c>
      <c r="B1834">
        <v>2016</v>
      </c>
      <c r="C1834" t="s">
        <v>884</v>
      </c>
      <c r="E1834">
        <v>4.40490762138367</v>
      </c>
      <c r="F1834">
        <v>8</v>
      </c>
    </row>
    <row r="1835" spans="1:6">
      <c r="A1835" t="s">
        <v>215</v>
      </c>
      <c r="B1835">
        <v>2015</v>
      </c>
      <c r="C1835" t="s">
        <v>891</v>
      </c>
      <c r="E1835">
        <v>0.288639961242676</v>
      </c>
      <c r="F1835">
        <v>4</v>
      </c>
    </row>
    <row r="1836" spans="1:6">
      <c r="A1836" t="s">
        <v>322</v>
      </c>
      <c r="B1836">
        <v>2023</v>
      </c>
      <c r="C1836" t="s">
        <v>839</v>
      </c>
      <c r="E1836">
        <v>0.385269989013672</v>
      </c>
      <c r="F1836">
        <v>1</v>
      </c>
    </row>
    <row r="1837" spans="1:6">
      <c r="A1837" t="s">
        <v>375</v>
      </c>
      <c r="B1837">
        <v>2021</v>
      </c>
      <c r="C1837" t="s">
        <v>892</v>
      </c>
      <c r="E1837">
        <v>18.6233304409087</v>
      </c>
      <c r="F1837">
        <v>43</v>
      </c>
    </row>
    <row r="1838" spans="1:6">
      <c r="A1838" t="s">
        <v>442</v>
      </c>
      <c r="B1838">
        <v>2023</v>
      </c>
      <c r="C1838" t="s">
        <v>891</v>
      </c>
      <c r="E1838">
        <v>0.06</v>
      </c>
      <c r="F1838">
        <v>1</v>
      </c>
    </row>
    <row r="1839" spans="1:6">
      <c r="A1839" t="s">
        <v>449</v>
      </c>
      <c r="B1839">
        <v>2015</v>
      </c>
      <c r="C1839" t="s">
        <v>883</v>
      </c>
      <c r="E1839">
        <v>0.405886669933796</v>
      </c>
      <c r="F1839">
        <v>15</v>
      </c>
    </row>
    <row r="1840" spans="1:6">
      <c r="A1840" t="s">
        <v>412</v>
      </c>
      <c r="B1840">
        <v>2018</v>
      </c>
      <c r="C1840" t="s">
        <v>898</v>
      </c>
      <c r="E1840">
        <v>0.424593143729493</v>
      </c>
      <c r="F1840">
        <v>6</v>
      </c>
    </row>
    <row r="1841" spans="1:6">
      <c r="A1841" t="s">
        <v>8</v>
      </c>
      <c r="B1841">
        <v>2023</v>
      </c>
      <c r="C1841" t="s">
        <v>838</v>
      </c>
      <c r="E1841">
        <v>35.2820613365173</v>
      </c>
      <c r="F1841">
        <v>23</v>
      </c>
    </row>
    <row r="1842" spans="1:6">
      <c r="A1842" t="s">
        <v>98</v>
      </c>
      <c r="B1842">
        <v>2018</v>
      </c>
      <c r="C1842" t="s">
        <v>879</v>
      </c>
      <c r="E1842">
        <v>0.826359405517578</v>
      </c>
      <c r="F1842">
        <v>3</v>
      </c>
    </row>
    <row r="1843" spans="1:6">
      <c r="A1843" t="s">
        <v>75</v>
      </c>
      <c r="B1843">
        <v>2020</v>
      </c>
      <c r="C1843" t="s">
        <v>873</v>
      </c>
      <c r="E1843">
        <v>17.9909916000366</v>
      </c>
      <c r="F1843">
        <v>7</v>
      </c>
    </row>
    <row r="1844" spans="1:6">
      <c r="A1844" t="s">
        <v>120</v>
      </c>
      <c r="B1844">
        <v>2022</v>
      </c>
      <c r="C1844" t="s">
        <v>874</v>
      </c>
      <c r="E1844">
        <v>30</v>
      </c>
      <c r="F1844">
        <v>15</v>
      </c>
    </row>
    <row r="1845" spans="1:6">
      <c r="A1845" t="s">
        <v>147</v>
      </c>
      <c r="B1845">
        <v>2023</v>
      </c>
      <c r="C1845" t="s">
        <v>888</v>
      </c>
      <c r="E1845">
        <v>2</v>
      </c>
      <c r="F1845">
        <v>1</v>
      </c>
    </row>
    <row r="1846" spans="1:6">
      <c r="A1846" t="s">
        <v>117</v>
      </c>
      <c r="B1846">
        <v>2023</v>
      </c>
      <c r="C1846" t="s">
        <v>873</v>
      </c>
      <c r="E1846">
        <v>5</v>
      </c>
      <c r="F1846">
        <v>4</v>
      </c>
    </row>
    <row r="1847" spans="1:6">
      <c r="A1847" t="s">
        <v>21</v>
      </c>
      <c r="B1847">
        <v>2015</v>
      </c>
      <c r="C1847" t="s">
        <v>873</v>
      </c>
      <c r="D1847" t="s">
        <v>838</v>
      </c>
      <c r="E1847">
        <v>16.6844076709747</v>
      </c>
      <c r="F1847">
        <v>38</v>
      </c>
    </row>
    <row r="1848" spans="1:6">
      <c r="A1848" t="s">
        <v>630</v>
      </c>
      <c r="B1848">
        <v>2017</v>
      </c>
      <c r="C1848" t="s">
        <v>883</v>
      </c>
      <c r="E1848">
        <v>0.258366031646729</v>
      </c>
      <c r="F1848">
        <v>2</v>
      </c>
    </row>
    <row r="1849" spans="1:6">
      <c r="A1849" t="s">
        <v>219</v>
      </c>
      <c r="B1849">
        <v>2022</v>
      </c>
      <c r="C1849" t="s">
        <v>885</v>
      </c>
      <c r="E1849">
        <v>10.4098090744019</v>
      </c>
      <c r="F1849">
        <v>6</v>
      </c>
    </row>
    <row r="1850" spans="1:6">
      <c r="A1850" t="s">
        <v>307</v>
      </c>
      <c r="B1850">
        <v>2021</v>
      </c>
      <c r="C1850" t="s">
        <v>839</v>
      </c>
      <c r="E1850">
        <v>0.369283784151077</v>
      </c>
      <c r="F1850">
        <v>2</v>
      </c>
    </row>
    <row r="1851" spans="1:6">
      <c r="A1851" t="s">
        <v>431</v>
      </c>
      <c r="B1851">
        <v>2024</v>
      </c>
      <c r="C1851" t="s">
        <v>890</v>
      </c>
      <c r="E1851">
        <v>0.1</v>
      </c>
      <c r="F1851">
        <v>1</v>
      </c>
    </row>
    <row r="1852" spans="1:6">
      <c r="A1852" t="s">
        <v>425</v>
      </c>
      <c r="B1852">
        <v>2017</v>
      </c>
      <c r="C1852" t="s">
        <v>880</v>
      </c>
      <c r="E1852">
        <v>0.911041032668203</v>
      </c>
      <c r="F1852">
        <v>8</v>
      </c>
    </row>
    <row r="1853" spans="1:6">
      <c r="A1853" t="s">
        <v>413</v>
      </c>
      <c r="B1853">
        <v>2015</v>
      </c>
      <c r="C1853" t="s">
        <v>884</v>
      </c>
      <c r="E1853">
        <v>10.6657526817322</v>
      </c>
      <c r="F1853">
        <v>45</v>
      </c>
    </row>
    <row r="1854" spans="1:6">
      <c r="A1854" t="s">
        <v>426</v>
      </c>
      <c r="B1854">
        <v>2017</v>
      </c>
      <c r="C1854" t="s">
        <v>880</v>
      </c>
      <c r="E1854">
        <v>1.20079998779297</v>
      </c>
      <c r="F1854">
        <v>2</v>
      </c>
    </row>
    <row r="1855" spans="1:6">
      <c r="A1855" t="s">
        <v>70</v>
      </c>
      <c r="B1855">
        <v>2018</v>
      </c>
      <c r="C1855" t="s">
        <v>879</v>
      </c>
      <c r="E1855">
        <v>28</v>
      </c>
      <c r="F1855">
        <v>10</v>
      </c>
    </row>
    <row r="1856" spans="1:6">
      <c r="A1856" t="s">
        <v>71</v>
      </c>
      <c r="B1856">
        <v>2015</v>
      </c>
      <c r="C1856" t="s">
        <v>906</v>
      </c>
      <c r="E1856">
        <v>35</v>
      </c>
      <c r="F1856">
        <v>15</v>
      </c>
    </row>
    <row r="1857" spans="1:6">
      <c r="A1857" t="s">
        <v>50</v>
      </c>
      <c r="B1857">
        <v>2018</v>
      </c>
      <c r="C1857" t="s">
        <v>894</v>
      </c>
      <c r="E1857">
        <v>38</v>
      </c>
      <c r="F1857">
        <v>38</v>
      </c>
    </row>
    <row r="1858" spans="1:6">
      <c r="A1858" t="s">
        <v>55</v>
      </c>
      <c r="B1858">
        <v>2021</v>
      </c>
      <c r="C1858" t="s">
        <v>897</v>
      </c>
      <c r="E1858">
        <v>3</v>
      </c>
      <c r="F1858">
        <v>3</v>
      </c>
    </row>
    <row r="1859" spans="1:6">
      <c r="A1859" t="s">
        <v>7</v>
      </c>
      <c r="B1859">
        <v>2016</v>
      </c>
      <c r="C1859" t="s">
        <v>840</v>
      </c>
      <c r="E1859">
        <v>56.6004304445982</v>
      </c>
      <c r="F1859">
        <v>85</v>
      </c>
    </row>
    <row r="1860" spans="1:6">
      <c r="A1860" t="s">
        <v>106</v>
      </c>
      <c r="B1860">
        <v>2018</v>
      </c>
      <c r="C1860" t="s">
        <v>888</v>
      </c>
      <c r="E1860">
        <v>0.31726376914978</v>
      </c>
      <c r="F1860">
        <v>2</v>
      </c>
    </row>
    <row r="1861" spans="1:6">
      <c r="A1861" t="s">
        <v>99</v>
      </c>
      <c r="B1861">
        <v>2018</v>
      </c>
      <c r="C1861" t="s">
        <v>879</v>
      </c>
      <c r="E1861">
        <v>4.12447110176086</v>
      </c>
      <c r="F1861">
        <v>6</v>
      </c>
    </row>
    <row r="1862" spans="1:6">
      <c r="A1862" t="s">
        <v>133</v>
      </c>
      <c r="B1862">
        <v>2018</v>
      </c>
      <c r="C1862" t="s">
        <v>878</v>
      </c>
      <c r="E1862">
        <v>79</v>
      </c>
      <c r="F1862">
        <v>26</v>
      </c>
    </row>
    <row r="1863" spans="1:6">
      <c r="A1863" t="s">
        <v>160</v>
      </c>
      <c r="B1863">
        <v>2023</v>
      </c>
      <c r="C1863" t="s">
        <v>887</v>
      </c>
      <c r="D1863" t="s">
        <v>880</v>
      </c>
      <c r="E1863">
        <v>2.92292844676971</v>
      </c>
      <c r="F1863">
        <v>14</v>
      </c>
    </row>
    <row r="1864" spans="1:6">
      <c r="A1864" t="s">
        <v>28</v>
      </c>
      <c r="B1864">
        <v>2017</v>
      </c>
      <c r="C1864" t="s">
        <v>882</v>
      </c>
      <c r="D1864" t="s">
        <v>898</v>
      </c>
      <c r="E1864">
        <v>0.127802536010742</v>
      </c>
      <c r="F1864">
        <v>1</v>
      </c>
    </row>
    <row r="1865" spans="1:6">
      <c r="A1865" t="s">
        <v>34</v>
      </c>
      <c r="B1865">
        <v>2017</v>
      </c>
      <c r="C1865" t="s">
        <v>878</v>
      </c>
      <c r="D1865" t="s">
        <v>839</v>
      </c>
      <c r="E1865">
        <v>2.83630970573425</v>
      </c>
      <c r="F1865">
        <v>14</v>
      </c>
    </row>
    <row r="1866" spans="1:6">
      <c r="A1866" t="s">
        <v>213</v>
      </c>
      <c r="B1866">
        <v>2019</v>
      </c>
      <c r="C1866" t="s">
        <v>880</v>
      </c>
      <c r="E1866">
        <v>0.110578079223633</v>
      </c>
      <c r="F1866">
        <v>2</v>
      </c>
    </row>
    <row r="1867" spans="1:6">
      <c r="A1867" t="s">
        <v>300</v>
      </c>
      <c r="B1867">
        <v>2019</v>
      </c>
      <c r="C1867" t="s">
        <v>841</v>
      </c>
      <c r="E1867">
        <v>0.0349449272155762</v>
      </c>
      <c r="F1867">
        <v>1</v>
      </c>
    </row>
    <row r="1868" spans="1:6">
      <c r="A1868" t="s">
        <v>307</v>
      </c>
      <c r="B1868">
        <v>2022</v>
      </c>
      <c r="C1868" t="s">
        <v>839</v>
      </c>
      <c r="E1868">
        <v>0.711264892578125</v>
      </c>
      <c r="F1868">
        <v>1</v>
      </c>
    </row>
    <row r="1869" spans="1:6">
      <c r="A1869" t="s">
        <v>449</v>
      </c>
      <c r="B1869">
        <v>2019</v>
      </c>
      <c r="C1869" t="s">
        <v>883</v>
      </c>
      <c r="E1869">
        <v>1.71236899113655</v>
      </c>
      <c r="F1869">
        <v>26</v>
      </c>
    </row>
    <row r="1870" spans="1:6">
      <c r="A1870" t="s">
        <v>412</v>
      </c>
      <c r="B1870">
        <v>2017</v>
      </c>
      <c r="C1870" t="s">
        <v>898</v>
      </c>
      <c r="E1870">
        <v>0.520800000190735</v>
      </c>
      <c r="F1870">
        <v>4</v>
      </c>
    </row>
    <row r="1871" spans="1:6">
      <c r="A1871" t="s">
        <v>7</v>
      </c>
      <c r="B1871">
        <v>2015</v>
      </c>
      <c r="C1871" t="s">
        <v>840</v>
      </c>
      <c r="E1871">
        <v>63.0927695236206</v>
      </c>
      <c r="F1871">
        <v>78</v>
      </c>
    </row>
    <row r="1872" spans="1:6">
      <c r="A1872" t="s">
        <v>72</v>
      </c>
      <c r="B1872">
        <v>2021</v>
      </c>
      <c r="C1872" t="s">
        <v>873</v>
      </c>
      <c r="E1872">
        <v>16.7730011606216</v>
      </c>
      <c r="F1872">
        <v>24</v>
      </c>
    </row>
    <row r="1873" spans="1:6">
      <c r="A1873" t="s">
        <v>200</v>
      </c>
      <c r="B1873">
        <v>2018</v>
      </c>
      <c r="C1873" t="s">
        <v>881</v>
      </c>
      <c r="D1873" t="s">
        <v>880</v>
      </c>
      <c r="E1873">
        <v>0.303126243591309</v>
      </c>
      <c r="F1873">
        <v>3</v>
      </c>
    </row>
    <row r="1874" spans="1:6">
      <c r="A1874" t="s">
        <v>161</v>
      </c>
      <c r="B1874">
        <v>2019</v>
      </c>
      <c r="C1874" t="s">
        <v>887</v>
      </c>
      <c r="D1874" t="s">
        <v>890</v>
      </c>
      <c r="E1874">
        <v>1.34060237133503</v>
      </c>
      <c r="F1874">
        <v>13</v>
      </c>
    </row>
    <row r="1875" spans="1:6">
      <c r="A1875" t="s">
        <v>44</v>
      </c>
      <c r="B1875">
        <v>2017</v>
      </c>
      <c r="C1875" t="s">
        <v>888</v>
      </c>
      <c r="D1875" t="s">
        <v>839</v>
      </c>
      <c r="E1875">
        <v>2.03888599777222</v>
      </c>
      <c r="F1875">
        <v>12</v>
      </c>
    </row>
    <row r="1876" spans="1:6">
      <c r="A1876" t="s">
        <v>218</v>
      </c>
      <c r="B1876">
        <v>2020</v>
      </c>
      <c r="C1876" t="s">
        <v>893</v>
      </c>
      <c r="E1876">
        <v>0.489973428726196</v>
      </c>
      <c r="F1876">
        <v>5</v>
      </c>
    </row>
    <row r="1877" spans="1:6">
      <c r="A1877" t="s">
        <v>215</v>
      </c>
      <c r="B1877">
        <v>2022</v>
      </c>
      <c r="C1877" t="s">
        <v>891</v>
      </c>
      <c r="E1877">
        <v>0.159835493087769</v>
      </c>
      <c r="F1877">
        <v>2</v>
      </c>
    </row>
    <row r="1878" spans="1:6">
      <c r="A1878" t="s">
        <v>595</v>
      </c>
      <c r="B1878">
        <v>2016</v>
      </c>
      <c r="C1878" t="s">
        <v>890</v>
      </c>
      <c r="E1878">
        <v>0.491501914978027</v>
      </c>
      <c r="F1878">
        <v>2</v>
      </c>
    </row>
    <row r="1879" spans="1:6">
      <c r="A1879" t="s">
        <v>304</v>
      </c>
      <c r="B1879">
        <v>2019</v>
      </c>
      <c r="C1879" t="s">
        <v>838</v>
      </c>
      <c r="E1879">
        <v>0.467</v>
      </c>
      <c r="F1879">
        <v>1</v>
      </c>
    </row>
    <row r="1880" spans="1:6">
      <c r="A1880" t="s">
        <v>416</v>
      </c>
      <c r="B1880">
        <v>2021</v>
      </c>
      <c r="C1880" t="s">
        <v>884</v>
      </c>
      <c r="E1880">
        <v>2.28710150909424</v>
      </c>
      <c r="F1880">
        <v>8</v>
      </c>
    </row>
    <row r="1881" spans="1:6">
      <c r="A1881" t="s">
        <v>443</v>
      </c>
      <c r="B1881">
        <v>2020</v>
      </c>
      <c r="C1881" t="s">
        <v>879</v>
      </c>
      <c r="E1881">
        <v>0.802231101155281</v>
      </c>
      <c r="F1881">
        <v>10</v>
      </c>
    </row>
    <row r="1882" spans="1:6">
      <c r="A1882" t="s">
        <v>379</v>
      </c>
      <c r="B1882">
        <v>2016</v>
      </c>
      <c r="C1882" t="s">
        <v>879</v>
      </c>
      <c r="E1882">
        <v>1.64499319267273</v>
      </c>
      <c r="F1882">
        <v>27</v>
      </c>
    </row>
    <row r="1883" spans="1:6">
      <c r="A1883" t="s">
        <v>409</v>
      </c>
      <c r="B1883">
        <v>2020</v>
      </c>
      <c r="C1883" t="s">
        <v>840</v>
      </c>
      <c r="E1883">
        <v>33.975221988678</v>
      </c>
      <c r="F1883">
        <v>46</v>
      </c>
    </row>
    <row r="1884" spans="1:6">
      <c r="A1884" t="s">
        <v>104</v>
      </c>
      <c r="B1884">
        <v>2022</v>
      </c>
      <c r="C1884" t="s">
        <v>888</v>
      </c>
      <c r="E1884">
        <v>8.66130001831055</v>
      </c>
      <c r="F1884">
        <v>12</v>
      </c>
    </row>
    <row r="1885" spans="1:6">
      <c r="A1885" t="s">
        <v>102</v>
      </c>
      <c r="B1885">
        <v>2018</v>
      </c>
      <c r="C1885" t="s">
        <v>888</v>
      </c>
      <c r="E1885">
        <v>1.1868152923584</v>
      </c>
      <c r="F1885">
        <v>5</v>
      </c>
    </row>
    <row r="1886" spans="1:6">
      <c r="A1886" t="s">
        <v>92</v>
      </c>
      <c r="B1886">
        <v>2024</v>
      </c>
      <c r="C1886" t="s">
        <v>878</v>
      </c>
      <c r="E1886">
        <v>0.194485168457031</v>
      </c>
      <c r="F1886">
        <v>2</v>
      </c>
    </row>
    <row r="1887" spans="1:6">
      <c r="A1887" t="s">
        <v>122</v>
      </c>
      <c r="B1887">
        <v>2020</v>
      </c>
      <c r="C1887" t="s">
        <v>874</v>
      </c>
      <c r="E1887">
        <v>80</v>
      </c>
      <c r="F1887">
        <v>16</v>
      </c>
    </row>
    <row r="1888" spans="1:6">
      <c r="A1888" t="s">
        <v>150</v>
      </c>
      <c r="B1888">
        <v>2016</v>
      </c>
      <c r="C1888" t="s">
        <v>884</v>
      </c>
      <c r="E1888">
        <v>55.718511448741</v>
      </c>
      <c r="F1888">
        <v>106</v>
      </c>
    </row>
    <row r="1889" spans="1:6">
      <c r="A1889" t="s">
        <v>185</v>
      </c>
      <c r="B1889">
        <v>2021</v>
      </c>
      <c r="C1889" t="s">
        <v>878</v>
      </c>
      <c r="D1889" t="s">
        <v>890</v>
      </c>
      <c r="E1889">
        <v>0.443484809875488</v>
      </c>
      <c r="F1889">
        <v>2</v>
      </c>
    </row>
    <row r="1890" spans="1:6">
      <c r="A1890" t="s">
        <v>181</v>
      </c>
      <c r="B1890">
        <v>2023</v>
      </c>
      <c r="C1890" t="s">
        <v>895</v>
      </c>
      <c r="D1890" t="s">
        <v>893</v>
      </c>
      <c r="E1890">
        <v>0.0420416030883789</v>
      </c>
      <c r="F1890">
        <v>1</v>
      </c>
    </row>
    <row r="1891" spans="1:6">
      <c r="A1891" t="s">
        <v>174</v>
      </c>
      <c r="B1891">
        <v>2023</v>
      </c>
      <c r="C1891" t="s">
        <v>895</v>
      </c>
      <c r="D1891" t="s">
        <v>884</v>
      </c>
      <c r="E1891">
        <v>1.19952331161499</v>
      </c>
      <c r="F1891">
        <v>3</v>
      </c>
    </row>
    <row r="1892" spans="1:6">
      <c r="A1892" t="s">
        <v>209</v>
      </c>
      <c r="B1892">
        <v>2022</v>
      </c>
      <c r="C1892" t="s">
        <v>841</v>
      </c>
      <c r="E1892">
        <v>0.683969330787659</v>
      </c>
      <c r="F1892">
        <v>9</v>
      </c>
    </row>
    <row r="1893" spans="1:6">
      <c r="A1893" t="s">
        <v>37</v>
      </c>
      <c r="B1893">
        <v>2021</v>
      </c>
      <c r="C1893" t="s">
        <v>878</v>
      </c>
      <c r="D1893" t="s">
        <v>841</v>
      </c>
      <c r="E1893">
        <v>0.184500255584717</v>
      </c>
      <c r="F1893">
        <v>2</v>
      </c>
    </row>
    <row r="1894" spans="1:6">
      <c r="A1894" t="s">
        <v>214</v>
      </c>
      <c r="B1894">
        <v>2020</v>
      </c>
      <c r="C1894" t="s">
        <v>890</v>
      </c>
      <c r="E1894">
        <v>1.40740258789062</v>
      </c>
      <c r="F1894">
        <v>2</v>
      </c>
    </row>
    <row r="1895" spans="1:6">
      <c r="A1895" t="s">
        <v>592</v>
      </c>
      <c r="B1895">
        <v>2017</v>
      </c>
      <c r="C1895" t="s">
        <v>884</v>
      </c>
      <c r="E1895">
        <v>0.940593849182129</v>
      </c>
      <c r="F1895">
        <v>4</v>
      </c>
    </row>
    <row r="1896" spans="1:6">
      <c r="A1896" t="s">
        <v>229</v>
      </c>
      <c r="B1896">
        <v>2019</v>
      </c>
      <c r="C1896" t="s">
        <v>841</v>
      </c>
      <c r="E1896">
        <v>0.0349449272155762</v>
      </c>
      <c r="F1896">
        <v>1</v>
      </c>
    </row>
    <row r="1897" spans="1:6">
      <c r="A1897" t="s">
        <v>378</v>
      </c>
      <c r="B1897">
        <v>2020</v>
      </c>
      <c r="C1897" t="s">
        <v>891</v>
      </c>
      <c r="E1897">
        <v>0.408875524520874</v>
      </c>
      <c r="F1897">
        <v>8</v>
      </c>
    </row>
    <row r="1898" spans="1:6">
      <c r="A1898" t="s">
        <v>377</v>
      </c>
      <c r="B1898">
        <v>2022</v>
      </c>
      <c r="C1898" t="s">
        <v>890</v>
      </c>
      <c r="E1898">
        <v>1.57209498119354</v>
      </c>
      <c r="F1898">
        <v>9</v>
      </c>
    </row>
    <row r="1899" spans="1:6">
      <c r="A1899" t="s">
        <v>454</v>
      </c>
      <c r="B1899">
        <v>2020</v>
      </c>
      <c r="C1899" t="s">
        <v>883</v>
      </c>
      <c r="E1899">
        <v>0.0744595890045166</v>
      </c>
      <c r="F1899">
        <v>2</v>
      </c>
    </row>
    <row r="1900" spans="1:6">
      <c r="A1900" t="s">
        <v>378</v>
      </c>
      <c r="B1900">
        <v>2023</v>
      </c>
      <c r="C1900" t="s">
        <v>891</v>
      </c>
      <c r="E1900">
        <v>0.14183092546463</v>
      </c>
      <c r="F1900">
        <v>6</v>
      </c>
    </row>
    <row r="1901" spans="1:6">
      <c r="A1901" t="s">
        <v>411</v>
      </c>
      <c r="B1901">
        <v>2017</v>
      </c>
      <c r="C1901" t="s">
        <v>841</v>
      </c>
      <c r="E1901">
        <v>0.166600000023842</v>
      </c>
      <c r="F1901">
        <v>4</v>
      </c>
    </row>
    <row r="1902" spans="1:6">
      <c r="A1902" t="s">
        <v>600</v>
      </c>
      <c r="B1902">
        <v>2017</v>
      </c>
      <c r="C1902" t="s">
        <v>884</v>
      </c>
      <c r="E1902">
        <v>0.0510492210388184</v>
      </c>
      <c r="F1902">
        <v>1</v>
      </c>
    </row>
    <row r="1903" spans="1:6">
      <c r="A1903" t="s">
        <v>229</v>
      </c>
      <c r="B1903">
        <v>2020</v>
      </c>
      <c r="C1903" t="s">
        <v>841</v>
      </c>
      <c r="E1903">
        <v>0.0327240371704102</v>
      </c>
      <c r="F1903">
        <v>2</v>
      </c>
    </row>
    <row r="1904" spans="1:6">
      <c r="A1904" t="s">
        <v>418</v>
      </c>
      <c r="B1904">
        <v>2023</v>
      </c>
      <c r="C1904" t="s">
        <v>884</v>
      </c>
      <c r="E1904">
        <v>2.89227042102814</v>
      </c>
      <c r="F1904">
        <v>4</v>
      </c>
    </row>
    <row r="1905" spans="1:6">
      <c r="A1905" t="s">
        <v>384</v>
      </c>
      <c r="B1905">
        <v>2023</v>
      </c>
      <c r="C1905" t="s">
        <v>885</v>
      </c>
      <c r="E1905">
        <v>0.3461005859375</v>
      </c>
      <c r="F1905">
        <v>1</v>
      </c>
    </row>
    <row r="1906" spans="1:6">
      <c r="A1906" t="s">
        <v>415</v>
      </c>
      <c r="B1906">
        <v>2020</v>
      </c>
      <c r="C1906" t="s">
        <v>884</v>
      </c>
      <c r="E1906">
        <v>0.15</v>
      </c>
      <c r="F1906">
        <v>2</v>
      </c>
    </row>
    <row r="1907" spans="1:6">
      <c r="A1907" t="s">
        <v>449</v>
      </c>
      <c r="B1907">
        <v>2016</v>
      </c>
      <c r="C1907" t="s">
        <v>883</v>
      </c>
      <c r="E1907">
        <v>1.04734746646881</v>
      </c>
      <c r="F1907">
        <v>15</v>
      </c>
    </row>
    <row r="1908" spans="1:6">
      <c r="A1908" t="s">
        <v>416</v>
      </c>
      <c r="B1908">
        <v>2015</v>
      </c>
      <c r="C1908" t="s">
        <v>884</v>
      </c>
      <c r="E1908">
        <v>4.08369976425171</v>
      </c>
      <c r="F1908">
        <v>15</v>
      </c>
    </row>
    <row r="1909" spans="1:6">
      <c r="A1909" t="s">
        <v>448</v>
      </c>
      <c r="B1909">
        <v>2019</v>
      </c>
      <c r="C1909" t="s">
        <v>879</v>
      </c>
      <c r="E1909">
        <v>0.0266800003051758</v>
      </c>
      <c r="F1909">
        <v>1</v>
      </c>
    </row>
    <row r="1910" spans="1:6">
      <c r="A1910" t="s">
        <v>56</v>
      </c>
      <c r="B1910">
        <v>2015</v>
      </c>
      <c r="C1910" t="s">
        <v>877</v>
      </c>
      <c r="E1910">
        <v>45</v>
      </c>
      <c r="F1910">
        <v>45</v>
      </c>
    </row>
    <row r="1911" spans="1:6">
      <c r="A1911" t="s">
        <v>10</v>
      </c>
      <c r="B1911">
        <v>2023</v>
      </c>
      <c r="C1911" t="s">
        <v>841</v>
      </c>
      <c r="E1911">
        <v>0.0507411842346191</v>
      </c>
      <c r="F1911">
        <v>1</v>
      </c>
    </row>
    <row r="1912" spans="1:6">
      <c r="A1912" t="s">
        <v>79</v>
      </c>
      <c r="B1912">
        <v>2017</v>
      </c>
      <c r="C1912" t="s">
        <v>874</v>
      </c>
      <c r="E1912">
        <v>17.9135375919342</v>
      </c>
      <c r="F1912">
        <v>33</v>
      </c>
    </row>
    <row r="1913" spans="1:6">
      <c r="A1913" t="s">
        <v>76</v>
      </c>
      <c r="B1913">
        <v>2016</v>
      </c>
      <c r="C1913" t="s">
        <v>873</v>
      </c>
      <c r="E1913">
        <v>0.554311218261719</v>
      </c>
      <c r="F1913">
        <v>1</v>
      </c>
    </row>
    <row r="1914" spans="1:6">
      <c r="A1914" t="s">
        <v>204</v>
      </c>
      <c r="B1914">
        <v>2023</v>
      </c>
      <c r="C1914" t="s">
        <v>881</v>
      </c>
      <c r="D1914" t="s">
        <v>883</v>
      </c>
      <c r="E1914">
        <v>0.354127333641052</v>
      </c>
      <c r="F1914">
        <v>2</v>
      </c>
    </row>
    <row r="1915" spans="1:6">
      <c r="A1915" t="s">
        <v>174</v>
      </c>
      <c r="B1915">
        <v>2022</v>
      </c>
      <c r="C1915" t="s">
        <v>895</v>
      </c>
      <c r="D1915" t="s">
        <v>884</v>
      </c>
      <c r="E1915">
        <v>1.89791552734375</v>
      </c>
      <c r="F1915">
        <v>2</v>
      </c>
    </row>
    <row r="1916" spans="1:6">
      <c r="A1916" t="s">
        <v>158</v>
      </c>
      <c r="B1916">
        <v>2023</v>
      </c>
      <c r="C1916" t="s">
        <v>887</v>
      </c>
      <c r="D1916" t="s">
        <v>884</v>
      </c>
      <c r="E1916">
        <v>8.793208043813699</v>
      </c>
      <c r="F1916">
        <v>39</v>
      </c>
    </row>
    <row r="1917" spans="1:6">
      <c r="A1917" t="s">
        <v>170</v>
      </c>
      <c r="B1917">
        <v>2020</v>
      </c>
      <c r="C1917" t="s">
        <v>874</v>
      </c>
      <c r="D1917" t="s">
        <v>891</v>
      </c>
      <c r="E1917">
        <v>0.0285394496917725</v>
      </c>
      <c r="F1917">
        <v>1</v>
      </c>
    </row>
    <row r="1918" spans="1:6">
      <c r="A1918" t="s">
        <v>34</v>
      </c>
      <c r="B1918">
        <v>2021</v>
      </c>
      <c r="C1918" t="s">
        <v>878</v>
      </c>
      <c r="D1918" t="s">
        <v>839</v>
      </c>
      <c r="E1918">
        <v>3.07505176258087</v>
      </c>
      <c r="F1918">
        <v>11</v>
      </c>
    </row>
    <row r="1919" spans="1:6">
      <c r="A1919" t="s">
        <v>223</v>
      </c>
      <c r="B1919">
        <v>2020</v>
      </c>
      <c r="C1919" t="s">
        <v>885</v>
      </c>
      <c r="E1919">
        <v>0.01</v>
      </c>
      <c r="F1919">
        <v>1</v>
      </c>
    </row>
    <row r="1920" spans="1:6">
      <c r="A1920" t="s">
        <v>214</v>
      </c>
      <c r="B1920">
        <v>2023</v>
      </c>
      <c r="C1920" t="s">
        <v>890</v>
      </c>
      <c r="E1920">
        <v>0.446531463623047</v>
      </c>
      <c r="F1920">
        <v>1</v>
      </c>
    </row>
    <row r="1921" spans="1:6">
      <c r="A1921" t="s">
        <v>227</v>
      </c>
      <c r="B1921">
        <v>2022</v>
      </c>
      <c r="C1921" t="s">
        <v>840</v>
      </c>
      <c r="E1921">
        <v>0.849646203994751</v>
      </c>
      <c r="F1921">
        <v>4</v>
      </c>
    </row>
    <row r="1922" spans="1:6">
      <c r="A1922" t="s">
        <v>383</v>
      </c>
      <c r="B1922">
        <v>2023</v>
      </c>
      <c r="C1922" t="s">
        <v>885</v>
      </c>
      <c r="E1922">
        <v>4.46668766522408</v>
      </c>
      <c r="F1922">
        <v>14</v>
      </c>
    </row>
    <row r="1923" spans="1:6">
      <c r="A1923" t="s">
        <v>431</v>
      </c>
      <c r="B1923">
        <v>2022</v>
      </c>
      <c r="C1923" t="s">
        <v>890</v>
      </c>
      <c r="E1923">
        <v>1.32211155223846</v>
      </c>
      <c r="F1923">
        <v>8</v>
      </c>
    </row>
    <row r="1924" spans="1:6">
      <c r="A1924" t="s">
        <v>56</v>
      </c>
      <c r="B1924">
        <v>2022</v>
      </c>
      <c r="C1924" t="s">
        <v>897</v>
      </c>
      <c r="E1924">
        <v>4</v>
      </c>
      <c r="F1924">
        <v>4</v>
      </c>
    </row>
    <row r="1925" spans="1:6">
      <c r="A1925" t="s">
        <v>58</v>
      </c>
      <c r="B1925">
        <v>2021</v>
      </c>
      <c r="C1925" t="s">
        <v>839</v>
      </c>
      <c r="E1925">
        <v>120</v>
      </c>
      <c r="F1925">
        <v>36</v>
      </c>
    </row>
    <row r="1926" spans="1:6">
      <c r="A1926" t="s">
        <v>87</v>
      </c>
      <c r="B1926">
        <v>2019</v>
      </c>
      <c r="C1926" t="s">
        <v>895</v>
      </c>
      <c r="E1926">
        <v>3.44060568237305</v>
      </c>
      <c r="F1926">
        <v>2</v>
      </c>
    </row>
    <row r="1927" spans="1:6">
      <c r="A1927" t="s">
        <v>132</v>
      </c>
      <c r="B1927">
        <v>2022</v>
      </c>
      <c r="C1927" t="s">
        <v>878</v>
      </c>
      <c r="E1927">
        <v>58</v>
      </c>
      <c r="F1927">
        <v>10</v>
      </c>
    </row>
    <row r="1928" spans="1:6">
      <c r="A1928" t="s">
        <v>156</v>
      </c>
      <c r="B1928">
        <v>2016</v>
      </c>
      <c r="C1928" t="s">
        <v>883</v>
      </c>
      <c r="E1928">
        <v>3.51438464617729</v>
      </c>
      <c r="F1928">
        <v>44</v>
      </c>
    </row>
    <row r="1929" spans="1:6">
      <c r="A1929" t="s">
        <v>158</v>
      </c>
      <c r="B1929">
        <v>2024</v>
      </c>
      <c r="C1929" t="s">
        <v>887</v>
      </c>
      <c r="D1929" t="s">
        <v>884</v>
      </c>
      <c r="E1929">
        <v>0.319465797424316</v>
      </c>
      <c r="F1929">
        <v>5</v>
      </c>
    </row>
    <row r="1930" spans="1:6">
      <c r="A1930" t="s">
        <v>202</v>
      </c>
      <c r="B1930">
        <v>2022</v>
      </c>
      <c r="C1930" t="s">
        <v>881</v>
      </c>
      <c r="D1930" t="s">
        <v>891</v>
      </c>
      <c r="E1930">
        <v>0.322323127746582</v>
      </c>
      <c r="F1930">
        <v>3</v>
      </c>
    </row>
    <row r="1931" spans="1:6">
      <c r="A1931" t="s">
        <v>187</v>
      </c>
      <c r="B1931">
        <v>2021</v>
      </c>
      <c r="C1931" t="s">
        <v>878</v>
      </c>
      <c r="D1931" t="s">
        <v>879</v>
      </c>
      <c r="E1931">
        <v>0.627304962158203</v>
      </c>
      <c r="F1931">
        <v>2</v>
      </c>
    </row>
    <row r="1932" spans="1:6">
      <c r="A1932" t="s">
        <v>207</v>
      </c>
      <c r="B1932">
        <v>2018</v>
      </c>
      <c r="C1932" t="s">
        <v>840</v>
      </c>
      <c r="E1932">
        <v>58.9925345432758</v>
      </c>
      <c r="F1932">
        <v>111</v>
      </c>
    </row>
    <row r="1933" spans="1:6">
      <c r="A1933" t="s">
        <v>20</v>
      </c>
      <c r="B1933">
        <v>2024</v>
      </c>
      <c r="C1933" t="s">
        <v>873</v>
      </c>
      <c r="D1933" t="s">
        <v>840</v>
      </c>
      <c r="E1933">
        <v>0.640581859588623</v>
      </c>
      <c r="F1933">
        <v>5</v>
      </c>
    </row>
    <row r="1934" spans="1:6">
      <c r="A1934" t="s">
        <v>614</v>
      </c>
      <c r="B1934">
        <v>2016</v>
      </c>
      <c r="C1934" t="s">
        <v>883</v>
      </c>
      <c r="E1934">
        <v>0.028474889755249</v>
      </c>
      <c r="F1934">
        <v>1</v>
      </c>
    </row>
    <row r="1935" spans="1:6">
      <c r="A1935" t="s">
        <v>224</v>
      </c>
      <c r="B1935">
        <v>2023</v>
      </c>
      <c r="C1935" t="s">
        <v>885</v>
      </c>
      <c r="E1935">
        <v>0.402070007324219</v>
      </c>
      <c r="F1935">
        <v>1</v>
      </c>
    </row>
    <row r="1936" spans="1:6">
      <c r="A1936" t="s">
        <v>419</v>
      </c>
      <c r="B1936">
        <v>2017</v>
      </c>
      <c r="C1936" t="s">
        <v>892</v>
      </c>
      <c r="E1936">
        <v>4.32031314373016</v>
      </c>
      <c r="F1936">
        <v>32</v>
      </c>
    </row>
    <row r="1937" spans="1:6">
      <c r="A1937" t="s">
        <v>415</v>
      </c>
      <c r="B1937">
        <v>2018</v>
      </c>
      <c r="C1937" t="s">
        <v>884</v>
      </c>
      <c r="E1937">
        <v>1.27391744613647</v>
      </c>
      <c r="F1937">
        <v>5</v>
      </c>
    </row>
    <row r="1938" spans="1:6">
      <c r="A1938" t="s">
        <v>57</v>
      </c>
      <c r="B1938">
        <v>2023</v>
      </c>
      <c r="C1938" t="s">
        <v>910</v>
      </c>
      <c r="E1938">
        <v>18.2644923645854</v>
      </c>
      <c r="F1938">
        <v>51</v>
      </c>
    </row>
    <row r="1939" spans="1:6">
      <c r="A1939" t="s">
        <v>16</v>
      </c>
      <c r="B1939">
        <v>2020</v>
      </c>
      <c r="C1939" t="s">
        <v>909</v>
      </c>
      <c r="E1939">
        <v>7.29521664237976</v>
      </c>
      <c r="F1939">
        <v>28</v>
      </c>
    </row>
    <row r="1940" spans="1:6">
      <c r="A1940" t="s">
        <v>67</v>
      </c>
      <c r="B1940">
        <v>2017</v>
      </c>
      <c r="C1940" t="s">
        <v>874</v>
      </c>
      <c r="E1940">
        <v>203</v>
      </c>
      <c r="F1940">
        <v>50</v>
      </c>
    </row>
    <row r="1941" spans="1:6">
      <c r="A1941" t="s">
        <v>14</v>
      </c>
      <c r="B1941">
        <v>2018</v>
      </c>
      <c r="C1941" t="s">
        <v>874</v>
      </c>
      <c r="E1941">
        <v>33.9122059584856</v>
      </c>
      <c r="F1941">
        <v>58</v>
      </c>
    </row>
    <row r="1942" spans="1:6">
      <c r="A1942" t="s">
        <v>68</v>
      </c>
      <c r="B1942">
        <v>2018</v>
      </c>
      <c r="C1942" t="s">
        <v>895</v>
      </c>
      <c r="E1942">
        <v>55</v>
      </c>
      <c r="F1942">
        <v>13</v>
      </c>
    </row>
    <row r="1943" spans="1:6">
      <c r="A1943" t="s">
        <v>7</v>
      </c>
      <c r="B1943">
        <v>2018</v>
      </c>
      <c r="C1943" t="s">
        <v>840</v>
      </c>
      <c r="E1943">
        <v>70.09629812145231</v>
      </c>
      <c r="F1943">
        <v>102</v>
      </c>
    </row>
    <row r="1944" spans="1:6">
      <c r="A1944" t="s">
        <v>58</v>
      </c>
      <c r="B1944">
        <v>2022</v>
      </c>
      <c r="C1944" t="s">
        <v>839</v>
      </c>
      <c r="E1944">
        <v>185</v>
      </c>
      <c r="F1944">
        <v>35</v>
      </c>
    </row>
    <row r="1945" spans="1:6">
      <c r="A1945" t="s">
        <v>87</v>
      </c>
      <c r="B1945">
        <v>2018</v>
      </c>
      <c r="C1945" t="s">
        <v>895</v>
      </c>
      <c r="E1945">
        <v>3.55996272277832</v>
      </c>
      <c r="F1945">
        <v>3</v>
      </c>
    </row>
    <row r="1946" spans="1:6">
      <c r="A1946" t="s">
        <v>141</v>
      </c>
      <c r="B1946">
        <v>2017</v>
      </c>
      <c r="C1946" t="s">
        <v>879</v>
      </c>
      <c r="E1946">
        <v>12</v>
      </c>
      <c r="F1946">
        <v>7</v>
      </c>
    </row>
    <row r="1947" spans="1:6">
      <c r="A1947" t="s">
        <v>146</v>
      </c>
      <c r="B1947">
        <v>2017</v>
      </c>
      <c r="C1947" t="s">
        <v>888</v>
      </c>
      <c r="E1947">
        <v>21</v>
      </c>
      <c r="F1947">
        <v>12</v>
      </c>
    </row>
    <row r="1948" spans="1:6">
      <c r="A1948" t="s">
        <v>155</v>
      </c>
      <c r="B1948">
        <v>2023</v>
      </c>
      <c r="C1948" t="s">
        <v>879</v>
      </c>
      <c r="E1948">
        <v>1.5075208157897</v>
      </c>
      <c r="F1948">
        <v>14</v>
      </c>
    </row>
    <row r="1949" spans="1:6">
      <c r="A1949" t="s">
        <v>196</v>
      </c>
      <c r="B1949">
        <v>2020</v>
      </c>
      <c r="C1949" t="s">
        <v>879</v>
      </c>
      <c r="D1949" t="s">
        <v>883</v>
      </c>
      <c r="E1949">
        <v>0.01</v>
      </c>
      <c r="F1949">
        <v>1</v>
      </c>
    </row>
    <row r="1950" spans="1:6">
      <c r="A1950" t="s">
        <v>41</v>
      </c>
      <c r="B1950">
        <v>2015</v>
      </c>
      <c r="C1950" t="s">
        <v>879</v>
      </c>
      <c r="D1950" t="s">
        <v>838</v>
      </c>
      <c r="E1950">
        <v>0.905612129211426</v>
      </c>
      <c r="F1950">
        <v>4</v>
      </c>
    </row>
    <row r="1951" spans="1:6">
      <c r="A1951" t="s">
        <v>84</v>
      </c>
      <c r="B1951">
        <v>2020</v>
      </c>
      <c r="C1951" t="s">
        <v>895</v>
      </c>
      <c r="E1951">
        <v>0.003</v>
      </c>
      <c r="F1951">
        <v>1</v>
      </c>
    </row>
    <row r="1952" spans="1:6">
      <c r="A1952" t="s">
        <v>141</v>
      </c>
      <c r="B1952">
        <v>2015</v>
      </c>
      <c r="C1952" t="s">
        <v>879</v>
      </c>
      <c r="E1952">
        <v>15</v>
      </c>
      <c r="F1952">
        <v>9</v>
      </c>
    </row>
    <row r="1953" spans="1:6">
      <c r="A1953" t="s">
        <v>126</v>
      </c>
      <c r="B1953">
        <v>2023</v>
      </c>
      <c r="C1953" t="s">
        <v>895</v>
      </c>
      <c r="E1953">
        <v>1</v>
      </c>
      <c r="F1953">
        <v>1</v>
      </c>
    </row>
    <row r="1954" spans="1:6">
      <c r="A1954" t="s">
        <v>191</v>
      </c>
      <c r="B1954">
        <v>2021</v>
      </c>
      <c r="C1954" t="s">
        <v>879</v>
      </c>
      <c r="D1954" t="s">
        <v>892</v>
      </c>
      <c r="E1954">
        <v>0.132251934051514</v>
      </c>
      <c r="F1954">
        <v>2</v>
      </c>
    </row>
    <row r="1955" spans="1:6">
      <c r="A1955" t="s">
        <v>201</v>
      </c>
      <c r="B1955">
        <v>2021</v>
      </c>
      <c r="C1955" t="s">
        <v>881</v>
      </c>
      <c r="D1955" t="s">
        <v>890</v>
      </c>
      <c r="E1955">
        <v>0.0548034973144531</v>
      </c>
      <c r="F1955">
        <v>1</v>
      </c>
    </row>
    <row r="1956" spans="1:6">
      <c r="A1956" t="s">
        <v>208</v>
      </c>
      <c r="B1956">
        <v>2015</v>
      </c>
      <c r="C1956" t="s">
        <v>838</v>
      </c>
      <c r="E1956">
        <v>34.006747220993</v>
      </c>
      <c r="F1956">
        <v>56</v>
      </c>
    </row>
    <row r="1957" spans="1:6">
      <c r="A1957" t="s">
        <v>19</v>
      </c>
      <c r="B1957">
        <v>2015</v>
      </c>
      <c r="C1957" t="s">
        <v>873</v>
      </c>
      <c r="D1957" t="s">
        <v>839</v>
      </c>
      <c r="E1957">
        <v>14.0237051503658</v>
      </c>
      <c r="F1957">
        <v>53</v>
      </c>
    </row>
    <row r="1958" spans="1:6">
      <c r="A1958" t="s">
        <v>30</v>
      </c>
      <c r="B1958">
        <v>2017</v>
      </c>
      <c r="C1958" t="s">
        <v>889</v>
      </c>
      <c r="D1958" t="s">
        <v>840</v>
      </c>
      <c r="E1958">
        <v>3.88915998840332</v>
      </c>
      <c r="F1958">
        <v>11</v>
      </c>
    </row>
    <row r="1959" spans="1:6">
      <c r="A1959" t="s">
        <v>606</v>
      </c>
      <c r="B1959">
        <v>2018</v>
      </c>
      <c r="C1959" t="s">
        <v>883</v>
      </c>
      <c r="E1959">
        <v>0.0271028347015381</v>
      </c>
      <c r="F1959">
        <v>1</v>
      </c>
    </row>
    <row r="1960" spans="1:6">
      <c r="A1960" t="s">
        <v>318</v>
      </c>
      <c r="B1960">
        <v>2020</v>
      </c>
      <c r="C1960" t="s">
        <v>840</v>
      </c>
      <c r="E1960">
        <v>0.01</v>
      </c>
      <c r="F1960">
        <v>1</v>
      </c>
    </row>
    <row r="1961" spans="1:6">
      <c r="A1961" t="s">
        <v>421</v>
      </c>
      <c r="B1961">
        <v>2021</v>
      </c>
      <c r="C1961" t="s">
        <v>892</v>
      </c>
      <c r="E1961">
        <v>0.610771118164062</v>
      </c>
      <c r="F1961">
        <v>2</v>
      </c>
    </row>
    <row r="1962" spans="1:6">
      <c r="A1962" t="s">
        <v>440</v>
      </c>
      <c r="B1962">
        <v>2023</v>
      </c>
      <c r="C1962" t="s">
        <v>891</v>
      </c>
      <c r="E1962">
        <v>0.023</v>
      </c>
      <c r="F1962">
        <v>1</v>
      </c>
    </row>
    <row r="1963" spans="1:6">
      <c r="A1963" t="s">
        <v>413</v>
      </c>
      <c r="B1963">
        <v>2020</v>
      </c>
      <c r="C1963" t="s">
        <v>884</v>
      </c>
      <c r="E1963">
        <v>6.4518947019577</v>
      </c>
      <c r="F1963">
        <v>31</v>
      </c>
    </row>
    <row r="1964" spans="1:6">
      <c r="A1964" t="s">
        <v>426</v>
      </c>
      <c r="B1964">
        <v>2022</v>
      </c>
      <c r="C1964" t="s">
        <v>880</v>
      </c>
      <c r="E1964">
        <v>1.36000708007812</v>
      </c>
      <c r="F1964">
        <v>2</v>
      </c>
    </row>
    <row r="1965" spans="1:6">
      <c r="A1965" t="s">
        <v>611</v>
      </c>
      <c r="B1965">
        <v>2016</v>
      </c>
      <c r="C1965" t="s">
        <v>890</v>
      </c>
      <c r="E1965">
        <v>0.345223175048828</v>
      </c>
      <c r="F1965">
        <v>2</v>
      </c>
    </row>
    <row r="1966" spans="1:6">
      <c r="A1966" t="s">
        <v>630</v>
      </c>
      <c r="B1966">
        <v>2023</v>
      </c>
      <c r="C1966" t="s">
        <v>883</v>
      </c>
      <c r="E1966">
        <v>0.009060925483703609</v>
      </c>
      <c r="F1966">
        <v>1</v>
      </c>
    </row>
    <row r="1967" spans="1:6">
      <c r="A1967" t="s">
        <v>319</v>
      </c>
      <c r="B1967">
        <v>2016</v>
      </c>
      <c r="C1967" t="s">
        <v>838</v>
      </c>
      <c r="E1967">
        <v>0.103458770751953</v>
      </c>
      <c r="F1967">
        <v>1</v>
      </c>
    </row>
    <row r="1968" spans="1:6">
      <c r="A1968" t="s">
        <v>414</v>
      </c>
      <c r="B1968">
        <v>2016</v>
      </c>
      <c r="C1968" t="s">
        <v>884</v>
      </c>
      <c r="E1968">
        <v>7.00726938647032</v>
      </c>
      <c r="F1968">
        <v>21</v>
      </c>
    </row>
    <row r="1969" spans="1:6">
      <c r="A1969" t="s">
        <v>25</v>
      </c>
      <c r="B1969">
        <v>2020</v>
      </c>
      <c r="C1969" t="s">
        <v>882</v>
      </c>
      <c r="D1969" t="s">
        <v>840</v>
      </c>
      <c r="E1969">
        <v>11.1730894241333</v>
      </c>
      <c r="F1969">
        <v>15</v>
      </c>
    </row>
    <row r="1970" spans="1:6">
      <c r="A1970" t="s">
        <v>41</v>
      </c>
      <c r="B1970">
        <v>2021</v>
      </c>
      <c r="C1970" t="s">
        <v>879</v>
      </c>
      <c r="D1970" t="s">
        <v>838</v>
      </c>
      <c r="E1970">
        <v>0.427614593505859</v>
      </c>
      <c r="F1970">
        <v>2</v>
      </c>
    </row>
    <row r="1971" spans="1:6">
      <c r="A1971" t="s">
        <v>593</v>
      </c>
      <c r="B1971">
        <v>2019</v>
      </c>
      <c r="C1971" t="s">
        <v>892</v>
      </c>
      <c r="E1971">
        <v>0.417531055450439</v>
      </c>
      <c r="F1971">
        <v>3</v>
      </c>
    </row>
    <row r="1972" spans="1:6">
      <c r="A1972" t="s">
        <v>223</v>
      </c>
      <c r="B1972">
        <v>2017</v>
      </c>
      <c r="C1972" t="s">
        <v>885</v>
      </c>
      <c r="E1972">
        <v>2.71476103210449</v>
      </c>
      <c r="F1972">
        <v>6</v>
      </c>
    </row>
    <row r="1973" spans="1:6">
      <c r="A1973" t="s">
        <v>317</v>
      </c>
      <c r="B1973">
        <v>2017</v>
      </c>
      <c r="C1973" t="s">
        <v>839</v>
      </c>
      <c r="E1973">
        <v>0.345172332763672</v>
      </c>
      <c r="F1973">
        <v>3</v>
      </c>
    </row>
    <row r="1974" spans="1:6">
      <c r="A1974" t="s">
        <v>449</v>
      </c>
      <c r="B1974">
        <v>2017</v>
      </c>
      <c r="C1974" t="s">
        <v>883</v>
      </c>
      <c r="E1974">
        <v>3.57710129243135</v>
      </c>
      <c r="F1974">
        <v>21</v>
      </c>
    </row>
    <row r="1975" spans="1:6">
      <c r="A1975" t="s">
        <v>381</v>
      </c>
      <c r="B1975">
        <v>2021</v>
      </c>
      <c r="C1975" t="s">
        <v>893</v>
      </c>
      <c r="E1975">
        <v>11.8439468494654</v>
      </c>
      <c r="F1975">
        <v>34</v>
      </c>
    </row>
    <row r="1976" spans="1:6">
      <c r="A1976" t="s">
        <v>13</v>
      </c>
      <c r="B1976">
        <v>2020</v>
      </c>
      <c r="C1976" t="s">
        <v>905</v>
      </c>
      <c r="E1976">
        <v>73.91870949888229</v>
      </c>
      <c r="F1976">
        <v>70</v>
      </c>
    </row>
    <row r="1977" spans="1:6">
      <c r="A1977" t="s">
        <v>13</v>
      </c>
      <c r="B1977">
        <v>2018</v>
      </c>
      <c r="C1977" t="s">
        <v>873</v>
      </c>
      <c r="E1977">
        <v>71.5096249990463</v>
      </c>
      <c r="F1977">
        <v>120</v>
      </c>
    </row>
    <row r="1978" spans="1:6">
      <c r="A1978" t="s">
        <v>55</v>
      </c>
      <c r="B1978">
        <v>2024</v>
      </c>
      <c r="C1978" t="s">
        <v>875</v>
      </c>
      <c r="E1978">
        <v>2</v>
      </c>
      <c r="F1978">
        <v>2</v>
      </c>
    </row>
    <row r="1979" spans="1:6">
      <c r="A1979" t="s">
        <v>56</v>
      </c>
      <c r="B1979">
        <v>2020</v>
      </c>
      <c r="C1979" t="s">
        <v>897</v>
      </c>
      <c r="E1979">
        <v>1</v>
      </c>
      <c r="F1979">
        <v>1</v>
      </c>
    </row>
    <row r="1980" spans="1:6">
      <c r="A1980" t="s">
        <v>94</v>
      </c>
      <c r="B1980">
        <v>2022</v>
      </c>
      <c r="C1980" t="s">
        <v>878</v>
      </c>
      <c r="E1980">
        <v>0.0411272621154785</v>
      </c>
      <c r="F1980">
        <v>1</v>
      </c>
    </row>
    <row r="1981" spans="1:6">
      <c r="A1981" t="s">
        <v>79</v>
      </c>
      <c r="B1981">
        <v>2023</v>
      </c>
      <c r="C1981" t="s">
        <v>874</v>
      </c>
      <c r="E1981">
        <v>4.46668766522408</v>
      </c>
      <c r="F1981">
        <v>14</v>
      </c>
    </row>
    <row r="1982" spans="1:6">
      <c r="A1982" t="s">
        <v>128</v>
      </c>
      <c r="B1982">
        <v>2015</v>
      </c>
      <c r="C1982" t="s">
        <v>895</v>
      </c>
      <c r="E1982">
        <v>2</v>
      </c>
      <c r="F1982">
        <v>2</v>
      </c>
    </row>
    <row r="1983" spans="1:6">
      <c r="A1983" t="s">
        <v>141</v>
      </c>
      <c r="B1983">
        <v>2019</v>
      </c>
      <c r="C1983" t="s">
        <v>879</v>
      </c>
      <c r="E1983">
        <v>8</v>
      </c>
      <c r="F1983">
        <v>7</v>
      </c>
    </row>
    <row r="1984" spans="1:6">
      <c r="A1984" t="s">
        <v>200</v>
      </c>
      <c r="B1984">
        <v>2023</v>
      </c>
      <c r="C1984" t="s">
        <v>881</v>
      </c>
      <c r="D1984" t="s">
        <v>880</v>
      </c>
      <c r="E1984">
        <v>0.775615234375</v>
      </c>
      <c r="F1984">
        <v>1</v>
      </c>
    </row>
    <row r="1985" spans="1:6">
      <c r="A1985" t="s">
        <v>170</v>
      </c>
      <c r="B1985">
        <v>2018</v>
      </c>
      <c r="C1985" t="s">
        <v>874</v>
      </c>
      <c r="D1985" t="s">
        <v>891</v>
      </c>
      <c r="E1985">
        <v>0.057</v>
      </c>
      <c r="F1985">
        <v>1</v>
      </c>
    </row>
    <row r="1986" spans="1:6">
      <c r="A1986" t="s">
        <v>207</v>
      </c>
      <c r="B1986">
        <v>2024</v>
      </c>
      <c r="C1986" t="s">
        <v>840</v>
      </c>
      <c r="E1986">
        <v>1.04594366455078</v>
      </c>
      <c r="F1986">
        <v>9</v>
      </c>
    </row>
    <row r="1987" spans="1:6">
      <c r="A1987" t="s">
        <v>20</v>
      </c>
      <c r="B1987">
        <v>2023</v>
      </c>
      <c r="C1987" t="s">
        <v>873</v>
      </c>
      <c r="D1987" t="s">
        <v>840</v>
      </c>
      <c r="E1987">
        <v>7.16142053601146</v>
      </c>
      <c r="F1987">
        <v>37</v>
      </c>
    </row>
    <row r="1988" spans="1:6">
      <c r="A1988" t="s">
        <v>592</v>
      </c>
      <c r="B1988">
        <v>2016</v>
      </c>
      <c r="C1988" t="s">
        <v>884</v>
      </c>
      <c r="E1988">
        <v>2.49582394504547</v>
      </c>
      <c r="F1988">
        <v>5</v>
      </c>
    </row>
    <row r="1989" spans="1:6">
      <c r="A1989" t="s">
        <v>594</v>
      </c>
      <c r="B1989">
        <v>2022</v>
      </c>
      <c r="C1989" t="s">
        <v>880</v>
      </c>
      <c r="E1989">
        <v>0.09347104644775391</v>
      </c>
      <c r="F1989">
        <v>1</v>
      </c>
    </row>
    <row r="1990" spans="1:6">
      <c r="A1990" t="s">
        <v>627</v>
      </c>
      <c r="B1990">
        <v>2021</v>
      </c>
      <c r="C1990" t="s">
        <v>890</v>
      </c>
      <c r="E1990">
        <v>0.00264503860473633</v>
      </c>
      <c r="F1990">
        <v>1</v>
      </c>
    </row>
    <row r="1991" spans="1:6">
      <c r="A1991" t="s">
        <v>384</v>
      </c>
      <c r="B1991">
        <v>2017</v>
      </c>
      <c r="C1991" t="s">
        <v>885</v>
      </c>
      <c r="E1991">
        <v>1.5383430480957</v>
      </c>
      <c r="F1991">
        <v>6</v>
      </c>
    </row>
    <row r="1992" spans="1:6">
      <c r="A1992" t="s">
        <v>458</v>
      </c>
      <c r="B1992">
        <v>2019</v>
      </c>
      <c r="C1992" t="s">
        <v>893</v>
      </c>
      <c r="E1992">
        <v>0.221733560562134</v>
      </c>
      <c r="F1992">
        <v>3</v>
      </c>
    </row>
    <row r="1993" spans="1:6">
      <c r="A1993" t="s">
        <v>459</v>
      </c>
      <c r="B1993">
        <v>2015</v>
      </c>
      <c r="C1993" t="s">
        <v>893</v>
      </c>
      <c r="E1993">
        <v>0.125</v>
      </c>
      <c r="F1993">
        <v>1</v>
      </c>
    </row>
    <row r="1994" spans="1:6">
      <c r="A1994" t="s">
        <v>374</v>
      </c>
      <c r="B1994">
        <v>2015</v>
      </c>
      <c r="C1994" t="s">
        <v>884</v>
      </c>
      <c r="E1994">
        <v>31.3948558013439</v>
      </c>
      <c r="F1994">
        <v>60</v>
      </c>
    </row>
    <row r="1995" spans="1:6">
      <c r="A1995" t="s">
        <v>50</v>
      </c>
      <c r="B1995">
        <v>2021</v>
      </c>
      <c r="C1995" t="s">
        <v>908</v>
      </c>
      <c r="E1995">
        <v>1</v>
      </c>
      <c r="F1995">
        <v>1</v>
      </c>
    </row>
    <row r="1996" spans="1:6">
      <c r="A1996" t="s">
        <v>70</v>
      </c>
      <c r="B1996">
        <v>2020</v>
      </c>
      <c r="C1996" t="s">
        <v>900</v>
      </c>
      <c r="E1996">
        <v>14</v>
      </c>
      <c r="F1996">
        <v>4</v>
      </c>
    </row>
    <row r="1997" spans="1:6">
      <c r="A1997" t="s">
        <v>18</v>
      </c>
      <c r="B1997">
        <v>2015</v>
      </c>
      <c r="C1997" t="s">
        <v>906</v>
      </c>
      <c r="E1997">
        <v>11.0899810409546</v>
      </c>
      <c r="F1997">
        <v>15</v>
      </c>
    </row>
    <row r="1998" spans="1:6">
      <c r="A1998" t="s">
        <v>68</v>
      </c>
      <c r="B1998">
        <v>2022</v>
      </c>
      <c r="C1998" t="s">
        <v>872</v>
      </c>
      <c r="E1998">
        <v>20</v>
      </c>
      <c r="F1998">
        <v>7</v>
      </c>
    </row>
    <row r="1999" spans="1:6">
      <c r="A1999" t="s">
        <v>55</v>
      </c>
      <c r="B1999">
        <v>2022</v>
      </c>
      <c r="C1999" t="s">
        <v>876</v>
      </c>
      <c r="E1999">
        <v>9</v>
      </c>
      <c r="F1999">
        <v>9</v>
      </c>
    </row>
    <row r="2000" spans="1:6">
      <c r="A2000" t="s">
        <v>79</v>
      </c>
      <c r="B2000">
        <v>2019</v>
      </c>
      <c r="C2000" t="s">
        <v>874</v>
      </c>
      <c r="E2000">
        <v>21.4581883888245</v>
      </c>
      <c r="F2000">
        <v>30</v>
      </c>
    </row>
    <row r="2001" spans="1:6">
      <c r="A2001" t="s">
        <v>79</v>
      </c>
      <c r="B2001">
        <v>2016</v>
      </c>
      <c r="C2001" t="s">
        <v>874</v>
      </c>
      <c r="E2001">
        <v>17.3437194756866</v>
      </c>
      <c r="F2001">
        <v>38</v>
      </c>
    </row>
    <row r="2002" spans="1:6">
      <c r="A2002" t="s">
        <v>118</v>
      </c>
      <c r="B2002">
        <v>2020</v>
      </c>
      <c r="C2002" t="s">
        <v>873</v>
      </c>
      <c r="E2002">
        <v>2</v>
      </c>
      <c r="F2002">
        <v>2</v>
      </c>
    </row>
    <row r="2003" spans="1:6">
      <c r="A2003" t="s">
        <v>154</v>
      </c>
      <c r="B2003">
        <v>2022</v>
      </c>
      <c r="C2003" t="s">
        <v>891</v>
      </c>
      <c r="E2003">
        <v>3.00739073801041</v>
      </c>
      <c r="F2003">
        <v>35</v>
      </c>
    </row>
    <row r="2004" spans="1:6">
      <c r="A2004" t="s">
        <v>188</v>
      </c>
      <c r="B2004">
        <v>2018</v>
      </c>
      <c r="C2004" t="s">
        <v>878</v>
      </c>
      <c r="D2004" t="s">
        <v>883</v>
      </c>
      <c r="E2004">
        <v>0.929697778224945</v>
      </c>
      <c r="F2004">
        <v>9</v>
      </c>
    </row>
    <row r="2005" spans="1:6">
      <c r="A2005" t="s">
        <v>184</v>
      </c>
      <c r="B2005">
        <v>2023</v>
      </c>
      <c r="C2005" t="s">
        <v>878</v>
      </c>
      <c r="D2005" t="s">
        <v>880</v>
      </c>
      <c r="E2005">
        <v>1.441286860466</v>
      </c>
      <c r="F2005">
        <v>8</v>
      </c>
    </row>
    <row r="2006" spans="1:6">
      <c r="A2006" t="s">
        <v>208</v>
      </c>
      <c r="B2006">
        <v>2021</v>
      </c>
      <c r="C2006" t="s">
        <v>838</v>
      </c>
      <c r="E2006">
        <v>58.2829266147614</v>
      </c>
      <c r="F2006">
        <v>43</v>
      </c>
    </row>
    <row r="2007" spans="1:6">
      <c r="A2007" t="s">
        <v>29</v>
      </c>
      <c r="B2007">
        <v>2016</v>
      </c>
      <c r="C2007" t="s">
        <v>889</v>
      </c>
      <c r="D2007" t="s">
        <v>839</v>
      </c>
      <c r="E2007">
        <v>1.02926644706726</v>
      </c>
      <c r="F2007">
        <v>7</v>
      </c>
    </row>
    <row r="2008" spans="1:6">
      <c r="A2008" t="s">
        <v>23</v>
      </c>
      <c r="B2008">
        <v>2023</v>
      </c>
      <c r="C2008" t="s">
        <v>873</v>
      </c>
      <c r="D2008" t="s">
        <v>898</v>
      </c>
      <c r="E2008">
        <v>0.0449421901702881</v>
      </c>
      <c r="F2008">
        <v>2</v>
      </c>
    </row>
    <row r="2009" spans="1:6">
      <c r="A2009" t="s">
        <v>592</v>
      </c>
      <c r="B2009">
        <v>2018</v>
      </c>
      <c r="C2009" t="s">
        <v>884</v>
      </c>
      <c r="E2009">
        <v>0.924348304748535</v>
      </c>
      <c r="F2009">
        <v>4</v>
      </c>
    </row>
    <row r="2010" spans="1:6">
      <c r="A2010" t="s">
        <v>221</v>
      </c>
      <c r="B2010">
        <v>2015</v>
      </c>
      <c r="C2010" t="s">
        <v>885</v>
      </c>
      <c r="E2010">
        <v>0.237977478027344</v>
      </c>
      <c r="F2010">
        <v>1</v>
      </c>
    </row>
    <row r="2011" spans="1:6">
      <c r="A2011" t="s">
        <v>450</v>
      </c>
      <c r="B2011">
        <v>2017</v>
      </c>
      <c r="C2011" t="s">
        <v>883</v>
      </c>
      <c r="E2011">
        <v>0.317867210388184</v>
      </c>
      <c r="F2011">
        <v>4</v>
      </c>
    </row>
    <row r="2012" spans="1:6">
      <c r="A2012" t="s">
        <v>438</v>
      </c>
      <c r="B2012">
        <v>2019</v>
      </c>
      <c r="C2012" t="s">
        <v>891</v>
      </c>
      <c r="E2012">
        <v>0.024</v>
      </c>
      <c r="F2012">
        <v>1</v>
      </c>
    </row>
    <row r="2013" spans="1:6">
      <c r="A2013" t="s">
        <v>420</v>
      </c>
      <c r="B2013">
        <v>2023</v>
      </c>
      <c r="C2013" t="s">
        <v>892</v>
      </c>
      <c r="E2013">
        <v>2.24943647956848</v>
      </c>
      <c r="F2013">
        <v>3</v>
      </c>
    </row>
    <row r="2014" spans="1:6">
      <c r="A2014" t="s">
        <v>428</v>
      </c>
      <c r="B2014">
        <v>2023</v>
      </c>
      <c r="C2014" t="s">
        <v>880</v>
      </c>
      <c r="E2014">
        <v>0.0389619789123535</v>
      </c>
      <c r="F2014">
        <v>1</v>
      </c>
    </row>
    <row r="2015" spans="1:6">
      <c r="A2015" t="s">
        <v>6</v>
      </c>
      <c r="B2015">
        <v>2022</v>
      </c>
      <c r="C2015" t="s">
        <v>839</v>
      </c>
      <c r="E2015">
        <v>32.0421454362869</v>
      </c>
      <c r="F2015">
        <v>36</v>
      </c>
    </row>
    <row r="2016" spans="1:6">
      <c r="A2016" t="s">
        <v>87</v>
      </c>
      <c r="B2016">
        <v>2022</v>
      </c>
      <c r="C2016" t="s">
        <v>895</v>
      </c>
      <c r="E2016">
        <v>4.24064575195313</v>
      </c>
      <c r="F2016">
        <v>3</v>
      </c>
    </row>
    <row r="2017" spans="1:6">
      <c r="A2017" t="s">
        <v>85</v>
      </c>
      <c r="B2017">
        <v>2020</v>
      </c>
      <c r="C2017" t="s">
        <v>895</v>
      </c>
      <c r="E2017">
        <v>1.126</v>
      </c>
      <c r="F2017">
        <v>5</v>
      </c>
    </row>
    <row r="2018" spans="1:6">
      <c r="A2018" t="s">
        <v>135</v>
      </c>
      <c r="B2018">
        <v>2023</v>
      </c>
      <c r="C2018" t="s">
        <v>878</v>
      </c>
      <c r="E2018">
        <v>1</v>
      </c>
      <c r="F2018">
        <v>1</v>
      </c>
    </row>
    <row r="2019" spans="1:6">
      <c r="A2019" t="s">
        <v>116</v>
      </c>
      <c r="B2019">
        <v>2018</v>
      </c>
      <c r="C2019" t="s">
        <v>873</v>
      </c>
      <c r="E2019">
        <v>78</v>
      </c>
      <c r="F2019">
        <v>35</v>
      </c>
    </row>
    <row r="2020" spans="1:6">
      <c r="A2020" t="s">
        <v>150</v>
      </c>
      <c r="B2020">
        <v>2024</v>
      </c>
      <c r="C2020" t="s">
        <v>884</v>
      </c>
      <c r="E2020">
        <v>0.434465797424316</v>
      </c>
      <c r="F2020">
        <v>7</v>
      </c>
    </row>
    <row r="2021" spans="1:6">
      <c r="A2021" t="s">
        <v>156</v>
      </c>
      <c r="B2021">
        <v>2023</v>
      </c>
      <c r="C2021" t="s">
        <v>883</v>
      </c>
      <c r="E2021">
        <v>2.5028211607933</v>
      </c>
      <c r="F2021">
        <v>19</v>
      </c>
    </row>
    <row r="2022" spans="1:6">
      <c r="A2022" t="s">
        <v>172</v>
      </c>
      <c r="B2022">
        <v>2024</v>
      </c>
      <c r="C2022" t="s">
        <v>874</v>
      </c>
      <c r="D2022" t="s">
        <v>883</v>
      </c>
      <c r="E2022">
        <v>0.046</v>
      </c>
      <c r="F2022">
        <v>1</v>
      </c>
    </row>
    <row r="2023" spans="1:6">
      <c r="A2023" t="s">
        <v>24</v>
      </c>
      <c r="B2023">
        <v>2016</v>
      </c>
      <c r="C2023" t="s">
        <v>882</v>
      </c>
      <c r="D2023" t="s">
        <v>839</v>
      </c>
      <c r="E2023">
        <v>7.13143847107887</v>
      </c>
      <c r="F2023">
        <v>23</v>
      </c>
    </row>
    <row r="2024" spans="1:6">
      <c r="A2024" t="s">
        <v>26</v>
      </c>
      <c r="B2024">
        <v>2021</v>
      </c>
      <c r="C2024" t="s">
        <v>882</v>
      </c>
      <c r="D2024" t="s">
        <v>838</v>
      </c>
      <c r="E2024">
        <v>5.42027347946167</v>
      </c>
      <c r="F2024">
        <v>12</v>
      </c>
    </row>
    <row r="2025" spans="1:6">
      <c r="A2025" t="s">
        <v>29</v>
      </c>
      <c r="B2025">
        <v>2017</v>
      </c>
      <c r="C2025" t="s">
        <v>889</v>
      </c>
      <c r="D2025" t="s">
        <v>839</v>
      </c>
      <c r="E2025">
        <v>0.390797944366932</v>
      </c>
      <c r="F2025">
        <v>4</v>
      </c>
    </row>
    <row r="2026" spans="1:6">
      <c r="A2026" t="s">
        <v>631</v>
      </c>
      <c r="B2026">
        <v>2018</v>
      </c>
      <c r="C2026" t="s">
        <v>893</v>
      </c>
      <c r="E2026">
        <v>0.202360016822815</v>
      </c>
      <c r="F2026">
        <v>2</v>
      </c>
    </row>
    <row r="2027" spans="1:6">
      <c r="A2027" t="s">
        <v>617</v>
      </c>
      <c r="B2027">
        <v>2019</v>
      </c>
      <c r="C2027" t="s">
        <v>892</v>
      </c>
      <c r="E2027">
        <v>0.319</v>
      </c>
      <c r="F2027">
        <v>1</v>
      </c>
    </row>
    <row r="2028" spans="1:6">
      <c r="A2028" t="s">
        <v>299</v>
      </c>
      <c r="B2028">
        <v>2017</v>
      </c>
      <c r="C2028" t="s">
        <v>838</v>
      </c>
      <c r="E2028">
        <v>0.376294944763184</v>
      </c>
      <c r="F2028">
        <v>3</v>
      </c>
    </row>
    <row r="2029" spans="1:6">
      <c r="A2029" t="s">
        <v>56</v>
      </c>
      <c r="B2029">
        <v>2015</v>
      </c>
      <c r="C2029" t="s">
        <v>903</v>
      </c>
      <c r="E2029">
        <v>77</v>
      </c>
      <c r="F2029">
        <v>77</v>
      </c>
    </row>
    <row r="2030" spans="1:6">
      <c r="A2030" t="s">
        <v>6</v>
      </c>
      <c r="B2030">
        <v>2021</v>
      </c>
      <c r="C2030" t="s">
        <v>839</v>
      </c>
      <c r="E2030">
        <v>34.3221564416885</v>
      </c>
      <c r="F2030">
        <v>37</v>
      </c>
    </row>
    <row r="2031" spans="1:6">
      <c r="A2031" t="s">
        <v>460</v>
      </c>
      <c r="B2031">
        <v>2017</v>
      </c>
      <c r="C2031" t="s">
        <v>893</v>
      </c>
      <c r="E2031">
        <v>0.241198411941528</v>
      </c>
      <c r="F2031">
        <v>6</v>
      </c>
    </row>
    <row r="2032" spans="1:6">
      <c r="A2032" t="s">
        <v>59</v>
      </c>
      <c r="B2032">
        <v>2015</v>
      </c>
      <c r="C2032" t="s">
        <v>840</v>
      </c>
      <c r="E2032">
        <v>479</v>
      </c>
      <c r="F2032">
        <v>78</v>
      </c>
    </row>
    <row r="2033" spans="1:6">
      <c r="A2033" t="s">
        <v>105</v>
      </c>
      <c r="B2033">
        <v>2023</v>
      </c>
      <c r="C2033" t="s">
        <v>888</v>
      </c>
      <c r="E2033">
        <v>0.402070007324219</v>
      </c>
      <c r="F2033">
        <v>1</v>
      </c>
    </row>
    <row r="2034" spans="1:6">
      <c r="A2034" t="s">
        <v>128</v>
      </c>
      <c r="B2034">
        <v>2017</v>
      </c>
      <c r="C2034" t="s">
        <v>895</v>
      </c>
      <c r="E2034">
        <v>6</v>
      </c>
      <c r="F2034">
        <v>2</v>
      </c>
    </row>
    <row r="2035" spans="1:6">
      <c r="A2035" t="s">
        <v>162</v>
      </c>
      <c r="B2035">
        <v>2021</v>
      </c>
      <c r="C2035" t="s">
        <v>887</v>
      </c>
      <c r="D2035" t="s">
        <v>891</v>
      </c>
      <c r="E2035">
        <v>3.64853386229277</v>
      </c>
      <c r="F2035">
        <v>35</v>
      </c>
    </row>
    <row r="2036" spans="1:6">
      <c r="A2036" t="s">
        <v>201</v>
      </c>
      <c r="B2036">
        <v>2018</v>
      </c>
      <c r="C2036" t="s">
        <v>881</v>
      </c>
      <c r="D2036" t="s">
        <v>890</v>
      </c>
      <c r="E2036">
        <v>0.804342232942581</v>
      </c>
      <c r="F2036">
        <v>2</v>
      </c>
    </row>
    <row r="2037" spans="1:6">
      <c r="A2037" t="s">
        <v>167</v>
      </c>
      <c r="B2037">
        <v>2021</v>
      </c>
      <c r="C2037" t="s">
        <v>874</v>
      </c>
      <c r="D2037" t="s">
        <v>892</v>
      </c>
      <c r="E2037">
        <v>8.095695539474489</v>
      </c>
      <c r="F2037">
        <v>9</v>
      </c>
    </row>
    <row r="2038" spans="1:6">
      <c r="A2038" t="s">
        <v>23</v>
      </c>
      <c r="B2038">
        <v>2017</v>
      </c>
      <c r="C2038" t="s">
        <v>873</v>
      </c>
      <c r="D2038" t="s">
        <v>898</v>
      </c>
      <c r="E2038">
        <v>0.574228455543518</v>
      </c>
      <c r="F2038">
        <v>5</v>
      </c>
    </row>
    <row r="2039" spans="1:6">
      <c r="A2039" t="s">
        <v>600</v>
      </c>
      <c r="B2039">
        <v>2015</v>
      </c>
      <c r="C2039" t="s">
        <v>884</v>
      </c>
      <c r="E2039">
        <v>1.43530033874512</v>
      </c>
      <c r="F2039">
        <v>2</v>
      </c>
    </row>
    <row r="2040" spans="1:6">
      <c r="A2040" t="s">
        <v>592</v>
      </c>
      <c r="B2040">
        <v>2015</v>
      </c>
      <c r="C2040" t="s">
        <v>884</v>
      </c>
      <c r="E2040">
        <v>1.10326226043701</v>
      </c>
      <c r="F2040">
        <v>4</v>
      </c>
    </row>
    <row r="2041" spans="1:6">
      <c r="A2041" t="s">
        <v>307</v>
      </c>
      <c r="B2041">
        <v>2023</v>
      </c>
      <c r="C2041" t="s">
        <v>839</v>
      </c>
      <c r="E2041">
        <v>1.35924447250366</v>
      </c>
      <c r="F2041">
        <v>3</v>
      </c>
    </row>
    <row r="2042" spans="1:6">
      <c r="A2042" t="s">
        <v>417</v>
      </c>
      <c r="B2042">
        <v>2024</v>
      </c>
      <c r="C2042" t="s">
        <v>884</v>
      </c>
      <c r="E2042">
        <v>0.002</v>
      </c>
      <c r="F2042">
        <v>1</v>
      </c>
    </row>
    <row r="2043" spans="1:6">
      <c r="A2043" t="s">
        <v>434</v>
      </c>
      <c r="B2043">
        <v>2017</v>
      </c>
      <c r="C2043" t="s">
        <v>890</v>
      </c>
      <c r="E2043">
        <v>0.0764793395996094</v>
      </c>
      <c r="F2043">
        <v>2</v>
      </c>
    </row>
    <row r="2044" spans="1:6">
      <c r="A2044" t="s">
        <v>422</v>
      </c>
      <c r="B2044">
        <v>2015</v>
      </c>
      <c r="C2044" t="s">
        <v>892</v>
      </c>
      <c r="E2044">
        <v>1.33097386741638</v>
      </c>
      <c r="F2044">
        <v>5</v>
      </c>
    </row>
    <row r="2045" spans="1:6">
      <c r="A2045" t="s">
        <v>408</v>
      </c>
      <c r="B2045">
        <v>2024</v>
      </c>
      <c r="C2045" t="s">
        <v>839</v>
      </c>
      <c r="E2045">
        <v>0.346</v>
      </c>
      <c r="F2045">
        <v>2</v>
      </c>
    </row>
    <row r="2046" spans="1:6">
      <c r="A2046" t="s">
        <v>75</v>
      </c>
      <c r="B2046">
        <v>2022</v>
      </c>
      <c r="C2046" t="s">
        <v>873</v>
      </c>
      <c r="E2046">
        <v>14.3801008224487</v>
      </c>
      <c r="F2046">
        <v>8</v>
      </c>
    </row>
    <row r="2047" spans="1:6">
      <c r="A2047" t="s">
        <v>90</v>
      </c>
      <c r="B2047">
        <v>2020</v>
      </c>
      <c r="C2047" t="s">
        <v>878</v>
      </c>
      <c r="E2047">
        <v>4.01864881134033</v>
      </c>
      <c r="F2047">
        <v>11</v>
      </c>
    </row>
    <row r="2048" spans="1:6">
      <c r="A2048" t="s">
        <v>133</v>
      </c>
      <c r="B2048">
        <v>2021</v>
      </c>
      <c r="C2048" t="s">
        <v>878</v>
      </c>
      <c r="E2048">
        <v>51</v>
      </c>
      <c r="F2048">
        <v>14</v>
      </c>
    </row>
    <row r="2049" spans="1:6">
      <c r="A2049" t="s">
        <v>150</v>
      </c>
      <c r="B2049">
        <v>2017</v>
      </c>
      <c r="C2049" t="s">
        <v>884</v>
      </c>
      <c r="E2049">
        <v>49.9802675070763</v>
      </c>
      <c r="F2049">
        <v>99</v>
      </c>
    </row>
    <row r="2050" spans="1:6">
      <c r="A2050" t="s">
        <v>196</v>
      </c>
      <c r="B2050">
        <v>2024</v>
      </c>
      <c r="C2050" t="s">
        <v>879</v>
      </c>
      <c r="D2050" t="s">
        <v>883</v>
      </c>
      <c r="E2050">
        <v>0.002</v>
      </c>
      <c r="F2050">
        <v>1</v>
      </c>
    </row>
    <row r="2051" spans="1:6">
      <c r="A2051" t="s">
        <v>183</v>
      </c>
      <c r="B2051">
        <v>2021</v>
      </c>
      <c r="C2051" t="s">
        <v>878</v>
      </c>
      <c r="D2051" t="s">
        <v>892</v>
      </c>
      <c r="E2051">
        <v>1.42872743988037</v>
      </c>
      <c r="F2051">
        <v>9</v>
      </c>
    </row>
    <row r="2052" spans="1:6">
      <c r="A2052" t="s">
        <v>35</v>
      </c>
      <c r="B2052">
        <v>2021</v>
      </c>
      <c r="C2052" t="s">
        <v>878</v>
      </c>
      <c r="D2052" t="s">
        <v>840</v>
      </c>
      <c r="E2052">
        <v>5.02429418563843</v>
      </c>
      <c r="F2052">
        <v>14</v>
      </c>
    </row>
    <row r="2053" spans="1:6">
      <c r="A2053" t="s">
        <v>632</v>
      </c>
      <c r="B2053">
        <v>2021</v>
      </c>
      <c r="C2053" t="s">
        <v>884</v>
      </c>
      <c r="E2053">
        <v>1.30795040893555</v>
      </c>
      <c r="F2053">
        <v>2</v>
      </c>
    </row>
    <row r="2054" spans="1:6">
      <c r="A2054" t="s">
        <v>598</v>
      </c>
      <c r="B2054">
        <v>2015</v>
      </c>
      <c r="C2054" t="s">
        <v>883</v>
      </c>
      <c r="E2054">
        <v>0.272701641082764</v>
      </c>
      <c r="F2054">
        <v>4</v>
      </c>
    </row>
    <row r="2055" spans="1:6">
      <c r="A2055" t="s">
        <v>323</v>
      </c>
      <c r="B2055">
        <v>2017</v>
      </c>
      <c r="C2055" t="s">
        <v>840</v>
      </c>
      <c r="E2055">
        <v>0.532</v>
      </c>
      <c r="F2055">
        <v>2</v>
      </c>
    </row>
    <row r="2056" spans="1:6">
      <c r="A2056" t="s">
        <v>424</v>
      </c>
      <c r="B2056">
        <v>2023</v>
      </c>
      <c r="C2056" t="s">
        <v>892</v>
      </c>
      <c r="E2056">
        <v>0.144208587646484</v>
      </c>
      <c r="F2056">
        <v>1</v>
      </c>
    </row>
    <row r="2057" spans="1:6">
      <c r="A2057" t="s">
        <v>376</v>
      </c>
      <c r="B2057">
        <v>2021</v>
      </c>
      <c r="C2057" t="s">
        <v>880</v>
      </c>
      <c r="E2057">
        <v>2.81323983001709</v>
      </c>
      <c r="F2057">
        <v>9</v>
      </c>
    </row>
    <row r="2058" spans="1:6">
      <c r="A2058" t="s">
        <v>376</v>
      </c>
      <c r="B2058">
        <v>2017</v>
      </c>
      <c r="C2058" t="s">
        <v>880</v>
      </c>
      <c r="E2058">
        <v>2.34444535624608</v>
      </c>
      <c r="F2058">
        <v>11</v>
      </c>
    </row>
    <row r="2059" spans="1:6">
      <c r="A2059" t="s">
        <v>426</v>
      </c>
      <c r="B2059">
        <v>2021</v>
      </c>
      <c r="C2059" t="s">
        <v>880</v>
      </c>
      <c r="E2059">
        <v>0.404690925598145</v>
      </c>
      <c r="F2059">
        <v>2</v>
      </c>
    </row>
    <row r="2060" spans="1:6">
      <c r="A2060" t="s">
        <v>382</v>
      </c>
      <c r="B2060">
        <v>2017</v>
      </c>
      <c r="C2060" t="s">
        <v>885</v>
      </c>
      <c r="E2060">
        <v>27.6057948722839</v>
      </c>
      <c r="F2060">
        <v>66</v>
      </c>
    </row>
    <row r="2061" spans="1:6">
      <c r="A2061" t="s">
        <v>412</v>
      </c>
      <c r="B2061">
        <v>2021</v>
      </c>
      <c r="C2061" t="s">
        <v>898</v>
      </c>
      <c r="E2061">
        <v>0.69427857208252</v>
      </c>
      <c r="F2061">
        <v>2</v>
      </c>
    </row>
    <row r="2062" spans="1:6">
      <c r="A2062" t="s">
        <v>14</v>
      </c>
      <c r="B2062">
        <v>2020</v>
      </c>
      <c r="C2062" t="s">
        <v>904</v>
      </c>
      <c r="E2062">
        <v>21.179729724884</v>
      </c>
      <c r="F2062">
        <v>34</v>
      </c>
    </row>
    <row r="2063" spans="1:6">
      <c r="A2063" t="s">
        <v>69</v>
      </c>
      <c r="B2063">
        <v>2020</v>
      </c>
      <c r="C2063" t="s">
        <v>909</v>
      </c>
      <c r="E2063">
        <v>71</v>
      </c>
      <c r="F2063">
        <v>28</v>
      </c>
    </row>
    <row r="2064" spans="1:6">
      <c r="A2064" t="s">
        <v>71</v>
      </c>
      <c r="B2064">
        <v>2020</v>
      </c>
      <c r="C2064" t="s">
        <v>906</v>
      </c>
      <c r="E2064">
        <v>76</v>
      </c>
      <c r="F2064">
        <v>23</v>
      </c>
    </row>
    <row r="2065" spans="1:6">
      <c r="A2065" t="s">
        <v>8</v>
      </c>
      <c r="B2065">
        <v>2018</v>
      </c>
      <c r="C2065" t="s">
        <v>838</v>
      </c>
      <c r="E2065">
        <v>53.3840021800995</v>
      </c>
      <c r="F2065">
        <v>48</v>
      </c>
    </row>
    <row r="2066" spans="1:6">
      <c r="A2066" t="s">
        <v>73</v>
      </c>
      <c r="B2066">
        <v>2023</v>
      </c>
      <c r="C2066" t="s">
        <v>873</v>
      </c>
      <c r="E2066">
        <v>6.98097213172913</v>
      </c>
      <c r="F2066">
        <v>30</v>
      </c>
    </row>
    <row r="2067" spans="1:6">
      <c r="A2067" t="s">
        <v>145</v>
      </c>
      <c r="B2067">
        <v>2022</v>
      </c>
      <c r="C2067" t="s">
        <v>888</v>
      </c>
      <c r="E2067">
        <v>13</v>
      </c>
      <c r="F2067">
        <v>9</v>
      </c>
    </row>
    <row r="2068" spans="1:6">
      <c r="A2068" t="s">
        <v>141</v>
      </c>
      <c r="B2068">
        <v>2023</v>
      </c>
      <c r="C2068" t="s">
        <v>879</v>
      </c>
      <c r="E2068">
        <v>9</v>
      </c>
      <c r="F2068">
        <v>2</v>
      </c>
    </row>
    <row r="2069" spans="1:6">
      <c r="A2069" t="s">
        <v>168</v>
      </c>
      <c r="B2069">
        <v>2023</v>
      </c>
      <c r="C2069" t="s">
        <v>874</v>
      </c>
      <c r="D2069" t="s">
        <v>880</v>
      </c>
      <c r="E2069">
        <v>1.95029621887207</v>
      </c>
      <c r="F2069">
        <v>7</v>
      </c>
    </row>
    <row r="2070" spans="1:6">
      <c r="A2070" t="s">
        <v>202</v>
      </c>
      <c r="B2070">
        <v>2021</v>
      </c>
      <c r="C2070" t="s">
        <v>881</v>
      </c>
      <c r="D2070" t="s">
        <v>891</v>
      </c>
      <c r="E2070">
        <v>0.0535355834960937</v>
      </c>
      <c r="F2070">
        <v>2</v>
      </c>
    </row>
    <row r="2071" spans="1:6">
      <c r="A2071" t="s">
        <v>34</v>
      </c>
      <c r="B2071">
        <v>2023</v>
      </c>
      <c r="C2071" t="s">
        <v>878</v>
      </c>
      <c r="D2071" t="s">
        <v>839</v>
      </c>
      <c r="E2071">
        <v>5.12184212493896</v>
      </c>
      <c r="F2071">
        <v>12</v>
      </c>
    </row>
    <row r="2072" spans="1:6">
      <c r="A2072" t="s">
        <v>592</v>
      </c>
      <c r="B2072">
        <v>2023</v>
      </c>
      <c r="C2072" t="s">
        <v>884</v>
      </c>
      <c r="E2072">
        <v>0.892178649902344</v>
      </c>
      <c r="F2072">
        <v>3</v>
      </c>
    </row>
    <row r="2073" spans="1:6">
      <c r="A2073" t="s">
        <v>598</v>
      </c>
      <c r="B2073">
        <v>2017</v>
      </c>
      <c r="C2073" t="s">
        <v>883</v>
      </c>
      <c r="E2073">
        <v>0.296499458312988</v>
      </c>
      <c r="F2073">
        <v>3</v>
      </c>
    </row>
    <row r="2074" spans="1:6">
      <c r="A2074" t="s">
        <v>317</v>
      </c>
      <c r="B2074">
        <v>2021</v>
      </c>
      <c r="C2074" t="s">
        <v>839</v>
      </c>
      <c r="E2074">
        <v>0.015870231628418</v>
      </c>
      <c r="F2074">
        <v>1</v>
      </c>
    </row>
    <row r="2075" spans="1:6">
      <c r="A2075" t="s">
        <v>460</v>
      </c>
      <c r="B2075">
        <v>2019</v>
      </c>
      <c r="C2075" t="s">
        <v>893</v>
      </c>
      <c r="E2075">
        <v>0.336689121246338</v>
      </c>
      <c r="F2075">
        <v>4</v>
      </c>
    </row>
    <row r="2076" spans="1:6">
      <c r="A2076" t="s">
        <v>375</v>
      </c>
      <c r="B2076">
        <v>2022</v>
      </c>
      <c r="C2076" t="s">
        <v>892</v>
      </c>
      <c r="E2076">
        <v>7.10868372344971</v>
      </c>
      <c r="F2076">
        <v>31</v>
      </c>
    </row>
    <row r="2077" spans="1:6">
      <c r="A2077" t="s">
        <v>375</v>
      </c>
      <c r="B2077">
        <v>2019</v>
      </c>
      <c r="C2077" t="s">
        <v>892</v>
      </c>
      <c r="E2077">
        <v>17.5404298790693</v>
      </c>
      <c r="F2077">
        <v>44</v>
      </c>
    </row>
    <row r="2078" spans="1:6">
      <c r="A2078" t="s">
        <v>443</v>
      </c>
      <c r="B2078">
        <v>2024</v>
      </c>
      <c r="C2078" t="s">
        <v>879</v>
      </c>
      <c r="E2078">
        <v>0.3</v>
      </c>
      <c r="F2078">
        <v>1</v>
      </c>
    </row>
    <row r="2079" spans="1:6">
      <c r="A2079" t="s">
        <v>426</v>
      </c>
      <c r="B2079">
        <v>2020</v>
      </c>
      <c r="C2079" t="s">
        <v>880</v>
      </c>
      <c r="E2079">
        <v>0.207930282592773</v>
      </c>
      <c r="F2079">
        <v>1</v>
      </c>
    </row>
    <row r="2080" spans="1:6">
      <c r="A2080" t="s">
        <v>409</v>
      </c>
      <c r="B2080">
        <v>2023</v>
      </c>
      <c r="C2080" t="s">
        <v>840</v>
      </c>
      <c r="E2080">
        <v>18.2761453237534</v>
      </c>
      <c r="F2080">
        <v>29</v>
      </c>
    </row>
    <row r="2081" spans="1:6">
      <c r="A2081" t="s">
        <v>73</v>
      </c>
      <c r="B2081">
        <v>2016</v>
      </c>
      <c r="C2081" t="s">
        <v>873</v>
      </c>
      <c r="E2081">
        <v>24.1887847785354</v>
      </c>
      <c r="F2081">
        <v>67</v>
      </c>
    </row>
    <row r="2082" spans="1:6">
      <c r="A2082" t="s">
        <v>144</v>
      </c>
      <c r="B2082">
        <v>2023</v>
      </c>
      <c r="C2082" t="s">
        <v>888</v>
      </c>
      <c r="E2082">
        <v>11</v>
      </c>
      <c r="F2082">
        <v>6</v>
      </c>
    </row>
    <row r="2083" spans="1:6">
      <c r="A2083" t="s">
        <v>156</v>
      </c>
      <c r="B2083">
        <v>2020</v>
      </c>
      <c r="C2083" t="s">
        <v>883</v>
      </c>
      <c r="E2083">
        <v>3.28082936871052</v>
      </c>
      <c r="F2083">
        <v>35</v>
      </c>
    </row>
    <row r="2084" spans="1:6">
      <c r="A2084" t="s">
        <v>201</v>
      </c>
      <c r="B2084">
        <v>2023</v>
      </c>
      <c r="C2084" t="s">
        <v>881</v>
      </c>
      <c r="D2084" t="s">
        <v>890</v>
      </c>
      <c r="E2084">
        <v>3.44043359375</v>
      </c>
      <c r="F2084">
        <v>1</v>
      </c>
    </row>
    <row r="2085" spans="1:6">
      <c r="A2085" t="s">
        <v>172</v>
      </c>
      <c r="B2085">
        <v>2019</v>
      </c>
      <c r="C2085" t="s">
        <v>874</v>
      </c>
      <c r="D2085" t="s">
        <v>883</v>
      </c>
      <c r="E2085">
        <v>1.72820157814026</v>
      </c>
      <c r="F2085">
        <v>5</v>
      </c>
    </row>
    <row r="2086" spans="1:6">
      <c r="A2086" t="s">
        <v>30</v>
      </c>
      <c r="B2086">
        <v>2018</v>
      </c>
      <c r="C2086" t="s">
        <v>889</v>
      </c>
      <c r="D2086" t="s">
        <v>840</v>
      </c>
      <c r="E2086">
        <v>3.78663568687439</v>
      </c>
      <c r="F2086">
        <v>9</v>
      </c>
    </row>
    <row r="2087" spans="1:6">
      <c r="A2087" t="s">
        <v>211</v>
      </c>
      <c r="B2087">
        <v>2018</v>
      </c>
      <c r="C2087" t="s">
        <v>884</v>
      </c>
      <c r="E2087">
        <v>3.88423163604736</v>
      </c>
      <c r="F2087">
        <v>9</v>
      </c>
    </row>
    <row r="2088" spans="1:6">
      <c r="A2088" t="s">
        <v>220</v>
      </c>
      <c r="B2088">
        <v>2023</v>
      </c>
      <c r="C2088" t="s">
        <v>885</v>
      </c>
      <c r="E2088">
        <v>0.65718890953064</v>
      </c>
      <c r="F2088">
        <v>2</v>
      </c>
    </row>
    <row r="2089" spans="1:6">
      <c r="A2089" t="s">
        <v>381</v>
      </c>
      <c r="B2089">
        <v>2020</v>
      </c>
      <c r="C2089" t="s">
        <v>893</v>
      </c>
      <c r="E2089">
        <v>7.79008064556122</v>
      </c>
      <c r="F2089">
        <v>24</v>
      </c>
    </row>
    <row r="2090" spans="1:6">
      <c r="A2090" t="s">
        <v>56</v>
      </c>
      <c r="B2090">
        <v>2023</v>
      </c>
      <c r="C2090" t="s">
        <v>897</v>
      </c>
      <c r="E2090">
        <v>5</v>
      </c>
      <c r="F2090">
        <v>5</v>
      </c>
    </row>
    <row r="2091" spans="1:6">
      <c r="A2091" t="s">
        <v>7</v>
      </c>
      <c r="B2091">
        <v>2024</v>
      </c>
      <c r="C2091" t="s">
        <v>840</v>
      </c>
      <c r="E2091">
        <v>1.597</v>
      </c>
      <c r="F2091">
        <v>8</v>
      </c>
    </row>
    <row r="2092" spans="1:6">
      <c r="A2092" t="s">
        <v>92</v>
      </c>
      <c r="B2092">
        <v>2019</v>
      </c>
      <c r="C2092" t="s">
        <v>878</v>
      </c>
      <c r="E2092">
        <v>4.16740580940247</v>
      </c>
      <c r="F2092">
        <v>10</v>
      </c>
    </row>
    <row r="2093" spans="1:6">
      <c r="A2093" t="s">
        <v>118</v>
      </c>
      <c r="B2093">
        <v>2015</v>
      </c>
      <c r="C2093" t="s">
        <v>873</v>
      </c>
      <c r="E2093">
        <v>2</v>
      </c>
      <c r="F2093">
        <v>2</v>
      </c>
    </row>
    <row r="2094" spans="1:6">
      <c r="A2094" t="s">
        <v>144</v>
      </c>
      <c r="B2094">
        <v>2019</v>
      </c>
      <c r="C2094" t="s">
        <v>888</v>
      </c>
      <c r="E2094">
        <v>17</v>
      </c>
      <c r="F2094">
        <v>2</v>
      </c>
    </row>
    <row r="2095" spans="1:6">
      <c r="A2095" t="s">
        <v>127</v>
      </c>
      <c r="B2095">
        <v>2021</v>
      </c>
      <c r="C2095" t="s">
        <v>895</v>
      </c>
      <c r="E2095">
        <v>8</v>
      </c>
      <c r="F2095">
        <v>6</v>
      </c>
    </row>
    <row r="2096" spans="1:6">
      <c r="A2096" t="s">
        <v>157</v>
      </c>
      <c r="B2096">
        <v>2017</v>
      </c>
      <c r="C2096" t="s">
        <v>893</v>
      </c>
      <c r="E2096">
        <v>16.3047210190296</v>
      </c>
      <c r="F2096">
        <v>72</v>
      </c>
    </row>
    <row r="2097" spans="1:6">
      <c r="A2097" t="s">
        <v>188</v>
      </c>
      <c r="B2097">
        <v>2019</v>
      </c>
      <c r="C2097" t="s">
        <v>878</v>
      </c>
      <c r="D2097" t="s">
        <v>883</v>
      </c>
      <c r="E2097">
        <v>0.267</v>
      </c>
      <c r="F2097">
        <v>4</v>
      </c>
    </row>
    <row r="2098" spans="1:6">
      <c r="A2098" t="s">
        <v>207</v>
      </c>
      <c r="B2098">
        <v>2023</v>
      </c>
      <c r="C2098" t="s">
        <v>840</v>
      </c>
      <c r="E2098">
        <v>25.1212975616157</v>
      </c>
      <c r="F2098">
        <v>45</v>
      </c>
    </row>
    <row r="2099" spans="1:6">
      <c r="A2099" t="s">
        <v>30</v>
      </c>
      <c r="B2099">
        <v>2022</v>
      </c>
      <c r="C2099" t="s">
        <v>889</v>
      </c>
      <c r="D2099" t="s">
        <v>840</v>
      </c>
      <c r="E2099">
        <v>2.54899230957031</v>
      </c>
      <c r="F2099">
        <v>4</v>
      </c>
    </row>
    <row r="2100" spans="1:6">
      <c r="A2100" t="s">
        <v>594</v>
      </c>
      <c r="B2100">
        <v>2017</v>
      </c>
      <c r="C2100" t="s">
        <v>880</v>
      </c>
      <c r="E2100">
        <v>0.688726196289063</v>
      </c>
      <c r="F2100">
        <v>1</v>
      </c>
    </row>
    <row r="2101" spans="1:6">
      <c r="A2101" t="s">
        <v>609</v>
      </c>
      <c r="B2101">
        <v>2019</v>
      </c>
      <c r="C2101" t="s">
        <v>892</v>
      </c>
      <c r="E2101">
        <v>1.07066857910156</v>
      </c>
      <c r="F2101">
        <v>1</v>
      </c>
    </row>
    <row r="2102" spans="1:6">
      <c r="A2102" t="s">
        <v>608</v>
      </c>
      <c r="B2102">
        <v>2020</v>
      </c>
      <c r="C2102" t="s">
        <v>884</v>
      </c>
      <c r="E2102">
        <v>0.300071929931641</v>
      </c>
      <c r="F2102">
        <v>1</v>
      </c>
    </row>
    <row r="2103" spans="1:6">
      <c r="A2103" t="s">
        <v>317</v>
      </c>
      <c r="B2103">
        <v>2022</v>
      </c>
      <c r="C2103" t="s">
        <v>839</v>
      </c>
      <c r="E2103">
        <v>0.0682338638305664</v>
      </c>
      <c r="F2103">
        <v>1</v>
      </c>
    </row>
    <row r="2104" spans="1:6">
      <c r="A2104" t="s">
        <v>440</v>
      </c>
      <c r="B2104">
        <v>2017</v>
      </c>
      <c r="C2104" t="s">
        <v>891</v>
      </c>
      <c r="E2104">
        <v>0.0900445880889893</v>
      </c>
      <c r="F2104">
        <v>3</v>
      </c>
    </row>
    <row r="2105" spans="1:6">
      <c r="A2105" t="s">
        <v>61</v>
      </c>
      <c r="B2105">
        <v>2017</v>
      </c>
      <c r="C2105" t="s">
        <v>886</v>
      </c>
      <c r="E2105">
        <v>66</v>
      </c>
      <c r="F2105">
        <v>17</v>
      </c>
    </row>
    <row r="2106" spans="1:6">
      <c r="A2106" t="s">
        <v>75</v>
      </c>
      <c r="B2106">
        <v>2023</v>
      </c>
      <c r="C2106" t="s">
        <v>873</v>
      </c>
      <c r="E2106">
        <v>1.25660906982422</v>
      </c>
      <c r="F2106">
        <v>4</v>
      </c>
    </row>
    <row r="2107" spans="1:6">
      <c r="A2107" t="s">
        <v>130</v>
      </c>
      <c r="B2107">
        <v>2015</v>
      </c>
      <c r="C2107" t="s">
        <v>895</v>
      </c>
      <c r="E2107">
        <v>1</v>
      </c>
      <c r="F2107">
        <v>1</v>
      </c>
    </row>
    <row r="2108" spans="1:6">
      <c r="A2108" t="s">
        <v>184</v>
      </c>
      <c r="B2108">
        <v>2022</v>
      </c>
      <c r="C2108" t="s">
        <v>878</v>
      </c>
      <c r="D2108" t="s">
        <v>880</v>
      </c>
      <c r="E2108">
        <v>2.4429204788208</v>
      </c>
      <c r="F2108">
        <v>5</v>
      </c>
    </row>
    <row r="2109" spans="1:6">
      <c r="A2109" t="s">
        <v>182</v>
      </c>
      <c r="B2109">
        <v>2018</v>
      </c>
      <c r="C2109" t="s">
        <v>878</v>
      </c>
      <c r="D2109" t="s">
        <v>884</v>
      </c>
      <c r="E2109">
        <v>4.42961766242981</v>
      </c>
      <c r="F2109">
        <v>21</v>
      </c>
    </row>
    <row r="2110" spans="1:6">
      <c r="A2110" t="s">
        <v>33</v>
      </c>
      <c r="B2110">
        <v>2021</v>
      </c>
      <c r="C2110" t="s">
        <v>889</v>
      </c>
      <c r="D2110" t="s">
        <v>898</v>
      </c>
      <c r="E2110">
        <v>0.176335906982422</v>
      </c>
      <c r="F2110">
        <v>1</v>
      </c>
    </row>
    <row r="2111" spans="1:6">
      <c r="A2111" t="s">
        <v>22</v>
      </c>
      <c r="B2111">
        <v>2021</v>
      </c>
      <c r="C2111" t="s">
        <v>873</v>
      </c>
      <c r="D2111" t="s">
        <v>841</v>
      </c>
      <c r="E2111">
        <v>0.36994144153595</v>
      </c>
      <c r="F2111">
        <v>9</v>
      </c>
    </row>
    <row r="2112" spans="1:6">
      <c r="A2112" t="s">
        <v>22</v>
      </c>
      <c r="B2112">
        <v>2016</v>
      </c>
      <c r="C2112" t="s">
        <v>873</v>
      </c>
      <c r="D2112" t="s">
        <v>841</v>
      </c>
      <c r="E2112">
        <v>0.16731440448761</v>
      </c>
      <c r="F2112">
        <v>3</v>
      </c>
    </row>
    <row r="2113" spans="1:6">
      <c r="A2113" t="s">
        <v>218</v>
      </c>
      <c r="B2113">
        <v>2019</v>
      </c>
      <c r="C2113" t="s">
        <v>893</v>
      </c>
      <c r="E2113">
        <v>7.97247723388672</v>
      </c>
      <c r="F2113">
        <v>5</v>
      </c>
    </row>
    <row r="2114" spans="1:6">
      <c r="A2114" t="s">
        <v>221</v>
      </c>
      <c r="B2114">
        <v>2020</v>
      </c>
      <c r="C2114" t="s">
        <v>885</v>
      </c>
      <c r="E2114">
        <v>1.08804605102539</v>
      </c>
      <c r="F2114">
        <v>2</v>
      </c>
    </row>
    <row r="2115" spans="1:6">
      <c r="A2115" t="s">
        <v>318</v>
      </c>
      <c r="B2115">
        <v>2016</v>
      </c>
      <c r="C2115" t="s">
        <v>840</v>
      </c>
      <c r="E2115">
        <v>0.260070648193359</v>
      </c>
      <c r="F2115">
        <v>1</v>
      </c>
    </row>
    <row r="2116" spans="1:6">
      <c r="A2116" t="s">
        <v>383</v>
      </c>
      <c r="B2116">
        <v>2024</v>
      </c>
      <c r="C2116" t="s">
        <v>885</v>
      </c>
      <c r="E2116">
        <v>0.409</v>
      </c>
      <c r="F2116">
        <v>2</v>
      </c>
    </row>
    <row r="2117" spans="1:6">
      <c r="A2117" t="s">
        <v>442</v>
      </c>
      <c r="B2117">
        <v>2018</v>
      </c>
      <c r="C2117" t="s">
        <v>891</v>
      </c>
      <c r="E2117">
        <v>0.02</v>
      </c>
      <c r="F2117">
        <v>1</v>
      </c>
    </row>
    <row r="2118" spans="1:6">
      <c r="A2118" t="s">
        <v>385</v>
      </c>
      <c r="B2118">
        <v>2016</v>
      </c>
      <c r="C2118" t="s">
        <v>885</v>
      </c>
      <c r="E2118">
        <v>4.79924309921265</v>
      </c>
      <c r="F2118">
        <v>21</v>
      </c>
    </row>
    <row r="2119" spans="1:6">
      <c r="A2119" t="s">
        <v>56</v>
      </c>
      <c r="B2119">
        <v>2016</v>
      </c>
      <c r="C2119" t="s">
        <v>911</v>
      </c>
      <c r="E2119">
        <v>30</v>
      </c>
      <c r="F2119">
        <v>30</v>
      </c>
    </row>
    <row r="2120" spans="1:6">
      <c r="A2120" t="s">
        <v>8</v>
      </c>
      <c r="B2120">
        <v>2024</v>
      </c>
      <c r="C2120" t="s">
        <v>838</v>
      </c>
      <c r="E2120">
        <v>0.349206783294678</v>
      </c>
      <c r="F2120">
        <v>3</v>
      </c>
    </row>
    <row r="2121" spans="1:6">
      <c r="A2121" t="s">
        <v>90</v>
      </c>
      <c r="B2121">
        <v>2019</v>
      </c>
      <c r="C2121" t="s">
        <v>878</v>
      </c>
      <c r="E2121">
        <v>3.98603437042236</v>
      </c>
      <c r="F2121">
        <v>13</v>
      </c>
    </row>
    <row r="2122" spans="1:6">
      <c r="A2122" t="s">
        <v>121</v>
      </c>
      <c r="B2122">
        <v>2016</v>
      </c>
      <c r="C2122" t="s">
        <v>874</v>
      </c>
      <c r="E2122">
        <v>120</v>
      </c>
      <c r="F2122">
        <v>38</v>
      </c>
    </row>
    <row r="2123" spans="1:6">
      <c r="A2123" t="s">
        <v>134</v>
      </c>
      <c r="B2123">
        <v>2017</v>
      </c>
      <c r="C2123" t="s">
        <v>878</v>
      </c>
      <c r="E2123">
        <v>28</v>
      </c>
      <c r="F2123">
        <v>7</v>
      </c>
    </row>
    <row r="2124" spans="1:6">
      <c r="A2124" t="s">
        <v>132</v>
      </c>
      <c r="B2124">
        <v>2023</v>
      </c>
      <c r="C2124" t="s">
        <v>878</v>
      </c>
      <c r="E2124">
        <v>70</v>
      </c>
      <c r="F2124">
        <v>13</v>
      </c>
    </row>
    <row r="2125" spans="1:6">
      <c r="A2125" t="s">
        <v>150</v>
      </c>
      <c r="B2125">
        <v>2023</v>
      </c>
      <c r="C2125" t="s">
        <v>884</v>
      </c>
      <c r="E2125">
        <v>19.47252926898</v>
      </c>
      <c r="F2125">
        <v>50</v>
      </c>
    </row>
    <row r="2126" spans="1:6">
      <c r="A2126" t="s">
        <v>29</v>
      </c>
      <c r="B2126">
        <v>2021</v>
      </c>
      <c r="C2126" t="s">
        <v>889</v>
      </c>
      <c r="D2126" t="s">
        <v>839</v>
      </c>
      <c r="E2126">
        <v>5.22236288070679</v>
      </c>
      <c r="F2126">
        <v>6</v>
      </c>
    </row>
    <row r="2127" spans="1:6">
      <c r="A2127" t="s">
        <v>630</v>
      </c>
      <c r="B2127">
        <v>2020</v>
      </c>
      <c r="C2127" t="s">
        <v>883</v>
      </c>
      <c r="E2127">
        <v>0.01</v>
      </c>
      <c r="F2127">
        <v>1</v>
      </c>
    </row>
    <row r="2128" spans="1:6">
      <c r="A2128" t="s">
        <v>615</v>
      </c>
      <c r="B2128">
        <v>2021</v>
      </c>
      <c r="C2128" t="s">
        <v>893</v>
      </c>
      <c r="E2128">
        <v>0.00352999997138977</v>
      </c>
      <c r="F2128">
        <v>1</v>
      </c>
    </row>
    <row r="2129" spans="1:6">
      <c r="A2129" t="s">
        <v>303</v>
      </c>
      <c r="B2129">
        <v>2018</v>
      </c>
      <c r="C2129" t="s">
        <v>840</v>
      </c>
      <c r="E2129">
        <v>0.395588415145874</v>
      </c>
      <c r="F2129">
        <v>3</v>
      </c>
    </row>
    <row r="2130" spans="1:6">
      <c r="A2130" t="s">
        <v>425</v>
      </c>
      <c r="B2130">
        <v>2016</v>
      </c>
      <c r="C2130" t="s">
        <v>880</v>
      </c>
      <c r="E2130">
        <v>0.384750410556793</v>
      </c>
      <c r="F2130">
        <v>8</v>
      </c>
    </row>
    <row r="2131" spans="1:6">
      <c r="A2131" t="s">
        <v>420</v>
      </c>
      <c r="B2131">
        <v>2021</v>
      </c>
      <c r="C2131" t="s">
        <v>892</v>
      </c>
      <c r="E2131">
        <v>7.14421342658997</v>
      </c>
      <c r="F2131">
        <v>7</v>
      </c>
    </row>
    <row r="2132" spans="1:6">
      <c r="A2132" t="s">
        <v>384</v>
      </c>
      <c r="B2132">
        <v>2018</v>
      </c>
      <c r="C2132" t="s">
        <v>885</v>
      </c>
      <c r="E2132">
        <v>2.25858539390564</v>
      </c>
      <c r="F2132">
        <v>8</v>
      </c>
    </row>
    <row r="2133" spans="1:6">
      <c r="A2133" t="s">
        <v>12</v>
      </c>
      <c r="B2133">
        <v>2016</v>
      </c>
      <c r="E2133">
        <v>121.83673760736</v>
      </c>
      <c r="F2133">
        <v>130</v>
      </c>
    </row>
    <row r="2134" spans="1:6">
      <c r="A2134" t="s">
        <v>67</v>
      </c>
      <c r="B2134">
        <v>2019</v>
      </c>
      <c r="C2134" t="s">
        <v>874</v>
      </c>
      <c r="E2134">
        <v>378</v>
      </c>
      <c r="F2134">
        <v>46</v>
      </c>
    </row>
    <row r="2135" spans="1:6">
      <c r="A2135" t="s">
        <v>69</v>
      </c>
      <c r="B2135">
        <v>2017</v>
      </c>
      <c r="C2135" t="s">
        <v>878</v>
      </c>
      <c r="E2135">
        <v>101</v>
      </c>
      <c r="F2135">
        <v>34</v>
      </c>
    </row>
    <row r="2136" spans="1:6">
      <c r="A2136" t="s">
        <v>50</v>
      </c>
      <c r="B2136">
        <v>2018</v>
      </c>
      <c r="C2136" t="s">
        <v>899</v>
      </c>
      <c r="E2136">
        <v>1</v>
      </c>
      <c r="F2136">
        <v>1</v>
      </c>
    </row>
    <row r="2137" spans="1:6">
      <c r="A2137" t="s">
        <v>55</v>
      </c>
      <c r="B2137">
        <v>2017</v>
      </c>
      <c r="C2137" t="s">
        <v>897</v>
      </c>
      <c r="E2137">
        <v>5</v>
      </c>
      <c r="F2137">
        <v>5</v>
      </c>
    </row>
    <row r="2138" spans="1:6">
      <c r="A2138" t="s">
        <v>61</v>
      </c>
      <c r="B2138">
        <v>2016</v>
      </c>
      <c r="C2138" t="s">
        <v>886</v>
      </c>
      <c r="E2138">
        <v>49</v>
      </c>
      <c r="F2138">
        <v>14</v>
      </c>
    </row>
    <row r="2139" spans="1:6">
      <c r="A2139" t="s">
        <v>74</v>
      </c>
      <c r="B2139">
        <v>2019</v>
      </c>
      <c r="C2139" t="s">
        <v>873</v>
      </c>
      <c r="E2139">
        <v>22.5946242237091</v>
      </c>
      <c r="F2139">
        <v>25</v>
      </c>
    </row>
    <row r="2140" spans="1:6">
      <c r="A2140" t="s">
        <v>76</v>
      </c>
      <c r="B2140">
        <v>2022</v>
      </c>
      <c r="C2140" t="s">
        <v>873</v>
      </c>
      <c r="E2140">
        <v>0.412207305908203</v>
      </c>
      <c r="F2140">
        <v>1</v>
      </c>
    </row>
    <row r="2141" spans="1:6">
      <c r="A2141" t="s">
        <v>132</v>
      </c>
      <c r="B2141">
        <v>2021</v>
      </c>
      <c r="C2141" t="s">
        <v>878</v>
      </c>
      <c r="E2141">
        <v>36</v>
      </c>
      <c r="F2141">
        <v>10</v>
      </c>
    </row>
    <row r="2142" spans="1:6">
      <c r="A2142" t="s">
        <v>206</v>
      </c>
      <c r="B2142">
        <v>2023</v>
      </c>
      <c r="C2142" t="s">
        <v>839</v>
      </c>
      <c r="E2142">
        <v>22.508772513628</v>
      </c>
      <c r="F2142">
        <v>39</v>
      </c>
    </row>
    <row r="2143" spans="1:6">
      <c r="A2143" t="s">
        <v>39</v>
      </c>
      <c r="B2143">
        <v>2015</v>
      </c>
      <c r="C2143" t="s">
        <v>879</v>
      </c>
      <c r="D2143" t="s">
        <v>839</v>
      </c>
      <c r="E2143">
        <v>0.257498495221138</v>
      </c>
      <c r="F2143">
        <v>4</v>
      </c>
    </row>
    <row r="2144" spans="1:6">
      <c r="A2144" t="s">
        <v>21</v>
      </c>
      <c r="B2144">
        <v>2020</v>
      </c>
      <c r="C2144" t="s">
        <v>873</v>
      </c>
      <c r="D2144" t="s">
        <v>838</v>
      </c>
      <c r="E2144">
        <v>13.2095238608718</v>
      </c>
      <c r="F2144">
        <v>36</v>
      </c>
    </row>
    <row r="2145" spans="1:6">
      <c r="A2145" t="s">
        <v>608</v>
      </c>
      <c r="B2145">
        <v>2021</v>
      </c>
      <c r="C2145" t="s">
        <v>884</v>
      </c>
      <c r="E2145">
        <v>0.865813095092773</v>
      </c>
      <c r="F2145">
        <v>2</v>
      </c>
    </row>
    <row r="2146" spans="1:6">
      <c r="A2146" t="s">
        <v>322</v>
      </c>
      <c r="B2146">
        <v>2019</v>
      </c>
      <c r="C2146" t="s">
        <v>839</v>
      </c>
      <c r="E2146">
        <v>0.521</v>
      </c>
      <c r="F2146">
        <v>2</v>
      </c>
    </row>
    <row r="2147" spans="1:6">
      <c r="A2147" t="s">
        <v>426</v>
      </c>
      <c r="B2147">
        <v>2015</v>
      </c>
      <c r="C2147" t="s">
        <v>880</v>
      </c>
      <c r="E2147">
        <v>0.742457714080811</v>
      </c>
      <c r="F2147">
        <v>6</v>
      </c>
    </row>
    <row r="2148" spans="1:6">
      <c r="A2148" t="s">
        <v>437</v>
      </c>
      <c r="B2148">
        <v>2020</v>
      </c>
      <c r="C2148" t="s">
        <v>891</v>
      </c>
      <c r="E2148">
        <v>0.395575525283813</v>
      </c>
      <c r="F2148">
        <v>8</v>
      </c>
    </row>
    <row r="2149" spans="1:6">
      <c r="A2149" t="s">
        <v>410</v>
      </c>
      <c r="B2149">
        <v>2017</v>
      </c>
      <c r="C2149" t="s">
        <v>838</v>
      </c>
      <c r="E2149">
        <v>3.26216888201237</v>
      </c>
      <c r="F2149">
        <v>25</v>
      </c>
    </row>
    <row r="2150" spans="1:6">
      <c r="A2150" t="s">
        <v>10</v>
      </c>
      <c r="B2150">
        <v>2018</v>
      </c>
      <c r="C2150" t="s">
        <v>841</v>
      </c>
      <c r="E2150">
        <v>1.10857916355133</v>
      </c>
      <c r="F2150">
        <v>5</v>
      </c>
    </row>
    <row r="2151" spans="1:6">
      <c r="A2151" t="s">
        <v>126</v>
      </c>
      <c r="B2151">
        <v>2021</v>
      </c>
      <c r="C2151" t="s">
        <v>895</v>
      </c>
      <c r="E2151">
        <v>5</v>
      </c>
      <c r="F2151">
        <v>4</v>
      </c>
    </row>
    <row r="2152" spans="1:6">
      <c r="A2152" t="s">
        <v>182</v>
      </c>
      <c r="B2152">
        <v>2020</v>
      </c>
      <c r="C2152" t="s">
        <v>878</v>
      </c>
      <c r="D2152" t="s">
        <v>884</v>
      </c>
      <c r="E2152">
        <v>2.50130207061768</v>
      </c>
      <c r="F2152">
        <v>14</v>
      </c>
    </row>
    <row r="2153" spans="1:6">
      <c r="A2153" t="s">
        <v>169</v>
      </c>
      <c r="B2153">
        <v>2021</v>
      </c>
      <c r="C2153" t="s">
        <v>874</v>
      </c>
      <c r="D2153" t="s">
        <v>890</v>
      </c>
      <c r="E2153">
        <v>1.00167401504517</v>
      </c>
      <c r="F2153">
        <v>3</v>
      </c>
    </row>
    <row r="2154" spans="1:6">
      <c r="A2154" t="s">
        <v>44</v>
      </c>
      <c r="B2154">
        <v>2023</v>
      </c>
      <c r="C2154" t="s">
        <v>888</v>
      </c>
      <c r="D2154" t="s">
        <v>839</v>
      </c>
      <c r="E2154">
        <v>4.3159772529602</v>
      </c>
      <c r="F2154">
        <v>9</v>
      </c>
    </row>
    <row r="2155" spans="1:6">
      <c r="A2155" t="s">
        <v>215</v>
      </c>
      <c r="B2155">
        <v>2018</v>
      </c>
      <c r="C2155" t="s">
        <v>891</v>
      </c>
      <c r="E2155">
        <v>0.12841134262085</v>
      </c>
      <c r="F2155">
        <v>3</v>
      </c>
    </row>
    <row r="2156" spans="1:6">
      <c r="A2156" t="s">
        <v>219</v>
      </c>
      <c r="B2156">
        <v>2020</v>
      </c>
      <c r="C2156" t="s">
        <v>885</v>
      </c>
      <c r="E2156">
        <v>2.11367549133301</v>
      </c>
      <c r="F2156">
        <v>4</v>
      </c>
    </row>
    <row r="2157" spans="1:6">
      <c r="A2157" t="s">
        <v>599</v>
      </c>
      <c r="B2157">
        <v>2016</v>
      </c>
      <c r="C2157" t="s">
        <v>893</v>
      </c>
      <c r="E2157">
        <v>1.826</v>
      </c>
      <c r="F2157">
        <v>1</v>
      </c>
    </row>
    <row r="2158" spans="1:6">
      <c r="A2158" t="s">
        <v>322</v>
      </c>
      <c r="B2158">
        <v>2017</v>
      </c>
      <c r="C2158" t="s">
        <v>839</v>
      </c>
      <c r="E2158">
        <v>0.04</v>
      </c>
      <c r="F2158">
        <v>2</v>
      </c>
    </row>
    <row r="2159" spans="1:6">
      <c r="A2159" t="s">
        <v>382</v>
      </c>
      <c r="B2159">
        <v>2023</v>
      </c>
      <c r="C2159" t="s">
        <v>885</v>
      </c>
      <c r="E2159">
        <v>6.65006713676453</v>
      </c>
      <c r="F2159">
        <v>28</v>
      </c>
    </row>
    <row r="2160" spans="1:6">
      <c r="A2160" t="s">
        <v>440</v>
      </c>
      <c r="B2160">
        <v>2022</v>
      </c>
      <c r="C2160" t="s">
        <v>891</v>
      </c>
      <c r="E2160">
        <v>0.188841400146484</v>
      </c>
      <c r="F2160">
        <v>1</v>
      </c>
    </row>
    <row r="2161" spans="1:6">
      <c r="A2161" t="s">
        <v>419</v>
      </c>
      <c r="B2161">
        <v>2020</v>
      </c>
      <c r="C2161" t="s">
        <v>892</v>
      </c>
      <c r="E2161">
        <v>6.17537557506561</v>
      </c>
      <c r="F2161">
        <v>22</v>
      </c>
    </row>
    <row r="2162" spans="1:6">
      <c r="A2162" t="s">
        <v>411</v>
      </c>
      <c r="B2162">
        <v>2020</v>
      </c>
      <c r="C2162" t="s">
        <v>841</v>
      </c>
      <c r="E2162">
        <v>0.00913710117340088</v>
      </c>
      <c r="F2162">
        <v>2</v>
      </c>
    </row>
    <row r="2163" spans="1:6">
      <c r="A2163" t="s">
        <v>94</v>
      </c>
      <c r="B2163">
        <v>2021</v>
      </c>
      <c r="C2163" t="s">
        <v>878</v>
      </c>
      <c r="E2163">
        <v>0.374713813781738</v>
      </c>
      <c r="F2163">
        <v>3</v>
      </c>
    </row>
    <row r="2164" spans="1:6">
      <c r="A2164" t="s">
        <v>80</v>
      </c>
      <c r="B2164">
        <v>2015</v>
      </c>
      <c r="C2164" t="s">
        <v>874</v>
      </c>
      <c r="E2164">
        <v>6.28531508350372</v>
      </c>
      <c r="F2164">
        <v>14</v>
      </c>
    </row>
    <row r="2165" spans="1:6">
      <c r="A2165" t="s">
        <v>144</v>
      </c>
      <c r="B2165">
        <v>2016</v>
      </c>
      <c r="C2165" t="s">
        <v>888</v>
      </c>
      <c r="E2165">
        <v>4</v>
      </c>
      <c r="F2165">
        <v>2</v>
      </c>
    </row>
    <row r="2166" spans="1:6">
      <c r="A2166" t="s">
        <v>139</v>
      </c>
      <c r="B2166">
        <v>2018</v>
      </c>
      <c r="C2166" t="s">
        <v>879</v>
      </c>
      <c r="E2166">
        <v>15</v>
      </c>
      <c r="F2166">
        <v>6</v>
      </c>
    </row>
    <row r="2167" spans="1:6">
      <c r="A2167" t="s">
        <v>150</v>
      </c>
      <c r="B2167">
        <v>2020</v>
      </c>
      <c r="C2167" t="s">
        <v>884</v>
      </c>
      <c r="E2167">
        <v>32.7071708841324</v>
      </c>
      <c r="F2167">
        <v>62</v>
      </c>
    </row>
    <row r="2168" spans="1:6">
      <c r="A2168" t="s">
        <v>195</v>
      </c>
      <c r="B2168">
        <v>2019</v>
      </c>
      <c r="C2168" t="s">
        <v>879</v>
      </c>
      <c r="D2168" t="s">
        <v>879</v>
      </c>
      <c r="E2168">
        <v>0.0350962829589844</v>
      </c>
      <c r="F2168">
        <v>1</v>
      </c>
    </row>
    <row r="2169" spans="1:6">
      <c r="A2169" t="s">
        <v>191</v>
      </c>
      <c r="B2169">
        <v>2018</v>
      </c>
      <c r="C2169" t="s">
        <v>879</v>
      </c>
      <c r="D2169" t="s">
        <v>892</v>
      </c>
      <c r="E2169">
        <v>0.152754165649414</v>
      </c>
      <c r="F2169">
        <v>2</v>
      </c>
    </row>
    <row r="2170" spans="1:6">
      <c r="A2170" t="s">
        <v>180</v>
      </c>
      <c r="B2170">
        <v>2019</v>
      </c>
      <c r="C2170" t="s">
        <v>895</v>
      </c>
      <c r="D2170" t="s">
        <v>883</v>
      </c>
      <c r="E2170">
        <v>0.014</v>
      </c>
      <c r="F2170">
        <v>1</v>
      </c>
    </row>
    <row r="2171" spans="1:6">
      <c r="A2171" t="s">
        <v>40</v>
      </c>
      <c r="B2171">
        <v>2017</v>
      </c>
      <c r="C2171" t="s">
        <v>879</v>
      </c>
      <c r="D2171" t="s">
        <v>840</v>
      </c>
      <c r="E2171">
        <v>2.89070500183105</v>
      </c>
      <c r="F2171">
        <v>9</v>
      </c>
    </row>
    <row r="2172" spans="1:6">
      <c r="A2172" t="s">
        <v>46</v>
      </c>
      <c r="B2172">
        <v>2022</v>
      </c>
      <c r="C2172" t="s">
        <v>888</v>
      </c>
      <c r="D2172" t="s">
        <v>838</v>
      </c>
      <c r="E2172">
        <v>3.76622129821777</v>
      </c>
      <c r="F2172">
        <v>9</v>
      </c>
    </row>
    <row r="2173" spans="1:6">
      <c r="A2173" t="s">
        <v>213</v>
      </c>
      <c r="B2173">
        <v>2015</v>
      </c>
      <c r="C2173" t="s">
        <v>880</v>
      </c>
      <c r="E2173">
        <v>0.756951446533203</v>
      </c>
      <c r="F2173">
        <v>2</v>
      </c>
    </row>
    <row r="2174" spans="1:6">
      <c r="A2174" t="s">
        <v>211</v>
      </c>
      <c r="B2174">
        <v>2023</v>
      </c>
      <c r="C2174" t="s">
        <v>884</v>
      </c>
      <c r="E2174">
        <v>2.86328149986267</v>
      </c>
      <c r="F2174">
        <v>6</v>
      </c>
    </row>
    <row r="2175" spans="1:6">
      <c r="A2175" t="s">
        <v>318</v>
      </c>
      <c r="B2175">
        <v>2019</v>
      </c>
      <c r="C2175" t="s">
        <v>840</v>
      </c>
      <c r="E2175">
        <v>1.15827087402344</v>
      </c>
      <c r="F2175">
        <v>5</v>
      </c>
    </row>
    <row r="2176" spans="1:6">
      <c r="A2176" t="s">
        <v>428</v>
      </c>
      <c r="B2176">
        <v>2018</v>
      </c>
      <c r="C2176" t="s">
        <v>880</v>
      </c>
      <c r="E2176">
        <v>0.0183599853515625</v>
      </c>
      <c r="F2176">
        <v>1</v>
      </c>
    </row>
    <row r="2177" spans="1:6">
      <c r="A2177" t="s">
        <v>417</v>
      </c>
      <c r="B2177">
        <v>2016</v>
      </c>
      <c r="C2177" t="s">
        <v>884</v>
      </c>
      <c r="E2177">
        <v>0.455694978237152</v>
      </c>
      <c r="F2177">
        <v>2</v>
      </c>
    </row>
    <row r="2178" spans="1:6">
      <c r="A2178" t="s">
        <v>451</v>
      </c>
      <c r="B2178">
        <v>2016</v>
      </c>
      <c r="C2178" t="s">
        <v>883</v>
      </c>
      <c r="E2178">
        <v>0.002</v>
      </c>
      <c r="F2178">
        <v>1</v>
      </c>
    </row>
    <row r="2179" spans="1:6">
      <c r="A2179" t="s">
        <v>423</v>
      </c>
      <c r="B2179">
        <v>2015</v>
      </c>
      <c r="C2179" t="s">
        <v>892</v>
      </c>
      <c r="E2179">
        <v>0.457648986816406</v>
      </c>
      <c r="F2179">
        <v>1</v>
      </c>
    </row>
    <row r="2180" spans="1:6">
      <c r="A2180" t="s">
        <v>409</v>
      </c>
      <c r="B2180">
        <v>2021</v>
      </c>
      <c r="C2180" t="s">
        <v>840</v>
      </c>
      <c r="E2180">
        <v>51.8955351648331</v>
      </c>
      <c r="F2180">
        <v>63</v>
      </c>
    </row>
    <row r="2181" spans="1:6">
      <c r="A2181" t="s">
        <v>46</v>
      </c>
      <c r="B2181">
        <v>2017</v>
      </c>
      <c r="C2181" t="s">
        <v>888</v>
      </c>
      <c r="D2181" t="s">
        <v>838</v>
      </c>
      <c r="E2181">
        <v>3.18083856868744</v>
      </c>
      <c r="F2181">
        <v>12</v>
      </c>
    </row>
    <row r="2182" spans="1:6">
      <c r="A2182" t="s">
        <v>633</v>
      </c>
      <c r="B2182">
        <v>2017</v>
      </c>
      <c r="C2182" t="s">
        <v>892</v>
      </c>
      <c r="E2182">
        <v>0.08699999999999999</v>
      </c>
      <c r="F2182">
        <v>1</v>
      </c>
    </row>
    <row r="2183" spans="1:6">
      <c r="A2183" t="s">
        <v>626</v>
      </c>
      <c r="B2183">
        <v>2017</v>
      </c>
      <c r="C2183" t="s">
        <v>880</v>
      </c>
      <c r="E2183">
        <v>0.06428111267089839</v>
      </c>
      <c r="F2183">
        <v>2</v>
      </c>
    </row>
    <row r="2184" spans="1:6">
      <c r="A2184" t="s">
        <v>298</v>
      </c>
      <c r="B2184">
        <v>2020</v>
      </c>
      <c r="C2184" t="s">
        <v>840</v>
      </c>
      <c r="E2184">
        <v>0.494140203475952</v>
      </c>
      <c r="F2184">
        <v>2</v>
      </c>
    </row>
    <row r="2185" spans="1:6">
      <c r="A2185" t="s">
        <v>386</v>
      </c>
      <c r="B2185">
        <v>2019</v>
      </c>
      <c r="C2185" t="s">
        <v>885</v>
      </c>
      <c r="E2185">
        <v>0.821464141845703</v>
      </c>
      <c r="F2185">
        <v>3</v>
      </c>
    </row>
    <row r="2186" spans="1:6">
      <c r="A2186" t="s">
        <v>428</v>
      </c>
      <c r="B2186">
        <v>2016</v>
      </c>
      <c r="C2186" t="s">
        <v>880</v>
      </c>
      <c r="E2186">
        <v>0.156630355685949</v>
      </c>
      <c r="F2186">
        <v>3</v>
      </c>
    </row>
    <row r="2187" spans="1:6">
      <c r="A2187" t="s">
        <v>447</v>
      </c>
      <c r="B2187">
        <v>2017</v>
      </c>
      <c r="C2187" t="s">
        <v>879</v>
      </c>
      <c r="E2187">
        <v>0.01</v>
      </c>
      <c r="F2187">
        <v>1</v>
      </c>
    </row>
    <row r="2188" spans="1:6">
      <c r="A2188" t="s">
        <v>452</v>
      </c>
      <c r="B2188">
        <v>2019</v>
      </c>
      <c r="C2188" t="s">
        <v>883</v>
      </c>
      <c r="E2188">
        <v>0.255322337627411</v>
      </c>
      <c r="F2188">
        <v>4</v>
      </c>
    </row>
    <row r="2189" spans="1:6">
      <c r="A2189" t="s">
        <v>460</v>
      </c>
      <c r="B2189">
        <v>2015</v>
      </c>
      <c r="C2189" t="s">
        <v>893</v>
      </c>
      <c r="E2189">
        <v>0.403458396911621</v>
      </c>
      <c r="F2189">
        <v>3</v>
      </c>
    </row>
    <row r="2190" spans="1:6">
      <c r="A2190" t="s">
        <v>408</v>
      </c>
      <c r="B2190">
        <v>2020</v>
      </c>
      <c r="C2190" t="s">
        <v>839</v>
      </c>
      <c r="E2190">
        <v>7.2149595208168</v>
      </c>
      <c r="F2190">
        <v>17</v>
      </c>
    </row>
    <row r="2191" spans="1:6">
      <c r="A2191" t="s">
        <v>56</v>
      </c>
      <c r="B2191">
        <v>2023</v>
      </c>
      <c r="C2191" t="s">
        <v>903</v>
      </c>
      <c r="E2191">
        <v>50</v>
      </c>
      <c r="F2191">
        <v>50</v>
      </c>
    </row>
    <row r="2192" spans="1:6">
      <c r="A2192" t="s">
        <v>59</v>
      </c>
      <c r="B2192">
        <v>2016</v>
      </c>
      <c r="C2192" t="s">
        <v>840</v>
      </c>
      <c r="E2192">
        <v>428</v>
      </c>
      <c r="F2192">
        <v>85</v>
      </c>
    </row>
    <row r="2193" spans="1:6">
      <c r="A2193" t="s">
        <v>85</v>
      </c>
      <c r="B2193">
        <v>2017</v>
      </c>
      <c r="C2193" t="s">
        <v>895</v>
      </c>
      <c r="E2193">
        <v>1.52271535873413</v>
      </c>
      <c r="F2193">
        <v>8</v>
      </c>
    </row>
    <row r="2194" spans="1:6">
      <c r="A2194" t="s">
        <v>138</v>
      </c>
      <c r="B2194">
        <v>2016</v>
      </c>
      <c r="C2194" t="s">
        <v>879</v>
      </c>
      <c r="E2194">
        <v>8</v>
      </c>
      <c r="F2194">
        <v>6</v>
      </c>
    </row>
    <row r="2195" spans="1:6">
      <c r="A2195" t="s">
        <v>204</v>
      </c>
      <c r="B2195">
        <v>2022</v>
      </c>
      <c r="C2195" t="s">
        <v>881</v>
      </c>
      <c r="D2195" t="s">
        <v>883</v>
      </c>
      <c r="E2195">
        <v>0.972150522232056</v>
      </c>
      <c r="F2195">
        <v>5</v>
      </c>
    </row>
    <row r="2196" spans="1:6">
      <c r="A2196" t="s">
        <v>174</v>
      </c>
      <c r="B2196">
        <v>2019</v>
      </c>
      <c r="C2196" t="s">
        <v>895</v>
      </c>
      <c r="D2196" t="s">
        <v>884</v>
      </c>
      <c r="E2196">
        <v>1.53680648803711</v>
      </c>
      <c r="F2196">
        <v>8</v>
      </c>
    </row>
    <row r="2197" spans="1:6">
      <c r="A2197" t="s">
        <v>179</v>
      </c>
      <c r="B2197">
        <v>2019</v>
      </c>
      <c r="C2197" t="s">
        <v>895</v>
      </c>
      <c r="D2197" t="s">
        <v>879</v>
      </c>
      <c r="E2197">
        <v>0.263623970031738</v>
      </c>
      <c r="F2197">
        <v>2</v>
      </c>
    </row>
    <row r="2198" spans="1:6">
      <c r="A2198" t="s">
        <v>208</v>
      </c>
      <c r="B2198">
        <v>2024</v>
      </c>
      <c r="C2198" t="s">
        <v>838</v>
      </c>
      <c r="E2198">
        <v>0.543671041488647</v>
      </c>
      <c r="F2198">
        <v>5</v>
      </c>
    </row>
    <row r="2199" spans="1:6">
      <c r="A2199" t="s">
        <v>35</v>
      </c>
      <c r="B2199">
        <v>2023</v>
      </c>
      <c r="C2199" t="s">
        <v>878</v>
      </c>
      <c r="D2199" t="s">
        <v>840</v>
      </c>
      <c r="E2199">
        <v>2.43985993289948</v>
      </c>
      <c r="F2199">
        <v>12</v>
      </c>
    </row>
    <row r="2200" spans="1:6">
      <c r="A2200" t="s">
        <v>595</v>
      </c>
      <c r="B2200">
        <v>2020</v>
      </c>
      <c r="C2200" t="s">
        <v>890</v>
      </c>
      <c r="E2200">
        <v>0.937724792480469</v>
      </c>
      <c r="F2200">
        <v>1</v>
      </c>
    </row>
    <row r="2201" spans="1:6">
      <c r="A2201" t="s">
        <v>308</v>
      </c>
      <c r="B2201">
        <v>2017</v>
      </c>
      <c r="C2201" t="s">
        <v>840</v>
      </c>
      <c r="E2201">
        <v>2.29385552978516</v>
      </c>
      <c r="F2201">
        <v>4</v>
      </c>
    </row>
    <row r="2202" spans="1:6">
      <c r="A2202" t="s">
        <v>419</v>
      </c>
      <c r="B2202">
        <v>2021</v>
      </c>
      <c r="C2202" t="s">
        <v>892</v>
      </c>
      <c r="E2202">
        <v>5.43575875893235</v>
      </c>
      <c r="F2202">
        <v>34</v>
      </c>
    </row>
    <row r="2203" spans="1:6">
      <c r="A2203" t="s">
        <v>449</v>
      </c>
      <c r="B2203">
        <v>2022</v>
      </c>
      <c r="C2203" t="s">
        <v>883</v>
      </c>
      <c r="E2203">
        <v>0.531116372823715</v>
      </c>
      <c r="F2203">
        <v>18</v>
      </c>
    </row>
    <row r="2204" spans="1:6">
      <c r="A2204" t="s">
        <v>378</v>
      </c>
      <c r="B2204">
        <v>2015</v>
      </c>
      <c r="C2204" t="s">
        <v>891</v>
      </c>
      <c r="E2204">
        <v>0.727902636796236</v>
      </c>
      <c r="F2204">
        <v>19</v>
      </c>
    </row>
    <row r="2205" spans="1:6">
      <c r="A2205" t="s">
        <v>56</v>
      </c>
      <c r="B2205">
        <v>2022</v>
      </c>
      <c r="C2205" t="s">
        <v>903</v>
      </c>
      <c r="E2205">
        <v>80</v>
      </c>
      <c r="F2205">
        <v>80</v>
      </c>
    </row>
    <row r="2206" spans="1:6">
      <c r="A2206" t="s">
        <v>84</v>
      </c>
      <c r="B2206">
        <v>2019</v>
      </c>
      <c r="C2206" t="s">
        <v>895</v>
      </c>
      <c r="E2206">
        <v>0.634521089553833</v>
      </c>
      <c r="F2206">
        <v>6</v>
      </c>
    </row>
    <row r="2207" spans="1:6">
      <c r="A2207" t="s">
        <v>85</v>
      </c>
      <c r="B2207">
        <v>2023</v>
      </c>
      <c r="C2207" t="s">
        <v>895</v>
      </c>
      <c r="E2207">
        <v>0.3461005859375</v>
      </c>
      <c r="F2207">
        <v>1</v>
      </c>
    </row>
    <row r="2208" spans="1:6">
      <c r="A2208" t="s">
        <v>117</v>
      </c>
      <c r="B2208">
        <v>2018</v>
      </c>
      <c r="C2208" t="s">
        <v>873</v>
      </c>
      <c r="E2208">
        <v>9</v>
      </c>
      <c r="F2208">
        <v>5</v>
      </c>
    </row>
    <row r="2209" spans="1:6">
      <c r="A2209" t="s">
        <v>152</v>
      </c>
      <c r="B2209">
        <v>2016</v>
      </c>
      <c r="C2209" t="s">
        <v>880</v>
      </c>
      <c r="E2209">
        <v>10.5757467465401</v>
      </c>
      <c r="F2209">
        <v>32</v>
      </c>
    </row>
    <row r="2210" spans="1:6">
      <c r="A2210" t="s">
        <v>203</v>
      </c>
      <c r="B2210">
        <v>2019</v>
      </c>
      <c r="C2210" t="s">
        <v>881</v>
      </c>
      <c r="D2210" t="s">
        <v>879</v>
      </c>
      <c r="E2210">
        <v>0.151740165710449</v>
      </c>
      <c r="F2210">
        <v>3</v>
      </c>
    </row>
    <row r="2211" spans="1:6">
      <c r="A2211" t="s">
        <v>180</v>
      </c>
      <c r="B2211">
        <v>2024</v>
      </c>
      <c r="C2211" t="s">
        <v>895</v>
      </c>
      <c r="D2211" t="s">
        <v>883</v>
      </c>
      <c r="E2211">
        <v>0.09</v>
      </c>
      <c r="F2211">
        <v>1</v>
      </c>
    </row>
    <row r="2212" spans="1:6">
      <c r="A2212" t="s">
        <v>189</v>
      </c>
      <c r="B2212">
        <v>2022</v>
      </c>
      <c r="C2212" t="s">
        <v>878</v>
      </c>
      <c r="D2212" t="s">
        <v>893</v>
      </c>
      <c r="E2212">
        <v>5.20603346061707</v>
      </c>
      <c r="F2212">
        <v>13</v>
      </c>
    </row>
    <row r="2213" spans="1:6">
      <c r="A2213" t="s">
        <v>25</v>
      </c>
      <c r="B2213">
        <v>2016</v>
      </c>
      <c r="C2213" t="s">
        <v>882</v>
      </c>
      <c r="D2213" t="s">
        <v>840</v>
      </c>
      <c r="E2213">
        <v>15.3881847466826</v>
      </c>
      <c r="F2213">
        <v>38</v>
      </c>
    </row>
    <row r="2214" spans="1:6">
      <c r="A2214" t="s">
        <v>45</v>
      </c>
      <c r="B2214">
        <v>2017</v>
      </c>
      <c r="C2214" t="s">
        <v>888</v>
      </c>
      <c r="D2214" t="s">
        <v>840</v>
      </c>
      <c r="E2214">
        <v>4.2775640501976</v>
      </c>
      <c r="F2214">
        <v>15</v>
      </c>
    </row>
    <row r="2215" spans="1:6">
      <c r="A2215" t="s">
        <v>592</v>
      </c>
      <c r="B2215">
        <v>2022</v>
      </c>
      <c r="C2215" t="s">
        <v>884</v>
      </c>
      <c r="E2215">
        <v>1.37696379852295</v>
      </c>
      <c r="F2215">
        <v>4</v>
      </c>
    </row>
    <row r="2216" spans="1:6">
      <c r="A2216" t="s">
        <v>299</v>
      </c>
      <c r="B2216">
        <v>2018</v>
      </c>
      <c r="C2216" t="s">
        <v>838</v>
      </c>
      <c r="E2216">
        <v>0.362828277587891</v>
      </c>
      <c r="F2216">
        <v>2</v>
      </c>
    </row>
    <row r="2217" spans="1:6">
      <c r="A2217" t="s">
        <v>430</v>
      </c>
      <c r="B2217">
        <v>2020</v>
      </c>
      <c r="C2217" t="s">
        <v>880</v>
      </c>
      <c r="E2217">
        <v>0.117117752075195</v>
      </c>
      <c r="F2217">
        <v>3</v>
      </c>
    </row>
    <row r="2218" spans="1:6">
      <c r="A2218" t="s">
        <v>422</v>
      </c>
      <c r="B2218">
        <v>2016</v>
      </c>
      <c r="C2218" t="s">
        <v>892</v>
      </c>
      <c r="E2218">
        <v>0.792389101982117</v>
      </c>
      <c r="F2218">
        <v>8</v>
      </c>
    </row>
    <row r="2219" spans="1:6">
      <c r="A2219" t="s">
        <v>9</v>
      </c>
      <c r="B2219">
        <v>2020</v>
      </c>
      <c r="C2219" t="s">
        <v>886</v>
      </c>
      <c r="E2219">
        <v>21.3129171142578</v>
      </c>
      <c r="F2219">
        <v>11</v>
      </c>
    </row>
    <row r="2220" spans="1:6">
      <c r="A2220" t="s">
        <v>16</v>
      </c>
      <c r="B2220">
        <v>2024</v>
      </c>
      <c r="C2220" t="s">
        <v>909</v>
      </c>
      <c r="E2220">
        <v>0.194485168457031</v>
      </c>
      <c r="F2220">
        <v>2</v>
      </c>
    </row>
    <row r="2221" spans="1:6">
      <c r="A2221" t="s">
        <v>16</v>
      </c>
      <c r="B2221">
        <v>2022</v>
      </c>
      <c r="C2221" t="s">
        <v>909</v>
      </c>
      <c r="E2221">
        <v>17.2572841472626</v>
      </c>
      <c r="F2221">
        <v>26</v>
      </c>
    </row>
    <row r="2222" spans="1:6">
      <c r="A2222" t="s">
        <v>67</v>
      </c>
      <c r="B2222">
        <v>2023</v>
      </c>
      <c r="C2222" t="s">
        <v>904</v>
      </c>
      <c r="E2222">
        <v>107</v>
      </c>
      <c r="F2222">
        <v>27</v>
      </c>
    </row>
    <row r="2223" spans="1:6">
      <c r="A2223" t="s">
        <v>49</v>
      </c>
      <c r="B2223">
        <v>2021</v>
      </c>
      <c r="C2223" t="s">
        <v>896</v>
      </c>
      <c r="E2223">
        <v>28</v>
      </c>
      <c r="F2223">
        <v>28</v>
      </c>
    </row>
    <row r="2224" spans="1:6">
      <c r="A2224" t="s">
        <v>7</v>
      </c>
      <c r="B2224">
        <v>2019</v>
      </c>
      <c r="C2224" t="s">
        <v>840</v>
      </c>
      <c r="E2224">
        <v>73.341725353241</v>
      </c>
      <c r="F2224">
        <v>85</v>
      </c>
    </row>
    <row r="2225" spans="1:6">
      <c r="A2225" t="s">
        <v>81</v>
      </c>
      <c r="B2225">
        <v>2016</v>
      </c>
      <c r="C2225" t="s">
        <v>874</v>
      </c>
      <c r="E2225">
        <v>2.9407460899353</v>
      </c>
      <c r="F2225">
        <v>5</v>
      </c>
    </row>
    <row r="2226" spans="1:6">
      <c r="A2226" t="s">
        <v>103</v>
      </c>
      <c r="B2226">
        <v>2015</v>
      </c>
      <c r="C2226" t="s">
        <v>888</v>
      </c>
      <c r="E2226">
        <v>8.880569129943851</v>
      </c>
      <c r="F2226">
        <v>12</v>
      </c>
    </row>
    <row r="2227" spans="1:6">
      <c r="A2227" t="s">
        <v>114</v>
      </c>
      <c r="B2227">
        <v>2019</v>
      </c>
      <c r="C2227" t="s">
        <v>873</v>
      </c>
      <c r="E2227">
        <v>70</v>
      </c>
      <c r="F2227">
        <v>38</v>
      </c>
    </row>
    <row r="2228" spans="1:6">
      <c r="A2228" t="s">
        <v>133</v>
      </c>
      <c r="B2228">
        <v>2019</v>
      </c>
      <c r="C2228" t="s">
        <v>878</v>
      </c>
      <c r="E2228">
        <v>54</v>
      </c>
      <c r="F2228">
        <v>24</v>
      </c>
    </row>
    <row r="2229" spans="1:6">
      <c r="A2229" t="s">
        <v>168</v>
      </c>
      <c r="B2229">
        <v>2022</v>
      </c>
      <c r="C2229" t="s">
        <v>874</v>
      </c>
      <c r="D2229" t="s">
        <v>880</v>
      </c>
      <c r="E2229">
        <v>2.98052454566956</v>
      </c>
      <c r="F2229">
        <v>8</v>
      </c>
    </row>
    <row r="2230" spans="1:6">
      <c r="A2230" t="s">
        <v>210</v>
      </c>
      <c r="B2230">
        <v>2017</v>
      </c>
      <c r="C2230" t="s">
        <v>898</v>
      </c>
      <c r="E2230">
        <v>0.70203099155426</v>
      </c>
      <c r="F2230">
        <v>6</v>
      </c>
    </row>
    <row r="2231" spans="1:6">
      <c r="A2231" t="s">
        <v>36</v>
      </c>
      <c r="B2231">
        <v>2022</v>
      </c>
      <c r="C2231" t="s">
        <v>878</v>
      </c>
      <c r="D2231" t="s">
        <v>838</v>
      </c>
      <c r="E2231">
        <v>2.78501681613922</v>
      </c>
      <c r="F2231">
        <v>11</v>
      </c>
    </row>
    <row r="2232" spans="1:6">
      <c r="A2232" t="s">
        <v>146</v>
      </c>
      <c r="B2232">
        <v>2021</v>
      </c>
      <c r="C2232" t="s">
        <v>888</v>
      </c>
      <c r="E2232">
        <v>18</v>
      </c>
      <c r="F2232">
        <v>10</v>
      </c>
    </row>
    <row r="2233" spans="1:6">
      <c r="A2233" t="s">
        <v>128</v>
      </c>
      <c r="B2233">
        <v>2016</v>
      </c>
      <c r="C2233" t="s">
        <v>895</v>
      </c>
      <c r="E2233">
        <v>2</v>
      </c>
      <c r="F2233">
        <v>2</v>
      </c>
    </row>
    <row r="2234" spans="1:6">
      <c r="A2234" t="s">
        <v>157</v>
      </c>
      <c r="B2234">
        <v>2019</v>
      </c>
      <c r="C2234" t="s">
        <v>893</v>
      </c>
      <c r="E2234">
        <v>28.7972500467598</v>
      </c>
      <c r="F2234">
        <v>64</v>
      </c>
    </row>
    <row r="2235" spans="1:6">
      <c r="A2235" t="s">
        <v>175</v>
      </c>
      <c r="B2235">
        <v>2018</v>
      </c>
      <c r="C2235" t="s">
        <v>895</v>
      </c>
      <c r="D2235" t="s">
        <v>892</v>
      </c>
      <c r="E2235">
        <v>1.35957044410706</v>
      </c>
      <c r="F2235">
        <v>3</v>
      </c>
    </row>
    <row r="2236" spans="1:6">
      <c r="A2236" t="s">
        <v>166</v>
      </c>
      <c r="B2236">
        <v>2020</v>
      </c>
      <c r="C2236" t="s">
        <v>874</v>
      </c>
      <c r="D2236" t="s">
        <v>884</v>
      </c>
      <c r="E2236">
        <v>5.74294264411926</v>
      </c>
      <c r="F2236">
        <v>20</v>
      </c>
    </row>
    <row r="2237" spans="1:6">
      <c r="A2237" t="s">
        <v>209</v>
      </c>
      <c r="B2237">
        <v>2016</v>
      </c>
      <c r="C2237" t="s">
        <v>841</v>
      </c>
      <c r="E2237">
        <v>0.240823082923889</v>
      </c>
      <c r="F2237">
        <v>5</v>
      </c>
    </row>
    <row r="2238" spans="1:6">
      <c r="A2238" t="s">
        <v>40</v>
      </c>
      <c r="B2238">
        <v>2018</v>
      </c>
      <c r="C2238" t="s">
        <v>879</v>
      </c>
      <c r="D2238" t="s">
        <v>840</v>
      </c>
      <c r="E2238">
        <v>3.41147392272949</v>
      </c>
      <c r="F2238">
        <v>5</v>
      </c>
    </row>
    <row r="2239" spans="1:6">
      <c r="A2239" t="s">
        <v>21</v>
      </c>
      <c r="B2239">
        <v>2021</v>
      </c>
      <c r="C2239" t="s">
        <v>873</v>
      </c>
      <c r="D2239" t="s">
        <v>838</v>
      </c>
      <c r="E2239">
        <v>43.1403897769451</v>
      </c>
      <c r="F2239">
        <v>38</v>
      </c>
    </row>
    <row r="2240" spans="1:6">
      <c r="A2240" t="s">
        <v>221</v>
      </c>
      <c r="B2240">
        <v>2022</v>
      </c>
      <c r="C2240" t="s">
        <v>885</v>
      </c>
      <c r="E2240">
        <v>0.711264892578125</v>
      </c>
      <c r="F2240">
        <v>1</v>
      </c>
    </row>
    <row r="2241" spans="1:6">
      <c r="A2241" t="s">
        <v>379</v>
      </c>
      <c r="B2241">
        <v>2020</v>
      </c>
      <c r="C2241" t="s">
        <v>879</v>
      </c>
      <c r="E2241">
        <v>1.15089181816578</v>
      </c>
      <c r="F2241">
        <v>15</v>
      </c>
    </row>
    <row r="2242" spans="1:6">
      <c r="A2242" t="s">
        <v>434</v>
      </c>
      <c r="B2242">
        <v>2022</v>
      </c>
      <c r="C2242" t="s">
        <v>890</v>
      </c>
      <c r="E2242">
        <v>0.214983413696289</v>
      </c>
      <c r="F2242">
        <v>1</v>
      </c>
    </row>
    <row r="2243" spans="1:6">
      <c r="A2243" t="s">
        <v>438</v>
      </c>
      <c r="B2243">
        <v>2022</v>
      </c>
      <c r="C2243" t="s">
        <v>891</v>
      </c>
      <c r="E2243">
        <v>0.06900000000000001</v>
      </c>
      <c r="F2243">
        <v>1</v>
      </c>
    </row>
    <row r="2244" spans="1:6">
      <c r="A2244" t="s">
        <v>450</v>
      </c>
      <c r="B2244">
        <v>2023</v>
      </c>
      <c r="C2244" t="s">
        <v>883</v>
      </c>
      <c r="E2244">
        <v>0.058</v>
      </c>
      <c r="F2244">
        <v>1</v>
      </c>
    </row>
    <row r="2245" spans="1:6">
      <c r="A2245" t="s">
        <v>438</v>
      </c>
      <c r="B2245">
        <v>2015</v>
      </c>
      <c r="C2245" t="s">
        <v>891</v>
      </c>
      <c r="E2245">
        <v>0.205</v>
      </c>
      <c r="F2245">
        <v>2</v>
      </c>
    </row>
    <row r="2246" spans="1:6">
      <c r="A2246" t="s">
        <v>609</v>
      </c>
      <c r="B2246">
        <v>2015</v>
      </c>
      <c r="C2246" t="s">
        <v>892</v>
      </c>
      <c r="E2246">
        <v>0.237977478027344</v>
      </c>
      <c r="F2246">
        <v>1</v>
      </c>
    </row>
    <row r="2247" spans="1:6">
      <c r="A2247" t="s">
        <v>611</v>
      </c>
      <c r="B2247">
        <v>2018</v>
      </c>
      <c r="C2247" t="s">
        <v>890</v>
      </c>
      <c r="E2247">
        <v>1.04914196777344</v>
      </c>
      <c r="F2247">
        <v>1</v>
      </c>
    </row>
    <row r="2248" spans="1:6">
      <c r="A2248" t="s">
        <v>298</v>
      </c>
      <c r="B2248">
        <v>2017</v>
      </c>
      <c r="C2248" t="s">
        <v>840</v>
      </c>
      <c r="E2248">
        <v>1.58196016693115</v>
      </c>
      <c r="F2248">
        <v>5</v>
      </c>
    </row>
    <row r="2249" spans="1:6">
      <c r="A2249" t="s">
        <v>378</v>
      </c>
      <c r="B2249">
        <v>2024</v>
      </c>
      <c r="C2249" t="s">
        <v>891</v>
      </c>
      <c r="E2249">
        <v>0.2</v>
      </c>
      <c r="F2249">
        <v>1</v>
      </c>
    </row>
    <row r="2250" spans="1:6">
      <c r="A2250" t="s">
        <v>36</v>
      </c>
      <c r="B2250">
        <v>2020</v>
      </c>
      <c r="C2250" t="s">
        <v>878</v>
      </c>
      <c r="D2250" t="s">
        <v>838</v>
      </c>
      <c r="E2250">
        <v>0.934183990478516</v>
      </c>
      <c r="F2250">
        <v>11</v>
      </c>
    </row>
    <row r="2251" spans="1:6">
      <c r="A2251" t="s">
        <v>40</v>
      </c>
      <c r="B2251">
        <v>2020</v>
      </c>
      <c r="C2251" t="s">
        <v>879</v>
      </c>
      <c r="D2251" t="s">
        <v>840</v>
      </c>
      <c r="E2251">
        <v>3.65702253723145</v>
      </c>
      <c r="F2251">
        <v>4</v>
      </c>
    </row>
    <row r="2252" spans="1:6">
      <c r="A2252" t="s">
        <v>212</v>
      </c>
      <c r="B2252">
        <v>2015</v>
      </c>
      <c r="C2252" t="s">
        <v>892</v>
      </c>
      <c r="E2252">
        <v>0.354823079109192</v>
      </c>
      <c r="F2252">
        <v>5</v>
      </c>
    </row>
    <row r="2253" spans="1:6">
      <c r="A2253" t="s">
        <v>625</v>
      </c>
      <c r="B2253">
        <v>2019</v>
      </c>
      <c r="C2253" t="s">
        <v>892</v>
      </c>
      <c r="E2253">
        <v>0.103039813995361</v>
      </c>
      <c r="F2253">
        <v>3</v>
      </c>
    </row>
    <row r="2254" spans="1:6">
      <c r="A2254" t="s">
        <v>625</v>
      </c>
      <c r="B2254">
        <v>2023</v>
      </c>
      <c r="C2254" t="s">
        <v>892</v>
      </c>
      <c r="E2254">
        <v>0.00453046274185181</v>
      </c>
      <c r="F2254">
        <v>1</v>
      </c>
    </row>
    <row r="2255" spans="1:6">
      <c r="A2255" t="s">
        <v>420</v>
      </c>
      <c r="B2255">
        <v>2015</v>
      </c>
      <c r="C2255" t="s">
        <v>892</v>
      </c>
      <c r="E2255">
        <v>3.84484683990479</v>
      </c>
      <c r="F2255">
        <v>16</v>
      </c>
    </row>
    <row r="2256" spans="1:6">
      <c r="A2256" t="s">
        <v>432</v>
      </c>
      <c r="B2256">
        <v>2018</v>
      </c>
      <c r="C2256" t="s">
        <v>890</v>
      </c>
      <c r="E2256">
        <v>0.327856872558594</v>
      </c>
      <c r="F2256">
        <v>1</v>
      </c>
    </row>
    <row r="2257" spans="1:6">
      <c r="A2257" t="s">
        <v>18</v>
      </c>
      <c r="B2257">
        <v>2018</v>
      </c>
      <c r="C2257" t="s">
        <v>888</v>
      </c>
      <c r="E2257">
        <v>22.0864956188202</v>
      </c>
      <c r="F2257">
        <v>22</v>
      </c>
    </row>
    <row r="2258" spans="1:6">
      <c r="A2258" t="s">
        <v>14</v>
      </c>
      <c r="B2258">
        <v>2024</v>
      </c>
      <c r="C2258" t="s">
        <v>904</v>
      </c>
      <c r="E2258">
        <v>0.940057373046875</v>
      </c>
      <c r="F2258">
        <v>3</v>
      </c>
    </row>
    <row r="2259" spans="1:6">
      <c r="A2259" t="s">
        <v>15</v>
      </c>
      <c r="B2259">
        <v>2018</v>
      </c>
      <c r="C2259" t="s">
        <v>895</v>
      </c>
      <c r="E2259">
        <v>7.51538654136658</v>
      </c>
      <c r="F2259">
        <v>14</v>
      </c>
    </row>
    <row r="2260" spans="1:6">
      <c r="A2260" t="s">
        <v>55</v>
      </c>
      <c r="B2260">
        <v>2019</v>
      </c>
      <c r="C2260" t="s">
        <v>876</v>
      </c>
      <c r="E2260">
        <v>11</v>
      </c>
      <c r="F2260">
        <v>11</v>
      </c>
    </row>
    <row r="2261" spans="1:6">
      <c r="A2261" t="s">
        <v>60</v>
      </c>
      <c r="B2261">
        <v>2018</v>
      </c>
      <c r="C2261" t="s">
        <v>838</v>
      </c>
      <c r="E2261">
        <v>226</v>
      </c>
      <c r="F2261">
        <v>47</v>
      </c>
    </row>
    <row r="2262" spans="1:6">
      <c r="A2262" t="s">
        <v>74</v>
      </c>
      <c r="B2262">
        <v>2021</v>
      </c>
      <c r="C2262" t="s">
        <v>873</v>
      </c>
      <c r="E2262">
        <v>37.2515963897705</v>
      </c>
      <c r="F2262">
        <v>27</v>
      </c>
    </row>
    <row r="2263" spans="1:6">
      <c r="A2263" t="s">
        <v>86</v>
      </c>
      <c r="B2263">
        <v>2015</v>
      </c>
      <c r="C2263" t="s">
        <v>895</v>
      </c>
      <c r="E2263">
        <v>0.137376823425293</v>
      </c>
      <c r="F2263">
        <v>2</v>
      </c>
    </row>
    <row r="2264" spans="1:6">
      <c r="A2264" t="s">
        <v>124</v>
      </c>
      <c r="B2264">
        <v>2021</v>
      </c>
      <c r="C2264" t="s">
        <v>874</v>
      </c>
      <c r="E2264">
        <v>1</v>
      </c>
      <c r="F2264">
        <v>1</v>
      </c>
    </row>
    <row r="2265" spans="1:6">
      <c r="A2265" t="s">
        <v>150</v>
      </c>
      <c r="B2265">
        <v>2022</v>
      </c>
      <c r="C2265" t="s">
        <v>884</v>
      </c>
      <c r="E2265">
        <v>49.1279384784699</v>
      </c>
      <c r="F2265">
        <v>75</v>
      </c>
    </row>
    <row r="2266" spans="1:6">
      <c r="A2266" t="s">
        <v>165</v>
      </c>
      <c r="B2266">
        <v>2019</v>
      </c>
      <c r="C2266" t="s">
        <v>887</v>
      </c>
      <c r="D2266" t="s">
        <v>893</v>
      </c>
      <c r="E2266">
        <v>17.0417735405266</v>
      </c>
      <c r="F2266">
        <v>54</v>
      </c>
    </row>
    <row r="2267" spans="1:6">
      <c r="A2267" t="s">
        <v>198</v>
      </c>
      <c r="B2267">
        <v>2023</v>
      </c>
      <c r="C2267" t="s">
        <v>881</v>
      </c>
      <c r="D2267" t="s">
        <v>884</v>
      </c>
      <c r="E2267">
        <v>3.90036807727814</v>
      </c>
      <c r="F2267">
        <v>8</v>
      </c>
    </row>
    <row r="2268" spans="1:6">
      <c r="A2268" t="s">
        <v>24</v>
      </c>
      <c r="B2268">
        <v>2018</v>
      </c>
      <c r="C2268" t="s">
        <v>882</v>
      </c>
      <c r="D2268" t="s">
        <v>839</v>
      </c>
      <c r="E2268">
        <v>5.5753303604126</v>
      </c>
      <c r="F2268">
        <v>20</v>
      </c>
    </row>
    <row r="2269" spans="1:6">
      <c r="A2269" t="s">
        <v>41</v>
      </c>
      <c r="B2269">
        <v>2023</v>
      </c>
      <c r="C2269" t="s">
        <v>879</v>
      </c>
      <c r="D2269" t="s">
        <v>838</v>
      </c>
      <c r="E2269">
        <v>1.13311405944824</v>
      </c>
      <c r="F2269">
        <v>3</v>
      </c>
    </row>
    <row r="2270" spans="1:6">
      <c r="A2270" t="s">
        <v>616</v>
      </c>
      <c r="B2270">
        <v>2019</v>
      </c>
      <c r="C2270" t="s">
        <v>884</v>
      </c>
      <c r="E2270">
        <v>0.228</v>
      </c>
      <c r="F2270">
        <v>1</v>
      </c>
    </row>
    <row r="2271" spans="1:6">
      <c r="A2271" t="s">
        <v>218</v>
      </c>
      <c r="B2271">
        <v>2017</v>
      </c>
      <c r="C2271" t="s">
        <v>893</v>
      </c>
      <c r="E2271">
        <v>0.935965346336365</v>
      </c>
      <c r="F2271">
        <v>9</v>
      </c>
    </row>
    <row r="2272" spans="1:6">
      <c r="A2272" t="s">
        <v>227</v>
      </c>
      <c r="B2272">
        <v>2018</v>
      </c>
      <c r="C2272" t="s">
        <v>840</v>
      </c>
      <c r="E2272">
        <v>3.58224983596802</v>
      </c>
      <c r="F2272">
        <v>7</v>
      </c>
    </row>
    <row r="2273" spans="1:6">
      <c r="A2273" t="s">
        <v>424</v>
      </c>
      <c r="B2273">
        <v>2020</v>
      </c>
      <c r="C2273" t="s">
        <v>892</v>
      </c>
      <c r="E2273">
        <v>3.24837847995758</v>
      </c>
      <c r="F2273">
        <v>12</v>
      </c>
    </row>
    <row r="2274" spans="1:6">
      <c r="A2274" t="s">
        <v>458</v>
      </c>
      <c r="B2274">
        <v>2016</v>
      </c>
      <c r="C2274" t="s">
        <v>893</v>
      </c>
      <c r="E2274">
        <v>0.559793243408203</v>
      </c>
      <c r="F2274">
        <v>6</v>
      </c>
    </row>
    <row r="2275" spans="1:6">
      <c r="A2275" t="s">
        <v>424</v>
      </c>
      <c r="B2275">
        <v>2015</v>
      </c>
      <c r="C2275" t="s">
        <v>892</v>
      </c>
      <c r="E2275">
        <v>2.77331887054443</v>
      </c>
      <c r="F2275">
        <v>6</v>
      </c>
    </row>
    <row r="2276" spans="1:6">
      <c r="A2276" t="s">
        <v>384</v>
      </c>
      <c r="B2276">
        <v>2019</v>
      </c>
      <c r="C2276" t="s">
        <v>885</v>
      </c>
      <c r="E2276">
        <v>2.42769830322266</v>
      </c>
      <c r="F2276">
        <v>9</v>
      </c>
    </row>
    <row r="2277" spans="1:6">
      <c r="A2277" t="s">
        <v>50</v>
      </c>
      <c r="B2277">
        <v>2019</v>
      </c>
      <c r="C2277" t="s">
        <v>894</v>
      </c>
      <c r="E2277">
        <v>26</v>
      </c>
      <c r="F2277">
        <v>26</v>
      </c>
    </row>
    <row r="2278" spans="1:6">
      <c r="A2278" t="s">
        <v>12</v>
      </c>
      <c r="B2278">
        <v>2019</v>
      </c>
      <c r="E2278">
        <v>196.539985409737</v>
      </c>
      <c r="F2278">
        <v>125</v>
      </c>
    </row>
    <row r="2279" spans="1:6">
      <c r="A2279" t="s">
        <v>18</v>
      </c>
      <c r="B2279">
        <v>2021</v>
      </c>
      <c r="C2279" t="s">
        <v>906</v>
      </c>
      <c r="E2279">
        <v>20.9277007904053</v>
      </c>
      <c r="F2279">
        <v>23</v>
      </c>
    </row>
    <row r="2280" spans="1:6">
      <c r="A2280" t="s">
        <v>70</v>
      </c>
      <c r="B2280">
        <v>2017</v>
      </c>
      <c r="C2280" t="s">
        <v>879</v>
      </c>
      <c r="E2280">
        <v>50</v>
      </c>
      <c r="F2280">
        <v>13</v>
      </c>
    </row>
    <row r="2281" spans="1:6">
      <c r="A2281" t="s">
        <v>57</v>
      </c>
      <c r="B2281">
        <v>2020</v>
      </c>
      <c r="C2281" t="s">
        <v>910</v>
      </c>
      <c r="E2281">
        <v>64.0931172385216</v>
      </c>
      <c r="F2281">
        <v>72</v>
      </c>
    </row>
    <row r="2282" spans="1:6">
      <c r="A2282" t="s">
        <v>78</v>
      </c>
      <c r="B2282">
        <v>2021</v>
      </c>
      <c r="C2282" t="s">
        <v>874</v>
      </c>
      <c r="E2282">
        <v>5.6997180480957</v>
      </c>
      <c r="F2282">
        <v>12</v>
      </c>
    </row>
    <row r="2283" spans="1:6">
      <c r="A2283" t="s">
        <v>126</v>
      </c>
      <c r="B2283">
        <v>2018</v>
      </c>
      <c r="C2283" t="s">
        <v>895</v>
      </c>
      <c r="E2283">
        <v>20</v>
      </c>
      <c r="F2283">
        <v>5</v>
      </c>
    </row>
    <row r="2284" spans="1:6">
      <c r="A2284" t="s">
        <v>141</v>
      </c>
      <c r="B2284">
        <v>2016</v>
      </c>
      <c r="C2284" t="s">
        <v>879</v>
      </c>
      <c r="E2284">
        <v>4</v>
      </c>
      <c r="F2284">
        <v>3</v>
      </c>
    </row>
    <row r="2285" spans="1:6">
      <c r="A2285" t="s">
        <v>160</v>
      </c>
      <c r="B2285">
        <v>2019</v>
      </c>
      <c r="C2285" t="s">
        <v>887</v>
      </c>
      <c r="D2285" t="s">
        <v>880</v>
      </c>
      <c r="E2285">
        <v>6.09040079569817</v>
      </c>
      <c r="F2285">
        <v>19</v>
      </c>
    </row>
    <row r="2286" spans="1:6">
      <c r="A2286" t="s">
        <v>158</v>
      </c>
      <c r="B2286">
        <v>2021</v>
      </c>
      <c r="C2286" t="s">
        <v>887</v>
      </c>
      <c r="D2286" t="s">
        <v>884</v>
      </c>
      <c r="E2286">
        <v>39.5151903662682</v>
      </c>
      <c r="F2286">
        <v>66</v>
      </c>
    </row>
    <row r="2287" spans="1:6">
      <c r="A2287" t="s">
        <v>185</v>
      </c>
      <c r="B2287">
        <v>2019</v>
      </c>
      <c r="C2287" t="s">
        <v>878</v>
      </c>
      <c r="D2287" t="s">
        <v>890</v>
      </c>
      <c r="E2287">
        <v>0.08078593599796299</v>
      </c>
      <c r="F2287">
        <v>2</v>
      </c>
    </row>
    <row r="2288" spans="1:6">
      <c r="A2288" t="s">
        <v>210</v>
      </c>
      <c r="B2288">
        <v>2022</v>
      </c>
      <c r="C2288" t="s">
        <v>898</v>
      </c>
      <c r="E2288">
        <v>0.126185916900635</v>
      </c>
      <c r="F2288">
        <v>2</v>
      </c>
    </row>
    <row r="2289" spans="1:6">
      <c r="A2289" t="s">
        <v>26</v>
      </c>
      <c r="B2289">
        <v>2017</v>
      </c>
      <c r="C2289" t="s">
        <v>882</v>
      </c>
      <c r="D2289" t="s">
        <v>838</v>
      </c>
      <c r="E2289">
        <v>5.44710953712463</v>
      </c>
      <c r="F2289">
        <v>16</v>
      </c>
    </row>
    <row r="2290" spans="1:6">
      <c r="A2290" t="s">
        <v>31</v>
      </c>
      <c r="B2290">
        <v>2019</v>
      </c>
      <c r="C2290" t="s">
        <v>889</v>
      </c>
      <c r="D2290" t="s">
        <v>838</v>
      </c>
      <c r="E2290">
        <v>0.187523284912109</v>
      </c>
      <c r="F2290">
        <v>2</v>
      </c>
    </row>
    <row r="2291" spans="1:6">
      <c r="A2291" t="s">
        <v>213</v>
      </c>
      <c r="B2291">
        <v>2018</v>
      </c>
      <c r="C2291" t="s">
        <v>880</v>
      </c>
      <c r="E2291">
        <v>0.12239990234375</v>
      </c>
      <c r="F2291">
        <v>1</v>
      </c>
    </row>
    <row r="2292" spans="1:6">
      <c r="A2292" t="s">
        <v>298</v>
      </c>
      <c r="B2292">
        <v>2021</v>
      </c>
      <c r="C2292" t="s">
        <v>840</v>
      </c>
      <c r="E2292">
        <v>2.32225801086426</v>
      </c>
      <c r="F2292">
        <v>3</v>
      </c>
    </row>
    <row r="2293" spans="1:6">
      <c r="A2293" t="s">
        <v>384</v>
      </c>
      <c r="B2293">
        <v>2020</v>
      </c>
      <c r="C2293" t="s">
        <v>885</v>
      </c>
      <c r="E2293">
        <v>1.05</v>
      </c>
      <c r="F2293">
        <v>4</v>
      </c>
    </row>
    <row r="2294" spans="1:6">
      <c r="A2294" t="s">
        <v>458</v>
      </c>
      <c r="B2294">
        <v>2021</v>
      </c>
      <c r="C2294" t="s">
        <v>893</v>
      </c>
      <c r="E2294">
        <v>2.26198551940918</v>
      </c>
      <c r="F2294">
        <v>3</v>
      </c>
    </row>
    <row r="2295" spans="1:6">
      <c r="A2295" t="s">
        <v>382</v>
      </c>
      <c r="B2295">
        <v>2016</v>
      </c>
      <c r="C2295" t="s">
        <v>885</v>
      </c>
      <c r="E2295">
        <v>22.1535450248122</v>
      </c>
      <c r="F2295">
        <v>60</v>
      </c>
    </row>
    <row r="2296" spans="1:6">
      <c r="A2296" t="s">
        <v>412</v>
      </c>
      <c r="B2296">
        <v>2022</v>
      </c>
      <c r="C2296" t="s">
        <v>898</v>
      </c>
      <c r="E2296">
        <v>0.0794503936767578</v>
      </c>
      <c r="F2296">
        <v>1</v>
      </c>
    </row>
    <row r="2297" spans="1:6">
      <c r="A2297" t="s">
        <v>6</v>
      </c>
      <c r="B2297">
        <v>2019</v>
      </c>
      <c r="C2297" t="s">
        <v>839</v>
      </c>
      <c r="E2297">
        <v>29.2509624843597</v>
      </c>
      <c r="F2297">
        <v>45</v>
      </c>
    </row>
    <row r="2298" spans="1:6">
      <c r="A2298" t="s">
        <v>75</v>
      </c>
      <c r="B2298">
        <v>2018</v>
      </c>
      <c r="C2298" t="s">
        <v>873</v>
      </c>
      <c r="E2298">
        <v>1.57258965301514</v>
      </c>
      <c r="F2298">
        <v>5</v>
      </c>
    </row>
    <row r="2299" spans="1:6">
      <c r="A2299" t="s">
        <v>79</v>
      </c>
      <c r="B2299">
        <v>2024</v>
      </c>
      <c r="C2299" t="s">
        <v>874</v>
      </c>
      <c r="E2299">
        <v>0.409</v>
      </c>
      <c r="F2299">
        <v>2</v>
      </c>
    </row>
    <row r="2300" spans="1:6">
      <c r="A2300" t="s">
        <v>120</v>
      </c>
      <c r="B2300">
        <v>2023</v>
      </c>
      <c r="C2300" t="s">
        <v>874</v>
      </c>
      <c r="E2300">
        <v>47</v>
      </c>
      <c r="F2300">
        <v>10</v>
      </c>
    </row>
    <row r="2301" spans="1:6">
      <c r="A2301" t="s">
        <v>154</v>
      </c>
      <c r="B2301">
        <v>2024</v>
      </c>
      <c r="C2301" t="s">
        <v>891</v>
      </c>
      <c r="E2301">
        <v>0.628348263025284</v>
      </c>
      <c r="F2301">
        <v>3</v>
      </c>
    </row>
    <row r="2302" spans="1:6">
      <c r="A2302" t="s">
        <v>154</v>
      </c>
      <c r="B2302">
        <v>2015</v>
      </c>
      <c r="C2302" t="s">
        <v>891</v>
      </c>
      <c r="E2302">
        <v>1.86122977644205</v>
      </c>
      <c r="F2302">
        <v>37</v>
      </c>
    </row>
    <row r="2303" spans="1:6">
      <c r="A2303" t="s">
        <v>181</v>
      </c>
      <c r="B2303">
        <v>2022</v>
      </c>
      <c r="C2303" t="s">
        <v>895</v>
      </c>
      <c r="D2303" t="s">
        <v>893</v>
      </c>
      <c r="E2303">
        <v>1.08474847412109</v>
      </c>
      <c r="F2303">
        <v>2</v>
      </c>
    </row>
    <row r="2304" spans="1:6">
      <c r="A2304" t="s">
        <v>172</v>
      </c>
      <c r="B2304">
        <v>2023</v>
      </c>
      <c r="C2304" t="s">
        <v>874</v>
      </c>
      <c r="D2304" t="s">
        <v>883</v>
      </c>
      <c r="E2304">
        <v>0.058</v>
      </c>
      <c r="F2304">
        <v>1</v>
      </c>
    </row>
    <row r="2305" spans="1:6">
      <c r="A2305" t="s">
        <v>36</v>
      </c>
      <c r="B2305">
        <v>2018</v>
      </c>
      <c r="C2305" t="s">
        <v>878</v>
      </c>
      <c r="D2305" t="s">
        <v>838</v>
      </c>
      <c r="E2305">
        <v>3.47494900655746</v>
      </c>
      <c r="F2305">
        <v>14</v>
      </c>
    </row>
    <row r="2306" spans="1:6">
      <c r="A2306" t="s">
        <v>44</v>
      </c>
      <c r="B2306">
        <v>2022</v>
      </c>
      <c r="C2306" t="s">
        <v>888</v>
      </c>
      <c r="D2306" t="s">
        <v>839</v>
      </c>
      <c r="E2306">
        <v>4.12847921276092</v>
      </c>
      <c r="F2306">
        <v>9</v>
      </c>
    </row>
    <row r="2307" spans="1:6">
      <c r="A2307" t="s">
        <v>223</v>
      </c>
      <c r="B2307">
        <v>2016</v>
      </c>
      <c r="C2307" t="s">
        <v>885</v>
      </c>
      <c r="E2307">
        <v>0.579972045898438</v>
      </c>
      <c r="F2307">
        <v>2</v>
      </c>
    </row>
    <row r="2308" spans="1:6">
      <c r="A2308" t="s">
        <v>212</v>
      </c>
      <c r="B2308">
        <v>2023</v>
      </c>
      <c r="C2308" t="s">
        <v>892</v>
      </c>
      <c r="E2308">
        <v>1.32558416366577</v>
      </c>
      <c r="F2308">
        <v>4</v>
      </c>
    </row>
    <row r="2309" spans="1:6">
      <c r="A2309" t="s">
        <v>220</v>
      </c>
      <c r="B2309">
        <v>2022</v>
      </c>
      <c r="C2309" t="s">
        <v>885</v>
      </c>
      <c r="E2309">
        <v>3.90241625976563</v>
      </c>
      <c r="F2309">
        <v>1</v>
      </c>
    </row>
    <row r="2310" spans="1:6">
      <c r="A2310" t="s">
        <v>455</v>
      </c>
      <c r="B2310">
        <v>2017</v>
      </c>
      <c r="C2310" t="s">
        <v>893</v>
      </c>
      <c r="E2310">
        <v>5.66594668000937</v>
      </c>
      <c r="F2310">
        <v>37</v>
      </c>
    </row>
    <row r="2311" spans="1:6">
      <c r="A2311" t="s">
        <v>57</v>
      </c>
      <c r="B2311">
        <v>2021</v>
      </c>
      <c r="C2311" t="s">
        <v>910</v>
      </c>
      <c r="E2311">
        <v>73.79105270195009</v>
      </c>
      <c r="F2311">
        <v>83</v>
      </c>
    </row>
    <row r="2312" spans="1:6">
      <c r="A2312" t="s">
        <v>374</v>
      </c>
      <c r="B2312">
        <v>2017</v>
      </c>
      <c r="C2312" t="s">
        <v>884</v>
      </c>
      <c r="E2312">
        <v>19.680988568306</v>
      </c>
      <c r="F2312">
        <v>68</v>
      </c>
    </row>
    <row r="2313" spans="1:6">
      <c r="A2313" t="s">
        <v>430</v>
      </c>
      <c r="B2313">
        <v>2017</v>
      </c>
      <c r="C2313" t="s">
        <v>880</v>
      </c>
      <c r="E2313">
        <v>0.0586043357849121</v>
      </c>
      <c r="F2313">
        <v>1</v>
      </c>
    </row>
    <row r="2314" spans="1:6">
      <c r="A2314" t="s">
        <v>82</v>
      </c>
      <c r="B2314">
        <v>2016</v>
      </c>
      <c r="C2314" t="s">
        <v>874</v>
      </c>
      <c r="E2314">
        <v>0.0056949782371521</v>
      </c>
      <c r="F2314">
        <v>1</v>
      </c>
    </row>
    <row r="2315" spans="1:6">
      <c r="A2315" t="s">
        <v>76</v>
      </c>
      <c r="B2315">
        <v>2018</v>
      </c>
      <c r="C2315" t="s">
        <v>873</v>
      </c>
      <c r="E2315">
        <v>0.0123274183273315</v>
      </c>
      <c r="F2315">
        <v>1</v>
      </c>
    </row>
    <row r="2316" spans="1:6">
      <c r="A2316" t="s">
        <v>139</v>
      </c>
      <c r="B2316">
        <v>2020</v>
      </c>
      <c r="C2316" t="s">
        <v>879</v>
      </c>
      <c r="E2316">
        <v>10</v>
      </c>
      <c r="F2316">
        <v>1</v>
      </c>
    </row>
    <row r="2317" spans="1:6">
      <c r="A2317" t="s">
        <v>205</v>
      </c>
      <c r="B2317">
        <v>2022</v>
      </c>
      <c r="C2317" t="s">
        <v>881</v>
      </c>
      <c r="D2317" t="s">
        <v>893</v>
      </c>
      <c r="E2317">
        <v>5.13004591560364</v>
      </c>
      <c r="F2317">
        <v>12</v>
      </c>
    </row>
    <row r="2318" spans="1:6">
      <c r="A2318" t="s">
        <v>183</v>
      </c>
      <c r="B2318">
        <v>2019</v>
      </c>
      <c r="C2318" t="s">
        <v>878</v>
      </c>
      <c r="D2318" t="s">
        <v>892</v>
      </c>
      <c r="E2318">
        <v>2.90464278173447</v>
      </c>
      <c r="F2318">
        <v>14</v>
      </c>
    </row>
    <row r="2319" spans="1:6">
      <c r="A2319" t="s">
        <v>210</v>
      </c>
      <c r="B2319">
        <v>2021</v>
      </c>
      <c r="C2319" t="s">
        <v>898</v>
      </c>
      <c r="E2319">
        <v>0.9336545372009279</v>
      </c>
      <c r="F2319">
        <v>3</v>
      </c>
    </row>
    <row r="2320" spans="1:6">
      <c r="A2320" t="s">
        <v>46</v>
      </c>
      <c r="B2320">
        <v>2019</v>
      </c>
      <c r="C2320" t="s">
        <v>888</v>
      </c>
      <c r="D2320" t="s">
        <v>838</v>
      </c>
      <c r="E2320">
        <v>14.0444725227356</v>
      </c>
      <c r="F2320">
        <v>8</v>
      </c>
    </row>
    <row r="2321" spans="1:6">
      <c r="A2321" t="s">
        <v>627</v>
      </c>
      <c r="B2321">
        <v>2018</v>
      </c>
      <c r="C2321" t="s">
        <v>890</v>
      </c>
      <c r="E2321">
        <v>0.127536058425903</v>
      </c>
      <c r="F2321">
        <v>2</v>
      </c>
    </row>
    <row r="2322" spans="1:6">
      <c r="A2322" t="s">
        <v>625</v>
      </c>
      <c r="B2322">
        <v>2018</v>
      </c>
      <c r="C2322" t="s">
        <v>892</v>
      </c>
      <c r="E2322">
        <v>0.0952970657348633</v>
      </c>
      <c r="F2322">
        <v>1</v>
      </c>
    </row>
    <row r="2323" spans="1:6">
      <c r="A2323" t="s">
        <v>308</v>
      </c>
      <c r="B2323">
        <v>2023</v>
      </c>
      <c r="C2323" t="s">
        <v>840</v>
      </c>
      <c r="E2323">
        <v>1.06939031982422</v>
      </c>
      <c r="F2323">
        <v>2</v>
      </c>
    </row>
    <row r="2324" spans="1:6">
      <c r="A2324" t="s">
        <v>450</v>
      </c>
      <c r="B2324">
        <v>2021</v>
      </c>
      <c r="C2324" t="s">
        <v>883</v>
      </c>
      <c r="E2324">
        <v>0.0132900772094727</v>
      </c>
      <c r="F2324">
        <v>2</v>
      </c>
    </row>
    <row r="2325" spans="1:6">
      <c r="A2325" t="s">
        <v>430</v>
      </c>
      <c r="B2325">
        <v>2019</v>
      </c>
      <c r="C2325" t="s">
        <v>880</v>
      </c>
      <c r="E2325">
        <v>0.291267578125</v>
      </c>
      <c r="F2325">
        <v>2</v>
      </c>
    </row>
    <row r="2326" spans="1:6">
      <c r="A2326" t="s">
        <v>376</v>
      </c>
      <c r="B2326">
        <v>2024</v>
      </c>
      <c r="C2326" t="s">
        <v>880</v>
      </c>
      <c r="E2326">
        <v>0.1</v>
      </c>
      <c r="F23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33A0"/>
  </sheetPr>
  <dimension ref="A1:F15"/>
  <sheetViews>
    <sheetView workbookViewId="0"/>
  </sheetViews>
  <sheetFormatPr defaultRowHeight="15"/>
  <sheetData>
    <row r="1" spans="1:6" s="3" customFormat="1" ht="40" customHeight="1">
      <c r="A1" s="3" t="s">
        <v>912</v>
      </c>
    </row>
    <row r="3" spans="1:6">
      <c r="B3" t="s">
        <v>2</v>
      </c>
      <c r="C3" t="s">
        <v>913</v>
      </c>
      <c r="E3" t="s">
        <v>2</v>
      </c>
      <c r="F3" t="s">
        <v>913</v>
      </c>
    </row>
    <row r="4" spans="1:6">
      <c r="B4" t="s">
        <v>839</v>
      </c>
      <c r="C4" cm="1">
        <f t="array" ref="C4">IF(COUNTA(_xlfn._xlws.FILTER('TERadj'!C2:C100, ('TERadj'!C2:C100&gt;0)*('TERadj'!C2:C100="Asia Pacific")))=0, 0, COUNTA(_xlfn._xlws.FILTER('TERadj'!C2:C100, ('TERadj'!C2:C100&gt;0)*('TERadj'!C2:C100="Asia Pacific"))))</f>
        <v>0</v>
      </c>
      <c r="E4" t="s">
        <v>839</v>
      </c>
      <c r="F4" cm="1">
        <f t="array" ref="F4">IF(COUNTA(_xlfn._xlws.FILTER('TERadj'!C2:C100, ('TERadj'!C2:C100&gt;0)*('TERadj'!C2:C100="Asia Pacific")))=0, 0, COUNTA(_xlfn._xlws.FILTER('TERadj'!C2:C100, ('TERadj'!C2:C100&gt;0)*('TERadj'!C2:C100="Asia Pacific"))))</f>
        <v>0</v>
      </c>
    </row>
    <row r="5" spans="1:6">
      <c r="B5" t="s">
        <v>840</v>
      </c>
      <c r="C5" cm="1">
        <f t="array" ref="C5">IF(COUNTA(_xlfn._xlws.FILTER('TERadj'!C2:C100, ('TERadj'!C2:C100&gt;0)*('TERadj'!C2:C100="Europe")))=0, 0, COUNTA(_xlfn._xlws.FILTER('TERadj'!C2:C100, ('TERadj'!C2:C100&gt;0)*('TERadj'!C2:C100="Europe"))))</f>
        <v>0</v>
      </c>
      <c r="E5" t="s">
        <v>840</v>
      </c>
      <c r="F5" cm="1">
        <f t="array" ref="F5">IF(COUNTA(_xlfn._xlws.FILTER('TERadj'!C2:C100, ('TERadj'!C2:C100&gt;0)*('TERadj'!C2:C100="Europe")))=0, 0, COUNTA(_xlfn._xlws.FILTER('TERadj'!C2:C100, ('TERadj'!C2:C100&gt;0)*('TERadj'!C2:C100="Europe"))))</f>
        <v>0</v>
      </c>
    </row>
    <row r="6" spans="1:6">
      <c r="B6" t="s">
        <v>838</v>
      </c>
      <c r="C6" cm="1">
        <f t="array" ref="C6">IF(COUNTA(_xlfn._xlws.FILTER('TERadj'!C2:C100, ('TERadj'!C2:C100&gt;0)*('TERadj'!C2:C100="North America")))=0, 0, COUNTA(_xlfn._xlws.FILTER('TERadj'!C2:C100, ('TERadj'!C2:C100&gt;0)*('TERadj'!C2:C100="North America"))))</f>
        <v>0</v>
      </c>
      <c r="E6" t="s">
        <v>838</v>
      </c>
      <c r="F6" cm="1">
        <f t="array" ref="F6">IF(COUNTA(_xlfn._xlws.FILTER('TERadj'!C2:C100, ('TERadj'!C2:C100&gt;0)*('TERadj'!C2:C100="North America")))=0, 0, COUNTA(_xlfn._xlws.FILTER('TERadj'!C2:C100, ('TERadj'!C2:C100&gt;0)*('TERadj'!C2:C100="North America"))))</f>
        <v>0</v>
      </c>
    </row>
    <row r="7" spans="1:6">
      <c r="B7" t="s">
        <v>841</v>
      </c>
      <c r="C7" cm="1">
        <f t="array" ref="C7">IF(COUNTA(_xlfn._xlws.FILTER('TERadj'!C2:C100, ('TERadj'!C2:C100&gt;0)*('TERadj'!C2:C100="South America")))=0, 0, COUNTA(_xlfn._xlws.FILTER('TERadj'!C2:C100, ('TERadj'!C2:C100&gt;0)*('TERadj'!C2:C100="South America"))))</f>
        <v>0</v>
      </c>
      <c r="E7" t="s">
        <v>841</v>
      </c>
      <c r="F7" cm="1">
        <f t="array" ref="F7">IF(COUNTA(_xlfn._xlws.FILTER('TERadj'!C2:C100, ('TERadj'!C2:C100&gt;0)*('TERadj'!C2:C100="South America")))=0, 0, COUNTA(_xlfn._xlws.FILTER('TERadj'!C2:C100, ('TERadj'!C2:C100&gt;0)*('TERadj'!C2:C100="South America"))))</f>
        <v>0</v>
      </c>
    </row>
    <row r="8" spans="1:6">
      <c r="B8" t="s">
        <v>898</v>
      </c>
      <c r="C8" cm="1">
        <f t="array" ref="C8">IF(COUNTA(_xlfn._xlws.FILTER('TERadj'!C2:C100, ('TERadj'!C2:C100&gt;0)*('TERadj'!C2:C100="Africa")))=0, 0, COUNTA(_xlfn._xlws.FILTER('TERadj'!C2:C100, ('TERadj'!C2:C100&gt;0)*('TERadj'!C2:C100="Africa"))))</f>
        <v>0</v>
      </c>
      <c r="E8" t="s">
        <v>898</v>
      </c>
      <c r="F8" cm="1">
        <f t="array" ref="F8">IF(COUNTA(_xlfn._xlws.FILTER('TERadj'!C2:C100, ('TERadj'!C2:C100&gt;0)*('TERadj'!C2:C100="Africa")))=0, 0, COUNTA(_xlfn._xlws.FILTER('TERadj'!C2:C100, ('TERadj'!C2:C100&gt;0)*('TERadj'!C2:C100="Africa"))))</f>
        <v>0</v>
      </c>
    </row>
    <row r="10" spans="1:6">
      <c r="B10" t="s">
        <v>2</v>
      </c>
      <c r="C10" t="s">
        <v>913</v>
      </c>
    </row>
    <row r="11" spans="1:6">
      <c r="B11" t="s">
        <v>839</v>
      </c>
      <c r="C11" s="4" cm="1">
        <f t="array" ref="C11">IF(COUNTA(_xlfn._xlws.FILTER('TERadj'!C2:C100, ('TERadj'!C2:C100&gt;0)*('TERadj'!C2:C100="Asia Pacific")))=0, 0, COUNTA(_xlfn._xlws.FILTER('TERadj'!C2:C100, ('TERadj'!C2:C100&gt;0)*('TERadj'!C2:C100="Asia Pacific"))))</f>
        <v>0</v>
      </c>
    </row>
    <row r="12" spans="1:6">
      <c r="B12" t="s">
        <v>840</v>
      </c>
      <c r="C12" s="4" cm="1">
        <f t="array" ref="C12">IF(COUNTA(_xlfn._xlws.FILTER('TERadj'!C2:C100, ('TERadj'!C2:C100&gt;0)*('TERadj'!C2:C100="Europe")))=0, 0, COUNTA(_xlfn._xlws.FILTER('TERadj'!C2:C100, ('TERadj'!C2:C100&gt;0)*('TERadj'!C2:C100="Europe"))))</f>
        <v>0</v>
      </c>
    </row>
    <row r="13" spans="1:6">
      <c r="B13" t="s">
        <v>838</v>
      </c>
      <c r="C13" s="4" cm="1">
        <f t="array" ref="C13">IF(COUNTA(_xlfn._xlws.FILTER('TERadj'!C2:C100, ('TERadj'!C2:C100&gt;0)*('TERadj'!C2:C100="North America")))=0, 0, COUNTA(_xlfn._xlws.FILTER('TERadj'!C2:C100, ('TERadj'!C2:C100&gt;0)*('TERadj'!C2:C100="North America"))))</f>
        <v>0</v>
      </c>
    </row>
    <row r="14" spans="1:6">
      <c r="B14" t="s">
        <v>841</v>
      </c>
      <c r="C14" s="4" cm="1">
        <f t="array" ref="C14">IF(COUNTA(_xlfn._xlws.FILTER('TERadj'!C2:C100, ('TERadj'!C2:C100&gt;0)*('TERadj'!C2:C100="South America")))=0, 0, COUNTA(_xlfn._xlws.FILTER('TERadj'!C2:C100, ('TERadj'!C2:C100&gt;0)*('TERadj'!C2:C100="South America"))))</f>
        <v>0</v>
      </c>
    </row>
    <row r="15" spans="1:6">
      <c r="B15" t="s">
        <v>898</v>
      </c>
      <c r="C15" s="4" cm="1">
        <f t="array" ref="C15">IF(COUNTA(_xlfn._xlws.FILTER('TERadj'!C2:C100, ('TERadj'!C2:C100&gt;0)*('TERadj'!C2:C100="Africa")))=0, 0, COUNTA(_xlfn._xlws.FILTER('TERadj'!C2:C100, ('TERadj'!C2:C100&gt;0)*('TERadj'!C2:C100="Africa"))))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33A0"/>
  </sheetPr>
  <dimension ref="A1:F47"/>
  <sheetViews>
    <sheetView workbookViewId="0"/>
  </sheetViews>
  <sheetFormatPr defaultRowHeight="15"/>
  <sheetData>
    <row r="1" spans="1:6" s="3" customFormat="1" ht="40" customHeight="1">
      <c r="A1" s="3" t="s">
        <v>912</v>
      </c>
    </row>
    <row r="3" spans="1:6">
      <c r="B3" t="s">
        <v>3</v>
      </c>
      <c r="C3" t="s">
        <v>913</v>
      </c>
      <c r="E3" t="s">
        <v>3</v>
      </c>
      <c r="F3" t="s">
        <v>913</v>
      </c>
    </row>
    <row r="4" spans="1:6">
      <c r="B4" t="s">
        <v>848</v>
      </c>
      <c r="C4" cm="1">
        <f t="array" ref="C4">IF(COUNTA(_xlfn._xlws.FILTER('TERadj'!D2:D100, ('TERadj'!D2:D100&gt;0)*('TERadj'!D2:D100="Australia")))=0, 0, COUNTA(_xlfn._xlws.FILTER('TERadj'!D2:D100, ('TERadj'!D2:D100&gt;0)*('TERadj'!D2:D100="Australia"))))</f>
        <v>0</v>
      </c>
      <c r="E4" t="s">
        <v>848</v>
      </c>
      <c r="F4" cm="1">
        <f t="array" ref="F4">IF(COUNTA(_xlfn._xlws.FILTER('TERadj'!D2:D100, ('TERadj'!D2:D100&gt;0)*('TERadj'!D2:D100="Australia")))=0, 0, COUNTA(_xlfn._xlws.FILTER('TERadj'!D2:D100, ('TERadj'!D2:D100&gt;0)*('TERadj'!D2:D100="Australia"))))</f>
        <v>0</v>
      </c>
    </row>
    <row r="5" spans="1:6">
      <c r="B5" t="s">
        <v>860</v>
      </c>
      <c r="C5" cm="1">
        <f t="array" ref="C5">IF(COUNTA(_xlfn._xlws.FILTER('TERadj'!D2:D100, ('TERadj'!D2:D100&gt;0)*('TERadj'!D2:D100="Belgium")))=0, 0, COUNTA(_xlfn._xlws.FILTER('TERadj'!D2:D100, ('TERadj'!D2:D100&gt;0)*('TERadj'!D2:D100="Belgium"))))</f>
        <v>0</v>
      </c>
      <c r="E5" t="s">
        <v>860</v>
      </c>
      <c r="F5" cm="1">
        <f t="array" ref="F5">IF(COUNTA(_xlfn._xlws.FILTER('TERadj'!D2:D100, ('TERadj'!D2:D100&gt;0)*('TERadj'!D2:D100="Belgium")))=0, 0, COUNTA(_xlfn._xlws.FILTER('TERadj'!D2:D100, ('TERadj'!D2:D100&gt;0)*('TERadj'!D2:D100="Belgium"))))</f>
        <v>0</v>
      </c>
    </row>
    <row r="6" spans="1:6">
      <c r="B6" t="s">
        <v>853</v>
      </c>
      <c r="C6" cm="1">
        <f t="array" ref="C6">IF(COUNTA(_xlfn._xlws.FILTER('TERadj'!D2:D100, ('TERadj'!D2:D100&gt;0)*('TERadj'!D2:D100="Bermuda")))=0, 0, COUNTA(_xlfn._xlws.FILTER('TERadj'!D2:D100, ('TERadj'!D2:D100&gt;0)*('TERadj'!D2:D100="Bermuda"))))</f>
        <v>0</v>
      </c>
      <c r="E6" t="s">
        <v>853</v>
      </c>
      <c r="F6" cm="1">
        <f t="array" ref="F6">IF(COUNTA(_xlfn._xlws.FILTER('TERadj'!D2:D100, ('TERadj'!D2:D100&gt;0)*('TERadj'!D2:D100="Bermuda")))=0, 0, COUNTA(_xlfn._xlws.FILTER('TERadj'!D2:D100, ('TERadj'!D2:D100&gt;0)*('TERadj'!D2:D100="Bermuda"))))</f>
        <v>0</v>
      </c>
    </row>
    <row r="7" spans="1:6">
      <c r="B7" t="s">
        <v>858</v>
      </c>
      <c r="C7" cm="1">
        <f t="array" ref="C7">IF(COUNTA(_xlfn._xlws.FILTER('TERadj'!D2:D100, ('TERadj'!D2:D100&gt;0)*('TERadj'!D2:D100="Finland")))=0, 0, COUNTA(_xlfn._xlws.FILTER('TERadj'!D2:D100, ('TERadj'!D2:D100&gt;0)*('TERadj'!D2:D100="Finland"))))</f>
        <v>0</v>
      </c>
      <c r="E7" t="s">
        <v>858</v>
      </c>
      <c r="F7" cm="1">
        <f t="array" ref="F7">IF(COUNTA(_xlfn._xlws.FILTER('TERadj'!D2:D100, ('TERadj'!D2:D100&gt;0)*('TERadj'!D2:D100="Finland")))=0, 0, COUNTA(_xlfn._xlws.FILTER('TERadj'!D2:D100, ('TERadj'!D2:D100&gt;0)*('TERadj'!D2:D100="Finland"))))</f>
        <v>0</v>
      </c>
    </row>
    <row r="8" spans="1:6">
      <c r="B8" t="s">
        <v>859</v>
      </c>
      <c r="C8" cm="1">
        <f t="array" ref="C8">IF(COUNTA(_xlfn._xlws.FILTER('TERadj'!D2:D100, ('TERadj'!D2:D100&gt;0)*('TERadj'!D2:D100="France")))=0, 0, COUNTA(_xlfn._xlws.FILTER('TERadj'!D2:D100, ('TERadj'!D2:D100&gt;0)*('TERadj'!D2:D100="France"))))</f>
        <v>0</v>
      </c>
      <c r="E8" t="s">
        <v>859</v>
      </c>
      <c r="F8" cm="1">
        <f t="array" ref="F8">IF(COUNTA(_xlfn._xlws.FILTER('TERadj'!D2:D100, ('TERadj'!D2:D100&gt;0)*('TERadj'!D2:D100="France")))=0, 0, COUNTA(_xlfn._xlws.FILTER('TERadj'!D2:D100, ('TERadj'!D2:D100&gt;0)*('TERadj'!D2:D100="France"))))</f>
        <v>0</v>
      </c>
    </row>
    <row r="9" spans="1:6">
      <c r="B9" t="s">
        <v>855</v>
      </c>
      <c r="C9" cm="1">
        <f t="array" ref="C9">IF(COUNTA(_xlfn._xlws.FILTER('TERadj'!D2:D100, ('TERadj'!D2:D100&gt;0)*('TERadj'!D2:D100="Germany")))=0, 0, COUNTA(_xlfn._xlws.FILTER('TERadj'!D2:D100, ('TERadj'!D2:D100&gt;0)*('TERadj'!D2:D100="Germany"))))</f>
        <v>0</v>
      </c>
      <c r="E9" t="s">
        <v>855</v>
      </c>
      <c r="F9" cm="1">
        <f t="array" ref="F9">IF(COUNTA(_xlfn._xlws.FILTER('TERadj'!D2:D100, ('TERadj'!D2:D100&gt;0)*('TERadj'!D2:D100="Germany")))=0, 0, COUNTA(_xlfn._xlws.FILTER('TERadj'!D2:D100, ('TERadj'!D2:D100&gt;0)*('TERadj'!D2:D100="Germany"))))</f>
        <v>0</v>
      </c>
    </row>
    <row r="10" spans="1:6">
      <c r="B10" t="s">
        <v>861</v>
      </c>
      <c r="C10" cm="1">
        <f t="array" ref="C10">IF(COUNTA(_xlfn._xlws.FILTER('TERadj'!D2:D100, ('TERadj'!D2:D100&gt;0)*('TERadj'!D2:D100="Hong Kong")))=0, 0, COUNTA(_xlfn._xlws.FILTER('TERadj'!D2:D100, ('TERadj'!D2:D100&gt;0)*('TERadj'!D2:D100="Hong Kong"))))</f>
        <v>0</v>
      </c>
      <c r="E10" t="s">
        <v>861</v>
      </c>
      <c r="F10" cm="1">
        <f t="array" ref="F10">IF(COUNTA(_xlfn._xlws.FILTER('TERadj'!D2:D100, ('TERadj'!D2:D100&gt;0)*('TERadj'!D2:D100="Hong Kong")))=0, 0, COUNTA(_xlfn._xlws.FILTER('TERadj'!D2:D100, ('TERadj'!D2:D100&gt;0)*('TERadj'!D2:D100="Hong Kong"))))</f>
        <v>0</v>
      </c>
    </row>
    <row r="11" spans="1:6">
      <c r="B11" t="s">
        <v>852</v>
      </c>
      <c r="C11" cm="1">
        <f t="array" ref="C11">IF(COUNTA(_xlfn._xlws.FILTER('TERadj'!D2:D100, ('TERadj'!D2:D100&gt;0)*('TERadj'!D2:D100="Ireland")))=0, 0, COUNTA(_xlfn._xlws.FILTER('TERadj'!D2:D100, ('TERadj'!D2:D100&gt;0)*('TERadj'!D2:D100="Ireland"))))</f>
        <v>0</v>
      </c>
      <c r="E11" t="s">
        <v>852</v>
      </c>
      <c r="F11" cm="1">
        <f t="array" ref="F11">IF(COUNTA(_xlfn._xlws.FILTER('TERadj'!D2:D100, ('TERadj'!D2:D100&gt;0)*('TERadj'!D2:D100="Ireland")))=0, 0, COUNTA(_xlfn._xlws.FILTER('TERadj'!D2:D100, ('TERadj'!D2:D100&gt;0)*('TERadj'!D2:D100="Ireland"))))</f>
        <v>0</v>
      </c>
    </row>
    <row r="12" spans="1:6">
      <c r="B12" t="s">
        <v>851</v>
      </c>
      <c r="C12" cm="1">
        <f t="array" ref="C12">IF(COUNTA(_xlfn._xlws.FILTER('TERadj'!D2:D100, ('TERadj'!D2:D100&gt;0)*('TERadj'!D2:D100="Japan")))=0, 0, COUNTA(_xlfn._xlws.FILTER('TERadj'!D2:D100, ('TERadj'!D2:D100&gt;0)*('TERadj'!D2:D100="Japan"))))</f>
        <v>0</v>
      </c>
      <c r="E12" t="s">
        <v>851</v>
      </c>
      <c r="F12" cm="1">
        <f t="array" ref="F12">IF(COUNTA(_xlfn._xlws.FILTER('TERadj'!D2:D100, ('TERadj'!D2:D100&gt;0)*('TERadj'!D2:D100="Japan")))=0, 0, COUNTA(_xlfn._xlws.FILTER('TERadj'!D2:D100, ('TERadj'!D2:D100&gt;0)*('TERadj'!D2:D100="Japan"))))</f>
        <v>0</v>
      </c>
    </row>
    <row r="13" spans="1:6">
      <c r="B13" t="s">
        <v>854</v>
      </c>
      <c r="C13" cm="1">
        <f t="array" ref="C13">IF(COUNTA(_xlfn._xlws.FILTER('TERadj'!D2:D100, ('TERadj'!D2:D100&gt;0)*('TERadj'!D2:D100="Korea, Republic Of")))=0, 0, COUNTA(_xlfn._xlws.FILTER('TERadj'!D2:D100, ('TERadj'!D2:D100&gt;0)*('TERadj'!D2:D100="Korea, Republic Of"))))</f>
        <v>0</v>
      </c>
      <c r="E13" t="s">
        <v>854</v>
      </c>
      <c r="F13" cm="1">
        <f t="array" ref="F13">IF(COUNTA(_xlfn._xlws.FILTER('TERadj'!D2:D100, ('TERadj'!D2:D100&gt;0)*('TERadj'!D2:D100="Korea, Republic Of")))=0, 0, COUNTA(_xlfn._xlws.FILTER('TERadj'!D2:D100, ('TERadj'!D2:D100&gt;0)*('TERadj'!D2:D100="Korea, Republic Of"))))</f>
        <v>0</v>
      </c>
    </row>
    <row r="14" spans="1:6">
      <c r="B14" t="s">
        <v>850</v>
      </c>
      <c r="C14" cm="1">
        <f t="array" ref="C14">IF(COUNTA(_xlfn._xlws.FILTER('TERadj'!D2:D100, ('TERadj'!D2:D100&gt;0)*('TERadj'!D2:D100="Luxembourg")))=0, 0, COUNTA(_xlfn._xlws.FILTER('TERadj'!D2:D100, ('TERadj'!D2:D100&gt;0)*('TERadj'!D2:D100="Luxembourg"))))</f>
        <v>0</v>
      </c>
      <c r="E14" t="s">
        <v>850</v>
      </c>
      <c r="F14" cm="1">
        <f t="array" ref="F14">IF(COUNTA(_xlfn._xlws.FILTER('TERadj'!D2:D100, ('TERadj'!D2:D100&gt;0)*('TERadj'!D2:D100="Luxembourg")))=0, 0, COUNTA(_xlfn._xlws.FILTER('TERadj'!D2:D100, ('TERadj'!D2:D100&gt;0)*('TERadj'!D2:D100="Luxembourg"))))</f>
        <v>0</v>
      </c>
    </row>
    <row r="15" spans="1:6">
      <c r="B15" t="s">
        <v>845</v>
      </c>
      <c r="C15" cm="1">
        <f t="array" ref="C15">IF(COUNTA(_xlfn._xlws.FILTER('TERadj'!D2:D100, ('TERadj'!D2:D100&gt;0)*('TERadj'!D2:D100="Netherlands")))=0, 0, COUNTA(_xlfn._xlws.FILTER('TERadj'!D2:D100, ('TERadj'!D2:D100&gt;0)*('TERadj'!D2:D100="Netherlands"))))</f>
        <v>0</v>
      </c>
      <c r="E15" t="s">
        <v>845</v>
      </c>
      <c r="F15" cm="1">
        <f t="array" ref="F15">IF(COUNTA(_xlfn._xlws.FILTER('TERadj'!D2:D100, ('TERadj'!D2:D100&gt;0)*('TERadj'!D2:D100="Netherlands")))=0, 0, COUNTA(_xlfn._xlws.FILTER('TERadj'!D2:D100, ('TERadj'!D2:D100&gt;0)*('TERadj'!D2:D100="Netherlands"))))</f>
        <v>0</v>
      </c>
    </row>
    <row r="16" spans="1:6">
      <c r="B16" t="s">
        <v>856</v>
      </c>
      <c r="C16" cm="1">
        <f t="array" ref="C16">IF(COUNTA(_xlfn._xlws.FILTER('TERadj'!D2:D100, ('TERadj'!D2:D100&gt;0)*('TERadj'!D2:D100="Norway")))=0, 0, COUNTA(_xlfn._xlws.FILTER('TERadj'!D2:D100, ('TERadj'!D2:D100&gt;0)*('TERadj'!D2:D100="Norway"))))</f>
        <v>0</v>
      </c>
      <c r="E16" t="s">
        <v>856</v>
      </c>
      <c r="F16" cm="1">
        <f t="array" ref="F16">IF(COUNTA(_xlfn._xlws.FILTER('TERadj'!D2:D100, ('TERadj'!D2:D100&gt;0)*('TERadj'!D2:D100="Norway")))=0, 0, COUNTA(_xlfn._xlws.FILTER('TERadj'!D2:D100, ('TERadj'!D2:D100&gt;0)*('TERadj'!D2:D100="Norway"))))</f>
        <v>0</v>
      </c>
    </row>
    <row r="17" spans="2:6">
      <c r="B17" t="s">
        <v>847</v>
      </c>
      <c r="C17" cm="1">
        <f t="array" ref="C17">IF(COUNTA(_xlfn._xlws.FILTER('TERadj'!D2:D100, ('TERadj'!D2:D100&gt;0)*('TERadj'!D2:D100="Portugal")))=0, 0, COUNTA(_xlfn._xlws.FILTER('TERadj'!D2:D100, ('TERadj'!D2:D100&gt;0)*('TERadj'!D2:D100="Portugal"))))</f>
        <v>0</v>
      </c>
      <c r="E17" t="s">
        <v>847</v>
      </c>
      <c r="F17" cm="1">
        <f t="array" ref="F17">IF(COUNTA(_xlfn._xlws.FILTER('TERadj'!D2:D100, ('TERadj'!D2:D100&gt;0)*('TERadj'!D2:D100="Portugal")))=0, 0, COUNTA(_xlfn._xlws.FILTER('TERadj'!D2:D100, ('TERadj'!D2:D100&gt;0)*('TERadj'!D2:D100="Portugal"))))</f>
        <v>0</v>
      </c>
    </row>
    <row r="18" spans="2:6">
      <c r="B18" t="s">
        <v>844</v>
      </c>
      <c r="C18" cm="1">
        <f t="array" ref="C18">IF(COUNTA(_xlfn._xlws.FILTER('TERadj'!D2:D100, ('TERadj'!D2:D100&gt;0)*('TERadj'!D2:D100="Singapore")))=0, 0, COUNTA(_xlfn._xlws.FILTER('TERadj'!D2:D100, ('TERadj'!D2:D100&gt;0)*('TERadj'!D2:D100="Singapore"))))</f>
        <v>0</v>
      </c>
      <c r="E18" t="s">
        <v>844</v>
      </c>
      <c r="F18" cm="1">
        <f t="array" ref="F18">IF(COUNTA(_xlfn._xlws.FILTER('TERadj'!D2:D100, ('TERadj'!D2:D100&gt;0)*('TERadj'!D2:D100="Singapore")))=0, 0, COUNTA(_xlfn._xlws.FILTER('TERadj'!D2:D100, ('TERadj'!D2:D100&gt;0)*('TERadj'!D2:D100="Singapore"))))</f>
        <v>0</v>
      </c>
    </row>
    <row r="19" spans="2:6">
      <c r="B19" t="s">
        <v>862</v>
      </c>
      <c r="C19" cm="1">
        <f t="array" ref="C19">IF(COUNTA(_xlfn._xlws.FILTER('TERadj'!D2:D100, ('TERadj'!D2:D100&gt;0)*('TERadj'!D2:D100="Spain")))=0, 0, COUNTA(_xlfn._xlws.FILTER('TERadj'!D2:D100, ('TERadj'!D2:D100&gt;0)*('TERadj'!D2:D100="Spain"))))</f>
        <v>0</v>
      </c>
      <c r="E19" t="s">
        <v>862</v>
      </c>
      <c r="F19" cm="1">
        <f t="array" ref="F19">IF(COUNTA(_xlfn._xlws.FILTER('TERadj'!D2:D100, ('TERadj'!D2:D100&gt;0)*('TERadj'!D2:D100="Spain")))=0, 0, COUNTA(_xlfn._xlws.FILTER('TERadj'!D2:D100, ('TERadj'!D2:D100&gt;0)*('TERadj'!D2:D100="Spain"))))</f>
        <v>0</v>
      </c>
    </row>
    <row r="20" spans="2:6">
      <c r="B20" t="s">
        <v>857</v>
      </c>
      <c r="C20" cm="1">
        <f t="array" ref="C20">IF(COUNTA(_xlfn._xlws.FILTER('TERadj'!D2:D100, ('TERadj'!D2:D100&gt;0)*('TERadj'!D2:D100="Sweden")))=0, 0, COUNTA(_xlfn._xlws.FILTER('TERadj'!D2:D100, ('TERadj'!D2:D100&gt;0)*('TERadj'!D2:D100="Sweden"))))</f>
        <v>0</v>
      </c>
      <c r="E20" t="s">
        <v>857</v>
      </c>
      <c r="F20" cm="1">
        <f t="array" ref="F20">IF(COUNTA(_xlfn._xlws.FILTER('TERadj'!D2:D100, ('TERadj'!D2:D100&gt;0)*('TERadj'!D2:D100="Sweden")))=0, 0, COUNTA(_xlfn._xlws.FILTER('TERadj'!D2:D100, ('TERadj'!D2:D100&gt;0)*('TERadj'!D2:D100="Sweden"))))</f>
        <v>0</v>
      </c>
    </row>
    <row r="21" spans="2:6">
      <c r="B21" t="s">
        <v>846</v>
      </c>
      <c r="C21" cm="1">
        <f t="array" ref="C21">IF(COUNTA(_xlfn._xlws.FILTER('TERadj'!D2:D100, ('TERadj'!D2:D100&gt;0)*('TERadj'!D2:D100="Switzerland")))=0, 0, COUNTA(_xlfn._xlws.FILTER('TERadj'!D2:D100, ('TERadj'!D2:D100&gt;0)*('TERadj'!D2:D100="Switzerland"))))</f>
        <v>0</v>
      </c>
      <c r="E21" t="s">
        <v>846</v>
      </c>
      <c r="F21" cm="1">
        <f t="array" ref="F21">IF(COUNTA(_xlfn._xlws.FILTER('TERadj'!D2:D100, ('TERadj'!D2:D100&gt;0)*('TERadj'!D2:D100="Switzerland")))=0, 0, COUNTA(_xlfn._xlws.FILTER('TERadj'!D2:D100, ('TERadj'!D2:D100&gt;0)*('TERadj'!D2:D100="Switzerland"))))</f>
        <v>0</v>
      </c>
    </row>
    <row r="22" spans="2:6">
      <c r="B22" t="s">
        <v>849</v>
      </c>
      <c r="C22" cm="1">
        <f t="array" ref="C22">IF(COUNTA(_xlfn._xlws.FILTER('TERadj'!D2:D100, ('TERadj'!D2:D100&gt;0)*('TERadj'!D2:D100="United Kingdom")))=0, 0, COUNTA(_xlfn._xlws.FILTER('TERadj'!D2:D100, ('TERadj'!D2:D100&gt;0)*('TERadj'!D2:D100="United Kingdom"))))</f>
        <v>0</v>
      </c>
      <c r="E22" t="s">
        <v>849</v>
      </c>
      <c r="F22" cm="1">
        <f t="array" ref="F22">IF(COUNTA(_xlfn._xlws.FILTER('TERadj'!D2:D100, ('TERadj'!D2:D100&gt;0)*('TERadj'!D2:D100="United Kingdom")))=0, 0, COUNTA(_xlfn._xlws.FILTER('TERadj'!D2:D100, ('TERadj'!D2:D100&gt;0)*('TERadj'!D2:D100="United Kingdom"))))</f>
        <v>0</v>
      </c>
    </row>
    <row r="23" spans="2:6">
      <c r="B23" t="s">
        <v>843</v>
      </c>
      <c r="C23" cm="1">
        <f t="array" ref="C23">IF(COUNTA(_xlfn._xlws.FILTER('TERadj'!D2:D100, ('TERadj'!D2:D100&gt;0)*('TERadj'!D2:D100="United States")))=0, 0, COUNTA(_xlfn._xlws.FILTER('TERadj'!D2:D100, ('TERadj'!D2:D100&gt;0)*('TERadj'!D2:D100="United States"))))</f>
        <v>0</v>
      </c>
      <c r="E23" t="s">
        <v>843</v>
      </c>
      <c r="F23" cm="1">
        <f t="array" ref="F23">IF(COUNTA(_xlfn._xlws.FILTER('TERadj'!D2:D100, ('TERadj'!D2:D100&gt;0)*('TERadj'!D2:D100="United States")))=0, 0, COUNTA(_xlfn._xlws.FILTER('TERadj'!D2:D100, ('TERadj'!D2:D100&gt;0)*('TERadj'!D2:D100="United States"))))</f>
        <v>0</v>
      </c>
    </row>
    <row r="24" spans="2:6">
      <c r="B24" t="s">
        <v>842</v>
      </c>
      <c r="C24" cm="1">
        <f t="array" ref="C24">IF(COUNTA(_xlfn._xlws.FILTER('TERadj'!D2:D100, ('TERadj'!D2:D100&gt;0)*('TERadj'!D2:D100="empty")))=0, 0, COUNTA(_xlfn._xlws.FILTER('TERadj'!D2:D100, ('TERadj'!D2:D100&gt;0)*('TERadj'!D2:D100="empty"))))</f>
        <v>0</v>
      </c>
      <c r="E24" t="s">
        <v>842</v>
      </c>
      <c r="F24" cm="1">
        <f t="array" ref="F24">IF(COUNTA(_xlfn._xlws.FILTER('TERadj'!D2:D100, ('TERadj'!D2:D100&gt;0)*('TERadj'!D2:D100="empty")))=0, 0, COUNTA(_xlfn._xlws.FILTER('TERadj'!D2:D100, ('TERadj'!D2:D100&gt;0)*('TERadj'!D2:D100="empty"))))</f>
        <v>0</v>
      </c>
    </row>
    <row r="26" spans="2:6">
      <c r="B26" t="s">
        <v>3</v>
      </c>
      <c r="C26" t="s">
        <v>913</v>
      </c>
    </row>
    <row r="27" spans="2:6">
      <c r="B27" t="s">
        <v>848</v>
      </c>
      <c r="C27" s="4" cm="1">
        <f t="array" ref="C27">IF(COUNTA(_xlfn._xlws.FILTER('TERadj'!D2:D100, ('TERadj'!D2:D100&gt;0)*('TERadj'!D2:D100="Australia")))=0, 0, COUNTA(_xlfn._xlws.FILTER('TERadj'!D2:D100, ('TERadj'!D2:D100&gt;0)*('TERadj'!D2:D100="Australia"))))</f>
        <v>0</v>
      </c>
    </row>
    <row r="28" spans="2:6">
      <c r="B28" t="s">
        <v>860</v>
      </c>
      <c r="C28" s="4" cm="1">
        <f t="array" ref="C28">IF(COUNTA(_xlfn._xlws.FILTER('TERadj'!D2:D100, ('TERadj'!D2:D100&gt;0)*('TERadj'!D2:D100="Belgium")))=0, 0, COUNTA(_xlfn._xlws.FILTER('TERadj'!D2:D100, ('TERadj'!D2:D100&gt;0)*('TERadj'!D2:D100="Belgium"))))</f>
        <v>0</v>
      </c>
    </row>
    <row r="29" spans="2:6">
      <c r="B29" t="s">
        <v>853</v>
      </c>
      <c r="C29" s="4" cm="1">
        <f t="array" ref="C29">IF(COUNTA(_xlfn._xlws.FILTER('TERadj'!D2:D100, ('TERadj'!D2:D100&gt;0)*('TERadj'!D2:D100="Bermuda")))=0, 0, COUNTA(_xlfn._xlws.FILTER('TERadj'!D2:D100, ('TERadj'!D2:D100&gt;0)*('TERadj'!D2:D100="Bermuda"))))</f>
        <v>0</v>
      </c>
    </row>
    <row r="30" spans="2:6">
      <c r="B30" t="s">
        <v>858</v>
      </c>
      <c r="C30" s="4" cm="1">
        <f t="array" ref="C30">IF(COUNTA(_xlfn._xlws.FILTER('TERadj'!D2:D100, ('TERadj'!D2:D100&gt;0)*('TERadj'!D2:D100="Finland")))=0, 0, COUNTA(_xlfn._xlws.FILTER('TERadj'!D2:D100, ('TERadj'!D2:D100&gt;0)*('TERadj'!D2:D100="Finland"))))</f>
        <v>0</v>
      </c>
    </row>
    <row r="31" spans="2:6">
      <c r="B31" t="s">
        <v>859</v>
      </c>
      <c r="C31" s="4" cm="1">
        <f t="array" ref="C31">IF(COUNTA(_xlfn._xlws.FILTER('TERadj'!D2:D100, ('TERadj'!D2:D100&gt;0)*('TERadj'!D2:D100="France")))=0, 0, COUNTA(_xlfn._xlws.FILTER('TERadj'!D2:D100, ('TERadj'!D2:D100&gt;0)*('TERadj'!D2:D100="France"))))</f>
        <v>0</v>
      </c>
    </row>
    <row r="32" spans="2:6">
      <c r="B32" t="s">
        <v>855</v>
      </c>
      <c r="C32" s="4" cm="1">
        <f t="array" ref="C32">IF(COUNTA(_xlfn._xlws.FILTER('TERadj'!D2:D100, ('TERadj'!D2:D100&gt;0)*('TERadj'!D2:D100="Germany")))=0, 0, COUNTA(_xlfn._xlws.FILTER('TERadj'!D2:D100, ('TERadj'!D2:D100&gt;0)*('TERadj'!D2:D100="Germany"))))</f>
        <v>0</v>
      </c>
    </row>
    <row r="33" spans="2:3">
      <c r="B33" t="s">
        <v>861</v>
      </c>
      <c r="C33" s="4" cm="1">
        <f t="array" ref="C33">IF(COUNTA(_xlfn._xlws.FILTER('TERadj'!D2:D100, ('TERadj'!D2:D100&gt;0)*('TERadj'!D2:D100="Hong Kong")))=0, 0, COUNTA(_xlfn._xlws.FILTER('TERadj'!D2:D100, ('TERadj'!D2:D100&gt;0)*('TERadj'!D2:D100="Hong Kong"))))</f>
        <v>0</v>
      </c>
    </row>
    <row r="34" spans="2:3">
      <c r="B34" t="s">
        <v>852</v>
      </c>
      <c r="C34" s="4" cm="1">
        <f t="array" ref="C34">IF(COUNTA(_xlfn._xlws.FILTER('TERadj'!D2:D100, ('TERadj'!D2:D100&gt;0)*('TERadj'!D2:D100="Ireland")))=0, 0, COUNTA(_xlfn._xlws.FILTER('TERadj'!D2:D100, ('TERadj'!D2:D100&gt;0)*('TERadj'!D2:D100="Ireland"))))</f>
        <v>0</v>
      </c>
    </row>
    <row r="35" spans="2:3">
      <c r="B35" t="s">
        <v>851</v>
      </c>
      <c r="C35" s="4" cm="1">
        <f t="array" ref="C35">IF(COUNTA(_xlfn._xlws.FILTER('TERadj'!D2:D100, ('TERadj'!D2:D100&gt;0)*('TERadj'!D2:D100="Japan")))=0, 0, COUNTA(_xlfn._xlws.FILTER('TERadj'!D2:D100, ('TERadj'!D2:D100&gt;0)*('TERadj'!D2:D100="Japan"))))</f>
        <v>0</v>
      </c>
    </row>
    <row r="36" spans="2:3">
      <c r="B36" t="s">
        <v>854</v>
      </c>
      <c r="C36" s="4" cm="1">
        <f t="array" ref="C36">IF(COUNTA(_xlfn._xlws.FILTER('TERadj'!D2:D100, ('TERadj'!D2:D100&gt;0)*('TERadj'!D2:D100="Korea, Republic Of")))=0, 0, COUNTA(_xlfn._xlws.FILTER('TERadj'!D2:D100, ('TERadj'!D2:D100&gt;0)*('TERadj'!D2:D100="Korea, Republic Of"))))</f>
        <v>0</v>
      </c>
    </row>
    <row r="37" spans="2:3">
      <c r="B37" t="s">
        <v>850</v>
      </c>
      <c r="C37" s="4" cm="1">
        <f t="array" ref="C37">IF(COUNTA(_xlfn._xlws.FILTER('TERadj'!D2:D100, ('TERadj'!D2:D100&gt;0)*('TERadj'!D2:D100="Luxembourg")))=0, 0, COUNTA(_xlfn._xlws.FILTER('TERadj'!D2:D100, ('TERadj'!D2:D100&gt;0)*('TERadj'!D2:D100="Luxembourg"))))</f>
        <v>0</v>
      </c>
    </row>
    <row r="38" spans="2:3">
      <c r="B38" t="s">
        <v>845</v>
      </c>
      <c r="C38" s="4" cm="1">
        <f t="array" ref="C38">IF(COUNTA(_xlfn._xlws.FILTER('TERadj'!D2:D100, ('TERadj'!D2:D100&gt;0)*('TERadj'!D2:D100="Netherlands")))=0, 0, COUNTA(_xlfn._xlws.FILTER('TERadj'!D2:D100, ('TERadj'!D2:D100&gt;0)*('TERadj'!D2:D100="Netherlands"))))</f>
        <v>0</v>
      </c>
    </row>
    <row r="39" spans="2:3">
      <c r="B39" t="s">
        <v>856</v>
      </c>
      <c r="C39" s="4" cm="1">
        <f t="array" ref="C39">IF(COUNTA(_xlfn._xlws.FILTER('TERadj'!D2:D100, ('TERadj'!D2:D100&gt;0)*('TERadj'!D2:D100="Norway")))=0, 0, COUNTA(_xlfn._xlws.FILTER('TERadj'!D2:D100, ('TERadj'!D2:D100&gt;0)*('TERadj'!D2:D100="Norway"))))</f>
        <v>0</v>
      </c>
    </row>
    <row r="40" spans="2:3">
      <c r="B40" t="s">
        <v>847</v>
      </c>
      <c r="C40" s="4" cm="1">
        <f t="array" ref="C40">IF(COUNTA(_xlfn._xlws.FILTER('TERadj'!D2:D100, ('TERadj'!D2:D100&gt;0)*('TERadj'!D2:D100="Portugal")))=0, 0, COUNTA(_xlfn._xlws.FILTER('TERadj'!D2:D100, ('TERadj'!D2:D100&gt;0)*('TERadj'!D2:D100="Portugal"))))</f>
        <v>0</v>
      </c>
    </row>
    <row r="41" spans="2:3">
      <c r="B41" t="s">
        <v>844</v>
      </c>
      <c r="C41" s="4" cm="1">
        <f t="array" ref="C41">IF(COUNTA(_xlfn._xlws.FILTER('TERadj'!D2:D100, ('TERadj'!D2:D100&gt;0)*('TERadj'!D2:D100="Singapore")))=0, 0, COUNTA(_xlfn._xlws.FILTER('TERadj'!D2:D100, ('TERadj'!D2:D100&gt;0)*('TERadj'!D2:D100="Singapore"))))</f>
        <v>0</v>
      </c>
    </row>
    <row r="42" spans="2:3">
      <c r="B42" t="s">
        <v>862</v>
      </c>
      <c r="C42" s="4" cm="1">
        <f t="array" ref="C42">IF(COUNTA(_xlfn._xlws.FILTER('TERadj'!D2:D100, ('TERadj'!D2:D100&gt;0)*('TERadj'!D2:D100="Spain")))=0, 0, COUNTA(_xlfn._xlws.FILTER('TERadj'!D2:D100, ('TERadj'!D2:D100&gt;0)*('TERadj'!D2:D100="Spain"))))</f>
        <v>0</v>
      </c>
    </row>
    <row r="43" spans="2:3">
      <c r="B43" t="s">
        <v>857</v>
      </c>
      <c r="C43" s="4" cm="1">
        <f t="array" ref="C43">IF(COUNTA(_xlfn._xlws.FILTER('TERadj'!D2:D100, ('TERadj'!D2:D100&gt;0)*('TERadj'!D2:D100="Sweden")))=0, 0, COUNTA(_xlfn._xlws.FILTER('TERadj'!D2:D100, ('TERadj'!D2:D100&gt;0)*('TERadj'!D2:D100="Sweden"))))</f>
        <v>0</v>
      </c>
    </row>
    <row r="44" spans="2:3">
      <c r="B44" t="s">
        <v>846</v>
      </c>
      <c r="C44" s="4" cm="1">
        <f t="array" ref="C44">IF(COUNTA(_xlfn._xlws.FILTER('TERadj'!D2:D100, ('TERadj'!D2:D100&gt;0)*('TERadj'!D2:D100="Switzerland")))=0, 0, COUNTA(_xlfn._xlws.FILTER('TERadj'!D2:D100, ('TERadj'!D2:D100&gt;0)*('TERadj'!D2:D100="Switzerland"))))</f>
        <v>0</v>
      </c>
    </row>
    <row r="45" spans="2:3">
      <c r="B45" t="s">
        <v>849</v>
      </c>
      <c r="C45" s="4" cm="1">
        <f t="array" ref="C45">IF(COUNTA(_xlfn._xlws.FILTER('TERadj'!D2:D100, ('TERadj'!D2:D100&gt;0)*('TERadj'!D2:D100="United Kingdom")))=0, 0, COUNTA(_xlfn._xlws.FILTER('TERadj'!D2:D100, ('TERadj'!D2:D100&gt;0)*('TERadj'!D2:D100="United Kingdom"))))</f>
        <v>0</v>
      </c>
    </row>
    <row r="46" spans="2:3">
      <c r="B46" t="s">
        <v>843</v>
      </c>
      <c r="C46" s="4" cm="1">
        <f t="array" ref="C46">IF(COUNTA(_xlfn._xlws.FILTER('TERadj'!D2:D100, ('TERadj'!D2:D100&gt;0)*('TERadj'!D2:D100="United States")))=0, 0, COUNTA(_xlfn._xlws.FILTER('TERadj'!D2:D100, ('TERadj'!D2:D100&gt;0)*('TERadj'!D2:D100="United States"))))</f>
        <v>0</v>
      </c>
    </row>
    <row r="47" spans="2:3">
      <c r="B47" t="s">
        <v>842</v>
      </c>
      <c r="C47" s="4" cm="1">
        <f t="array" ref="C47">IF(COUNTA(_xlfn._xlws.FILTER('TERadj'!D2:D100, ('TERadj'!D2:D100&gt;0)*('TERadj'!D2:D100="empty")))=0, 0, COUNTA(_xlfn._xlws.FILTER('TERadj'!D2:D100, ('TERadj'!D2:D100&gt;0)*('TERadj'!D2:D100="empty"))))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33A0"/>
  </sheetPr>
  <dimension ref="A1:N15"/>
  <sheetViews>
    <sheetView workbookViewId="0"/>
  </sheetViews>
  <sheetFormatPr defaultRowHeight="15"/>
  <sheetData>
    <row r="1" spans="1:14" s="3" customFormat="1" ht="40" customHeight="1">
      <c r="A1" s="3" t="s">
        <v>914</v>
      </c>
    </row>
    <row r="3" spans="1:14">
      <c r="B3" t="s">
        <v>915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915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916</v>
      </c>
      <c r="C4">
        <f>IF(SUMIFS('TERadj'!G2:G100,'TERadj'!G2:G100,"&gt;0",'TERadj'!C2:C100,"Asia Pacific")/1000,SUMIFS('TERadj'!G2:G100,'TERadj'!G2:G100,"&gt;0",'TERadj'!C2:C100,"Asia Pacific")/1000,"")</f>
        <v>0</v>
      </c>
      <c r="D4">
        <f>IF(SUMIFS('TERadj'!G2:G100,'TERadj'!G2:G100,"&gt;0",'TERadj'!C2:C100,"Europe")/1000,SUMIFS('TERadj'!G2:G100,'TERadj'!G2:G100,"&gt;0",'TERadj'!C2:C100,"Europe")/1000,"")</f>
        <v>0</v>
      </c>
      <c r="E4">
        <f>IF(SUMIFS('TERadj'!G2:G100,'TERadj'!G2:G100,"&gt;0",'TERadj'!C2:C100,"North America")/1000,SUMIFS('TERadj'!G2:G100,'TERadj'!G2:G100,"&gt;0",'TERadj'!C2:C100,"North America")/1000,"")</f>
        <v>0</v>
      </c>
      <c r="F4">
        <f>IF(SUMIFS('TERadj'!G2:G100,'TERadj'!G2:G100,"&gt;0",'TERadj'!C2:C100,"South America")/1000,SUMIFS('TERadj'!G2:G100,'TERadj'!G2:G100,"&gt;0",'TERadj'!C2:C100,"South America")/1000,"")</f>
        <v>0</v>
      </c>
      <c r="G4">
        <f>IF(SUMIFS('TERadj'!G2:G100,'TERadj'!G2:G100,"&gt;0",'TERadj'!C2:C100,"Africa")/1000,SUMIFS('TERadj'!G2:G100,'TERadj'!G2:G100,"&gt;0",'TERadj'!C2:C100,"Africa")/1000,"")</f>
        <v>0</v>
      </c>
      <c r="I4" t="s">
        <v>916</v>
      </c>
      <c r="J4" cm="1">
        <f t="array" ref="J4">IF(COUNT(_xlfn._xlws.FILTER('TERadj'!G2:G100, ('TERadj'!G2:G100&gt;0)*('TERadj'!C2:C100="Asia Pacific"))),COUNT(_xlfn._xlws.FILTER('TERadj'!G2:G100, ('TERadj'!G2:G100&gt;0)*('TERadj'!C2:C100="Asia Pacific"))),"")</f>
        <v>0</v>
      </c>
      <c r="K4" cm="1">
        <f t="array" ref="K4">IF(COUNT(_xlfn._xlws.FILTER('TERadj'!G2:G100, ('TERadj'!G2:G100&gt;0)*('TERadj'!C2:C100="Europe"))),COUNT(_xlfn._xlws.FILTER('TERadj'!G2:G100, ('TERadj'!G2:G100&gt;0)*('TERadj'!C2:C100="Europe"))),"")</f>
        <v>0</v>
      </c>
      <c r="L4" cm="1">
        <f t="array" ref="L4">IF(COUNT(_xlfn._xlws.FILTER('TERadj'!G2:G100, ('TERadj'!G2:G100&gt;0)*('TERadj'!C2:C100="North America"))),COUNT(_xlfn._xlws.FILTER('TERadj'!G2:G100, ('TERadj'!G2:G100&gt;0)*('TERadj'!C2:C100="North America"))),"")</f>
        <v>0</v>
      </c>
      <c r="M4" cm="1">
        <f t="array" ref="M4">IF(COUNT(_xlfn._xlws.FILTER('TERadj'!G2:G100, ('TERadj'!G2:G100&gt;0)*('TERadj'!C2:C100="South America"))),COUNT(_xlfn._xlws.FILTER('TERadj'!G2:G100, ('TERadj'!G2:G100&gt;0)*('TERadj'!C2:C100="South America"))),"")</f>
        <v>0</v>
      </c>
      <c r="N4" cm="1">
        <f t="array" ref="N4">IF(COUNT(_xlfn._xlws.FILTER('TERadj'!G2:G100, ('TERadj'!G2:G100&gt;0)*('TERadj'!C2:C100="Africa"))),COUNT(_xlfn._xlws.FILTER('TERadj'!G2:G100, ('TERadj'!G2:G100&gt;0)*('TERadj'!C2:C100="Africa"))),"")</f>
        <v>0</v>
      </c>
    </row>
    <row r="5" spans="1:14">
      <c r="B5" t="s">
        <v>917</v>
      </c>
      <c r="C5">
        <f>IF(SUMIFS('TERadj'!H2:H100,'TERadj'!H2:H100,"&gt;0",'TERadj'!C2:C100,"Asia Pacific")/1000,SUMIFS('TERadj'!H2:H100,'TERadj'!H2:H100,"&gt;0",'TERadj'!C2:C100,"Asia Pacific")/1000,"")</f>
        <v>0</v>
      </c>
      <c r="D5">
        <f>IF(SUMIFS('TERadj'!H2:H100,'TERadj'!H2:H100,"&gt;0",'TERadj'!C2:C100,"Europe")/1000,SUMIFS('TERadj'!H2:H100,'TERadj'!H2:H100,"&gt;0",'TERadj'!C2:C100,"Europe")/1000,"")</f>
        <v>0</v>
      </c>
      <c r="E5">
        <f>IF(SUMIFS('TERadj'!H2:H100,'TERadj'!H2:H100,"&gt;0",'TERadj'!C2:C100,"North America")/1000,SUMIFS('TERadj'!H2:H100,'TERadj'!H2:H100,"&gt;0",'TERadj'!C2:C100,"North America")/1000,"")</f>
        <v>0</v>
      </c>
      <c r="F5">
        <f>IF(SUMIFS('TERadj'!H2:H100,'TERadj'!H2:H100,"&gt;0",'TERadj'!C2:C100,"South America")/1000,SUMIFS('TERadj'!H2:H100,'TERadj'!H2:H100,"&gt;0",'TERadj'!C2:C100,"South America")/1000,"")</f>
        <v>0</v>
      </c>
      <c r="G5">
        <f>IF(SUMIFS('TERadj'!H2:H100,'TERadj'!H2:H100,"&gt;0",'TERadj'!C2:C100,"Africa")/1000,SUMIFS('TERadj'!H2:H100,'TERadj'!H2:H100,"&gt;0",'TERadj'!C2:C100,"Africa")/1000,"")</f>
        <v>0</v>
      </c>
      <c r="I5" t="s">
        <v>917</v>
      </c>
      <c r="J5" cm="1">
        <f t="array" ref="J5">IF(COUNT(_xlfn._xlws.FILTER('TERadj'!H2:H100, ('TERadj'!H2:H100&gt;0)*('TERadj'!C2:C100="Asia Pacific"))),COUNT(_xlfn._xlws.FILTER('TERadj'!H2:H100, ('TERadj'!H2:H100&gt;0)*('TERadj'!C2:C100="Asia Pacific"))),"")</f>
        <v>0</v>
      </c>
      <c r="K5" cm="1">
        <f t="array" ref="K5">IF(COUNT(_xlfn._xlws.FILTER('TERadj'!H2:H100, ('TERadj'!H2:H100&gt;0)*('TERadj'!C2:C100="Europe"))),COUNT(_xlfn._xlws.FILTER('TERadj'!H2:H100, ('TERadj'!H2:H100&gt;0)*('TERadj'!C2:C100="Europe"))),"")</f>
        <v>0</v>
      </c>
      <c r="L5" cm="1">
        <f t="array" ref="L5">IF(COUNT(_xlfn._xlws.FILTER('TERadj'!H2:H100, ('TERadj'!H2:H100&gt;0)*('TERadj'!C2:C100="North America"))),COUNT(_xlfn._xlws.FILTER('TERadj'!H2:H100, ('TERadj'!H2:H100&gt;0)*('TERadj'!C2:C100="North America"))),"")</f>
        <v>0</v>
      </c>
      <c r="M5" cm="1">
        <f t="array" ref="M5">IF(COUNT(_xlfn._xlws.FILTER('TERadj'!H2:H100, ('TERadj'!H2:H100&gt;0)*('TERadj'!C2:C100="South America"))),COUNT(_xlfn._xlws.FILTER('TERadj'!H2:H100, ('TERadj'!H2:H100&gt;0)*('TERadj'!C2:C100="South America"))),"")</f>
        <v>0</v>
      </c>
      <c r="N5" cm="1">
        <f t="array" ref="N5">IF(COUNT(_xlfn._xlws.FILTER('TERadj'!H2:H100, ('TERadj'!H2:H100&gt;0)*('TERadj'!C2:C100="Africa"))),COUNT(_xlfn._xlws.FILTER('TERadj'!H2:H100, ('TERadj'!H2:H100&gt;0)*('TERadj'!C2:C100="Africa"))),"")</f>
        <v>0</v>
      </c>
    </row>
    <row r="6" spans="1:14">
      <c r="B6" t="s">
        <v>918</v>
      </c>
      <c r="C6">
        <f>IF(SUMIFS('TERadj'!I2:I100,'TERadj'!I2:I100,"&gt;0",'TERadj'!C2:C100,"Asia Pacific")/1000,SUMIFS('TERadj'!I2:I100,'TERadj'!I2:I100,"&gt;0",'TERadj'!C2:C100,"Asia Pacific")/1000,"")</f>
        <v>0</v>
      </c>
      <c r="D6">
        <f>IF(SUMIFS('TERadj'!I2:I100,'TERadj'!I2:I100,"&gt;0",'TERadj'!C2:C100,"Europe")/1000,SUMIFS('TERadj'!I2:I100,'TERadj'!I2:I100,"&gt;0",'TERadj'!C2:C100,"Europe")/1000,"")</f>
        <v>0</v>
      </c>
      <c r="E6">
        <f>IF(SUMIFS('TERadj'!I2:I100,'TERadj'!I2:I100,"&gt;0",'TERadj'!C2:C100,"North America")/1000,SUMIFS('TERadj'!I2:I100,'TERadj'!I2:I100,"&gt;0",'TERadj'!C2:C100,"North America")/1000,"")</f>
        <v>0</v>
      </c>
      <c r="F6">
        <f>IF(SUMIFS('TERadj'!I2:I100,'TERadj'!I2:I100,"&gt;0",'TERadj'!C2:C100,"South America")/1000,SUMIFS('TERadj'!I2:I100,'TERadj'!I2:I100,"&gt;0",'TERadj'!C2:C100,"South America")/1000,"")</f>
        <v>0</v>
      </c>
      <c r="G6">
        <f>IF(SUMIFS('TERadj'!I2:I100,'TERadj'!I2:I100,"&gt;0",'TERadj'!C2:C100,"Africa")/1000,SUMIFS('TERadj'!I2:I100,'TERadj'!I2:I100,"&gt;0",'TERadj'!C2:C100,"Africa")/1000,"")</f>
        <v>0</v>
      </c>
      <c r="I6" t="s">
        <v>918</v>
      </c>
      <c r="J6" cm="1">
        <f t="array" ref="J6">IF(COUNT(_xlfn._xlws.FILTER('TERadj'!I2:I100, ('TERadj'!I2:I100&gt;0)*('TERadj'!C2:C100="Asia Pacific"))),COUNT(_xlfn._xlws.FILTER('TERadj'!I2:I100, ('TERadj'!I2:I100&gt;0)*('TERadj'!C2:C100="Asia Pacific"))),"")</f>
        <v>0</v>
      </c>
      <c r="K6" cm="1">
        <f t="array" ref="K6">IF(COUNT(_xlfn._xlws.FILTER('TERadj'!I2:I100, ('TERadj'!I2:I100&gt;0)*('TERadj'!C2:C100="Europe"))),COUNT(_xlfn._xlws.FILTER('TERadj'!I2:I100, ('TERadj'!I2:I100&gt;0)*('TERadj'!C2:C100="Europe"))),"")</f>
        <v>0</v>
      </c>
      <c r="L6" cm="1">
        <f t="array" ref="L6">IF(COUNT(_xlfn._xlws.FILTER('TERadj'!I2:I100, ('TERadj'!I2:I100&gt;0)*('TERadj'!C2:C100="North America"))),COUNT(_xlfn._xlws.FILTER('TERadj'!I2:I100, ('TERadj'!I2:I100&gt;0)*('TERadj'!C2:C100="North America"))),"")</f>
        <v>0</v>
      </c>
      <c r="M6" cm="1">
        <f t="array" ref="M6">IF(COUNT(_xlfn._xlws.FILTER('TERadj'!I2:I100, ('TERadj'!I2:I100&gt;0)*('TERadj'!C2:C100="South America"))),COUNT(_xlfn._xlws.FILTER('TERadj'!I2:I100, ('TERadj'!I2:I100&gt;0)*('TERadj'!C2:C100="South America"))),"")</f>
        <v>0</v>
      </c>
      <c r="N6" cm="1">
        <f t="array" ref="N6">IF(COUNT(_xlfn._xlws.FILTER('TERadj'!I2:I100, ('TERadj'!I2:I100&gt;0)*('TERadj'!C2:C100="Africa"))),COUNT(_xlfn._xlws.FILTER('TERadj'!I2:I100, ('TERadj'!I2:I100&gt;0)*('TERadj'!C2:C100="Africa"))),"")</f>
        <v>0</v>
      </c>
    </row>
    <row r="7" spans="1:14">
      <c r="B7" t="s">
        <v>919</v>
      </c>
      <c r="C7">
        <f>IF(SUMIFS('TERadj'!J2:J100,'TERadj'!J2:J100,"&gt;0",'TERadj'!C2:C100,"Asia Pacific")/1000,SUMIFS('TERadj'!J2:J100,'TERadj'!J2:J100,"&gt;0",'TERadj'!C2:C100,"Asia Pacific")/1000,"")</f>
        <v>0</v>
      </c>
      <c r="D7">
        <f>IF(SUMIFS('TERadj'!J2:J100,'TERadj'!J2:J100,"&gt;0",'TERadj'!C2:C100,"Europe")/1000,SUMIFS('TERadj'!J2:J100,'TERadj'!J2:J100,"&gt;0",'TERadj'!C2:C100,"Europe")/1000,"")</f>
        <v>0</v>
      </c>
      <c r="E7">
        <f>IF(SUMIFS('TERadj'!J2:J100,'TERadj'!J2:J100,"&gt;0",'TERadj'!C2:C100,"North America")/1000,SUMIFS('TERadj'!J2:J100,'TERadj'!J2:J100,"&gt;0",'TERadj'!C2:C100,"North America")/1000,"")</f>
        <v>0</v>
      </c>
      <c r="F7">
        <f>IF(SUMIFS('TERadj'!J2:J100,'TERadj'!J2:J100,"&gt;0",'TERadj'!C2:C100,"South America")/1000,SUMIFS('TERadj'!J2:J100,'TERadj'!J2:J100,"&gt;0",'TERadj'!C2:C100,"South America")/1000,"")</f>
        <v>0</v>
      </c>
      <c r="G7">
        <f>IF(SUMIFS('TERadj'!J2:J100,'TERadj'!J2:J100,"&gt;0",'TERadj'!C2:C100,"Africa")/1000,SUMIFS('TERadj'!J2:J100,'TERadj'!J2:J100,"&gt;0",'TERadj'!C2:C100,"Africa")/1000,"")</f>
        <v>0</v>
      </c>
      <c r="I7" t="s">
        <v>919</v>
      </c>
      <c r="J7" cm="1">
        <f t="array" ref="J7">IF(COUNT(_xlfn._xlws.FILTER('TERadj'!J2:J100, ('TERadj'!J2:J100&gt;0)*('TERadj'!C2:C100="Asia Pacific"))),COUNT(_xlfn._xlws.FILTER('TERadj'!J2:J100, ('TERadj'!J2:J100&gt;0)*('TERadj'!C2:C100="Asia Pacific"))),"")</f>
        <v>0</v>
      </c>
      <c r="K7" cm="1">
        <f t="array" ref="K7">IF(COUNT(_xlfn._xlws.FILTER('TERadj'!J2:J100, ('TERadj'!J2:J100&gt;0)*('TERadj'!C2:C100="Europe"))),COUNT(_xlfn._xlws.FILTER('TERadj'!J2:J100, ('TERadj'!J2:J100&gt;0)*('TERadj'!C2:C100="Europe"))),"")</f>
        <v>0</v>
      </c>
      <c r="L7" cm="1">
        <f t="array" ref="L7">IF(COUNT(_xlfn._xlws.FILTER('TERadj'!J2:J100, ('TERadj'!J2:J100&gt;0)*('TERadj'!C2:C100="North America"))),COUNT(_xlfn._xlws.FILTER('TERadj'!J2:J100, ('TERadj'!J2:J100&gt;0)*('TERadj'!C2:C100="North America"))),"")</f>
        <v>0</v>
      </c>
      <c r="M7" cm="1">
        <f t="array" ref="M7">IF(COUNT(_xlfn._xlws.FILTER('TERadj'!J2:J100, ('TERadj'!J2:J100&gt;0)*('TERadj'!C2:C100="South America"))),COUNT(_xlfn._xlws.FILTER('TERadj'!J2:J100, ('TERadj'!J2:J100&gt;0)*('TERadj'!C2:C100="South America"))),"")</f>
        <v>0</v>
      </c>
      <c r="N7" cm="1">
        <f t="array" ref="N7">IF(COUNT(_xlfn._xlws.FILTER('TERadj'!J2:J100, ('TERadj'!J2:J100&gt;0)*('TERadj'!C2:C100="Africa"))),COUNT(_xlfn._xlws.FILTER('TERadj'!J2:J100, ('TERadj'!J2:J100&gt;0)*('TERadj'!C2:C100="Africa"))),"")</f>
        <v>0</v>
      </c>
    </row>
    <row r="8" spans="1:14">
      <c r="B8" t="s">
        <v>920</v>
      </c>
      <c r="C8">
        <f>IF(SUMIFS('TERadj'!K2:K100,'TERadj'!K2:K100,"&gt;0",'TERadj'!C2:C100,"Asia Pacific")/1000,SUMIFS('TERadj'!K2:K100,'TERadj'!K2:K100,"&gt;0",'TERadj'!C2:C100,"Asia Pacific")/1000,"")</f>
        <v>0</v>
      </c>
      <c r="D8">
        <f>IF(SUMIFS('TERadj'!K2:K100,'TERadj'!K2:K100,"&gt;0",'TERadj'!C2:C100,"Europe")/1000,SUMIFS('TERadj'!K2:K100,'TERadj'!K2:K100,"&gt;0",'TERadj'!C2:C100,"Europe")/1000,"")</f>
        <v>0</v>
      </c>
      <c r="E8">
        <f>IF(SUMIFS('TERadj'!K2:K100,'TERadj'!K2:K100,"&gt;0",'TERadj'!C2:C100,"North America")/1000,SUMIFS('TERadj'!K2:K100,'TERadj'!K2:K100,"&gt;0",'TERadj'!C2:C100,"North America")/1000,"")</f>
        <v>0</v>
      </c>
      <c r="F8">
        <f>IF(SUMIFS('TERadj'!K2:K100,'TERadj'!K2:K100,"&gt;0",'TERadj'!C2:C100,"South America")/1000,SUMIFS('TERadj'!K2:K100,'TERadj'!K2:K100,"&gt;0",'TERadj'!C2:C100,"South America")/1000,"")</f>
        <v>0</v>
      </c>
      <c r="G8">
        <f>IF(SUMIFS('TERadj'!K2:K100,'TERadj'!K2:K100,"&gt;0",'TERadj'!C2:C100,"Africa")/1000,SUMIFS('TERadj'!K2:K100,'TERadj'!K2:K100,"&gt;0",'TERadj'!C2:C100,"Africa")/1000,"")</f>
        <v>0</v>
      </c>
      <c r="I8" t="s">
        <v>920</v>
      </c>
      <c r="J8" cm="1">
        <f t="array" ref="J8">IF(COUNT(_xlfn._xlws.FILTER('TERadj'!K2:K100, ('TERadj'!K2:K100&gt;0)*('TERadj'!C2:C100="Asia Pacific"))),COUNT(_xlfn._xlws.FILTER('TERadj'!K2:K100, ('TERadj'!K2:K100&gt;0)*('TERadj'!C2:C100="Asia Pacific"))),"")</f>
        <v>0</v>
      </c>
      <c r="K8" cm="1">
        <f t="array" ref="K8">IF(COUNT(_xlfn._xlws.FILTER('TERadj'!K2:K100, ('TERadj'!K2:K100&gt;0)*('TERadj'!C2:C100="Europe"))),COUNT(_xlfn._xlws.FILTER('TERadj'!K2:K100, ('TERadj'!K2:K100&gt;0)*('TERadj'!C2:C100="Europe"))),"")</f>
        <v>0</v>
      </c>
      <c r="L8" cm="1">
        <f t="array" ref="L8">IF(COUNT(_xlfn._xlws.FILTER('TERadj'!K2:K100, ('TERadj'!K2:K100&gt;0)*('TERadj'!C2:C100="North America"))),COUNT(_xlfn._xlws.FILTER('TERadj'!K2:K100, ('TERadj'!K2:K100&gt;0)*('TERadj'!C2:C100="North America"))),"")</f>
        <v>0</v>
      </c>
      <c r="M8" cm="1">
        <f t="array" ref="M8">IF(COUNT(_xlfn._xlws.FILTER('TERadj'!K2:K100, ('TERadj'!K2:K100&gt;0)*('TERadj'!C2:C100="South America"))),COUNT(_xlfn._xlws.FILTER('TERadj'!K2:K100, ('TERadj'!K2:K100&gt;0)*('TERadj'!C2:C100="South America"))),"")</f>
        <v>0</v>
      </c>
      <c r="N8" cm="1">
        <f t="array" ref="N8">IF(COUNT(_xlfn._xlws.FILTER('TERadj'!K2:K100, ('TERadj'!K2:K100&gt;0)*('TERadj'!C2:C100="Africa"))),COUNT(_xlfn._xlws.FILTER('TERadj'!K2:K100, ('TERadj'!K2:K100&gt;0)*('TERadj'!C2:C100="Africa"))),"")</f>
        <v>0</v>
      </c>
    </row>
    <row r="10" spans="1:14">
      <c r="B10" t="s">
        <v>915</v>
      </c>
      <c r="C10" t="s">
        <v>839</v>
      </c>
      <c r="D10" t="s">
        <v>840</v>
      </c>
      <c r="E10" t="s">
        <v>838</v>
      </c>
      <c r="F10" t="s">
        <v>841</v>
      </c>
      <c r="G10" t="s">
        <v>898</v>
      </c>
    </row>
    <row r="11" spans="1:14">
      <c r="B11" t="s">
        <v>916</v>
      </c>
      <c r="C11" s="5">
        <f>IF(SUM(J4:J8) &gt; 0, IF(AND(SUM(C4:C8)&gt;0, ISNUMBER(C4)),C4/SUM(C4:C8), ""), "")</f>
        <v>0</v>
      </c>
      <c r="D11" s="5">
        <f>IF(SUM(J4:J8) &gt; 0, IF(AND(SUM(D4:D8)&gt;0, ISNUMBER(D4)),D4/SUM(D4:D8), ""), "")</f>
        <v>0</v>
      </c>
      <c r="E11" s="5">
        <f>IF(SUM(J4:J8) &gt; 0, IF(AND(SUM(E4:E8)&gt;0, ISNUMBER(E4)),E4/SUM(E4:E8), ""), "")</f>
        <v>0</v>
      </c>
      <c r="F11" s="5">
        <f>IF(SUM(J4:J8) &gt; 0, IF(AND(SUM(F4:F8)&gt;0, ISNUMBER(F4)),F4/SUM(F4:F8), ""), "")</f>
        <v>0</v>
      </c>
      <c r="G11" s="5">
        <f>IF(SUM(J4:J8) &gt; 0, IF(AND(SUM(G4:G8)&gt;0, ISNUMBER(G4)),G4/SUM(G4:G8), ""), "")</f>
        <v>0</v>
      </c>
    </row>
    <row r="12" spans="1:14">
      <c r="B12" t="s">
        <v>917</v>
      </c>
      <c r="C12" s="5">
        <f>IF(SUM(J4:J8) &gt; 0, IF(AND(SUM(C4:C8)&gt;0, ISNUMBER(C5)),C5/SUM(C4:C8), ""), "")</f>
        <v>0</v>
      </c>
      <c r="D12" s="5">
        <f>IF(SUM(J4:J8) &gt; 0, IF(AND(SUM(D4:D8)&gt;0, ISNUMBER(D5)),D5/SUM(D4:D8), ""), "")</f>
        <v>0</v>
      </c>
      <c r="E12" s="5">
        <f>IF(SUM(J4:J8) &gt; 0, IF(AND(SUM(E4:E8)&gt;0, ISNUMBER(E5)),E5/SUM(E4:E8), ""), "")</f>
        <v>0</v>
      </c>
      <c r="F12" s="5">
        <f>IF(SUM(J4:J8) &gt; 0, IF(AND(SUM(F4:F8)&gt;0, ISNUMBER(F5)),F5/SUM(F4:F8), ""), "")</f>
        <v>0</v>
      </c>
      <c r="G12" s="5">
        <f>IF(SUM(J4:J8) &gt; 0, IF(AND(SUM(G4:G8)&gt;0, ISNUMBER(G5)),G5/SUM(G4:G8), ""), "")</f>
        <v>0</v>
      </c>
    </row>
    <row r="13" spans="1:14">
      <c r="B13" t="s">
        <v>918</v>
      </c>
      <c r="C13" s="5">
        <f>IF(SUM(J4:J8) &gt; 0, IF(AND(SUM(C4:C8)&gt;0, ISNUMBER(C6)),C6/SUM(C4:C8), ""), "")</f>
        <v>0</v>
      </c>
      <c r="D13" s="5">
        <f>IF(SUM(J4:J8) &gt; 0, IF(AND(SUM(D4:D8)&gt;0, ISNUMBER(D6)),D6/SUM(D4:D8), ""), "")</f>
        <v>0</v>
      </c>
      <c r="E13" s="5">
        <f>IF(SUM(J4:J8) &gt; 0, IF(AND(SUM(E4:E8)&gt;0, ISNUMBER(E6)),E6/SUM(E4:E8), ""), "")</f>
        <v>0</v>
      </c>
      <c r="F13" s="5">
        <f>IF(SUM(J4:J8) &gt; 0, IF(AND(SUM(F4:F8)&gt;0, ISNUMBER(F6)),F6/SUM(F4:F8), ""), "")</f>
        <v>0</v>
      </c>
      <c r="G13" s="5">
        <f>IF(SUM(J4:J8) &gt; 0, IF(AND(SUM(G4:G8)&gt;0, ISNUMBER(G6)),G6/SUM(G4:G8), ""), "")</f>
        <v>0</v>
      </c>
    </row>
    <row r="14" spans="1:14">
      <c r="B14" t="s">
        <v>919</v>
      </c>
      <c r="C14" s="5">
        <f>IF(SUM(J4:J8) &gt; 0, IF(AND(SUM(C4:C8)&gt;0, ISNUMBER(C7)),C7/SUM(C4:C8), ""), "")</f>
        <v>0</v>
      </c>
      <c r="D14" s="5">
        <f>IF(SUM(J4:J8) &gt; 0, IF(AND(SUM(D4:D8)&gt;0, ISNUMBER(D7)),D7/SUM(D4:D8), ""), "")</f>
        <v>0</v>
      </c>
      <c r="E14" s="5">
        <f>IF(SUM(J4:J8) &gt; 0, IF(AND(SUM(E4:E8)&gt;0, ISNUMBER(E7)),E7/SUM(E4:E8), ""), "")</f>
        <v>0</v>
      </c>
      <c r="F14" s="5">
        <f>IF(SUM(J4:J8) &gt; 0, IF(AND(SUM(F4:F8)&gt;0, ISNUMBER(F7)),F7/SUM(F4:F8), ""), "")</f>
        <v>0</v>
      </c>
      <c r="G14" s="5">
        <f>IF(SUM(J4:J8) &gt; 0, IF(AND(SUM(G4:G8)&gt;0, ISNUMBER(G7)),G7/SUM(G4:G8), ""), "")</f>
        <v>0</v>
      </c>
    </row>
    <row r="15" spans="1:14">
      <c r="B15" t="s">
        <v>920</v>
      </c>
      <c r="C15" s="5">
        <f>IF(SUM(J4:J8) &gt; 0, IF(AND(SUM(C4:C8)&gt;0, ISNUMBER(C8)),C8/SUM(C4:C8), ""), "")</f>
        <v>0</v>
      </c>
      <c r="D15" s="5">
        <f>IF(SUM(J4:J8) &gt; 0, IF(AND(SUM(D4:D8)&gt;0, ISNUMBER(D8)),D8/SUM(D4:D8), ""), "")</f>
        <v>0</v>
      </c>
      <c r="E15" s="5">
        <f>IF(SUM(J4:J8) &gt; 0, IF(AND(SUM(E4:E8)&gt;0, ISNUMBER(E8)),E8/SUM(E4:E8), ""), "")</f>
        <v>0</v>
      </c>
      <c r="F15" s="5">
        <f>IF(SUM(J4:J8) &gt; 0, IF(AND(SUM(F4:F8)&gt;0, ISNUMBER(F8)),F8/SUM(F4:F8), ""), "")</f>
        <v>0</v>
      </c>
      <c r="G15" s="5">
        <f>IF(SUM(J4:J8) &gt; 0, IF(AND(SUM(G4:G8)&gt;0, ISNUMBER(G8)),G8/SUM(G4:G8), ""), "")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33A0"/>
  </sheetPr>
  <dimension ref="A1:F25"/>
  <sheetViews>
    <sheetView workbookViewId="0"/>
  </sheetViews>
  <sheetFormatPr defaultRowHeight="15"/>
  <sheetData>
    <row r="1" spans="1:6" s="3" customFormat="1" ht="40" customHeight="1">
      <c r="A1" s="3" t="s">
        <v>926</v>
      </c>
    </row>
    <row r="3" spans="1:6">
      <c r="B3" t="s">
        <v>927</v>
      </c>
      <c r="C3" t="s">
        <v>928</v>
      </c>
      <c r="E3" t="s">
        <v>927</v>
      </c>
      <c r="F3" t="s">
        <v>928</v>
      </c>
    </row>
    <row r="4" spans="1:6">
      <c r="B4">
        <v>2015</v>
      </c>
      <c r="C4">
        <v>123.453266875744</v>
      </c>
      <c r="E4">
        <v>2015</v>
      </c>
      <c r="F4">
        <v>123.453266875744</v>
      </c>
    </row>
    <row r="5" spans="1:6">
      <c r="B5">
        <v>2016</v>
      </c>
      <c r="C5">
        <v>121.83673760736</v>
      </c>
      <c r="E5">
        <v>2016</v>
      </c>
      <c r="F5">
        <v>121.83673760736</v>
      </c>
    </row>
    <row r="6" spans="1:6">
      <c r="B6">
        <v>2017</v>
      </c>
      <c r="C6">
        <v>139.924575097859</v>
      </c>
      <c r="E6">
        <v>2017</v>
      </c>
      <c r="F6">
        <v>139.924575097859</v>
      </c>
    </row>
    <row r="7" spans="1:6">
      <c r="B7">
        <v>2018</v>
      </c>
      <c r="C7">
        <v>158.357836522102</v>
      </c>
      <c r="E7">
        <v>2018</v>
      </c>
      <c r="F7">
        <v>158.357836522102</v>
      </c>
    </row>
    <row r="8" spans="1:6">
      <c r="B8">
        <v>2019</v>
      </c>
      <c r="C8">
        <v>196.539985409737</v>
      </c>
      <c r="E8">
        <v>2019</v>
      </c>
      <c r="F8">
        <v>196.539985409737</v>
      </c>
    </row>
    <row r="9" spans="1:6">
      <c r="B9">
        <v>2020</v>
      </c>
      <c r="C9">
        <v>122.904131431103</v>
      </c>
      <c r="E9">
        <v>2020</v>
      </c>
      <c r="F9">
        <v>122.904131431103</v>
      </c>
    </row>
    <row r="10" spans="1:6">
      <c r="B10">
        <v>2021</v>
      </c>
      <c r="C10">
        <v>253.766324152946</v>
      </c>
      <c r="E10">
        <v>2021</v>
      </c>
      <c r="F10">
        <v>253.766324152946</v>
      </c>
    </row>
    <row r="11" spans="1:6">
      <c r="B11">
        <v>2022</v>
      </c>
      <c r="C11">
        <v>246.266239655495</v>
      </c>
      <c r="E11">
        <v>2022</v>
      </c>
      <c r="F11">
        <v>246.266239655495</v>
      </c>
    </row>
    <row r="12" spans="1:6">
      <c r="B12">
        <v>2023</v>
      </c>
      <c r="C12">
        <v>117.202578669786</v>
      </c>
      <c r="E12">
        <v>2023</v>
      </c>
      <c r="F12">
        <v>117.202578669786</v>
      </c>
    </row>
    <row r="13" spans="1:6">
      <c r="B13">
        <v>2024</v>
      </c>
      <c r="C13">
        <f>IF(SUMIFS('TERadj'!M2:M100,'TERadj'!M2:M100,"&gt;0"),SUMIFS('TERadj'!M2:M100,'TERadj'!M2:M100,"&gt;0"),"")</f>
        <v>0</v>
      </c>
      <c r="E13">
        <v>2024</v>
      </c>
      <c r="F13">
        <f>IF(SUMIFS('TERadj'!M2:M100,'TERadj'!M2:M100,"&gt;0"),SUMIFS('TERadj'!M2:M100,'TERadj'!M2:M100,"&gt;0"),"")</f>
        <v>0</v>
      </c>
    </row>
    <row r="15" spans="1:6">
      <c r="B15" t="s">
        <v>927</v>
      </c>
      <c r="C15" t="s">
        <v>928</v>
      </c>
    </row>
    <row r="16" spans="1:6">
      <c r="B16">
        <v>2015</v>
      </c>
      <c r="C16" s="4">
        <f>C4</f>
        <v>0</v>
      </c>
    </row>
    <row r="17" spans="2:3">
      <c r="B17">
        <v>2016</v>
      </c>
      <c r="C17" s="4">
        <f>C5</f>
        <v>0</v>
      </c>
    </row>
    <row r="18" spans="2:3">
      <c r="B18">
        <v>2017</v>
      </c>
      <c r="C18" s="4">
        <f>C6</f>
        <v>0</v>
      </c>
    </row>
    <row r="19" spans="2:3">
      <c r="B19">
        <v>2018</v>
      </c>
      <c r="C19" s="4">
        <f>C7</f>
        <v>0</v>
      </c>
    </row>
    <row r="20" spans="2:3">
      <c r="B20">
        <v>2019</v>
      </c>
      <c r="C20" s="4">
        <f>C8</f>
        <v>0</v>
      </c>
    </row>
    <row r="21" spans="2:3">
      <c r="B21">
        <v>2020</v>
      </c>
      <c r="C21" s="4">
        <f>C9</f>
        <v>0</v>
      </c>
    </row>
    <row r="22" spans="2:3">
      <c r="B22">
        <v>2021</v>
      </c>
      <c r="C22" s="4">
        <f>C10</f>
        <v>0</v>
      </c>
    </row>
    <row r="23" spans="2:3">
      <c r="B23">
        <v>2022</v>
      </c>
      <c r="C23" s="4">
        <f>C11</f>
        <v>0</v>
      </c>
    </row>
    <row r="24" spans="2:3">
      <c r="B24">
        <v>2023</v>
      </c>
      <c r="C24" s="4">
        <f>C12</f>
        <v>0</v>
      </c>
    </row>
    <row r="25" spans="2:3">
      <c r="B25">
        <v>2024</v>
      </c>
      <c r="C25" s="4">
        <f>C13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33A0"/>
  </sheetPr>
  <dimension ref="A1:H17"/>
  <sheetViews>
    <sheetView workbookViewId="0"/>
  </sheetViews>
  <sheetFormatPr defaultRowHeight="15"/>
  <sheetData>
    <row r="1" spans="1:8" s="3" customFormat="1" ht="40" customHeight="1">
      <c r="A1" s="3" t="s">
        <v>929</v>
      </c>
    </row>
    <row r="3" spans="1:8">
      <c r="B3" t="s">
        <v>930</v>
      </c>
      <c r="C3" t="s">
        <v>931</v>
      </c>
      <c r="D3" t="s">
        <v>932</v>
      </c>
      <c r="F3" t="s">
        <v>930</v>
      </c>
      <c r="G3" t="s">
        <v>931</v>
      </c>
      <c r="H3" t="s">
        <v>932</v>
      </c>
    </row>
    <row r="4" spans="1:8">
      <c r="B4" t="s">
        <v>933</v>
      </c>
      <c r="C4">
        <v>26.8074838497639</v>
      </c>
      <c r="D4">
        <f>IF(SUMIFS('TERadj'!N2:N100,'TERadj'!N2:N100,"&gt;0")/1000,SUMIFS('TERadj'!N2:N100,'TERadj'!N2:N100,"&gt;0")/1000,"")</f>
        <v>0</v>
      </c>
      <c r="F4" t="s">
        <v>933</v>
      </c>
      <c r="G4">
        <v>26.8074838497639</v>
      </c>
      <c r="H4">
        <f>IF(SUMIFS('TERadj'!N2:N100,'TERadj'!N2:N100,"&gt;0")/1000,SUMIFS('TERadj'!N2:N100,'TERadj'!N2:N100,"&gt;0")/1000,"")</f>
        <v>0</v>
      </c>
    </row>
    <row r="5" spans="1:8">
      <c r="B5" t="s">
        <v>934</v>
      </c>
      <c r="C5">
        <v>12.5950258247852</v>
      </c>
      <c r="D5">
        <f>IF(SUMIFS('TERadj'!O2:O100,'TERadj'!O2:O100,"&gt;0")/1000,SUMIFS('TERadj'!O2:O100,'TERadj'!O2:O100,"&gt;0")/1000,"")</f>
        <v>0</v>
      </c>
      <c r="F5" t="s">
        <v>934</v>
      </c>
      <c r="G5">
        <v>12.5950258247852</v>
      </c>
      <c r="H5">
        <f>IF(SUMIFS('TERadj'!O2:O100,'TERadj'!O2:O100,"&gt;0")/1000,SUMIFS('TERadj'!O2:O100,'TERadj'!O2:O100,"&gt;0")/1000,"")</f>
        <v>0</v>
      </c>
    </row>
    <row r="6" spans="1:8">
      <c r="B6" t="s">
        <v>935</v>
      </c>
      <c r="C6">
        <v>2.91651965713501</v>
      </c>
      <c r="D6">
        <f>IF(SUMIFS('TERadj'!P2:P100,'TERadj'!P2:P100,"&gt;0")/1000,SUMIFS('TERadj'!P2:P100,'TERadj'!P2:P100,"&gt;0")/1000,"")</f>
        <v>0</v>
      </c>
      <c r="F6" t="s">
        <v>935</v>
      </c>
      <c r="G6">
        <v>2.91651965713501</v>
      </c>
      <c r="H6">
        <f>IF(SUMIFS('TERadj'!P2:P100,'TERadj'!P2:P100,"&gt;0")/1000,SUMIFS('TERadj'!P2:P100,'TERadj'!P2:P100,"&gt;0")/1000,"")</f>
        <v>0</v>
      </c>
    </row>
    <row r="7" spans="1:8">
      <c r="B7" t="s">
        <v>878</v>
      </c>
      <c r="C7">
        <v>9.15586828613281</v>
      </c>
      <c r="D7">
        <f>IF(SUMIFS('TERadj'!Q2:Q100,'TERadj'!Q2:Q100,"&gt;0")/1000,SUMIFS('TERadj'!Q2:Q100,'TERadj'!Q2:Q100,"&gt;0")/1000,"")</f>
        <v>0</v>
      </c>
      <c r="F7" t="s">
        <v>878</v>
      </c>
      <c r="G7">
        <v>9.15586828613281</v>
      </c>
      <c r="H7">
        <f>IF(SUMIFS('TERadj'!Q2:Q100,'TERadj'!Q2:Q100,"&gt;0")/1000,SUMIFS('TERadj'!Q2:Q100,'TERadj'!Q2:Q100,"&gt;0")/1000,"")</f>
        <v>0</v>
      </c>
    </row>
    <row r="8" spans="1:8">
      <c r="B8" t="s">
        <v>936</v>
      </c>
      <c r="C8">
        <v>1.33433003330231</v>
      </c>
      <c r="D8">
        <f>IF(SUMIFS('TERadj'!R2:R100,'TERadj'!R2:R100,"&gt;0")/1000,SUMIFS('TERadj'!R2:R100,'TERadj'!R2:R100,"&gt;0")/1000,"")</f>
        <v>0</v>
      </c>
      <c r="F8" t="s">
        <v>936</v>
      </c>
      <c r="G8">
        <v>1.33433003330231</v>
      </c>
      <c r="H8">
        <f>IF(SUMIFS('TERadj'!R2:R100,'TERadj'!R2:R100,"&gt;0")/1000,SUMIFS('TERadj'!R2:R100,'TERadj'!R2:R100,"&gt;0")/1000,"")</f>
        <v>0</v>
      </c>
    </row>
    <row r="9" spans="1:8">
      <c r="B9" t="s">
        <v>881</v>
      </c>
      <c r="C9">
        <v>16.2798261232376</v>
      </c>
      <c r="D9">
        <f>IF(SUMIFS('TERadj'!S2:S100,'TERadj'!S2:S100,"&gt;0")/1000,SUMIFS('TERadj'!S2:S100,'TERadj'!S2:S100,"&gt;0")/1000,"")</f>
        <v>0</v>
      </c>
      <c r="F9" t="s">
        <v>881</v>
      </c>
      <c r="G9">
        <v>16.2798261232376</v>
      </c>
      <c r="H9">
        <f>IF(SUMIFS('TERadj'!S2:S100,'TERadj'!S2:S100,"&gt;0")/1000,SUMIFS('TERadj'!S2:S100,'TERadj'!S2:S100,"&gt;0")/1000,"")</f>
        <v>0</v>
      </c>
    </row>
    <row r="11" spans="1:8">
      <c r="B11" t="s">
        <v>930</v>
      </c>
      <c r="C11" t="s">
        <v>931</v>
      </c>
      <c r="D11" t="s">
        <v>932</v>
      </c>
    </row>
    <row r="12" spans="1:8">
      <c r="B12" t="s">
        <v>933</v>
      </c>
      <c r="C12" s="6">
        <f>IF(AND(SUM(C4:C9)&gt;0, ISNUMBER(C4)),C4/SUM(C4:C9), "")</f>
        <v>0</v>
      </c>
      <c r="D12" s="6">
        <f>IF(AND(SUM(D4:D9)&gt;0, ISNUMBER(D4)),D4/SUM(D4:D9), "")</f>
        <v>0</v>
      </c>
    </row>
    <row r="13" spans="1:8">
      <c r="B13" t="s">
        <v>934</v>
      </c>
      <c r="C13" s="6">
        <f>IF(AND(SUM(C4:C9)&gt;0, ISNUMBER(C5)),C5/SUM(C4:C9), "")</f>
        <v>0</v>
      </c>
      <c r="D13" s="6">
        <f>IF(AND(SUM(D4:D9)&gt;0, ISNUMBER(D5)),D5/SUM(D4:D9), "")</f>
        <v>0</v>
      </c>
    </row>
    <row r="14" spans="1:8">
      <c r="B14" t="s">
        <v>935</v>
      </c>
      <c r="C14" s="6">
        <f>IF(AND(SUM(C4:C9)&gt;0, ISNUMBER(C6)),C6/SUM(C4:C9), "")</f>
        <v>0</v>
      </c>
      <c r="D14" s="6">
        <f>IF(AND(SUM(D4:D9)&gt;0, ISNUMBER(D6)),D6/SUM(D4:D9), "")</f>
        <v>0</v>
      </c>
    </row>
    <row r="15" spans="1:8">
      <c r="B15" t="s">
        <v>878</v>
      </c>
      <c r="C15" s="6">
        <f>IF(AND(SUM(C4:C9)&gt;0, ISNUMBER(C7)),C7/SUM(C4:C9), "")</f>
        <v>0</v>
      </c>
      <c r="D15" s="6">
        <f>IF(AND(SUM(D4:D9)&gt;0, ISNUMBER(D7)),D7/SUM(D4:D9), "")</f>
        <v>0</v>
      </c>
    </row>
    <row r="16" spans="1:8">
      <c r="B16" t="s">
        <v>936</v>
      </c>
      <c r="C16" s="6">
        <f>IF(AND(SUM(C4:C9)&gt;0, ISNUMBER(C8)),C8/SUM(C4:C9), "")</f>
        <v>0</v>
      </c>
      <c r="D16" s="6">
        <f>IF(AND(SUM(D4:D9)&gt;0, ISNUMBER(D8)),D8/SUM(D4:D9), "")</f>
        <v>0</v>
      </c>
    </row>
    <row r="17" spans="2:4">
      <c r="B17" t="s">
        <v>881</v>
      </c>
      <c r="C17" s="6">
        <f>IF(AND(SUM(C4:C9)&gt;0, ISNUMBER(C9)),C9/SUM(C4:C9), "")</f>
        <v>0</v>
      </c>
      <c r="D17" s="6">
        <f>IF(AND(SUM(D4:D9)&gt;0, ISNUMBER(D9)),D9/SUM(D4:D9), "")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33A0"/>
  </sheetPr>
  <dimension ref="A1:N19"/>
  <sheetViews>
    <sheetView workbookViewId="0"/>
  </sheetViews>
  <sheetFormatPr defaultRowHeight="15"/>
  <sheetData>
    <row r="1" spans="1:14" s="3" customFormat="1" ht="40" customHeight="1">
      <c r="A1" s="3" t="s">
        <v>937</v>
      </c>
    </row>
    <row r="3" spans="1:14">
      <c r="B3" t="s">
        <v>915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915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933</v>
      </c>
      <c r="C4">
        <f>IF(SUMIFS('TERadj'!T2:T100,'TERadj'!T2:T100,"&gt;0")/1000,SUMIFS('TERadj'!T2:T100,'TERadj'!T2:T100,"&gt;0")/1000,"")</f>
        <v>0</v>
      </c>
      <c r="D4">
        <f>IF(SUMIFS('TERadj'!U2:U100,'TERadj'!U2:U100,"&gt;0")/1000,SUMIFS('TERadj'!U2:U100,'TERadj'!U2:U100,"&gt;0")/1000,"")</f>
        <v>0</v>
      </c>
      <c r="E4">
        <f>IF(SUMIFS('TERadj'!V2:V100,'TERadj'!V2:V100,"&gt;0")/1000,SUMIFS('TERadj'!V2:V100,'TERadj'!V2:V100,"&gt;0")/1000,"")</f>
        <v>0</v>
      </c>
      <c r="F4">
        <f>IF(SUMIFS('TERadj'!W2:W100,'TERadj'!W2:W100,"&gt;0")/1000,SUMIFS('TERadj'!W2:W100,'TERadj'!W2:W100,"&gt;0")/1000,"")</f>
        <v>0</v>
      </c>
      <c r="G4">
        <f>IF(SUMIFS('TERadj'!X2:X100,'TERadj'!X2:X100,"&gt;0")/1000,SUMIFS('TERadj'!X2:X100,'TERadj'!X2:X100,"&gt;0")/1000,"")</f>
        <v>0</v>
      </c>
      <c r="I4" t="s">
        <v>933</v>
      </c>
      <c r="J4" cm="1">
        <f t="array" ref="J4">IF(COUNT(_xlfn._xlws.FILTER('TERadj'!T2:T100, ('TERadj'!T2:T100&gt;0))),COUNT(_xlfn._xlws.FILTER('TERadj'!T2:T100, ('TERadj'!T2:T100&gt;0))),"")</f>
        <v>0</v>
      </c>
      <c r="K4" cm="1">
        <f t="array" ref="K4">IF(COUNT(_xlfn._xlws.FILTER('TERadj'!U2:U100, ('TERadj'!U2:U100&gt;0))),COUNT(_xlfn._xlws.FILTER('TERadj'!U2:U100, ('TERadj'!U2:U100&gt;0))),"")</f>
        <v>0</v>
      </c>
      <c r="L4" cm="1">
        <f t="array" ref="L4">IF(COUNT(_xlfn._xlws.FILTER('TERadj'!V2:V100, ('TERadj'!V2:V100&gt;0))),COUNT(_xlfn._xlws.FILTER('TERadj'!V2:V100, ('TERadj'!V2:V100&gt;0))),"")</f>
        <v>0</v>
      </c>
      <c r="M4" cm="1">
        <f t="array" ref="M4">IF(COUNT(_xlfn._xlws.FILTER('TERadj'!W2:W100, ('TERadj'!W2:W100&gt;0))),COUNT(_xlfn._xlws.FILTER('TERadj'!W2:W100, ('TERadj'!W2:W100&gt;0))),"")</f>
        <v>0</v>
      </c>
      <c r="N4" cm="1">
        <f t="array" ref="N4">IF(COUNT(_xlfn._xlws.FILTER('TERadj'!X2:X100, ('TERadj'!X2:X100&gt;0))),COUNT(_xlfn._xlws.FILTER('TERadj'!X2:X100, ('TERadj'!X2:X100&gt;0))),"")</f>
        <v>0</v>
      </c>
    </row>
    <row r="5" spans="1:14">
      <c r="B5" t="s">
        <v>934</v>
      </c>
      <c r="C5">
        <f>IF(SUMIFS('TERadj'!Y2:Y100,'TERadj'!Y2:Y100,"&gt;0")/1000,SUMIFS('TERadj'!Y2:Y100,'TERadj'!Y2:Y100,"&gt;0")/1000,"")</f>
        <v>0</v>
      </c>
      <c r="D5">
        <f>IF(SUMIFS('TERadj'!Z2:Z100,'TERadj'!Z2:Z100,"&gt;0")/1000,SUMIFS('TERadj'!Z2:Z100,'TERadj'!Z2:Z100,"&gt;0")/1000,"")</f>
        <v>0</v>
      </c>
      <c r="E5">
        <f>IF(SUMIFS('TERadj'!AA2:AA100,'TERadj'!AA2:AA100,"&gt;0")/1000,SUMIFS('TERadj'!AA2:AA100,'TERadj'!AA2:AA100,"&gt;0")/1000,"")</f>
        <v>0</v>
      </c>
      <c r="F5">
        <f>IF(SUMIFS('TERadj'!AB2:AB100,'TERadj'!AB2:AB100,"&gt;0")/1000,SUMIFS('TERadj'!AB2:AB100,'TERadj'!AB2:AB100,"&gt;0")/1000,"")</f>
        <v>0</v>
      </c>
      <c r="G5">
        <f>IF(SUMIFS('TERadj'!AC2:AC100,'TERadj'!AC2:AC100,"&gt;0")/1000,SUMIFS('TERadj'!AC2:AC100,'TERadj'!AC2:AC100,"&gt;0")/1000,"")</f>
        <v>0</v>
      </c>
      <c r="I5" t="s">
        <v>934</v>
      </c>
      <c r="J5" cm="1">
        <f t="array" ref="J5">IF(COUNT(_xlfn._xlws.FILTER('TERadj'!Y2:Y100, ('TERadj'!Y2:Y100&gt;0))),COUNT(_xlfn._xlws.FILTER('TERadj'!Y2:Y100, ('TERadj'!Y2:Y100&gt;0))),"")</f>
        <v>0</v>
      </c>
      <c r="K5" cm="1">
        <f t="array" ref="K5">IF(COUNT(_xlfn._xlws.FILTER('TERadj'!Z2:Z100, ('TERadj'!Z2:Z100&gt;0))),COUNT(_xlfn._xlws.FILTER('TERadj'!Z2:Z100, ('TERadj'!Z2:Z100&gt;0))),"")</f>
        <v>0</v>
      </c>
      <c r="L5" cm="1">
        <f t="array" ref="L5">IF(COUNT(_xlfn._xlws.FILTER('TERadj'!AA2:AA100, ('TERadj'!AA2:AA100&gt;0))),COUNT(_xlfn._xlws.FILTER('TERadj'!AA2:AA100, ('TERadj'!AA2:AA100&gt;0))),"")</f>
        <v>0</v>
      </c>
      <c r="M5" cm="1">
        <f t="array" ref="M5">IF(COUNT(_xlfn._xlws.FILTER('TERadj'!AB2:AB100, ('TERadj'!AB2:AB100&gt;0))),COUNT(_xlfn._xlws.FILTER('TERadj'!AB2:AB100, ('TERadj'!AB2:AB100&gt;0))),"")</f>
        <v>0</v>
      </c>
      <c r="N5" cm="1">
        <f t="array" ref="N5">IF(COUNT(_xlfn._xlws.FILTER('TERadj'!AC2:AC100, ('TERadj'!AC2:AC100&gt;0))),COUNT(_xlfn._xlws.FILTER('TERadj'!AC2:AC100, ('TERadj'!AC2:AC100&gt;0))),"")</f>
        <v>0</v>
      </c>
    </row>
    <row r="6" spans="1:14">
      <c r="B6" t="s">
        <v>935</v>
      </c>
      <c r="C6">
        <f>IF(SUMIFS('TERadj'!AD2:AD100,'TERadj'!AD2:AD100,"&gt;0")/1000,SUMIFS('TERadj'!AD2:AD100,'TERadj'!AD2:AD100,"&gt;0")/1000,"")</f>
        <v>0</v>
      </c>
      <c r="D6">
        <f>IF(SUMIFS('TERadj'!AE2:AE100,'TERadj'!AE2:AE100,"&gt;0")/1000,SUMIFS('TERadj'!AE2:AE100,'TERadj'!AE2:AE100,"&gt;0")/1000,"")</f>
        <v>0</v>
      </c>
      <c r="E6">
        <f>IF(SUMIFS('TERadj'!AF2:AF100,'TERadj'!AF2:AF100,"&gt;0")/1000,SUMIFS('TERadj'!AF2:AF100,'TERadj'!AF2:AF100,"&gt;0")/1000,"")</f>
        <v>0</v>
      </c>
      <c r="F6">
        <f>IF(SUMIFS('TERadj'!AG2:AG100,'TERadj'!AG2:AG100,"&gt;0")/1000,SUMIFS('TERadj'!AG2:AG100,'TERadj'!AG2:AG100,"&gt;0")/1000,"")</f>
        <v>0</v>
      </c>
      <c r="G6">
        <f>IF(SUMIFS('TERadj'!AH2:AH100,'TERadj'!AH2:AH100,"&gt;0")/1000,SUMIFS('TERadj'!AH2:AH100,'TERadj'!AH2:AH100,"&gt;0")/1000,"")</f>
        <v>0</v>
      </c>
      <c r="I6" t="s">
        <v>935</v>
      </c>
      <c r="J6" cm="1">
        <f t="array" ref="J6">IF(COUNT(_xlfn._xlws.FILTER('TERadj'!AD2:AD100, ('TERadj'!AD2:AD100&gt;0))),COUNT(_xlfn._xlws.FILTER('TERadj'!AD2:AD100, ('TERadj'!AD2:AD100&gt;0))),"")</f>
        <v>0</v>
      </c>
      <c r="K6" cm="1">
        <f t="array" ref="K6">IF(COUNT(_xlfn._xlws.FILTER('TERadj'!AE2:AE100, ('TERadj'!AE2:AE100&gt;0))),COUNT(_xlfn._xlws.FILTER('TERadj'!AE2:AE100, ('TERadj'!AE2:AE100&gt;0))),"")</f>
        <v>0</v>
      </c>
      <c r="L6" cm="1">
        <f t="array" ref="L6">IF(COUNT(_xlfn._xlws.FILTER('TERadj'!AF2:AF100, ('TERadj'!AF2:AF100&gt;0))),COUNT(_xlfn._xlws.FILTER('TERadj'!AF2:AF100, ('TERadj'!AF2:AF100&gt;0))),"")</f>
        <v>0</v>
      </c>
      <c r="M6" cm="1">
        <f t="array" ref="M6">IF(COUNT(_xlfn._xlws.FILTER('TERadj'!AG2:AG100, ('TERadj'!AG2:AG100&gt;0))),COUNT(_xlfn._xlws.FILTER('TERadj'!AG2:AG100, ('TERadj'!AG2:AG100&gt;0))),"")</f>
        <v>0</v>
      </c>
      <c r="N6" cm="1">
        <f t="array" ref="N6">IF(COUNT(_xlfn._xlws.FILTER('TERadj'!AH2:AH100, ('TERadj'!AH2:AH100&gt;0))),COUNT(_xlfn._xlws.FILTER('TERadj'!AH2:AH100, ('TERadj'!AH2:AH100&gt;0))),"")</f>
        <v>0</v>
      </c>
    </row>
    <row r="7" spans="1:14">
      <c r="B7" t="s">
        <v>878</v>
      </c>
      <c r="C7">
        <f>IF(SUMIFS('TERadj'!AI2:AI100,'TERadj'!AI2:AI100,"&gt;0")/1000,SUMIFS('TERadj'!AI2:AI100,'TERadj'!AI2:AI100,"&gt;0")/1000,"")</f>
        <v>0</v>
      </c>
      <c r="D7">
        <f>IF(SUMIFS('TERadj'!AJ2:AJ100,'TERadj'!AJ2:AJ100,"&gt;0")/1000,SUMIFS('TERadj'!AJ2:AJ100,'TERadj'!AJ2:AJ100,"&gt;0")/1000,"")</f>
        <v>0</v>
      </c>
      <c r="E7">
        <f>IF(SUMIFS('TERadj'!AK2:AK100,'TERadj'!AK2:AK100,"&gt;0")/1000,SUMIFS('TERadj'!AK2:AK100,'TERadj'!AK2:AK100,"&gt;0")/1000,"")</f>
        <v>0</v>
      </c>
      <c r="F7">
        <f>IF(SUMIFS('TERadj'!AL2:AL100,'TERadj'!AL2:AL100,"&gt;0")/1000,SUMIFS('TERadj'!AL2:AL100,'TERadj'!AL2:AL100,"&gt;0")/1000,"")</f>
        <v>0</v>
      </c>
      <c r="G7">
        <f>IF(SUMIFS('TERadj'!AM2:AM100,'TERadj'!AM2:AM100,"&gt;0")/1000,SUMIFS('TERadj'!AM2:AM100,'TERadj'!AM2:AM100,"&gt;0")/1000,"")</f>
        <v>0</v>
      </c>
      <c r="I7" t="s">
        <v>878</v>
      </c>
      <c r="J7" cm="1">
        <f t="array" ref="J7">IF(COUNT(_xlfn._xlws.FILTER('TERadj'!AI2:AI100, ('TERadj'!AI2:AI100&gt;0))),COUNT(_xlfn._xlws.FILTER('TERadj'!AI2:AI100, ('TERadj'!AI2:AI100&gt;0))),"")</f>
        <v>0</v>
      </c>
      <c r="K7" cm="1">
        <f t="array" ref="K7">IF(COUNT(_xlfn._xlws.FILTER('TERadj'!AJ2:AJ100, ('TERadj'!AJ2:AJ100&gt;0))),COUNT(_xlfn._xlws.FILTER('TERadj'!AJ2:AJ100, ('TERadj'!AJ2:AJ100&gt;0))),"")</f>
        <v>0</v>
      </c>
      <c r="L7" cm="1">
        <f t="array" ref="L7">IF(COUNT(_xlfn._xlws.FILTER('TERadj'!AK2:AK100, ('TERadj'!AK2:AK100&gt;0))),COUNT(_xlfn._xlws.FILTER('TERadj'!AK2:AK100, ('TERadj'!AK2:AK100&gt;0))),"")</f>
        <v>0</v>
      </c>
      <c r="M7" cm="1">
        <f t="array" ref="M7">IF(COUNT(_xlfn._xlws.FILTER('TERadj'!AL2:AL100, ('TERadj'!AL2:AL100&gt;0))),COUNT(_xlfn._xlws.FILTER('TERadj'!AL2:AL100, ('TERadj'!AL2:AL100&gt;0))),"")</f>
        <v>0</v>
      </c>
      <c r="N7" cm="1">
        <f t="array" ref="N7">IF(COUNT(_xlfn._xlws.FILTER('TERadj'!AM2:AM100, ('TERadj'!AM2:AM100&gt;0))),COUNT(_xlfn._xlws.FILTER('TERadj'!AM2:AM100, ('TERadj'!AM2:AM100&gt;0))),"")</f>
        <v>0</v>
      </c>
    </row>
    <row r="8" spans="1:14">
      <c r="B8" t="s">
        <v>936</v>
      </c>
      <c r="C8">
        <f>IF(SUMIFS('TERadj'!AN2:AN100,'TERadj'!AN2:AN100,"&gt;0")/1000,SUMIFS('TERadj'!AN2:AN100,'TERadj'!AN2:AN100,"&gt;0")/1000,"")</f>
        <v>0</v>
      </c>
      <c r="D8">
        <f>IF(SUMIFS('TERadj'!AO2:AO100,'TERadj'!AO2:AO100,"&gt;0")/1000,SUMIFS('TERadj'!AO2:AO100,'TERadj'!AO2:AO100,"&gt;0")/1000,"")</f>
        <v>0</v>
      </c>
      <c r="E8">
        <f>IF(SUMIFS('TERadj'!AP2:AP100,'TERadj'!AP2:AP100,"&gt;0")/1000,SUMIFS('TERadj'!AP2:AP100,'TERadj'!AP2:AP100,"&gt;0")/1000,"")</f>
        <v>0</v>
      </c>
      <c r="F8">
        <f>IF(SUMIFS('TERadj'!AQ2:AQ100,'TERadj'!AQ2:AQ100,"&gt;0")/1000,SUMIFS('TERadj'!AQ2:AQ100,'TERadj'!AQ2:AQ100,"&gt;0")/1000,"")</f>
        <v>0</v>
      </c>
      <c r="G8">
        <f>IF(SUMIFS('TERadj'!AR2:AR100,'TERadj'!AR2:AR100,"&gt;0")/1000,SUMIFS('TERadj'!AR2:AR100,'TERadj'!AR2:AR100,"&gt;0")/1000,"")</f>
        <v>0</v>
      </c>
      <c r="I8" t="s">
        <v>936</v>
      </c>
      <c r="J8" cm="1">
        <f t="array" ref="J8">IF(COUNT(_xlfn._xlws.FILTER('TERadj'!AN2:AN100, ('TERadj'!AN2:AN100&gt;0))),COUNT(_xlfn._xlws.FILTER('TERadj'!AN2:AN100, ('TERadj'!AN2:AN100&gt;0))),"")</f>
        <v>0</v>
      </c>
      <c r="K8" cm="1">
        <f t="array" ref="K8">IF(COUNT(_xlfn._xlws.FILTER('TERadj'!AO2:AO100, ('TERadj'!AO2:AO100&gt;0))),COUNT(_xlfn._xlws.FILTER('TERadj'!AO2:AO100, ('TERadj'!AO2:AO100&gt;0))),"")</f>
        <v>0</v>
      </c>
      <c r="L8" cm="1">
        <f t="array" ref="L8">IF(COUNT(_xlfn._xlws.FILTER('TERadj'!AP2:AP100, ('TERadj'!AP2:AP100&gt;0))),COUNT(_xlfn._xlws.FILTER('TERadj'!AP2:AP100, ('TERadj'!AP2:AP100&gt;0))),"")</f>
        <v>0</v>
      </c>
      <c r="M8" cm="1">
        <f t="array" ref="M8">IF(COUNT(_xlfn._xlws.FILTER('TERadj'!AQ2:AQ100, ('TERadj'!AQ2:AQ100&gt;0))),COUNT(_xlfn._xlws.FILTER('TERadj'!AQ2:AQ100, ('TERadj'!AQ2:AQ100&gt;0))),"")</f>
        <v>0</v>
      </c>
      <c r="N8" cm="1">
        <f t="array" ref="N8">IF(COUNT(_xlfn._xlws.FILTER('TERadj'!AR2:AR100, ('TERadj'!AR2:AR100&gt;0))),COUNT(_xlfn._xlws.FILTER('TERadj'!AR2:AR100, ('TERadj'!AR2:AR100&gt;0))),"")</f>
        <v>0</v>
      </c>
    </row>
    <row r="9" spans="1:14">
      <c r="B9" t="s">
        <v>881</v>
      </c>
      <c r="C9">
        <f>IF(SUMIFS('TERadj'!AS2:AS100,'TERadj'!AS2:AS100,"&gt;0")/1000,SUMIFS('TERadj'!AS2:AS100,'TERadj'!AS2:AS100,"&gt;0")/1000,"")</f>
        <v>0</v>
      </c>
      <c r="D9">
        <f>IF(SUMIFS('TERadj'!AT2:AT100,'TERadj'!AT2:AT100,"&gt;0")/1000,SUMIFS('TERadj'!AT2:AT100,'TERadj'!AT2:AT100,"&gt;0")/1000,"")</f>
        <v>0</v>
      </c>
      <c r="E9">
        <f>IF(SUMIFS('TERadj'!AU2:AU100,'TERadj'!AU2:AU100,"&gt;0")/1000,SUMIFS('TERadj'!AU2:AU100,'TERadj'!AU2:AU100,"&gt;0")/1000,"")</f>
        <v>0</v>
      </c>
      <c r="F9">
        <f>IF(SUMIFS('TERadj'!AV2:AV100,'TERadj'!AV2:AV100,"&gt;0")/1000,SUMIFS('TERadj'!AV2:AV100,'TERadj'!AV2:AV100,"&gt;0")/1000,"")</f>
        <v>0</v>
      </c>
      <c r="G9">
        <f>IF(SUMIFS('TERadj'!AW2:AW100,'TERadj'!AW2:AW100,"&gt;0")/1000,SUMIFS('TERadj'!AW2:AW100,'TERadj'!AW2:AW100,"&gt;0")/1000,"")</f>
        <v>0</v>
      </c>
      <c r="I9" t="s">
        <v>881</v>
      </c>
      <c r="J9" cm="1">
        <f t="array" ref="J9">IF(COUNT(_xlfn._xlws.FILTER('TERadj'!AS2:AS100, ('TERadj'!AS2:AS100&gt;0))),COUNT(_xlfn._xlws.FILTER('TERadj'!AS2:AS100, ('TERadj'!AS2:AS100&gt;0))),"")</f>
        <v>0</v>
      </c>
      <c r="K9" cm="1">
        <f t="array" ref="K9">IF(COUNT(_xlfn._xlws.FILTER('TERadj'!AT2:AT100, ('TERadj'!AT2:AT100&gt;0))),COUNT(_xlfn._xlws.FILTER('TERadj'!AT2:AT100, ('TERadj'!AT2:AT100&gt;0))),"")</f>
        <v>0</v>
      </c>
      <c r="L9" cm="1">
        <f t="array" ref="L9">IF(COUNT(_xlfn._xlws.FILTER('TERadj'!AU2:AU100, ('TERadj'!AU2:AU100&gt;0))),COUNT(_xlfn._xlws.FILTER('TERadj'!AU2:AU100, ('TERadj'!AU2:AU100&gt;0))),"")</f>
        <v>0</v>
      </c>
      <c r="M9" cm="1">
        <f t="array" ref="M9">IF(COUNT(_xlfn._xlws.FILTER('TERadj'!AV2:AV100, ('TERadj'!AV2:AV100&gt;0))),COUNT(_xlfn._xlws.FILTER('TERadj'!AV2:AV100, ('TERadj'!AV2:AV100&gt;0))),"")</f>
        <v>0</v>
      </c>
      <c r="N9" cm="1">
        <f t="array" ref="N9">IF(COUNT(_xlfn._xlws.FILTER('TERadj'!AW2:AW100, ('TERadj'!AW2:AW100&gt;0))),COUNT(_xlfn._xlws.FILTER('TERadj'!AW2:AW100, ('TERadj'!AW2:AW100&gt;0))),"")</f>
        <v>0</v>
      </c>
    </row>
    <row r="10" spans="1:14">
      <c r="B10" t="s">
        <v>938</v>
      </c>
      <c r="I10" t="s">
        <v>938</v>
      </c>
    </row>
    <row r="12" spans="1:14">
      <c r="B12" t="s">
        <v>915</v>
      </c>
      <c r="C12" t="s">
        <v>839</v>
      </c>
      <c r="D12" t="s">
        <v>840</v>
      </c>
      <c r="E12" t="s">
        <v>838</v>
      </c>
      <c r="F12" t="s">
        <v>841</v>
      </c>
      <c r="G12" t="s">
        <v>898</v>
      </c>
    </row>
    <row r="13" spans="1:14">
      <c r="B13" t="s">
        <v>933</v>
      </c>
      <c r="C13" s="5">
        <f>IF(SUM(J4:J10) &gt; 0, IF(AND(SUM(C4:C10)&gt;0, ISNUMBER(C4)),C4/SUM(C4:C10), ""), "")</f>
        <v>0</v>
      </c>
      <c r="D13" s="5">
        <f>IF(SUM(J4:J10) &gt; 0, IF(AND(SUM(D4:D10)&gt;0, ISNUMBER(D4)),D4/SUM(D4:D10), ""), "")</f>
        <v>0</v>
      </c>
      <c r="E13" s="5">
        <f>IF(SUM(J4:J10) &gt; 0, IF(AND(SUM(E4:E10)&gt;0, ISNUMBER(E4)),E4/SUM(E4:E10), ""), "")</f>
        <v>0</v>
      </c>
      <c r="F13" s="5">
        <f>IF(SUM(J4:J10) &gt; 0, IF(AND(SUM(F4:F10)&gt;0, ISNUMBER(F4)),F4/SUM(F4:F10), ""), "")</f>
        <v>0</v>
      </c>
      <c r="G13" s="5">
        <f>IF(SUM(J4:J10) &gt; 0, IF(AND(SUM(G4:G10)&gt;0, ISNUMBER(G4)),G4/SUM(G4:G10), ""), "")</f>
        <v>0</v>
      </c>
    </row>
    <row r="14" spans="1:14">
      <c r="B14" t="s">
        <v>934</v>
      </c>
      <c r="C14" s="5">
        <f>IF(SUM(J4:J10) &gt; 0, IF(AND(SUM(C4:C10)&gt;0, ISNUMBER(C5)),C5/SUM(C4:C10), ""), "")</f>
        <v>0</v>
      </c>
      <c r="D14" s="5">
        <f>IF(SUM(J4:J10) &gt; 0, IF(AND(SUM(D4:D10)&gt;0, ISNUMBER(D5)),D5/SUM(D4:D10), ""), "")</f>
        <v>0</v>
      </c>
      <c r="E14" s="5">
        <f>IF(SUM(J4:J10) &gt; 0, IF(AND(SUM(E4:E10)&gt;0, ISNUMBER(E5)),E5/SUM(E4:E10), ""), "")</f>
        <v>0</v>
      </c>
      <c r="F14" s="5">
        <f>IF(SUM(J4:J10) &gt; 0, IF(AND(SUM(F4:F10)&gt;0, ISNUMBER(F5)),F5/SUM(F4:F10), ""), "")</f>
        <v>0</v>
      </c>
      <c r="G14" s="5">
        <f>IF(SUM(J4:J10) &gt; 0, IF(AND(SUM(G4:G10)&gt;0, ISNUMBER(G5)),G5/SUM(G4:G10), ""), "")</f>
        <v>0</v>
      </c>
    </row>
    <row r="15" spans="1:14">
      <c r="B15" t="s">
        <v>935</v>
      </c>
      <c r="C15" s="5">
        <f>IF(SUM(J4:J10) &gt; 0, IF(AND(SUM(C4:C10)&gt;0, ISNUMBER(C6)),C6/SUM(C4:C10), ""), "")</f>
        <v>0</v>
      </c>
      <c r="D15" s="5">
        <f>IF(SUM(J4:J10) &gt; 0, IF(AND(SUM(D4:D10)&gt;0, ISNUMBER(D6)),D6/SUM(D4:D10), ""), "")</f>
        <v>0</v>
      </c>
      <c r="E15" s="5">
        <f>IF(SUM(J4:J10) &gt; 0, IF(AND(SUM(E4:E10)&gt;0, ISNUMBER(E6)),E6/SUM(E4:E10), ""), "")</f>
        <v>0</v>
      </c>
      <c r="F15" s="5">
        <f>IF(SUM(J4:J10) &gt; 0, IF(AND(SUM(F4:F10)&gt;0, ISNUMBER(F6)),F6/SUM(F4:F10), ""), "")</f>
        <v>0</v>
      </c>
      <c r="G15" s="5">
        <f>IF(SUM(J4:J10) &gt; 0, IF(AND(SUM(G4:G10)&gt;0, ISNUMBER(G6)),G6/SUM(G4:G10), ""), "")</f>
        <v>0</v>
      </c>
    </row>
    <row r="16" spans="1:14">
      <c r="B16" t="s">
        <v>878</v>
      </c>
      <c r="C16" s="5">
        <f>IF(SUM(J4:J10) &gt; 0, IF(AND(SUM(C4:C10)&gt;0, ISNUMBER(C7)),C7/SUM(C4:C10), ""), "")</f>
        <v>0</v>
      </c>
      <c r="D16" s="5">
        <f>IF(SUM(J4:J10) &gt; 0, IF(AND(SUM(D4:D10)&gt;0, ISNUMBER(D7)),D7/SUM(D4:D10), ""), "")</f>
        <v>0</v>
      </c>
      <c r="E16" s="5">
        <f>IF(SUM(J4:J10) &gt; 0, IF(AND(SUM(E4:E10)&gt;0, ISNUMBER(E7)),E7/SUM(E4:E10), ""), "")</f>
        <v>0</v>
      </c>
      <c r="F16" s="5">
        <f>IF(SUM(J4:J10) &gt; 0, IF(AND(SUM(F4:F10)&gt;0, ISNUMBER(F7)),F7/SUM(F4:F10), ""), "")</f>
        <v>0</v>
      </c>
      <c r="G16" s="5">
        <f>IF(SUM(J4:J10) &gt; 0, IF(AND(SUM(G4:G10)&gt;0, ISNUMBER(G7)),G7/SUM(G4:G10), ""), "")</f>
        <v>0</v>
      </c>
    </row>
    <row r="17" spans="2:7">
      <c r="B17" t="s">
        <v>936</v>
      </c>
      <c r="C17" s="5">
        <f>IF(SUM(J4:J10) &gt; 0, IF(AND(SUM(C4:C10)&gt;0, ISNUMBER(C8)),C8/SUM(C4:C10), ""), "")</f>
        <v>0</v>
      </c>
      <c r="D17" s="5">
        <f>IF(SUM(J4:J10) &gt; 0, IF(AND(SUM(D4:D10)&gt;0, ISNUMBER(D8)),D8/SUM(D4:D10), ""), "")</f>
        <v>0</v>
      </c>
      <c r="E17" s="5">
        <f>IF(SUM(J4:J10) &gt; 0, IF(AND(SUM(E4:E10)&gt;0, ISNUMBER(E8)),E8/SUM(E4:E10), ""), "")</f>
        <v>0</v>
      </c>
      <c r="F17" s="5">
        <f>IF(SUM(J4:J10) &gt; 0, IF(AND(SUM(F4:F10)&gt;0, ISNUMBER(F8)),F8/SUM(F4:F10), ""), "")</f>
        <v>0</v>
      </c>
      <c r="G17" s="5">
        <f>IF(SUM(J4:J10) &gt; 0, IF(AND(SUM(G4:G10)&gt;0, ISNUMBER(G8)),G8/SUM(G4:G10), ""), "")</f>
        <v>0</v>
      </c>
    </row>
    <row r="18" spans="2:7">
      <c r="B18" t="s">
        <v>881</v>
      </c>
      <c r="C18" s="5">
        <f>IF(SUM(J4:J10) &gt; 0, IF(AND(SUM(C4:C10)&gt;0, ISNUMBER(C9)),C9/SUM(C4:C10), ""), "")</f>
        <v>0</v>
      </c>
      <c r="D18" s="5">
        <f>IF(SUM(J4:J10) &gt; 0, IF(AND(SUM(D4:D10)&gt;0, ISNUMBER(D9)),D9/SUM(D4:D10), ""), "")</f>
        <v>0</v>
      </c>
      <c r="E18" s="5">
        <f>IF(SUM(J4:J10) &gt; 0, IF(AND(SUM(E4:E10)&gt;0, ISNUMBER(E9)),E9/SUM(E4:E10), ""), "")</f>
        <v>0</v>
      </c>
      <c r="F18" s="5">
        <f>IF(SUM(J4:J10) &gt; 0, IF(AND(SUM(F4:F10)&gt;0, ISNUMBER(F9)),F9/SUM(F4:F10), ""), "")</f>
        <v>0</v>
      </c>
      <c r="G18" s="5">
        <f>IF(SUM(J4:J10) &gt; 0, IF(AND(SUM(G4:G10)&gt;0, ISNUMBER(G9)),G9/SUM(G4:G10), ""), "")</f>
        <v>0</v>
      </c>
    </row>
    <row r="19" spans="2:7">
      <c r="B19" t="s">
        <v>938</v>
      </c>
      <c r="C19" s="5">
        <f>IF(SUM(J4:J10) &gt; 0, IF(AND(SUM(C4:C10)&gt;0, ISNUMBER(C10)),C10/SUM(C4:C10), ""), "")</f>
        <v>0</v>
      </c>
      <c r="D19" s="5">
        <f>IF(SUM(J4:J10) &gt; 0, IF(AND(SUM(D4:D10)&gt;0, ISNUMBER(D10)),D10/SUM(D4:D10), ""), "")</f>
        <v>0</v>
      </c>
      <c r="E19" s="5">
        <f>IF(SUM(J4:J10) &gt; 0, IF(AND(SUM(E4:E10)&gt;0, ISNUMBER(E10)),E10/SUM(E4:E10), ""), "")</f>
        <v>0</v>
      </c>
      <c r="F19" s="5">
        <f>IF(SUM(J4:J10) &gt; 0, IF(AND(SUM(F4:F10)&gt;0, ISNUMBER(F10)),F10/SUM(F4:F10), ""), "")</f>
        <v>0</v>
      </c>
      <c r="G19" s="5">
        <f>IF(SUM(J4:J10) &gt; 0, IF(AND(SUM(G4:G10)&gt;0, ISNUMBER(G10)),G10/SUM(G4:G10), ""), "")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33A0"/>
  </sheetPr>
  <dimension ref="A1:F15"/>
  <sheetViews>
    <sheetView workbookViewId="0"/>
  </sheetViews>
  <sheetFormatPr defaultRowHeight="15"/>
  <sheetData>
    <row r="1" spans="1:6" s="3" customFormat="1" ht="40" customHeight="1">
      <c r="A1" s="3" t="s">
        <v>939</v>
      </c>
    </row>
    <row r="3" spans="1:6">
      <c r="B3" t="s">
        <v>2</v>
      </c>
      <c r="C3" t="s">
        <v>940</v>
      </c>
      <c r="E3" t="s">
        <v>2</v>
      </c>
      <c r="F3" t="s">
        <v>940</v>
      </c>
    </row>
    <row r="4" spans="1:6">
      <c r="B4" t="s">
        <v>839</v>
      </c>
      <c r="C4">
        <f>IF(SUMIFS('TERadj'!M2:M100,'TERadj'!M2:M100,"&gt;0",'TERadj'!C2:C100,"Asia Pacific")/1000,SUMIFS('TERadj'!M2:M100,'TERadj'!M2:M100,"&gt;0",'TERadj'!C2:C100,"Asia Pacific")/1000,"")</f>
        <v>0</v>
      </c>
      <c r="E4" t="s">
        <v>839</v>
      </c>
      <c r="F4">
        <f>IF(SUMIFS('TERadj'!M2:M100,'TERadj'!M2:M100,"&gt;0",'TERadj'!C2:C100,"Asia Pacific")/1000,SUMIFS('TERadj'!M2:M100,'TERadj'!M2:M100,"&gt;0",'TERadj'!C2:C100,"Asia Pacific")/1000,"")</f>
        <v>0</v>
      </c>
    </row>
    <row r="5" spans="1:6">
      <c r="B5" t="s">
        <v>840</v>
      </c>
      <c r="C5">
        <f>IF(SUMIFS('TERadj'!M2:M100,'TERadj'!M2:M100,"&gt;0",'TERadj'!C2:C100,"Europe")/1000,SUMIFS('TERadj'!M2:M100,'TERadj'!M2:M100,"&gt;0",'TERadj'!C2:C100,"Europe")/1000,"")</f>
        <v>0</v>
      </c>
      <c r="E5" t="s">
        <v>840</v>
      </c>
      <c r="F5">
        <f>IF(SUMIFS('TERadj'!M2:M100,'TERadj'!M2:M100,"&gt;0",'TERadj'!C2:C100,"Europe")/1000,SUMIFS('TERadj'!M2:M100,'TERadj'!M2:M100,"&gt;0",'TERadj'!C2:C100,"Europe")/1000,"")</f>
        <v>0</v>
      </c>
    </row>
    <row r="6" spans="1:6">
      <c r="B6" t="s">
        <v>838</v>
      </c>
      <c r="C6">
        <f>IF(SUMIFS('TERadj'!M2:M100,'TERadj'!M2:M100,"&gt;0",'TERadj'!C2:C100,"North America")/1000,SUMIFS('TERadj'!M2:M100,'TERadj'!M2:M100,"&gt;0",'TERadj'!C2:C100,"North America")/1000,"")</f>
        <v>0</v>
      </c>
      <c r="E6" t="s">
        <v>838</v>
      </c>
      <c r="F6">
        <f>IF(SUMIFS('TERadj'!M2:M100,'TERadj'!M2:M100,"&gt;0",'TERadj'!C2:C100,"North America")/1000,SUMIFS('TERadj'!M2:M100,'TERadj'!M2:M100,"&gt;0",'TERadj'!C2:C100,"North America")/1000,"")</f>
        <v>0</v>
      </c>
    </row>
    <row r="7" spans="1:6">
      <c r="B7" t="s">
        <v>841</v>
      </c>
      <c r="C7">
        <f>IF(SUMIFS('TERadj'!M2:M100,'TERadj'!M2:M100,"&gt;0",'TERadj'!C2:C100,"South America")/1000,SUMIFS('TERadj'!M2:M100,'TERadj'!M2:M100,"&gt;0",'TERadj'!C2:C100,"South America")/1000,"")</f>
        <v>0</v>
      </c>
      <c r="E7" t="s">
        <v>841</v>
      </c>
      <c r="F7">
        <f>IF(SUMIFS('TERadj'!M2:M100,'TERadj'!M2:M100,"&gt;0",'TERadj'!C2:C100,"South America")/1000,SUMIFS('TERadj'!M2:M100,'TERadj'!M2:M100,"&gt;0",'TERadj'!C2:C100,"South America")/1000,"")</f>
        <v>0</v>
      </c>
    </row>
    <row r="8" spans="1:6">
      <c r="B8" t="s">
        <v>898</v>
      </c>
      <c r="C8">
        <f>IF(SUMIFS('TERadj'!M2:M100,'TERadj'!M2:M100,"&gt;0",'TERadj'!C2:C100,"Africa")/1000,SUMIFS('TERadj'!M2:M100,'TERadj'!M2:M100,"&gt;0",'TERadj'!C2:C100,"Africa")/1000,"")</f>
        <v>0</v>
      </c>
      <c r="E8" t="s">
        <v>898</v>
      </c>
      <c r="F8">
        <f>IF(SUMIFS('TERadj'!M2:M100,'TERadj'!M2:M100,"&gt;0",'TERadj'!C2:C100,"Africa")/1000,SUMIFS('TERadj'!M2:M100,'TERadj'!M2:M100,"&gt;0",'TERadj'!C2:C100,"Africa")/1000,"")</f>
        <v>0</v>
      </c>
    </row>
    <row r="10" spans="1:6">
      <c r="B10" t="s">
        <v>2</v>
      </c>
      <c r="C10" t="s">
        <v>940</v>
      </c>
    </row>
    <row r="11" spans="1:6">
      <c r="B11" t="s">
        <v>839</v>
      </c>
      <c r="C11" s="4">
        <f>IF(SUMIFS('TERadj'!M2:M100,'TERadj'!M2:M100,"&gt;0",'TERadj'!C2:C100,"Asia Pacific")/1000,SUMIFS('TERadj'!M2:M100,'TERadj'!M2:M100,"&gt;0",'TERadj'!C2:C100,"Asia Pacific")/1000,"")</f>
        <v>0</v>
      </c>
    </row>
    <row r="12" spans="1:6">
      <c r="B12" t="s">
        <v>840</v>
      </c>
      <c r="C12" s="4">
        <f>IF(SUMIFS('TERadj'!M2:M100,'TERadj'!M2:M100,"&gt;0",'TERadj'!C2:C100,"Europe")/1000,SUMIFS('TERadj'!M2:M100,'TERadj'!M2:M100,"&gt;0",'TERadj'!C2:C100,"Europe")/1000,"")</f>
        <v>0</v>
      </c>
    </row>
    <row r="13" spans="1:6">
      <c r="B13" t="s">
        <v>838</v>
      </c>
      <c r="C13" s="4">
        <f>IF(SUMIFS('TERadj'!M2:M100,'TERadj'!M2:M100,"&gt;0",'TERadj'!C2:C100,"North America")/1000,SUMIFS('TERadj'!M2:M100,'TERadj'!M2:M100,"&gt;0",'TERadj'!C2:C100,"North America")/1000,"")</f>
        <v>0</v>
      </c>
    </row>
    <row r="14" spans="1:6">
      <c r="B14" t="s">
        <v>841</v>
      </c>
      <c r="C14" s="4">
        <f>IF(SUMIFS('TERadj'!M2:M100,'TERadj'!M2:M100,"&gt;0",'TERadj'!C2:C100,"South America")/1000,SUMIFS('TERadj'!M2:M100,'TERadj'!M2:M100,"&gt;0",'TERadj'!C2:C100,"South America")/1000,"")</f>
        <v>0</v>
      </c>
    </row>
    <row r="15" spans="1:6">
      <c r="B15" t="s">
        <v>898</v>
      </c>
      <c r="C15" s="4">
        <f>IF(SUMIFS('TERadj'!M2:M100,'TERadj'!M2:M100,"&gt;0",'TERadj'!C2:C100,"Africa")/1000,SUMIFS('TERadj'!M2:M100,'TERadj'!M2:M100,"&gt;0",'TERadj'!C2:C100,"Africa")/1000,"")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33A0"/>
  </sheetPr>
  <dimension ref="A1:X9"/>
  <sheetViews>
    <sheetView workbookViewId="0"/>
  </sheetViews>
  <sheetFormatPr defaultRowHeight="15"/>
  <sheetData>
    <row r="1" spans="1:24" s="3" customFormat="1" ht="40" customHeight="1">
      <c r="A1" s="3" t="s">
        <v>941</v>
      </c>
    </row>
    <row r="3" spans="1:24">
      <c r="B3" t="s">
        <v>942</v>
      </c>
      <c r="C3" t="s">
        <v>943</v>
      </c>
      <c r="D3" t="s">
        <v>944</v>
      </c>
      <c r="E3" t="s">
        <v>945</v>
      </c>
      <c r="F3" t="s">
        <v>946</v>
      </c>
      <c r="G3" t="s">
        <v>947</v>
      </c>
      <c r="H3" t="s">
        <v>948</v>
      </c>
      <c r="I3" t="s">
        <v>949</v>
      </c>
      <c r="J3" t="s">
        <v>950</v>
      </c>
      <c r="K3" t="s">
        <v>931</v>
      </c>
      <c r="L3" t="s">
        <v>932</v>
      </c>
      <c r="N3" t="s">
        <v>942</v>
      </c>
      <c r="O3" t="s">
        <v>943</v>
      </c>
      <c r="P3" t="s">
        <v>944</v>
      </c>
      <c r="Q3" t="s">
        <v>945</v>
      </c>
      <c r="R3" t="s">
        <v>946</v>
      </c>
      <c r="S3" t="s">
        <v>947</v>
      </c>
      <c r="T3" t="s">
        <v>948</v>
      </c>
      <c r="U3" t="s">
        <v>949</v>
      </c>
      <c r="V3" t="s">
        <v>950</v>
      </c>
      <c r="W3" t="s">
        <v>931</v>
      </c>
      <c r="X3" t="s">
        <v>932</v>
      </c>
    </row>
    <row r="4" spans="1:24">
      <c r="B4" t="s">
        <v>951</v>
      </c>
      <c r="C4">
        <v>123</v>
      </c>
      <c r="D4">
        <v>130</v>
      </c>
      <c r="E4">
        <v>134</v>
      </c>
      <c r="F4">
        <v>160</v>
      </c>
      <c r="G4">
        <v>125</v>
      </c>
      <c r="H4">
        <v>87</v>
      </c>
      <c r="I4">
        <v>102</v>
      </c>
      <c r="J4">
        <v>96</v>
      </c>
      <c r="K4">
        <v>62</v>
      </c>
      <c r="L4" cm="1">
        <f t="array" ref="L4">IF(COUNT(_xlfn._xlws.FILTER('TERadj'!AX2:AX100, ('TERadj'!AX2:AX100&gt;0)*('TERadj'!AX2:AX100=1))),COUNT(_xlfn._xlws.FILTER('TERadj'!AX2:AX100, ('TERadj'!AX2:AX100&gt;0)*('TERadj'!AX2:AX100=1))),"")</f>
        <v>0</v>
      </c>
      <c r="N4" t="s">
        <v>951</v>
      </c>
      <c r="O4">
        <v>123</v>
      </c>
      <c r="P4">
        <v>130</v>
      </c>
      <c r="Q4">
        <v>134</v>
      </c>
      <c r="R4">
        <v>160</v>
      </c>
      <c r="S4">
        <v>125</v>
      </c>
      <c r="T4">
        <v>87</v>
      </c>
      <c r="U4">
        <v>102</v>
      </c>
      <c r="V4">
        <v>96</v>
      </c>
      <c r="W4">
        <v>62</v>
      </c>
      <c r="X4" cm="1">
        <f t="array" ref="X4">IF(COUNT(_xlfn._xlws.FILTER('TERadj'!AX2:AX100, ('TERadj'!AX2:AX100&gt;0)*('TERadj'!AX2:AX100=1))),COUNT(_xlfn._xlws.FILTER('TERadj'!AX2:AX100, ('TERadj'!AX2:AX100&gt;0)*('TERadj'!AX2:AX100=1))),"")</f>
        <v>0</v>
      </c>
    </row>
    <row r="5" spans="1:24">
      <c r="B5" t="s">
        <v>952</v>
      </c>
      <c r="C5">
        <v>30</v>
      </c>
      <c r="D5">
        <v>32</v>
      </c>
      <c r="E5">
        <v>41</v>
      </c>
      <c r="F5">
        <v>43</v>
      </c>
      <c r="G5">
        <v>34</v>
      </c>
      <c r="H5">
        <v>40</v>
      </c>
      <c r="I5">
        <v>28</v>
      </c>
      <c r="J5">
        <v>20</v>
      </c>
      <c r="K5">
        <v>21</v>
      </c>
      <c r="L5" cm="1">
        <f t="array" ref="L5">IF(COUNT(_xlfn._xlws.FILTER('TERadj'!AX2:AX100, ('TERadj'!AX2:AX100&gt;0)*('TERadj'!AX2:AX100=2))),COUNT(_xlfn._xlws.FILTER('TERadj'!AX2:AX100, ('TERadj'!AX2:AX100&gt;0)*('TERadj'!AX2:AX100=2))),"")</f>
        <v>0</v>
      </c>
      <c r="N5" t="s">
        <v>952</v>
      </c>
      <c r="O5">
        <v>30</v>
      </c>
      <c r="P5">
        <v>32</v>
      </c>
      <c r="Q5">
        <v>41</v>
      </c>
      <c r="R5">
        <v>43</v>
      </c>
      <c r="S5">
        <v>34</v>
      </c>
      <c r="T5">
        <v>40</v>
      </c>
      <c r="U5">
        <v>28</v>
      </c>
      <c r="V5">
        <v>20</v>
      </c>
      <c r="W5">
        <v>21</v>
      </c>
      <c r="X5" cm="1">
        <f t="array" ref="X5">IF(COUNT(_xlfn._xlws.FILTER('TERadj'!AX2:AX100, ('TERadj'!AX2:AX100&gt;0)*('TERadj'!AX2:AX100=2))),COUNT(_xlfn._xlws.FILTER('TERadj'!AX2:AX100, ('TERadj'!AX2:AX100&gt;0)*('TERadj'!AX2:AX100=2))),"")</f>
        <v>0</v>
      </c>
    </row>
    <row r="7" spans="1:24">
      <c r="B7" t="s">
        <v>942</v>
      </c>
      <c r="C7" t="s">
        <v>943</v>
      </c>
      <c r="D7" t="s">
        <v>944</v>
      </c>
      <c r="E7" t="s">
        <v>945</v>
      </c>
      <c r="F7" t="s">
        <v>946</v>
      </c>
      <c r="G7" t="s">
        <v>947</v>
      </c>
      <c r="H7" t="s">
        <v>948</v>
      </c>
      <c r="I7" t="s">
        <v>949</v>
      </c>
      <c r="J7" t="s">
        <v>950</v>
      </c>
      <c r="K7" t="s">
        <v>931</v>
      </c>
      <c r="L7" t="s">
        <v>932</v>
      </c>
    </row>
    <row r="8" spans="1:24">
      <c r="B8" t="s">
        <v>951</v>
      </c>
      <c r="C8" s="5">
        <f>IF(SUM(O4:O5) &gt; 2, IF(AND(SUM(C4:C5)&gt;0, ISNUMBER(C4)),C4/SUM(C4:C5), ""), "")</f>
        <v>0</v>
      </c>
      <c r="D8" s="5">
        <f>IF(SUM(O4:O5) &gt; 2, IF(AND(SUM(D4:D5)&gt;0, ISNUMBER(D4)),D4/SUM(D4:D5), ""), "")</f>
        <v>0</v>
      </c>
      <c r="E8" s="5">
        <f>IF(SUM(O4:O5) &gt; 2, IF(AND(SUM(E4:E5)&gt;0, ISNUMBER(E4)),E4/SUM(E4:E5), ""), "")</f>
        <v>0</v>
      </c>
      <c r="F8" s="5">
        <f>IF(SUM(O4:O5) &gt; 2, IF(AND(SUM(F4:F5)&gt;0, ISNUMBER(F4)),F4/SUM(F4:F5), ""), "")</f>
        <v>0</v>
      </c>
      <c r="G8" s="5">
        <f>IF(SUM(O4:O5) &gt; 2, IF(AND(SUM(G4:G5)&gt;0, ISNUMBER(G4)),G4/SUM(G4:G5), ""), "")</f>
        <v>0</v>
      </c>
      <c r="H8" s="5">
        <f>IF(SUM(O4:O5) &gt; 2, IF(AND(SUM(H4:H5)&gt;0, ISNUMBER(H4)),H4/SUM(H4:H5), ""), "")</f>
        <v>0</v>
      </c>
      <c r="I8" s="5">
        <f>IF(SUM(O4:O5) &gt; 2, IF(AND(SUM(I4:I5)&gt;0, ISNUMBER(I4)),I4/SUM(I4:I5), ""), "")</f>
        <v>0</v>
      </c>
      <c r="J8" s="5">
        <f>IF(SUM(O4:O5) &gt; 2, IF(AND(SUM(J4:J5)&gt;0, ISNUMBER(J4)),J4/SUM(J4:J5), ""), "")</f>
        <v>0</v>
      </c>
      <c r="K8" s="5">
        <f>IF(SUM(O4:O5) &gt; 2, IF(AND(SUM(K4:K5)&gt;0, ISNUMBER(K4)),K4/SUM(K4:K5), ""), "")</f>
        <v>0</v>
      </c>
      <c r="L8" s="5">
        <f>IF(SUM(O4:O5) &gt; 2, IF(AND(SUM(L4:L5)&gt;0, ISNUMBER(L4)),L4/SUM(L4:L5), ""), "")</f>
        <v>0</v>
      </c>
    </row>
    <row r="9" spans="1:24">
      <c r="B9" t="s">
        <v>952</v>
      </c>
      <c r="C9" s="5">
        <f>IF(SUM(O4:O5) &gt; 2, IF(AND(SUM(C4:C5)&gt;0, ISNUMBER(C5)),C5/SUM(C4:C5), ""), "")</f>
        <v>0</v>
      </c>
      <c r="D9" s="5">
        <f>IF(SUM(O4:O5) &gt; 2, IF(AND(SUM(D4:D5)&gt;0, ISNUMBER(D5)),D5/SUM(D4:D5), ""), "")</f>
        <v>0</v>
      </c>
      <c r="E9" s="5">
        <f>IF(SUM(O4:O5) &gt; 2, IF(AND(SUM(E4:E5)&gt;0, ISNUMBER(E5)),E5/SUM(E4:E5), ""), "")</f>
        <v>0</v>
      </c>
      <c r="F9" s="5">
        <f>IF(SUM(O4:O5) &gt; 2, IF(AND(SUM(F4:F5)&gt;0, ISNUMBER(F5)),F5/SUM(F4:F5), ""), "")</f>
        <v>0</v>
      </c>
      <c r="G9" s="5">
        <f>IF(SUM(O4:O5) &gt; 2, IF(AND(SUM(G4:G5)&gt;0, ISNUMBER(G5)),G5/SUM(G4:G5), ""), "")</f>
        <v>0</v>
      </c>
      <c r="H9" s="5">
        <f>IF(SUM(O4:O5) &gt; 2, IF(AND(SUM(H4:H5)&gt;0, ISNUMBER(H5)),H5/SUM(H4:H5), ""), "")</f>
        <v>0</v>
      </c>
      <c r="I9" s="5">
        <f>IF(SUM(O4:O5) &gt; 2, IF(AND(SUM(I4:I5)&gt;0, ISNUMBER(I5)),I5/SUM(I4:I5), ""), "")</f>
        <v>0</v>
      </c>
      <c r="J9" s="5">
        <f>IF(SUM(O4:O5) &gt; 2, IF(AND(SUM(J4:J5)&gt;0, ISNUMBER(J5)),J5/SUM(J4:J5), ""), "")</f>
        <v>0</v>
      </c>
      <c r="K9" s="5">
        <f>IF(SUM(O4:O5) &gt; 2, IF(AND(SUM(K4:K5)&gt;0, ISNUMBER(K5)),K5/SUM(K4:K5), ""), "")</f>
        <v>0</v>
      </c>
      <c r="L9" s="5">
        <f>IF(SUM(O4:O5) &gt; 2, IF(AND(SUM(L4:L5)&gt;0, ISNUMBER(L5)),L5/SUM(L4:L5), ""), "")</f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33A0"/>
  </sheetPr>
  <dimension ref="A1:X19"/>
  <sheetViews>
    <sheetView workbookViewId="0"/>
  </sheetViews>
  <sheetFormatPr defaultRowHeight="15"/>
  <sheetData>
    <row r="1" spans="1:24" s="3" customFormat="1" ht="40" customHeight="1">
      <c r="A1" s="3" t="s">
        <v>953</v>
      </c>
    </row>
    <row r="3" spans="1:24">
      <c r="B3" t="s">
        <v>942</v>
      </c>
      <c r="C3" t="s">
        <v>943</v>
      </c>
      <c r="D3" t="s">
        <v>944</v>
      </c>
      <c r="E3" t="s">
        <v>945</v>
      </c>
      <c r="F3" t="s">
        <v>946</v>
      </c>
      <c r="G3" t="s">
        <v>947</v>
      </c>
      <c r="H3" t="s">
        <v>948</v>
      </c>
      <c r="I3" t="s">
        <v>949</v>
      </c>
      <c r="J3" t="s">
        <v>950</v>
      </c>
      <c r="K3" t="s">
        <v>931</v>
      </c>
      <c r="L3" t="s">
        <v>932</v>
      </c>
      <c r="N3" t="s">
        <v>942</v>
      </c>
      <c r="O3" t="s">
        <v>943</v>
      </c>
      <c r="P3" t="s">
        <v>944</v>
      </c>
      <c r="Q3" t="s">
        <v>945</v>
      </c>
      <c r="R3" t="s">
        <v>946</v>
      </c>
      <c r="S3" t="s">
        <v>947</v>
      </c>
      <c r="T3" t="s">
        <v>948</v>
      </c>
      <c r="U3" t="s">
        <v>949</v>
      </c>
      <c r="V3" t="s">
        <v>950</v>
      </c>
      <c r="W3" t="s">
        <v>931</v>
      </c>
      <c r="X3" t="s">
        <v>932</v>
      </c>
    </row>
    <row r="4" spans="1:24">
      <c r="B4" t="s">
        <v>954</v>
      </c>
      <c r="C4">
        <v>1</v>
      </c>
      <c r="D4">
        <v>2</v>
      </c>
      <c r="E4">
        <v>4</v>
      </c>
      <c r="G4">
        <v>1</v>
      </c>
      <c r="K4">
        <v>1</v>
      </c>
      <c r="L4" cm="1">
        <f t="array" ref="L4">IF(COUNT(_xlfn._xlws.FILTER('TERadj'!AY2:AY100, ('TERadj'!AY2:AY100&gt;0)*('TERadj'!AY2:AY100=1))),COUNT(_xlfn._xlws.FILTER('TERadj'!AY2:AY100, ('TERadj'!AY2:AY100&gt;0)*('TERadj'!AY2:AY100=1))),"")</f>
        <v>0</v>
      </c>
      <c r="N4" t="s">
        <v>954</v>
      </c>
      <c r="O4">
        <v>1</v>
      </c>
      <c r="P4">
        <v>2</v>
      </c>
      <c r="Q4">
        <v>4</v>
      </c>
      <c r="S4">
        <v>1</v>
      </c>
      <c r="W4">
        <v>1</v>
      </c>
      <c r="X4" cm="1">
        <f t="array" ref="X4">IF(COUNT(_xlfn._xlws.FILTER('TERadj'!AY2:AY100, ('TERadj'!AY2:AY100&gt;0)*('TERadj'!AY2:AY100=1))),COUNT(_xlfn._xlws.FILTER('TERadj'!AY2:AY100, ('TERadj'!AY2:AY100&gt;0)*('TERadj'!AY2:AY100=1))),"")</f>
        <v>0</v>
      </c>
    </row>
    <row r="5" spans="1:24">
      <c r="B5" t="s">
        <v>955</v>
      </c>
      <c r="C5">
        <v>1</v>
      </c>
      <c r="F5">
        <v>1</v>
      </c>
      <c r="G5">
        <v>1</v>
      </c>
      <c r="K5">
        <v>1</v>
      </c>
      <c r="L5" cm="1">
        <f t="array" ref="L5">IF(COUNT(_xlfn._xlws.FILTER('TERadj'!AY2:AY100, ('TERadj'!AY2:AY100&gt;0)*('TERadj'!AY2:AY100=2))),COUNT(_xlfn._xlws.FILTER('TERadj'!AY2:AY100, ('TERadj'!AY2:AY100&gt;0)*('TERadj'!AY2:AY100=2))),"")</f>
        <v>0</v>
      </c>
      <c r="N5" t="s">
        <v>955</v>
      </c>
      <c r="O5">
        <v>1</v>
      </c>
      <c r="R5">
        <v>1</v>
      </c>
      <c r="S5">
        <v>1</v>
      </c>
      <c r="W5">
        <v>1</v>
      </c>
      <c r="X5" cm="1">
        <f t="array" ref="X5">IF(COUNT(_xlfn._xlws.FILTER('TERadj'!AY2:AY100, ('TERadj'!AY2:AY100&gt;0)*('TERadj'!AY2:AY100=2))),COUNT(_xlfn._xlws.FILTER('TERadj'!AY2:AY100, ('TERadj'!AY2:AY100&gt;0)*('TERadj'!AY2:AY100=2))),"")</f>
        <v>0</v>
      </c>
    </row>
    <row r="6" spans="1:24">
      <c r="B6" t="s">
        <v>956</v>
      </c>
      <c r="L6" cm="1">
        <f t="array" ref="L6">IF(COUNT(_xlfn._xlws.FILTER('TERadj'!AY2:AY100, ('TERadj'!AY2:AY100&gt;0)*('TERadj'!AY2:AY100=3))),COUNT(_xlfn._xlws.FILTER('TERadj'!AY2:AY100, ('TERadj'!AY2:AY100&gt;0)*('TERadj'!AY2:AY100=3))),"")</f>
        <v>0</v>
      </c>
      <c r="N6" t="s">
        <v>956</v>
      </c>
      <c r="X6" cm="1">
        <f t="array" ref="X6">IF(COUNT(_xlfn._xlws.FILTER('TERadj'!AY2:AY100, ('TERadj'!AY2:AY100&gt;0)*('TERadj'!AY2:AY100=3))),COUNT(_xlfn._xlws.FILTER('TERadj'!AY2:AY100, ('TERadj'!AY2:AY100&gt;0)*('TERadj'!AY2:AY100=3))),"")</f>
        <v>0</v>
      </c>
    </row>
    <row r="7" spans="1:24">
      <c r="B7" t="s">
        <v>957</v>
      </c>
      <c r="L7" cm="1">
        <f t="array" ref="L7">IF(COUNT(_xlfn._xlws.FILTER('TERadj'!AY2:AY100, ('TERadj'!AY2:AY100&gt;0)*('TERadj'!AY2:AY100=4))),COUNT(_xlfn._xlws.FILTER('TERadj'!AY2:AY100, ('TERadj'!AY2:AY100&gt;0)*('TERadj'!AY2:AY100=4))),"")</f>
        <v>0</v>
      </c>
      <c r="N7" t="s">
        <v>957</v>
      </c>
      <c r="X7" cm="1">
        <f t="array" ref="X7">IF(COUNT(_xlfn._xlws.FILTER('TERadj'!AY2:AY100, ('TERadj'!AY2:AY100&gt;0)*('TERadj'!AY2:AY100=4))),COUNT(_xlfn._xlws.FILTER('TERadj'!AY2:AY100, ('TERadj'!AY2:AY100&gt;0)*('TERadj'!AY2:AY100=4))),"")</f>
        <v>0</v>
      </c>
    </row>
    <row r="8" spans="1:24">
      <c r="B8" t="s">
        <v>958</v>
      </c>
      <c r="E8">
        <v>4</v>
      </c>
      <c r="G8">
        <v>3</v>
      </c>
      <c r="I8">
        <v>1</v>
      </c>
      <c r="L8" cm="1">
        <f t="array" ref="L8">IF(COUNT(_xlfn._xlws.FILTER('TERadj'!AY2:AY100, ('TERadj'!AY2:AY100&gt;0)*('TERadj'!AY2:AY100=5))),COUNT(_xlfn._xlws.FILTER('TERadj'!AY2:AY100, ('TERadj'!AY2:AY100&gt;0)*('TERadj'!AY2:AY100=5))),"")</f>
        <v>0</v>
      </c>
      <c r="N8" t="s">
        <v>958</v>
      </c>
      <c r="Q8">
        <v>4</v>
      </c>
      <c r="S8">
        <v>3</v>
      </c>
      <c r="U8">
        <v>1</v>
      </c>
      <c r="X8" cm="1">
        <f t="array" ref="X8">IF(COUNT(_xlfn._xlws.FILTER('TERadj'!AY2:AY100, ('TERadj'!AY2:AY100&gt;0)*('TERadj'!AY2:AY100=5))),COUNT(_xlfn._xlws.FILTER('TERadj'!AY2:AY100, ('TERadj'!AY2:AY100&gt;0)*('TERadj'!AY2:AY100=5))),"")</f>
        <v>0</v>
      </c>
    </row>
    <row r="9" spans="1:24">
      <c r="B9" t="s">
        <v>959</v>
      </c>
      <c r="H9">
        <v>19</v>
      </c>
      <c r="I9">
        <v>13</v>
      </c>
      <c r="J9">
        <v>12</v>
      </c>
      <c r="K9">
        <v>10</v>
      </c>
      <c r="L9" cm="1">
        <f t="array" ref="L9">IF(COUNT(_xlfn._xlws.FILTER('TERadj'!AY2:AY100, ('TERadj'!AY2:AY100&gt;0)*('TERadj'!AY2:AY100=6))),COUNT(_xlfn._xlws.FILTER('TERadj'!AY2:AY100, ('TERadj'!AY2:AY100&gt;0)*('TERadj'!AY2:AY100=6))),"")</f>
        <v>0</v>
      </c>
      <c r="N9" t="s">
        <v>959</v>
      </c>
      <c r="T9">
        <v>19</v>
      </c>
      <c r="U9">
        <v>13</v>
      </c>
      <c r="V9">
        <v>12</v>
      </c>
      <c r="W9">
        <v>10</v>
      </c>
      <c r="X9" cm="1">
        <f t="array" ref="X9">IF(COUNT(_xlfn._xlws.FILTER('TERadj'!AY2:AY100, ('TERadj'!AY2:AY100&gt;0)*('TERadj'!AY2:AY100=6))),COUNT(_xlfn._xlws.FILTER('TERadj'!AY2:AY100, ('TERadj'!AY2:AY100&gt;0)*('TERadj'!AY2:AY100=6))),"")</f>
        <v>0</v>
      </c>
    </row>
    <row r="10" spans="1:24">
      <c r="B10" t="s">
        <v>960</v>
      </c>
      <c r="C10">
        <v>27</v>
      </c>
      <c r="D10">
        <v>27</v>
      </c>
      <c r="E10">
        <v>33</v>
      </c>
      <c r="F10">
        <v>38</v>
      </c>
      <c r="G10">
        <v>26</v>
      </c>
      <c r="H10">
        <v>21</v>
      </c>
      <c r="I10">
        <v>14</v>
      </c>
      <c r="J10">
        <v>8</v>
      </c>
      <c r="L10" cm="1">
        <f t="array" ref="L10">IF(COUNT(_xlfn._xlws.FILTER('TERadj'!AY2:AY100, ('TERadj'!AY2:AY100&gt;0)*('TERadj'!AY2:AY100=7))),COUNT(_xlfn._xlws.FILTER('TERadj'!AY2:AY100, ('TERadj'!AY2:AY100&gt;0)*('TERadj'!AY2:AY100=7))),"")</f>
        <v>0</v>
      </c>
      <c r="N10" t="s">
        <v>960</v>
      </c>
      <c r="O10">
        <v>27</v>
      </c>
      <c r="P10">
        <v>27</v>
      </c>
      <c r="Q10">
        <v>33</v>
      </c>
      <c r="R10">
        <v>38</v>
      </c>
      <c r="S10">
        <v>26</v>
      </c>
      <c r="T10">
        <v>21</v>
      </c>
      <c r="U10">
        <v>14</v>
      </c>
      <c r="V10">
        <v>8</v>
      </c>
      <c r="X10" cm="1">
        <f t="array" ref="X10">IF(COUNT(_xlfn._xlws.FILTER('TERadj'!AY2:AY100, ('TERadj'!AY2:AY100&gt;0)*('TERadj'!AY2:AY100=7))),COUNT(_xlfn._xlws.FILTER('TERadj'!AY2:AY100, ('TERadj'!AY2:AY100&gt;0)*('TERadj'!AY2:AY100=7))),"")</f>
        <v>0</v>
      </c>
    </row>
    <row r="12" spans="1:24">
      <c r="B12" t="s">
        <v>942</v>
      </c>
      <c r="C12" t="s">
        <v>943</v>
      </c>
      <c r="D12" t="s">
        <v>944</v>
      </c>
      <c r="E12" t="s">
        <v>945</v>
      </c>
      <c r="F12" t="s">
        <v>946</v>
      </c>
      <c r="G12" t="s">
        <v>947</v>
      </c>
      <c r="H12" t="s">
        <v>948</v>
      </c>
      <c r="I12" t="s">
        <v>949</v>
      </c>
      <c r="J12" t="s">
        <v>950</v>
      </c>
      <c r="K12" t="s">
        <v>931</v>
      </c>
      <c r="L12" t="s">
        <v>932</v>
      </c>
    </row>
    <row r="13" spans="1:24">
      <c r="B13" t="s">
        <v>954</v>
      </c>
      <c r="C13" s="5">
        <f>IF(SUM(O4:O10) &gt; 2, IF(AND(SUM(C4:C10)&gt;0, ISNUMBER(C4)),C4/SUM(C4:C10), ""), "")</f>
        <v>0</v>
      </c>
      <c r="D13" s="5">
        <f>IF(SUM(O4:O10) &gt; 2, IF(AND(SUM(D4:D10)&gt;0, ISNUMBER(D4)),D4/SUM(D4:D10), ""), "")</f>
        <v>0</v>
      </c>
      <c r="E13" s="5">
        <f>IF(SUM(O4:O10) &gt; 2, IF(AND(SUM(E4:E10)&gt;0, ISNUMBER(E4)),E4/SUM(E4:E10), ""), "")</f>
        <v>0</v>
      </c>
      <c r="F13" s="5">
        <f>IF(SUM(O4:O10) &gt; 2, IF(AND(SUM(F4:F10)&gt;0, ISNUMBER(F4)),F4/SUM(F4:F10), ""), "")</f>
        <v>0</v>
      </c>
      <c r="G13" s="5">
        <f>IF(SUM(O4:O10) &gt; 2, IF(AND(SUM(G4:G10)&gt;0, ISNUMBER(G4)),G4/SUM(G4:G10), ""), "")</f>
        <v>0</v>
      </c>
      <c r="H13" s="5">
        <f>IF(SUM(O4:O10) &gt; 2, IF(AND(SUM(H4:H10)&gt;0, ISNUMBER(H4)),H4/SUM(H4:H10), ""), "")</f>
        <v>0</v>
      </c>
      <c r="I13" s="5">
        <f>IF(SUM(O4:O10) &gt; 2, IF(AND(SUM(I4:I10)&gt;0, ISNUMBER(I4)),I4/SUM(I4:I10), ""), "")</f>
        <v>0</v>
      </c>
      <c r="J13" s="5">
        <f>IF(SUM(O4:O10) &gt; 2, IF(AND(SUM(J4:J10)&gt;0, ISNUMBER(J4)),J4/SUM(J4:J10), ""), "")</f>
        <v>0</v>
      </c>
      <c r="K13" s="5">
        <f>IF(SUM(O4:O10) &gt; 2, IF(AND(SUM(K4:K10)&gt;0, ISNUMBER(K4)),K4/SUM(K4:K10), ""), "")</f>
        <v>0</v>
      </c>
      <c r="L13" s="5">
        <f>IF(SUM(O4:O10) &gt; 2, IF(AND(SUM(L4:L10)&gt;0, ISNUMBER(L4)),L4/SUM(L4:L10), ""), "")</f>
        <v>0</v>
      </c>
    </row>
    <row r="14" spans="1:24">
      <c r="B14" t="s">
        <v>955</v>
      </c>
      <c r="C14" s="5">
        <f>IF(SUM(O4:O10) &gt; 2, IF(AND(SUM(C4:C10)&gt;0, ISNUMBER(C5)),C5/SUM(C4:C10), ""), "")</f>
        <v>0</v>
      </c>
      <c r="D14" s="5">
        <f>IF(SUM(O4:O10) &gt; 2, IF(AND(SUM(D4:D10)&gt;0, ISNUMBER(D5)),D5/SUM(D4:D10), ""), "")</f>
        <v>0</v>
      </c>
      <c r="E14" s="5">
        <f>IF(SUM(O4:O10) &gt; 2, IF(AND(SUM(E4:E10)&gt;0, ISNUMBER(E5)),E5/SUM(E4:E10), ""), "")</f>
        <v>0</v>
      </c>
      <c r="F14" s="5">
        <f>IF(SUM(O4:O10) &gt; 2, IF(AND(SUM(F4:F10)&gt;0, ISNUMBER(F5)),F5/SUM(F4:F10), ""), "")</f>
        <v>0</v>
      </c>
      <c r="G14" s="5">
        <f>IF(SUM(O4:O10) &gt; 2, IF(AND(SUM(G4:G10)&gt;0, ISNUMBER(G5)),G5/SUM(G4:G10), ""), "")</f>
        <v>0</v>
      </c>
      <c r="H14" s="5">
        <f>IF(SUM(O4:O10) &gt; 2, IF(AND(SUM(H4:H10)&gt;0, ISNUMBER(H5)),H5/SUM(H4:H10), ""), "")</f>
        <v>0</v>
      </c>
      <c r="I14" s="5">
        <f>IF(SUM(O4:O10) &gt; 2, IF(AND(SUM(I4:I10)&gt;0, ISNUMBER(I5)),I5/SUM(I4:I10), ""), "")</f>
        <v>0</v>
      </c>
      <c r="J14" s="5">
        <f>IF(SUM(O4:O10) &gt; 2, IF(AND(SUM(J4:J10)&gt;0, ISNUMBER(J5)),J5/SUM(J4:J10), ""), "")</f>
        <v>0</v>
      </c>
      <c r="K14" s="5">
        <f>IF(SUM(O4:O10) &gt; 2, IF(AND(SUM(K4:K10)&gt;0, ISNUMBER(K5)),K5/SUM(K4:K10), ""), "")</f>
        <v>0</v>
      </c>
      <c r="L14" s="5">
        <f>IF(SUM(O4:O10) &gt; 2, IF(AND(SUM(L4:L10)&gt;0, ISNUMBER(L5)),L5/SUM(L4:L10), ""), "")</f>
        <v>0</v>
      </c>
    </row>
    <row r="15" spans="1:24">
      <c r="B15" t="s">
        <v>956</v>
      </c>
      <c r="C15" s="5">
        <f>IF(SUM(O4:O10) &gt; 2, IF(AND(SUM(C4:C10)&gt;0, ISNUMBER(C6)),C6/SUM(C4:C10), ""), "")</f>
        <v>0</v>
      </c>
      <c r="D15" s="5">
        <f>IF(SUM(O4:O10) &gt; 2, IF(AND(SUM(D4:D10)&gt;0, ISNUMBER(D6)),D6/SUM(D4:D10), ""), "")</f>
        <v>0</v>
      </c>
      <c r="E15" s="5">
        <f>IF(SUM(O4:O10) &gt; 2, IF(AND(SUM(E4:E10)&gt;0, ISNUMBER(E6)),E6/SUM(E4:E10), ""), "")</f>
        <v>0</v>
      </c>
      <c r="F15" s="5">
        <f>IF(SUM(O4:O10) &gt; 2, IF(AND(SUM(F4:F10)&gt;0, ISNUMBER(F6)),F6/SUM(F4:F10), ""), "")</f>
        <v>0</v>
      </c>
      <c r="G15" s="5">
        <f>IF(SUM(O4:O10) &gt; 2, IF(AND(SUM(G4:G10)&gt;0, ISNUMBER(G6)),G6/SUM(G4:G10), ""), "")</f>
        <v>0</v>
      </c>
      <c r="H15" s="5">
        <f>IF(SUM(O4:O10) &gt; 2, IF(AND(SUM(H4:H10)&gt;0, ISNUMBER(H6)),H6/SUM(H4:H10), ""), "")</f>
        <v>0</v>
      </c>
      <c r="I15" s="5">
        <f>IF(SUM(O4:O10) &gt; 2, IF(AND(SUM(I4:I10)&gt;0, ISNUMBER(I6)),I6/SUM(I4:I10), ""), "")</f>
        <v>0</v>
      </c>
      <c r="J15" s="5">
        <f>IF(SUM(O4:O10) &gt; 2, IF(AND(SUM(J4:J10)&gt;0, ISNUMBER(J6)),J6/SUM(J4:J10), ""), "")</f>
        <v>0</v>
      </c>
      <c r="K15" s="5">
        <f>IF(SUM(O4:O10) &gt; 2, IF(AND(SUM(K4:K10)&gt;0, ISNUMBER(K6)),K6/SUM(K4:K10), ""), "")</f>
        <v>0</v>
      </c>
      <c r="L15" s="5">
        <f>IF(SUM(O4:O10) &gt; 2, IF(AND(SUM(L4:L10)&gt;0, ISNUMBER(L6)),L6/SUM(L4:L10), ""), "")</f>
        <v>0</v>
      </c>
    </row>
    <row r="16" spans="1:24">
      <c r="B16" t="s">
        <v>957</v>
      </c>
      <c r="C16" s="5">
        <f>IF(SUM(O4:O10) &gt; 2, IF(AND(SUM(C4:C10)&gt;0, ISNUMBER(C7)),C7/SUM(C4:C10), ""), "")</f>
        <v>0</v>
      </c>
      <c r="D16" s="5">
        <f>IF(SUM(O4:O10) &gt; 2, IF(AND(SUM(D4:D10)&gt;0, ISNUMBER(D7)),D7/SUM(D4:D10), ""), "")</f>
        <v>0</v>
      </c>
      <c r="E16" s="5">
        <f>IF(SUM(O4:O10) &gt; 2, IF(AND(SUM(E4:E10)&gt;0, ISNUMBER(E7)),E7/SUM(E4:E10), ""), "")</f>
        <v>0</v>
      </c>
      <c r="F16" s="5">
        <f>IF(SUM(O4:O10) &gt; 2, IF(AND(SUM(F4:F10)&gt;0, ISNUMBER(F7)),F7/SUM(F4:F10), ""), "")</f>
        <v>0</v>
      </c>
      <c r="G16" s="5">
        <f>IF(SUM(O4:O10) &gt; 2, IF(AND(SUM(G4:G10)&gt;0, ISNUMBER(G7)),G7/SUM(G4:G10), ""), "")</f>
        <v>0</v>
      </c>
      <c r="H16" s="5">
        <f>IF(SUM(O4:O10) &gt; 2, IF(AND(SUM(H4:H10)&gt;0, ISNUMBER(H7)),H7/SUM(H4:H10), ""), "")</f>
        <v>0</v>
      </c>
      <c r="I16" s="5">
        <f>IF(SUM(O4:O10) &gt; 2, IF(AND(SUM(I4:I10)&gt;0, ISNUMBER(I7)),I7/SUM(I4:I10), ""), "")</f>
        <v>0</v>
      </c>
      <c r="J16" s="5">
        <f>IF(SUM(O4:O10) &gt; 2, IF(AND(SUM(J4:J10)&gt;0, ISNUMBER(J7)),J7/SUM(J4:J10), ""), "")</f>
        <v>0</v>
      </c>
      <c r="K16" s="5">
        <f>IF(SUM(O4:O10) &gt; 2, IF(AND(SUM(K4:K10)&gt;0, ISNUMBER(K7)),K7/SUM(K4:K10), ""), "")</f>
        <v>0</v>
      </c>
      <c r="L16" s="5">
        <f>IF(SUM(O4:O10) &gt; 2, IF(AND(SUM(L4:L10)&gt;0, ISNUMBER(L7)),L7/SUM(L4:L10), ""), "")</f>
        <v>0</v>
      </c>
    </row>
    <row r="17" spans="2:12">
      <c r="B17" t="s">
        <v>958</v>
      </c>
      <c r="C17" s="5">
        <f>IF(SUM(O4:O10) &gt; 2, IF(AND(SUM(C4:C10)&gt;0, ISNUMBER(C8)),C8/SUM(C4:C10), ""), "")</f>
        <v>0</v>
      </c>
      <c r="D17" s="5">
        <f>IF(SUM(O4:O10) &gt; 2, IF(AND(SUM(D4:D10)&gt;0, ISNUMBER(D8)),D8/SUM(D4:D10), ""), "")</f>
        <v>0</v>
      </c>
      <c r="E17" s="5">
        <f>IF(SUM(O4:O10) &gt; 2, IF(AND(SUM(E4:E10)&gt;0, ISNUMBER(E8)),E8/SUM(E4:E10), ""), "")</f>
        <v>0</v>
      </c>
      <c r="F17" s="5">
        <f>IF(SUM(O4:O10) &gt; 2, IF(AND(SUM(F4:F10)&gt;0, ISNUMBER(F8)),F8/SUM(F4:F10), ""), "")</f>
        <v>0</v>
      </c>
      <c r="G17" s="5">
        <f>IF(SUM(O4:O10) &gt; 2, IF(AND(SUM(G4:G10)&gt;0, ISNUMBER(G8)),G8/SUM(G4:G10), ""), "")</f>
        <v>0</v>
      </c>
      <c r="H17" s="5">
        <f>IF(SUM(O4:O10) &gt; 2, IF(AND(SUM(H4:H10)&gt;0, ISNUMBER(H8)),H8/SUM(H4:H10), ""), "")</f>
        <v>0</v>
      </c>
      <c r="I17" s="5">
        <f>IF(SUM(O4:O10) &gt; 2, IF(AND(SUM(I4:I10)&gt;0, ISNUMBER(I8)),I8/SUM(I4:I10), ""), "")</f>
        <v>0</v>
      </c>
      <c r="J17" s="5">
        <f>IF(SUM(O4:O10) &gt; 2, IF(AND(SUM(J4:J10)&gt;0, ISNUMBER(J8)),J8/SUM(J4:J10), ""), "")</f>
        <v>0</v>
      </c>
      <c r="K17" s="5">
        <f>IF(SUM(O4:O10) &gt; 2, IF(AND(SUM(K4:K10)&gt;0, ISNUMBER(K8)),K8/SUM(K4:K10), ""), "")</f>
        <v>0</v>
      </c>
      <c r="L17" s="5">
        <f>IF(SUM(O4:O10) &gt; 2, IF(AND(SUM(L4:L10)&gt;0, ISNUMBER(L8)),L8/SUM(L4:L10), ""), "")</f>
        <v>0</v>
      </c>
    </row>
    <row r="18" spans="2:12">
      <c r="B18" t="s">
        <v>959</v>
      </c>
      <c r="C18" s="5">
        <f>IF(SUM(O4:O10) &gt; 2, IF(AND(SUM(C4:C10)&gt;0, ISNUMBER(C9)),C9/SUM(C4:C10), ""), "")</f>
        <v>0</v>
      </c>
      <c r="D18" s="5">
        <f>IF(SUM(O4:O10) &gt; 2, IF(AND(SUM(D4:D10)&gt;0, ISNUMBER(D9)),D9/SUM(D4:D10), ""), "")</f>
        <v>0</v>
      </c>
      <c r="E18" s="5">
        <f>IF(SUM(O4:O10) &gt; 2, IF(AND(SUM(E4:E10)&gt;0, ISNUMBER(E9)),E9/SUM(E4:E10), ""), "")</f>
        <v>0</v>
      </c>
      <c r="F18" s="5">
        <f>IF(SUM(O4:O10) &gt; 2, IF(AND(SUM(F4:F10)&gt;0, ISNUMBER(F9)),F9/SUM(F4:F10), ""), "")</f>
        <v>0</v>
      </c>
      <c r="G18" s="5">
        <f>IF(SUM(O4:O10) &gt; 2, IF(AND(SUM(G4:G10)&gt;0, ISNUMBER(G9)),G9/SUM(G4:G10), ""), "")</f>
        <v>0</v>
      </c>
      <c r="H18" s="5">
        <f>IF(SUM(O4:O10) &gt; 2, IF(AND(SUM(H4:H10)&gt;0, ISNUMBER(H9)),H9/SUM(H4:H10), ""), "")</f>
        <v>0</v>
      </c>
      <c r="I18" s="5">
        <f>IF(SUM(O4:O10) &gt; 2, IF(AND(SUM(I4:I10)&gt;0, ISNUMBER(I9)),I9/SUM(I4:I10), ""), "")</f>
        <v>0</v>
      </c>
      <c r="J18" s="5">
        <f>IF(SUM(O4:O10) &gt; 2, IF(AND(SUM(J4:J10)&gt;0, ISNUMBER(J9)),J9/SUM(J4:J10), ""), "")</f>
        <v>0</v>
      </c>
      <c r="K18" s="5">
        <f>IF(SUM(O4:O10) &gt; 2, IF(AND(SUM(K4:K10)&gt;0, ISNUMBER(K9)),K9/SUM(K4:K10), ""), "")</f>
        <v>0</v>
      </c>
      <c r="L18" s="5">
        <f>IF(SUM(O4:O10) &gt; 2, IF(AND(SUM(L4:L10)&gt;0, ISNUMBER(L9)),L9/SUM(L4:L10), ""), "")</f>
        <v>0</v>
      </c>
    </row>
    <row r="19" spans="2:12">
      <c r="B19" t="s">
        <v>960</v>
      </c>
      <c r="C19" s="5">
        <f>IF(SUM(O4:O10) &gt; 2, IF(AND(SUM(C4:C10)&gt;0, ISNUMBER(C10)),C10/SUM(C4:C10), ""), "")</f>
        <v>0</v>
      </c>
      <c r="D19" s="5">
        <f>IF(SUM(O4:O10) &gt; 2, IF(AND(SUM(D4:D10)&gt;0, ISNUMBER(D10)),D10/SUM(D4:D10), ""), "")</f>
        <v>0</v>
      </c>
      <c r="E19" s="5">
        <f>IF(SUM(O4:O10) &gt; 2, IF(AND(SUM(E4:E10)&gt;0, ISNUMBER(E10)),E10/SUM(E4:E10), ""), "")</f>
        <v>0</v>
      </c>
      <c r="F19" s="5">
        <f>IF(SUM(O4:O10) &gt; 2, IF(AND(SUM(F4:F10)&gt;0, ISNUMBER(F10)),F10/SUM(F4:F10), ""), "")</f>
        <v>0</v>
      </c>
      <c r="G19" s="5">
        <f>IF(SUM(O4:O10) &gt; 2, IF(AND(SUM(G4:G10)&gt;0, ISNUMBER(G10)),G10/SUM(G4:G10), ""), "")</f>
        <v>0</v>
      </c>
      <c r="H19" s="5">
        <f>IF(SUM(O4:O10) &gt; 2, IF(AND(SUM(H4:H10)&gt;0, ISNUMBER(H10)),H10/SUM(H4:H10), ""), "")</f>
        <v>0</v>
      </c>
      <c r="I19" s="5">
        <f>IF(SUM(O4:O10) &gt; 2, IF(AND(SUM(I4:I10)&gt;0, ISNUMBER(I10)),I10/SUM(I4:I10), ""), "")</f>
        <v>0</v>
      </c>
      <c r="J19" s="5">
        <f>IF(SUM(O4:O10) &gt; 2, IF(AND(SUM(J4:J10)&gt;0, ISNUMBER(J10)),J10/SUM(J4:J10), ""), "")</f>
        <v>0</v>
      </c>
      <c r="K19" s="5">
        <f>IF(SUM(O4:O10) &gt; 2, IF(AND(SUM(K4:K10)&gt;0, ISNUMBER(K10)),K10/SUM(K4:K10), ""), "")</f>
        <v>0</v>
      </c>
      <c r="L19" s="5">
        <f>IF(SUM(O4:O10) &gt; 2, IF(AND(SUM(L4:L10)&gt;0, ISNUMBER(L10)),L10/SUM(L4:L10), ""), "")</f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33A0"/>
  </sheetPr>
  <dimension ref="A1:N13"/>
  <sheetViews>
    <sheetView workbookViewId="0"/>
  </sheetViews>
  <sheetFormatPr defaultRowHeight="15"/>
  <sheetData>
    <row r="1" spans="1:14" s="3" customFormat="1" ht="40" customHeight="1">
      <c r="A1" s="3" t="s">
        <v>961</v>
      </c>
    </row>
    <row r="3" spans="1:14">
      <c r="B3" t="s">
        <v>962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962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963</v>
      </c>
      <c r="C4">
        <f>IF(SUMIFS('TERadj'!AZ2:AZ100,'TERadj'!AZ2:AZ100,"&gt;0",'TERadj'!C2:C100,"Asia Pacific")/1000,SUMIFS('TERadj'!AZ2:AZ100,'TERadj'!AZ2:AZ100,"&gt;0",'TERadj'!C2:C100,"Asia Pacific")/1000,"")</f>
        <v>0</v>
      </c>
      <c r="D4">
        <f>IF(SUMIFS('TERadj'!AZ2:AZ100,'TERadj'!AZ2:AZ100,"&gt;0",'TERadj'!C2:C100,"Europe")/1000,SUMIFS('TERadj'!AZ2:AZ100,'TERadj'!AZ2:AZ100,"&gt;0",'TERadj'!C2:C100,"Europe")/1000,"")</f>
        <v>0</v>
      </c>
      <c r="E4">
        <f>IF(SUMIFS('TERadj'!AZ2:AZ100,'TERadj'!AZ2:AZ100,"&gt;0",'TERadj'!C2:C100,"North America")/1000,SUMIFS('TERadj'!AZ2:AZ100,'TERadj'!AZ2:AZ100,"&gt;0",'TERadj'!C2:C100,"North America")/1000,"")</f>
        <v>0</v>
      </c>
      <c r="F4">
        <f>IF(SUMIFS('TERadj'!AZ2:AZ100,'TERadj'!AZ2:AZ100,"&gt;0",'TERadj'!C2:C100,"South America")/1000,SUMIFS('TERadj'!AZ2:AZ100,'TERadj'!AZ2:AZ100,"&gt;0",'TERadj'!C2:C100,"South America")/1000,"")</f>
        <v>0</v>
      </c>
      <c r="G4">
        <f>IF(SUMIFS('TERadj'!AZ2:AZ100,'TERadj'!AZ2:AZ100,"&gt;0",'TERadj'!C2:C100,"Africa")/1000,SUMIFS('TERadj'!AZ2:AZ100,'TERadj'!AZ2:AZ100,"&gt;0",'TERadj'!C2:C100,"Africa")/1000,"")</f>
        <v>0</v>
      </c>
      <c r="I4" t="s">
        <v>963</v>
      </c>
      <c r="J4" cm="1">
        <f t="array" ref="J4">IF(COUNT(_xlfn._xlws.FILTER('TERadj'!AZ2:AZ100, ('TERadj'!AZ2:AZ100&gt;0)*('TERadj'!C2:C100="Asia Pacific"))),COUNT(_xlfn._xlws.FILTER('TERadj'!AZ2:AZ100, ('TERadj'!AZ2:AZ100&gt;0)*('TERadj'!C2:C100="Asia Pacific"))),"")</f>
        <v>0</v>
      </c>
      <c r="K4" cm="1">
        <f t="array" ref="K4">IF(COUNT(_xlfn._xlws.FILTER('TERadj'!AZ2:AZ100, ('TERadj'!AZ2:AZ100&gt;0)*('TERadj'!C2:C100="Europe"))),COUNT(_xlfn._xlws.FILTER('TERadj'!AZ2:AZ100, ('TERadj'!AZ2:AZ100&gt;0)*('TERadj'!C2:C100="Europe"))),"")</f>
        <v>0</v>
      </c>
      <c r="L4" cm="1">
        <f t="array" ref="L4">IF(COUNT(_xlfn._xlws.FILTER('TERadj'!AZ2:AZ100, ('TERadj'!AZ2:AZ100&gt;0)*('TERadj'!C2:C100="North America"))),COUNT(_xlfn._xlws.FILTER('TERadj'!AZ2:AZ100, ('TERadj'!AZ2:AZ100&gt;0)*('TERadj'!C2:C100="North America"))),"")</f>
        <v>0</v>
      </c>
      <c r="M4" cm="1">
        <f t="array" ref="M4">IF(COUNT(_xlfn._xlws.FILTER('TERadj'!AZ2:AZ100, ('TERadj'!AZ2:AZ100&gt;0)*('TERadj'!C2:C100="South America"))),COUNT(_xlfn._xlws.FILTER('TERadj'!AZ2:AZ100, ('TERadj'!AZ2:AZ100&gt;0)*('TERadj'!C2:C100="South America"))),"")</f>
        <v>0</v>
      </c>
      <c r="N4" cm="1">
        <f t="array" ref="N4">IF(COUNT(_xlfn._xlws.FILTER('TERadj'!AZ2:AZ100, ('TERadj'!AZ2:AZ100&gt;0)*('TERadj'!C2:C100="Africa"))),COUNT(_xlfn._xlws.FILTER('TERadj'!AZ2:AZ100, ('TERadj'!AZ2:AZ100&gt;0)*('TERadj'!C2:C100="Africa"))),"")</f>
        <v>0</v>
      </c>
    </row>
    <row r="5" spans="1:14">
      <c r="B5" t="s">
        <v>964</v>
      </c>
      <c r="C5">
        <f>IF(SUMIFS('TERadj'!BA2:BA100,'TERadj'!BA2:BA100,"&gt;0",'TERadj'!C2:C100,"Asia Pacific")/1000,SUMIFS('TERadj'!BA2:BA100,'TERadj'!BA2:BA100,"&gt;0",'TERadj'!C2:C100,"Asia Pacific")/1000,"")</f>
        <v>0</v>
      </c>
      <c r="D5">
        <f>IF(SUMIFS('TERadj'!BA2:BA100,'TERadj'!BA2:BA100,"&gt;0",'TERadj'!C2:C100,"Europe")/1000,SUMIFS('TERadj'!BA2:BA100,'TERadj'!BA2:BA100,"&gt;0",'TERadj'!C2:C100,"Europe")/1000,"")</f>
        <v>0</v>
      </c>
      <c r="E5">
        <f>IF(SUMIFS('TERadj'!BA2:BA100,'TERadj'!BA2:BA100,"&gt;0",'TERadj'!C2:C100,"North America")/1000,SUMIFS('TERadj'!BA2:BA100,'TERadj'!BA2:BA100,"&gt;0",'TERadj'!C2:C100,"North America")/1000,"")</f>
        <v>0</v>
      </c>
      <c r="F5">
        <f>IF(SUMIFS('TERadj'!BA2:BA100,'TERadj'!BA2:BA100,"&gt;0",'TERadj'!C2:C100,"South America")/1000,SUMIFS('TERadj'!BA2:BA100,'TERadj'!BA2:BA100,"&gt;0",'TERadj'!C2:C100,"South America")/1000,"")</f>
        <v>0</v>
      </c>
      <c r="G5">
        <f>IF(SUMIFS('TERadj'!BA2:BA100,'TERadj'!BA2:BA100,"&gt;0",'TERadj'!C2:C100,"Africa")/1000,SUMIFS('TERadj'!BA2:BA100,'TERadj'!BA2:BA100,"&gt;0",'TERadj'!C2:C100,"Africa")/1000,"")</f>
        <v>0</v>
      </c>
      <c r="I5" t="s">
        <v>964</v>
      </c>
      <c r="J5" cm="1">
        <f t="array" ref="J5">IF(COUNT(_xlfn._xlws.FILTER('TERadj'!BA2:BA100, ('TERadj'!BA2:BA100&gt;0)*('TERadj'!C2:C100="Asia Pacific"))),COUNT(_xlfn._xlws.FILTER('TERadj'!BA2:BA100, ('TERadj'!BA2:BA100&gt;0)*('TERadj'!C2:C100="Asia Pacific"))),"")</f>
        <v>0</v>
      </c>
      <c r="K5" cm="1">
        <f t="array" ref="K5">IF(COUNT(_xlfn._xlws.FILTER('TERadj'!BA2:BA100, ('TERadj'!BA2:BA100&gt;0)*('TERadj'!C2:C100="Europe"))),COUNT(_xlfn._xlws.FILTER('TERadj'!BA2:BA100, ('TERadj'!BA2:BA100&gt;0)*('TERadj'!C2:C100="Europe"))),"")</f>
        <v>0</v>
      </c>
      <c r="L5" cm="1">
        <f t="array" ref="L5">IF(COUNT(_xlfn._xlws.FILTER('TERadj'!BA2:BA100, ('TERadj'!BA2:BA100&gt;0)*('TERadj'!C2:C100="North America"))),COUNT(_xlfn._xlws.FILTER('TERadj'!BA2:BA100, ('TERadj'!BA2:BA100&gt;0)*('TERadj'!C2:C100="North America"))),"")</f>
        <v>0</v>
      </c>
      <c r="M5" cm="1">
        <f t="array" ref="M5">IF(COUNT(_xlfn._xlws.FILTER('TERadj'!BA2:BA100, ('TERadj'!BA2:BA100&gt;0)*('TERadj'!C2:C100="South America"))),COUNT(_xlfn._xlws.FILTER('TERadj'!BA2:BA100, ('TERadj'!BA2:BA100&gt;0)*('TERadj'!C2:C100="South America"))),"")</f>
        <v>0</v>
      </c>
      <c r="N5" cm="1">
        <f t="array" ref="N5">IF(COUNT(_xlfn._xlws.FILTER('TERadj'!BA2:BA100, ('TERadj'!BA2:BA100&gt;0)*('TERadj'!C2:C100="Africa"))),COUNT(_xlfn._xlws.FILTER('TERadj'!BA2:BA100, ('TERadj'!BA2:BA100&gt;0)*('TERadj'!C2:C100="Africa"))),"")</f>
        <v>0</v>
      </c>
    </row>
    <row r="6" spans="1:14">
      <c r="B6" t="s">
        <v>965</v>
      </c>
      <c r="C6">
        <f>IF(SUMIFS('TERadj'!BB2:BB100,'TERadj'!BB2:BB100,"&gt;0",'TERadj'!C2:C100,"Asia Pacific")/1000,SUMIFS('TERadj'!BB2:BB100,'TERadj'!BB2:BB100,"&gt;0",'TERadj'!C2:C100,"Asia Pacific")/1000,"")</f>
        <v>0</v>
      </c>
      <c r="D6">
        <f>IF(SUMIFS('TERadj'!BB2:BB100,'TERadj'!BB2:BB100,"&gt;0",'TERadj'!C2:C100,"Europe")/1000,SUMIFS('TERadj'!BB2:BB100,'TERadj'!BB2:BB100,"&gt;0",'TERadj'!C2:C100,"Europe")/1000,"")</f>
        <v>0</v>
      </c>
      <c r="E6">
        <f>IF(SUMIFS('TERadj'!BB2:BB100,'TERadj'!BB2:BB100,"&gt;0",'TERadj'!C2:C100,"North America")/1000,SUMIFS('TERadj'!BB2:BB100,'TERadj'!BB2:BB100,"&gt;0",'TERadj'!C2:C100,"North America")/1000,"")</f>
        <v>0</v>
      </c>
      <c r="F6">
        <f>IF(SUMIFS('TERadj'!BB2:BB100,'TERadj'!BB2:BB100,"&gt;0",'TERadj'!C2:C100,"South America")/1000,SUMIFS('TERadj'!BB2:BB100,'TERadj'!BB2:BB100,"&gt;0",'TERadj'!C2:C100,"South America")/1000,"")</f>
        <v>0</v>
      </c>
      <c r="G6">
        <f>IF(SUMIFS('TERadj'!BB2:BB100,'TERadj'!BB2:BB100,"&gt;0",'TERadj'!C2:C100,"Africa")/1000,SUMIFS('TERadj'!BB2:BB100,'TERadj'!BB2:BB100,"&gt;0",'TERadj'!C2:C100,"Africa")/1000,"")</f>
        <v>0</v>
      </c>
      <c r="I6" t="s">
        <v>965</v>
      </c>
      <c r="J6" cm="1">
        <f t="array" ref="J6">IF(COUNT(_xlfn._xlws.FILTER('TERadj'!BB2:BB100, ('TERadj'!BB2:BB100&gt;0)*('TERadj'!C2:C100="Asia Pacific"))),COUNT(_xlfn._xlws.FILTER('TERadj'!BB2:BB100, ('TERadj'!BB2:BB100&gt;0)*('TERadj'!C2:C100="Asia Pacific"))),"")</f>
        <v>0</v>
      </c>
      <c r="K6" cm="1">
        <f t="array" ref="K6">IF(COUNT(_xlfn._xlws.FILTER('TERadj'!BB2:BB100, ('TERadj'!BB2:BB100&gt;0)*('TERadj'!C2:C100="Europe"))),COUNT(_xlfn._xlws.FILTER('TERadj'!BB2:BB100, ('TERadj'!BB2:BB100&gt;0)*('TERadj'!C2:C100="Europe"))),"")</f>
        <v>0</v>
      </c>
      <c r="L6" cm="1">
        <f t="array" ref="L6">IF(COUNT(_xlfn._xlws.FILTER('TERadj'!BB2:BB100, ('TERadj'!BB2:BB100&gt;0)*('TERadj'!C2:C100="North America"))),COUNT(_xlfn._xlws.FILTER('TERadj'!BB2:BB100, ('TERadj'!BB2:BB100&gt;0)*('TERadj'!C2:C100="North America"))),"")</f>
        <v>0</v>
      </c>
      <c r="M6" cm="1">
        <f t="array" ref="M6">IF(COUNT(_xlfn._xlws.FILTER('TERadj'!BB2:BB100, ('TERadj'!BB2:BB100&gt;0)*('TERadj'!C2:C100="South America"))),COUNT(_xlfn._xlws.FILTER('TERadj'!BB2:BB100, ('TERadj'!BB2:BB100&gt;0)*('TERadj'!C2:C100="South America"))),"")</f>
        <v>0</v>
      </c>
      <c r="N6" cm="1">
        <f t="array" ref="N6">IF(COUNT(_xlfn._xlws.FILTER('TERadj'!BB2:BB100, ('TERadj'!BB2:BB100&gt;0)*('TERadj'!C2:C100="Africa"))),COUNT(_xlfn._xlws.FILTER('TERadj'!BB2:BB100, ('TERadj'!BB2:BB100&gt;0)*('TERadj'!C2:C100="Africa"))),"")</f>
        <v>0</v>
      </c>
    </row>
    <row r="7" spans="1:14">
      <c r="B7" t="s">
        <v>894</v>
      </c>
      <c r="C7">
        <f>IF(SUMIFS('TERadj'!BC2:BC100,'TERadj'!BC2:BC100,"&gt;0",'TERadj'!C2:C100,"Asia Pacific")/1000,SUMIFS('TERadj'!BC2:BC100,'TERadj'!BC2:BC100,"&gt;0",'TERadj'!C2:C100,"Asia Pacific")/1000,"")</f>
        <v>0</v>
      </c>
      <c r="D7">
        <f>IF(SUMIFS('TERadj'!BC2:BC100,'TERadj'!BC2:BC100,"&gt;0",'TERadj'!C2:C100,"Europe")/1000,SUMIFS('TERadj'!BC2:BC100,'TERadj'!BC2:BC100,"&gt;0",'TERadj'!C2:C100,"Europe")/1000,"")</f>
        <v>0</v>
      </c>
      <c r="E7">
        <f>IF(SUMIFS('TERadj'!BC2:BC100,'TERadj'!BC2:BC100,"&gt;0",'TERadj'!C2:C100,"North America")/1000,SUMIFS('TERadj'!BC2:BC100,'TERadj'!BC2:BC100,"&gt;0",'TERadj'!C2:C100,"North America")/1000,"")</f>
        <v>0</v>
      </c>
      <c r="F7">
        <f>IF(SUMIFS('TERadj'!BC2:BC100,'TERadj'!BC2:BC100,"&gt;0",'TERadj'!C2:C100,"South America")/1000,SUMIFS('TERadj'!BC2:BC100,'TERadj'!BC2:BC100,"&gt;0",'TERadj'!C2:C100,"South America")/1000,"")</f>
        <v>0</v>
      </c>
      <c r="G7">
        <f>IF(SUMIFS('TERadj'!BC2:BC100,'TERadj'!BC2:BC100,"&gt;0",'TERadj'!C2:C100,"Africa")/1000,SUMIFS('TERadj'!BC2:BC100,'TERadj'!BC2:BC100,"&gt;0",'TERadj'!C2:C100,"Africa")/1000,"")</f>
        <v>0</v>
      </c>
      <c r="I7" t="s">
        <v>894</v>
      </c>
      <c r="J7" cm="1">
        <f t="array" ref="J7">IF(COUNT(_xlfn._xlws.FILTER('TERadj'!BC2:BC100, ('TERadj'!BC2:BC100&gt;0)*('TERadj'!C2:C100="Asia Pacific"))),COUNT(_xlfn._xlws.FILTER('TERadj'!BC2:BC100, ('TERadj'!BC2:BC100&gt;0)*('TERadj'!C2:C100="Asia Pacific"))),"")</f>
        <v>0</v>
      </c>
      <c r="K7" cm="1">
        <f t="array" ref="K7">IF(COUNT(_xlfn._xlws.FILTER('TERadj'!BC2:BC100, ('TERadj'!BC2:BC100&gt;0)*('TERadj'!C2:C100="Europe"))),COUNT(_xlfn._xlws.FILTER('TERadj'!BC2:BC100, ('TERadj'!BC2:BC100&gt;0)*('TERadj'!C2:C100="Europe"))),"")</f>
        <v>0</v>
      </c>
      <c r="L7" cm="1">
        <f t="array" ref="L7">IF(COUNT(_xlfn._xlws.FILTER('TERadj'!BC2:BC100, ('TERadj'!BC2:BC100&gt;0)*('TERadj'!C2:C100="North America"))),COUNT(_xlfn._xlws.FILTER('TERadj'!BC2:BC100, ('TERadj'!BC2:BC100&gt;0)*('TERadj'!C2:C100="North America"))),"")</f>
        <v>0</v>
      </c>
      <c r="M7" cm="1">
        <f t="array" ref="M7">IF(COUNT(_xlfn._xlws.FILTER('TERadj'!BC2:BC100, ('TERadj'!BC2:BC100&gt;0)*('TERadj'!C2:C100="South America"))),COUNT(_xlfn._xlws.FILTER('TERadj'!BC2:BC100, ('TERadj'!BC2:BC100&gt;0)*('TERadj'!C2:C100="South America"))),"")</f>
        <v>0</v>
      </c>
      <c r="N7" cm="1">
        <f t="array" ref="N7">IF(COUNT(_xlfn._xlws.FILTER('TERadj'!BC2:BC100, ('TERadj'!BC2:BC100&gt;0)*('TERadj'!C2:C100="Africa"))),COUNT(_xlfn._xlws.FILTER('TERadj'!BC2:BC100, ('TERadj'!BC2:BC100&gt;0)*('TERadj'!C2:C100="Africa"))),"")</f>
        <v>0</v>
      </c>
    </row>
    <row r="9" spans="1:14">
      <c r="B9" t="s">
        <v>962</v>
      </c>
      <c r="C9" t="s">
        <v>839</v>
      </c>
      <c r="D9" t="s">
        <v>840</v>
      </c>
      <c r="E9" t="s">
        <v>838</v>
      </c>
      <c r="F9" t="s">
        <v>841</v>
      </c>
      <c r="G9" t="s">
        <v>898</v>
      </c>
    </row>
    <row r="10" spans="1:14">
      <c r="B10" t="s">
        <v>963</v>
      </c>
      <c r="C10" s="5">
        <f>IF(SUM(J4:J7) &gt; 2, IF(AND(SUM(C4:C7)&gt;0, ISNUMBER(C4)),C4/SUM(C4:C7), ""), "")</f>
        <v>0</v>
      </c>
      <c r="D10" s="5">
        <f>IF(SUM(J4:J7) &gt; 2, IF(AND(SUM(D4:D7)&gt;0, ISNUMBER(D4)),D4/SUM(D4:D7), ""), "")</f>
        <v>0</v>
      </c>
      <c r="E10" s="5">
        <f>IF(SUM(J4:J7) &gt; 2, IF(AND(SUM(E4:E7)&gt;0, ISNUMBER(E4)),E4/SUM(E4:E7), ""), "")</f>
        <v>0</v>
      </c>
      <c r="F10" s="5">
        <f>IF(SUM(J4:J7) &gt; 2, IF(AND(SUM(F4:F7)&gt;0, ISNUMBER(F4)),F4/SUM(F4:F7), ""), "")</f>
        <v>0</v>
      </c>
      <c r="G10" s="5">
        <f>IF(SUM(J4:J7) &gt; 2, IF(AND(SUM(G4:G7)&gt;0, ISNUMBER(G4)),G4/SUM(G4:G7), ""), "")</f>
        <v>0</v>
      </c>
    </row>
    <row r="11" spans="1:14">
      <c r="B11" t="s">
        <v>964</v>
      </c>
      <c r="C11" s="5">
        <f>IF(SUM(J4:J7) &gt; 2, IF(AND(SUM(C4:C7)&gt;0, ISNUMBER(C5)),C5/SUM(C4:C7), ""), "")</f>
        <v>0</v>
      </c>
      <c r="D11" s="5">
        <f>IF(SUM(J4:J7) &gt; 2, IF(AND(SUM(D4:D7)&gt;0, ISNUMBER(D5)),D5/SUM(D4:D7), ""), "")</f>
        <v>0</v>
      </c>
      <c r="E11" s="5">
        <f>IF(SUM(J4:J7) &gt; 2, IF(AND(SUM(E4:E7)&gt;0, ISNUMBER(E5)),E5/SUM(E4:E7), ""), "")</f>
        <v>0</v>
      </c>
      <c r="F11" s="5">
        <f>IF(SUM(J4:J7) &gt; 2, IF(AND(SUM(F4:F7)&gt;0, ISNUMBER(F5)),F5/SUM(F4:F7), ""), "")</f>
        <v>0</v>
      </c>
      <c r="G11" s="5">
        <f>IF(SUM(J4:J7) &gt; 2, IF(AND(SUM(G4:G7)&gt;0, ISNUMBER(G5)),G5/SUM(G4:G7), ""), "")</f>
        <v>0</v>
      </c>
    </row>
    <row r="12" spans="1:14">
      <c r="B12" t="s">
        <v>965</v>
      </c>
      <c r="C12" s="5">
        <f>IF(SUM(J4:J7) &gt; 2, IF(AND(SUM(C4:C7)&gt;0, ISNUMBER(C6)),C6/SUM(C4:C7), ""), "")</f>
        <v>0</v>
      </c>
      <c r="D12" s="5">
        <f>IF(SUM(J4:J7) &gt; 2, IF(AND(SUM(D4:D7)&gt;0, ISNUMBER(D6)),D6/SUM(D4:D7), ""), "")</f>
        <v>0</v>
      </c>
      <c r="E12" s="5">
        <f>IF(SUM(J4:J7) &gt; 2, IF(AND(SUM(E4:E7)&gt;0, ISNUMBER(E6)),E6/SUM(E4:E7), ""), "")</f>
        <v>0</v>
      </c>
      <c r="F12" s="5">
        <f>IF(SUM(J4:J7) &gt; 2, IF(AND(SUM(F4:F7)&gt;0, ISNUMBER(F6)),F6/SUM(F4:F7), ""), "")</f>
        <v>0</v>
      </c>
      <c r="G12" s="5">
        <f>IF(SUM(J4:J7) &gt; 2, IF(AND(SUM(G4:G7)&gt;0, ISNUMBER(G6)),G6/SUM(G4:G7), ""), "")</f>
        <v>0</v>
      </c>
    </row>
    <row r="13" spans="1:14">
      <c r="B13" t="s">
        <v>894</v>
      </c>
      <c r="C13" s="5">
        <f>IF(SUM(J4:J7) &gt; 2, IF(AND(SUM(C4:C7)&gt;0, ISNUMBER(C7)),C7/SUM(C4:C7), ""), "")</f>
        <v>0</v>
      </c>
      <c r="D13" s="5">
        <f>IF(SUM(J4:J7) &gt; 2, IF(AND(SUM(D4:D7)&gt;0, ISNUMBER(D7)),D7/SUM(D4:D7), ""), "")</f>
        <v>0</v>
      </c>
      <c r="E13" s="5">
        <f>IF(SUM(J4:J7) &gt; 2, IF(AND(SUM(E4:E7)&gt;0, ISNUMBER(E7)),E7/SUM(E4:E7), ""), "")</f>
        <v>0</v>
      </c>
      <c r="F13" s="5">
        <f>IF(SUM(J4:J7) &gt; 2, IF(AND(SUM(F4:F7)&gt;0, ISNUMBER(F7)),F7/SUM(F4:F7), ""), "")</f>
        <v>0</v>
      </c>
      <c r="G13" s="5">
        <f>IF(SUM(J4:J7) &gt; 2, IF(AND(SUM(G4:G7)&gt;0, ISNUMBER(G7)),G7/SUM(G4:G7), ""), "")</f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33A0"/>
  </sheetPr>
  <dimension ref="A1:X13"/>
  <sheetViews>
    <sheetView workbookViewId="0"/>
  </sheetViews>
  <sheetFormatPr defaultRowHeight="15"/>
  <sheetData>
    <row r="1" spans="1:24" s="3" customFormat="1" ht="40" customHeight="1">
      <c r="A1" s="3" t="s">
        <v>966</v>
      </c>
    </row>
    <row r="3" spans="1:24">
      <c r="B3" t="s">
        <v>942</v>
      </c>
      <c r="C3" t="s">
        <v>943</v>
      </c>
      <c r="D3" t="s">
        <v>944</v>
      </c>
      <c r="E3" t="s">
        <v>945</v>
      </c>
      <c r="F3" t="s">
        <v>946</v>
      </c>
      <c r="G3" t="s">
        <v>947</v>
      </c>
      <c r="H3" t="s">
        <v>948</v>
      </c>
      <c r="I3" t="s">
        <v>949</v>
      </c>
      <c r="J3" t="s">
        <v>950</v>
      </c>
      <c r="K3" t="s">
        <v>931</v>
      </c>
      <c r="L3" t="s">
        <v>932</v>
      </c>
      <c r="N3" t="s">
        <v>942</v>
      </c>
      <c r="O3" t="s">
        <v>943</v>
      </c>
      <c r="P3" t="s">
        <v>944</v>
      </c>
      <c r="Q3" t="s">
        <v>945</v>
      </c>
      <c r="R3" t="s">
        <v>946</v>
      </c>
      <c r="S3" t="s">
        <v>947</v>
      </c>
      <c r="T3" t="s">
        <v>948</v>
      </c>
      <c r="U3" t="s">
        <v>949</v>
      </c>
      <c r="V3" t="s">
        <v>950</v>
      </c>
      <c r="W3" t="s">
        <v>931</v>
      </c>
      <c r="X3" t="s">
        <v>932</v>
      </c>
    </row>
    <row r="4" spans="1:24">
      <c r="B4" t="s">
        <v>967</v>
      </c>
      <c r="C4">
        <v>2</v>
      </c>
      <c r="D4">
        <v>4</v>
      </c>
      <c r="E4">
        <v>5</v>
      </c>
      <c r="F4">
        <v>8</v>
      </c>
      <c r="G4">
        <v>3</v>
      </c>
      <c r="H4">
        <v>1</v>
      </c>
      <c r="I4">
        <v>3</v>
      </c>
      <c r="J4">
        <v>3</v>
      </c>
      <c r="K4">
        <v>3</v>
      </c>
      <c r="L4" cm="1">
        <f t="array" ref="L4">IF(COUNT(_xlfn._xlws.FILTER('TERadj'!BD2:BD100, ('TERadj'!BD2:BD100&lt;&gt;"")*('TERadj'!BD2:BD100=0))),COUNT(_xlfn._xlws.FILTER('TERadj'!BD2:BD100, ('TERadj'!BD2:BD100&lt;&gt;"")*('TERadj'!BD2:BD100=0))),"")</f>
        <v>0</v>
      </c>
      <c r="N4" t="s">
        <v>967</v>
      </c>
      <c r="O4">
        <v>2</v>
      </c>
      <c r="P4">
        <v>4</v>
      </c>
      <c r="Q4">
        <v>5</v>
      </c>
      <c r="R4">
        <v>8</v>
      </c>
      <c r="S4">
        <v>3</v>
      </c>
      <c r="T4">
        <v>1</v>
      </c>
      <c r="U4">
        <v>3</v>
      </c>
      <c r="V4">
        <v>3</v>
      </c>
      <c r="W4">
        <v>3</v>
      </c>
      <c r="X4" cm="1">
        <f t="array" ref="X4">IF(COUNT(_xlfn._xlws.FILTER('TERadj'!BD2:BD100, ('TERadj'!BD2:BD100&lt;&gt;"")*('TERadj'!BD2:BD100=0))),COUNT(_xlfn._xlws.FILTER('TERadj'!BD2:BD100, ('TERadj'!BD2:BD100&lt;&gt;"")*('TERadj'!BD2:BD100=0))),"")</f>
        <v>0</v>
      </c>
    </row>
    <row r="5" spans="1:24">
      <c r="B5" t="s">
        <v>968</v>
      </c>
      <c r="C5">
        <v>112</v>
      </c>
      <c r="D5">
        <v>114</v>
      </c>
      <c r="E5">
        <v>121</v>
      </c>
      <c r="F5">
        <v>146</v>
      </c>
      <c r="G5">
        <v>110</v>
      </c>
      <c r="H5">
        <v>96</v>
      </c>
      <c r="I5">
        <v>99</v>
      </c>
      <c r="J5">
        <v>81</v>
      </c>
      <c r="K5">
        <v>69</v>
      </c>
      <c r="L5" cm="1">
        <f t="array" ref="L5">IF(COUNT(_xlfn._xlws.FILTER('TERadj'!BD2:BD100, ('TERadj'!BD2:BD100&lt;&gt;"")*('TERadj'!BD2:BD100=1))),COUNT(_xlfn._xlws.FILTER('TERadj'!BD2:BD100, ('TERadj'!BD2:BD100&lt;&gt;"")*('TERadj'!BD2:BD100=1))),"")</f>
        <v>0</v>
      </c>
      <c r="N5" t="s">
        <v>968</v>
      </c>
      <c r="O5">
        <v>112</v>
      </c>
      <c r="P5">
        <v>114</v>
      </c>
      <c r="Q5">
        <v>121</v>
      </c>
      <c r="R5">
        <v>146</v>
      </c>
      <c r="S5">
        <v>110</v>
      </c>
      <c r="T5">
        <v>96</v>
      </c>
      <c r="U5">
        <v>99</v>
      </c>
      <c r="V5">
        <v>81</v>
      </c>
      <c r="W5">
        <v>69</v>
      </c>
      <c r="X5" cm="1">
        <f t="array" ref="X5">IF(COUNT(_xlfn._xlws.FILTER('TERadj'!BD2:BD100, ('TERadj'!BD2:BD100&lt;&gt;"")*('TERadj'!BD2:BD100=1))),COUNT(_xlfn._xlws.FILTER('TERadj'!BD2:BD100, ('TERadj'!BD2:BD100&lt;&gt;"")*('TERadj'!BD2:BD100=1))),"")</f>
        <v>0</v>
      </c>
    </row>
    <row r="6" spans="1:24">
      <c r="B6" t="s">
        <v>969</v>
      </c>
      <c r="C6">
        <v>12</v>
      </c>
      <c r="D6">
        <v>10</v>
      </c>
      <c r="E6">
        <v>18</v>
      </c>
      <c r="F6">
        <v>18</v>
      </c>
      <c r="G6">
        <v>11</v>
      </c>
      <c r="H6">
        <v>5</v>
      </c>
      <c r="I6">
        <v>1</v>
      </c>
      <c r="J6">
        <v>9</v>
      </c>
      <c r="K6">
        <v>2</v>
      </c>
      <c r="L6" cm="1">
        <f t="array" ref="L6">IF(COUNT(_xlfn._xlws.FILTER('TERadj'!BD2:BD100, ('TERadj'!BD2:BD100&lt;&gt;"")*('TERadj'!BD2:BD100=2))),COUNT(_xlfn._xlws.FILTER('TERadj'!BD2:BD100, ('TERadj'!BD2:BD100&lt;&gt;"")*('TERadj'!BD2:BD100=2))),"")</f>
        <v>0</v>
      </c>
      <c r="N6" t="s">
        <v>969</v>
      </c>
      <c r="O6">
        <v>12</v>
      </c>
      <c r="P6">
        <v>10</v>
      </c>
      <c r="Q6">
        <v>18</v>
      </c>
      <c r="R6">
        <v>18</v>
      </c>
      <c r="S6">
        <v>11</v>
      </c>
      <c r="T6">
        <v>5</v>
      </c>
      <c r="U6">
        <v>1</v>
      </c>
      <c r="V6">
        <v>9</v>
      </c>
      <c r="W6">
        <v>2</v>
      </c>
      <c r="X6" cm="1">
        <f t="array" ref="X6">IF(COUNT(_xlfn._xlws.FILTER('TERadj'!BD2:BD100, ('TERadj'!BD2:BD100&lt;&gt;"")*('TERadj'!BD2:BD100=2))),COUNT(_xlfn._xlws.FILTER('TERadj'!BD2:BD100, ('TERadj'!BD2:BD100&lt;&gt;"")*('TERadj'!BD2:BD100=2))),"")</f>
        <v>0</v>
      </c>
    </row>
    <row r="7" spans="1:24">
      <c r="B7" t="s">
        <v>970</v>
      </c>
      <c r="C7">
        <v>27</v>
      </c>
      <c r="D7">
        <v>34</v>
      </c>
      <c r="E7">
        <v>31</v>
      </c>
      <c r="F7">
        <v>31</v>
      </c>
      <c r="G7">
        <v>35</v>
      </c>
      <c r="H7">
        <v>25</v>
      </c>
      <c r="I7">
        <v>27</v>
      </c>
      <c r="J7">
        <v>23</v>
      </c>
      <c r="K7">
        <v>9</v>
      </c>
      <c r="L7" cm="1">
        <f t="array" ref="L7">IF(COUNT(_xlfn._xlws.FILTER('TERadj'!BD2:BD100, ('TERadj'!BD2:BD100&lt;&gt;"")*('TERadj'!BD2:BD100=3))),COUNT(_xlfn._xlws.FILTER('TERadj'!BD2:BD100, ('TERadj'!BD2:BD100&lt;&gt;"")*('TERadj'!BD2:BD100=3))),"")</f>
        <v>0</v>
      </c>
      <c r="N7" t="s">
        <v>970</v>
      </c>
      <c r="O7">
        <v>27</v>
      </c>
      <c r="P7">
        <v>34</v>
      </c>
      <c r="Q7">
        <v>31</v>
      </c>
      <c r="R7">
        <v>31</v>
      </c>
      <c r="S7">
        <v>35</v>
      </c>
      <c r="T7">
        <v>25</v>
      </c>
      <c r="U7">
        <v>27</v>
      </c>
      <c r="V7">
        <v>23</v>
      </c>
      <c r="W7">
        <v>9</v>
      </c>
      <c r="X7" cm="1">
        <f t="array" ref="X7">IF(COUNT(_xlfn._xlws.FILTER('TERadj'!BD2:BD100, ('TERadj'!BD2:BD100&lt;&gt;"")*('TERadj'!BD2:BD100=3))),COUNT(_xlfn._xlws.FILTER('TERadj'!BD2:BD100, ('TERadj'!BD2:BD100&lt;&gt;"")*('TERadj'!BD2:BD100=3))),"")</f>
        <v>0</v>
      </c>
    </row>
    <row r="9" spans="1:24">
      <c r="B9" t="s">
        <v>942</v>
      </c>
      <c r="C9" t="s">
        <v>943</v>
      </c>
      <c r="D9" t="s">
        <v>944</v>
      </c>
      <c r="E9" t="s">
        <v>945</v>
      </c>
      <c r="F9" t="s">
        <v>946</v>
      </c>
      <c r="G9" t="s">
        <v>947</v>
      </c>
      <c r="H9" t="s">
        <v>948</v>
      </c>
      <c r="I9" t="s">
        <v>949</v>
      </c>
      <c r="J9" t="s">
        <v>950</v>
      </c>
      <c r="K9" t="s">
        <v>931</v>
      </c>
      <c r="L9" t="s">
        <v>932</v>
      </c>
    </row>
    <row r="10" spans="1:24">
      <c r="B10" t="s">
        <v>967</v>
      </c>
      <c r="C10" s="6">
        <f>IF(AND(SUM(C4:C7)&gt;0, ISNUMBER(C4)),C4/SUM(C4:C7), "")</f>
        <v>0</v>
      </c>
      <c r="D10" s="6">
        <f>IF(AND(SUM(D4:D7)&gt;0, ISNUMBER(D4)),D4/SUM(D4:D7), "")</f>
        <v>0</v>
      </c>
      <c r="E10" s="6">
        <f>IF(AND(SUM(E4:E7)&gt;0, ISNUMBER(E4)),E4/SUM(E4:E7), "")</f>
        <v>0</v>
      </c>
      <c r="F10" s="6">
        <f>IF(AND(SUM(F4:F7)&gt;0, ISNUMBER(F4)),F4/SUM(F4:F7), "")</f>
        <v>0</v>
      </c>
      <c r="G10" s="6">
        <f>IF(AND(SUM(G4:G7)&gt;0, ISNUMBER(G4)),G4/SUM(G4:G7), "")</f>
        <v>0</v>
      </c>
      <c r="H10" s="6">
        <f>IF(AND(SUM(H4:H7)&gt;0, ISNUMBER(H4)),H4/SUM(H4:H7), "")</f>
        <v>0</v>
      </c>
      <c r="I10" s="6">
        <f>IF(AND(SUM(I4:I7)&gt;0, ISNUMBER(I4)),I4/SUM(I4:I7), "")</f>
        <v>0</v>
      </c>
      <c r="J10" s="6">
        <f>IF(AND(SUM(J4:J7)&gt;0, ISNUMBER(J4)),J4/SUM(J4:J7), "")</f>
        <v>0</v>
      </c>
      <c r="K10" s="6">
        <f>IF(AND(SUM(K4:K7)&gt;0, ISNUMBER(K4)),K4/SUM(K4:K7), "")</f>
        <v>0</v>
      </c>
      <c r="L10" s="6">
        <f>IF(AND(SUM(L4:L7)&gt;0, ISNUMBER(L4)),L4/SUM(L4:L7), "")</f>
        <v>0</v>
      </c>
    </row>
    <row r="11" spans="1:24">
      <c r="B11" t="s">
        <v>968</v>
      </c>
      <c r="C11" s="6">
        <f>IF(AND(SUM(C4:C7)&gt;0, ISNUMBER(C5)),C5/SUM(C4:C7), "")</f>
        <v>0</v>
      </c>
      <c r="D11" s="6">
        <f>IF(AND(SUM(D4:D7)&gt;0, ISNUMBER(D5)),D5/SUM(D4:D7), "")</f>
        <v>0</v>
      </c>
      <c r="E11" s="6">
        <f>IF(AND(SUM(E4:E7)&gt;0, ISNUMBER(E5)),E5/SUM(E4:E7), "")</f>
        <v>0</v>
      </c>
      <c r="F11" s="6">
        <f>IF(AND(SUM(F4:F7)&gt;0, ISNUMBER(F5)),F5/SUM(F4:F7), "")</f>
        <v>0</v>
      </c>
      <c r="G11" s="6">
        <f>IF(AND(SUM(G4:G7)&gt;0, ISNUMBER(G5)),G5/SUM(G4:G7), "")</f>
        <v>0</v>
      </c>
      <c r="H11" s="6">
        <f>IF(AND(SUM(H4:H7)&gt;0, ISNUMBER(H5)),H5/SUM(H4:H7), "")</f>
        <v>0</v>
      </c>
      <c r="I11" s="6">
        <f>IF(AND(SUM(I4:I7)&gt;0, ISNUMBER(I5)),I5/SUM(I4:I7), "")</f>
        <v>0</v>
      </c>
      <c r="J11" s="6">
        <f>IF(AND(SUM(J4:J7)&gt;0, ISNUMBER(J5)),J5/SUM(J4:J7), "")</f>
        <v>0</v>
      </c>
      <c r="K11" s="6">
        <f>IF(AND(SUM(K4:K7)&gt;0, ISNUMBER(K5)),K5/SUM(K4:K7), "")</f>
        <v>0</v>
      </c>
      <c r="L11" s="6">
        <f>IF(AND(SUM(L4:L7)&gt;0, ISNUMBER(L5)),L5/SUM(L4:L7), "")</f>
        <v>0</v>
      </c>
    </row>
    <row r="12" spans="1:24">
      <c r="B12" t="s">
        <v>969</v>
      </c>
      <c r="C12" s="6">
        <f>IF(AND(SUM(C4:C7)&gt;0, ISNUMBER(C6)),C6/SUM(C4:C7), "")</f>
        <v>0</v>
      </c>
      <c r="D12" s="6">
        <f>IF(AND(SUM(D4:D7)&gt;0, ISNUMBER(D6)),D6/SUM(D4:D7), "")</f>
        <v>0</v>
      </c>
      <c r="E12" s="6">
        <f>IF(AND(SUM(E4:E7)&gt;0, ISNUMBER(E6)),E6/SUM(E4:E7), "")</f>
        <v>0</v>
      </c>
      <c r="F12" s="6">
        <f>IF(AND(SUM(F4:F7)&gt;0, ISNUMBER(F6)),F6/SUM(F4:F7), "")</f>
        <v>0</v>
      </c>
      <c r="G12" s="6">
        <f>IF(AND(SUM(G4:G7)&gt;0, ISNUMBER(G6)),G6/SUM(G4:G7), "")</f>
        <v>0</v>
      </c>
      <c r="H12" s="6">
        <f>IF(AND(SUM(H4:H7)&gt;0, ISNUMBER(H6)),H6/SUM(H4:H7), "")</f>
        <v>0</v>
      </c>
      <c r="I12" s="6">
        <f>IF(AND(SUM(I4:I7)&gt;0, ISNUMBER(I6)),I6/SUM(I4:I7), "")</f>
        <v>0</v>
      </c>
      <c r="J12" s="6">
        <f>IF(AND(SUM(J4:J7)&gt;0, ISNUMBER(J6)),J6/SUM(J4:J7), "")</f>
        <v>0</v>
      </c>
      <c r="K12" s="6">
        <f>IF(AND(SUM(K4:K7)&gt;0, ISNUMBER(K6)),K6/SUM(K4:K7), "")</f>
        <v>0</v>
      </c>
      <c r="L12" s="6">
        <f>IF(AND(SUM(L4:L7)&gt;0, ISNUMBER(L6)),L6/SUM(L4:L7), "")</f>
        <v>0</v>
      </c>
    </row>
    <row r="13" spans="1:24">
      <c r="B13" t="s">
        <v>970</v>
      </c>
      <c r="C13" s="6">
        <f>IF(AND(SUM(C4:C7)&gt;0, ISNUMBER(C7)),C7/SUM(C4:C7), "")</f>
        <v>0</v>
      </c>
      <c r="D13" s="6">
        <f>IF(AND(SUM(D4:D7)&gt;0, ISNUMBER(D7)),D7/SUM(D4:D7), "")</f>
        <v>0</v>
      </c>
      <c r="E13" s="6">
        <f>IF(AND(SUM(E4:E7)&gt;0, ISNUMBER(E7)),E7/SUM(E4:E7), "")</f>
        <v>0</v>
      </c>
      <c r="F13" s="6">
        <f>IF(AND(SUM(F4:F7)&gt;0, ISNUMBER(F7)),F7/SUM(F4:F7), "")</f>
        <v>0</v>
      </c>
      <c r="G13" s="6">
        <f>IF(AND(SUM(G4:G7)&gt;0, ISNUMBER(G7)),G7/SUM(G4:G7), "")</f>
        <v>0</v>
      </c>
      <c r="H13" s="6">
        <f>IF(AND(SUM(H4:H7)&gt;0, ISNUMBER(H7)),H7/SUM(H4:H7), "")</f>
        <v>0</v>
      </c>
      <c r="I13" s="6">
        <f>IF(AND(SUM(I4:I7)&gt;0, ISNUMBER(I7)),I7/SUM(I4:I7), "")</f>
        <v>0</v>
      </c>
      <c r="J13" s="6">
        <f>IF(AND(SUM(J4:J7)&gt;0, ISNUMBER(J7)),J7/SUM(J4:J7), "")</f>
        <v>0</v>
      </c>
      <c r="K13" s="6">
        <f>IF(AND(SUM(K4:K7)&gt;0, ISNUMBER(K7)),K7/SUM(K4:K7), "")</f>
        <v>0</v>
      </c>
      <c r="L13" s="6">
        <f>IF(AND(SUM(L4:L7)&gt;0, ISNUMBER(L7)),L7/SUM(L4:L7), "")</f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33A0"/>
  </sheetPr>
  <dimension ref="A1:X13"/>
  <sheetViews>
    <sheetView workbookViewId="0"/>
  </sheetViews>
  <sheetFormatPr defaultRowHeight="15"/>
  <sheetData>
    <row r="1" spans="1:24" s="3" customFormat="1" ht="40" customHeight="1">
      <c r="A1" s="3" t="s">
        <v>971</v>
      </c>
    </row>
    <row r="3" spans="1:24">
      <c r="B3" t="s">
        <v>942</v>
      </c>
      <c r="C3" t="s">
        <v>943</v>
      </c>
      <c r="D3" t="s">
        <v>944</v>
      </c>
      <c r="E3" t="s">
        <v>945</v>
      </c>
      <c r="F3" t="s">
        <v>946</v>
      </c>
      <c r="G3" t="s">
        <v>947</v>
      </c>
      <c r="H3" t="s">
        <v>948</v>
      </c>
      <c r="I3" t="s">
        <v>949</v>
      </c>
      <c r="J3" t="s">
        <v>950</v>
      </c>
      <c r="K3" t="s">
        <v>931</v>
      </c>
      <c r="L3" t="s">
        <v>932</v>
      </c>
      <c r="N3" t="s">
        <v>942</v>
      </c>
      <c r="O3" t="s">
        <v>943</v>
      </c>
      <c r="P3" t="s">
        <v>944</v>
      </c>
      <c r="Q3" t="s">
        <v>945</v>
      </c>
      <c r="R3" t="s">
        <v>946</v>
      </c>
      <c r="S3" t="s">
        <v>947</v>
      </c>
      <c r="T3" t="s">
        <v>948</v>
      </c>
      <c r="U3" t="s">
        <v>949</v>
      </c>
      <c r="V3" t="s">
        <v>950</v>
      </c>
      <c r="W3" t="s">
        <v>931</v>
      </c>
      <c r="X3" t="s">
        <v>932</v>
      </c>
    </row>
    <row r="4" spans="1:24">
      <c r="B4" t="s">
        <v>967</v>
      </c>
      <c r="C4">
        <v>3</v>
      </c>
      <c r="D4">
        <v>5</v>
      </c>
      <c r="E4">
        <v>5</v>
      </c>
      <c r="F4">
        <v>9</v>
      </c>
      <c r="G4">
        <v>3</v>
      </c>
      <c r="H4">
        <v>1</v>
      </c>
      <c r="I4">
        <v>5</v>
      </c>
      <c r="J4">
        <v>4</v>
      </c>
      <c r="K4">
        <v>5</v>
      </c>
      <c r="L4" cm="1">
        <f t="array" ref="L4">IF(COUNT(_xlfn._xlws.FILTER('TERadj'!BE2:BE100, ('TERadj'!BE2:BE100&lt;&gt;"")*('TERadj'!BE2:BE100=0))),COUNT(_xlfn._xlws.FILTER('TERadj'!BE2:BE100, ('TERadj'!BE2:BE100&lt;&gt;"")*('TERadj'!BE2:BE100=0))),"")</f>
        <v>0</v>
      </c>
      <c r="N4" t="s">
        <v>967</v>
      </c>
      <c r="O4">
        <v>3</v>
      </c>
      <c r="P4">
        <v>5</v>
      </c>
      <c r="Q4">
        <v>5</v>
      </c>
      <c r="R4">
        <v>9</v>
      </c>
      <c r="S4">
        <v>3</v>
      </c>
      <c r="T4">
        <v>1</v>
      </c>
      <c r="U4">
        <v>5</v>
      </c>
      <c r="V4">
        <v>4</v>
      </c>
      <c r="W4">
        <v>5</v>
      </c>
      <c r="X4" cm="1">
        <f t="array" ref="X4">IF(COUNT(_xlfn._xlws.FILTER('TERadj'!BE2:BE100, ('TERadj'!BE2:BE100&lt;&gt;"")*('TERadj'!BE2:BE100=0))),COUNT(_xlfn._xlws.FILTER('TERadj'!BE2:BE100, ('TERadj'!BE2:BE100&lt;&gt;"")*('TERadj'!BE2:BE100=0))),"")</f>
        <v>0</v>
      </c>
    </row>
    <row r="5" spans="1:24">
      <c r="B5" t="s">
        <v>972</v>
      </c>
      <c r="C5">
        <v>28</v>
      </c>
      <c r="D5">
        <v>30</v>
      </c>
      <c r="E5">
        <v>24</v>
      </c>
      <c r="F5">
        <v>20</v>
      </c>
      <c r="G5">
        <v>18</v>
      </c>
      <c r="H5">
        <v>20</v>
      </c>
      <c r="I5">
        <v>18</v>
      </c>
      <c r="J5">
        <v>13</v>
      </c>
      <c r="K5">
        <v>12</v>
      </c>
      <c r="L5" cm="1">
        <f t="array" ref="L5">IF(COUNT(_xlfn._xlws.FILTER('TERadj'!BE2:BE100, ('TERadj'!BE2:BE100&lt;&gt;"")*('TERadj'!BE2:BE100=1))),COUNT(_xlfn._xlws.FILTER('TERadj'!BE2:BE100, ('TERadj'!BE2:BE100&lt;&gt;"")*('TERadj'!BE2:BE100=1))),"")</f>
        <v>0</v>
      </c>
      <c r="N5" t="s">
        <v>972</v>
      </c>
      <c r="O5">
        <v>28</v>
      </c>
      <c r="P5">
        <v>30</v>
      </c>
      <c r="Q5">
        <v>24</v>
      </c>
      <c r="R5">
        <v>20</v>
      </c>
      <c r="S5">
        <v>18</v>
      </c>
      <c r="T5">
        <v>20</v>
      </c>
      <c r="U5">
        <v>18</v>
      </c>
      <c r="V5">
        <v>13</v>
      </c>
      <c r="W5">
        <v>12</v>
      </c>
      <c r="X5" cm="1">
        <f t="array" ref="X5">IF(COUNT(_xlfn._xlws.FILTER('TERadj'!BE2:BE100, ('TERadj'!BE2:BE100&lt;&gt;"")*('TERadj'!BE2:BE100=1))),COUNT(_xlfn._xlws.FILTER('TERadj'!BE2:BE100, ('TERadj'!BE2:BE100&lt;&gt;"")*('TERadj'!BE2:BE100=1))),"")</f>
        <v>0</v>
      </c>
    </row>
    <row r="6" spans="1:24">
      <c r="B6" t="s">
        <v>973</v>
      </c>
      <c r="C6">
        <v>45</v>
      </c>
      <c r="D6">
        <v>37</v>
      </c>
      <c r="E6">
        <v>36</v>
      </c>
      <c r="F6">
        <v>44</v>
      </c>
      <c r="G6">
        <v>28</v>
      </c>
      <c r="H6">
        <v>13</v>
      </c>
      <c r="I6">
        <v>20</v>
      </c>
      <c r="J6">
        <v>19</v>
      </c>
      <c r="K6">
        <v>16</v>
      </c>
      <c r="L6" cm="1">
        <f t="array" ref="L6">IF(COUNT(_xlfn._xlws.FILTER('TERadj'!BE2:BE100, ('TERadj'!BE2:BE100&lt;&gt;"")*('TERadj'!BE2:BE100=2))),COUNT(_xlfn._xlws.FILTER('TERadj'!BE2:BE100, ('TERadj'!BE2:BE100&lt;&gt;"")*('TERadj'!BE2:BE100=2))),"")</f>
        <v>0</v>
      </c>
      <c r="N6" t="s">
        <v>973</v>
      </c>
      <c r="O6">
        <v>45</v>
      </c>
      <c r="P6">
        <v>37</v>
      </c>
      <c r="Q6">
        <v>36</v>
      </c>
      <c r="R6">
        <v>44</v>
      </c>
      <c r="S6">
        <v>28</v>
      </c>
      <c r="T6">
        <v>13</v>
      </c>
      <c r="U6">
        <v>20</v>
      </c>
      <c r="V6">
        <v>19</v>
      </c>
      <c r="W6">
        <v>16</v>
      </c>
      <c r="X6" cm="1">
        <f t="array" ref="X6">IF(COUNT(_xlfn._xlws.FILTER('TERadj'!BE2:BE100, ('TERadj'!BE2:BE100&lt;&gt;"")*('TERadj'!BE2:BE100=2))),COUNT(_xlfn._xlws.FILTER('TERadj'!BE2:BE100, ('TERadj'!BE2:BE100&lt;&gt;"")*('TERadj'!BE2:BE100=2))),"")</f>
        <v>0</v>
      </c>
    </row>
    <row r="7" spans="1:24">
      <c r="B7" t="s">
        <v>974</v>
      </c>
      <c r="C7">
        <v>77</v>
      </c>
      <c r="D7">
        <v>90</v>
      </c>
      <c r="E7">
        <v>110</v>
      </c>
      <c r="F7">
        <v>130</v>
      </c>
      <c r="G7">
        <v>110</v>
      </c>
      <c r="H7">
        <v>93</v>
      </c>
      <c r="I7">
        <v>87</v>
      </c>
      <c r="J7">
        <v>80</v>
      </c>
      <c r="K7">
        <v>50</v>
      </c>
      <c r="L7" cm="1">
        <f t="array" ref="L7">IF(COUNT(_xlfn._xlws.FILTER('TERadj'!BE2:BE100, ('TERadj'!BE2:BE100&lt;&gt;"")*('TERadj'!BE2:BE100=3))),COUNT(_xlfn._xlws.FILTER('TERadj'!BE2:BE100, ('TERadj'!BE2:BE100&lt;&gt;"")*('TERadj'!BE2:BE100=3))),"")</f>
        <v>0</v>
      </c>
      <c r="N7" t="s">
        <v>974</v>
      </c>
      <c r="O7">
        <v>77</v>
      </c>
      <c r="P7">
        <v>90</v>
      </c>
      <c r="Q7">
        <v>110</v>
      </c>
      <c r="R7">
        <v>130</v>
      </c>
      <c r="S7">
        <v>110</v>
      </c>
      <c r="T7">
        <v>93</v>
      </c>
      <c r="U7">
        <v>87</v>
      </c>
      <c r="V7">
        <v>80</v>
      </c>
      <c r="W7">
        <v>50</v>
      </c>
      <c r="X7" cm="1">
        <f t="array" ref="X7">IF(COUNT(_xlfn._xlws.FILTER('TERadj'!BE2:BE100, ('TERadj'!BE2:BE100&lt;&gt;"")*('TERadj'!BE2:BE100=3))),COUNT(_xlfn._xlws.FILTER('TERadj'!BE2:BE100, ('TERadj'!BE2:BE100&lt;&gt;"")*('TERadj'!BE2:BE100=3))),"")</f>
        <v>0</v>
      </c>
    </row>
    <row r="9" spans="1:24">
      <c r="B9" t="s">
        <v>942</v>
      </c>
      <c r="C9" t="s">
        <v>943</v>
      </c>
      <c r="D9" t="s">
        <v>944</v>
      </c>
      <c r="E9" t="s">
        <v>945</v>
      </c>
      <c r="F9" t="s">
        <v>946</v>
      </c>
      <c r="G9" t="s">
        <v>947</v>
      </c>
      <c r="H9" t="s">
        <v>948</v>
      </c>
      <c r="I9" t="s">
        <v>949</v>
      </c>
      <c r="J9" t="s">
        <v>950</v>
      </c>
      <c r="K9" t="s">
        <v>931</v>
      </c>
      <c r="L9" t="s">
        <v>932</v>
      </c>
    </row>
    <row r="10" spans="1:24">
      <c r="B10" t="s">
        <v>967</v>
      </c>
      <c r="C10" s="6">
        <f>IF(AND(SUM(C4:C7)&gt;0, ISNUMBER(C4)),C4/SUM(C4:C7), "")</f>
        <v>0</v>
      </c>
      <c r="D10" s="6">
        <f>IF(AND(SUM(D4:D7)&gt;0, ISNUMBER(D4)),D4/SUM(D4:D7), "")</f>
        <v>0</v>
      </c>
      <c r="E10" s="6">
        <f>IF(AND(SUM(E4:E7)&gt;0, ISNUMBER(E4)),E4/SUM(E4:E7), "")</f>
        <v>0</v>
      </c>
      <c r="F10" s="6">
        <f>IF(AND(SUM(F4:F7)&gt;0, ISNUMBER(F4)),F4/SUM(F4:F7), "")</f>
        <v>0</v>
      </c>
      <c r="G10" s="6">
        <f>IF(AND(SUM(G4:G7)&gt;0, ISNUMBER(G4)),G4/SUM(G4:G7), "")</f>
        <v>0</v>
      </c>
      <c r="H10" s="6">
        <f>IF(AND(SUM(H4:H7)&gt;0, ISNUMBER(H4)),H4/SUM(H4:H7), "")</f>
        <v>0</v>
      </c>
      <c r="I10" s="6">
        <f>IF(AND(SUM(I4:I7)&gt;0, ISNUMBER(I4)),I4/SUM(I4:I7), "")</f>
        <v>0</v>
      </c>
      <c r="J10" s="6">
        <f>IF(AND(SUM(J4:J7)&gt;0, ISNUMBER(J4)),J4/SUM(J4:J7), "")</f>
        <v>0</v>
      </c>
      <c r="K10" s="6">
        <f>IF(AND(SUM(K4:K7)&gt;0, ISNUMBER(K4)),K4/SUM(K4:K7), "")</f>
        <v>0</v>
      </c>
      <c r="L10" s="6">
        <f>IF(AND(SUM(L4:L7)&gt;0, ISNUMBER(L4)),L4/SUM(L4:L7), "")</f>
        <v>0</v>
      </c>
    </row>
    <row r="11" spans="1:24">
      <c r="B11" t="s">
        <v>972</v>
      </c>
      <c r="C11" s="6">
        <f>IF(AND(SUM(C4:C7)&gt;0, ISNUMBER(C5)),C5/SUM(C4:C7), "")</f>
        <v>0</v>
      </c>
      <c r="D11" s="6">
        <f>IF(AND(SUM(D4:D7)&gt;0, ISNUMBER(D5)),D5/SUM(D4:D7), "")</f>
        <v>0</v>
      </c>
      <c r="E11" s="6">
        <f>IF(AND(SUM(E4:E7)&gt;0, ISNUMBER(E5)),E5/SUM(E4:E7), "")</f>
        <v>0</v>
      </c>
      <c r="F11" s="6">
        <f>IF(AND(SUM(F4:F7)&gt;0, ISNUMBER(F5)),F5/SUM(F4:F7), "")</f>
        <v>0</v>
      </c>
      <c r="G11" s="6">
        <f>IF(AND(SUM(G4:G7)&gt;0, ISNUMBER(G5)),G5/SUM(G4:G7), "")</f>
        <v>0</v>
      </c>
      <c r="H11" s="6">
        <f>IF(AND(SUM(H4:H7)&gt;0, ISNUMBER(H5)),H5/SUM(H4:H7), "")</f>
        <v>0</v>
      </c>
      <c r="I11" s="6">
        <f>IF(AND(SUM(I4:I7)&gt;0, ISNUMBER(I5)),I5/SUM(I4:I7), "")</f>
        <v>0</v>
      </c>
      <c r="J11" s="6">
        <f>IF(AND(SUM(J4:J7)&gt;0, ISNUMBER(J5)),J5/SUM(J4:J7), "")</f>
        <v>0</v>
      </c>
      <c r="K11" s="6">
        <f>IF(AND(SUM(K4:K7)&gt;0, ISNUMBER(K5)),K5/SUM(K4:K7), "")</f>
        <v>0</v>
      </c>
      <c r="L11" s="6">
        <f>IF(AND(SUM(L4:L7)&gt;0, ISNUMBER(L5)),L5/SUM(L4:L7), "")</f>
        <v>0</v>
      </c>
    </row>
    <row r="12" spans="1:24">
      <c r="B12" t="s">
        <v>973</v>
      </c>
      <c r="C12" s="6">
        <f>IF(AND(SUM(C4:C7)&gt;0, ISNUMBER(C6)),C6/SUM(C4:C7), "")</f>
        <v>0</v>
      </c>
      <c r="D12" s="6">
        <f>IF(AND(SUM(D4:D7)&gt;0, ISNUMBER(D6)),D6/SUM(D4:D7), "")</f>
        <v>0</v>
      </c>
      <c r="E12" s="6">
        <f>IF(AND(SUM(E4:E7)&gt;0, ISNUMBER(E6)),E6/SUM(E4:E7), "")</f>
        <v>0</v>
      </c>
      <c r="F12" s="6">
        <f>IF(AND(SUM(F4:F7)&gt;0, ISNUMBER(F6)),F6/SUM(F4:F7), "")</f>
        <v>0</v>
      </c>
      <c r="G12" s="6">
        <f>IF(AND(SUM(G4:G7)&gt;0, ISNUMBER(G6)),G6/SUM(G4:G7), "")</f>
        <v>0</v>
      </c>
      <c r="H12" s="6">
        <f>IF(AND(SUM(H4:H7)&gt;0, ISNUMBER(H6)),H6/SUM(H4:H7), "")</f>
        <v>0</v>
      </c>
      <c r="I12" s="6">
        <f>IF(AND(SUM(I4:I7)&gt;0, ISNUMBER(I6)),I6/SUM(I4:I7), "")</f>
        <v>0</v>
      </c>
      <c r="J12" s="6">
        <f>IF(AND(SUM(J4:J7)&gt;0, ISNUMBER(J6)),J6/SUM(J4:J7), "")</f>
        <v>0</v>
      </c>
      <c r="K12" s="6">
        <f>IF(AND(SUM(K4:K7)&gt;0, ISNUMBER(K6)),K6/SUM(K4:K7), "")</f>
        <v>0</v>
      </c>
      <c r="L12" s="6">
        <f>IF(AND(SUM(L4:L7)&gt;0, ISNUMBER(L6)),L6/SUM(L4:L7), "")</f>
        <v>0</v>
      </c>
    </row>
    <row r="13" spans="1:24">
      <c r="B13" t="s">
        <v>974</v>
      </c>
      <c r="C13" s="6">
        <f>IF(AND(SUM(C4:C7)&gt;0, ISNUMBER(C7)),C7/SUM(C4:C7), "")</f>
        <v>0</v>
      </c>
      <c r="D13" s="6">
        <f>IF(AND(SUM(D4:D7)&gt;0, ISNUMBER(D7)),D7/SUM(D4:D7), "")</f>
        <v>0</v>
      </c>
      <c r="E13" s="6">
        <f>IF(AND(SUM(E4:E7)&gt;0, ISNUMBER(E7)),E7/SUM(E4:E7), "")</f>
        <v>0</v>
      </c>
      <c r="F13" s="6">
        <f>IF(AND(SUM(F4:F7)&gt;0, ISNUMBER(F7)),F7/SUM(F4:F7), "")</f>
        <v>0</v>
      </c>
      <c r="G13" s="6">
        <f>IF(AND(SUM(G4:G7)&gt;0, ISNUMBER(G7)),G7/SUM(G4:G7), "")</f>
        <v>0</v>
      </c>
      <c r="H13" s="6">
        <f>IF(AND(SUM(H4:H7)&gt;0, ISNUMBER(H7)),H7/SUM(H4:H7), "")</f>
        <v>0</v>
      </c>
      <c r="I13" s="6">
        <f>IF(AND(SUM(I4:I7)&gt;0, ISNUMBER(I7)),I7/SUM(I4:I7), "")</f>
        <v>0</v>
      </c>
      <c r="J13" s="6">
        <f>IF(AND(SUM(J4:J7)&gt;0, ISNUMBER(J7)),J7/SUM(J4:J7), "")</f>
        <v>0</v>
      </c>
      <c r="K13" s="6">
        <f>IF(AND(SUM(K4:K7)&gt;0, ISNUMBER(K7)),K7/SUM(K4:K7), "")</f>
        <v>0</v>
      </c>
      <c r="L13" s="6">
        <f>IF(AND(SUM(L4:L7)&gt;0, ISNUMBER(L7)),L7/SUM(L4:L7), "")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33A0"/>
  </sheetPr>
  <dimension ref="A1:N9"/>
  <sheetViews>
    <sheetView workbookViewId="0"/>
  </sheetViews>
  <sheetFormatPr defaultRowHeight="15"/>
  <sheetData>
    <row r="1" spans="1:14" s="3" customFormat="1" ht="40" customHeight="1">
      <c r="A1" s="3" t="s">
        <v>975</v>
      </c>
    </row>
    <row r="3" spans="1:14">
      <c r="B3" t="s">
        <v>915</v>
      </c>
      <c r="C3" t="s">
        <v>948</v>
      </c>
      <c r="D3" t="s">
        <v>949</v>
      </c>
      <c r="E3" t="s">
        <v>950</v>
      </c>
      <c r="F3" t="s">
        <v>931</v>
      </c>
      <c r="G3" t="s">
        <v>932</v>
      </c>
      <c r="I3" t="s">
        <v>915</v>
      </c>
      <c r="J3" t="s">
        <v>948</v>
      </c>
      <c r="K3" t="s">
        <v>949</v>
      </c>
      <c r="L3" t="s">
        <v>950</v>
      </c>
      <c r="M3" t="s">
        <v>931</v>
      </c>
      <c r="N3" t="s">
        <v>932</v>
      </c>
    </row>
    <row r="4" spans="1:14">
      <c r="B4" t="s">
        <v>976</v>
      </c>
      <c r="C4">
        <v>64.0931172385216</v>
      </c>
      <c r="D4">
        <v>73.79105270195009</v>
      </c>
      <c r="E4">
        <v>65.0769384336472</v>
      </c>
      <c r="F4">
        <v>18.2644923645854</v>
      </c>
      <c r="G4">
        <f>IF(SUMIFS('TERadj'!BF2:BF100,'TERadj'!BF2:BF100,"&gt;0")/1000,SUMIFS('TERadj'!BF2:BF100,'TERadj'!BF2:BF100,"&gt;0")/1000,"")</f>
        <v>0</v>
      </c>
      <c r="I4" t="s">
        <v>976</v>
      </c>
      <c r="J4">
        <v>64.0931172385216</v>
      </c>
      <c r="K4">
        <v>73.79105270195009</v>
      </c>
      <c r="L4">
        <v>65.0769384336472</v>
      </c>
      <c r="M4">
        <v>18.2644923645854</v>
      </c>
      <c r="N4">
        <f>IF(SUMIFS('TERadj'!BF2:BF100,'TERadj'!BF2:BF100,"&gt;0")/1000,SUMIFS('TERadj'!BF2:BF100,'TERadj'!BF2:BF100,"&gt;0")/1000,"")</f>
        <v>0</v>
      </c>
    </row>
    <row r="5" spans="1:14">
      <c r="B5" t="s">
        <v>910</v>
      </c>
      <c r="C5">
        <v>122.904131431103</v>
      </c>
      <c r="D5">
        <v>253.766324152946</v>
      </c>
      <c r="E5">
        <v>246.266239655495</v>
      </c>
      <c r="F5">
        <v>117.202578669786</v>
      </c>
      <c r="G5">
        <f>IF(SUMIFS('TERadj'!M2:M100,'TERadj'!M2:M100,"&gt;0")/1000,SUMIFS('TERadj'!M2:M100,'TERadj'!M2:M100,"&gt;0")/1000,"")</f>
        <v>0</v>
      </c>
      <c r="I5" t="s">
        <v>910</v>
      </c>
      <c r="J5">
        <v>122.904131431103</v>
      </c>
      <c r="K5">
        <v>253.766324152946</v>
      </c>
      <c r="L5">
        <v>246.266239655495</v>
      </c>
      <c r="M5">
        <v>117.202578669786</v>
      </c>
      <c r="N5">
        <f>IF(SUMIFS('TERadj'!M2:M100,'TERadj'!M2:M100,"&gt;0")/1000,SUMIFS('TERadj'!M2:M100,'TERadj'!M2:M100,"&gt;0")/1000,"")</f>
        <v>0</v>
      </c>
    </row>
    <row r="7" spans="1:14">
      <c r="B7" t="s">
        <v>915</v>
      </c>
      <c r="C7" t="s">
        <v>948</v>
      </c>
      <c r="D7" t="s">
        <v>949</v>
      </c>
      <c r="E7" t="s">
        <v>950</v>
      </c>
      <c r="F7" t="s">
        <v>931</v>
      </c>
      <c r="G7" t="s">
        <v>932</v>
      </c>
    </row>
    <row r="8" spans="1:14">
      <c r="B8" t="s">
        <v>976</v>
      </c>
      <c r="C8" s="5">
        <f>IF(SUM(J4:J5) &gt; 0, IF(AND(SUM(C4:C5)&gt;0, ISNUMBER(C4)),C4/SUM(C4:C5), ""), "")</f>
        <v>0</v>
      </c>
      <c r="D8" s="5">
        <f>IF(SUM(J4:J5) &gt; 0, IF(AND(SUM(D4:D5)&gt;0, ISNUMBER(D4)),D4/SUM(D4:D5), ""), "")</f>
        <v>0</v>
      </c>
      <c r="E8" s="5">
        <f>IF(SUM(J4:J5) &gt; 0, IF(AND(SUM(E4:E5)&gt;0, ISNUMBER(E4)),E4/SUM(E4:E5), ""), "")</f>
        <v>0</v>
      </c>
      <c r="F8" s="5">
        <f>IF(SUM(J4:J5) &gt; 0, IF(AND(SUM(F4:F5)&gt;0, ISNUMBER(F4)),F4/SUM(F4:F5), ""), "")</f>
        <v>0</v>
      </c>
      <c r="G8" s="5">
        <f>IF(SUM(J4:J5) &gt; 0, IF(AND(SUM(G4:G5)&gt;0, ISNUMBER(G4)),G4/SUM(G4:G5), ""), "")</f>
        <v>0</v>
      </c>
    </row>
    <row r="9" spans="1:14">
      <c r="B9" t="s">
        <v>910</v>
      </c>
      <c r="C9" s="5">
        <f>IF(SUM(J4:J5) &gt; 0, IF(AND(SUM(C4:C5)&gt;0, ISNUMBER(C5)),C5/SUM(C4:C5), ""), "")</f>
        <v>0</v>
      </c>
      <c r="D9" s="5">
        <f>IF(SUM(J4:J5) &gt; 0, IF(AND(SUM(D4:D5)&gt;0, ISNUMBER(D5)),D5/SUM(D4:D5), ""), "")</f>
        <v>0</v>
      </c>
      <c r="E9" s="5">
        <f>IF(SUM(J4:J5) &gt; 0, IF(AND(SUM(E4:E5)&gt;0, ISNUMBER(E5)),E5/SUM(E4:E5), ""), "")</f>
        <v>0</v>
      </c>
      <c r="F9" s="5">
        <f>IF(SUM(J4:J5) &gt; 0, IF(AND(SUM(F4:F5)&gt;0, ISNUMBER(F5)),F5/SUM(F4:F5), ""), "")</f>
        <v>0</v>
      </c>
      <c r="G9" s="5">
        <f>IF(SUM(J4:J5) &gt; 0, IF(AND(SUM(G4:G5)&gt;0, ISNUMBER(G5)),G5/SUM(G4:G5), ""), "")</f>
        <v>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33A0"/>
  </sheetPr>
  <dimension ref="A1:X17"/>
  <sheetViews>
    <sheetView workbookViewId="0"/>
  </sheetViews>
  <sheetFormatPr defaultRowHeight="15"/>
  <sheetData>
    <row r="1" spans="1:24" s="3" customFormat="1" ht="40" customHeight="1">
      <c r="A1" s="3" t="s">
        <v>977</v>
      </c>
    </row>
    <row r="3" spans="1:24">
      <c r="B3" t="s">
        <v>978</v>
      </c>
      <c r="C3" t="s">
        <v>979</v>
      </c>
      <c r="D3" t="s">
        <v>980</v>
      </c>
      <c r="E3" t="s">
        <v>981</v>
      </c>
      <c r="F3" t="s">
        <v>982</v>
      </c>
      <c r="G3" t="s">
        <v>983</v>
      </c>
      <c r="H3" t="s">
        <v>984</v>
      </c>
      <c r="I3" t="s">
        <v>985</v>
      </c>
      <c r="J3" t="s">
        <v>986</v>
      </c>
      <c r="K3" t="s">
        <v>987</v>
      </c>
      <c r="L3" t="s">
        <v>988</v>
      </c>
      <c r="N3" t="s">
        <v>978</v>
      </c>
      <c r="O3" t="s">
        <v>989</v>
      </c>
      <c r="P3" t="s">
        <v>990</v>
      </c>
      <c r="Q3" t="s">
        <v>991</v>
      </c>
      <c r="R3" t="s">
        <v>992</v>
      </c>
      <c r="S3" t="s">
        <v>993</v>
      </c>
      <c r="T3" t="s">
        <v>994</v>
      </c>
      <c r="U3" t="s">
        <v>995</v>
      </c>
      <c r="V3" t="s">
        <v>996</v>
      </c>
      <c r="W3" t="s">
        <v>997</v>
      </c>
      <c r="X3" t="s">
        <v>998</v>
      </c>
    </row>
    <row r="4" spans="1:24">
      <c r="B4" t="s">
        <v>839</v>
      </c>
      <c r="C4">
        <v>16.828980802536</v>
      </c>
      <c r="D4">
        <v>21.7260080976486</v>
      </c>
      <c r="E4">
        <v>22.6770729063153</v>
      </c>
      <c r="F4">
        <v>22.9338479852676</v>
      </c>
      <c r="G4">
        <v>29.2509624843597</v>
      </c>
      <c r="H4">
        <v>21.3383159461021</v>
      </c>
      <c r="I4">
        <v>34.3221564416885</v>
      </c>
      <c r="J4">
        <v>32.0421454362869</v>
      </c>
      <c r="K4">
        <v>19.8830644543171</v>
      </c>
      <c r="L4">
        <f>IF(SUMIFS('TERadj'!G2:G100,'TERadj'!G2:G100,"&gt;0")/1000,SUMIFS('TERadj'!G2:G100,'TERadj'!G2:G100,"&gt;0")/1000,"")</f>
        <v>0</v>
      </c>
      <c r="N4" t="s">
        <v>839</v>
      </c>
      <c r="O4">
        <v>45</v>
      </c>
      <c r="P4">
        <v>52</v>
      </c>
      <c r="Q4">
        <v>46</v>
      </c>
      <c r="R4">
        <v>54</v>
      </c>
      <c r="S4">
        <v>45</v>
      </c>
      <c r="T4">
        <v>34</v>
      </c>
      <c r="U4">
        <v>37</v>
      </c>
      <c r="V4">
        <v>36</v>
      </c>
      <c r="W4">
        <v>35</v>
      </c>
      <c r="X4" cm="1">
        <f t="array" ref="X4">IF(COUNT(_xlfn._xlws.FILTER('TERadj'!G2:G100, ('TERadj'!G2:G100&gt;0))),COUNT(_xlfn._xlws.FILTER('TERadj'!G2:G100, ('TERadj'!G2:G100&gt;0))),"")</f>
        <v>0</v>
      </c>
    </row>
    <row r="5" spans="1:24">
      <c r="B5" t="s">
        <v>840</v>
      </c>
      <c r="C5">
        <v>63.0927695236206</v>
      </c>
      <c r="D5">
        <v>56.6004304445982</v>
      </c>
      <c r="E5">
        <v>63.6018722648621</v>
      </c>
      <c r="F5">
        <v>70.09629812145231</v>
      </c>
      <c r="G5">
        <v>73.341725353241</v>
      </c>
      <c r="H5">
        <v>50.6461347160339</v>
      </c>
      <c r="I5">
        <v>72.97638105583189</v>
      </c>
      <c r="J5">
        <v>64.7175410919189</v>
      </c>
      <c r="K5">
        <v>28.7501673069</v>
      </c>
      <c r="L5">
        <f>IF(SUMIFS('TERadj'!H2:H100,'TERadj'!H2:H100,"&gt;0")/1000,SUMIFS('TERadj'!H2:H100,'TERadj'!H2:H100,"&gt;0")/1000,"")</f>
        <v>0</v>
      </c>
      <c r="N5" t="s">
        <v>840</v>
      </c>
      <c r="O5">
        <v>78</v>
      </c>
      <c r="P5">
        <v>85</v>
      </c>
      <c r="Q5">
        <v>84</v>
      </c>
      <c r="R5">
        <v>102</v>
      </c>
      <c r="S5">
        <v>85</v>
      </c>
      <c r="T5">
        <v>53</v>
      </c>
      <c r="U5">
        <v>73</v>
      </c>
      <c r="V5">
        <v>64</v>
      </c>
      <c r="W5">
        <v>35</v>
      </c>
      <c r="X5" cm="1">
        <f t="array" ref="X5">IF(COUNT(_xlfn._xlws.FILTER('TERadj'!H2:H100, ('TERadj'!H2:H100&gt;0))),COUNT(_xlfn._xlws.FILTER('TERadj'!H2:H100, ('TERadj'!H2:H100&gt;0))),"")</f>
        <v>0</v>
      </c>
    </row>
    <row r="6" spans="1:24">
      <c r="B6" t="s">
        <v>838</v>
      </c>
      <c r="C6">
        <v>34.482389591217</v>
      </c>
      <c r="D6">
        <v>31.6279704856873</v>
      </c>
      <c r="E6">
        <v>38.9291358070374</v>
      </c>
      <c r="F6">
        <v>53.3840021800995</v>
      </c>
      <c r="G6">
        <v>50.7355417346954</v>
      </c>
      <c r="H6">
        <v>29.4673280544281</v>
      </c>
      <c r="I6">
        <v>89.7239490470886</v>
      </c>
      <c r="J6">
        <v>84.996148765564</v>
      </c>
      <c r="K6">
        <v>35.2820613365173</v>
      </c>
      <c r="L6">
        <f>IF(SUMIFS('TERadj'!I2:I100,'TERadj'!I2:I100,"&gt;0")/1000,SUMIFS('TERadj'!I2:I100,'TERadj'!I2:I100,"&gt;0")/1000,"")</f>
        <v>0</v>
      </c>
      <c r="N6" t="s">
        <v>838</v>
      </c>
      <c r="O6">
        <v>33</v>
      </c>
      <c r="P6">
        <v>30</v>
      </c>
      <c r="Q6">
        <v>36</v>
      </c>
      <c r="R6">
        <v>48</v>
      </c>
      <c r="S6">
        <v>33</v>
      </c>
      <c r="T6">
        <v>32</v>
      </c>
      <c r="U6">
        <v>33</v>
      </c>
      <c r="V6">
        <v>41</v>
      </c>
      <c r="W6">
        <v>23</v>
      </c>
      <c r="X6" cm="1">
        <f t="array" ref="X6">IF(COUNT(_xlfn._xlws.FILTER('TERadj'!I2:I100, ('TERadj'!I2:I100&gt;0))),COUNT(_xlfn._xlws.FILTER('TERadj'!I2:I100, ('TERadj'!I2:I100&gt;0))),"")</f>
        <v>0</v>
      </c>
    </row>
    <row r="7" spans="1:24">
      <c r="B7" t="s">
        <v>886</v>
      </c>
      <c r="C7">
        <v>8.462237889766691</v>
      </c>
      <c r="D7">
        <v>11.3223223829269</v>
      </c>
      <c r="E7">
        <v>14.2894554462433</v>
      </c>
      <c r="F7">
        <v>10.8351090717316</v>
      </c>
      <c r="G7">
        <v>42.4232650995255</v>
      </c>
      <c r="H7">
        <v>21.3129171142578</v>
      </c>
      <c r="I7">
        <v>56.3268031768799</v>
      </c>
      <c r="J7">
        <v>63.8707819747925</v>
      </c>
      <c r="K7">
        <v>33.2365443878174</v>
      </c>
      <c r="L7">
        <f>IF(SUMIFS('TERadj'!J2:J100,'TERadj'!J2:J100,"&gt;0")/1000,SUMIFS('TERadj'!J2:J100,'TERadj'!J2:J100,"&gt;0")/1000,"")</f>
        <v>0</v>
      </c>
      <c r="N7" t="s">
        <v>886</v>
      </c>
      <c r="O7">
        <v>17</v>
      </c>
      <c r="P7">
        <v>14</v>
      </c>
      <c r="Q7">
        <v>17</v>
      </c>
      <c r="R7">
        <v>13</v>
      </c>
      <c r="S7">
        <v>16</v>
      </c>
      <c r="T7">
        <v>11</v>
      </c>
      <c r="U7">
        <v>18</v>
      </c>
      <c r="V7">
        <v>13</v>
      </c>
      <c r="W7">
        <v>10</v>
      </c>
      <c r="X7" cm="1">
        <f t="array" ref="X7">IF(COUNT(_xlfn._xlws.FILTER('TERadj'!J2:J100, ('TERadj'!J2:J100&gt;0))),COUNT(_xlfn._xlws.FILTER('TERadj'!J2:J100, ('TERadj'!J2:J100&gt;0))),"")</f>
        <v>0</v>
      </c>
    </row>
    <row r="8" spans="1:24">
      <c r="B8" t="s">
        <v>841</v>
      </c>
      <c r="C8">
        <v>0.586889068603516</v>
      </c>
      <c r="D8">
        <v>0.560006196498871</v>
      </c>
      <c r="E8">
        <v>0.427038673400879</v>
      </c>
      <c r="F8">
        <v>1.10857916355133</v>
      </c>
      <c r="G8">
        <v>0.788490737915039</v>
      </c>
      <c r="H8">
        <v>0.139435600280762</v>
      </c>
      <c r="I8">
        <v>0.41703443145752</v>
      </c>
      <c r="J8">
        <v>0.6396223869323731</v>
      </c>
      <c r="K8">
        <v>0.0507411842346191</v>
      </c>
      <c r="L8">
        <f>IF(SUMIFS('TERadj'!K2:K100,'TERadj'!K2:K100,"&gt;0")/1000,SUMIFS('TERadj'!K2:K100,'TERadj'!K2:K100,"&gt;0")/1000,"")</f>
        <v>0</v>
      </c>
      <c r="N8" t="s">
        <v>841</v>
      </c>
      <c r="O8">
        <v>3</v>
      </c>
      <c r="P8">
        <v>2</v>
      </c>
      <c r="Q8">
        <v>4</v>
      </c>
      <c r="R8">
        <v>5</v>
      </c>
      <c r="S8">
        <v>2</v>
      </c>
      <c r="T8">
        <v>3</v>
      </c>
      <c r="U8">
        <v>3</v>
      </c>
      <c r="V8">
        <v>3</v>
      </c>
      <c r="W8">
        <v>1</v>
      </c>
      <c r="X8" cm="1">
        <f t="array" ref="X8">IF(COUNT(_xlfn._xlws.FILTER('TERadj'!K2:K100, ('TERadj'!K2:K100&gt;0))),COUNT(_xlfn._xlws.FILTER('TERadj'!K2:K100, ('TERadj'!K2:K100&gt;0))),"")</f>
        <v>0</v>
      </c>
    </row>
    <row r="9" spans="1:24">
      <c r="B9" t="s">
        <v>898</v>
      </c>
      <c r="L9">
        <f>IF(SUMIFS('TERadj'!L2:L100,'TERadj'!L2:L100,"&gt;0")/1000,SUMIFS('TERadj'!L2:L100,'TERadj'!L2:L100,"&gt;0")/1000,"")</f>
        <v>0</v>
      </c>
      <c r="N9" t="s">
        <v>898</v>
      </c>
      <c r="X9" cm="1">
        <f t="array" ref="X9">IF(COUNT(_xlfn._xlws.FILTER('TERadj'!L2:L100, ('TERadj'!L2:L100&gt;0))),COUNT(_xlfn._xlws.FILTER('TERadj'!L2:L100, ('TERadj'!L2:L100&gt;0))),"")</f>
        <v>0</v>
      </c>
    </row>
    <row r="11" spans="1:24">
      <c r="B11" t="s">
        <v>978</v>
      </c>
      <c r="C11" t="s">
        <v>943</v>
      </c>
      <c r="D11" t="s">
        <v>944</v>
      </c>
      <c r="E11" t="s">
        <v>945</v>
      </c>
      <c r="F11" t="s">
        <v>946</v>
      </c>
      <c r="G11" t="s">
        <v>947</v>
      </c>
      <c r="H11" t="s">
        <v>948</v>
      </c>
      <c r="I11" t="s">
        <v>949</v>
      </c>
      <c r="J11" t="s">
        <v>950</v>
      </c>
      <c r="K11" t="s">
        <v>931</v>
      </c>
      <c r="L11" t="s">
        <v>932</v>
      </c>
    </row>
    <row r="12" spans="1:24">
      <c r="B12" t="s">
        <v>839</v>
      </c>
      <c r="C12" s="4">
        <f>IF(SUM(O4:O9) &gt; 0, C4, "")</f>
        <v>0</v>
      </c>
      <c r="D12" s="4">
        <f>IF(SUM(O4:O9) &gt; 0, D4, "")</f>
        <v>0</v>
      </c>
      <c r="E12" s="4">
        <f>IF(SUM(O4:O9) &gt; 0, E4, "")</f>
        <v>0</v>
      </c>
      <c r="F12" s="4">
        <f>IF(SUM(O4:O9) &gt; 0, F4, "")</f>
        <v>0</v>
      </c>
      <c r="G12" s="4">
        <f>IF(SUM(O4:O9) &gt; 0, G4, "")</f>
        <v>0</v>
      </c>
      <c r="H12" s="4">
        <f>IF(SUM(O4:O9) &gt; 0, H4, "")</f>
        <v>0</v>
      </c>
      <c r="I12" s="4">
        <f>IF(SUM(O4:O9) &gt; 0, I4, "")</f>
        <v>0</v>
      </c>
      <c r="J12" s="4">
        <f>IF(SUM(O4:O9) &gt; 0, J4, "")</f>
        <v>0</v>
      </c>
      <c r="K12" s="4">
        <f>IF(SUM(O4:O9) &gt; 0, K4, "")</f>
        <v>0</v>
      </c>
      <c r="L12" s="4">
        <f>IF(SUM(O4:O9) &gt; 0, L4, "")</f>
        <v>0</v>
      </c>
    </row>
    <row r="13" spans="1:24">
      <c r="B13" t="s">
        <v>840</v>
      </c>
      <c r="C13" s="4">
        <f>IF(SUM(O4:O9) &gt; 0, C5, "")</f>
        <v>0</v>
      </c>
      <c r="D13" s="4">
        <f>IF(SUM(O4:O9) &gt; 0, D5, "")</f>
        <v>0</v>
      </c>
      <c r="E13" s="4">
        <f>IF(SUM(O4:O9) &gt; 0, E5, "")</f>
        <v>0</v>
      </c>
      <c r="F13" s="4">
        <f>IF(SUM(O4:O9) &gt; 0, F5, "")</f>
        <v>0</v>
      </c>
      <c r="G13" s="4">
        <f>IF(SUM(O4:O9) &gt; 0, G5, "")</f>
        <v>0</v>
      </c>
      <c r="H13" s="4">
        <f>IF(SUM(O4:O9) &gt; 0, H5, "")</f>
        <v>0</v>
      </c>
      <c r="I13" s="4">
        <f>IF(SUM(O4:O9) &gt; 0, I5, "")</f>
        <v>0</v>
      </c>
      <c r="J13" s="4">
        <f>IF(SUM(O4:O9) &gt; 0, J5, "")</f>
        <v>0</v>
      </c>
      <c r="K13" s="4">
        <f>IF(SUM(O4:O9) &gt; 0, K5, "")</f>
        <v>0</v>
      </c>
      <c r="L13" s="4">
        <f>IF(SUM(O4:O9) &gt; 0, L5, "")</f>
        <v>0</v>
      </c>
    </row>
    <row r="14" spans="1:24">
      <c r="B14" t="s">
        <v>838</v>
      </c>
      <c r="C14" s="4">
        <f>IF(SUM(O4:O9) &gt; 0, C6, "")</f>
        <v>0</v>
      </c>
      <c r="D14" s="4">
        <f>IF(SUM(O4:O9) &gt; 0, D6, "")</f>
        <v>0</v>
      </c>
      <c r="E14" s="4">
        <f>IF(SUM(O4:O9) &gt; 0, E6, "")</f>
        <v>0</v>
      </c>
      <c r="F14" s="4">
        <f>IF(SUM(O4:O9) &gt; 0, F6, "")</f>
        <v>0</v>
      </c>
      <c r="G14" s="4">
        <f>IF(SUM(O4:O9) &gt; 0, G6, "")</f>
        <v>0</v>
      </c>
      <c r="H14" s="4">
        <f>IF(SUM(O4:O9) &gt; 0, H6, "")</f>
        <v>0</v>
      </c>
      <c r="I14" s="4">
        <f>IF(SUM(O4:O9) &gt; 0, I6, "")</f>
        <v>0</v>
      </c>
      <c r="J14" s="4">
        <f>IF(SUM(O4:O9) &gt; 0, J6, "")</f>
        <v>0</v>
      </c>
      <c r="K14" s="4">
        <f>IF(SUM(O4:O9) &gt; 0, K6, "")</f>
        <v>0</v>
      </c>
      <c r="L14" s="4">
        <f>IF(SUM(O4:O9) &gt; 0, L6, "")</f>
        <v>0</v>
      </c>
    </row>
    <row r="15" spans="1:24">
      <c r="B15" t="s">
        <v>886</v>
      </c>
      <c r="C15" s="4">
        <f>IF(SUM(O4:O9) &gt; 0, C7, "")</f>
        <v>0</v>
      </c>
      <c r="D15" s="4">
        <f>IF(SUM(O4:O9) &gt; 0, D7, "")</f>
        <v>0</v>
      </c>
      <c r="E15" s="4">
        <f>IF(SUM(O4:O9) &gt; 0, E7, "")</f>
        <v>0</v>
      </c>
      <c r="F15" s="4">
        <f>IF(SUM(O4:O9) &gt; 0, F7, "")</f>
        <v>0</v>
      </c>
      <c r="G15" s="4">
        <f>IF(SUM(O4:O9) &gt; 0, G7, "")</f>
        <v>0</v>
      </c>
      <c r="H15" s="4">
        <f>IF(SUM(O4:O9) &gt; 0, H7, "")</f>
        <v>0</v>
      </c>
      <c r="I15" s="4">
        <f>IF(SUM(O4:O9) &gt; 0, I7, "")</f>
        <v>0</v>
      </c>
      <c r="J15" s="4">
        <f>IF(SUM(O4:O9) &gt; 0, J7, "")</f>
        <v>0</v>
      </c>
      <c r="K15" s="4">
        <f>IF(SUM(O4:O9) &gt; 0, K7, "")</f>
        <v>0</v>
      </c>
      <c r="L15" s="4">
        <f>IF(SUM(O4:O9) &gt; 0, L7, "")</f>
        <v>0</v>
      </c>
    </row>
    <row r="16" spans="1:24">
      <c r="B16" t="s">
        <v>841</v>
      </c>
      <c r="C16" s="4">
        <f>IF(SUM(O4:O9) &gt; 0, C8, "")</f>
        <v>0</v>
      </c>
      <c r="D16" s="4">
        <f>IF(SUM(O4:O9) &gt; 0, D8, "")</f>
        <v>0</v>
      </c>
      <c r="E16" s="4">
        <f>IF(SUM(O4:O9) &gt; 0, E8, "")</f>
        <v>0</v>
      </c>
      <c r="F16" s="4">
        <f>IF(SUM(O4:O9) &gt; 0, F8, "")</f>
        <v>0</v>
      </c>
      <c r="G16" s="4">
        <f>IF(SUM(O4:O9) &gt; 0, G8, "")</f>
        <v>0</v>
      </c>
      <c r="H16" s="4">
        <f>IF(SUM(O4:O9) &gt; 0, H8, "")</f>
        <v>0</v>
      </c>
      <c r="I16" s="4">
        <f>IF(SUM(O4:O9) &gt; 0, I8, "")</f>
        <v>0</v>
      </c>
      <c r="J16" s="4">
        <f>IF(SUM(O4:O9) &gt; 0, J8, "")</f>
        <v>0</v>
      </c>
      <c r="K16" s="4">
        <f>IF(SUM(O4:O9) &gt; 0, K8, "")</f>
        <v>0</v>
      </c>
      <c r="L16" s="4">
        <f>IF(SUM(O4:O9) &gt; 0, L8, "")</f>
        <v>0</v>
      </c>
    </row>
    <row r="17" spans="2:12">
      <c r="B17" t="s">
        <v>898</v>
      </c>
      <c r="C17" s="4">
        <f>IF(SUM(O4:O9) &gt; 0, C9, "")</f>
        <v>0</v>
      </c>
      <c r="D17" s="4">
        <f>IF(SUM(O4:O9) &gt; 0, D9, "")</f>
        <v>0</v>
      </c>
      <c r="E17" s="4">
        <f>IF(SUM(O4:O9) &gt; 0, E9, "")</f>
        <v>0</v>
      </c>
      <c r="F17" s="4">
        <f>IF(SUM(O4:O9) &gt; 0, F9, "")</f>
        <v>0</v>
      </c>
      <c r="G17" s="4">
        <f>IF(SUM(O4:O9) &gt; 0, G9, "")</f>
        <v>0</v>
      </c>
      <c r="H17" s="4">
        <f>IF(SUM(O4:O9) &gt; 0, H9, "")</f>
        <v>0</v>
      </c>
      <c r="I17" s="4">
        <f>IF(SUM(O4:O9) &gt; 0, I9, "")</f>
        <v>0</v>
      </c>
      <c r="J17" s="4">
        <f>IF(SUM(O4:O9) &gt; 0, J9, "")</f>
        <v>0</v>
      </c>
      <c r="K17" s="4">
        <f>IF(SUM(O4:O9) &gt; 0, K9, "")</f>
        <v>0</v>
      </c>
      <c r="L17" s="4">
        <f>IF(SUM(O4:O9) &gt; 0, L9, "")</f>
        <v>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33A0"/>
  </sheetPr>
  <dimension ref="A1:T19"/>
  <sheetViews>
    <sheetView workbookViewId="0"/>
  </sheetViews>
  <sheetFormatPr defaultRowHeight="15"/>
  <sheetData>
    <row r="1" spans="1:20" s="3" customFormat="1" ht="40" customHeight="1">
      <c r="A1" s="3" t="s">
        <v>999</v>
      </c>
    </row>
    <row r="3" spans="1:20">
      <c r="B3" t="s">
        <v>915</v>
      </c>
      <c r="C3" t="s">
        <v>945</v>
      </c>
      <c r="D3" t="s">
        <v>946</v>
      </c>
      <c r="E3" t="s">
        <v>947</v>
      </c>
      <c r="F3" t="s">
        <v>948</v>
      </c>
      <c r="G3" t="s">
        <v>949</v>
      </c>
      <c r="H3" t="s">
        <v>950</v>
      </c>
      <c r="I3" t="s">
        <v>931</v>
      </c>
      <c r="J3" t="s">
        <v>932</v>
      </c>
      <c r="L3" t="s">
        <v>915</v>
      </c>
      <c r="M3" t="s">
        <v>945</v>
      </c>
      <c r="N3" t="s">
        <v>946</v>
      </c>
      <c r="O3" t="s">
        <v>947</v>
      </c>
      <c r="P3" t="s">
        <v>948</v>
      </c>
      <c r="Q3" t="s">
        <v>949</v>
      </c>
      <c r="R3" t="s">
        <v>950</v>
      </c>
      <c r="S3" t="s">
        <v>931</v>
      </c>
      <c r="T3" t="s">
        <v>932</v>
      </c>
    </row>
    <row r="4" spans="1:20">
      <c r="B4" t="s">
        <v>839</v>
      </c>
      <c r="C4">
        <v>138</v>
      </c>
      <c r="D4">
        <v>228</v>
      </c>
      <c r="E4">
        <v>262</v>
      </c>
      <c r="F4">
        <v>188</v>
      </c>
      <c r="G4">
        <v>120</v>
      </c>
      <c r="H4">
        <v>185</v>
      </c>
      <c r="I4">
        <v>171</v>
      </c>
      <c r="J4">
        <f>IF(SUMIFS('TERadj'!BG2:BG100,'TERadj'!BG2:BG100,"&gt;0"),SUMIFS('TERadj'!BG2:BG100,'TERadj'!BG2:BG100,"&gt;0"),"")</f>
        <v>0</v>
      </c>
      <c r="L4" t="s">
        <v>839</v>
      </c>
      <c r="M4">
        <v>138</v>
      </c>
      <c r="N4">
        <v>228</v>
      </c>
      <c r="O4">
        <v>262</v>
      </c>
      <c r="P4">
        <v>188</v>
      </c>
      <c r="Q4">
        <v>120</v>
      </c>
      <c r="R4">
        <v>185</v>
      </c>
      <c r="S4">
        <v>171</v>
      </c>
      <c r="T4">
        <f>IF(SUMIFS('TERadj'!BG2:BG100,'TERadj'!BG2:BG100,"&gt;0"),SUMIFS('TERadj'!BG2:BG100,'TERadj'!BG2:BG100,"&gt;0"),"")</f>
        <v>0</v>
      </c>
    </row>
    <row r="5" spans="1:20">
      <c r="B5" t="s">
        <v>840</v>
      </c>
      <c r="C5">
        <v>498</v>
      </c>
      <c r="D5">
        <v>436</v>
      </c>
      <c r="E5">
        <v>495</v>
      </c>
      <c r="F5">
        <v>311</v>
      </c>
      <c r="G5">
        <v>381</v>
      </c>
      <c r="H5">
        <v>296</v>
      </c>
      <c r="I5">
        <v>180</v>
      </c>
      <c r="J5">
        <f>IF(SUMIFS('TERadj'!BH2:BH100,'TERadj'!BH2:BH100,"&gt;0"),SUMIFS('TERadj'!BH2:BH100,'TERadj'!BH2:BH100,"&gt;0"),"")</f>
        <v>0</v>
      </c>
      <c r="L5" t="s">
        <v>840</v>
      </c>
      <c r="M5">
        <v>498</v>
      </c>
      <c r="N5">
        <v>436</v>
      </c>
      <c r="O5">
        <v>495</v>
      </c>
      <c r="P5">
        <v>311</v>
      </c>
      <c r="Q5">
        <v>381</v>
      </c>
      <c r="R5">
        <v>296</v>
      </c>
      <c r="S5">
        <v>180</v>
      </c>
      <c r="T5">
        <f>IF(SUMIFS('TERadj'!BH2:BH100,'TERadj'!BH2:BH100,"&gt;0"),SUMIFS('TERadj'!BH2:BH100,'TERadj'!BH2:BH100,"&gt;0"),"")</f>
        <v>0</v>
      </c>
    </row>
    <row r="6" spans="1:20">
      <c r="B6" t="s">
        <v>838</v>
      </c>
      <c r="C6">
        <v>188</v>
      </c>
      <c r="D6">
        <v>226</v>
      </c>
      <c r="E6">
        <v>144</v>
      </c>
      <c r="F6">
        <v>171</v>
      </c>
      <c r="G6">
        <v>185.542973518372</v>
      </c>
      <c r="H6">
        <v>224</v>
      </c>
      <c r="I6">
        <v>104</v>
      </c>
      <c r="J6">
        <f>IF(SUMIFS('TERadj'!BI2:BI100,'TERadj'!BI2:BI100,"&gt;0"),SUMIFS('TERadj'!BI2:BI100,'TERadj'!BI2:BI100,"&gt;0"),"")</f>
        <v>0</v>
      </c>
      <c r="L6" t="s">
        <v>838</v>
      </c>
      <c r="M6">
        <v>188</v>
      </c>
      <c r="N6">
        <v>226</v>
      </c>
      <c r="O6">
        <v>144</v>
      </c>
      <c r="P6">
        <v>171</v>
      </c>
      <c r="Q6">
        <v>185.542973518372</v>
      </c>
      <c r="R6">
        <v>224</v>
      </c>
      <c r="S6">
        <v>104</v>
      </c>
      <c r="T6">
        <f>IF(SUMIFS('TERadj'!BI2:BI100,'TERadj'!BI2:BI100,"&gt;0"),SUMIFS('TERadj'!BI2:BI100,'TERadj'!BI2:BI100,"&gt;0"),"")</f>
        <v>0</v>
      </c>
    </row>
    <row r="7" spans="1:20">
      <c r="B7" t="s">
        <v>886</v>
      </c>
      <c r="C7">
        <v>66</v>
      </c>
      <c r="D7">
        <v>37</v>
      </c>
      <c r="E7">
        <v>79</v>
      </c>
      <c r="F7">
        <v>26</v>
      </c>
      <c r="G7">
        <v>52</v>
      </c>
      <c r="H7">
        <v>38</v>
      </c>
      <c r="I7">
        <v>28</v>
      </c>
      <c r="J7">
        <f>IF(SUMIFS('TERadj'!BJ2:BJ100,'TERadj'!BJ2:BJ100,"&gt;0"),SUMIFS('TERadj'!BJ2:BJ100,'TERadj'!BJ2:BJ100,"&gt;0"),"")</f>
        <v>0</v>
      </c>
      <c r="L7" t="s">
        <v>886</v>
      </c>
      <c r="M7">
        <v>66</v>
      </c>
      <c r="N7">
        <v>37</v>
      </c>
      <c r="O7">
        <v>79</v>
      </c>
      <c r="P7">
        <v>26</v>
      </c>
      <c r="Q7">
        <v>52</v>
      </c>
      <c r="R7">
        <v>38</v>
      </c>
      <c r="S7">
        <v>28</v>
      </c>
      <c r="T7">
        <f>IF(SUMIFS('TERadj'!BJ2:BJ100,'TERadj'!BJ2:BJ100,"&gt;0"),SUMIFS('TERadj'!BJ2:BJ100,'TERadj'!BJ2:BJ100,"&gt;0"),"")</f>
        <v>0</v>
      </c>
    </row>
    <row r="8" spans="1:20">
      <c r="B8" t="s">
        <v>841</v>
      </c>
      <c r="C8">
        <v>5</v>
      </c>
      <c r="D8">
        <v>6</v>
      </c>
      <c r="E8">
        <v>2</v>
      </c>
      <c r="F8">
        <v>3</v>
      </c>
      <c r="G8">
        <v>4</v>
      </c>
      <c r="H8">
        <v>4</v>
      </c>
      <c r="I8">
        <v>1</v>
      </c>
      <c r="J8">
        <f>IF(SUMIFS('TERadj'!BK2:BK100,'TERadj'!BK2:BK100,"&gt;0"),SUMIFS('TERadj'!BK2:BK100,'TERadj'!BK2:BK100,"&gt;0"),"")</f>
        <v>0</v>
      </c>
      <c r="L8" t="s">
        <v>841</v>
      </c>
      <c r="M8">
        <v>5</v>
      </c>
      <c r="N8">
        <v>6</v>
      </c>
      <c r="O8">
        <v>2</v>
      </c>
      <c r="P8">
        <v>3</v>
      </c>
      <c r="Q8">
        <v>4</v>
      </c>
      <c r="R8">
        <v>4</v>
      </c>
      <c r="S8">
        <v>1</v>
      </c>
      <c r="T8">
        <f>IF(SUMIFS('TERadj'!BK2:BK100,'TERadj'!BK2:BK100,"&gt;0"),SUMIFS('TERadj'!BK2:BK100,'TERadj'!BK2:BK100,"&gt;0"),"")</f>
        <v>0</v>
      </c>
    </row>
    <row r="9" spans="1:20">
      <c r="B9" t="s">
        <v>898</v>
      </c>
      <c r="J9">
        <f>IF(SUMIFS('TERadj'!BL2:BL100,'TERadj'!BL2:BL100,"&gt;0"),SUMIFS('TERadj'!BL2:BL100,'TERadj'!BL2:BL100,"&gt;0"),"")</f>
        <v>0</v>
      </c>
      <c r="L9" t="s">
        <v>898</v>
      </c>
      <c r="T9">
        <f>IF(SUMIFS('TERadj'!BL2:BL100,'TERadj'!BL2:BL100,"&gt;0"),SUMIFS('TERadj'!BL2:BL100,'TERadj'!BL2:BL100,"&gt;0"),"")</f>
        <v>0</v>
      </c>
    </row>
    <row r="12" spans="1:20">
      <c r="B12" t="s">
        <v>915</v>
      </c>
      <c r="C12" t="s">
        <v>945</v>
      </c>
      <c r="D12" t="s">
        <v>946</v>
      </c>
      <c r="E12" t="s">
        <v>947</v>
      </c>
      <c r="F12" t="s">
        <v>948</v>
      </c>
      <c r="G12" t="s">
        <v>949</v>
      </c>
      <c r="H12" t="s">
        <v>950</v>
      </c>
      <c r="I12" t="s">
        <v>931</v>
      </c>
      <c r="J12" t="s">
        <v>932</v>
      </c>
    </row>
    <row r="13" spans="1:20">
      <c r="B13" t="s">
        <v>839</v>
      </c>
      <c r="C13" s="4">
        <f>IF(SUM(M4:M10) &gt; 0, C4, "")</f>
        <v>0</v>
      </c>
      <c r="D13" s="4">
        <f>IF(SUM(M4:M10) &gt; 0, D4, "")</f>
        <v>0</v>
      </c>
      <c r="E13" s="4">
        <f>IF(SUM(M4:M10) &gt; 0, E4, "")</f>
        <v>0</v>
      </c>
      <c r="F13" s="4">
        <f>IF(SUM(M4:M10) &gt; 0, F4, "")</f>
        <v>0</v>
      </c>
      <c r="G13" s="4">
        <f>IF(SUM(M4:M10) &gt; 0, G4, "")</f>
        <v>0</v>
      </c>
      <c r="H13" s="4">
        <f>IF(SUM(M4:M10) &gt; 0, H4, "")</f>
        <v>0</v>
      </c>
      <c r="I13" s="4">
        <f>IF(SUM(M4:M10) &gt; 0, I4, "")</f>
        <v>0</v>
      </c>
      <c r="J13" s="4">
        <f>IF(SUM(M4:M10) &gt; 0, J4, "")</f>
        <v>0</v>
      </c>
    </row>
    <row r="14" spans="1:20">
      <c r="B14" t="s">
        <v>840</v>
      </c>
      <c r="C14" s="4">
        <f>IF(SUM(M4:M10) &gt; 0, C5, "")</f>
        <v>0</v>
      </c>
      <c r="D14" s="4">
        <f>IF(SUM(M4:M10) &gt; 0, D5, "")</f>
        <v>0</v>
      </c>
      <c r="E14" s="4">
        <f>IF(SUM(M4:M10) &gt; 0, E5, "")</f>
        <v>0</v>
      </c>
      <c r="F14" s="4">
        <f>IF(SUM(M4:M10) &gt; 0, F5, "")</f>
        <v>0</v>
      </c>
      <c r="G14" s="4">
        <f>IF(SUM(M4:M10) &gt; 0, G5, "")</f>
        <v>0</v>
      </c>
      <c r="H14" s="4">
        <f>IF(SUM(M4:M10) &gt; 0, H5, "")</f>
        <v>0</v>
      </c>
      <c r="I14" s="4">
        <f>IF(SUM(M4:M10) &gt; 0, I5, "")</f>
        <v>0</v>
      </c>
      <c r="J14" s="4">
        <f>IF(SUM(M4:M10) &gt; 0, J5, "")</f>
        <v>0</v>
      </c>
    </row>
    <row r="15" spans="1:20">
      <c r="B15" t="s">
        <v>838</v>
      </c>
      <c r="C15" s="4">
        <f>IF(SUM(M4:M10) &gt; 0, C6, "")</f>
        <v>0</v>
      </c>
      <c r="D15" s="4">
        <f>IF(SUM(M4:M10) &gt; 0, D6, "")</f>
        <v>0</v>
      </c>
      <c r="E15" s="4">
        <f>IF(SUM(M4:M10) &gt; 0, E6, "")</f>
        <v>0</v>
      </c>
      <c r="F15" s="4">
        <f>IF(SUM(M4:M10) &gt; 0, F6, "")</f>
        <v>0</v>
      </c>
      <c r="G15" s="4">
        <f>IF(SUM(M4:M10) &gt; 0, G6, "")</f>
        <v>0</v>
      </c>
      <c r="H15" s="4">
        <f>IF(SUM(M4:M10) &gt; 0, H6, "")</f>
        <v>0</v>
      </c>
      <c r="I15" s="4">
        <f>IF(SUM(M4:M10) &gt; 0, I6, "")</f>
        <v>0</v>
      </c>
      <c r="J15" s="4">
        <f>IF(SUM(M4:M10) &gt; 0, J6, "")</f>
        <v>0</v>
      </c>
    </row>
    <row r="16" spans="1:20">
      <c r="B16" t="s">
        <v>886</v>
      </c>
      <c r="C16" s="4">
        <f>IF(SUM(M4:M10) &gt; 0, C7, "")</f>
        <v>0</v>
      </c>
      <c r="D16" s="4">
        <f>IF(SUM(M4:M10) &gt; 0, D7, "")</f>
        <v>0</v>
      </c>
      <c r="E16" s="4">
        <f>IF(SUM(M4:M10) &gt; 0, E7, "")</f>
        <v>0</v>
      </c>
      <c r="F16" s="4">
        <f>IF(SUM(M4:M10) &gt; 0, F7, "")</f>
        <v>0</v>
      </c>
      <c r="G16" s="4">
        <f>IF(SUM(M4:M10) &gt; 0, G7, "")</f>
        <v>0</v>
      </c>
      <c r="H16" s="4">
        <f>IF(SUM(M4:M10) &gt; 0, H7, "")</f>
        <v>0</v>
      </c>
      <c r="I16" s="4">
        <f>IF(SUM(M4:M10) &gt; 0, I7, "")</f>
        <v>0</v>
      </c>
      <c r="J16" s="4">
        <f>IF(SUM(M4:M10) &gt; 0, J7, "")</f>
        <v>0</v>
      </c>
    </row>
    <row r="17" spans="2:10">
      <c r="B17" t="s">
        <v>841</v>
      </c>
      <c r="C17" s="4">
        <f>IF(SUM(M4:M10) &gt; 0, C8, "")</f>
        <v>0</v>
      </c>
      <c r="D17" s="4">
        <f>IF(SUM(M4:M10) &gt; 0, D8, "")</f>
        <v>0</v>
      </c>
      <c r="E17" s="4">
        <f>IF(SUM(M4:M10) &gt; 0, E8, "")</f>
        <v>0</v>
      </c>
      <c r="F17" s="4">
        <f>IF(SUM(M4:M10) &gt; 0, F8, "")</f>
        <v>0</v>
      </c>
      <c r="G17" s="4">
        <f>IF(SUM(M4:M10) &gt; 0, G8, "")</f>
        <v>0</v>
      </c>
      <c r="H17" s="4">
        <f>IF(SUM(M4:M10) &gt; 0, H8, "")</f>
        <v>0</v>
      </c>
      <c r="I17" s="4">
        <f>IF(SUM(M4:M10) &gt; 0, I8, "")</f>
        <v>0</v>
      </c>
      <c r="J17" s="4">
        <f>IF(SUM(M4:M10) &gt; 0, J8, "")</f>
        <v>0</v>
      </c>
    </row>
    <row r="18" spans="2:10">
      <c r="B18" t="s">
        <v>898</v>
      </c>
      <c r="C18" s="4">
        <f>IF(SUM(M4:M10) &gt; 0, C9, "")</f>
        <v>0</v>
      </c>
      <c r="D18" s="4">
        <f>IF(SUM(M4:M10) &gt; 0, D9, "")</f>
        <v>0</v>
      </c>
      <c r="E18" s="4">
        <f>IF(SUM(M4:M10) &gt; 0, E9, "")</f>
        <v>0</v>
      </c>
      <c r="F18" s="4">
        <f>IF(SUM(M4:M10) &gt; 0, F9, "")</f>
        <v>0</v>
      </c>
      <c r="G18" s="4">
        <f>IF(SUM(M4:M10) &gt; 0, G9, "")</f>
        <v>0</v>
      </c>
      <c r="H18" s="4">
        <f>IF(SUM(M4:M10) &gt; 0, H9, "")</f>
        <v>0</v>
      </c>
      <c r="I18" s="4">
        <f>IF(SUM(M4:M10) &gt; 0, I9, "")</f>
        <v>0</v>
      </c>
      <c r="J18" s="4">
        <f>IF(SUM(M4:M10) &gt; 0, J9, "")</f>
        <v>0</v>
      </c>
    </row>
    <row r="19" spans="2:10">
      <c r="B19" t="e">
        <f>#NUM!</f>
        <v>#NUM!</v>
      </c>
      <c r="C19" s="4">
        <f>IF(SUM(M4:M10) &gt; 0, C10, "")</f>
        <v>0</v>
      </c>
      <c r="D19" s="4">
        <f>IF(SUM(M4:M10) &gt; 0, D10, "")</f>
        <v>0</v>
      </c>
      <c r="E19" s="4">
        <f>IF(SUM(M4:M10) &gt; 0, E10, "")</f>
        <v>0</v>
      </c>
      <c r="F19" s="4">
        <f>IF(SUM(M4:M10) &gt; 0, F10, "")</f>
        <v>0</v>
      </c>
      <c r="G19" s="4">
        <f>IF(SUM(M4:M10) &gt; 0, G10, "")</f>
        <v>0</v>
      </c>
      <c r="H19" s="4">
        <f>IF(SUM(M4:M10) &gt; 0, H10, "")</f>
        <v>0</v>
      </c>
      <c r="I19" s="4">
        <f>IF(SUM(M4:M10) &gt; 0, I10, "")</f>
        <v>0</v>
      </c>
      <c r="J19" s="4">
        <f>IF(SUM(M4:M10) &gt; 0, J10, "")</f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33A0"/>
  </sheetPr>
  <dimension ref="A1:N17"/>
  <sheetViews>
    <sheetView workbookViewId="0"/>
  </sheetViews>
  <sheetFormatPr defaultRowHeight="15"/>
  <sheetData>
    <row r="1" spans="1:14" s="3" customFormat="1" ht="40" customHeight="1">
      <c r="A1" s="3" t="s">
        <v>1000</v>
      </c>
    </row>
    <row r="3" spans="1:14">
      <c r="B3" t="s">
        <v>915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915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839</v>
      </c>
      <c r="C4">
        <f>IF(SUMIFS('TERadj'!G2:G100,'TERadj'!G2:G100,"&gt;0",'TERadj'!C2:C100,"Asia Pacific")/1000,SUMIFS('TERadj'!G2:G100,'TERadj'!G2:G100,"&gt;0",'TERadj'!C2:C100,"Asia Pacific")/1000,"")</f>
        <v>0</v>
      </c>
      <c r="D4">
        <f>IF(SUMIFS('TERadj'!G2:G100,'TERadj'!G2:G100,"&gt;0",'TERadj'!C2:C100,"Europe")/1000,SUMIFS('TERadj'!G2:G100,'TERadj'!G2:G100,"&gt;0",'TERadj'!C2:C100,"Europe")/1000,"")</f>
        <v>0</v>
      </c>
      <c r="E4">
        <f>IF(SUMIFS('TERadj'!G2:G100,'TERadj'!G2:G100,"&gt;0",'TERadj'!C2:C100,"North America")/1000,SUMIFS('TERadj'!G2:G100,'TERadj'!G2:G100,"&gt;0",'TERadj'!C2:C100,"North America")/1000,"")</f>
        <v>0</v>
      </c>
      <c r="F4">
        <f>IF(SUMIFS('TERadj'!G2:G100,'TERadj'!G2:G100,"&gt;0",'TERadj'!C2:C100,"South America")/1000,SUMIFS('TERadj'!G2:G100,'TERadj'!G2:G100,"&gt;0",'TERadj'!C2:C100,"South America")/1000,"")</f>
        <v>0</v>
      </c>
      <c r="G4">
        <f>IF(SUMIFS('TERadj'!G2:G100,'TERadj'!G2:G100,"&gt;0",'TERadj'!C2:C100,"Africa")/1000,SUMIFS('TERadj'!G2:G100,'TERadj'!G2:G100,"&gt;0",'TERadj'!C2:C100,"Africa")/1000,"")</f>
        <v>0</v>
      </c>
      <c r="I4" t="s">
        <v>839</v>
      </c>
      <c r="J4" cm="1">
        <f t="array" ref="J4">IF(COUNT(_xlfn._xlws.FILTER('TERadj'!G2:G100, ('TERadj'!G2:G100&gt;0)*('TERadj'!C2:C100="Asia Pacific"))),COUNT(_xlfn._xlws.FILTER('TERadj'!G2:G100, ('TERadj'!G2:G100&gt;0)*('TERadj'!C2:C100="Asia Pacific"))),"")</f>
        <v>0</v>
      </c>
      <c r="K4" cm="1">
        <f t="array" ref="K4">IF(COUNT(_xlfn._xlws.FILTER('TERadj'!G2:G100, ('TERadj'!G2:G100&gt;0)*('TERadj'!C2:C100="Europe"))),COUNT(_xlfn._xlws.FILTER('TERadj'!G2:G100, ('TERadj'!G2:G100&gt;0)*('TERadj'!C2:C100="Europe"))),"")</f>
        <v>0</v>
      </c>
      <c r="L4" cm="1">
        <f t="array" ref="L4">IF(COUNT(_xlfn._xlws.FILTER('TERadj'!G2:G100, ('TERadj'!G2:G100&gt;0)*('TERadj'!C2:C100="North America"))),COUNT(_xlfn._xlws.FILTER('TERadj'!G2:G100, ('TERadj'!G2:G100&gt;0)*('TERadj'!C2:C100="North America"))),"")</f>
        <v>0</v>
      </c>
      <c r="M4" cm="1">
        <f t="array" ref="M4">IF(COUNT(_xlfn._xlws.FILTER('TERadj'!G2:G100, ('TERadj'!G2:G100&gt;0)*('TERadj'!C2:C100="South America"))),COUNT(_xlfn._xlws.FILTER('TERadj'!G2:G100, ('TERadj'!G2:G100&gt;0)*('TERadj'!C2:C100="South America"))),"")</f>
        <v>0</v>
      </c>
      <c r="N4" cm="1">
        <f t="array" ref="N4">IF(COUNT(_xlfn._xlws.FILTER('TERadj'!G2:G100, ('TERadj'!G2:G100&gt;0)*('TERadj'!C2:C100="Africa"))),COUNT(_xlfn._xlws.FILTER('TERadj'!G2:G100, ('TERadj'!G2:G100&gt;0)*('TERadj'!C2:C100="Africa"))),"")</f>
        <v>0</v>
      </c>
    </row>
    <row r="5" spans="1:14">
      <c r="B5" t="s">
        <v>840</v>
      </c>
      <c r="C5">
        <f>IF(SUMIFS('TERadj'!H2:H100,'TERadj'!H2:H100,"&gt;0",'TERadj'!C2:C100,"Asia Pacific")/1000,SUMIFS('TERadj'!H2:H100,'TERadj'!H2:H100,"&gt;0",'TERadj'!C2:C100,"Asia Pacific")/1000,"")</f>
        <v>0</v>
      </c>
      <c r="D5">
        <f>IF(SUMIFS('TERadj'!H2:H100,'TERadj'!H2:H100,"&gt;0",'TERadj'!C2:C100,"Europe")/1000,SUMIFS('TERadj'!H2:H100,'TERadj'!H2:H100,"&gt;0",'TERadj'!C2:C100,"Europe")/1000,"")</f>
        <v>0</v>
      </c>
      <c r="E5">
        <f>IF(SUMIFS('TERadj'!H2:H100,'TERadj'!H2:H100,"&gt;0",'TERadj'!C2:C100,"North America")/1000,SUMIFS('TERadj'!H2:H100,'TERadj'!H2:H100,"&gt;0",'TERadj'!C2:C100,"North America")/1000,"")</f>
        <v>0</v>
      </c>
      <c r="F5">
        <f>IF(SUMIFS('TERadj'!H2:H100,'TERadj'!H2:H100,"&gt;0",'TERadj'!C2:C100,"South America")/1000,SUMIFS('TERadj'!H2:H100,'TERadj'!H2:H100,"&gt;0",'TERadj'!C2:C100,"South America")/1000,"")</f>
        <v>0</v>
      </c>
      <c r="G5">
        <f>IF(SUMIFS('TERadj'!H2:H100,'TERadj'!H2:H100,"&gt;0",'TERadj'!C2:C100,"Africa")/1000,SUMIFS('TERadj'!H2:H100,'TERadj'!H2:H100,"&gt;0",'TERadj'!C2:C100,"Africa")/1000,"")</f>
        <v>0</v>
      </c>
      <c r="I5" t="s">
        <v>840</v>
      </c>
      <c r="J5" cm="1">
        <f t="array" ref="J5">IF(COUNT(_xlfn._xlws.FILTER('TERadj'!H2:H100, ('TERadj'!H2:H100&gt;0)*('TERadj'!C2:C100="Asia Pacific"))),COUNT(_xlfn._xlws.FILTER('TERadj'!H2:H100, ('TERadj'!H2:H100&gt;0)*('TERadj'!C2:C100="Asia Pacific"))),"")</f>
        <v>0</v>
      </c>
      <c r="K5" cm="1">
        <f t="array" ref="K5">IF(COUNT(_xlfn._xlws.FILTER('TERadj'!H2:H100, ('TERadj'!H2:H100&gt;0)*('TERadj'!C2:C100="Europe"))),COUNT(_xlfn._xlws.FILTER('TERadj'!H2:H100, ('TERadj'!H2:H100&gt;0)*('TERadj'!C2:C100="Europe"))),"")</f>
        <v>0</v>
      </c>
      <c r="L5" cm="1">
        <f t="array" ref="L5">IF(COUNT(_xlfn._xlws.FILTER('TERadj'!H2:H100, ('TERadj'!H2:H100&gt;0)*('TERadj'!C2:C100="North America"))),COUNT(_xlfn._xlws.FILTER('TERadj'!H2:H100, ('TERadj'!H2:H100&gt;0)*('TERadj'!C2:C100="North America"))),"")</f>
        <v>0</v>
      </c>
      <c r="M5" cm="1">
        <f t="array" ref="M5">IF(COUNT(_xlfn._xlws.FILTER('TERadj'!H2:H100, ('TERadj'!H2:H100&gt;0)*('TERadj'!C2:C100="South America"))),COUNT(_xlfn._xlws.FILTER('TERadj'!H2:H100, ('TERadj'!H2:H100&gt;0)*('TERadj'!C2:C100="South America"))),"")</f>
        <v>0</v>
      </c>
      <c r="N5" cm="1">
        <f t="array" ref="N5">IF(COUNT(_xlfn._xlws.FILTER('TERadj'!H2:H100, ('TERadj'!H2:H100&gt;0)*('TERadj'!C2:C100="Africa"))),COUNT(_xlfn._xlws.FILTER('TERadj'!H2:H100, ('TERadj'!H2:H100&gt;0)*('TERadj'!C2:C100="Africa"))),"")</f>
        <v>0</v>
      </c>
    </row>
    <row r="6" spans="1:14">
      <c r="B6" t="s">
        <v>838</v>
      </c>
      <c r="C6">
        <f>IF(SUMIFS('TERadj'!I2:I100,'TERadj'!I2:I100,"&gt;0",'TERadj'!C2:C100,"Asia Pacific")/1000,SUMIFS('TERadj'!I2:I100,'TERadj'!I2:I100,"&gt;0",'TERadj'!C2:C100,"Asia Pacific")/1000,"")</f>
        <v>0</v>
      </c>
      <c r="D6">
        <f>IF(SUMIFS('TERadj'!I2:I100,'TERadj'!I2:I100,"&gt;0",'TERadj'!C2:C100,"Europe")/1000,SUMIFS('TERadj'!I2:I100,'TERadj'!I2:I100,"&gt;0",'TERadj'!C2:C100,"Europe")/1000,"")</f>
        <v>0</v>
      </c>
      <c r="E6">
        <f>IF(SUMIFS('TERadj'!I2:I100,'TERadj'!I2:I100,"&gt;0",'TERadj'!C2:C100,"North America")/1000,SUMIFS('TERadj'!I2:I100,'TERadj'!I2:I100,"&gt;0",'TERadj'!C2:C100,"North America")/1000,"")</f>
        <v>0</v>
      </c>
      <c r="F6">
        <f>IF(SUMIFS('TERadj'!I2:I100,'TERadj'!I2:I100,"&gt;0",'TERadj'!C2:C100,"South America")/1000,SUMIFS('TERadj'!I2:I100,'TERadj'!I2:I100,"&gt;0",'TERadj'!C2:C100,"South America")/1000,"")</f>
        <v>0</v>
      </c>
      <c r="G6">
        <f>IF(SUMIFS('TERadj'!I2:I100,'TERadj'!I2:I100,"&gt;0",'TERadj'!C2:C100,"Africa")/1000,SUMIFS('TERadj'!I2:I100,'TERadj'!I2:I100,"&gt;0",'TERadj'!C2:C100,"Africa")/1000,"")</f>
        <v>0</v>
      </c>
      <c r="I6" t="s">
        <v>838</v>
      </c>
      <c r="J6" cm="1">
        <f t="array" ref="J6">IF(COUNT(_xlfn._xlws.FILTER('TERadj'!I2:I100, ('TERadj'!I2:I100&gt;0)*('TERadj'!C2:C100="Asia Pacific"))),COUNT(_xlfn._xlws.FILTER('TERadj'!I2:I100, ('TERadj'!I2:I100&gt;0)*('TERadj'!C2:C100="Asia Pacific"))),"")</f>
        <v>0</v>
      </c>
      <c r="K6" cm="1">
        <f t="array" ref="K6">IF(COUNT(_xlfn._xlws.FILTER('TERadj'!I2:I100, ('TERadj'!I2:I100&gt;0)*('TERadj'!C2:C100="Europe"))),COUNT(_xlfn._xlws.FILTER('TERadj'!I2:I100, ('TERadj'!I2:I100&gt;0)*('TERadj'!C2:C100="Europe"))),"")</f>
        <v>0</v>
      </c>
      <c r="L6" cm="1">
        <f t="array" ref="L6">IF(COUNT(_xlfn._xlws.FILTER('TERadj'!I2:I100, ('TERadj'!I2:I100&gt;0)*('TERadj'!C2:C100="North America"))),COUNT(_xlfn._xlws.FILTER('TERadj'!I2:I100, ('TERadj'!I2:I100&gt;0)*('TERadj'!C2:C100="North America"))),"")</f>
        <v>0</v>
      </c>
      <c r="M6" cm="1">
        <f t="array" ref="M6">IF(COUNT(_xlfn._xlws.FILTER('TERadj'!I2:I100, ('TERadj'!I2:I100&gt;0)*('TERadj'!C2:C100="South America"))),COUNT(_xlfn._xlws.FILTER('TERadj'!I2:I100, ('TERadj'!I2:I100&gt;0)*('TERadj'!C2:C100="South America"))),"")</f>
        <v>0</v>
      </c>
      <c r="N6" cm="1">
        <f t="array" ref="N6">IF(COUNT(_xlfn._xlws.FILTER('TERadj'!I2:I100, ('TERadj'!I2:I100&gt;0)*('TERadj'!C2:C100="Africa"))),COUNT(_xlfn._xlws.FILTER('TERadj'!I2:I100, ('TERadj'!I2:I100&gt;0)*('TERadj'!C2:C100="Africa"))),"")</f>
        <v>0</v>
      </c>
    </row>
    <row r="7" spans="1:14">
      <c r="B7" t="s">
        <v>886</v>
      </c>
      <c r="C7">
        <f>IF(SUMIFS('TERadj'!J2:J100,'TERadj'!J2:J100,"&gt;0",'TERadj'!C2:C100,"Asia Pacific")/1000,SUMIFS('TERadj'!J2:J100,'TERadj'!J2:J100,"&gt;0",'TERadj'!C2:C100,"Asia Pacific")/1000,"")</f>
        <v>0</v>
      </c>
      <c r="D7">
        <f>IF(SUMIFS('TERadj'!J2:J100,'TERadj'!J2:J100,"&gt;0",'TERadj'!C2:C100,"Europe")/1000,SUMIFS('TERadj'!J2:J100,'TERadj'!J2:J100,"&gt;0",'TERadj'!C2:C100,"Europe")/1000,"")</f>
        <v>0</v>
      </c>
      <c r="E7">
        <f>IF(SUMIFS('TERadj'!J2:J100,'TERadj'!J2:J100,"&gt;0",'TERadj'!C2:C100,"North America")/1000,SUMIFS('TERadj'!J2:J100,'TERadj'!J2:J100,"&gt;0",'TERadj'!C2:C100,"North America")/1000,"")</f>
        <v>0</v>
      </c>
      <c r="F7">
        <f>IF(SUMIFS('TERadj'!J2:J100,'TERadj'!J2:J100,"&gt;0",'TERadj'!C2:C100,"South America")/1000,SUMIFS('TERadj'!J2:J100,'TERadj'!J2:J100,"&gt;0",'TERadj'!C2:C100,"South America")/1000,"")</f>
        <v>0</v>
      </c>
      <c r="G7">
        <f>IF(SUMIFS('TERadj'!J2:J100,'TERadj'!J2:J100,"&gt;0",'TERadj'!C2:C100,"Africa")/1000,SUMIFS('TERadj'!J2:J100,'TERadj'!J2:J100,"&gt;0",'TERadj'!C2:C100,"Africa")/1000,"")</f>
        <v>0</v>
      </c>
      <c r="I7" t="s">
        <v>886</v>
      </c>
      <c r="J7" cm="1">
        <f t="array" ref="J7">IF(COUNT(_xlfn._xlws.FILTER('TERadj'!J2:J100, ('TERadj'!J2:J100&gt;0)*('TERadj'!C2:C100="Asia Pacific"))),COUNT(_xlfn._xlws.FILTER('TERadj'!J2:J100, ('TERadj'!J2:J100&gt;0)*('TERadj'!C2:C100="Asia Pacific"))),"")</f>
        <v>0</v>
      </c>
      <c r="K7" cm="1">
        <f t="array" ref="K7">IF(COUNT(_xlfn._xlws.FILTER('TERadj'!J2:J100, ('TERadj'!J2:J100&gt;0)*('TERadj'!C2:C100="Europe"))),COUNT(_xlfn._xlws.FILTER('TERadj'!J2:J100, ('TERadj'!J2:J100&gt;0)*('TERadj'!C2:C100="Europe"))),"")</f>
        <v>0</v>
      </c>
      <c r="L7" cm="1">
        <f t="array" ref="L7">IF(COUNT(_xlfn._xlws.FILTER('TERadj'!J2:J100, ('TERadj'!J2:J100&gt;0)*('TERadj'!C2:C100="North America"))),COUNT(_xlfn._xlws.FILTER('TERadj'!J2:J100, ('TERadj'!J2:J100&gt;0)*('TERadj'!C2:C100="North America"))),"")</f>
        <v>0</v>
      </c>
      <c r="M7" cm="1">
        <f t="array" ref="M7">IF(COUNT(_xlfn._xlws.FILTER('TERadj'!J2:J100, ('TERadj'!J2:J100&gt;0)*('TERadj'!C2:C100="South America"))),COUNT(_xlfn._xlws.FILTER('TERadj'!J2:J100, ('TERadj'!J2:J100&gt;0)*('TERadj'!C2:C100="South America"))),"")</f>
        <v>0</v>
      </c>
      <c r="N7" cm="1">
        <f t="array" ref="N7">IF(COUNT(_xlfn._xlws.FILTER('TERadj'!J2:J100, ('TERadj'!J2:J100&gt;0)*('TERadj'!C2:C100="Africa"))),COUNT(_xlfn._xlws.FILTER('TERadj'!J2:J100, ('TERadj'!J2:J100&gt;0)*('TERadj'!C2:C100="Africa"))),"")</f>
        <v>0</v>
      </c>
    </row>
    <row r="8" spans="1:14">
      <c r="B8" t="s">
        <v>841</v>
      </c>
      <c r="C8">
        <f>IF(SUMIFS('TERadj'!K2:K100,'TERadj'!K2:K100,"&gt;0",'TERadj'!C2:C100,"Asia Pacific")/1000,SUMIFS('TERadj'!K2:K100,'TERadj'!K2:K100,"&gt;0",'TERadj'!C2:C100,"Asia Pacific")/1000,"")</f>
        <v>0</v>
      </c>
      <c r="D8">
        <f>IF(SUMIFS('TERadj'!K2:K100,'TERadj'!K2:K100,"&gt;0",'TERadj'!C2:C100,"Europe")/1000,SUMIFS('TERadj'!K2:K100,'TERadj'!K2:K100,"&gt;0",'TERadj'!C2:C100,"Europe")/1000,"")</f>
        <v>0</v>
      </c>
      <c r="E8">
        <f>IF(SUMIFS('TERadj'!K2:K100,'TERadj'!K2:K100,"&gt;0",'TERadj'!C2:C100,"North America")/1000,SUMIFS('TERadj'!K2:K100,'TERadj'!K2:K100,"&gt;0",'TERadj'!C2:C100,"North America")/1000,"")</f>
        <v>0</v>
      </c>
      <c r="F8">
        <f>IF(SUMIFS('TERadj'!K2:K100,'TERadj'!K2:K100,"&gt;0",'TERadj'!C2:C100,"South America")/1000,SUMIFS('TERadj'!K2:K100,'TERadj'!K2:K100,"&gt;0",'TERadj'!C2:C100,"South America")/1000,"")</f>
        <v>0</v>
      </c>
      <c r="G8">
        <f>IF(SUMIFS('TERadj'!K2:K100,'TERadj'!K2:K100,"&gt;0",'TERadj'!C2:C100,"Africa")/1000,SUMIFS('TERadj'!K2:K100,'TERadj'!K2:K100,"&gt;0",'TERadj'!C2:C100,"Africa")/1000,"")</f>
        <v>0</v>
      </c>
      <c r="I8" t="s">
        <v>841</v>
      </c>
      <c r="J8" cm="1">
        <f t="array" ref="J8">IF(COUNT(_xlfn._xlws.FILTER('TERadj'!K2:K100, ('TERadj'!K2:K100&gt;0)*('TERadj'!C2:C100="Asia Pacific"))),COUNT(_xlfn._xlws.FILTER('TERadj'!K2:K100, ('TERadj'!K2:K100&gt;0)*('TERadj'!C2:C100="Asia Pacific"))),"")</f>
        <v>0</v>
      </c>
      <c r="K8" cm="1">
        <f t="array" ref="K8">IF(COUNT(_xlfn._xlws.FILTER('TERadj'!K2:K100, ('TERadj'!K2:K100&gt;0)*('TERadj'!C2:C100="Europe"))),COUNT(_xlfn._xlws.FILTER('TERadj'!K2:K100, ('TERadj'!K2:K100&gt;0)*('TERadj'!C2:C100="Europe"))),"")</f>
        <v>0</v>
      </c>
      <c r="L8" cm="1">
        <f t="array" ref="L8">IF(COUNT(_xlfn._xlws.FILTER('TERadj'!K2:K100, ('TERadj'!K2:K100&gt;0)*('TERadj'!C2:C100="North America"))),COUNT(_xlfn._xlws.FILTER('TERadj'!K2:K100, ('TERadj'!K2:K100&gt;0)*('TERadj'!C2:C100="North America"))),"")</f>
        <v>0</v>
      </c>
      <c r="M8" cm="1">
        <f t="array" ref="M8">IF(COUNT(_xlfn._xlws.FILTER('TERadj'!K2:K100, ('TERadj'!K2:K100&gt;0)*('TERadj'!C2:C100="South America"))),COUNT(_xlfn._xlws.FILTER('TERadj'!K2:K100, ('TERadj'!K2:K100&gt;0)*('TERadj'!C2:C100="South America"))),"")</f>
        <v>0</v>
      </c>
      <c r="N8" cm="1">
        <f t="array" ref="N8">IF(COUNT(_xlfn._xlws.FILTER('TERadj'!K2:K100, ('TERadj'!K2:K100&gt;0)*('TERadj'!C2:C100="Africa"))),COUNT(_xlfn._xlws.FILTER('TERadj'!K2:K100, ('TERadj'!K2:K100&gt;0)*('TERadj'!C2:C100="Africa"))),"")</f>
        <v>0</v>
      </c>
    </row>
    <row r="9" spans="1:14">
      <c r="B9" t="s">
        <v>898</v>
      </c>
      <c r="C9">
        <f>IF(SUMIFS('TERadj'!L2:L100,'TERadj'!L2:L100,"&gt;0",'TERadj'!C2:C100,"Asia Pacific")/1000,SUMIFS('TERadj'!L2:L100,'TERadj'!L2:L100,"&gt;0",'TERadj'!C2:C100,"Asia Pacific")/1000,"")</f>
        <v>0</v>
      </c>
      <c r="D9">
        <f>IF(SUMIFS('TERadj'!L2:L100,'TERadj'!L2:L100,"&gt;0",'TERadj'!C2:C100,"Europe")/1000,SUMIFS('TERadj'!L2:L100,'TERadj'!L2:L100,"&gt;0",'TERadj'!C2:C100,"Europe")/1000,"")</f>
        <v>0</v>
      </c>
      <c r="E9">
        <f>IF(SUMIFS('TERadj'!L2:L100,'TERadj'!L2:L100,"&gt;0",'TERadj'!C2:C100,"North America")/1000,SUMIFS('TERadj'!L2:L100,'TERadj'!L2:L100,"&gt;0",'TERadj'!C2:C100,"North America")/1000,"")</f>
        <v>0</v>
      </c>
      <c r="F9">
        <f>IF(SUMIFS('TERadj'!L2:L100,'TERadj'!L2:L100,"&gt;0",'TERadj'!C2:C100,"South America")/1000,SUMIFS('TERadj'!L2:L100,'TERadj'!L2:L100,"&gt;0",'TERadj'!C2:C100,"South America")/1000,"")</f>
        <v>0</v>
      </c>
      <c r="G9">
        <f>IF(SUMIFS('TERadj'!L2:L100,'TERadj'!L2:L100,"&gt;0",'TERadj'!C2:C100,"Africa")/1000,SUMIFS('TERadj'!L2:L100,'TERadj'!L2:L100,"&gt;0",'TERadj'!C2:C100,"Africa")/1000,"")</f>
        <v>0</v>
      </c>
      <c r="I9" t="s">
        <v>898</v>
      </c>
      <c r="J9" cm="1">
        <f t="array" ref="J9">IF(COUNT(_xlfn._xlws.FILTER('TERadj'!L2:L100, ('TERadj'!L2:L100&gt;0)*('TERadj'!C2:C100="Asia Pacific"))),COUNT(_xlfn._xlws.FILTER('TERadj'!L2:L100, ('TERadj'!L2:L100&gt;0)*('TERadj'!C2:C100="Asia Pacific"))),"")</f>
        <v>0</v>
      </c>
      <c r="K9" cm="1">
        <f t="array" ref="K9">IF(COUNT(_xlfn._xlws.FILTER('TERadj'!L2:L100, ('TERadj'!L2:L100&gt;0)*('TERadj'!C2:C100="Europe"))),COUNT(_xlfn._xlws.FILTER('TERadj'!L2:L100, ('TERadj'!L2:L100&gt;0)*('TERadj'!C2:C100="Europe"))),"")</f>
        <v>0</v>
      </c>
      <c r="L9" cm="1">
        <f t="array" ref="L9">IF(COUNT(_xlfn._xlws.FILTER('TERadj'!L2:L100, ('TERadj'!L2:L100&gt;0)*('TERadj'!C2:C100="North America"))),COUNT(_xlfn._xlws.FILTER('TERadj'!L2:L100, ('TERadj'!L2:L100&gt;0)*('TERadj'!C2:C100="North America"))),"")</f>
        <v>0</v>
      </c>
      <c r="M9" cm="1">
        <f t="array" ref="M9">IF(COUNT(_xlfn._xlws.FILTER('TERadj'!L2:L100, ('TERadj'!L2:L100&gt;0)*('TERadj'!C2:C100="South America"))),COUNT(_xlfn._xlws.FILTER('TERadj'!L2:L100, ('TERadj'!L2:L100&gt;0)*('TERadj'!C2:C100="South America"))),"")</f>
        <v>0</v>
      </c>
      <c r="N9" cm="1">
        <f t="array" ref="N9">IF(COUNT(_xlfn._xlws.FILTER('TERadj'!L2:L100, ('TERadj'!L2:L100&gt;0)*('TERadj'!C2:C100="Africa"))),COUNT(_xlfn._xlws.FILTER('TERadj'!L2:L100, ('TERadj'!L2:L100&gt;0)*('TERadj'!C2:C100="Africa"))),"")</f>
        <v>0</v>
      </c>
    </row>
    <row r="11" spans="1:14">
      <c r="B11" t="s">
        <v>915</v>
      </c>
      <c r="C11" t="s">
        <v>839</v>
      </c>
      <c r="D11" t="s">
        <v>840</v>
      </c>
      <c r="E11" t="s">
        <v>838</v>
      </c>
      <c r="F11" t="s">
        <v>841</v>
      </c>
      <c r="G11" t="s">
        <v>898</v>
      </c>
    </row>
    <row r="12" spans="1:14">
      <c r="B12" t="s">
        <v>839</v>
      </c>
      <c r="C12" s="6">
        <f>IF(SUM(J4:J9) &gt; 0, IF(AND(SUM(C4:C9)&gt;0, ISNUMBER(C4)),C4/SUM(C4:C9), ""), "")</f>
        <v>0</v>
      </c>
      <c r="D12" s="6">
        <f>IF(SUM(J4:J9) &gt; 0, IF(AND(SUM(D4:D9)&gt;0, ISNUMBER(D4)),D4/SUM(D4:D9), ""), "")</f>
        <v>0</v>
      </c>
      <c r="E12" s="6">
        <f>IF(SUM(J4:J9) &gt; 0, IF(AND(SUM(E4:E9)&gt;0, ISNUMBER(E4)),E4/SUM(E4:E9), ""), "")</f>
        <v>0</v>
      </c>
      <c r="F12" s="6">
        <f>IF(SUM(J4:J9) &gt; 0, IF(AND(SUM(F4:F9)&gt;0, ISNUMBER(F4)),F4/SUM(F4:F9), ""), "")</f>
        <v>0</v>
      </c>
      <c r="G12" s="6">
        <f>IF(SUM(J4:J9) &gt; 0, IF(AND(SUM(G4:G9)&gt;0, ISNUMBER(G4)),G4/SUM(G4:G9), ""), "")</f>
        <v>0</v>
      </c>
    </row>
    <row r="13" spans="1:14">
      <c r="B13" t="s">
        <v>840</v>
      </c>
      <c r="C13" s="6">
        <f>IF(SUM(J4:J9) &gt; 0, IF(AND(SUM(C4:C9)&gt;0, ISNUMBER(C5)),C5/SUM(C4:C9), ""), "")</f>
        <v>0</v>
      </c>
      <c r="D13" s="6">
        <f>IF(SUM(J4:J9) &gt; 0, IF(AND(SUM(D4:D9)&gt;0, ISNUMBER(D5)),D5/SUM(D4:D9), ""), "")</f>
        <v>0</v>
      </c>
      <c r="E13" s="6">
        <f>IF(SUM(J4:J9) &gt; 0, IF(AND(SUM(E4:E9)&gt;0, ISNUMBER(E5)),E5/SUM(E4:E9), ""), "")</f>
        <v>0</v>
      </c>
      <c r="F13" s="6">
        <f>IF(SUM(J4:J9) &gt; 0, IF(AND(SUM(F4:F9)&gt;0, ISNUMBER(F5)),F5/SUM(F4:F9), ""), "")</f>
        <v>0</v>
      </c>
      <c r="G13" s="6">
        <f>IF(SUM(J4:J9) &gt; 0, IF(AND(SUM(G4:G9)&gt;0, ISNUMBER(G5)),G5/SUM(G4:G9), ""), "")</f>
        <v>0</v>
      </c>
    </row>
    <row r="14" spans="1:14">
      <c r="B14" t="s">
        <v>838</v>
      </c>
      <c r="C14" s="6">
        <f>IF(SUM(J4:J9) &gt; 0, IF(AND(SUM(C4:C9)&gt;0, ISNUMBER(C6)),C6/SUM(C4:C9), ""), "")</f>
        <v>0</v>
      </c>
      <c r="D14" s="6">
        <f>IF(SUM(J4:J9) &gt; 0, IF(AND(SUM(D4:D9)&gt;0, ISNUMBER(D6)),D6/SUM(D4:D9), ""), "")</f>
        <v>0</v>
      </c>
      <c r="E14" s="6">
        <f>IF(SUM(J4:J9) &gt; 0, IF(AND(SUM(E4:E9)&gt;0, ISNUMBER(E6)),E6/SUM(E4:E9), ""), "")</f>
        <v>0</v>
      </c>
      <c r="F14" s="6">
        <f>IF(SUM(J4:J9) &gt; 0, IF(AND(SUM(F4:F9)&gt;0, ISNUMBER(F6)),F6/SUM(F4:F9), ""), "")</f>
        <v>0</v>
      </c>
      <c r="G14" s="6">
        <f>IF(SUM(J4:J9) &gt; 0, IF(AND(SUM(G4:G9)&gt;0, ISNUMBER(G6)),G6/SUM(G4:G9), ""), "")</f>
        <v>0</v>
      </c>
    </row>
    <row r="15" spans="1:14">
      <c r="B15" t="s">
        <v>886</v>
      </c>
      <c r="C15" s="6">
        <f>IF(SUM(J4:J9) &gt; 0, IF(AND(SUM(C4:C9)&gt;0, ISNUMBER(C7)),C7/SUM(C4:C9), ""), "")</f>
        <v>0</v>
      </c>
      <c r="D15" s="6">
        <f>IF(SUM(J4:J9) &gt; 0, IF(AND(SUM(D4:D9)&gt;0, ISNUMBER(D7)),D7/SUM(D4:D9), ""), "")</f>
        <v>0</v>
      </c>
      <c r="E15" s="6">
        <f>IF(SUM(J4:J9) &gt; 0, IF(AND(SUM(E4:E9)&gt;0, ISNUMBER(E7)),E7/SUM(E4:E9), ""), "")</f>
        <v>0</v>
      </c>
      <c r="F15" s="6">
        <f>IF(SUM(J4:J9) &gt; 0, IF(AND(SUM(F4:F9)&gt;0, ISNUMBER(F7)),F7/SUM(F4:F9), ""), "")</f>
        <v>0</v>
      </c>
      <c r="G15" s="6">
        <f>IF(SUM(J4:J9) &gt; 0, IF(AND(SUM(G4:G9)&gt;0, ISNUMBER(G7)),G7/SUM(G4:G9), ""), "")</f>
        <v>0</v>
      </c>
    </row>
    <row r="16" spans="1:14">
      <c r="B16" t="s">
        <v>841</v>
      </c>
      <c r="C16" s="6">
        <f>IF(SUM(J4:J9) &gt; 0, IF(AND(SUM(C4:C9)&gt;0, ISNUMBER(C8)),C8/SUM(C4:C9), ""), "")</f>
        <v>0</v>
      </c>
      <c r="D16" s="6">
        <f>IF(SUM(J4:J9) &gt; 0, IF(AND(SUM(D4:D9)&gt;0, ISNUMBER(D8)),D8/SUM(D4:D9), ""), "")</f>
        <v>0</v>
      </c>
      <c r="E16" s="6">
        <f>IF(SUM(J4:J9) &gt; 0, IF(AND(SUM(E4:E9)&gt;0, ISNUMBER(E8)),E8/SUM(E4:E9), ""), "")</f>
        <v>0</v>
      </c>
      <c r="F16" s="6">
        <f>IF(SUM(J4:J9) &gt; 0, IF(AND(SUM(F4:F9)&gt;0, ISNUMBER(F8)),F8/SUM(F4:F9), ""), "")</f>
        <v>0</v>
      </c>
      <c r="G16" s="6">
        <f>IF(SUM(J4:J9) &gt; 0, IF(AND(SUM(G4:G9)&gt;0, ISNUMBER(G8)),G8/SUM(G4:G9), ""), "")</f>
        <v>0</v>
      </c>
    </row>
    <row r="17" spans="2:7">
      <c r="B17" t="s">
        <v>898</v>
      </c>
      <c r="C17" s="6">
        <f>IF(SUM(J4:J9) &gt; 0, IF(AND(SUM(C4:C9)&gt;0, ISNUMBER(C9)),C9/SUM(C4:C9), ""), "")</f>
        <v>0</v>
      </c>
      <c r="D17" s="6">
        <f>IF(SUM(J4:J9) &gt; 0, IF(AND(SUM(D4:D9)&gt;0, ISNUMBER(D9)),D9/SUM(D4:D9), ""), "")</f>
        <v>0</v>
      </c>
      <c r="E17" s="6">
        <f>IF(SUM(J4:J9) &gt; 0, IF(AND(SUM(E4:E9)&gt;0, ISNUMBER(E9)),E9/SUM(E4:E9), ""), "")</f>
        <v>0</v>
      </c>
      <c r="F17" s="6">
        <f>IF(SUM(J4:J9) &gt; 0, IF(AND(SUM(F4:F9)&gt;0, ISNUMBER(F9)),F9/SUM(F4:F9), ""), "")</f>
        <v>0</v>
      </c>
      <c r="G17" s="6">
        <f>IF(SUM(J4:J9) &gt; 0, IF(AND(SUM(G4:G9)&gt;0, ISNUMBER(G9)),G9/SUM(G4:G9), ""), "")</f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033A0"/>
  </sheetPr>
  <dimension ref="A1:N17"/>
  <sheetViews>
    <sheetView workbookViewId="0"/>
  </sheetViews>
  <sheetFormatPr defaultRowHeight="15"/>
  <sheetData>
    <row r="1" spans="1:14" s="3" customFormat="1" ht="40" customHeight="1">
      <c r="A1" s="3" t="s">
        <v>1001</v>
      </c>
    </row>
    <row r="3" spans="1:14">
      <c r="B3" t="s">
        <v>915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915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839</v>
      </c>
      <c r="C4">
        <f>IF(SUMIFS('TERadj'!BG2:BG100,'TERadj'!BG2:BG100,"&gt;0",'TERadj'!C2:C100,"Asia Pacific"),SUMIFS('TERadj'!BG2:BG100,'TERadj'!BG2:BG100,"&gt;0",'TERadj'!C2:C100,"Asia Pacific"),"")</f>
        <v>0</v>
      </c>
      <c r="D4">
        <f>IF(SUMIFS('TERadj'!BG2:BG100,'TERadj'!BG2:BG100,"&gt;0",'TERadj'!C2:C100,"Europe"),SUMIFS('TERadj'!BG2:BG100,'TERadj'!BG2:BG100,"&gt;0",'TERadj'!C2:C100,"Europe"),"")</f>
        <v>0</v>
      </c>
      <c r="E4">
        <f>IF(SUMIFS('TERadj'!BG2:BG100,'TERadj'!BG2:BG100,"&gt;0",'TERadj'!C2:C100,"North America"),SUMIFS('TERadj'!BG2:BG100,'TERadj'!BG2:BG100,"&gt;0",'TERadj'!C2:C100,"North America"),"")</f>
        <v>0</v>
      </c>
      <c r="F4">
        <f>IF(SUMIFS('TERadj'!BG2:BG100,'TERadj'!BG2:BG100,"&gt;0",'TERadj'!C2:C100,"South America"),SUMIFS('TERadj'!BG2:BG100,'TERadj'!BG2:BG100,"&gt;0",'TERadj'!C2:C100,"South America"),"")</f>
        <v>0</v>
      </c>
      <c r="G4">
        <f>IF(SUMIFS('TERadj'!BG2:BG100,'TERadj'!BG2:BG100,"&gt;0",'TERadj'!C2:C100,"Africa"),SUMIFS('TERadj'!BG2:BG100,'TERadj'!BG2:BG100,"&gt;0",'TERadj'!C2:C100,"Africa"),"")</f>
        <v>0</v>
      </c>
      <c r="I4" t="s">
        <v>839</v>
      </c>
      <c r="J4" cm="1">
        <f t="array" ref="J4">IF(COUNT(_xlfn._xlws.FILTER('TERadj'!BG2:BG100, ('TERadj'!BG2:BG100&gt;0)*('TERadj'!C2:C100="Asia Pacific"))),COUNT(_xlfn._xlws.FILTER('TERadj'!BG2:BG100, ('TERadj'!BG2:BG100&gt;0)*('TERadj'!C2:C100="Asia Pacific"))),"")</f>
        <v>0</v>
      </c>
      <c r="K4" cm="1">
        <f t="array" ref="K4">IF(COUNT(_xlfn._xlws.FILTER('TERadj'!BG2:BG100, ('TERadj'!BG2:BG100&gt;0)*('TERadj'!C2:C100="Europe"))),COUNT(_xlfn._xlws.FILTER('TERadj'!BG2:BG100, ('TERadj'!BG2:BG100&gt;0)*('TERadj'!C2:C100="Europe"))),"")</f>
        <v>0</v>
      </c>
      <c r="L4" cm="1">
        <f t="array" ref="L4">IF(COUNT(_xlfn._xlws.FILTER('TERadj'!BG2:BG100, ('TERadj'!BG2:BG100&gt;0)*('TERadj'!C2:C100="North America"))),COUNT(_xlfn._xlws.FILTER('TERadj'!BG2:BG100, ('TERadj'!BG2:BG100&gt;0)*('TERadj'!C2:C100="North America"))),"")</f>
        <v>0</v>
      </c>
      <c r="M4" cm="1">
        <f t="array" ref="M4">IF(COUNT(_xlfn._xlws.FILTER('TERadj'!BG2:BG100, ('TERadj'!BG2:BG100&gt;0)*('TERadj'!C2:C100="South America"))),COUNT(_xlfn._xlws.FILTER('TERadj'!BG2:BG100, ('TERadj'!BG2:BG100&gt;0)*('TERadj'!C2:C100="South America"))),"")</f>
        <v>0</v>
      </c>
      <c r="N4" cm="1">
        <f t="array" ref="N4">IF(COUNT(_xlfn._xlws.FILTER('TERadj'!BG2:BG100, ('TERadj'!BG2:BG100&gt;0)*('TERadj'!C2:C100="Africa"))),COUNT(_xlfn._xlws.FILTER('TERadj'!BG2:BG100, ('TERadj'!BG2:BG100&gt;0)*('TERadj'!C2:C100="Africa"))),"")</f>
        <v>0</v>
      </c>
    </row>
    <row r="5" spans="1:14">
      <c r="B5" t="s">
        <v>840</v>
      </c>
      <c r="C5">
        <f>IF(SUMIFS('TERadj'!BH2:BH100,'TERadj'!BH2:BH100,"&gt;0",'TERadj'!C2:C100,"Asia Pacific"),SUMIFS('TERadj'!BH2:BH100,'TERadj'!BH2:BH100,"&gt;0",'TERadj'!C2:C100,"Asia Pacific"),"")</f>
        <v>0</v>
      </c>
      <c r="D5">
        <f>IF(SUMIFS('TERadj'!BH2:BH100,'TERadj'!BH2:BH100,"&gt;0",'TERadj'!C2:C100,"Europe"),SUMIFS('TERadj'!BH2:BH100,'TERadj'!BH2:BH100,"&gt;0",'TERadj'!C2:C100,"Europe"),"")</f>
        <v>0</v>
      </c>
      <c r="E5">
        <f>IF(SUMIFS('TERadj'!BH2:BH100,'TERadj'!BH2:BH100,"&gt;0",'TERadj'!C2:C100,"North America"),SUMIFS('TERadj'!BH2:BH100,'TERadj'!BH2:BH100,"&gt;0",'TERadj'!C2:C100,"North America"),"")</f>
        <v>0</v>
      </c>
      <c r="F5">
        <f>IF(SUMIFS('TERadj'!BH2:BH100,'TERadj'!BH2:BH100,"&gt;0",'TERadj'!C2:C100,"South America"),SUMIFS('TERadj'!BH2:BH100,'TERadj'!BH2:BH100,"&gt;0",'TERadj'!C2:C100,"South America"),"")</f>
        <v>0</v>
      </c>
      <c r="G5">
        <f>IF(SUMIFS('TERadj'!BH2:BH100,'TERadj'!BH2:BH100,"&gt;0",'TERadj'!C2:C100,"Africa"),SUMIFS('TERadj'!BH2:BH100,'TERadj'!BH2:BH100,"&gt;0",'TERadj'!C2:C100,"Africa"),"")</f>
        <v>0</v>
      </c>
      <c r="I5" t="s">
        <v>840</v>
      </c>
      <c r="J5" cm="1">
        <f t="array" ref="J5">IF(COUNT(_xlfn._xlws.FILTER('TERadj'!BH2:BH100, ('TERadj'!BH2:BH100&gt;0)*('TERadj'!C2:C100="Asia Pacific"))),COUNT(_xlfn._xlws.FILTER('TERadj'!BH2:BH100, ('TERadj'!BH2:BH100&gt;0)*('TERadj'!C2:C100="Asia Pacific"))),"")</f>
        <v>0</v>
      </c>
      <c r="K5" cm="1">
        <f t="array" ref="K5">IF(COUNT(_xlfn._xlws.FILTER('TERadj'!BH2:BH100, ('TERadj'!BH2:BH100&gt;0)*('TERadj'!C2:C100="Europe"))),COUNT(_xlfn._xlws.FILTER('TERadj'!BH2:BH100, ('TERadj'!BH2:BH100&gt;0)*('TERadj'!C2:C100="Europe"))),"")</f>
        <v>0</v>
      </c>
      <c r="L5" cm="1">
        <f t="array" ref="L5">IF(COUNT(_xlfn._xlws.FILTER('TERadj'!BH2:BH100, ('TERadj'!BH2:BH100&gt;0)*('TERadj'!C2:C100="North America"))),COUNT(_xlfn._xlws.FILTER('TERadj'!BH2:BH100, ('TERadj'!BH2:BH100&gt;0)*('TERadj'!C2:C100="North America"))),"")</f>
        <v>0</v>
      </c>
      <c r="M5" cm="1">
        <f t="array" ref="M5">IF(COUNT(_xlfn._xlws.FILTER('TERadj'!BH2:BH100, ('TERadj'!BH2:BH100&gt;0)*('TERadj'!C2:C100="South America"))),COUNT(_xlfn._xlws.FILTER('TERadj'!BH2:BH100, ('TERadj'!BH2:BH100&gt;0)*('TERadj'!C2:C100="South America"))),"")</f>
        <v>0</v>
      </c>
      <c r="N5" cm="1">
        <f t="array" ref="N5">IF(COUNT(_xlfn._xlws.FILTER('TERadj'!BH2:BH100, ('TERadj'!BH2:BH100&gt;0)*('TERadj'!C2:C100="Africa"))),COUNT(_xlfn._xlws.FILTER('TERadj'!BH2:BH100, ('TERadj'!BH2:BH100&gt;0)*('TERadj'!C2:C100="Africa"))),"")</f>
        <v>0</v>
      </c>
    </row>
    <row r="6" spans="1:14">
      <c r="B6" t="s">
        <v>838</v>
      </c>
      <c r="C6">
        <f>IF(SUMIFS('TERadj'!BI2:BI100,'TERadj'!BI2:BI100,"&gt;0",'TERadj'!C2:C100,"Asia Pacific"),SUMIFS('TERadj'!BI2:BI100,'TERadj'!BI2:BI100,"&gt;0",'TERadj'!C2:C100,"Asia Pacific"),"")</f>
        <v>0</v>
      </c>
      <c r="D6">
        <f>IF(SUMIFS('TERadj'!BI2:BI100,'TERadj'!BI2:BI100,"&gt;0",'TERadj'!C2:C100,"Europe"),SUMIFS('TERadj'!BI2:BI100,'TERadj'!BI2:BI100,"&gt;0",'TERadj'!C2:C100,"Europe"),"")</f>
        <v>0</v>
      </c>
      <c r="E6">
        <f>IF(SUMIFS('TERadj'!BI2:BI100,'TERadj'!BI2:BI100,"&gt;0",'TERadj'!C2:C100,"North America"),SUMIFS('TERadj'!BI2:BI100,'TERadj'!BI2:BI100,"&gt;0",'TERadj'!C2:C100,"North America"),"")</f>
        <v>0</v>
      </c>
      <c r="F6">
        <f>IF(SUMIFS('TERadj'!BI2:BI100,'TERadj'!BI2:BI100,"&gt;0",'TERadj'!C2:C100,"South America"),SUMIFS('TERadj'!BI2:BI100,'TERadj'!BI2:BI100,"&gt;0",'TERadj'!C2:C100,"South America"),"")</f>
        <v>0</v>
      </c>
      <c r="G6">
        <f>IF(SUMIFS('TERadj'!BI2:BI100,'TERadj'!BI2:BI100,"&gt;0",'TERadj'!C2:C100,"Africa"),SUMIFS('TERadj'!BI2:BI100,'TERadj'!BI2:BI100,"&gt;0",'TERadj'!C2:C100,"Africa"),"")</f>
        <v>0</v>
      </c>
      <c r="I6" t="s">
        <v>838</v>
      </c>
      <c r="J6" cm="1">
        <f t="array" ref="J6">IF(COUNT(_xlfn._xlws.FILTER('TERadj'!BI2:BI100, ('TERadj'!BI2:BI100&gt;0)*('TERadj'!C2:C100="Asia Pacific"))),COUNT(_xlfn._xlws.FILTER('TERadj'!BI2:BI100, ('TERadj'!BI2:BI100&gt;0)*('TERadj'!C2:C100="Asia Pacific"))),"")</f>
        <v>0</v>
      </c>
      <c r="K6" cm="1">
        <f t="array" ref="K6">IF(COUNT(_xlfn._xlws.FILTER('TERadj'!BI2:BI100, ('TERadj'!BI2:BI100&gt;0)*('TERadj'!C2:C100="Europe"))),COUNT(_xlfn._xlws.FILTER('TERadj'!BI2:BI100, ('TERadj'!BI2:BI100&gt;0)*('TERadj'!C2:C100="Europe"))),"")</f>
        <v>0</v>
      </c>
      <c r="L6" cm="1">
        <f t="array" ref="L6">IF(COUNT(_xlfn._xlws.FILTER('TERadj'!BI2:BI100, ('TERadj'!BI2:BI100&gt;0)*('TERadj'!C2:C100="North America"))),COUNT(_xlfn._xlws.FILTER('TERadj'!BI2:BI100, ('TERadj'!BI2:BI100&gt;0)*('TERadj'!C2:C100="North America"))),"")</f>
        <v>0</v>
      </c>
      <c r="M6" cm="1">
        <f t="array" ref="M6">IF(COUNT(_xlfn._xlws.FILTER('TERadj'!BI2:BI100, ('TERadj'!BI2:BI100&gt;0)*('TERadj'!C2:C100="South America"))),COUNT(_xlfn._xlws.FILTER('TERadj'!BI2:BI100, ('TERadj'!BI2:BI100&gt;0)*('TERadj'!C2:C100="South America"))),"")</f>
        <v>0</v>
      </c>
      <c r="N6" cm="1">
        <f t="array" ref="N6">IF(COUNT(_xlfn._xlws.FILTER('TERadj'!BI2:BI100, ('TERadj'!BI2:BI100&gt;0)*('TERadj'!C2:C100="Africa"))),COUNT(_xlfn._xlws.FILTER('TERadj'!BI2:BI100, ('TERadj'!BI2:BI100&gt;0)*('TERadj'!C2:C100="Africa"))),"")</f>
        <v>0</v>
      </c>
    </row>
    <row r="7" spans="1:14">
      <c r="B7" t="s">
        <v>886</v>
      </c>
      <c r="C7">
        <f>IF(SUMIFS('TERadj'!BJ2:BJ100,'TERadj'!BJ2:BJ100,"&gt;0",'TERadj'!C2:C100,"Asia Pacific"),SUMIFS('TERadj'!BJ2:BJ100,'TERadj'!BJ2:BJ100,"&gt;0",'TERadj'!C2:C100,"Asia Pacific"),"")</f>
        <v>0</v>
      </c>
      <c r="D7">
        <f>IF(SUMIFS('TERadj'!BJ2:BJ100,'TERadj'!BJ2:BJ100,"&gt;0",'TERadj'!C2:C100,"Europe"),SUMIFS('TERadj'!BJ2:BJ100,'TERadj'!BJ2:BJ100,"&gt;0",'TERadj'!C2:C100,"Europe"),"")</f>
        <v>0</v>
      </c>
      <c r="E7">
        <f>IF(SUMIFS('TERadj'!BJ2:BJ100,'TERadj'!BJ2:BJ100,"&gt;0",'TERadj'!C2:C100,"North America"),SUMIFS('TERadj'!BJ2:BJ100,'TERadj'!BJ2:BJ100,"&gt;0",'TERadj'!C2:C100,"North America"),"")</f>
        <v>0</v>
      </c>
      <c r="F7">
        <f>IF(SUMIFS('TERadj'!BJ2:BJ100,'TERadj'!BJ2:BJ100,"&gt;0",'TERadj'!C2:C100,"South America"),SUMIFS('TERadj'!BJ2:BJ100,'TERadj'!BJ2:BJ100,"&gt;0",'TERadj'!C2:C100,"South America"),"")</f>
        <v>0</v>
      </c>
      <c r="G7">
        <f>IF(SUMIFS('TERadj'!BJ2:BJ100,'TERadj'!BJ2:BJ100,"&gt;0",'TERadj'!C2:C100,"Africa"),SUMIFS('TERadj'!BJ2:BJ100,'TERadj'!BJ2:BJ100,"&gt;0",'TERadj'!C2:C100,"Africa"),"")</f>
        <v>0</v>
      </c>
      <c r="I7" t="s">
        <v>886</v>
      </c>
      <c r="J7" cm="1">
        <f t="array" ref="J7">IF(COUNT(_xlfn._xlws.FILTER('TERadj'!BJ2:BJ100, ('TERadj'!BJ2:BJ100&gt;0)*('TERadj'!C2:C100="Asia Pacific"))),COUNT(_xlfn._xlws.FILTER('TERadj'!BJ2:BJ100, ('TERadj'!BJ2:BJ100&gt;0)*('TERadj'!C2:C100="Asia Pacific"))),"")</f>
        <v>0</v>
      </c>
      <c r="K7" cm="1">
        <f t="array" ref="K7">IF(COUNT(_xlfn._xlws.FILTER('TERadj'!BJ2:BJ100, ('TERadj'!BJ2:BJ100&gt;0)*('TERadj'!C2:C100="Europe"))),COUNT(_xlfn._xlws.FILTER('TERadj'!BJ2:BJ100, ('TERadj'!BJ2:BJ100&gt;0)*('TERadj'!C2:C100="Europe"))),"")</f>
        <v>0</v>
      </c>
      <c r="L7" cm="1">
        <f t="array" ref="L7">IF(COUNT(_xlfn._xlws.FILTER('TERadj'!BJ2:BJ100, ('TERadj'!BJ2:BJ100&gt;0)*('TERadj'!C2:C100="North America"))),COUNT(_xlfn._xlws.FILTER('TERadj'!BJ2:BJ100, ('TERadj'!BJ2:BJ100&gt;0)*('TERadj'!C2:C100="North America"))),"")</f>
        <v>0</v>
      </c>
      <c r="M7" cm="1">
        <f t="array" ref="M7">IF(COUNT(_xlfn._xlws.FILTER('TERadj'!BJ2:BJ100, ('TERadj'!BJ2:BJ100&gt;0)*('TERadj'!C2:C100="South America"))),COUNT(_xlfn._xlws.FILTER('TERadj'!BJ2:BJ100, ('TERadj'!BJ2:BJ100&gt;0)*('TERadj'!C2:C100="South America"))),"")</f>
        <v>0</v>
      </c>
      <c r="N7" cm="1">
        <f t="array" ref="N7">IF(COUNT(_xlfn._xlws.FILTER('TERadj'!BJ2:BJ100, ('TERadj'!BJ2:BJ100&gt;0)*('TERadj'!C2:C100="Africa"))),COUNT(_xlfn._xlws.FILTER('TERadj'!BJ2:BJ100, ('TERadj'!BJ2:BJ100&gt;0)*('TERadj'!C2:C100="Africa"))),"")</f>
        <v>0</v>
      </c>
    </row>
    <row r="8" spans="1:14">
      <c r="B8" t="s">
        <v>841</v>
      </c>
      <c r="C8">
        <f>IF(SUMIFS('TERadj'!BK2:BK100,'TERadj'!BK2:BK100,"&gt;0",'TERadj'!C2:C100,"Asia Pacific"),SUMIFS('TERadj'!BK2:BK100,'TERadj'!BK2:BK100,"&gt;0",'TERadj'!C2:C100,"Asia Pacific"),"")</f>
        <v>0</v>
      </c>
      <c r="D8">
        <f>IF(SUMIFS('TERadj'!BK2:BK100,'TERadj'!BK2:BK100,"&gt;0",'TERadj'!C2:C100,"Europe"),SUMIFS('TERadj'!BK2:BK100,'TERadj'!BK2:BK100,"&gt;0",'TERadj'!C2:C100,"Europe"),"")</f>
        <v>0</v>
      </c>
      <c r="E8">
        <f>IF(SUMIFS('TERadj'!BK2:BK100,'TERadj'!BK2:BK100,"&gt;0",'TERadj'!C2:C100,"North America"),SUMIFS('TERadj'!BK2:BK100,'TERadj'!BK2:BK100,"&gt;0",'TERadj'!C2:C100,"North America"),"")</f>
        <v>0</v>
      </c>
      <c r="F8">
        <f>IF(SUMIFS('TERadj'!BK2:BK100,'TERadj'!BK2:BK100,"&gt;0",'TERadj'!C2:C100,"South America"),SUMIFS('TERadj'!BK2:BK100,'TERadj'!BK2:BK100,"&gt;0",'TERadj'!C2:C100,"South America"),"")</f>
        <v>0</v>
      </c>
      <c r="G8">
        <f>IF(SUMIFS('TERadj'!BK2:BK100,'TERadj'!BK2:BK100,"&gt;0",'TERadj'!C2:C100,"Africa"),SUMIFS('TERadj'!BK2:BK100,'TERadj'!BK2:BK100,"&gt;0",'TERadj'!C2:C100,"Africa"),"")</f>
        <v>0</v>
      </c>
      <c r="I8" t="s">
        <v>841</v>
      </c>
      <c r="J8" cm="1">
        <f t="array" ref="J8">IF(COUNT(_xlfn._xlws.FILTER('TERadj'!BK2:BK100, ('TERadj'!BK2:BK100&gt;0)*('TERadj'!C2:C100="Asia Pacific"))),COUNT(_xlfn._xlws.FILTER('TERadj'!BK2:BK100, ('TERadj'!BK2:BK100&gt;0)*('TERadj'!C2:C100="Asia Pacific"))),"")</f>
        <v>0</v>
      </c>
      <c r="K8" cm="1">
        <f t="array" ref="K8">IF(COUNT(_xlfn._xlws.FILTER('TERadj'!BK2:BK100, ('TERadj'!BK2:BK100&gt;0)*('TERadj'!C2:C100="Europe"))),COUNT(_xlfn._xlws.FILTER('TERadj'!BK2:BK100, ('TERadj'!BK2:BK100&gt;0)*('TERadj'!C2:C100="Europe"))),"")</f>
        <v>0</v>
      </c>
      <c r="L8" cm="1">
        <f t="array" ref="L8">IF(COUNT(_xlfn._xlws.FILTER('TERadj'!BK2:BK100, ('TERadj'!BK2:BK100&gt;0)*('TERadj'!C2:C100="North America"))),COUNT(_xlfn._xlws.FILTER('TERadj'!BK2:BK100, ('TERadj'!BK2:BK100&gt;0)*('TERadj'!C2:C100="North America"))),"")</f>
        <v>0</v>
      </c>
      <c r="M8" cm="1">
        <f t="array" ref="M8">IF(COUNT(_xlfn._xlws.FILTER('TERadj'!BK2:BK100, ('TERadj'!BK2:BK100&gt;0)*('TERadj'!C2:C100="South America"))),COUNT(_xlfn._xlws.FILTER('TERadj'!BK2:BK100, ('TERadj'!BK2:BK100&gt;0)*('TERadj'!C2:C100="South America"))),"")</f>
        <v>0</v>
      </c>
      <c r="N8" cm="1">
        <f t="array" ref="N8">IF(COUNT(_xlfn._xlws.FILTER('TERadj'!BK2:BK100, ('TERadj'!BK2:BK100&gt;0)*('TERadj'!C2:C100="Africa"))),COUNT(_xlfn._xlws.FILTER('TERadj'!BK2:BK100, ('TERadj'!BK2:BK100&gt;0)*('TERadj'!C2:C100="Africa"))),"")</f>
        <v>0</v>
      </c>
    </row>
    <row r="9" spans="1:14">
      <c r="B9" t="s">
        <v>898</v>
      </c>
      <c r="C9">
        <f>IF(SUMIFS('TERadj'!BL2:BL100,'TERadj'!BL2:BL100,"&gt;0",'TERadj'!C2:C100,"Asia Pacific"),SUMIFS('TERadj'!BL2:BL100,'TERadj'!BL2:BL100,"&gt;0",'TERadj'!C2:C100,"Asia Pacific"),"")</f>
        <v>0</v>
      </c>
      <c r="D9">
        <f>IF(SUMIFS('TERadj'!BL2:BL100,'TERadj'!BL2:BL100,"&gt;0",'TERadj'!C2:C100,"Europe"),SUMIFS('TERadj'!BL2:BL100,'TERadj'!BL2:BL100,"&gt;0",'TERadj'!C2:C100,"Europe"),"")</f>
        <v>0</v>
      </c>
      <c r="E9">
        <f>IF(SUMIFS('TERadj'!BL2:BL100,'TERadj'!BL2:BL100,"&gt;0",'TERadj'!C2:C100,"North America"),SUMIFS('TERadj'!BL2:BL100,'TERadj'!BL2:BL100,"&gt;0",'TERadj'!C2:C100,"North America"),"")</f>
        <v>0</v>
      </c>
      <c r="F9">
        <f>IF(SUMIFS('TERadj'!BL2:BL100,'TERadj'!BL2:BL100,"&gt;0",'TERadj'!C2:C100,"South America"),SUMIFS('TERadj'!BL2:BL100,'TERadj'!BL2:BL100,"&gt;0",'TERadj'!C2:C100,"South America"),"")</f>
        <v>0</v>
      </c>
      <c r="G9">
        <f>IF(SUMIFS('TERadj'!BL2:BL100,'TERadj'!BL2:BL100,"&gt;0",'TERadj'!C2:C100,"Africa"),SUMIFS('TERadj'!BL2:BL100,'TERadj'!BL2:BL100,"&gt;0",'TERadj'!C2:C100,"Africa"),"")</f>
        <v>0</v>
      </c>
      <c r="I9" t="s">
        <v>898</v>
      </c>
      <c r="J9" cm="1">
        <f t="array" ref="J9">IF(COUNT(_xlfn._xlws.FILTER('TERadj'!BL2:BL100, ('TERadj'!BL2:BL100&gt;0)*('TERadj'!C2:C100="Asia Pacific"))),COUNT(_xlfn._xlws.FILTER('TERadj'!BL2:BL100, ('TERadj'!BL2:BL100&gt;0)*('TERadj'!C2:C100="Asia Pacific"))),"")</f>
        <v>0</v>
      </c>
      <c r="K9" cm="1">
        <f t="array" ref="K9">IF(COUNT(_xlfn._xlws.FILTER('TERadj'!BL2:BL100, ('TERadj'!BL2:BL100&gt;0)*('TERadj'!C2:C100="Europe"))),COUNT(_xlfn._xlws.FILTER('TERadj'!BL2:BL100, ('TERadj'!BL2:BL100&gt;0)*('TERadj'!C2:C100="Europe"))),"")</f>
        <v>0</v>
      </c>
      <c r="L9" cm="1">
        <f t="array" ref="L9">IF(COUNT(_xlfn._xlws.FILTER('TERadj'!BL2:BL100, ('TERadj'!BL2:BL100&gt;0)*('TERadj'!C2:C100="North America"))),COUNT(_xlfn._xlws.FILTER('TERadj'!BL2:BL100, ('TERadj'!BL2:BL100&gt;0)*('TERadj'!C2:C100="North America"))),"")</f>
        <v>0</v>
      </c>
      <c r="M9" cm="1">
        <f t="array" ref="M9">IF(COUNT(_xlfn._xlws.FILTER('TERadj'!BL2:BL100, ('TERadj'!BL2:BL100&gt;0)*('TERadj'!C2:C100="South America"))),COUNT(_xlfn._xlws.FILTER('TERadj'!BL2:BL100, ('TERadj'!BL2:BL100&gt;0)*('TERadj'!C2:C100="South America"))),"")</f>
        <v>0</v>
      </c>
      <c r="N9" cm="1">
        <f t="array" ref="N9">IF(COUNT(_xlfn._xlws.FILTER('TERadj'!BL2:BL100, ('TERadj'!BL2:BL100&gt;0)*('TERadj'!C2:C100="Africa"))),COUNT(_xlfn._xlws.FILTER('TERadj'!BL2:BL100, ('TERadj'!BL2:BL100&gt;0)*('TERadj'!C2:C100="Africa"))),"")</f>
        <v>0</v>
      </c>
    </row>
    <row r="11" spans="1:14">
      <c r="B11" t="s">
        <v>915</v>
      </c>
      <c r="C11" t="s">
        <v>839</v>
      </c>
      <c r="D11" t="s">
        <v>840</v>
      </c>
      <c r="E11" t="s">
        <v>838</v>
      </c>
      <c r="F11" t="s">
        <v>841</v>
      </c>
      <c r="G11" t="s">
        <v>898</v>
      </c>
    </row>
    <row r="12" spans="1:14">
      <c r="B12" t="s">
        <v>839</v>
      </c>
      <c r="C12" s="6">
        <f>IF(SUM(J4:J9) &gt; 0, IF(AND(SUM(C4:C9)&gt;0, ISNUMBER(C4)),C4/SUM(C4:C9), ""), "")</f>
        <v>0</v>
      </c>
      <c r="D12" s="6">
        <f>IF(SUM(J4:J9) &gt; 0, IF(AND(SUM(D4:D9)&gt;0, ISNUMBER(D4)),D4/SUM(D4:D9), ""), "")</f>
        <v>0</v>
      </c>
      <c r="E12" s="6">
        <f>IF(SUM(J4:J9) &gt; 0, IF(AND(SUM(E4:E9)&gt;0, ISNUMBER(E4)),E4/SUM(E4:E9), ""), "")</f>
        <v>0</v>
      </c>
      <c r="F12" s="6">
        <f>IF(SUM(J4:J9) &gt; 0, IF(AND(SUM(F4:F9)&gt;0, ISNUMBER(F4)),F4/SUM(F4:F9), ""), "")</f>
        <v>0</v>
      </c>
      <c r="G12" s="6">
        <f>IF(SUM(J4:J9) &gt; 0, IF(AND(SUM(G4:G9)&gt;0, ISNUMBER(G4)),G4/SUM(G4:G9), ""), "")</f>
        <v>0</v>
      </c>
    </row>
    <row r="13" spans="1:14">
      <c r="B13" t="s">
        <v>840</v>
      </c>
      <c r="C13" s="6">
        <f>IF(SUM(J4:J9) &gt; 0, IF(AND(SUM(C4:C9)&gt;0, ISNUMBER(C5)),C5/SUM(C4:C9), ""), "")</f>
        <v>0</v>
      </c>
      <c r="D13" s="6">
        <f>IF(SUM(J4:J9) &gt; 0, IF(AND(SUM(D4:D9)&gt;0, ISNUMBER(D5)),D5/SUM(D4:D9), ""), "")</f>
        <v>0</v>
      </c>
      <c r="E13" s="6">
        <f>IF(SUM(J4:J9) &gt; 0, IF(AND(SUM(E4:E9)&gt;0, ISNUMBER(E5)),E5/SUM(E4:E9), ""), "")</f>
        <v>0</v>
      </c>
      <c r="F13" s="6">
        <f>IF(SUM(J4:J9) &gt; 0, IF(AND(SUM(F4:F9)&gt;0, ISNUMBER(F5)),F5/SUM(F4:F9), ""), "")</f>
        <v>0</v>
      </c>
      <c r="G13" s="6">
        <f>IF(SUM(J4:J9) &gt; 0, IF(AND(SUM(G4:G9)&gt;0, ISNUMBER(G5)),G5/SUM(G4:G9), ""), "")</f>
        <v>0</v>
      </c>
    </row>
    <row r="14" spans="1:14">
      <c r="B14" t="s">
        <v>838</v>
      </c>
      <c r="C14" s="6">
        <f>IF(SUM(J4:J9) &gt; 0, IF(AND(SUM(C4:C9)&gt;0, ISNUMBER(C6)),C6/SUM(C4:C9), ""), "")</f>
        <v>0</v>
      </c>
      <c r="D14" s="6">
        <f>IF(SUM(J4:J9) &gt; 0, IF(AND(SUM(D4:D9)&gt;0, ISNUMBER(D6)),D6/SUM(D4:D9), ""), "")</f>
        <v>0</v>
      </c>
      <c r="E14" s="6">
        <f>IF(SUM(J4:J9) &gt; 0, IF(AND(SUM(E4:E9)&gt;0, ISNUMBER(E6)),E6/SUM(E4:E9), ""), "")</f>
        <v>0</v>
      </c>
      <c r="F14" s="6">
        <f>IF(SUM(J4:J9) &gt; 0, IF(AND(SUM(F4:F9)&gt;0, ISNUMBER(F6)),F6/SUM(F4:F9), ""), "")</f>
        <v>0</v>
      </c>
      <c r="G14" s="6">
        <f>IF(SUM(J4:J9) &gt; 0, IF(AND(SUM(G4:G9)&gt;0, ISNUMBER(G6)),G6/SUM(G4:G9), ""), "")</f>
        <v>0</v>
      </c>
    </row>
    <row r="15" spans="1:14">
      <c r="B15" t="s">
        <v>886</v>
      </c>
      <c r="C15" s="6">
        <f>IF(SUM(J4:J9) &gt; 0, IF(AND(SUM(C4:C9)&gt;0, ISNUMBER(C7)),C7/SUM(C4:C9), ""), "")</f>
        <v>0</v>
      </c>
      <c r="D15" s="6">
        <f>IF(SUM(J4:J9) &gt; 0, IF(AND(SUM(D4:D9)&gt;0, ISNUMBER(D7)),D7/SUM(D4:D9), ""), "")</f>
        <v>0</v>
      </c>
      <c r="E15" s="6">
        <f>IF(SUM(J4:J9) &gt; 0, IF(AND(SUM(E4:E9)&gt;0, ISNUMBER(E7)),E7/SUM(E4:E9), ""), "")</f>
        <v>0</v>
      </c>
      <c r="F15" s="6">
        <f>IF(SUM(J4:J9) &gt; 0, IF(AND(SUM(F4:F9)&gt;0, ISNUMBER(F7)),F7/SUM(F4:F9), ""), "")</f>
        <v>0</v>
      </c>
      <c r="G15" s="6">
        <f>IF(SUM(J4:J9) &gt; 0, IF(AND(SUM(G4:G9)&gt;0, ISNUMBER(G7)),G7/SUM(G4:G9), ""), "")</f>
        <v>0</v>
      </c>
    </row>
    <row r="16" spans="1:14">
      <c r="B16" t="s">
        <v>841</v>
      </c>
      <c r="C16" s="6">
        <f>IF(SUM(J4:J9) &gt; 0, IF(AND(SUM(C4:C9)&gt;0, ISNUMBER(C8)),C8/SUM(C4:C9), ""), "")</f>
        <v>0</v>
      </c>
      <c r="D16" s="6">
        <f>IF(SUM(J4:J9) &gt; 0, IF(AND(SUM(D4:D9)&gt;0, ISNUMBER(D8)),D8/SUM(D4:D9), ""), "")</f>
        <v>0</v>
      </c>
      <c r="E16" s="6">
        <f>IF(SUM(J4:J9) &gt; 0, IF(AND(SUM(E4:E9)&gt;0, ISNUMBER(E8)),E8/SUM(E4:E9), ""), "")</f>
        <v>0</v>
      </c>
      <c r="F16" s="6">
        <f>IF(SUM(J4:J9) &gt; 0, IF(AND(SUM(F4:F9)&gt;0, ISNUMBER(F8)),F8/SUM(F4:F9), ""), "")</f>
        <v>0</v>
      </c>
      <c r="G16" s="6">
        <f>IF(SUM(J4:J9) &gt; 0, IF(AND(SUM(G4:G9)&gt;0, ISNUMBER(G8)),G8/SUM(G4:G9), ""), "")</f>
        <v>0</v>
      </c>
    </row>
    <row r="17" spans="2:7">
      <c r="B17" t="s">
        <v>898</v>
      </c>
      <c r="C17" s="6">
        <f>IF(SUM(J4:J9) &gt; 0, IF(AND(SUM(C4:C9)&gt;0, ISNUMBER(C9)),C9/SUM(C4:C9), ""), "")</f>
        <v>0</v>
      </c>
      <c r="D17" s="6">
        <f>IF(SUM(J4:J9) &gt; 0, IF(AND(SUM(D4:D9)&gt;0, ISNUMBER(D9)),D9/SUM(D4:D9), ""), "")</f>
        <v>0</v>
      </c>
      <c r="E17" s="6">
        <f>IF(SUM(J4:J9) &gt; 0, IF(AND(SUM(E4:E9)&gt;0, ISNUMBER(E9)),E9/SUM(E4:E9), ""), "")</f>
        <v>0</v>
      </c>
      <c r="F17" s="6">
        <f>IF(SUM(J4:J9) &gt; 0, IF(AND(SUM(F4:F9)&gt;0, ISNUMBER(F9)),F9/SUM(F4:F9), ""), "")</f>
        <v>0</v>
      </c>
      <c r="G17" s="6">
        <f>IF(SUM(J4:J9) &gt; 0, IF(AND(SUM(G4:G9)&gt;0, ISNUMBER(G9)),G9/SUM(G4:G9), ""), "")</f>
        <v>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033A0"/>
  </sheetPr>
  <dimension ref="A1:P29"/>
  <sheetViews>
    <sheetView workbookViewId="0"/>
  </sheetViews>
  <sheetFormatPr defaultRowHeight="15"/>
  <sheetData>
    <row r="1" spans="1:16" s="3" customFormat="1" ht="40" customHeight="1">
      <c r="A1" s="3" t="s">
        <v>1002</v>
      </c>
    </row>
    <row r="3" spans="1:16">
      <c r="B3" t="s">
        <v>1003</v>
      </c>
      <c r="C3" t="s">
        <v>1004</v>
      </c>
      <c r="D3" t="s">
        <v>934</v>
      </c>
      <c r="E3" t="s">
        <v>935</v>
      </c>
      <c r="F3" t="s">
        <v>878</v>
      </c>
      <c r="G3" t="s">
        <v>936</v>
      </c>
      <c r="H3" t="s">
        <v>881</v>
      </c>
      <c r="J3" t="s">
        <v>1003</v>
      </c>
      <c r="K3" t="s">
        <v>1004</v>
      </c>
      <c r="L3" t="s">
        <v>934</v>
      </c>
      <c r="M3" t="s">
        <v>935</v>
      </c>
      <c r="N3" t="s">
        <v>878</v>
      </c>
      <c r="O3" t="s">
        <v>936</v>
      </c>
      <c r="P3" t="s">
        <v>881</v>
      </c>
    </row>
    <row r="4" spans="1:16">
      <c r="B4" t="s">
        <v>981</v>
      </c>
      <c r="C4">
        <v>76.7677057957649</v>
      </c>
      <c r="D4">
        <v>29.0092299785614</v>
      </c>
      <c r="E4">
        <v>5.03321443682909</v>
      </c>
      <c r="F4">
        <v>10.308365404129</v>
      </c>
      <c r="G4">
        <v>7.47647020512819</v>
      </c>
      <c r="H4">
        <v>11.3295902175903</v>
      </c>
      <c r="J4" t="s">
        <v>991</v>
      </c>
      <c r="K4">
        <v>104</v>
      </c>
      <c r="L4">
        <v>51</v>
      </c>
      <c r="M4">
        <v>14</v>
      </c>
      <c r="N4">
        <v>34</v>
      </c>
      <c r="O4">
        <v>13</v>
      </c>
      <c r="P4">
        <v>24</v>
      </c>
    </row>
    <row r="5" spans="1:16">
      <c r="B5" t="s">
        <v>982</v>
      </c>
      <c r="C5">
        <v>71.5096249990463</v>
      </c>
      <c r="D5">
        <v>33.9122059584856</v>
      </c>
      <c r="E5">
        <v>7.51538654136658</v>
      </c>
      <c r="F5">
        <v>15.3170029363632</v>
      </c>
      <c r="G5">
        <v>8.01712059783936</v>
      </c>
      <c r="H5">
        <v>22.0864956188202</v>
      </c>
      <c r="J5" t="s">
        <v>992</v>
      </c>
      <c r="K5">
        <v>120</v>
      </c>
      <c r="L5">
        <v>58</v>
      </c>
      <c r="M5">
        <v>14</v>
      </c>
      <c r="N5">
        <v>39</v>
      </c>
      <c r="O5">
        <v>11</v>
      </c>
      <c r="P5">
        <v>22</v>
      </c>
    </row>
    <row r="6" spans="1:16">
      <c r="B6" t="s">
        <v>983</v>
      </c>
      <c r="C6">
        <v>95.30891492271419</v>
      </c>
      <c r="D6">
        <v>43.3469286737442</v>
      </c>
      <c r="E6">
        <v>6.30082507514954</v>
      </c>
      <c r="F6">
        <v>16.8531168251038</v>
      </c>
      <c r="G6">
        <v>2.69185989809036</v>
      </c>
      <c r="H6">
        <v>32.0383303451538</v>
      </c>
      <c r="J6" t="s">
        <v>993</v>
      </c>
      <c r="K6">
        <v>107</v>
      </c>
      <c r="L6">
        <v>48</v>
      </c>
      <c r="M6">
        <v>14</v>
      </c>
      <c r="N6">
        <v>38</v>
      </c>
      <c r="O6">
        <v>10</v>
      </c>
      <c r="P6">
        <v>16</v>
      </c>
    </row>
    <row r="7" spans="1:16">
      <c r="B7" t="s">
        <v>984</v>
      </c>
      <c r="C7">
        <v>73.91870949888229</v>
      </c>
      <c r="D7">
        <v>21.179729724884</v>
      </c>
      <c r="E7">
        <v>2.21704605102539</v>
      </c>
      <c r="F7">
        <v>7.29521664237976</v>
      </c>
      <c r="G7">
        <v>3.65702253723145</v>
      </c>
      <c r="H7">
        <v>14.636416721344</v>
      </c>
      <c r="J7" t="s">
        <v>994</v>
      </c>
      <c r="K7">
        <v>70</v>
      </c>
      <c r="L7">
        <v>34</v>
      </c>
      <c r="M7">
        <v>7</v>
      </c>
      <c r="N7">
        <v>28</v>
      </c>
      <c r="O7">
        <v>4</v>
      </c>
      <c r="P7">
        <v>23</v>
      </c>
    </row>
    <row r="8" spans="1:16">
      <c r="B8" t="s">
        <v>985</v>
      </c>
      <c r="C8">
        <v>104.086852690697</v>
      </c>
      <c r="D8">
        <v>35.2352861061096</v>
      </c>
      <c r="E8">
        <v>10.4678399353027</v>
      </c>
      <c r="F8">
        <v>13.9584215164185</v>
      </c>
      <c r="G8">
        <v>1.46711474609375</v>
      </c>
      <c r="H8">
        <v>20.9277007904053</v>
      </c>
      <c r="J8" t="s">
        <v>995</v>
      </c>
      <c r="K8">
        <v>84</v>
      </c>
      <c r="L8">
        <v>38</v>
      </c>
      <c r="M8">
        <v>8</v>
      </c>
      <c r="N8">
        <v>19</v>
      </c>
      <c r="O8">
        <v>2</v>
      </c>
      <c r="P8">
        <v>23</v>
      </c>
    </row>
    <row r="9" spans="1:16">
      <c r="B9" t="s">
        <v>986</v>
      </c>
      <c r="C9">
        <v>91.3612117986679</v>
      </c>
      <c r="D9">
        <v>34.738341966629</v>
      </c>
      <c r="E9">
        <v>6.15876260471344</v>
      </c>
      <c r="F9">
        <v>17.2572841472626</v>
      </c>
      <c r="G9">
        <v>1.00551385498047</v>
      </c>
      <c r="H9">
        <v>13.3036600399017</v>
      </c>
      <c r="J9" t="s">
        <v>996</v>
      </c>
      <c r="K9">
        <v>87</v>
      </c>
      <c r="L9">
        <v>37</v>
      </c>
      <c r="M9">
        <v>7</v>
      </c>
      <c r="N9">
        <v>26</v>
      </c>
      <c r="O9">
        <v>4</v>
      </c>
      <c r="P9">
        <v>19</v>
      </c>
    </row>
    <row r="10" spans="1:16">
      <c r="B10" t="s">
        <v>987</v>
      </c>
      <c r="C10">
        <v>26.8074838497639</v>
      </c>
      <c r="D10">
        <v>12.5950258247852</v>
      </c>
      <c r="E10">
        <v>2.91651965713501</v>
      </c>
      <c r="F10">
        <v>9.15586828613281</v>
      </c>
      <c r="G10">
        <v>1.33433003330231</v>
      </c>
      <c r="H10">
        <v>16.2798261232376</v>
      </c>
      <c r="J10" t="s">
        <v>997</v>
      </c>
      <c r="K10">
        <v>51</v>
      </c>
      <c r="L10">
        <v>27</v>
      </c>
      <c r="M10">
        <v>6</v>
      </c>
      <c r="N10">
        <v>19</v>
      </c>
      <c r="O10">
        <v>4</v>
      </c>
      <c r="P10">
        <v>12</v>
      </c>
    </row>
    <row r="11" spans="1:16">
      <c r="B11" t="s">
        <v>988</v>
      </c>
      <c r="C11">
        <f>IF(SUMIFS('TERadj'!N2:N100,'TERadj'!N2:N100,"&gt;0")/1000,SUMIFS('TERadj'!N2:N100,'TERadj'!N2:N100,"&gt;0")/1000,"")</f>
        <v>0</v>
      </c>
      <c r="D11">
        <f>IF(SUMIFS('TERadj'!O2:O100,'TERadj'!O2:O100,"&gt;0")/1000,SUMIFS('TERadj'!O2:O100,'TERadj'!O2:O100,"&gt;0")/1000,"")</f>
        <v>0</v>
      </c>
      <c r="E11">
        <f>IF(SUMIFS('TERadj'!P2:P100,'TERadj'!P2:P100,"&gt;0")/1000,SUMIFS('TERadj'!P2:P100,'TERadj'!P2:P100,"&gt;0")/1000,"")</f>
        <v>0</v>
      </c>
      <c r="F11">
        <f>IF(SUMIFS('TERadj'!Q2:Q100,'TERadj'!Q2:Q100,"&gt;0")/1000,SUMIFS('TERadj'!Q2:Q100,'TERadj'!Q2:Q100,"&gt;0")/1000,"")</f>
        <v>0</v>
      </c>
      <c r="G11">
        <f>IF(SUMIFS('TERadj'!R2:R100,'TERadj'!R2:R100,"&gt;0")/1000,SUMIFS('TERadj'!R2:R100,'TERadj'!R2:R100,"&gt;0")/1000,"")</f>
        <v>0</v>
      </c>
      <c r="H11">
        <f>IF(SUMIFS('TERadj'!S2:S100,'TERadj'!S2:S100,"&gt;0")/1000,SUMIFS('TERadj'!S2:S100,'TERadj'!S2:S100,"&gt;0")/1000,"")</f>
        <v>0</v>
      </c>
      <c r="J11" t="s">
        <v>998</v>
      </c>
      <c r="K11" cm="1">
        <f t="array" ref="K11">IF(COUNT(_xlfn._xlws.FILTER('TERadj'!N2:N100, ('TERadj'!N2:N100&gt;0))),COUNT(_xlfn._xlws.FILTER('TERadj'!N2:N100, ('TERadj'!N2:N100&gt;0))),"")</f>
        <v>0</v>
      </c>
      <c r="L11" cm="1">
        <f t="array" ref="L11">IF(COUNT(_xlfn._xlws.FILTER('TERadj'!O2:O100, ('TERadj'!O2:O100&gt;0))),COUNT(_xlfn._xlws.FILTER('TERadj'!O2:O100, ('TERadj'!O2:O100&gt;0))),"")</f>
        <v>0</v>
      </c>
      <c r="M11" cm="1">
        <f t="array" ref="M11">IF(COUNT(_xlfn._xlws.FILTER('TERadj'!P2:P100, ('TERadj'!P2:P100&gt;0))),COUNT(_xlfn._xlws.FILTER('TERadj'!P2:P100, ('TERadj'!P2:P100&gt;0))),"")</f>
        <v>0</v>
      </c>
      <c r="N11" cm="1">
        <f t="array" ref="N11">IF(COUNT(_xlfn._xlws.FILTER('TERadj'!Q2:Q100, ('TERadj'!Q2:Q100&gt;0))),COUNT(_xlfn._xlws.FILTER('TERadj'!Q2:Q100, ('TERadj'!Q2:Q100&gt;0))),"")</f>
        <v>0</v>
      </c>
      <c r="O11" cm="1">
        <f t="array" ref="O11">IF(COUNT(_xlfn._xlws.FILTER('TERadj'!R2:R100, ('TERadj'!R2:R100&gt;0))),COUNT(_xlfn._xlws.FILTER('TERadj'!R2:R100, ('TERadj'!R2:R100&gt;0))),"")</f>
        <v>0</v>
      </c>
      <c r="P11" cm="1">
        <f t="array" ref="P11">IF(COUNT(_xlfn._xlws.FILTER('TERadj'!S2:S100, ('TERadj'!S2:S100&gt;0))),COUNT(_xlfn._xlws.FILTER('TERadj'!S2:S100, ('TERadj'!S2:S100&gt;0))),"")</f>
        <v>0</v>
      </c>
    </row>
    <row r="21" spans="2:8">
      <c r="B21" t="s">
        <v>1003</v>
      </c>
      <c r="C21" t="s">
        <v>1004</v>
      </c>
      <c r="D21" t="s">
        <v>934</v>
      </c>
      <c r="E21" t="s">
        <v>935</v>
      </c>
      <c r="F21" t="s">
        <v>878</v>
      </c>
      <c r="G21" t="s">
        <v>936</v>
      </c>
      <c r="H21" t="s">
        <v>881</v>
      </c>
    </row>
    <row r="22" spans="2:8">
      <c r="B22" t="s">
        <v>945</v>
      </c>
      <c r="C22" s="6">
        <f>IF(SUM(K4:P4) &gt; 0, IF(AND(SUM(C4:I4)&gt;0, ISNUMBER(C4)),C4/SUM(C4:I4), ""), "")</f>
        <v>0</v>
      </c>
      <c r="D22" s="6">
        <f>IF(SUM(K4:P4) &gt; 0, IF(AND(SUM(C4:I4)&gt;0, ISNUMBER(D4)),D4/SUM(C4:I4), ""), "")</f>
        <v>0</v>
      </c>
      <c r="E22" s="6">
        <f>IF(SUM(K4:P4) &gt; 0, IF(AND(SUM(C4:I4)&gt;0, ISNUMBER(E4)),E4/SUM(C4:I4), ""), "")</f>
        <v>0</v>
      </c>
      <c r="F22" s="6">
        <f>IF(SUM(K4:P4) &gt; 0, IF(AND(SUM(C4:I4)&gt;0, ISNUMBER(F4)),F4/SUM(C4:I4), ""), "")</f>
        <v>0</v>
      </c>
      <c r="G22" s="6">
        <f>IF(SUM(K4:P4) &gt; 0, IF(AND(SUM(C4:I4)&gt;0, ISNUMBER(G4)),G4/SUM(C4:I4), ""), "")</f>
        <v>0</v>
      </c>
      <c r="H22" s="6">
        <f>IF(SUM(K4:P4) &gt; 0, IF(AND(SUM(C4:I4)&gt;0, ISNUMBER(H4)),H4/SUM(C4:I4), ""), "")</f>
        <v>0</v>
      </c>
    </row>
    <row r="23" spans="2:8">
      <c r="B23" t="s">
        <v>946</v>
      </c>
      <c r="C23" s="6">
        <f>IF(SUM(K5:P5) &gt; 0, IF(AND(SUM(C5:I5)&gt;0, ISNUMBER(C5)),C5/SUM(C5:I5), ""), "")</f>
        <v>0</v>
      </c>
      <c r="D23" s="6">
        <f>IF(SUM(K5:P5) &gt; 0, IF(AND(SUM(C5:I5)&gt;0, ISNUMBER(D5)),D5/SUM(C5:I5), ""), "")</f>
        <v>0</v>
      </c>
      <c r="E23" s="6">
        <f>IF(SUM(K5:P5) &gt; 0, IF(AND(SUM(C5:I5)&gt;0, ISNUMBER(E5)),E5/SUM(C5:I5), ""), "")</f>
        <v>0</v>
      </c>
      <c r="F23" s="6">
        <f>IF(SUM(K5:P5) &gt; 0, IF(AND(SUM(C5:I5)&gt;0, ISNUMBER(F5)),F5/SUM(C5:I5), ""), "")</f>
        <v>0</v>
      </c>
      <c r="G23" s="6">
        <f>IF(SUM(K5:P5) &gt; 0, IF(AND(SUM(C5:I5)&gt;0, ISNUMBER(G5)),G5/SUM(C5:I5), ""), "")</f>
        <v>0</v>
      </c>
      <c r="H23" s="6">
        <f>IF(SUM(K5:P5) &gt; 0, IF(AND(SUM(C5:I5)&gt;0, ISNUMBER(H5)),H5/SUM(C5:I5), ""), "")</f>
        <v>0</v>
      </c>
    </row>
    <row r="24" spans="2:8">
      <c r="B24" t="s">
        <v>947</v>
      </c>
      <c r="C24" s="6">
        <f>IF(SUM(K6:P6) &gt; 0, IF(AND(SUM(C6:I6)&gt;0, ISNUMBER(C6)),C6/SUM(C6:I6), ""), "")</f>
        <v>0</v>
      </c>
      <c r="D24" s="6">
        <f>IF(SUM(K6:P6) &gt; 0, IF(AND(SUM(C6:I6)&gt;0, ISNUMBER(D6)),D6/SUM(C6:I6), ""), "")</f>
        <v>0</v>
      </c>
      <c r="E24" s="6">
        <f>IF(SUM(K6:P6) &gt; 0, IF(AND(SUM(C6:I6)&gt;0, ISNUMBER(E6)),E6/SUM(C6:I6), ""), "")</f>
        <v>0</v>
      </c>
      <c r="F24" s="6">
        <f>IF(SUM(K6:P6) &gt; 0, IF(AND(SUM(C6:I6)&gt;0, ISNUMBER(F6)),F6/SUM(C6:I6), ""), "")</f>
        <v>0</v>
      </c>
      <c r="G24" s="6">
        <f>IF(SUM(K6:P6) &gt; 0, IF(AND(SUM(C6:I6)&gt;0, ISNUMBER(G6)),G6/SUM(C6:I6), ""), "")</f>
        <v>0</v>
      </c>
      <c r="H24" s="6">
        <f>IF(SUM(K6:P6) &gt; 0, IF(AND(SUM(C6:I6)&gt;0, ISNUMBER(H6)),H6/SUM(C6:I6), ""), "")</f>
        <v>0</v>
      </c>
    </row>
    <row r="25" spans="2:8">
      <c r="B25" t="s">
        <v>948</v>
      </c>
      <c r="C25" s="6">
        <f>IF(SUM(K7:P7) &gt; 0, IF(AND(SUM(C7:I7)&gt;0, ISNUMBER(C7)),C7/SUM(C7:I7), ""), "")</f>
        <v>0</v>
      </c>
      <c r="D25" s="6">
        <f>IF(SUM(K7:P7) &gt; 0, IF(AND(SUM(C7:I7)&gt;0, ISNUMBER(D7)),D7/SUM(C7:I7), ""), "")</f>
        <v>0</v>
      </c>
      <c r="E25" s="6">
        <f>IF(SUM(K7:P7) &gt; 0, IF(AND(SUM(C7:I7)&gt;0, ISNUMBER(E7)),E7/SUM(C7:I7), ""), "")</f>
        <v>0</v>
      </c>
      <c r="F25" s="6">
        <f>IF(SUM(K7:P7) &gt; 0, IF(AND(SUM(C7:I7)&gt;0, ISNUMBER(F7)),F7/SUM(C7:I7), ""), "")</f>
        <v>0</v>
      </c>
      <c r="G25" s="6">
        <f>IF(SUM(K7:P7) &gt; 0, IF(AND(SUM(C7:I7)&gt;0, ISNUMBER(G7)),G7/SUM(C7:I7), ""), "")</f>
        <v>0</v>
      </c>
      <c r="H25" s="6">
        <f>IF(SUM(K7:P7) &gt; 0, IF(AND(SUM(C7:I7)&gt;0, ISNUMBER(H7)),H7/SUM(C7:I7), ""), "")</f>
        <v>0</v>
      </c>
    </row>
    <row r="26" spans="2:8">
      <c r="B26" t="s">
        <v>949</v>
      </c>
      <c r="C26" s="6">
        <f>IF(SUM(K8:P8) &gt; 0, IF(AND(SUM(C8:I8)&gt;0, ISNUMBER(C8)),C8/SUM(C8:I8), ""), "")</f>
        <v>0</v>
      </c>
      <c r="D26" s="6">
        <f>IF(SUM(K8:P8) &gt; 0, IF(AND(SUM(C8:I8)&gt;0, ISNUMBER(D8)),D8/SUM(C8:I8), ""), "")</f>
        <v>0</v>
      </c>
      <c r="E26" s="6">
        <f>IF(SUM(K8:P8) &gt; 0, IF(AND(SUM(C8:I8)&gt;0, ISNUMBER(E8)),E8/SUM(C8:I8), ""), "")</f>
        <v>0</v>
      </c>
      <c r="F26" s="6">
        <f>IF(SUM(K8:P8) &gt; 0, IF(AND(SUM(C8:I8)&gt;0, ISNUMBER(F8)),F8/SUM(C8:I8), ""), "")</f>
        <v>0</v>
      </c>
      <c r="G26" s="6">
        <f>IF(SUM(K8:P8) &gt; 0, IF(AND(SUM(C8:I8)&gt;0, ISNUMBER(G8)),G8/SUM(C8:I8), ""), "")</f>
        <v>0</v>
      </c>
      <c r="H26" s="6">
        <f>IF(SUM(K8:P8) &gt; 0, IF(AND(SUM(C8:I8)&gt;0, ISNUMBER(H8)),H8/SUM(C8:I8), ""), "")</f>
        <v>0</v>
      </c>
    </row>
    <row r="27" spans="2:8">
      <c r="B27" t="s">
        <v>950</v>
      </c>
      <c r="C27" s="6">
        <f>IF(SUM(K9:P9) &gt; 0, IF(AND(SUM(C9:I9)&gt;0, ISNUMBER(C9)),C9/SUM(C9:I9), ""), "")</f>
        <v>0</v>
      </c>
      <c r="D27" s="6">
        <f>IF(SUM(K9:P9) &gt; 0, IF(AND(SUM(C9:I9)&gt;0, ISNUMBER(D9)),D9/SUM(C9:I9), ""), "")</f>
        <v>0</v>
      </c>
      <c r="E27" s="6">
        <f>IF(SUM(K9:P9) &gt; 0, IF(AND(SUM(C9:I9)&gt;0, ISNUMBER(E9)),E9/SUM(C9:I9), ""), "")</f>
        <v>0</v>
      </c>
      <c r="F27" s="6">
        <f>IF(SUM(K9:P9) &gt; 0, IF(AND(SUM(C9:I9)&gt;0, ISNUMBER(F9)),F9/SUM(C9:I9), ""), "")</f>
        <v>0</v>
      </c>
      <c r="G27" s="6">
        <f>IF(SUM(K9:P9) &gt; 0, IF(AND(SUM(C9:I9)&gt;0, ISNUMBER(G9)),G9/SUM(C9:I9), ""), "")</f>
        <v>0</v>
      </c>
      <c r="H27" s="6">
        <f>IF(SUM(K9:P9) &gt; 0, IF(AND(SUM(C9:I9)&gt;0, ISNUMBER(H9)),H9/SUM(C9:I9), ""), "")</f>
        <v>0</v>
      </c>
    </row>
    <row r="28" spans="2:8">
      <c r="B28" t="s">
        <v>931</v>
      </c>
      <c r="C28" s="6">
        <f>IF(SUM(K10:P10) &gt; 0, IF(AND(SUM(C10:I10)&gt;0, ISNUMBER(C10)),C10/SUM(C10:I10), ""), "")</f>
        <v>0</v>
      </c>
      <c r="D28" s="6">
        <f>IF(SUM(K10:P10) &gt; 0, IF(AND(SUM(C10:I10)&gt;0, ISNUMBER(D10)),D10/SUM(C10:I10), ""), "")</f>
        <v>0</v>
      </c>
      <c r="E28" s="6">
        <f>IF(SUM(K10:P10) &gt; 0, IF(AND(SUM(C10:I10)&gt;0, ISNUMBER(E10)),E10/SUM(C10:I10), ""), "")</f>
        <v>0</v>
      </c>
      <c r="F28" s="6">
        <f>IF(SUM(K10:P10) &gt; 0, IF(AND(SUM(C10:I10)&gt;0, ISNUMBER(F10)),F10/SUM(C10:I10), ""), "")</f>
        <v>0</v>
      </c>
      <c r="G28" s="6">
        <f>IF(SUM(K10:P10) &gt; 0, IF(AND(SUM(C10:I10)&gt;0, ISNUMBER(G10)),G10/SUM(C10:I10), ""), "")</f>
        <v>0</v>
      </c>
      <c r="H28" s="6">
        <f>IF(SUM(K10:P10) &gt; 0, IF(AND(SUM(C10:I10)&gt;0, ISNUMBER(H10)),H10/SUM(C10:I10), ""), "")</f>
        <v>0</v>
      </c>
    </row>
    <row r="29" spans="2:8">
      <c r="B29" t="s">
        <v>932</v>
      </c>
      <c r="C29" s="6">
        <f>IF(SUM(K11:P11) &gt; 0, IF(AND(SUM(C11:I11)&gt;0, ISNUMBER(C11)),C11/SUM(C11:I11), ""), "")</f>
        <v>0</v>
      </c>
      <c r="D29" s="6">
        <f>IF(SUM(K11:P11) &gt; 0, IF(AND(SUM(C11:I11)&gt;0, ISNUMBER(D11)),D11/SUM(C11:I11), ""), "")</f>
        <v>0</v>
      </c>
      <c r="E29" s="6">
        <f>IF(SUM(K11:P11) &gt; 0, IF(AND(SUM(C11:I11)&gt;0, ISNUMBER(E11)),E11/SUM(C11:I11), ""), "")</f>
        <v>0</v>
      </c>
      <c r="F29" s="6">
        <f>IF(SUM(K11:P11) &gt; 0, IF(AND(SUM(C11:I11)&gt;0, ISNUMBER(F11)),F11/SUM(C11:I11), ""), "")</f>
        <v>0</v>
      </c>
      <c r="G29" s="6">
        <f>IF(SUM(K11:P11) &gt; 0, IF(AND(SUM(C11:I11)&gt;0, ISNUMBER(G11)),G11/SUM(C11:I11), ""), "")</f>
        <v>0</v>
      </c>
      <c r="H29" s="6">
        <f>IF(SUM(K11:P11) &gt; 0, IF(AND(SUM(C11:I11)&gt;0, ISNUMBER(H11)),H11/SUM(C11:I11), ""), "")</f>
        <v>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033A0"/>
  </sheetPr>
  <dimension ref="A1:P29"/>
  <sheetViews>
    <sheetView workbookViewId="0"/>
  </sheetViews>
  <sheetFormatPr defaultRowHeight="15"/>
  <sheetData>
    <row r="1" spans="1:16" s="3" customFormat="1" ht="40" customHeight="1">
      <c r="A1" s="3" t="s">
        <v>1002</v>
      </c>
    </row>
    <row r="3" spans="1:16">
      <c r="B3" t="s">
        <v>1003</v>
      </c>
      <c r="C3" t="s">
        <v>1004</v>
      </c>
      <c r="D3" t="s">
        <v>934</v>
      </c>
      <c r="E3" t="s">
        <v>935</v>
      </c>
      <c r="F3" t="s">
        <v>878</v>
      </c>
      <c r="G3" t="s">
        <v>936</v>
      </c>
      <c r="H3" t="s">
        <v>881</v>
      </c>
      <c r="J3" t="s">
        <v>1003</v>
      </c>
      <c r="K3" t="s">
        <v>1004</v>
      </c>
      <c r="L3" t="s">
        <v>934</v>
      </c>
      <c r="M3" t="s">
        <v>935</v>
      </c>
      <c r="N3" t="s">
        <v>878</v>
      </c>
      <c r="O3" t="s">
        <v>936</v>
      </c>
      <c r="P3" t="s">
        <v>881</v>
      </c>
    </row>
    <row r="4" spans="1:16">
      <c r="B4" t="s">
        <v>981</v>
      </c>
      <c r="C4">
        <v>372</v>
      </c>
      <c r="D4">
        <v>203</v>
      </c>
      <c r="E4">
        <v>103</v>
      </c>
      <c r="F4">
        <v>101</v>
      </c>
      <c r="G4">
        <v>50</v>
      </c>
      <c r="H4">
        <v>66</v>
      </c>
      <c r="J4" t="s">
        <v>991</v>
      </c>
      <c r="K4">
        <v>104</v>
      </c>
      <c r="L4">
        <v>50</v>
      </c>
      <c r="M4">
        <v>14</v>
      </c>
      <c r="N4">
        <v>34</v>
      </c>
      <c r="O4">
        <v>13</v>
      </c>
      <c r="P4">
        <v>24</v>
      </c>
    </row>
    <row r="5" spans="1:16">
      <c r="B5" t="s">
        <v>982</v>
      </c>
      <c r="C5">
        <v>326</v>
      </c>
      <c r="D5">
        <v>282</v>
      </c>
      <c r="E5">
        <v>55</v>
      </c>
      <c r="F5">
        <v>175</v>
      </c>
      <c r="G5">
        <v>28</v>
      </c>
      <c r="H5">
        <v>67</v>
      </c>
      <c r="J5" t="s">
        <v>992</v>
      </c>
      <c r="K5">
        <v>118</v>
      </c>
      <c r="L5">
        <v>55</v>
      </c>
      <c r="M5">
        <v>13</v>
      </c>
      <c r="N5">
        <v>39</v>
      </c>
      <c r="O5">
        <v>10</v>
      </c>
      <c r="P5">
        <v>21</v>
      </c>
    </row>
    <row r="6" spans="1:16">
      <c r="B6" t="s">
        <v>983</v>
      </c>
      <c r="C6">
        <v>353</v>
      </c>
      <c r="D6">
        <v>378</v>
      </c>
      <c r="E6">
        <v>54</v>
      </c>
      <c r="F6">
        <v>125</v>
      </c>
      <c r="G6">
        <v>24</v>
      </c>
      <c r="H6">
        <v>48</v>
      </c>
      <c r="J6" t="s">
        <v>993</v>
      </c>
      <c r="K6">
        <v>105</v>
      </c>
      <c r="L6">
        <v>46</v>
      </c>
      <c r="M6">
        <v>14</v>
      </c>
      <c r="N6">
        <v>36</v>
      </c>
      <c r="O6">
        <v>10</v>
      </c>
      <c r="P6">
        <v>14</v>
      </c>
    </row>
    <row r="7" spans="1:16">
      <c r="B7" t="s">
        <v>984</v>
      </c>
      <c r="C7">
        <v>332</v>
      </c>
      <c r="D7">
        <v>184</v>
      </c>
      <c r="E7">
        <v>22</v>
      </c>
      <c r="F7">
        <v>71</v>
      </c>
      <c r="G7">
        <v>14</v>
      </c>
      <c r="H7">
        <v>76</v>
      </c>
      <c r="J7" t="s">
        <v>994</v>
      </c>
      <c r="K7">
        <v>69</v>
      </c>
      <c r="L7">
        <v>34</v>
      </c>
      <c r="M7">
        <v>7</v>
      </c>
      <c r="N7">
        <v>28</v>
      </c>
      <c r="O7">
        <v>4</v>
      </c>
      <c r="P7">
        <v>23</v>
      </c>
    </row>
    <row r="8" spans="1:16">
      <c r="B8" t="s">
        <v>985</v>
      </c>
      <c r="C8">
        <v>321.738842010498</v>
      </c>
      <c r="D8">
        <v>172.934710502625</v>
      </c>
      <c r="E8">
        <v>37</v>
      </c>
      <c r="F8">
        <v>138.869421005249</v>
      </c>
      <c r="G8">
        <v>8</v>
      </c>
      <c r="H8">
        <v>64</v>
      </c>
      <c r="J8" t="s">
        <v>995</v>
      </c>
      <c r="K8">
        <v>85</v>
      </c>
      <c r="L8">
        <v>39</v>
      </c>
      <c r="M8">
        <v>8</v>
      </c>
      <c r="N8">
        <v>20</v>
      </c>
      <c r="O8">
        <v>2</v>
      </c>
      <c r="P8">
        <v>23</v>
      </c>
    </row>
    <row r="9" spans="1:16">
      <c r="B9" t="s">
        <v>986</v>
      </c>
      <c r="C9">
        <v>354</v>
      </c>
      <c r="D9">
        <v>164</v>
      </c>
      <c r="E9">
        <v>20</v>
      </c>
      <c r="F9">
        <v>159</v>
      </c>
      <c r="G9">
        <v>9</v>
      </c>
      <c r="H9">
        <v>41</v>
      </c>
      <c r="J9" t="s">
        <v>996</v>
      </c>
      <c r="K9">
        <v>87</v>
      </c>
      <c r="L9">
        <v>37</v>
      </c>
      <c r="M9">
        <v>7</v>
      </c>
      <c r="N9">
        <v>26</v>
      </c>
      <c r="O9">
        <v>4</v>
      </c>
      <c r="P9">
        <v>19</v>
      </c>
    </row>
    <row r="10" spans="1:16">
      <c r="B10" t="s">
        <v>987</v>
      </c>
      <c r="C10">
        <v>203</v>
      </c>
      <c r="D10">
        <v>107</v>
      </c>
      <c r="E10">
        <v>11</v>
      </c>
      <c r="F10">
        <v>114</v>
      </c>
      <c r="G10">
        <v>13</v>
      </c>
      <c r="H10">
        <v>36</v>
      </c>
      <c r="J10" t="s">
        <v>997</v>
      </c>
      <c r="K10">
        <v>51</v>
      </c>
      <c r="L10">
        <v>27</v>
      </c>
      <c r="M10">
        <v>6</v>
      </c>
      <c r="N10">
        <v>19</v>
      </c>
      <c r="O10">
        <v>4</v>
      </c>
      <c r="P10">
        <v>12</v>
      </c>
    </row>
    <row r="11" spans="1:16">
      <c r="B11" t="s">
        <v>988</v>
      </c>
      <c r="C11">
        <f>IF(SUMIFS('TERadj'!BO2:BO100,'TERadj'!BO2:BO100,"&gt;0"),SUMIFS('TERadj'!BO2:BO100,'TERadj'!BO2:BO100,"&gt;0"),"")</f>
        <v>0</v>
      </c>
      <c r="D11">
        <f>IF(SUMIFS('TERadj'!BP2:BP100,'TERadj'!BP2:BP100,"&gt;0"),SUMIFS('TERadj'!BP2:BP100,'TERadj'!BP2:BP100,"&gt;0"),"")</f>
        <v>0</v>
      </c>
      <c r="E11">
        <f>IF(SUMIFS('TERadj'!BQ2:BQ100,'TERadj'!BQ2:BQ100,"&gt;0"),SUMIFS('TERadj'!BQ2:BQ100,'TERadj'!BQ2:BQ100,"&gt;0"),"")</f>
        <v>0</v>
      </c>
      <c r="F11">
        <f>IF(SUMIFS('TERadj'!BR2:BR100,'TERadj'!BR2:BR100,"&gt;0"),SUMIFS('TERadj'!BR2:BR100,'TERadj'!BR2:BR100,"&gt;0"),"")</f>
        <v>0</v>
      </c>
      <c r="G11">
        <f>IF(SUMIFS('TERadj'!BS2:BS100,'TERadj'!BS2:BS100,"&gt;0"),SUMIFS('TERadj'!BS2:BS100,'TERadj'!BS2:BS100,"&gt;0"),"")</f>
        <v>0</v>
      </c>
      <c r="H11">
        <f>IF(SUMIFS('TERadj'!BT2:BT100,'TERadj'!BT2:BT100,"&gt;0"),SUMIFS('TERadj'!BT2:BT100,'TERadj'!BT2:BT100,"&gt;0"),"")</f>
        <v>0</v>
      </c>
      <c r="J11" t="s">
        <v>998</v>
      </c>
      <c r="K11" cm="1">
        <f t="array" ref="K11">IF(COUNT(_xlfn._xlws.FILTER('TERadj'!BO2:BO100, ('TERadj'!BO2:BO100&gt;0))),COUNT(_xlfn._xlws.FILTER('TERadj'!BO2:BO100, ('TERadj'!BO2:BO100&gt;0))),"")</f>
        <v>0</v>
      </c>
      <c r="L11" cm="1">
        <f t="array" ref="L11">IF(COUNT(_xlfn._xlws.FILTER('TERadj'!BP2:BP100, ('TERadj'!BP2:BP100&gt;0))),COUNT(_xlfn._xlws.FILTER('TERadj'!BP2:BP100, ('TERadj'!BP2:BP100&gt;0))),"")</f>
        <v>0</v>
      </c>
      <c r="M11" cm="1">
        <f t="array" ref="M11">IF(COUNT(_xlfn._xlws.FILTER('TERadj'!BQ2:BQ100, ('TERadj'!BQ2:BQ100&gt;0))),COUNT(_xlfn._xlws.FILTER('TERadj'!BQ2:BQ100, ('TERadj'!BQ2:BQ100&gt;0))),"")</f>
        <v>0</v>
      </c>
      <c r="N11" cm="1">
        <f t="array" ref="N11">IF(COUNT(_xlfn._xlws.FILTER('TERadj'!BR2:BR100, ('TERadj'!BR2:BR100&gt;0))),COUNT(_xlfn._xlws.FILTER('TERadj'!BR2:BR100, ('TERadj'!BR2:BR100&gt;0))),"")</f>
        <v>0</v>
      </c>
      <c r="O11" cm="1">
        <f t="array" ref="O11">IF(COUNT(_xlfn._xlws.FILTER('TERadj'!BS2:BS100, ('TERadj'!BS2:BS100&gt;0))),COUNT(_xlfn._xlws.FILTER('TERadj'!BS2:BS100, ('TERadj'!BS2:BS100&gt;0))),"")</f>
        <v>0</v>
      </c>
      <c r="P11" cm="1">
        <f t="array" ref="P11">IF(COUNT(_xlfn._xlws.FILTER('TERadj'!BT2:BT100, ('TERadj'!BT2:BT100&gt;0))),COUNT(_xlfn._xlws.FILTER('TERadj'!BT2:BT100, ('TERadj'!BT2:BT100&gt;0))),"")</f>
        <v>0</v>
      </c>
    </row>
    <row r="21" spans="2:8">
      <c r="B21" t="s">
        <v>1003</v>
      </c>
      <c r="C21" t="s">
        <v>1004</v>
      </c>
      <c r="D21" t="s">
        <v>934</v>
      </c>
      <c r="E21" t="s">
        <v>935</v>
      </c>
      <c r="F21" t="s">
        <v>878</v>
      </c>
      <c r="G21" t="s">
        <v>936</v>
      </c>
      <c r="H21" t="s">
        <v>881</v>
      </c>
    </row>
    <row r="22" spans="2:8">
      <c r="B22" t="s">
        <v>945</v>
      </c>
      <c r="C22" s="6">
        <f>IF(SUM(K4:P4) &gt; 0, IF(AND(SUM(C4:I4)&gt;0, ISNUMBER(C4)),C4/SUM(C4:I4), ""), "")</f>
        <v>0</v>
      </c>
      <c r="D22" s="6">
        <f>IF(SUM(K4:P4) &gt; 0, IF(AND(SUM(C4:I4)&gt;0, ISNUMBER(D4)),D4/SUM(C4:I4), ""), "")</f>
        <v>0</v>
      </c>
      <c r="E22" s="6">
        <f>IF(SUM(K4:P4) &gt; 0, IF(AND(SUM(C4:I4)&gt;0, ISNUMBER(E4)),E4/SUM(C4:I4), ""), "")</f>
        <v>0</v>
      </c>
      <c r="F22" s="6">
        <f>IF(SUM(K4:P4) &gt; 0, IF(AND(SUM(C4:I4)&gt;0, ISNUMBER(F4)),F4/SUM(C4:I4), ""), "")</f>
        <v>0</v>
      </c>
      <c r="G22" s="6">
        <f>IF(SUM(K4:P4) &gt; 0, IF(AND(SUM(C4:I4)&gt;0, ISNUMBER(G4)),G4/SUM(C4:I4), ""), "")</f>
        <v>0</v>
      </c>
      <c r="H22" s="6">
        <f>IF(SUM(K4:P4) &gt; 0, IF(AND(SUM(C4:I4)&gt;0, ISNUMBER(H4)),H4/SUM(C4:I4), ""), "")</f>
        <v>0</v>
      </c>
    </row>
    <row r="23" spans="2:8">
      <c r="B23" t="s">
        <v>946</v>
      </c>
      <c r="C23" s="6">
        <f>IF(SUM(K5:P5) &gt; 0, IF(AND(SUM(C5:I5)&gt;0, ISNUMBER(C5)),C5/SUM(C5:I5), ""), "")</f>
        <v>0</v>
      </c>
      <c r="D23" s="6">
        <f>IF(SUM(K5:P5) &gt; 0, IF(AND(SUM(C5:I5)&gt;0, ISNUMBER(D5)),D5/SUM(C5:I5), ""), "")</f>
        <v>0</v>
      </c>
      <c r="E23" s="6">
        <f>IF(SUM(K5:P5) &gt; 0, IF(AND(SUM(C5:I5)&gt;0, ISNUMBER(E5)),E5/SUM(C5:I5), ""), "")</f>
        <v>0</v>
      </c>
      <c r="F23" s="6">
        <f>IF(SUM(K5:P5) &gt; 0, IF(AND(SUM(C5:I5)&gt;0, ISNUMBER(F5)),F5/SUM(C5:I5), ""), "")</f>
        <v>0</v>
      </c>
      <c r="G23" s="6">
        <f>IF(SUM(K5:P5) &gt; 0, IF(AND(SUM(C5:I5)&gt;0, ISNUMBER(G5)),G5/SUM(C5:I5), ""), "")</f>
        <v>0</v>
      </c>
      <c r="H23" s="6">
        <f>IF(SUM(K5:P5) &gt; 0, IF(AND(SUM(C5:I5)&gt;0, ISNUMBER(H5)),H5/SUM(C5:I5), ""), "")</f>
        <v>0</v>
      </c>
    </row>
    <row r="24" spans="2:8">
      <c r="B24" t="s">
        <v>947</v>
      </c>
      <c r="C24" s="6">
        <f>IF(SUM(K6:P6) &gt; 0, IF(AND(SUM(C6:I6)&gt;0, ISNUMBER(C6)),C6/SUM(C6:I6), ""), "")</f>
        <v>0</v>
      </c>
      <c r="D24" s="6">
        <f>IF(SUM(K6:P6) &gt; 0, IF(AND(SUM(C6:I6)&gt;0, ISNUMBER(D6)),D6/SUM(C6:I6), ""), "")</f>
        <v>0</v>
      </c>
      <c r="E24" s="6">
        <f>IF(SUM(K6:P6) &gt; 0, IF(AND(SUM(C6:I6)&gt;0, ISNUMBER(E6)),E6/SUM(C6:I6), ""), "")</f>
        <v>0</v>
      </c>
      <c r="F24" s="6">
        <f>IF(SUM(K6:P6) &gt; 0, IF(AND(SUM(C6:I6)&gt;0, ISNUMBER(F6)),F6/SUM(C6:I6), ""), "")</f>
        <v>0</v>
      </c>
      <c r="G24" s="6">
        <f>IF(SUM(K6:P6) &gt; 0, IF(AND(SUM(C6:I6)&gt;0, ISNUMBER(G6)),G6/SUM(C6:I6), ""), "")</f>
        <v>0</v>
      </c>
      <c r="H24" s="6">
        <f>IF(SUM(K6:P6) &gt; 0, IF(AND(SUM(C6:I6)&gt;0, ISNUMBER(H6)),H6/SUM(C6:I6), ""), "")</f>
        <v>0</v>
      </c>
    </row>
    <row r="25" spans="2:8">
      <c r="B25" t="s">
        <v>948</v>
      </c>
      <c r="C25" s="6">
        <f>IF(SUM(K7:P7) &gt; 0, IF(AND(SUM(C7:I7)&gt;0, ISNUMBER(C7)),C7/SUM(C7:I7), ""), "")</f>
        <v>0</v>
      </c>
      <c r="D25" s="6">
        <f>IF(SUM(K7:P7) &gt; 0, IF(AND(SUM(C7:I7)&gt;0, ISNUMBER(D7)),D7/SUM(C7:I7), ""), "")</f>
        <v>0</v>
      </c>
      <c r="E25" s="6">
        <f>IF(SUM(K7:P7) &gt; 0, IF(AND(SUM(C7:I7)&gt;0, ISNUMBER(E7)),E7/SUM(C7:I7), ""), "")</f>
        <v>0</v>
      </c>
      <c r="F25" s="6">
        <f>IF(SUM(K7:P7) &gt; 0, IF(AND(SUM(C7:I7)&gt;0, ISNUMBER(F7)),F7/SUM(C7:I7), ""), "")</f>
        <v>0</v>
      </c>
      <c r="G25" s="6">
        <f>IF(SUM(K7:P7) &gt; 0, IF(AND(SUM(C7:I7)&gt;0, ISNUMBER(G7)),G7/SUM(C7:I7), ""), "")</f>
        <v>0</v>
      </c>
      <c r="H25" s="6">
        <f>IF(SUM(K7:P7) &gt; 0, IF(AND(SUM(C7:I7)&gt;0, ISNUMBER(H7)),H7/SUM(C7:I7), ""), "")</f>
        <v>0</v>
      </c>
    </row>
    <row r="26" spans="2:8">
      <c r="B26" t="s">
        <v>949</v>
      </c>
      <c r="C26" s="6">
        <f>IF(SUM(K8:P8) &gt; 0, IF(AND(SUM(C8:I8)&gt;0, ISNUMBER(C8)),C8/SUM(C8:I8), ""), "")</f>
        <v>0</v>
      </c>
      <c r="D26" s="6">
        <f>IF(SUM(K8:P8) &gt; 0, IF(AND(SUM(C8:I8)&gt;0, ISNUMBER(D8)),D8/SUM(C8:I8), ""), "")</f>
        <v>0</v>
      </c>
      <c r="E26" s="6">
        <f>IF(SUM(K8:P8) &gt; 0, IF(AND(SUM(C8:I8)&gt;0, ISNUMBER(E8)),E8/SUM(C8:I8), ""), "")</f>
        <v>0</v>
      </c>
      <c r="F26" s="6">
        <f>IF(SUM(K8:P8) &gt; 0, IF(AND(SUM(C8:I8)&gt;0, ISNUMBER(F8)),F8/SUM(C8:I8), ""), "")</f>
        <v>0</v>
      </c>
      <c r="G26" s="6">
        <f>IF(SUM(K8:P8) &gt; 0, IF(AND(SUM(C8:I8)&gt;0, ISNUMBER(G8)),G8/SUM(C8:I8), ""), "")</f>
        <v>0</v>
      </c>
      <c r="H26" s="6">
        <f>IF(SUM(K8:P8) &gt; 0, IF(AND(SUM(C8:I8)&gt;0, ISNUMBER(H8)),H8/SUM(C8:I8), ""), "")</f>
        <v>0</v>
      </c>
    </row>
    <row r="27" spans="2:8">
      <c r="B27" t="s">
        <v>950</v>
      </c>
      <c r="C27" s="6">
        <f>IF(SUM(K9:P9) &gt; 0, IF(AND(SUM(C9:I9)&gt;0, ISNUMBER(C9)),C9/SUM(C9:I9), ""), "")</f>
        <v>0</v>
      </c>
      <c r="D27" s="6">
        <f>IF(SUM(K9:P9) &gt; 0, IF(AND(SUM(C9:I9)&gt;0, ISNUMBER(D9)),D9/SUM(C9:I9), ""), "")</f>
        <v>0</v>
      </c>
      <c r="E27" s="6">
        <f>IF(SUM(K9:P9) &gt; 0, IF(AND(SUM(C9:I9)&gt;0, ISNUMBER(E9)),E9/SUM(C9:I9), ""), "")</f>
        <v>0</v>
      </c>
      <c r="F27" s="6">
        <f>IF(SUM(K9:P9) &gt; 0, IF(AND(SUM(C9:I9)&gt;0, ISNUMBER(F9)),F9/SUM(C9:I9), ""), "")</f>
        <v>0</v>
      </c>
      <c r="G27" s="6">
        <f>IF(SUM(K9:P9) &gt; 0, IF(AND(SUM(C9:I9)&gt;0, ISNUMBER(G9)),G9/SUM(C9:I9), ""), "")</f>
        <v>0</v>
      </c>
      <c r="H27" s="6">
        <f>IF(SUM(K9:P9) &gt; 0, IF(AND(SUM(C9:I9)&gt;0, ISNUMBER(H9)),H9/SUM(C9:I9), ""), "")</f>
        <v>0</v>
      </c>
    </row>
    <row r="28" spans="2:8">
      <c r="B28" t="s">
        <v>931</v>
      </c>
      <c r="C28" s="6">
        <f>IF(SUM(K10:P10) &gt; 0, IF(AND(SUM(C10:I10)&gt;0, ISNUMBER(C10)),C10/SUM(C10:I10), ""), "")</f>
        <v>0</v>
      </c>
      <c r="D28" s="6">
        <f>IF(SUM(K10:P10) &gt; 0, IF(AND(SUM(C10:I10)&gt;0, ISNUMBER(D10)),D10/SUM(C10:I10), ""), "")</f>
        <v>0</v>
      </c>
      <c r="E28" s="6">
        <f>IF(SUM(K10:P10) &gt; 0, IF(AND(SUM(C10:I10)&gt;0, ISNUMBER(E10)),E10/SUM(C10:I10), ""), "")</f>
        <v>0</v>
      </c>
      <c r="F28" s="6">
        <f>IF(SUM(K10:P10) &gt; 0, IF(AND(SUM(C10:I10)&gt;0, ISNUMBER(F10)),F10/SUM(C10:I10), ""), "")</f>
        <v>0</v>
      </c>
      <c r="G28" s="6">
        <f>IF(SUM(K10:P10) &gt; 0, IF(AND(SUM(C10:I10)&gt;0, ISNUMBER(G10)),G10/SUM(C10:I10), ""), "")</f>
        <v>0</v>
      </c>
      <c r="H28" s="6">
        <f>IF(SUM(K10:P10) &gt; 0, IF(AND(SUM(C10:I10)&gt;0, ISNUMBER(H10)),H10/SUM(C10:I10), ""), "")</f>
        <v>0</v>
      </c>
    </row>
    <row r="29" spans="2:8">
      <c r="B29" t="s">
        <v>932</v>
      </c>
      <c r="C29" s="6">
        <f>IF(SUM(K11:P11) &gt; 0, IF(AND(SUM(C11:I11)&gt;0, ISNUMBER(C11)),C11/SUM(C11:I11), ""), "")</f>
        <v>0</v>
      </c>
      <c r="D29" s="6">
        <f>IF(SUM(K11:P11) &gt; 0, IF(AND(SUM(C11:I11)&gt;0, ISNUMBER(D11)),D11/SUM(C11:I11), ""), "")</f>
        <v>0</v>
      </c>
      <c r="E29" s="6">
        <f>IF(SUM(K11:P11) &gt; 0, IF(AND(SUM(C11:I11)&gt;0, ISNUMBER(E11)),E11/SUM(C11:I11), ""), "")</f>
        <v>0</v>
      </c>
      <c r="F29" s="6">
        <f>IF(SUM(K11:P11) &gt; 0, IF(AND(SUM(C11:I11)&gt;0, ISNUMBER(F11)),F11/SUM(C11:I11), ""), "")</f>
        <v>0</v>
      </c>
      <c r="G29" s="6">
        <f>IF(SUM(K11:P11) &gt; 0, IF(AND(SUM(C11:I11)&gt;0, ISNUMBER(G11)),G11/SUM(C11:I11), ""), "")</f>
        <v>0</v>
      </c>
      <c r="H29" s="6">
        <f>IF(SUM(K11:P11) &gt; 0, IF(AND(SUM(C11:I11)&gt;0, ISNUMBER(H11)),H11/SUM(C11:I11), ""), "")</f>
        <v>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33A0"/>
  </sheetPr>
  <dimension ref="A1:P19"/>
  <sheetViews>
    <sheetView workbookViewId="0"/>
  </sheetViews>
  <sheetFormatPr defaultRowHeight="15"/>
  <sheetData>
    <row r="1" spans="1:16" s="3" customFormat="1" ht="40" customHeight="1">
      <c r="A1" s="3" t="s">
        <v>1005</v>
      </c>
    </row>
    <row r="3" spans="1:16">
      <c r="B3" t="s">
        <v>915</v>
      </c>
      <c r="C3" t="s">
        <v>839</v>
      </c>
      <c r="D3" t="s">
        <v>840</v>
      </c>
      <c r="E3" t="s">
        <v>838</v>
      </c>
      <c r="F3" t="s">
        <v>886</v>
      </c>
      <c r="G3" t="s">
        <v>841</v>
      </c>
      <c r="H3" t="s">
        <v>898</v>
      </c>
      <c r="J3" t="s">
        <v>915</v>
      </c>
      <c r="K3" t="s">
        <v>921</v>
      </c>
      <c r="L3" t="s">
        <v>922</v>
      </c>
      <c r="M3" t="s">
        <v>923</v>
      </c>
      <c r="N3" t="s">
        <v>1006</v>
      </c>
      <c r="O3" t="s">
        <v>924</v>
      </c>
      <c r="P3" t="s">
        <v>925</v>
      </c>
    </row>
    <row r="4" spans="1:16">
      <c r="B4" t="s">
        <v>933</v>
      </c>
      <c r="C4">
        <f>IF(SUMIFS('TERadj'!BU2:BU100,'TERadj'!BU2:BU100,"&gt;0")/1000,SUMIFS('TERadj'!BU2:BU100,'TERadj'!BU2:BU100,"&gt;0")/1000,"")</f>
        <v>0</v>
      </c>
      <c r="D4">
        <f>IF(SUMIFS('TERadj'!BV2:BV100,'TERadj'!BV2:BV100,"&gt;0")/1000,SUMIFS('TERadj'!BV2:BV100,'TERadj'!BV2:BV100,"&gt;0")/1000,"")</f>
        <v>0</v>
      </c>
      <c r="E4">
        <f>IF(SUMIFS('TERadj'!BW2:BW100,'TERadj'!BW2:BW100,"&gt;0")/1000,SUMIFS('TERadj'!BW2:BW100,'TERadj'!BW2:BW100,"&gt;0")/1000,"")</f>
        <v>0</v>
      </c>
      <c r="F4">
        <f>IF(SUMIFS('TERadj'!BX2:BX100,'TERadj'!BX2:BX100,"&gt;0")/1000,SUMIFS('TERadj'!BX2:BX100,'TERadj'!BX2:BX100,"&gt;0")/1000,"")</f>
        <v>0</v>
      </c>
      <c r="G4">
        <f>IF(SUMIFS('TERadj'!BY2:BY100,'TERadj'!BY2:BY100,"&gt;0")/1000,SUMIFS('TERadj'!BY2:BY100,'TERadj'!BY2:BY100,"&gt;0")/1000,"")</f>
        <v>0</v>
      </c>
      <c r="H4">
        <f>IF(SUMIFS('TERadj'!BZ2:BZ100,'TERadj'!BZ2:BZ100,"&gt;0")/1000,SUMIFS('TERadj'!BZ2:BZ100,'TERadj'!BZ2:BZ100,"&gt;0")/1000,"")</f>
        <v>0</v>
      </c>
      <c r="J4" t="s">
        <v>933</v>
      </c>
      <c r="K4" cm="1">
        <f t="array" ref="K4">IF(COUNT(_xlfn._xlws.FILTER('TERadj'!BU2:BU100, ('TERadj'!BU2:BU100&gt;0))),COUNT(_xlfn._xlws.FILTER('TERadj'!BU2:BU100, ('TERadj'!BU2:BU100&gt;0))),"")</f>
        <v>0</v>
      </c>
      <c r="L4" cm="1">
        <f t="array" ref="L4">IF(COUNT(_xlfn._xlws.FILTER('TERadj'!BV2:BV100, ('TERadj'!BV2:BV100&gt;0))),COUNT(_xlfn._xlws.FILTER('TERadj'!BV2:BV100, ('TERadj'!BV2:BV100&gt;0))),"")</f>
        <v>0</v>
      </c>
      <c r="M4" cm="1">
        <f t="array" ref="M4">IF(COUNT(_xlfn._xlws.FILTER('TERadj'!BW2:BW100, ('TERadj'!BW2:BW100&gt;0))),COUNT(_xlfn._xlws.FILTER('TERadj'!BW2:BW100, ('TERadj'!BW2:BW100&gt;0))),"")</f>
        <v>0</v>
      </c>
      <c r="N4" cm="1">
        <f t="array" ref="N4">IF(COUNT(_xlfn._xlws.FILTER('TERadj'!BX2:BX100, ('TERadj'!BX2:BX100&gt;0))),COUNT(_xlfn._xlws.FILTER('TERadj'!BX2:BX100, ('TERadj'!BX2:BX100&gt;0))),"")</f>
        <v>0</v>
      </c>
      <c r="O4" cm="1">
        <f t="array" ref="O4">IF(COUNT(_xlfn._xlws.FILTER('TERadj'!BY2:BY100, ('TERadj'!BY2:BY100&gt;0))),COUNT(_xlfn._xlws.FILTER('TERadj'!BY2:BY100, ('TERadj'!BY2:BY100&gt;0))),"")</f>
        <v>0</v>
      </c>
      <c r="P4" cm="1">
        <f t="array" ref="P4">IF(COUNT(_xlfn._xlws.FILTER('TERadj'!BZ2:BZ100, ('TERadj'!BZ2:BZ100&gt;0))),COUNT(_xlfn._xlws.FILTER('TERadj'!BZ2:BZ100, ('TERadj'!BZ2:BZ100&gt;0))),"")</f>
        <v>0</v>
      </c>
    </row>
    <row r="5" spans="1:16">
      <c r="B5" t="s">
        <v>934</v>
      </c>
      <c r="C5">
        <f>IF(SUMIFS('TERadj'!CA2:CA100,'TERadj'!CA2:CA100,"&gt;0")/1000,SUMIFS('TERadj'!CA2:CA100,'TERadj'!CA2:CA100,"&gt;0")/1000,"")</f>
        <v>0</v>
      </c>
      <c r="D5">
        <f>IF(SUMIFS('TERadj'!CB2:CB100,'TERadj'!CB2:CB100,"&gt;0")/1000,SUMIFS('TERadj'!CB2:CB100,'TERadj'!CB2:CB100,"&gt;0")/1000,"")</f>
        <v>0</v>
      </c>
      <c r="E5">
        <f>IF(SUMIFS('TERadj'!CC2:CC100,'TERadj'!CC2:CC100,"&gt;0")/1000,SUMIFS('TERadj'!CC2:CC100,'TERadj'!CC2:CC100,"&gt;0")/1000,"")</f>
        <v>0</v>
      </c>
      <c r="F5">
        <f>IF(SUMIFS('TERadj'!CD2:CD100,'TERadj'!CD2:CD100,"&gt;0")/1000,SUMIFS('TERadj'!CD2:CD100,'TERadj'!CD2:CD100,"&gt;0")/1000,"")</f>
        <v>0</v>
      </c>
      <c r="G5">
        <f>IF(SUMIFS('TERadj'!CE2:CE100,'TERadj'!CE2:CE100,"&gt;0")/1000,SUMIFS('TERadj'!CE2:CE100,'TERadj'!CE2:CE100,"&gt;0")/1000,"")</f>
        <v>0</v>
      </c>
      <c r="H5">
        <f>IF(SUMIFS('TERadj'!CF2:CF100,'TERadj'!CF2:CF100,"&gt;0")/1000,SUMIFS('TERadj'!CF2:CF100,'TERadj'!CF2:CF100,"&gt;0")/1000,"")</f>
        <v>0</v>
      </c>
      <c r="J5" t="s">
        <v>934</v>
      </c>
      <c r="K5" cm="1">
        <f t="array" ref="K5">IF(COUNT(_xlfn._xlws.FILTER('TERadj'!CA2:CA100, ('TERadj'!CA2:CA100&gt;0))),COUNT(_xlfn._xlws.FILTER('TERadj'!CA2:CA100, ('TERadj'!CA2:CA100&gt;0))),"")</f>
        <v>0</v>
      </c>
      <c r="L5" cm="1">
        <f t="array" ref="L5">IF(COUNT(_xlfn._xlws.FILTER('TERadj'!CB2:CB100, ('TERadj'!CB2:CB100&gt;0))),COUNT(_xlfn._xlws.FILTER('TERadj'!CB2:CB100, ('TERadj'!CB2:CB100&gt;0))),"")</f>
        <v>0</v>
      </c>
      <c r="M5" cm="1">
        <f t="array" ref="M5">IF(COUNT(_xlfn._xlws.FILTER('TERadj'!CC2:CC100, ('TERadj'!CC2:CC100&gt;0))),COUNT(_xlfn._xlws.FILTER('TERadj'!CC2:CC100, ('TERadj'!CC2:CC100&gt;0))),"")</f>
        <v>0</v>
      </c>
      <c r="N5" cm="1">
        <f t="array" ref="N5">IF(COUNT(_xlfn._xlws.FILTER('TERadj'!CD2:CD100, ('TERadj'!CD2:CD100&gt;0))),COUNT(_xlfn._xlws.FILTER('TERadj'!CD2:CD100, ('TERadj'!CD2:CD100&gt;0))),"")</f>
        <v>0</v>
      </c>
      <c r="O5" cm="1">
        <f t="array" ref="O5">IF(COUNT(_xlfn._xlws.FILTER('TERadj'!CE2:CE100, ('TERadj'!CE2:CE100&gt;0))),COUNT(_xlfn._xlws.FILTER('TERadj'!CE2:CE100, ('TERadj'!CE2:CE100&gt;0))),"")</f>
        <v>0</v>
      </c>
      <c r="P5" cm="1">
        <f t="array" ref="P5">IF(COUNT(_xlfn._xlws.FILTER('TERadj'!CF2:CF100, ('TERadj'!CF2:CF100&gt;0))),COUNT(_xlfn._xlws.FILTER('TERadj'!CF2:CF100, ('TERadj'!CF2:CF100&gt;0))),"")</f>
        <v>0</v>
      </c>
    </row>
    <row r="6" spans="1:16">
      <c r="B6" t="s">
        <v>935</v>
      </c>
      <c r="C6">
        <f>IF(SUMIFS('TERadj'!CG2:CG100,'TERadj'!CG2:CG100,"&gt;0")/1000,SUMIFS('TERadj'!CG2:CG100,'TERadj'!CG2:CG100,"&gt;0")/1000,"")</f>
        <v>0</v>
      </c>
      <c r="D6">
        <f>IF(SUMIFS('TERadj'!CH2:CH100,'TERadj'!CH2:CH100,"&gt;0")/1000,SUMIFS('TERadj'!CH2:CH100,'TERadj'!CH2:CH100,"&gt;0")/1000,"")</f>
        <v>0</v>
      </c>
      <c r="E6">
        <f>IF(SUMIFS('TERadj'!CI2:CI100,'TERadj'!CI2:CI100,"&gt;0")/1000,SUMIFS('TERadj'!CI2:CI100,'TERadj'!CI2:CI100,"&gt;0")/1000,"")</f>
        <v>0</v>
      </c>
      <c r="F6">
        <f>IF(SUMIFS('TERadj'!CJ2:CJ100,'TERadj'!CJ2:CJ100,"&gt;0")/1000,SUMIFS('TERadj'!CJ2:CJ100,'TERadj'!CJ2:CJ100,"&gt;0")/1000,"")</f>
        <v>0</v>
      </c>
      <c r="G6">
        <f>IF(SUMIFS('TERadj'!CK2:CK100,'TERadj'!CK2:CK100,"&gt;0")/1000,SUMIFS('TERadj'!CK2:CK100,'TERadj'!CK2:CK100,"&gt;0")/1000,"")</f>
        <v>0</v>
      </c>
      <c r="H6">
        <f>IF(SUMIFS('TERadj'!CL2:CL100,'TERadj'!CL2:CL100,"&gt;0")/1000,SUMIFS('TERadj'!CL2:CL100,'TERadj'!CL2:CL100,"&gt;0")/1000,"")</f>
        <v>0</v>
      </c>
      <c r="J6" t="s">
        <v>935</v>
      </c>
      <c r="K6" cm="1">
        <f t="array" ref="K6">IF(COUNT(_xlfn._xlws.FILTER('TERadj'!CG2:CG100, ('TERadj'!CG2:CG100&gt;0))),COUNT(_xlfn._xlws.FILTER('TERadj'!CG2:CG100, ('TERadj'!CG2:CG100&gt;0))),"")</f>
        <v>0</v>
      </c>
      <c r="L6" cm="1">
        <f t="array" ref="L6">IF(COUNT(_xlfn._xlws.FILTER('TERadj'!CH2:CH100, ('TERadj'!CH2:CH100&gt;0))),COUNT(_xlfn._xlws.FILTER('TERadj'!CH2:CH100, ('TERadj'!CH2:CH100&gt;0))),"")</f>
        <v>0</v>
      </c>
      <c r="M6" cm="1">
        <f t="array" ref="M6">IF(COUNT(_xlfn._xlws.FILTER('TERadj'!CI2:CI100, ('TERadj'!CI2:CI100&gt;0))),COUNT(_xlfn._xlws.FILTER('TERadj'!CI2:CI100, ('TERadj'!CI2:CI100&gt;0))),"")</f>
        <v>0</v>
      </c>
      <c r="N6" cm="1">
        <f t="array" ref="N6">IF(COUNT(_xlfn._xlws.FILTER('TERadj'!CJ2:CJ100, ('TERadj'!CJ2:CJ100&gt;0))),COUNT(_xlfn._xlws.FILTER('TERadj'!CJ2:CJ100, ('TERadj'!CJ2:CJ100&gt;0))),"")</f>
        <v>0</v>
      </c>
      <c r="O6" cm="1">
        <f t="array" ref="O6">IF(COUNT(_xlfn._xlws.FILTER('TERadj'!CK2:CK100, ('TERadj'!CK2:CK100&gt;0))),COUNT(_xlfn._xlws.FILTER('TERadj'!CK2:CK100, ('TERadj'!CK2:CK100&gt;0))),"")</f>
        <v>0</v>
      </c>
      <c r="P6" cm="1">
        <f t="array" ref="P6">IF(COUNT(_xlfn._xlws.FILTER('TERadj'!CL2:CL100, ('TERadj'!CL2:CL100&gt;0))),COUNT(_xlfn._xlws.FILTER('TERadj'!CL2:CL100, ('TERadj'!CL2:CL100&gt;0))),"")</f>
        <v>0</v>
      </c>
    </row>
    <row r="7" spans="1:16">
      <c r="B7" t="s">
        <v>878</v>
      </c>
      <c r="C7">
        <f>IF(SUMIFS('TERadj'!CM2:CM100,'TERadj'!CM2:CM100,"&gt;0")/1000,SUMIFS('TERadj'!CM2:CM100,'TERadj'!CM2:CM100,"&gt;0")/1000,"")</f>
        <v>0</v>
      </c>
      <c r="D7">
        <f>IF(SUMIFS('TERadj'!CN2:CN100,'TERadj'!CN2:CN100,"&gt;0")/1000,SUMIFS('TERadj'!CN2:CN100,'TERadj'!CN2:CN100,"&gt;0")/1000,"")</f>
        <v>0</v>
      </c>
      <c r="E7">
        <f>IF(SUMIFS('TERadj'!CO2:CO100,'TERadj'!CO2:CO100,"&gt;0")/1000,SUMIFS('TERadj'!CO2:CO100,'TERadj'!CO2:CO100,"&gt;0")/1000,"")</f>
        <v>0</v>
      </c>
      <c r="F7">
        <f>IF(SUMIFS('TERadj'!CP2:CP100,'TERadj'!CP2:CP100,"&gt;0")/1000,SUMIFS('TERadj'!CP2:CP100,'TERadj'!CP2:CP100,"&gt;0")/1000,"")</f>
        <v>0</v>
      </c>
      <c r="G7">
        <f>IF(SUMIFS('TERadj'!CQ2:CQ100,'TERadj'!CQ2:CQ100,"&gt;0")/1000,SUMIFS('TERadj'!CQ2:CQ100,'TERadj'!CQ2:CQ100,"&gt;0")/1000,"")</f>
        <v>0</v>
      </c>
      <c r="H7">
        <f>IF(SUMIFS('TERadj'!CR2:CR100,'TERadj'!CR2:CR100,"&gt;0")/1000,SUMIFS('TERadj'!CR2:CR100,'TERadj'!CR2:CR100,"&gt;0")/1000,"")</f>
        <v>0</v>
      </c>
      <c r="J7" t="s">
        <v>878</v>
      </c>
      <c r="K7" cm="1">
        <f t="array" ref="K7">IF(COUNT(_xlfn._xlws.FILTER('TERadj'!CM2:CM100, ('TERadj'!CM2:CM100&gt;0))),COUNT(_xlfn._xlws.FILTER('TERadj'!CM2:CM100, ('TERadj'!CM2:CM100&gt;0))),"")</f>
        <v>0</v>
      </c>
      <c r="L7" cm="1">
        <f t="array" ref="L7">IF(COUNT(_xlfn._xlws.FILTER('TERadj'!CN2:CN100, ('TERadj'!CN2:CN100&gt;0))),COUNT(_xlfn._xlws.FILTER('TERadj'!CN2:CN100, ('TERadj'!CN2:CN100&gt;0))),"")</f>
        <v>0</v>
      </c>
      <c r="M7" cm="1">
        <f t="array" ref="M7">IF(COUNT(_xlfn._xlws.FILTER('TERadj'!CO2:CO100, ('TERadj'!CO2:CO100&gt;0))),COUNT(_xlfn._xlws.FILTER('TERadj'!CO2:CO100, ('TERadj'!CO2:CO100&gt;0))),"")</f>
        <v>0</v>
      </c>
      <c r="N7" cm="1">
        <f t="array" ref="N7">IF(COUNT(_xlfn._xlws.FILTER('TERadj'!CP2:CP100, ('TERadj'!CP2:CP100&gt;0))),COUNT(_xlfn._xlws.FILTER('TERadj'!CP2:CP100, ('TERadj'!CP2:CP100&gt;0))),"")</f>
        <v>0</v>
      </c>
      <c r="O7" cm="1">
        <f t="array" ref="O7">IF(COUNT(_xlfn._xlws.FILTER('TERadj'!CQ2:CQ100, ('TERadj'!CQ2:CQ100&gt;0))),COUNT(_xlfn._xlws.FILTER('TERadj'!CQ2:CQ100, ('TERadj'!CQ2:CQ100&gt;0))),"")</f>
        <v>0</v>
      </c>
      <c r="P7" cm="1">
        <f t="array" ref="P7">IF(COUNT(_xlfn._xlws.FILTER('TERadj'!CR2:CR100, ('TERadj'!CR2:CR100&gt;0))),COUNT(_xlfn._xlws.FILTER('TERadj'!CR2:CR100, ('TERadj'!CR2:CR100&gt;0))),"")</f>
        <v>0</v>
      </c>
    </row>
    <row r="8" spans="1:16">
      <c r="B8" t="s">
        <v>936</v>
      </c>
      <c r="C8">
        <f>IF(SUMIFS('TERadj'!CS2:CS100,'TERadj'!CS2:CS100,"&gt;0")/1000,SUMIFS('TERadj'!CS2:CS100,'TERadj'!CS2:CS100,"&gt;0")/1000,"")</f>
        <v>0</v>
      </c>
      <c r="D8">
        <f>IF(SUMIFS('TERadj'!CT2:CT100,'TERadj'!CT2:CT100,"&gt;0")/1000,SUMIFS('TERadj'!CT2:CT100,'TERadj'!CT2:CT100,"&gt;0")/1000,"")</f>
        <v>0</v>
      </c>
      <c r="E8">
        <f>IF(SUMIFS('TERadj'!CU2:CU100,'TERadj'!CU2:CU100,"&gt;0")/1000,SUMIFS('TERadj'!CU2:CU100,'TERadj'!CU2:CU100,"&gt;0")/1000,"")</f>
        <v>0</v>
      </c>
      <c r="F8">
        <f>IF(SUMIFS('TERadj'!CV2:CV100,'TERadj'!CV2:CV100,"&gt;0")/1000,SUMIFS('TERadj'!CV2:CV100,'TERadj'!CV2:CV100,"&gt;0")/1000,"")</f>
        <v>0</v>
      </c>
      <c r="G8">
        <f>IF(SUMIFS('TERadj'!CW2:CW100,'TERadj'!CW2:CW100,"&gt;0")/1000,SUMIFS('TERadj'!CW2:CW100,'TERadj'!CW2:CW100,"&gt;0")/1000,"")</f>
        <v>0</v>
      </c>
      <c r="H8">
        <f>IF(SUMIFS('TERadj'!CX2:CX100,'TERadj'!CX2:CX100,"&gt;0")/1000,SUMIFS('TERadj'!CX2:CX100,'TERadj'!CX2:CX100,"&gt;0")/1000,"")</f>
        <v>0</v>
      </c>
      <c r="J8" t="s">
        <v>936</v>
      </c>
      <c r="K8" cm="1">
        <f t="array" ref="K8">IF(COUNT(_xlfn._xlws.FILTER('TERadj'!CS2:CS100, ('TERadj'!CS2:CS100&gt;0))),COUNT(_xlfn._xlws.FILTER('TERadj'!CS2:CS100, ('TERadj'!CS2:CS100&gt;0))),"")</f>
        <v>0</v>
      </c>
      <c r="L8" cm="1">
        <f t="array" ref="L8">IF(COUNT(_xlfn._xlws.FILTER('TERadj'!CT2:CT100, ('TERadj'!CT2:CT100&gt;0))),COUNT(_xlfn._xlws.FILTER('TERadj'!CT2:CT100, ('TERadj'!CT2:CT100&gt;0))),"")</f>
        <v>0</v>
      </c>
      <c r="M8" cm="1">
        <f t="array" ref="M8">IF(COUNT(_xlfn._xlws.FILTER('TERadj'!CU2:CU100, ('TERadj'!CU2:CU100&gt;0))),COUNT(_xlfn._xlws.FILTER('TERadj'!CU2:CU100, ('TERadj'!CU2:CU100&gt;0))),"")</f>
        <v>0</v>
      </c>
      <c r="N8" cm="1">
        <f t="array" ref="N8">IF(COUNT(_xlfn._xlws.FILTER('TERadj'!CV2:CV100, ('TERadj'!CV2:CV100&gt;0))),COUNT(_xlfn._xlws.FILTER('TERadj'!CV2:CV100, ('TERadj'!CV2:CV100&gt;0))),"")</f>
        <v>0</v>
      </c>
      <c r="O8" cm="1">
        <f t="array" ref="O8">IF(COUNT(_xlfn._xlws.FILTER('TERadj'!CW2:CW100, ('TERadj'!CW2:CW100&gt;0))),COUNT(_xlfn._xlws.FILTER('TERadj'!CW2:CW100, ('TERadj'!CW2:CW100&gt;0))),"")</f>
        <v>0</v>
      </c>
      <c r="P8" cm="1">
        <f t="array" ref="P8">IF(COUNT(_xlfn._xlws.FILTER('TERadj'!CX2:CX100, ('TERadj'!CX2:CX100&gt;0))),COUNT(_xlfn._xlws.FILTER('TERadj'!CX2:CX100, ('TERadj'!CX2:CX100&gt;0))),"")</f>
        <v>0</v>
      </c>
    </row>
    <row r="9" spans="1:16">
      <c r="B9" t="s">
        <v>881</v>
      </c>
      <c r="C9">
        <f>IF(SUMIFS('TERadj'!CY2:CY100,'TERadj'!CY2:CY100,"&gt;0")/1000,SUMIFS('TERadj'!CY2:CY100,'TERadj'!CY2:CY100,"&gt;0")/1000,"")</f>
        <v>0</v>
      </c>
      <c r="D9">
        <f>IF(SUMIFS('TERadj'!CZ2:CZ100,'TERadj'!CZ2:CZ100,"&gt;0")/1000,SUMIFS('TERadj'!CZ2:CZ100,'TERadj'!CZ2:CZ100,"&gt;0")/1000,"")</f>
        <v>0</v>
      </c>
      <c r="E9">
        <f>IF(SUMIFS('TERadj'!DA2:DA100,'TERadj'!DA2:DA100,"&gt;0")/1000,SUMIFS('TERadj'!DA2:DA100,'TERadj'!DA2:DA100,"&gt;0")/1000,"")</f>
        <v>0</v>
      </c>
      <c r="F9">
        <f>IF(SUMIFS('TERadj'!DB2:DB100,'TERadj'!DB2:DB100,"&gt;0")/1000,SUMIFS('TERadj'!DB2:DB100,'TERadj'!DB2:DB100,"&gt;0")/1000,"")</f>
        <v>0</v>
      </c>
      <c r="G9">
        <f>IF(SUMIFS('TERadj'!DC2:DC100,'TERadj'!DC2:DC100,"&gt;0")/1000,SUMIFS('TERadj'!DC2:DC100,'TERadj'!DC2:DC100,"&gt;0")/1000,"")</f>
        <v>0</v>
      </c>
      <c r="H9">
        <f>IF(SUMIFS('TERadj'!DD2:DD100,'TERadj'!DD2:DD100,"&gt;0")/1000,SUMIFS('TERadj'!DD2:DD100,'TERadj'!DD2:DD100,"&gt;0")/1000,"")</f>
        <v>0</v>
      </c>
      <c r="J9" t="s">
        <v>881</v>
      </c>
      <c r="K9" cm="1">
        <f t="array" ref="K9">IF(COUNT(_xlfn._xlws.FILTER('TERadj'!CY2:CY100, ('TERadj'!CY2:CY100&gt;0))),COUNT(_xlfn._xlws.FILTER('TERadj'!CY2:CY100, ('TERadj'!CY2:CY100&gt;0))),"")</f>
        <v>0</v>
      </c>
      <c r="L9" cm="1">
        <f t="array" ref="L9">IF(COUNT(_xlfn._xlws.FILTER('TERadj'!CZ2:CZ100, ('TERadj'!CZ2:CZ100&gt;0))),COUNT(_xlfn._xlws.FILTER('TERadj'!CZ2:CZ100, ('TERadj'!CZ2:CZ100&gt;0))),"")</f>
        <v>0</v>
      </c>
      <c r="M9" cm="1">
        <f t="array" ref="M9">IF(COUNT(_xlfn._xlws.FILTER('TERadj'!DA2:DA100, ('TERadj'!DA2:DA100&gt;0))),COUNT(_xlfn._xlws.FILTER('TERadj'!DA2:DA100, ('TERadj'!DA2:DA100&gt;0))),"")</f>
        <v>0</v>
      </c>
      <c r="N9" cm="1">
        <f t="array" ref="N9">IF(COUNT(_xlfn._xlws.FILTER('TERadj'!DB2:DB100, ('TERadj'!DB2:DB100&gt;0))),COUNT(_xlfn._xlws.FILTER('TERadj'!DB2:DB100, ('TERadj'!DB2:DB100&gt;0))),"")</f>
        <v>0</v>
      </c>
      <c r="O9" cm="1">
        <f t="array" ref="O9">IF(COUNT(_xlfn._xlws.FILTER('TERadj'!DC2:DC100, ('TERadj'!DC2:DC100&gt;0))),COUNT(_xlfn._xlws.FILTER('TERadj'!DC2:DC100, ('TERadj'!DC2:DC100&gt;0))),"")</f>
        <v>0</v>
      </c>
      <c r="P9" cm="1">
        <f t="array" ref="P9">IF(COUNT(_xlfn._xlws.FILTER('TERadj'!DD2:DD100, ('TERadj'!DD2:DD100&gt;0))),COUNT(_xlfn._xlws.FILTER('TERadj'!DD2:DD100, ('TERadj'!DD2:DD100&gt;0))),"")</f>
        <v>0</v>
      </c>
    </row>
    <row r="10" spans="1:16">
      <c r="B10" t="s">
        <v>938</v>
      </c>
      <c r="C10">
        <f>IF(SUMIFS('TERadj'!DE2:DE100,'TERadj'!DE2:DE100,"&gt;0")/1000,SUMIFS('TERadj'!DE2:DE100,'TERadj'!DE2:DE100,"&gt;0")/1000,"")</f>
        <v>0</v>
      </c>
      <c r="D10">
        <f>IF(SUMIFS('TERadj'!DF2:DF100,'TERadj'!DF2:DF100,"&gt;0")/1000,SUMIFS('TERadj'!DF2:DF100,'TERadj'!DF2:DF100,"&gt;0")/1000,"")</f>
        <v>0</v>
      </c>
      <c r="E10">
        <f>IF(SUMIFS('TERadj'!DG2:DG100,'TERadj'!DG2:DG100,"&gt;0")/1000,SUMIFS('TERadj'!DG2:DG100,'TERadj'!DG2:DG100,"&gt;0")/1000,"")</f>
        <v>0</v>
      </c>
      <c r="F10">
        <f>IF(SUMIFS('TERadj'!DH2:DH100,'TERadj'!DH2:DH100,"&gt;0")/1000,SUMIFS('TERadj'!DH2:DH100,'TERadj'!DH2:DH100,"&gt;0")/1000,"")</f>
        <v>0</v>
      </c>
      <c r="G10">
        <f>IF(SUMIFS('TERadj'!DI2:DI100,'TERadj'!DI2:DI100,"&gt;0")/1000,SUMIFS('TERadj'!DI2:DI100,'TERadj'!DI2:DI100,"&gt;0")/1000,"")</f>
        <v>0</v>
      </c>
      <c r="H10">
        <f>IF(SUMIFS('TERadj'!DJ2:DJ100,'TERadj'!DJ2:DJ100,"&gt;0")/1000,SUMIFS('TERadj'!DJ2:DJ100,'TERadj'!DJ2:DJ100,"&gt;0")/1000,"")</f>
        <v>0</v>
      </c>
      <c r="J10" t="s">
        <v>938</v>
      </c>
      <c r="K10" cm="1">
        <f t="array" ref="K10">IF(COUNT(_xlfn._xlws.FILTER('TERadj'!DE2:DE100, ('TERadj'!DE2:DE100&gt;0))),COUNT(_xlfn._xlws.FILTER('TERadj'!DE2:DE100, ('TERadj'!DE2:DE100&gt;0))),"")</f>
        <v>0</v>
      </c>
      <c r="L10" cm="1">
        <f t="array" ref="L10">IF(COUNT(_xlfn._xlws.FILTER('TERadj'!DF2:DF100, ('TERadj'!DF2:DF100&gt;0))),COUNT(_xlfn._xlws.FILTER('TERadj'!DF2:DF100, ('TERadj'!DF2:DF100&gt;0))),"")</f>
        <v>0</v>
      </c>
      <c r="M10" cm="1">
        <f t="array" ref="M10">IF(COUNT(_xlfn._xlws.FILTER('TERadj'!DG2:DG100, ('TERadj'!DG2:DG100&gt;0))),COUNT(_xlfn._xlws.FILTER('TERadj'!DG2:DG100, ('TERadj'!DG2:DG100&gt;0))),"")</f>
        <v>0</v>
      </c>
      <c r="N10" cm="1">
        <f t="array" ref="N10">IF(COUNT(_xlfn._xlws.FILTER('TERadj'!DH2:DH100, ('TERadj'!DH2:DH100&gt;0))),COUNT(_xlfn._xlws.FILTER('TERadj'!DH2:DH100, ('TERadj'!DH2:DH100&gt;0))),"")</f>
        <v>0</v>
      </c>
      <c r="O10" cm="1">
        <f t="array" ref="O10">IF(COUNT(_xlfn._xlws.FILTER('TERadj'!DI2:DI100, ('TERadj'!DI2:DI100&gt;0))),COUNT(_xlfn._xlws.FILTER('TERadj'!DI2:DI100, ('TERadj'!DI2:DI100&gt;0))),"")</f>
        <v>0</v>
      </c>
      <c r="P10" cm="1">
        <f t="array" ref="P10">IF(COUNT(_xlfn._xlws.FILTER('TERadj'!DJ2:DJ100, ('TERadj'!DJ2:DJ100&gt;0))),COUNT(_xlfn._xlws.FILTER('TERadj'!DJ2:DJ100, ('TERadj'!DJ2:DJ100&gt;0))),"")</f>
        <v>0</v>
      </c>
    </row>
    <row r="12" spans="1:16">
      <c r="B12" t="s">
        <v>915</v>
      </c>
      <c r="C12" t="s">
        <v>839</v>
      </c>
      <c r="D12" t="s">
        <v>840</v>
      </c>
      <c r="E12" t="s">
        <v>838</v>
      </c>
      <c r="F12" t="s">
        <v>886</v>
      </c>
      <c r="G12" t="s">
        <v>841</v>
      </c>
      <c r="H12" t="s">
        <v>898</v>
      </c>
    </row>
    <row r="13" spans="1:16">
      <c r="B13" t="s">
        <v>933</v>
      </c>
      <c r="C13" s="5">
        <f>IF(SUM(K4:K10) &gt; 0, IF(AND(SUM(C4:C10)&gt;0, ISNUMBER(C4)),C4/SUM(C4:C10), ""), "")</f>
        <v>0</v>
      </c>
      <c r="D13" s="5">
        <f>IF(SUM(K4:K10) &gt; 0, IF(AND(SUM(D4:D10)&gt;0, ISNUMBER(D4)),D4/SUM(D4:D10), ""), "")</f>
        <v>0</v>
      </c>
      <c r="E13" s="5">
        <f>IF(SUM(K4:K10) &gt; 0, IF(AND(SUM(E4:E10)&gt;0, ISNUMBER(E4)),E4/SUM(E4:E10), ""), "")</f>
        <v>0</v>
      </c>
      <c r="F13" s="5">
        <f>IF(SUM(K4:K10) &gt; 0, IF(AND(SUM(F4:F10)&gt;0, ISNUMBER(F4)),F4/SUM(F4:F10), ""), "")</f>
        <v>0</v>
      </c>
      <c r="G13" s="5">
        <f>IF(SUM(K4:K10) &gt; 0, IF(AND(SUM(G4:G10)&gt;0, ISNUMBER(G4)),G4/SUM(G4:G10), ""), "")</f>
        <v>0</v>
      </c>
      <c r="H13" s="5">
        <f>IF(SUM(K4:K10) &gt; 0, IF(AND(SUM(H4:H10)&gt;0, ISNUMBER(H4)),H4/SUM(H4:H10), ""), "")</f>
        <v>0</v>
      </c>
    </row>
    <row r="14" spans="1:16">
      <c r="B14" t="s">
        <v>934</v>
      </c>
      <c r="C14" s="5">
        <f>IF(SUM(K4:K10) &gt; 0, IF(AND(SUM(C4:C10)&gt;0, ISNUMBER(C5)),C5/SUM(C4:C10), ""), "")</f>
        <v>0</v>
      </c>
      <c r="D14" s="5">
        <f>IF(SUM(K4:K10) &gt; 0, IF(AND(SUM(D4:D10)&gt;0, ISNUMBER(D5)),D5/SUM(D4:D10), ""), "")</f>
        <v>0</v>
      </c>
      <c r="E14" s="5">
        <f>IF(SUM(K4:K10) &gt; 0, IF(AND(SUM(E4:E10)&gt;0, ISNUMBER(E5)),E5/SUM(E4:E10), ""), "")</f>
        <v>0</v>
      </c>
      <c r="F14" s="5">
        <f>IF(SUM(K4:K10) &gt; 0, IF(AND(SUM(F4:F10)&gt;0, ISNUMBER(F5)),F5/SUM(F4:F10), ""), "")</f>
        <v>0</v>
      </c>
      <c r="G14" s="5">
        <f>IF(SUM(K4:K10) &gt; 0, IF(AND(SUM(G4:G10)&gt;0, ISNUMBER(G5)),G5/SUM(G4:G10), ""), "")</f>
        <v>0</v>
      </c>
      <c r="H14" s="5">
        <f>IF(SUM(K4:K10) &gt; 0, IF(AND(SUM(H4:H10)&gt;0, ISNUMBER(H5)),H5/SUM(H4:H10), ""), "")</f>
        <v>0</v>
      </c>
    </row>
    <row r="15" spans="1:16">
      <c r="B15" t="s">
        <v>935</v>
      </c>
      <c r="C15" s="5">
        <f>IF(SUM(K4:K10) &gt; 0, IF(AND(SUM(C4:C10)&gt;0, ISNUMBER(C6)),C6/SUM(C4:C10), ""), "")</f>
        <v>0</v>
      </c>
      <c r="D15" s="5">
        <f>IF(SUM(K4:K10) &gt; 0, IF(AND(SUM(D4:D10)&gt;0, ISNUMBER(D6)),D6/SUM(D4:D10), ""), "")</f>
        <v>0</v>
      </c>
      <c r="E15" s="5">
        <f>IF(SUM(K4:K10) &gt; 0, IF(AND(SUM(E4:E10)&gt;0, ISNUMBER(E6)),E6/SUM(E4:E10), ""), "")</f>
        <v>0</v>
      </c>
      <c r="F15" s="5">
        <f>IF(SUM(K4:K10) &gt; 0, IF(AND(SUM(F4:F10)&gt;0, ISNUMBER(F6)),F6/SUM(F4:F10), ""), "")</f>
        <v>0</v>
      </c>
      <c r="G15" s="5">
        <f>IF(SUM(K4:K10) &gt; 0, IF(AND(SUM(G4:G10)&gt;0, ISNUMBER(G6)),G6/SUM(G4:G10), ""), "")</f>
        <v>0</v>
      </c>
      <c r="H15" s="5">
        <f>IF(SUM(K4:K10) &gt; 0, IF(AND(SUM(H4:H10)&gt;0, ISNUMBER(H6)),H6/SUM(H4:H10), ""), "")</f>
        <v>0</v>
      </c>
    </row>
    <row r="16" spans="1:16">
      <c r="B16" t="s">
        <v>878</v>
      </c>
      <c r="C16" s="5">
        <f>IF(SUM(K4:K10) &gt; 0, IF(AND(SUM(C4:C10)&gt;0, ISNUMBER(C7)),C7/SUM(C4:C10), ""), "")</f>
        <v>0</v>
      </c>
      <c r="D16" s="5">
        <f>IF(SUM(K4:K10) &gt; 0, IF(AND(SUM(D4:D10)&gt;0, ISNUMBER(D7)),D7/SUM(D4:D10), ""), "")</f>
        <v>0</v>
      </c>
      <c r="E16" s="5">
        <f>IF(SUM(K4:K10) &gt; 0, IF(AND(SUM(E4:E10)&gt;0, ISNUMBER(E7)),E7/SUM(E4:E10), ""), "")</f>
        <v>0</v>
      </c>
      <c r="F16" s="5">
        <f>IF(SUM(K4:K10) &gt; 0, IF(AND(SUM(F4:F10)&gt;0, ISNUMBER(F7)),F7/SUM(F4:F10), ""), "")</f>
        <v>0</v>
      </c>
      <c r="G16" s="5">
        <f>IF(SUM(K4:K10) &gt; 0, IF(AND(SUM(G4:G10)&gt;0, ISNUMBER(G7)),G7/SUM(G4:G10), ""), "")</f>
        <v>0</v>
      </c>
      <c r="H16" s="5">
        <f>IF(SUM(K4:K10) &gt; 0, IF(AND(SUM(H4:H10)&gt;0, ISNUMBER(H7)),H7/SUM(H4:H10), ""), "")</f>
        <v>0</v>
      </c>
    </row>
    <row r="17" spans="2:8">
      <c r="B17" t="s">
        <v>936</v>
      </c>
      <c r="C17" s="5">
        <f>IF(SUM(K4:K10) &gt; 0, IF(AND(SUM(C4:C10)&gt;0, ISNUMBER(C8)),C8/SUM(C4:C10), ""), "")</f>
        <v>0</v>
      </c>
      <c r="D17" s="5">
        <f>IF(SUM(K4:K10) &gt; 0, IF(AND(SUM(D4:D10)&gt;0, ISNUMBER(D8)),D8/SUM(D4:D10), ""), "")</f>
        <v>0</v>
      </c>
      <c r="E17" s="5">
        <f>IF(SUM(K4:K10) &gt; 0, IF(AND(SUM(E4:E10)&gt;0, ISNUMBER(E8)),E8/SUM(E4:E10), ""), "")</f>
        <v>0</v>
      </c>
      <c r="F17" s="5">
        <f>IF(SUM(K4:K10) &gt; 0, IF(AND(SUM(F4:F10)&gt;0, ISNUMBER(F8)),F8/SUM(F4:F10), ""), "")</f>
        <v>0</v>
      </c>
      <c r="G17" s="5">
        <f>IF(SUM(K4:K10) &gt; 0, IF(AND(SUM(G4:G10)&gt;0, ISNUMBER(G8)),G8/SUM(G4:G10), ""), "")</f>
        <v>0</v>
      </c>
      <c r="H17" s="5">
        <f>IF(SUM(K4:K10) &gt; 0, IF(AND(SUM(H4:H10)&gt;0, ISNUMBER(H8)),H8/SUM(H4:H10), ""), "")</f>
        <v>0</v>
      </c>
    </row>
    <row r="18" spans="2:8">
      <c r="B18" t="s">
        <v>881</v>
      </c>
      <c r="C18" s="5">
        <f>IF(SUM(K4:K10) &gt; 0, IF(AND(SUM(C4:C10)&gt;0, ISNUMBER(C9)),C9/SUM(C4:C10), ""), "")</f>
        <v>0</v>
      </c>
      <c r="D18" s="5">
        <f>IF(SUM(K4:K10) &gt; 0, IF(AND(SUM(D4:D10)&gt;0, ISNUMBER(D9)),D9/SUM(D4:D10), ""), "")</f>
        <v>0</v>
      </c>
      <c r="E18" s="5">
        <f>IF(SUM(K4:K10) &gt; 0, IF(AND(SUM(E4:E10)&gt;0, ISNUMBER(E9)),E9/SUM(E4:E10), ""), "")</f>
        <v>0</v>
      </c>
      <c r="F18" s="5">
        <f>IF(SUM(K4:K10) &gt; 0, IF(AND(SUM(F4:F10)&gt;0, ISNUMBER(F9)),F9/SUM(F4:F10), ""), "")</f>
        <v>0</v>
      </c>
      <c r="G18" s="5">
        <f>IF(SUM(K4:K10) &gt; 0, IF(AND(SUM(G4:G10)&gt;0, ISNUMBER(G9)),G9/SUM(G4:G10), ""), "")</f>
        <v>0</v>
      </c>
      <c r="H18" s="5">
        <f>IF(SUM(K4:K10) &gt; 0, IF(AND(SUM(H4:H10)&gt;0, ISNUMBER(H9)),H9/SUM(H4:H10), ""), "")</f>
        <v>0</v>
      </c>
    </row>
    <row r="19" spans="2:8">
      <c r="B19" t="s">
        <v>938</v>
      </c>
      <c r="C19" s="5">
        <f>IF(SUM(K4:K10) &gt; 0, IF(AND(SUM(C4:C10)&gt;0, ISNUMBER(C10)),C10/SUM(C4:C10), ""), "")</f>
        <v>0</v>
      </c>
      <c r="D19" s="5">
        <f>IF(SUM(K4:K10) &gt; 0, IF(AND(SUM(D4:D10)&gt;0, ISNUMBER(D10)),D10/SUM(D4:D10), ""), "")</f>
        <v>0</v>
      </c>
      <c r="E19" s="5">
        <f>IF(SUM(K4:K10) &gt; 0, IF(AND(SUM(E4:E10)&gt;0, ISNUMBER(E10)),E10/SUM(E4:E10), ""), "")</f>
        <v>0</v>
      </c>
      <c r="F19" s="5">
        <f>IF(SUM(K4:K10) &gt; 0, IF(AND(SUM(F4:F10)&gt;0, ISNUMBER(F10)),F10/SUM(F4:F10), ""), "")</f>
        <v>0</v>
      </c>
      <c r="G19" s="5">
        <f>IF(SUM(K4:K10) &gt; 0, IF(AND(SUM(G4:G10)&gt;0, ISNUMBER(G10)),G10/SUM(G4:G10), ""), "")</f>
        <v>0</v>
      </c>
      <c r="H19" s="5">
        <f>IF(SUM(K4:K10) &gt; 0, IF(AND(SUM(H4:H10)&gt;0, ISNUMBER(H10)),H10/SUM(H4:H10), ""), "")</f>
        <v>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033A0"/>
  </sheetPr>
  <dimension ref="A1:P19"/>
  <sheetViews>
    <sheetView workbookViewId="0"/>
  </sheetViews>
  <sheetFormatPr defaultRowHeight="15"/>
  <sheetData>
    <row r="1" spans="1:16" s="3" customFormat="1" ht="40" customHeight="1">
      <c r="A1" s="3" t="s">
        <v>1007</v>
      </c>
    </row>
    <row r="3" spans="1:16">
      <c r="B3" t="s">
        <v>915</v>
      </c>
      <c r="C3" t="s">
        <v>839</v>
      </c>
      <c r="D3" t="s">
        <v>840</v>
      </c>
      <c r="E3" t="s">
        <v>838</v>
      </c>
      <c r="F3" t="s">
        <v>886</v>
      </c>
      <c r="G3" t="s">
        <v>841</v>
      </c>
      <c r="H3" t="s">
        <v>898</v>
      </c>
      <c r="J3" t="s">
        <v>915</v>
      </c>
      <c r="K3" t="s">
        <v>921</v>
      </c>
      <c r="L3" t="s">
        <v>922</v>
      </c>
      <c r="M3" t="s">
        <v>923</v>
      </c>
      <c r="N3" t="s">
        <v>1006</v>
      </c>
      <c r="O3" t="s">
        <v>924</v>
      </c>
      <c r="P3" t="s">
        <v>925</v>
      </c>
    </row>
    <row r="4" spans="1:16">
      <c r="B4" t="s">
        <v>933</v>
      </c>
      <c r="C4">
        <f>IF(SUMIFS('TERadj'!DK2:DK100,'TERadj'!DK2:DK100,"&gt;0"),SUMIFS('TERadj'!DK2:DK100,'TERadj'!DK2:DK100,"&gt;0"),"")</f>
        <v>0</v>
      </c>
      <c r="D4">
        <f>IF(SUMIFS('TERadj'!DL2:DL100,'TERadj'!DL2:DL100,"&gt;0"),SUMIFS('TERadj'!DL2:DL100,'TERadj'!DL2:DL100,"&gt;0"),"")</f>
        <v>0</v>
      </c>
      <c r="E4">
        <f>IF(SUMIFS('TERadj'!DM2:DM100,'TERadj'!DM2:DM100,"&gt;0"),SUMIFS('TERadj'!DM2:DM100,'TERadj'!DM2:DM100,"&gt;0"),"")</f>
        <v>0</v>
      </c>
      <c r="F4">
        <f>IF(SUMIFS('TERadj'!DN2:DN100,'TERadj'!DN2:DN100,"&gt;0"),SUMIFS('TERadj'!DN2:DN100,'TERadj'!DN2:DN100,"&gt;0"),"")</f>
        <v>0</v>
      </c>
      <c r="G4">
        <f>IF(SUMIFS('TERadj'!DO2:DO100,'TERadj'!DO2:DO100,"&gt;0"),SUMIFS('TERadj'!DO2:DO100,'TERadj'!DO2:DO100,"&gt;0"),"")</f>
        <v>0</v>
      </c>
      <c r="H4">
        <f>IF(SUMIFS('TERadj'!DP2:DP100,'TERadj'!DP2:DP100,"&gt;0"),SUMIFS('TERadj'!DP2:DP100,'TERadj'!DP2:DP100,"&gt;0"),"")</f>
        <v>0</v>
      </c>
      <c r="J4" t="s">
        <v>933</v>
      </c>
      <c r="K4" cm="1">
        <f t="array" ref="K4">IF(COUNT(_xlfn._xlws.FILTER('TERadj'!DK2:DK100, ('TERadj'!DK2:DK100&gt;0))),COUNT(_xlfn._xlws.FILTER('TERadj'!DK2:DK100, ('TERadj'!DK2:DK100&gt;0))),"")</f>
        <v>0</v>
      </c>
      <c r="L4" cm="1">
        <f t="array" ref="L4">IF(COUNT(_xlfn._xlws.FILTER('TERadj'!DL2:DL100, ('TERadj'!DL2:DL100&gt;0))),COUNT(_xlfn._xlws.FILTER('TERadj'!DL2:DL100, ('TERadj'!DL2:DL100&gt;0))),"")</f>
        <v>0</v>
      </c>
      <c r="M4" cm="1">
        <f t="array" ref="M4">IF(COUNT(_xlfn._xlws.FILTER('TERadj'!DM2:DM100, ('TERadj'!DM2:DM100&gt;0))),COUNT(_xlfn._xlws.FILTER('TERadj'!DM2:DM100, ('TERadj'!DM2:DM100&gt;0))),"")</f>
        <v>0</v>
      </c>
      <c r="N4" cm="1">
        <f t="array" ref="N4">IF(COUNT(_xlfn._xlws.FILTER('TERadj'!DN2:DN100, ('TERadj'!DN2:DN100&gt;0))),COUNT(_xlfn._xlws.FILTER('TERadj'!DN2:DN100, ('TERadj'!DN2:DN100&gt;0))),"")</f>
        <v>0</v>
      </c>
      <c r="O4" cm="1">
        <f t="array" ref="O4">IF(COUNT(_xlfn._xlws.FILTER('TERadj'!DO2:DO100, ('TERadj'!DO2:DO100&gt;0))),COUNT(_xlfn._xlws.FILTER('TERadj'!DO2:DO100, ('TERadj'!DO2:DO100&gt;0))),"")</f>
        <v>0</v>
      </c>
      <c r="P4" cm="1">
        <f t="array" ref="P4">IF(COUNT(_xlfn._xlws.FILTER('TERadj'!DP2:DP100, ('TERadj'!DP2:DP100&gt;0))),COUNT(_xlfn._xlws.FILTER('TERadj'!DP2:DP100, ('TERadj'!DP2:DP100&gt;0))),"")</f>
        <v>0</v>
      </c>
    </row>
    <row r="5" spans="1:16">
      <c r="B5" t="s">
        <v>934</v>
      </c>
      <c r="C5">
        <f>IF(SUMIFS('TERadj'!DQ2:DQ100,'TERadj'!DQ2:DQ100,"&gt;0"),SUMIFS('TERadj'!DQ2:DQ100,'TERadj'!DQ2:DQ100,"&gt;0"),"")</f>
        <v>0</v>
      </c>
      <c r="D5">
        <f>IF(SUMIFS('TERadj'!DR2:DR100,'TERadj'!DR2:DR100,"&gt;0"),SUMIFS('TERadj'!DR2:DR100,'TERadj'!DR2:DR100,"&gt;0"),"")</f>
        <v>0</v>
      </c>
      <c r="E5">
        <f>IF(SUMIFS('TERadj'!DS2:DS100,'TERadj'!DS2:DS100,"&gt;0"),SUMIFS('TERadj'!DS2:DS100,'TERadj'!DS2:DS100,"&gt;0"),"")</f>
        <v>0</v>
      </c>
      <c r="F5">
        <f>IF(SUMIFS('TERadj'!DT2:DT100,'TERadj'!DT2:DT100,"&gt;0"),SUMIFS('TERadj'!DT2:DT100,'TERadj'!DT2:DT100,"&gt;0"),"")</f>
        <v>0</v>
      </c>
      <c r="G5">
        <f>IF(SUMIFS('TERadj'!DU2:DU100,'TERadj'!DU2:DU100,"&gt;0"),SUMIFS('TERadj'!DU2:DU100,'TERadj'!DU2:DU100,"&gt;0"),"")</f>
        <v>0</v>
      </c>
      <c r="H5">
        <f>IF(SUMIFS('TERadj'!DV2:DV100,'TERadj'!DV2:DV100,"&gt;0"),SUMIFS('TERadj'!DV2:DV100,'TERadj'!DV2:DV100,"&gt;0"),"")</f>
        <v>0</v>
      </c>
      <c r="J5" t="s">
        <v>934</v>
      </c>
      <c r="K5" cm="1">
        <f t="array" ref="K5">IF(COUNT(_xlfn._xlws.FILTER('TERadj'!DQ2:DQ100, ('TERadj'!DQ2:DQ100&gt;0))),COUNT(_xlfn._xlws.FILTER('TERadj'!DQ2:DQ100, ('TERadj'!DQ2:DQ100&gt;0))),"")</f>
        <v>0</v>
      </c>
      <c r="L5" cm="1">
        <f t="array" ref="L5">IF(COUNT(_xlfn._xlws.FILTER('TERadj'!DR2:DR100, ('TERadj'!DR2:DR100&gt;0))),COUNT(_xlfn._xlws.FILTER('TERadj'!DR2:DR100, ('TERadj'!DR2:DR100&gt;0))),"")</f>
        <v>0</v>
      </c>
      <c r="M5" cm="1">
        <f t="array" ref="M5">IF(COUNT(_xlfn._xlws.FILTER('TERadj'!DS2:DS100, ('TERadj'!DS2:DS100&gt;0))),COUNT(_xlfn._xlws.FILTER('TERadj'!DS2:DS100, ('TERadj'!DS2:DS100&gt;0))),"")</f>
        <v>0</v>
      </c>
      <c r="N5" cm="1">
        <f t="array" ref="N5">IF(COUNT(_xlfn._xlws.FILTER('TERadj'!DT2:DT100, ('TERadj'!DT2:DT100&gt;0))),COUNT(_xlfn._xlws.FILTER('TERadj'!DT2:DT100, ('TERadj'!DT2:DT100&gt;0))),"")</f>
        <v>0</v>
      </c>
      <c r="O5" cm="1">
        <f t="array" ref="O5">IF(COUNT(_xlfn._xlws.FILTER('TERadj'!DU2:DU100, ('TERadj'!DU2:DU100&gt;0))),COUNT(_xlfn._xlws.FILTER('TERadj'!DU2:DU100, ('TERadj'!DU2:DU100&gt;0))),"")</f>
        <v>0</v>
      </c>
      <c r="P5" cm="1">
        <f t="array" ref="P5">IF(COUNT(_xlfn._xlws.FILTER('TERadj'!DV2:DV100, ('TERadj'!DV2:DV100&gt;0))),COUNT(_xlfn._xlws.FILTER('TERadj'!DV2:DV100, ('TERadj'!DV2:DV100&gt;0))),"")</f>
        <v>0</v>
      </c>
    </row>
    <row r="6" spans="1:16">
      <c r="B6" t="s">
        <v>935</v>
      </c>
      <c r="C6">
        <f>IF(SUMIFS('TERadj'!DW2:DW100,'TERadj'!DW2:DW100,"&gt;0"),SUMIFS('TERadj'!DW2:DW100,'TERadj'!DW2:DW100,"&gt;0"),"")</f>
        <v>0</v>
      </c>
      <c r="D6">
        <f>IF(SUMIFS('TERadj'!DX2:DX100,'TERadj'!DX2:DX100,"&gt;0"),SUMIFS('TERadj'!DX2:DX100,'TERadj'!DX2:DX100,"&gt;0"),"")</f>
        <v>0</v>
      </c>
      <c r="E6">
        <f>IF(SUMIFS('TERadj'!DY2:DY100,'TERadj'!DY2:DY100,"&gt;0"),SUMIFS('TERadj'!DY2:DY100,'TERadj'!DY2:DY100,"&gt;0"),"")</f>
        <v>0</v>
      </c>
      <c r="F6">
        <f>IF(SUMIFS('TERadj'!DZ2:DZ100,'TERadj'!DZ2:DZ100,"&gt;0"),SUMIFS('TERadj'!DZ2:DZ100,'TERadj'!DZ2:DZ100,"&gt;0"),"")</f>
        <v>0</v>
      </c>
      <c r="G6">
        <f>IF(SUMIFS('TERadj'!EA2:EA100,'TERadj'!EA2:EA100,"&gt;0"),SUMIFS('TERadj'!EA2:EA100,'TERadj'!EA2:EA100,"&gt;0"),"")</f>
        <v>0</v>
      </c>
      <c r="H6">
        <f>IF(SUMIFS('TERadj'!EB2:EB100,'TERadj'!EB2:EB100,"&gt;0"),SUMIFS('TERadj'!EB2:EB100,'TERadj'!EB2:EB100,"&gt;0"),"")</f>
        <v>0</v>
      </c>
      <c r="J6" t="s">
        <v>935</v>
      </c>
      <c r="K6" cm="1">
        <f t="array" ref="K6">IF(COUNT(_xlfn._xlws.FILTER('TERadj'!DW2:DW100, ('TERadj'!DW2:DW100&gt;0))),COUNT(_xlfn._xlws.FILTER('TERadj'!DW2:DW100, ('TERadj'!DW2:DW100&gt;0))),"")</f>
        <v>0</v>
      </c>
      <c r="L6" cm="1">
        <f t="array" ref="L6">IF(COUNT(_xlfn._xlws.FILTER('TERadj'!DX2:DX100, ('TERadj'!DX2:DX100&gt;0))),COUNT(_xlfn._xlws.FILTER('TERadj'!DX2:DX100, ('TERadj'!DX2:DX100&gt;0))),"")</f>
        <v>0</v>
      </c>
      <c r="M6" cm="1">
        <f t="array" ref="M6">IF(COUNT(_xlfn._xlws.FILTER('TERadj'!DY2:DY100, ('TERadj'!DY2:DY100&gt;0))),COUNT(_xlfn._xlws.FILTER('TERadj'!DY2:DY100, ('TERadj'!DY2:DY100&gt;0))),"")</f>
        <v>0</v>
      </c>
      <c r="N6" cm="1">
        <f t="array" ref="N6">IF(COUNT(_xlfn._xlws.FILTER('TERadj'!DZ2:DZ100, ('TERadj'!DZ2:DZ100&gt;0))),COUNT(_xlfn._xlws.FILTER('TERadj'!DZ2:DZ100, ('TERadj'!DZ2:DZ100&gt;0))),"")</f>
        <v>0</v>
      </c>
      <c r="O6" cm="1">
        <f t="array" ref="O6">IF(COUNT(_xlfn._xlws.FILTER('TERadj'!EA2:EA100, ('TERadj'!EA2:EA100&gt;0))),COUNT(_xlfn._xlws.FILTER('TERadj'!EA2:EA100, ('TERadj'!EA2:EA100&gt;0))),"")</f>
        <v>0</v>
      </c>
      <c r="P6" cm="1">
        <f t="array" ref="P6">IF(COUNT(_xlfn._xlws.FILTER('TERadj'!EB2:EB100, ('TERadj'!EB2:EB100&gt;0))),COUNT(_xlfn._xlws.FILTER('TERadj'!EB2:EB100, ('TERadj'!EB2:EB100&gt;0))),"")</f>
        <v>0</v>
      </c>
    </row>
    <row r="7" spans="1:16">
      <c r="B7" t="s">
        <v>878</v>
      </c>
      <c r="C7">
        <f>IF(SUMIFS('TERadj'!EC2:EC100,'TERadj'!EC2:EC100,"&gt;0"),SUMIFS('TERadj'!EC2:EC100,'TERadj'!EC2:EC100,"&gt;0"),"")</f>
        <v>0</v>
      </c>
      <c r="D7">
        <f>IF(SUMIFS('TERadj'!ED2:ED100,'TERadj'!ED2:ED100,"&gt;0"),SUMIFS('TERadj'!ED2:ED100,'TERadj'!ED2:ED100,"&gt;0"),"")</f>
        <v>0</v>
      </c>
      <c r="E7">
        <f>IF(SUMIFS('TERadj'!EE2:EE100,'TERadj'!EE2:EE100,"&gt;0"),SUMIFS('TERadj'!EE2:EE100,'TERadj'!EE2:EE100,"&gt;0"),"")</f>
        <v>0</v>
      </c>
      <c r="F7">
        <f>IF(SUMIFS('TERadj'!EF2:EF100,'TERadj'!EF2:EF100,"&gt;0"),SUMIFS('TERadj'!EF2:EF100,'TERadj'!EF2:EF100,"&gt;0"),"")</f>
        <v>0</v>
      </c>
      <c r="G7">
        <f>IF(SUMIFS('TERadj'!EG2:EG100,'TERadj'!EG2:EG100,"&gt;0"),SUMIFS('TERadj'!EG2:EG100,'TERadj'!EG2:EG100,"&gt;0"),"")</f>
        <v>0</v>
      </c>
      <c r="H7">
        <f>IF(SUMIFS('TERadj'!EH2:EH100,'TERadj'!EH2:EH100,"&gt;0"),SUMIFS('TERadj'!EH2:EH100,'TERadj'!EH2:EH100,"&gt;0"),"")</f>
        <v>0</v>
      </c>
      <c r="J7" t="s">
        <v>878</v>
      </c>
      <c r="K7" cm="1">
        <f t="array" ref="K7">IF(COUNT(_xlfn._xlws.FILTER('TERadj'!EC2:EC100, ('TERadj'!EC2:EC100&gt;0))),COUNT(_xlfn._xlws.FILTER('TERadj'!EC2:EC100, ('TERadj'!EC2:EC100&gt;0))),"")</f>
        <v>0</v>
      </c>
      <c r="L7" cm="1">
        <f t="array" ref="L7">IF(COUNT(_xlfn._xlws.FILTER('TERadj'!ED2:ED100, ('TERadj'!ED2:ED100&gt;0))),COUNT(_xlfn._xlws.FILTER('TERadj'!ED2:ED100, ('TERadj'!ED2:ED100&gt;0))),"")</f>
        <v>0</v>
      </c>
      <c r="M7" cm="1">
        <f t="array" ref="M7">IF(COUNT(_xlfn._xlws.FILTER('TERadj'!EE2:EE100, ('TERadj'!EE2:EE100&gt;0))),COUNT(_xlfn._xlws.FILTER('TERadj'!EE2:EE100, ('TERadj'!EE2:EE100&gt;0))),"")</f>
        <v>0</v>
      </c>
      <c r="N7" cm="1">
        <f t="array" ref="N7">IF(COUNT(_xlfn._xlws.FILTER('TERadj'!EF2:EF100, ('TERadj'!EF2:EF100&gt;0))),COUNT(_xlfn._xlws.FILTER('TERadj'!EF2:EF100, ('TERadj'!EF2:EF100&gt;0))),"")</f>
        <v>0</v>
      </c>
      <c r="O7" cm="1">
        <f t="array" ref="O7">IF(COUNT(_xlfn._xlws.FILTER('TERadj'!EG2:EG100, ('TERadj'!EG2:EG100&gt;0))),COUNT(_xlfn._xlws.FILTER('TERadj'!EG2:EG100, ('TERadj'!EG2:EG100&gt;0))),"")</f>
        <v>0</v>
      </c>
      <c r="P7" cm="1">
        <f t="array" ref="P7">IF(COUNT(_xlfn._xlws.FILTER('TERadj'!EH2:EH100, ('TERadj'!EH2:EH100&gt;0))),COUNT(_xlfn._xlws.FILTER('TERadj'!EH2:EH100, ('TERadj'!EH2:EH100&gt;0))),"")</f>
        <v>0</v>
      </c>
    </row>
    <row r="8" spans="1:16">
      <c r="B8" t="s">
        <v>936</v>
      </c>
      <c r="C8">
        <f>IF(SUMIFS('TERadj'!EI2:EI100,'TERadj'!EI2:EI100,"&gt;0"),SUMIFS('TERadj'!EI2:EI100,'TERadj'!EI2:EI100,"&gt;0"),"")</f>
        <v>0</v>
      </c>
      <c r="D8">
        <f>IF(SUMIFS('TERadj'!EJ2:EJ100,'TERadj'!EJ2:EJ100,"&gt;0"),SUMIFS('TERadj'!EJ2:EJ100,'TERadj'!EJ2:EJ100,"&gt;0"),"")</f>
        <v>0</v>
      </c>
      <c r="E8">
        <f>IF(SUMIFS('TERadj'!EK2:EK100,'TERadj'!EK2:EK100,"&gt;0"),SUMIFS('TERadj'!EK2:EK100,'TERadj'!EK2:EK100,"&gt;0"),"")</f>
        <v>0</v>
      </c>
      <c r="F8">
        <f>IF(SUMIFS('TERadj'!EL2:EL100,'TERadj'!EL2:EL100,"&gt;0"),SUMIFS('TERadj'!EL2:EL100,'TERadj'!EL2:EL100,"&gt;0"),"")</f>
        <v>0</v>
      </c>
      <c r="G8">
        <f>IF(SUMIFS('TERadj'!EM2:EM100,'TERadj'!EM2:EM100,"&gt;0"),SUMIFS('TERadj'!EM2:EM100,'TERadj'!EM2:EM100,"&gt;0"),"")</f>
        <v>0</v>
      </c>
      <c r="H8">
        <f>IF(SUMIFS('TERadj'!EN2:EN100,'TERadj'!EN2:EN100,"&gt;0"),SUMIFS('TERadj'!EN2:EN100,'TERadj'!EN2:EN100,"&gt;0"),"")</f>
        <v>0</v>
      </c>
      <c r="J8" t="s">
        <v>936</v>
      </c>
      <c r="K8" cm="1">
        <f t="array" ref="K8">IF(COUNT(_xlfn._xlws.FILTER('TERadj'!EI2:EI100, ('TERadj'!EI2:EI100&gt;0))),COUNT(_xlfn._xlws.FILTER('TERadj'!EI2:EI100, ('TERadj'!EI2:EI100&gt;0))),"")</f>
        <v>0</v>
      </c>
      <c r="L8" cm="1">
        <f t="array" ref="L8">IF(COUNT(_xlfn._xlws.FILTER('TERadj'!EJ2:EJ100, ('TERadj'!EJ2:EJ100&gt;0))),COUNT(_xlfn._xlws.FILTER('TERadj'!EJ2:EJ100, ('TERadj'!EJ2:EJ100&gt;0))),"")</f>
        <v>0</v>
      </c>
      <c r="M8" cm="1">
        <f t="array" ref="M8">IF(COUNT(_xlfn._xlws.FILTER('TERadj'!EK2:EK100, ('TERadj'!EK2:EK100&gt;0))),COUNT(_xlfn._xlws.FILTER('TERadj'!EK2:EK100, ('TERadj'!EK2:EK100&gt;0))),"")</f>
        <v>0</v>
      </c>
      <c r="N8" cm="1">
        <f t="array" ref="N8">IF(COUNT(_xlfn._xlws.FILTER('TERadj'!EL2:EL100, ('TERadj'!EL2:EL100&gt;0))),COUNT(_xlfn._xlws.FILTER('TERadj'!EL2:EL100, ('TERadj'!EL2:EL100&gt;0))),"")</f>
        <v>0</v>
      </c>
      <c r="O8" cm="1">
        <f t="array" ref="O8">IF(COUNT(_xlfn._xlws.FILTER('TERadj'!EM2:EM100, ('TERadj'!EM2:EM100&gt;0))),COUNT(_xlfn._xlws.FILTER('TERadj'!EM2:EM100, ('TERadj'!EM2:EM100&gt;0))),"")</f>
        <v>0</v>
      </c>
      <c r="P8" cm="1">
        <f t="array" ref="P8">IF(COUNT(_xlfn._xlws.FILTER('TERadj'!EN2:EN100, ('TERadj'!EN2:EN100&gt;0))),COUNT(_xlfn._xlws.FILTER('TERadj'!EN2:EN100, ('TERadj'!EN2:EN100&gt;0))),"")</f>
        <v>0</v>
      </c>
    </row>
    <row r="9" spans="1:16">
      <c r="B9" t="s">
        <v>881</v>
      </c>
      <c r="C9">
        <f>IF(SUMIFS('TERadj'!EO2:EO100,'TERadj'!EO2:EO100,"&gt;0"),SUMIFS('TERadj'!EO2:EO100,'TERadj'!EO2:EO100,"&gt;0"),"")</f>
        <v>0</v>
      </c>
      <c r="D9">
        <f>IF(SUMIFS('TERadj'!EP2:EP100,'TERadj'!EP2:EP100,"&gt;0"),SUMIFS('TERadj'!EP2:EP100,'TERadj'!EP2:EP100,"&gt;0"),"")</f>
        <v>0</v>
      </c>
      <c r="E9">
        <f>IF(SUMIFS('TERadj'!EQ2:EQ100,'TERadj'!EQ2:EQ100,"&gt;0"),SUMIFS('TERadj'!EQ2:EQ100,'TERadj'!EQ2:EQ100,"&gt;0"),"")</f>
        <v>0</v>
      </c>
      <c r="F9">
        <f>IF(SUMIFS('TERadj'!ER2:ER100,'TERadj'!ER2:ER100,"&gt;0"),SUMIFS('TERadj'!ER2:ER100,'TERadj'!ER2:ER100,"&gt;0"),"")</f>
        <v>0</v>
      </c>
      <c r="G9">
        <f>IF(SUMIFS('TERadj'!ES2:ES100,'TERadj'!ES2:ES100,"&gt;0"),SUMIFS('TERadj'!ES2:ES100,'TERadj'!ES2:ES100,"&gt;0"),"")</f>
        <v>0</v>
      </c>
      <c r="H9">
        <f>IF(SUMIFS('TERadj'!ET2:ET100,'TERadj'!ET2:ET100,"&gt;0"),SUMIFS('TERadj'!ET2:ET100,'TERadj'!ET2:ET100,"&gt;0"),"")</f>
        <v>0</v>
      </c>
      <c r="J9" t="s">
        <v>881</v>
      </c>
      <c r="K9" cm="1">
        <f t="array" ref="K9">IF(COUNT(_xlfn._xlws.FILTER('TERadj'!EO2:EO100, ('TERadj'!EO2:EO100&gt;0))),COUNT(_xlfn._xlws.FILTER('TERadj'!EO2:EO100, ('TERadj'!EO2:EO100&gt;0))),"")</f>
        <v>0</v>
      </c>
      <c r="L9" cm="1">
        <f t="array" ref="L9">IF(COUNT(_xlfn._xlws.FILTER('TERadj'!EP2:EP100, ('TERadj'!EP2:EP100&gt;0))),COUNT(_xlfn._xlws.FILTER('TERadj'!EP2:EP100, ('TERadj'!EP2:EP100&gt;0))),"")</f>
        <v>0</v>
      </c>
      <c r="M9" cm="1">
        <f t="array" ref="M9">IF(COUNT(_xlfn._xlws.FILTER('TERadj'!EQ2:EQ100, ('TERadj'!EQ2:EQ100&gt;0))),COUNT(_xlfn._xlws.FILTER('TERadj'!EQ2:EQ100, ('TERadj'!EQ2:EQ100&gt;0))),"")</f>
        <v>0</v>
      </c>
      <c r="N9" cm="1">
        <f t="array" ref="N9">IF(COUNT(_xlfn._xlws.FILTER('TERadj'!ER2:ER100, ('TERadj'!ER2:ER100&gt;0))),COUNT(_xlfn._xlws.FILTER('TERadj'!ER2:ER100, ('TERadj'!ER2:ER100&gt;0))),"")</f>
        <v>0</v>
      </c>
      <c r="O9" cm="1">
        <f t="array" ref="O9">IF(COUNT(_xlfn._xlws.FILTER('TERadj'!ES2:ES100, ('TERadj'!ES2:ES100&gt;0))),COUNT(_xlfn._xlws.FILTER('TERadj'!ES2:ES100, ('TERadj'!ES2:ES100&gt;0))),"")</f>
        <v>0</v>
      </c>
      <c r="P9" cm="1">
        <f t="array" ref="P9">IF(COUNT(_xlfn._xlws.FILTER('TERadj'!ET2:ET100, ('TERadj'!ET2:ET100&gt;0))),COUNT(_xlfn._xlws.FILTER('TERadj'!ET2:ET100, ('TERadj'!ET2:ET100&gt;0))),"")</f>
        <v>0</v>
      </c>
    </row>
    <row r="10" spans="1:16">
      <c r="B10" t="s">
        <v>938</v>
      </c>
      <c r="J10" t="s">
        <v>938</v>
      </c>
    </row>
    <row r="12" spans="1:16">
      <c r="B12" t="s">
        <v>915</v>
      </c>
      <c r="C12" t="s">
        <v>839</v>
      </c>
      <c r="D12" t="s">
        <v>840</v>
      </c>
      <c r="E12" t="s">
        <v>838</v>
      </c>
      <c r="F12" t="s">
        <v>886</v>
      </c>
      <c r="G12" t="s">
        <v>841</v>
      </c>
      <c r="H12" t="s">
        <v>898</v>
      </c>
    </row>
    <row r="13" spans="1:16">
      <c r="B13" t="s">
        <v>933</v>
      </c>
      <c r="C13" s="5">
        <f>IF(SUM(K4:K10) &gt; 0, IF(AND(SUM(C4:C10)&gt;0, ISNUMBER(C4)),C4/SUM(C4:C10), ""), "")</f>
        <v>0</v>
      </c>
      <c r="D13" s="5">
        <f>IF(SUM(K4:K10) &gt; 0, IF(AND(SUM(D4:D10)&gt;0, ISNUMBER(D4)),D4/SUM(D4:D10), ""), "")</f>
        <v>0</v>
      </c>
      <c r="E13" s="5">
        <f>IF(SUM(K4:K10) &gt; 0, IF(AND(SUM(E4:E10)&gt;0, ISNUMBER(E4)),E4/SUM(E4:E10), ""), "")</f>
        <v>0</v>
      </c>
      <c r="F13" s="5">
        <f>IF(SUM(K4:K10) &gt; 0, IF(AND(SUM(F4:F10)&gt;0, ISNUMBER(F4)),F4/SUM(F4:F10), ""), "")</f>
        <v>0</v>
      </c>
      <c r="G13" s="5">
        <f>IF(SUM(K4:K10) &gt; 0, IF(AND(SUM(G4:G10)&gt;0, ISNUMBER(G4)),G4/SUM(G4:G10), ""), "")</f>
        <v>0</v>
      </c>
      <c r="H13" s="5">
        <f>IF(SUM(K4:K10) &gt; 0, IF(AND(SUM(H4:H10)&gt;0, ISNUMBER(H4)),H4/SUM(H4:H10), ""), "")</f>
        <v>0</v>
      </c>
    </row>
    <row r="14" spans="1:16">
      <c r="B14" t="s">
        <v>934</v>
      </c>
      <c r="C14" s="5">
        <f>IF(SUM(K4:K10) &gt; 0, IF(AND(SUM(C4:C10)&gt;0, ISNUMBER(C5)),C5/SUM(C4:C10), ""), "")</f>
        <v>0</v>
      </c>
      <c r="D14" s="5">
        <f>IF(SUM(K4:K10) &gt; 0, IF(AND(SUM(D4:D10)&gt;0, ISNUMBER(D5)),D5/SUM(D4:D10), ""), "")</f>
        <v>0</v>
      </c>
      <c r="E14" s="5">
        <f>IF(SUM(K4:K10) &gt; 0, IF(AND(SUM(E4:E10)&gt;0, ISNUMBER(E5)),E5/SUM(E4:E10), ""), "")</f>
        <v>0</v>
      </c>
      <c r="F14" s="5">
        <f>IF(SUM(K4:K10) &gt; 0, IF(AND(SUM(F4:F10)&gt;0, ISNUMBER(F5)),F5/SUM(F4:F10), ""), "")</f>
        <v>0</v>
      </c>
      <c r="G14" s="5">
        <f>IF(SUM(K4:K10) &gt; 0, IF(AND(SUM(G4:G10)&gt;0, ISNUMBER(G5)),G5/SUM(G4:G10), ""), "")</f>
        <v>0</v>
      </c>
      <c r="H14" s="5">
        <f>IF(SUM(K4:K10) &gt; 0, IF(AND(SUM(H4:H10)&gt;0, ISNUMBER(H5)),H5/SUM(H4:H10), ""), "")</f>
        <v>0</v>
      </c>
    </row>
    <row r="15" spans="1:16">
      <c r="B15" t="s">
        <v>935</v>
      </c>
      <c r="C15" s="5">
        <f>IF(SUM(K4:K10) &gt; 0, IF(AND(SUM(C4:C10)&gt;0, ISNUMBER(C6)),C6/SUM(C4:C10), ""), "")</f>
        <v>0</v>
      </c>
      <c r="D15" s="5">
        <f>IF(SUM(K4:K10) &gt; 0, IF(AND(SUM(D4:D10)&gt;0, ISNUMBER(D6)),D6/SUM(D4:D10), ""), "")</f>
        <v>0</v>
      </c>
      <c r="E15" s="5">
        <f>IF(SUM(K4:K10) &gt; 0, IF(AND(SUM(E4:E10)&gt;0, ISNUMBER(E6)),E6/SUM(E4:E10), ""), "")</f>
        <v>0</v>
      </c>
      <c r="F15" s="5">
        <f>IF(SUM(K4:K10) &gt; 0, IF(AND(SUM(F4:F10)&gt;0, ISNUMBER(F6)),F6/SUM(F4:F10), ""), "")</f>
        <v>0</v>
      </c>
      <c r="G15" s="5">
        <f>IF(SUM(K4:K10) &gt; 0, IF(AND(SUM(G4:G10)&gt;0, ISNUMBER(G6)),G6/SUM(G4:G10), ""), "")</f>
        <v>0</v>
      </c>
      <c r="H15" s="5">
        <f>IF(SUM(K4:K10) &gt; 0, IF(AND(SUM(H4:H10)&gt;0, ISNUMBER(H6)),H6/SUM(H4:H10), ""), "")</f>
        <v>0</v>
      </c>
    </row>
    <row r="16" spans="1:16">
      <c r="B16" t="s">
        <v>878</v>
      </c>
      <c r="C16" s="5">
        <f>IF(SUM(K4:K10) &gt; 0, IF(AND(SUM(C4:C10)&gt;0, ISNUMBER(C7)),C7/SUM(C4:C10), ""), "")</f>
        <v>0</v>
      </c>
      <c r="D16" s="5">
        <f>IF(SUM(K4:K10) &gt; 0, IF(AND(SUM(D4:D10)&gt;0, ISNUMBER(D7)),D7/SUM(D4:D10), ""), "")</f>
        <v>0</v>
      </c>
      <c r="E16" s="5">
        <f>IF(SUM(K4:K10) &gt; 0, IF(AND(SUM(E4:E10)&gt;0, ISNUMBER(E7)),E7/SUM(E4:E10), ""), "")</f>
        <v>0</v>
      </c>
      <c r="F16" s="5">
        <f>IF(SUM(K4:K10) &gt; 0, IF(AND(SUM(F4:F10)&gt;0, ISNUMBER(F7)),F7/SUM(F4:F10), ""), "")</f>
        <v>0</v>
      </c>
      <c r="G16" s="5">
        <f>IF(SUM(K4:K10) &gt; 0, IF(AND(SUM(G4:G10)&gt;0, ISNUMBER(G7)),G7/SUM(G4:G10), ""), "")</f>
        <v>0</v>
      </c>
      <c r="H16" s="5">
        <f>IF(SUM(K4:K10) &gt; 0, IF(AND(SUM(H4:H10)&gt;0, ISNUMBER(H7)),H7/SUM(H4:H10), ""), "")</f>
        <v>0</v>
      </c>
    </row>
    <row r="17" spans="2:8">
      <c r="B17" t="s">
        <v>936</v>
      </c>
      <c r="C17" s="5">
        <f>IF(SUM(K4:K10) &gt; 0, IF(AND(SUM(C4:C10)&gt;0, ISNUMBER(C8)),C8/SUM(C4:C10), ""), "")</f>
        <v>0</v>
      </c>
      <c r="D17" s="5">
        <f>IF(SUM(K4:K10) &gt; 0, IF(AND(SUM(D4:D10)&gt;0, ISNUMBER(D8)),D8/SUM(D4:D10), ""), "")</f>
        <v>0</v>
      </c>
      <c r="E17" s="5">
        <f>IF(SUM(K4:K10) &gt; 0, IF(AND(SUM(E4:E10)&gt;0, ISNUMBER(E8)),E8/SUM(E4:E10), ""), "")</f>
        <v>0</v>
      </c>
      <c r="F17" s="5">
        <f>IF(SUM(K4:K10) &gt; 0, IF(AND(SUM(F4:F10)&gt;0, ISNUMBER(F8)),F8/SUM(F4:F10), ""), "")</f>
        <v>0</v>
      </c>
      <c r="G17" s="5">
        <f>IF(SUM(K4:K10) &gt; 0, IF(AND(SUM(G4:G10)&gt;0, ISNUMBER(G8)),G8/SUM(G4:G10), ""), "")</f>
        <v>0</v>
      </c>
      <c r="H17" s="5">
        <f>IF(SUM(K4:K10) &gt; 0, IF(AND(SUM(H4:H10)&gt;0, ISNUMBER(H8)),H8/SUM(H4:H10), ""), "")</f>
        <v>0</v>
      </c>
    </row>
    <row r="18" spans="2:8">
      <c r="B18" t="s">
        <v>881</v>
      </c>
      <c r="C18" s="5">
        <f>IF(SUM(K4:K10) &gt; 0, IF(AND(SUM(C4:C10)&gt;0, ISNUMBER(C9)),C9/SUM(C4:C10), ""), "")</f>
        <v>0</v>
      </c>
      <c r="D18" s="5">
        <f>IF(SUM(K4:K10) &gt; 0, IF(AND(SUM(D4:D10)&gt;0, ISNUMBER(D9)),D9/SUM(D4:D10), ""), "")</f>
        <v>0</v>
      </c>
      <c r="E18" s="5">
        <f>IF(SUM(K4:K10) &gt; 0, IF(AND(SUM(E4:E10)&gt;0, ISNUMBER(E9)),E9/SUM(E4:E10), ""), "")</f>
        <v>0</v>
      </c>
      <c r="F18" s="5">
        <f>IF(SUM(K4:K10) &gt; 0, IF(AND(SUM(F4:F10)&gt;0, ISNUMBER(F9)),F9/SUM(F4:F10), ""), "")</f>
        <v>0</v>
      </c>
      <c r="G18" s="5">
        <f>IF(SUM(K4:K10) &gt; 0, IF(AND(SUM(G4:G10)&gt;0, ISNUMBER(G9)),G9/SUM(G4:G10), ""), "")</f>
        <v>0</v>
      </c>
      <c r="H18" s="5">
        <f>IF(SUM(K4:K10) &gt; 0, IF(AND(SUM(H4:H10)&gt;0, ISNUMBER(H9)),H9/SUM(H4:H10), ""), "")</f>
        <v>0</v>
      </c>
    </row>
    <row r="19" spans="2:8">
      <c r="B19" t="s">
        <v>938</v>
      </c>
      <c r="C19" s="5">
        <f>IF(SUM(K4:K10) &gt; 0, IF(AND(SUM(C4:C10)&gt;0, ISNUMBER(C10)),C10/SUM(C4:C10), ""), "")</f>
        <v>0</v>
      </c>
      <c r="D19" s="5">
        <f>IF(SUM(K4:K10) &gt; 0, IF(AND(SUM(D4:D10)&gt;0, ISNUMBER(D10)),D10/SUM(D4:D10), ""), "")</f>
        <v>0</v>
      </c>
      <c r="E19" s="5">
        <f>IF(SUM(K4:K10) &gt; 0, IF(AND(SUM(E4:E10)&gt;0, ISNUMBER(E10)),E10/SUM(E4:E10), ""), "")</f>
        <v>0</v>
      </c>
      <c r="F19" s="5">
        <f>IF(SUM(K4:K10) &gt; 0, IF(AND(SUM(F4:F10)&gt;0, ISNUMBER(F10)),F10/SUM(F4:F10), ""), "")</f>
        <v>0</v>
      </c>
      <c r="G19" s="5">
        <f>IF(SUM(K4:K10) &gt; 0, IF(AND(SUM(G4:G10)&gt;0, ISNUMBER(G10)),G10/SUM(G4:G10), ""), "")</f>
        <v>0</v>
      </c>
      <c r="H19" s="5">
        <f>IF(SUM(K4:K10) &gt; 0, IF(AND(SUM(H4:H10)&gt;0, ISNUMBER(H10)),H10/SUM(H4:H10), ""), "")</f>
        <v>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033A0"/>
  </sheetPr>
  <dimension ref="A1:T29"/>
  <sheetViews>
    <sheetView workbookViewId="0"/>
  </sheetViews>
  <sheetFormatPr defaultRowHeight="15"/>
  <sheetData>
    <row r="1" spans="1:20" s="3" customFormat="1" ht="40" customHeight="1">
      <c r="A1" s="3" t="s">
        <v>1008</v>
      </c>
    </row>
    <row r="3" spans="1:20">
      <c r="B3" t="s">
        <v>1003</v>
      </c>
      <c r="C3" t="s">
        <v>884</v>
      </c>
      <c r="D3" t="s">
        <v>892</v>
      </c>
      <c r="E3" t="s">
        <v>880</v>
      </c>
      <c r="F3" t="s">
        <v>890</v>
      </c>
      <c r="G3" t="s">
        <v>1009</v>
      </c>
      <c r="H3" t="s">
        <v>936</v>
      </c>
      <c r="I3" t="s">
        <v>1010</v>
      </c>
      <c r="J3" t="s">
        <v>894</v>
      </c>
      <c r="L3" t="s">
        <v>1003</v>
      </c>
      <c r="M3" t="s">
        <v>884</v>
      </c>
      <c r="N3" t="s">
        <v>892</v>
      </c>
      <c r="O3" t="s">
        <v>880</v>
      </c>
      <c r="P3" t="s">
        <v>890</v>
      </c>
      <c r="Q3" t="s">
        <v>1009</v>
      </c>
      <c r="R3" t="s">
        <v>936</v>
      </c>
      <c r="S3" t="s">
        <v>1010</v>
      </c>
      <c r="T3" t="s">
        <v>894</v>
      </c>
    </row>
    <row r="4" spans="1:20">
      <c r="B4" t="s">
        <v>981</v>
      </c>
      <c r="C4">
        <v>49.9802675070763</v>
      </c>
      <c r="D4">
        <v>18.8516828179359</v>
      </c>
      <c r="E4">
        <v>5.40886591326818</v>
      </c>
      <c r="F4">
        <v>6.52270160579681</v>
      </c>
      <c r="G4">
        <v>2.11947287356108</v>
      </c>
      <c r="H4">
        <v>5.63033196127415</v>
      </c>
      <c r="I4">
        <v>6.04980544024706</v>
      </c>
      <c r="J4">
        <v>16.3047210190296</v>
      </c>
      <c r="L4" t="s">
        <v>991</v>
      </c>
      <c r="M4">
        <v>99</v>
      </c>
      <c r="N4">
        <v>68</v>
      </c>
      <c r="O4">
        <v>25</v>
      </c>
      <c r="P4">
        <v>23</v>
      </c>
      <c r="Q4">
        <v>45</v>
      </c>
      <c r="R4">
        <v>46</v>
      </c>
      <c r="S4">
        <v>51</v>
      </c>
      <c r="T4">
        <v>72</v>
      </c>
    </row>
    <row r="5" spans="1:20">
      <c r="B5" t="s">
        <v>982</v>
      </c>
      <c r="C5">
        <v>55.0785076293945</v>
      </c>
      <c r="D5">
        <v>38.9481319417953</v>
      </c>
      <c r="E5">
        <v>8.858503858089451</v>
      </c>
      <c r="F5">
        <v>7.07463656723499</v>
      </c>
      <c r="G5">
        <v>2.38337356328592</v>
      </c>
      <c r="H5">
        <v>5.23047447109222</v>
      </c>
      <c r="I5">
        <v>4.76451597291231</v>
      </c>
      <c r="J5">
        <v>18.9839234805703</v>
      </c>
      <c r="L5" t="s">
        <v>992</v>
      </c>
      <c r="M5">
        <v>127</v>
      </c>
      <c r="N5">
        <v>78</v>
      </c>
      <c r="O5">
        <v>31</v>
      </c>
      <c r="P5">
        <v>21</v>
      </c>
      <c r="Q5">
        <v>51</v>
      </c>
      <c r="R5">
        <v>47</v>
      </c>
      <c r="S5">
        <v>65</v>
      </c>
      <c r="T5">
        <v>70</v>
      </c>
    </row>
    <row r="6" spans="1:20">
      <c r="B6" t="s">
        <v>983</v>
      </c>
      <c r="C6">
        <v>59.3641750378609</v>
      </c>
      <c r="D6">
        <v>44.3101274598837</v>
      </c>
      <c r="E6">
        <v>11.4577716128826</v>
      </c>
      <c r="F6">
        <v>4.10423496067524</v>
      </c>
      <c r="G6">
        <v>2.92218339407444</v>
      </c>
      <c r="H6">
        <v>7.80820583343506</v>
      </c>
      <c r="I6">
        <v>6.86860934686661</v>
      </c>
      <c r="J6">
        <v>28.7972500467598</v>
      </c>
      <c r="L6" t="s">
        <v>993</v>
      </c>
      <c r="M6">
        <v>100</v>
      </c>
      <c r="N6">
        <v>71</v>
      </c>
      <c r="O6">
        <v>33</v>
      </c>
      <c r="P6">
        <v>17</v>
      </c>
      <c r="Q6">
        <v>38</v>
      </c>
      <c r="R6">
        <v>46</v>
      </c>
      <c r="S6">
        <v>53</v>
      </c>
      <c r="T6">
        <v>64</v>
      </c>
    </row>
    <row r="7" spans="1:20">
      <c r="B7" t="s">
        <v>984</v>
      </c>
      <c r="C7">
        <v>32.7071708841324</v>
      </c>
      <c r="D7">
        <v>25.5998163232803</v>
      </c>
      <c r="E7">
        <v>7.60101596903801</v>
      </c>
      <c r="F7">
        <v>1.44307123565674</v>
      </c>
      <c r="G7">
        <v>1.76125110578537</v>
      </c>
      <c r="H7">
        <v>1.88684115469456</v>
      </c>
      <c r="I7">
        <v>3.28082936871052</v>
      </c>
      <c r="J7">
        <v>18.0985651667118</v>
      </c>
      <c r="L7" t="s">
        <v>994</v>
      </c>
      <c r="M7">
        <v>62</v>
      </c>
      <c r="N7">
        <v>42</v>
      </c>
      <c r="O7">
        <v>26</v>
      </c>
      <c r="P7">
        <v>6</v>
      </c>
      <c r="Q7">
        <v>26</v>
      </c>
      <c r="R7">
        <v>27</v>
      </c>
      <c r="S7">
        <v>35</v>
      </c>
      <c r="T7">
        <v>44</v>
      </c>
    </row>
    <row r="8" spans="1:20">
      <c r="B8" t="s">
        <v>985</v>
      </c>
      <c r="C8">
        <v>68.53470069074631</v>
      </c>
      <c r="D8">
        <v>33.5609546504319</v>
      </c>
      <c r="E8">
        <v>15.7546969146729</v>
      </c>
      <c r="F8">
        <v>3.86661408931017</v>
      </c>
      <c r="G8">
        <v>3.89605818861723</v>
      </c>
      <c r="H8">
        <v>8.1551408200264</v>
      </c>
      <c r="I8">
        <v>10.6217600075006</v>
      </c>
      <c r="J8">
        <v>33.3567882292271</v>
      </c>
      <c r="L8" t="s">
        <v>995</v>
      </c>
      <c r="M8">
        <v>80</v>
      </c>
      <c r="N8">
        <v>57</v>
      </c>
      <c r="O8">
        <v>29</v>
      </c>
      <c r="P8">
        <v>14</v>
      </c>
      <c r="Q8">
        <v>37</v>
      </c>
      <c r="R8">
        <v>42</v>
      </c>
      <c r="S8">
        <v>44</v>
      </c>
      <c r="T8">
        <v>57</v>
      </c>
    </row>
    <row r="9" spans="1:20">
      <c r="B9" t="s">
        <v>986</v>
      </c>
      <c r="C9">
        <v>49.1279384784699</v>
      </c>
      <c r="D9">
        <v>26.1925400089026</v>
      </c>
      <c r="E9">
        <v>19.777401911974</v>
      </c>
      <c r="F9">
        <v>2.22501140069962</v>
      </c>
      <c r="G9">
        <v>3.00739073801041</v>
      </c>
      <c r="H9">
        <v>5.17537609505653</v>
      </c>
      <c r="I9">
        <v>10.4716751792431</v>
      </c>
      <c r="J9">
        <v>35.3145196626186</v>
      </c>
      <c r="L9" t="s">
        <v>996</v>
      </c>
      <c r="M9">
        <v>75</v>
      </c>
      <c r="N9">
        <v>48</v>
      </c>
      <c r="O9">
        <v>29</v>
      </c>
      <c r="P9">
        <v>19</v>
      </c>
      <c r="Q9">
        <v>35</v>
      </c>
      <c r="R9">
        <v>37</v>
      </c>
      <c r="S9">
        <v>43</v>
      </c>
      <c r="T9">
        <v>56</v>
      </c>
    </row>
    <row r="10" spans="1:20">
      <c r="B10" t="s">
        <v>987</v>
      </c>
      <c r="C10">
        <v>19.47252926898</v>
      </c>
      <c r="D10">
        <v>11.0015986424685</v>
      </c>
      <c r="E10">
        <v>7.62639808082581</v>
      </c>
      <c r="F10">
        <v>4.50734006166458</v>
      </c>
      <c r="G10">
        <v>0.456466743141413</v>
      </c>
      <c r="H10">
        <v>1.5075208157897</v>
      </c>
      <c r="I10">
        <v>2.5028211607933</v>
      </c>
      <c r="J10">
        <v>18.9893026564866</v>
      </c>
      <c r="L10" t="s">
        <v>997</v>
      </c>
      <c r="M10">
        <v>50</v>
      </c>
      <c r="N10">
        <v>28</v>
      </c>
      <c r="O10">
        <v>22</v>
      </c>
      <c r="P10">
        <v>9</v>
      </c>
      <c r="Q10">
        <v>16</v>
      </c>
      <c r="R10">
        <v>14</v>
      </c>
      <c r="S10">
        <v>19</v>
      </c>
      <c r="T10">
        <v>40</v>
      </c>
    </row>
    <row r="11" spans="1:20">
      <c r="B11" t="s">
        <v>988</v>
      </c>
      <c r="C11">
        <f>IF(SUMIFS('TERadj'!EU2:EU100,'TERadj'!EU2:EU100,"&gt;0")/1000,SUMIFS('TERadj'!EU2:EU100,'TERadj'!EU2:EU100,"&gt;0")/1000,"")</f>
        <v>0</v>
      </c>
      <c r="D11">
        <f>IF(SUMIFS('TERadj'!EV2:EV100,'TERadj'!EV2:EV100,"&gt;0")/1000,SUMIFS('TERadj'!EV2:EV100,'TERadj'!EV2:EV100,"&gt;0")/1000,"")</f>
        <v>0</v>
      </c>
      <c r="E11">
        <f>IF(SUMIFS('TERadj'!EW2:EW100,'TERadj'!EW2:EW100,"&gt;0")/1000,SUMIFS('TERadj'!EW2:EW100,'TERadj'!EW2:EW100,"&gt;0")/1000,"")</f>
        <v>0</v>
      </c>
      <c r="F11">
        <f>IF(SUMIFS('TERadj'!EX2:EX100,'TERadj'!EX2:EX100,"&gt;0")/1000,SUMIFS('TERadj'!EX2:EX100,'TERadj'!EX2:EX100,"&gt;0")/1000,"")</f>
        <v>0</v>
      </c>
      <c r="G11">
        <f>IF(SUMIFS('TERadj'!EY2:EY100,'TERadj'!EY2:EY100,"&gt;0")/1000,SUMIFS('TERadj'!EY2:EY100,'TERadj'!EY2:EY100,"&gt;0")/1000,"")</f>
        <v>0</v>
      </c>
      <c r="H11">
        <f>IF(SUMIFS('TERadj'!EZ2:EZ100,'TERadj'!EZ2:EZ100,"&gt;0")/1000,SUMIFS('TERadj'!EZ2:EZ100,'TERadj'!EZ2:EZ100,"&gt;0")/1000,"")</f>
        <v>0</v>
      </c>
      <c r="I11">
        <f>IF(SUMIFS('TERadj'!FA2:FA100,'TERadj'!FA2:FA100,"&gt;0")/1000,SUMIFS('TERadj'!FA2:FA100,'TERadj'!FA2:FA100,"&gt;0")/1000,"")</f>
        <v>0</v>
      </c>
      <c r="J11">
        <f>IF(SUMIFS('TERadj'!FB2:FB100,'TERadj'!FB2:FB100,"&gt;0")/1000,SUMIFS('TERadj'!FB2:FB100,'TERadj'!FB2:FB100,"&gt;0")/1000,"")</f>
        <v>0</v>
      </c>
      <c r="L11" t="s">
        <v>998</v>
      </c>
      <c r="M11" cm="1">
        <f t="array" ref="M11">IF(COUNT(_xlfn._xlws.FILTER('TERadj'!EU2:EU100, ('TERadj'!EU2:EU100&gt;0))),COUNT(_xlfn._xlws.FILTER('TERadj'!EU2:EU100, ('TERadj'!EU2:EU100&gt;0))),"")</f>
        <v>0</v>
      </c>
      <c r="N11" cm="1">
        <f t="array" ref="N11">IF(COUNT(_xlfn._xlws.FILTER('TERadj'!EV2:EV100, ('TERadj'!EV2:EV100&gt;0))),COUNT(_xlfn._xlws.FILTER('TERadj'!EV2:EV100, ('TERadj'!EV2:EV100&gt;0))),"")</f>
        <v>0</v>
      </c>
      <c r="O11" cm="1">
        <f t="array" ref="O11">IF(COUNT(_xlfn._xlws.FILTER('TERadj'!EW2:EW100, ('TERadj'!EW2:EW100&gt;0))),COUNT(_xlfn._xlws.FILTER('TERadj'!EW2:EW100, ('TERadj'!EW2:EW100&gt;0))),"")</f>
        <v>0</v>
      </c>
      <c r="P11" cm="1">
        <f t="array" ref="P11">IF(COUNT(_xlfn._xlws.FILTER('TERadj'!EX2:EX100, ('TERadj'!EX2:EX100&gt;0))),COUNT(_xlfn._xlws.FILTER('TERadj'!EX2:EX100, ('TERadj'!EX2:EX100&gt;0))),"")</f>
        <v>0</v>
      </c>
      <c r="Q11" cm="1">
        <f t="array" ref="Q11">IF(COUNT(_xlfn._xlws.FILTER('TERadj'!EY2:EY100, ('TERadj'!EY2:EY100&gt;0))),COUNT(_xlfn._xlws.FILTER('TERadj'!EY2:EY100, ('TERadj'!EY2:EY100&gt;0))),"")</f>
        <v>0</v>
      </c>
      <c r="R11" cm="1">
        <f t="array" ref="R11">IF(COUNT(_xlfn._xlws.FILTER('TERadj'!EZ2:EZ100, ('TERadj'!EZ2:EZ100&gt;0))),COUNT(_xlfn._xlws.FILTER('TERadj'!EZ2:EZ100, ('TERadj'!EZ2:EZ100&gt;0))),"")</f>
        <v>0</v>
      </c>
      <c r="S11" cm="1">
        <f t="array" ref="S11">IF(COUNT(_xlfn._xlws.FILTER('TERadj'!FA2:FA100, ('TERadj'!FA2:FA100&gt;0))),COUNT(_xlfn._xlws.FILTER('TERadj'!FA2:FA100, ('TERadj'!FA2:FA100&gt;0))),"")</f>
        <v>0</v>
      </c>
      <c r="T11" cm="1">
        <f t="array" ref="T11">IF(COUNT(_xlfn._xlws.FILTER('TERadj'!FB2:FB100, ('TERadj'!FB2:FB100&gt;0))),COUNT(_xlfn._xlws.FILTER('TERadj'!FB2:FB100, ('TERadj'!FB2:FB100&gt;0))),"")</f>
        <v>0</v>
      </c>
    </row>
    <row r="21" spans="2:10">
      <c r="B21" t="s">
        <v>1003</v>
      </c>
      <c r="C21" t="s">
        <v>884</v>
      </c>
      <c r="D21" t="s">
        <v>892</v>
      </c>
      <c r="E21" t="s">
        <v>880</v>
      </c>
      <c r="F21" t="s">
        <v>890</v>
      </c>
      <c r="G21" t="s">
        <v>1009</v>
      </c>
      <c r="H21" t="s">
        <v>936</v>
      </c>
      <c r="I21" t="s">
        <v>1010</v>
      </c>
      <c r="J21" t="s">
        <v>894</v>
      </c>
    </row>
    <row r="22" spans="2:10">
      <c r="B22" t="s">
        <v>945</v>
      </c>
      <c r="C22" s="5">
        <f>IF(SUM(M4:T4) &gt; 0, IF(AND(SUM(C4:K4)&gt;0, ISNUMBER(C4)),C4/SUM(C4:K4), ""), "")</f>
        <v>0</v>
      </c>
      <c r="D22" s="5">
        <f>IF(SUM(M4:T4) &gt; 0, IF(AND(SUM(C4:K4)&gt;0, ISNUMBER(D4)),D4/SUM(C4:K4), ""), "")</f>
        <v>0</v>
      </c>
      <c r="E22" s="5">
        <f>IF(SUM(M4:T4) &gt; 0, IF(AND(SUM(C4:K4)&gt;0, ISNUMBER(E4)),E4/SUM(C4:K4), ""), "")</f>
        <v>0</v>
      </c>
      <c r="F22" s="5">
        <f>IF(SUM(M4:T4) &gt; 0, IF(AND(SUM(C4:K4)&gt;0, ISNUMBER(F4)),F4/SUM(C4:K4), ""), "")</f>
        <v>0</v>
      </c>
      <c r="G22" s="5">
        <f>IF(SUM(M4:T4) &gt; 0, IF(AND(SUM(C4:K4)&gt;0, ISNUMBER(G4)),G4/SUM(C4:K4), ""), "")</f>
        <v>0</v>
      </c>
      <c r="H22" s="5">
        <f>IF(SUM(M4:T4) &gt; 0, IF(AND(SUM(C4:K4)&gt;0, ISNUMBER(H4)),H4/SUM(C4:K4), ""), "")</f>
        <v>0</v>
      </c>
      <c r="I22" s="5">
        <f>IF(SUM(M4:T4) &gt; 0, IF(AND(SUM(C4:K4)&gt;0, ISNUMBER(I4)),I4/SUM(C4:K4), ""), "")</f>
        <v>0</v>
      </c>
      <c r="J22" s="5">
        <f>IF(SUM(M4:T4) &gt; 0, IF(AND(SUM(C4:K4)&gt;0, ISNUMBER(J4)),J4/SUM(C4:K4), ""), "")</f>
        <v>0</v>
      </c>
    </row>
    <row r="23" spans="2:10">
      <c r="B23" t="s">
        <v>946</v>
      </c>
      <c r="C23" s="5">
        <f>IF(SUM(M5:T5) &gt; 0, IF(AND(SUM(C5:K5)&gt;0, ISNUMBER(C5)),C5/SUM(C5:K5), ""), "")</f>
        <v>0</v>
      </c>
      <c r="D23" s="5">
        <f>IF(SUM(M5:T5) &gt; 0, IF(AND(SUM(C5:K5)&gt;0, ISNUMBER(D5)),D5/SUM(C5:K5), ""), "")</f>
        <v>0</v>
      </c>
      <c r="E23" s="5">
        <f>IF(SUM(M5:T5) &gt; 0, IF(AND(SUM(C5:K5)&gt;0, ISNUMBER(E5)),E5/SUM(C5:K5), ""), "")</f>
        <v>0</v>
      </c>
      <c r="F23" s="5">
        <f>IF(SUM(M5:T5) &gt; 0, IF(AND(SUM(C5:K5)&gt;0, ISNUMBER(F5)),F5/SUM(C5:K5), ""), "")</f>
        <v>0</v>
      </c>
      <c r="G23" s="5">
        <f>IF(SUM(M5:T5) &gt; 0, IF(AND(SUM(C5:K5)&gt;0, ISNUMBER(G5)),G5/SUM(C5:K5), ""), "")</f>
        <v>0</v>
      </c>
      <c r="H23" s="5">
        <f>IF(SUM(M5:T5) &gt; 0, IF(AND(SUM(C5:K5)&gt;0, ISNUMBER(H5)),H5/SUM(C5:K5), ""), "")</f>
        <v>0</v>
      </c>
      <c r="I23" s="5">
        <f>IF(SUM(M5:T5) &gt; 0, IF(AND(SUM(C5:K5)&gt;0, ISNUMBER(I5)),I5/SUM(C5:K5), ""), "")</f>
        <v>0</v>
      </c>
      <c r="J23" s="5">
        <f>IF(SUM(M5:T5) &gt; 0, IF(AND(SUM(C5:K5)&gt;0, ISNUMBER(J5)),J5/SUM(C5:K5), ""), "")</f>
        <v>0</v>
      </c>
    </row>
    <row r="24" spans="2:10">
      <c r="B24" t="s">
        <v>947</v>
      </c>
      <c r="C24" s="5">
        <f>IF(SUM(M6:T6) &gt; 0, IF(AND(SUM(C6:K6)&gt;0, ISNUMBER(C6)),C6/SUM(C6:K6), ""), "")</f>
        <v>0</v>
      </c>
      <c r="D24" s="5">
        <f>IF(SUM(M6:T6) &gt; 0, IF(AND(SUM(C6:K6)&gt;0, ISNUMBER(D6)),D6/SUM(C6:K6), ""), "")</f>
        <v>0</v>
      </c>
      <c r="E24" s="5">
        <f>IF(SUM(M6:T6) &gt; 0, IF(AND(SUM(C6:K6)&gt;0, ISNUMBER(E6)),E6/SUM(C6:K6), ""), "")</f>
        <v>0</v>
      </c>
      <c r="F24" s="5">
        <f>IF(SUM(M6:T6) &gt; 0, IF(AND(SUM(C6:K6)&gt;0, ISNUMBER(F6)),F6/SUM(C6:K6), ""), "")</f>
        <v>0</v>
      </c>
      <c r="G24" s="5">
        <f>IF(SUM(M6:T6) &gt; 0, IF(AND(SUM(C6:K6)&gt;0, ISNUMBER(G6)),G6/SUM(C6:K6), ""), "")</f>
        <v>0</v>
      </c>
      <c r="H24" s="5">
        <f>IF(SUM(M6:T6) &gt; 0, IF(AND(SUM(C6:K6)&gt;0, ISNUMBER(H6)),H6/SUM(C6:K6), ""), "")</f>
        <v>0</v>
      </c>
      <c r="I24" s="5">
        <f>IF(SUM(M6:T6) &gt; 0, IF(AND(SUM(C6:K6)&gt;0, ISNUMBER(I6)),I6/SUM(C6:K6), ""), "")</f>
        <v>0</v>
      </c>
      <c r="J24" s="5">
        <f>IF(SUM(M6:T6) &gt; 0, IF(AND(SUM(C6:K6)&gt;0, ISNUMBER(J6)),J6/SUM(C6:K6), ""), "")</f>
        <v>0</v>
      </c>
    </row>
    <row r="25" spans="2:10">
      <c r="B25" t="s">
        <v>948</v>
      </c>
      <c r="C25" s="5">
        <f>IF(SUM(M7:T7) &gt; 0, IF(AND(SUM(C7:K7)&gt;0, ISNUMBER(C7)),C7/SUM(C7:K7), ""), "")</f>
        <v>0</v>
      </c>
      <c r="D25" s="5">
        <f>IF(SUM(M7:T7) &gt; 0, IF(AND(SUM(C7:K7)&gt;0, ISNUMBER(D7)),D7/SUM(C7:K7), ""), "")</f>
        <v>0</v>
      </c>
      <c r="E25" s="5">
        <f>IF(SUM(M7:T7) &gt; 0, IF(AND(SUM(C7:K7)&gt;0, ISNUMBER(E7)),E7/SUM(C7:K7), ""), "")</f>
        <v>0</v>
      </c>
      <c r="F25" s="5">
        <f>IF(SUM(M7:T7) &gt; 0, IF(AND(SUM(C7:K7)&gt;0, ISNUMBER(F7)),F7/SUM(C7:K7), ""), "")</f>
        <v>0</v>
      </c>
      <c r="G25" s="5">
        <f>IF(SUM(M7:T7) &gt; 0, IF(AND(SUM(C7:K7)&gt;0, ISNUMBER(G7)),G7/SUM(C7:K7), ""), "")</f>
        <v>0</v>
      </c>
      <c r="H25" s="5">
        <f>IF(SUM(M7:T7) &gt; 0, IF(AND(SUM(C7:K7)&gt;0, ISNUMBER(H7)),H7/SUM(C7:K7), ""), "")</f>
        <v>0</v>
      </c>
      <c r="I25" s="5">
        <f>IF(SUM(M7:T7) &gt; 0, IF(AND(SUM(C7:K7)&gt;0, ISNUMBER(I7)),I7/SUM(C7:K7), ""), "")</f>
        <v>0</v>
      </c>
      <c r="J25" s="5">
        <f>IF(SUM(M7:T7) &gt; 0, IF(AND(SUM(C7:K7)&gt;0, ISNUMBER(J7)),J7/SUM(C7:K7), ""), "")</f>
        <v>0</v>
      </c>
    </row>
    <row r="26" spans="2:10">
      <c r="B26" t="s">
        <v>949</v>
      </c>
      <c r="C26" s="5">
        <f>IF(SUM(M8:T8) &gt; 0, IF(AND(SUM(C8:K8)&gt;0, ISNUMBER(C8)),C8/SUM(C8:K8), ""), "")</f>
        <v>0</v>
      </c>
      <c r="D26" s="5">
        <f>IF(SUM(M8:T8) &gt; 0, IF(AND(SUM(C8:K8)&gt;0, ISNUMBER(D8)),D8/SUM(C8:K8), ""), "")</f>
        <v>0</v>
      </c>
      <c r="E26" s="5">
        <f>IF(SUM(M8:T8) &gt; 0, IF(AND(SUM(C8:K8)&gt;0, ISNUMBER(E8)),E8/SUM(C8:K8), ""), "")</f>
        <v>0</v>
      </c>
      <c r="F26" s="5">
        <f>IF(SUM(M8:T8) &gt; 0, IF(AND(SUM(C8:K8)&gt;0, ISNUMBER(F8)),F8/SUM(C8:K8), ""), "")</f>
        <v>0</v>
      </c>
      <c r="G26" s="5">
        <f>IF(SUM(M8:T8) &gt; 0, IF(AND(SUM(C8:K8)&gt;0, ISNUMBER(G8)),G8/SUM(C8:K8), ""), "")</f>
        <v>0</v>
      </c>
      <c r="H26" s="5">
        <f>IF(SUM(M8:T8) &gt; 0, IF(AND(SUM(C8:K8)&gt;0, ISNUMBER(H8)),H8/SUM(C8:K8), ""), "")</f>
        <v>0</v>
      </c>
      <c r="I26" s="5">
        <f>IF(SUM(M8:T8) &gt; 0, IF(AND(SUM(C8:K8)&gt;0, ISNUMBER(I8)),I8/SUM(C8:K8), ""), "")</f>
        <v>0</v>
      </c>
      <c r="J26" s="5">
        <f>IF(SUM(M8:T8) &gt; 0, IF(AND(SUM(C8:K8)&gt;0, ISNUMBER(J8)),J8/SUM(C8:K8), ""), "")</f>
        <v>0</v>
      </c>
    </row>
    <row r="27" spans="2:10">
      <c r="B27" t="s">
        <v>950</v>
      </c>
      <c r="C27" s="5">
        <f>IF(SUM(M9:T9) &gt; 0, IF(AND(SUM(C9:K9)&gt;0, ISNUMBER(C9)),C9/SUM(C9:K9), ""), "")</f>
        <v>0</v>
      </c>
      <c r="D27" s="5">
        <f>IF(SUM(M9:T9) &gt; 0, IF(AND(SUM(C9:K9)&gt;0, ISNUMBER(D9)),D9/SUM(C9:K9), ""), "")</f>
        <v>0</v>
      </c>
      <c r="E27" s="5">
        <f>IF(SUM(M9:T9) &gt; 0, IF(AND(SUM(C9:K9)&gt;0, ISNUMBER(E9)),E9/SUM(C9:K9), ""), "")</f>
        <v>0</v>
      </c>
      <c r="F27" s="5">
        <f>IF(SUM(M9:T9) &gt; 0, IF(AND(SUM(C9:K9)&gt;0, ISNUMBER(F9)),F9/SUM(C9:K9), ""), "")</f>
        <v>0</v>
      </c>
      <c r="G27" s="5">
        <f>IF(SUM(M9:T9) &gt; 0, IF(AND(SUM(C9:K9)&gt;0, ISNUMBER(G9)),G9/SUM(C9:K9), ""), "")</f>
        <v>0</v>
      </c>
      <c r="H27" s="5">
        <f>IF(SUM(M9:T9) &gt; 0, IF(AND(SUM(C9:K9)&gt;0, ISNUMBER(H9)),H9/SUM(C9:K9), ""), "")</f>
        <v>0</v>
      </c>
      <c r="I27" s="5">
        <f>IF(SUM(M9:T9) &gt; 0, IF(AND(SUM(C9:K9)&gt;0, ISNUMBER(I9)),I9/SUM(C9:K9), ""), "")</f>
        <v>0</v>
      </c>
      <c r="J27" s="5">
        <f>IF(SUM(M9:T9) &gt; 0, IF(AND(SUM(C9:K9)&gt;0, ISNUMBER(J9)),J9/SUM(C9:K9), ""), "")</f>
        <v>0</v>
      </c>
    </row>
    <row r="28" spans="2:10">
      <c r="B28" t="s">
        <v>931</v>
      </c>
      <c r="C28" s="5">
        <f>IF(SUM(M10:T10) &gt; 0, IF(AND(SUM(C10:K10)&gt;0, ISNUMBER(C10)),C10/SUM(C10:K10), ""), "")</f>
        <v>0</v>
      </c>
      <c r="D28" s="5">
        <f>IF(SUM(M10:T10) &gt; 0, IF(AND(SUM(C10:K10)&gt;0, ISNUMBER(D10)),D10/SUM(C10:K10), ""), "")</f>
        <v>0</v>
      </c>
      <c r="E28" s="5">
        <f>IF(SUM(M10:T10) &gt; 0, IF(AND(SUM(C10:K10)&gt;0, ISNUMBER(E10)),E10/SUM(C10:K10), ""), "")</f>
        <v>0</v>
      </c>
      <c r="F28" s="5">
        <f>IF(SUM(M10:T10) &gt; 0, IF(AND(SUM(C10:K10)&gt;0, ISNUMBER(F10)),F10/SUM(C10:K10), ""), "")</f>
        <v>0</v>
      </c>
      <c r="G28" s="5">
        <f>IF(SUM(M10:T10) &gt; 0, IF(AND(SUM(C10:K10)&gt;0, ISNUMBER(G10)),G10/SUM(C10:K10), ""), "")</f>
        <v>0</v>
      </c>
      <c r="H28" s="5">
        <f>IF(SUM(M10:T10) &gt; 0, IF(AND(SUM(C10:K10)&gt;0, ISNUMBER(H10)),H10/SUM(C10:K10), ""), "")</f>
        <v>0</v>
      </c>
      <c r="I28" s="5">
        <f>IF(SUM(M10:T10) &gt; 0, IF(AND(SUM(C10:K10)&gt;0, ISNUMBER(I10)),I10/SUM(C10:K10), ""), "")</f>
        <v>0</v>
      </c>
      <c r="J28" s="5">
        <f>IF(SUM(M10:T10) &gt; 0, IF(AND(SUM(C10:K10)&gt;0, ISNUMBER(J10)),J10/SUM(C10:K10), ""), "")</f>
        <v>0</v>
      </c>
    </row>
    <row r="29" spans="2:10">
      <c r="B29" t="s">
        <v>932</v>
      </c>
      <c r="C29" s="5">
        <f>IF(SUM(M11:T11) &gt; 0, IF(AND(SUM(C11:K11)&gt;0, ISNUMBER(C11)),C11/SUM(C11:K11), ""), "")</f>
        <v>0</v>
      </c>
      <c r="D29" s="5">
        <f>IF(SUM(M11:T11) &gt; 0, IF(AND(SUM(C11:K11)&gt;0, ISNUMBER(D11)),D11/SUM(C11:K11), ""), "")</f>
        <v>0</v>
      </c>
      <c r="E29" s="5">
        <f>IF(SUM(M11:T11) &gt; 0, IF(AND(SUM(C11:K11)&gt;0, ISNUMBER(E11)),E11/SUM(C11:K11), ""), "")</f>
        <v>0</v>
      </c>
      <c r="F29" s="5">
        <f>IF(SUM(M11:T11) &gt; 0, IF(AND(SUM(C11:K11)&gt;0, ISNUMBER(F11)),F11/SUM(C11:K11), ""), "")</f>
        <v>0</v>
      </c>
      <c r="G29" s="5">
        <f>IF(SUM(M11:T11) &gt; 0, IF(AND(SUM(C11:K11)&gt;0, ISNUMBER(G11)),G11/SUM(C11:K11), ""), "")</f>
        <v>0</v>
      </c>
      <c r="H29" s="5">
        <f>IF(SUM(M11:T11) &gt; 0, IF(AND(SUM(C11:K11)&gt;0, ISNUMBER(H11)),H11/SUM(C11:K11), ""), "")</f>
        <v>0</v>
      </c>
      <c r="I29" s="5">
        <f>IF(SUM(M11:T11) &gt; 0, IF(AND(SUM(C11:K11)&gt;0, ISNUMBER(I11)),I11/SUM(C11:K11), ""), "")</f>
        <v>0</v>
      </c>
      <c r="J29" s="5">
        <f>IF(SUM(M11:T11) &gt; 0, IF(AND(SUM(C11:K11)&gt;0, ISNUMBER(J11)),J11/SUM(C11:K11), ""), "")</f>
        <v>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0033A0"/>
  </sheetPr>
  <dimension ref="A1:R21"/>
  <sheetViews>
    <sheetView workbookViewId="0"/>
  </sheetViews>
  <sheetFormatPr defaultRowHeight="15"/>
  <sheetData>
    <row r="1" spans="1:18" s="3" customFormat="1" ht="40" customHeight="1">
      <c r="A1" s="3" t="s">
        <v>1011</v>
      </c>
    </row>
    <row r="3" spans="1:18">
      <c r="B3" t="s">
        <v>915</v>
      </c>
      <c r="C3" t="s">
        <v>982</v>
      </c>
      <c r="D3" t="s">
        <v>983</v>
      </c>
      <c r="E3" t="s">
        <v>984</v>
      </c>
      <c r="F3" t="s">
        <v>985</v>
      </c>
      <c r="G3" t="s">
        <v>986</v>
      </c>
      <c r="H3" t="s">
        <v>987</v>
      </c>
      <c r="I3" t="s">
        <v>988</v>
      </c>
      <c r="K3" t="s">
        <v>915</v>
      </c>
      <c r="L3" t="s">
        <v>992</v>
      </c>
      <c r="M3" t="s">
        <v>993</v>
      </c>
      <c r="N3" t="s">
        <v>994</v>
      </c>
      <c r="O3" t="s">
        <v>995</v>
      </c>
      <c r="P3" t="s">
        <v>996</v>
      </c>
      <c r="Q3" t="s">
        <v>997</v>
      </c>
      <c r="R3" t="s">
        <v>998</v>
      </c>
    </row>
    <row r="4" spans="1:18">
      <c r="B4" t="s">
        <v>884</v>
      </c>
      <c r="C4">
        <v>30.1382886352539</v>
      </c>
      <c r="D4">
        <v>29.0310117986202</v>
      </c>
      <c r="E4">
        <v>17.3080515031815</v>
      </c>
      <c r="F4">
        <v>39.5151903662682</v>
      </c>
      <c r="G4">
        <v>27.2490236549377</v>
      </c>
      <c r="H4">
        <v>8.793208043813699</v>
      </c>
      <c r="I4">
        <f>IF(SUMIFS('TERadj'!FC2:FC100,'TERadj'!FC2:FC100,"&gt;0")/1000,SUMIFS('TERadj'!FC2:FC100,'TERadj'!FC2:FC100,"&gt;0")/1000,"")</f>
        <v>0</v>
      </c>
      <c r="K4" t="s">
        <v>884</v>
      </c>
      <c r="L4">
        <v>101</v>
      </c>
      <c r="M4">
        <v>86</v>
      </c>
      <c r="N4">
        <v>52</v>
      </c>
      <c r="O4">
        <v>66</v>
      </c>
      <c r="P4">
        <v>64</v>
      </c>
      <c r="Q4">
        <v>39</v>
      </c>
      <c r="R4" cm="1">
        <f t="array" ref="R4">IF(COUNT(_xlfn._xlws.FILTER('TERadj'!FC2:FC100, ('TERadj'!FC2:FC100&gt;0))),COUNT(_xlfn._xlws.FILTER('TERadj'!FC2:FC100, ('TERadj'!FC2:FC100&gt;0))),"")</f>
        <v>0</v>
      </c>
    </row>
    <row r="5" spans="1:18">
      <c r="B5" t="s">
        <v>892</v>
      </c>
      <c r="C5">
        <v>8.84282209825516</v>
      </c>
      <c r="D5">
        <v>12.5112747753859</v>
      </c>
      <c r="E5">
        <v>9.318294602394101</v>
      </c>
      <c r="F5">
        <v>13.6804368892014</v>
      </c>
      <c r="G5">
        <v>11.7008611472845</v>
      </c>
      <c r="H5">
        <v>2.38470027792454</v>
      </c>
      <c r="I5">
        <f>IF(SUMIFS('TERadj'!FD2:FD100,'TERadj'!FD2:FD100,"&gt;0")/1000,SUMIFS('TERadj'!FD2:FD100,'TERadj'!FD2:FD100,"&gt;0")/1000,"")</f>
        <v>0</v>
      </c>
      <c r="K5" t="s">
        <v>892</v>
      </c>
      <c r="L5">
        <v>62</v>
      </c>
      <c r="M5">
        <v>62</v>
      </c>
      <c r="N5">
        <v>35</v>
      </c>
      <c r="O5">
        <v>49</v>
      </c>
      <c r="P5">
        <v>43</v>
      </c>
      <c r="Q5">
        <v>21</v>
      </c>
      <c r="R5" cm="1">
        <f t="array" ref="R5">IF(COUNT(_xlfn._xlws.FILTER('TERadj'!FD2:FD100, ('TERadj'!FD2:FD100&gt;0))),COUNT(_xlfn._xlws.FILTER('TERadj'!FD2:FD100, ('TERadj'!FD2:FD100&gt;0))),"")</f>
        <v>0</v>
      </c>
    </row>
    <row r="6" spans="1:18">
      <c r="B6" t="s">
        <v>880</v>
      </c>
      <c r="C6">
        <v>5.84840592467785</v>
      </c>
      <c r="D6">
        <v>6.09040079569817</v>
      </c>
      <c r="E6">
        <v>3.82019799017906</v>
      </c>
      <c r="F6">
        <v>10.4010437431335</v>
      </c>
      <c r="G6">
        <v>13.5765422546864</v>
      </c>
      <c r="H6">
        <v>2.92292844676971</v>
      </c>
      <c r="I6">
        <f>IF(SUMIFS('TERadj'!FE2:FE100,'TERadj'!FE2:FE100,"&gt;0")/1000,SUMIFS('TERadj'!FE2:FE100,'TERadj'!FE2:FE100,"&gt;0")/1000,"")</f>
        <v>0</v>
      </c>
      <c r="K6" t="s">
        <v>880</v>
      </c>
      <c r="L6">
        <v>25</v>
      </c>
      <c r="M6">
        <v>19</v>
      </c>
      <c r="N6">
        <v>19</v>
      </c>
      <c r="O6">
        <v>24</v>
      </c>
      <c r="P6">
        <v>20</v>
      </c>
      <c r="Q6">
        <v>14</v>
      </c>
      <c r="R6" cm="1">
        <f t="array" ref="R6">IF(COUNT(_xlfn._xlws.FILTER('TERadj'!FE2:FE100, ('TERadj'!FE2:FE100&gt;0))),COUNT(_xlfn._xlws.FILTER('TERadj'!FE2:FE100, ('TERadj'!FE2:FE100&gt;0))),"")</f>
        <v>0</v>
      </c>
    </row>
    <row r="7" spans="1:18">
      <c r="B7" t="s">
        <v>890</v>
      </c>
      <c r="C7">
        <v>3.5037732129097</v>
      </c>
      <c r="D7">
        <v>1.34060237133503</v>
      </c>
      <c r="E7">
        <v>1.31775930976868</v>
      </c>
      <c r="F7">
        <v>2.3640067628026</v>
      </c>
      <c r="G7">
        <v>1.68605165052414</v>
      </c>
      <c r="H7">
        <v>0.462242473602295</v>
      </c>
      <c r="I7">
        <f>IF(SUMIFS('TERadj'!FF2:FF100,'TERadj'!FF2:FF100,"&gt;0")/1000,SUMIFS('TERadj'!FF2:FF100,'TERadj'!FF2:FF100,"&gt;0")/1000,"")</f>
        <v>0</v>
      </c>
      <c r="K7" t="s">
        <v>890</v>
      </c>
      <c r="L7">
        <v>18</v>
      </c>
      <c r="M7">
        <v>13</v>
      </c>
      <c r="N7">
        <v>4</v>
      </c>
      <c r="O7">
        <v>10</v>
      </c>
      <c r="P7">
        <v>16</v>
      </c>
      <c r="Q7">
        <v>5</v>
      </c>
      <c r="R7" cm="1">
        <f t="array" ref="R7">IF(COUNT(_xlfn._xlws.FILTER('TERadj'!FF2:FF100, ('TERadj'!FF2:FF100&gt;0))),COUNT(_xlfn._xlws.FILTER('TERadj'!FF2:FF100, ('TERadj'!FF2:FF100&gt;0))),"")</f>
        <v>0</v>
      </c>
    </row>
    <row r="8" spans="1:18">
      <c r="B8" t="s">
        <v>1009</v>
      </c>
      <c r="C8">
        <v>2.15809937429056</v>
      </c>
      <c r="D8">
        <v>2.66093357527256</v>
      </c>
      <c r="E8">
        <v>1.58912837553024</v>
      </c>
      <c r="F8">
        <v>3.64853386229277</v>
      </c>
      <c r="G8">
        <v>2.33134362268448</v>
      </c>
      <c r="H8">
        <v>0.265958857923746</v>
      </c>
      <c r="I8">
        <f>IF(SUMIFS('TERadj'!FG2:FG100,'TERadj'!FG2:FG100,"&gt;0")/1000,SUMIFS('TERadj'!FG2:FG100,'TERadj'!FG2:FG100,"&gt;0")/1000,"")</f>
        <v>0</v>
      </c>
      <c r="K8" t="s">
        <v>1009</v>
      </c>
      <c r="L8">
        <v>49</v>
      </c>
      <c r="M8">
        <v>37</v>
      </c>
      <c r="N8">
        <v>25</v>
      </c>
      <c r="O8">
        <v>35</v>
      </c>
      <c r="P8">
        <v>31</v>
      </c>
      <c r="Q8">
        <v>13</v>
      </c>
      <c r="R8" cm="1">
        <f t="array" ref="R8">IF(COUNT(_xlfn._xlws.FILTER('TERadj'!FG2:FG100, ('TERadj'!FG2:FG100&gt;0))),COUNT(_xlfn._xlws.FILTER('TERadj'!FG2:FG100, ('TERadj'!FG2:FG100&gt;0))),"")</f>
        <v>0</v>
      </c>
    </row>
    <row r="9" spans="1:18">
      <c r="B9" t="s">
        <v>936</v>
      </c>
      <c r="C9">
        <v>2.78387124729156</v>
      </c>
      <c r="D9">
        <v>4.17082008552551</v>
      </c>
      <c r="E9">
        <v>1.36205127966404</v>
      </c>
      <c r="F9">
        <v>5.80590710115433</v>
      </c>
      <c r="G9">
        <v>4.07290364289284</v>
      </c>
      <c r="H9">
        <v>0.9969939485788341</v>
      </c>
      <c r="I9">
        <f>IF(SUMIFS('TERadj'!FH2:FH100,'TERadj'!FH2:FH100,"&gt;0")/1000,SUMIFS('TERadj'!FH2:FH100,'TERadj'!FH2:FH100,"&gt;0")/1000,"")</f>
        <v>0</v>
      </c>
      <c r="K9" t="s">
        <v>936</v>
      </c>
      <c r="L9">
        <v>38</v>
      </c>
      <c r="M9">
        <v>38</v>
      </c>
      <c r="N9">
        <v>22</v>
      </c>
      <c r="O9">
        <v>38</v>
      </c>
      <c r="P9">
        <v>35</v>
      </c>
      <c r="Q9">
        <v>11</v>
      </c>
      <c r="R9" cm="1">
        <f t="array" ref="R9">IF(COUNT(_xlfn._xlws.FILTER('TERadj'!FH2:FH100, ('TERadj'!FH2:FH100&gt;0))),COUNT(_xlfn._xlws.FILTER('TERadj'!FH2:FH100, ('TERadj'!FH2:FH100&gt;0))),"")</f>
        <v>0</v>
      </c>
    </row>
    <row r="10" spans="1:18">
      <c r="B10" t="s">
        <v>1010</v>
      </c>
      <c r="C10">
        <v>3.44488358730078</v>
      </c>
      <c r="D10">
        <v>4.43890627002716</v>
      </c>
      <c r="E10">
        <v>2.54978661942482</v>
      </c>
      <c r="F10">
        <v>9.89007088434696</v>
      </c>
      <c r="G10">
        <v>9.24951989102364</v>
      </c>
      <c r="H10">
        <v>2.06613871623576</v>
      </c>
      <c r="I10">
        <f>IF(SUMIFS('TERadj'!FI2:FI100,'TERadj'!FI2:FI100,"&gt;0")/1000,SUMIFS('TERadj'!FI2:FI100,'TERadj'!FI2:FI100,"&gt;0")/1000,"")</f>
        <v>0</v>
      </c>
      <c r="K10" t="s">
        <v>1010</v>
      </c>
      <c r="L10">
        <v>51</v>
      </c>
      <c r="M10">
        <v>44</v>
      </c>
      <c r="N10">
        <v>30</v>
      </c>
      <c r="O10">
        <v>42</v>
      </c>
      <c r="P10">
        <v>41</v>
      </c>
      <c r="Q10">
        <v>18</v>
      </c>
      <c r="R10" cm="1">
        <f t="array" ref="R10">IF(COUNT(_xlfn._xlws.FILTER('TERadj'!FI2:FI100, ('TERadj'!FI2:FI100&gt;0))),COUNT(_xlfn._xlws.FILTER('TERadj'!FI2:FI100, ('TERadj'!FI2:FI100&gt;0))),"")</f>
        <v>0</v>
      </c>
    </row>
    <row r="11" spans="1:18">
      <c r="B11" t="s">
        <v>894</v>
      </c>
      <c r="C11">
        <v>7.06307813727856</v>
      </c>
      <c r="D11">
        <v>17.0417735405266</v>
      </c>
      <c r="E11">
        <v>11.5288088576794</v>
      </c>
      <c r="F11">
        <v>18.2642586882114</v>
      </c>
      <c r="G11">
        <v>18.260883472681</v>
      </c>
      <c r="H11">
        <v>6.80138233977556</v>
      </c>
      <c r="I11">
        <f>IF(SUMIFS('TERadj'!FJ2:FJ100,'TERadj'!FJ2:FJ100,"&gt;0")/1000,SUMIFS('TERadj'!FJ2:FJ100,'TERadj'!FJ2:FJ100,"&gt;0")/1000,"")</f>
        <v>0</v>
      </c>
      <c r="K11" t="s">
        <v>894</v>
      </c>
      <c r="L11">
        <v>52</v>
      </c>
      <c r="M11">
        <v>54</v>
      </c>
      <c r="N11">
        <v>40</v>
      </c>
      <c r="O11">
        <v>48</v>
      </c>
      <c r="P11">
        <v>46</v>
      </c>
      <c r="Q11">
        <v>30</v>
      </c>
      <c r="R11" cm="1">
        <f t="array" ref="R11">IF(COUNT(_xlfn._xlws.FILTER('TERadj'!FJ2:FJ100, ('TERadj'!FJ2:FJ100&gt;0))),COUNT(_xlfn._xlws.FILTER('TERadj'!FJ2:FJ100, ('TERadj'!FJ2:FJ100&gt;0))),"")</f>
        <v>0</v>
      </c>
    </row>
    <row r="13" spans="1:18">
      <c r="B13" t="s">
        <v>915</v>
      </c>
      <c r="C13" t="s">
        <v>946</v>
      </c>
      <c r="D13" t="s">
        <v>947</v>
      </c>
      <c r="E13" t="s">
        <v>948</v>
      </c>
      <c r="F13" t="s">
        <v>949</v>
      </c>
      <c r="G13" t="s">
        <v>950</v>
      </c>
      <c r="H13" t="s">
        <v>931</v>
      </c>
      <c r="I13" t="s">
        <v>932</v>
      </c>
    </row>
    <row r="14" spans="1:18">
      <c r="B14" t="s">
        <v>884</v>
      </c>
      <c r="C14" s="5">
        <f>IF(SUM(L4:L11) &gt; 0, IF(AND(SUM(C4:C11)&gt;0, ISNUMBER(C4)),C4/SUM(C4:C11), ""), "")</f>
        <v>0</v>
      </c>
      <c r="D14" s="5">
        <f>IF(SUM(L4:L11) &gt; 0, IF(AND(SUM(D4:D11)&gt;0, ISNUMBER(D4)),D4/SUM(D4:D11), ""), "")</f>
        <v>0</v>
      </c>
      <c r="E14" s="5">
        <f>IF(SUM(L4:L11) &gt; 0, IF(AND(SUM(E4:E11)&gt;0, ISNUMBER(E4)),E4/SUM(E4:E11), ""), "")</f>
        <v>0</v>
      </c>
      <c r="F14" s="5">
        <f>IF(SUM(L4:L11) &gt; 0, IF(AND(SUM(F4:F11)&gt;0, ISNUMBER(F4)),F4/SUM(F4:F11), ""), "")</f>
        <v>0</v>
      </c>
      <c r="G14" s="5">
        <f>IF(SUM(L4:L11) &gt; 0, IF(AND(SUM(G4:G11)&gt;0, ISNUMBER(G4)),G4/SUM(G4:G11), ""), "")</f>
        <v>0</v>
      </c>
      <c r="H14" s="5">
        <f>IF(SUM(L4:L11) &gt; 0, IF(AND(SUM(H4:H11)&gt;0, ISNUMBER(H4)),H4/SUM(H4:H11), ""), "")</f>
        <v>0</v>
      </c>
      <c r="I14" s="5">
        <f>IF(SUM(L4:L11) &gt; 0, IF(AND(SUM(I4:I11)&gt;0, ISNUMBER(I4)),I4/SUM(I4:I11), ""), "")</f>
        <v>0</v>
      </c>
    </row>
    <row r="15" spans="1:18">
      <c r="B15" t="s">
        <v>892</v>
      </c>
      <c r="C15" s="5">
        <f>IF(SUM(L4:L11) &gt; 0, IF(AND(SUM(C4:C11)&gt;0, ISNUMBER(C5)),C5/SUM(C4:C11), ""), "")</f>
        <v>0</v>
      </c>
      <c r="D15" s="5">
        <f>IF(SUM(L4:L11) &gt; 0, IF(AND(SUM(D4:D11)&gt;0, ISNUMBER(D5)),D5/SUM(D4:D11), ""), "")</f>
        <v>0</v>
      </c>
      <c r="E15" s="5">
        <f>IF(SUM(L4:L11) &gt; 0, IF(AND(SUM(E4:E11)&gt;0, ISNUMBER(E5)),E5/SUM(E4:E11), ""), "")</f>
        <v>0</v>
      </c>
      <c r="F15" s="5">
        <f>IF(SUM(L4:L11) &gt; 0, IF(AND(SUM(F4:F11)&gt;0, ISNUMBER(F5)),F5/SUM(F4:F11), ""), "")</f>
        <v>0</v>
      </c>
      <c r="G15" s="5">
        <f>IF(SUM(L4:L11) &gt; 0, IF(AND(SUM(G4:G11)&gt;0, ISNUMBER(G5)),G5/SUM(G4:G11), ""), "")</f>
        <v>0</v>
      </c>
      <c r="H15" s="5">
        <f>IF(SUM(L4:L11) &gt; 0, IF(AND(SUM(H4:H11)&gt;0, ISNUMBER(H5)),H5/SUM(H4:H11), ""), "")</f>
        <v>0</v>
      </c>
      <c r="I15" s="5">
        <f>IF(SUM(L4:L11) &gt; 0, IF(AND(SUM(I4:I11)&gt;0, ISNUMBER(I5)),I5/SUM(I4:I11), ""), "")</f>
        <v>0</v>
      </c>
    </row>
    <row r="16" spans="1:18">
      <c r="B16" t="s">
        <v>880</v>
      </c>
      <c r="C16" s="5">
        <f>IF(SUM(L4:L11) &gt; 0, IF(AND(SUM(C4:C11)&gt;0, ISNUMBER(C6)),C6/SUM(C4:C11), ""), "")</f>
        <v>0</v>
      </c>
      <c r="D16" s="5">
        <f>IF(SUM(L4:L11) &gt; 0, IF(AND(SUM(D4:D11)&gt;0, ISNUMBER(D6)),D6/SUM(D4:D11), ""), "")</f>
        <v>0</v>
      </c>
      <c r="E16" s="5">
        <f>IF(SUM(L4:L11) &gt; 0, IF(AND(SUM(E4:E11)&gt;0, ISNUMBER(E6)),E6/SUM(E4:E11), ""), "")</f>
        <v>0</v>
      </c>
      <c r="F16" s="5">
        <f>IF(SUM(L4:L11) &gt; 0, IF(AND(SUM(F4:F11)&gt;0, ISNUMBER(F6)),F6/SUM(F4:F11), ""), "")</f>
        <v>0</v>
      </c>
      <c r="G16" s="5">
        <f>IF(SUM(L4:L11) &gt; 0, IF(AND(SUM(G4:G11)&gt;0, ISNUMBER(G6)),G6/SUM(G4:G11), ""), "")</f>
        <v>0</v>
      </c>
      <c r="H16" s="5">
        <f>IF(SUM(L4:L11) &gt; 0, IF(AND(SUM(H4:H11)&gt;0, ISNUMBER(H6)),H6/SUM(H4:H11), ""), "")</f>
        <v>0</v>
      </c>
      <c r="I16" s="5">
        <f>IF(SUM(L4:L11) &gt; 0, IF(AND(SUM(I4:I11)&gt;0, ISNUMBER(I6)),I6/SUM(I4:I11), ""), "")</f>
        <v>0</v>
      </c>
    </row>
    <row r="17" spans="2:9">
      <c r="B17" t="s">
        <v>890</v>
      </c>
      <c r="C17" s="5">
        <f>IF(SUM(L4:L11) &gt; 0, IF(AND(SUM(C4:C11)&gt;0, ISNUMBER(C7)),C7/SUM(C4:C11), ""), "")</f>
        <v>0</v>
      </c>
      <c r="D17" s="5">
        <f>IF(SUM(L4:L11) &gt; 0, IF(AND(SUM(D4:D11)&gt;0, ISNUMBER(D7)),D7/SUM(D4:D11), ""), "")</f>
        <v>0</v>
      </c>
      <c r="E17" s="5">
        <f>IF(SUM(L4:L11) &gt; 0, IF(AND(SUM(E4:E11)&gt;0, ISNUMBER(E7)),E7/SUM(E4:E11), ""), "")</f>
        <v>0</v>
      </c>
      <c r="F17" s="5">
        <f>IF(SUM(L4:L11) &gt; 0, IF(AND(SUM(F4:F11)&gt;0, ISNUMBER(F7)),F7/SUM(F4:F11), ""), "")</f>
        <v>0</v>
      </c>
      <c r="G17" s="5">
        <f>IF(SUM(L4:L11) &gt; 0, IF(AND(SUM(G4:G11)&gt;0, ISNUMBER(G7)),G7/SUM(G4:G11), ""), "")</f>
        <v>0</v>
      </c>
      <c r="H17" s="5">
        <f>IF(SUM(L4:L11) &gt; 0, IF(AND(SUM(H4:H11)&gt;0, ISNUMBER(H7)),H7/SUM(H4:H11), ""), "")</f>
        <v>0</v>
      </c>
      <c r="I17" s="5">
        <f>IF(SUM(L4:L11) &gt; 0, IF(AND(SUM(I4:I11)&gt;0, ISNUMBER(I7)),I7/SUM(I4:I11), ""), "")</f>
        <v>0</v>
      </c>
    </row>
    <row r="18" spans="2:9">
      <c r="B18" t="s">
        <v>1009</v>
      </c>
      <c r="C18" s="5">
        <f>IF(SUM(L4:L11) &gt; 0, IF(AND(SUM(C4:C11)&gt;0, ISNUMBER(C8)),C8/SUM(C4:C11), ""), "")</f>
        <v>0</v>
      </c>
      <c r="D18" s="5">
        <f>IF(SUM(L4:L11) &gt; 0, IF(AND(SUM(D4:D11)&gt;0, ISNUMBER(D8)),D8/SUM(D4:D11), ""), "")</f>
        <v>0</v>
      </c>
      <c r="E18" s="5">
        <f>IF(SUM(L4:L11) &gt; 0, IF(AND(SUM(E4:E11)&gt;0, ISNUMBER(E8)),E8/SUM(E4:E11), ""), "")</f>
        <v>0</v>
      </c>
      <c r="F18" s="5">
        <f>IF(SUM(L4:L11) &gt; 0, IF(AND(SUM(F4:F11)&gt;0, ISNUMBER(F8)),F8/SUM(F4:F11), ""), "")</f>
        <v>0</v>
      </c>
      <c r="G18" s="5">
        <f>IF(SUM(L4:L11) &gt; 0, IF(AND(SUM(G4:G11)&gt;0, ISNUMBER(G8)),G8/SUM(G4:G11), ""), "")</f>
        <v>0</v>
      </c>
      <c r="H18" s="5">
        <f>IF(SUM(L4:L11) &gt; 0, IF(AND(SUM(H4:H11)&gt;0, ISNUMBER(H8)),H8/SUM(H4:H11), ""), "")</f>
        <v>0</v>
      </c>
      <c r="I18" s="5">
        <f>IF(SUM(L4:L11) &gt; 0, IF(AND(SUM(I4:I11)&gt;0, ISNUMBER(I8)),I8/SUM(I4:I11), ""), "")</f>
        <v>0</v>
      </c>
    </row>
    <row r="19" spans="2:9">
      <c r="B19" t="s">
        <v>936</v>
      </c>
      <c r="C19" s="5">
        <f>IF(SUM(L4:L11) &gt; 0, IF(AND(SUM(C4:C11)&gt;0, ISNUMBER(C9)),C9/SUM(C4:C11), ""), "")</f>
        <v>0</v>
      </c>
      <c r="D19" s="5">
        <f>IF(SUM(L4:L11) &gt; 0, IF(AND(SUM(D4:D11)&gt;0, ISNUMBER(D9)),D9/SUM(D4:D11), ""), "")</f>
        <v>0</v>
      </c>
      <c r="E19" s="5">
        <f>IF(SUM(L4:L11) &gt; 0, IF(AND(SUM(E4:E11)&gt;0, ISNUMBER(E9)),E9/SUM(E4:E11), ""), "")</f>
        <v>0</v>
      </c>
      <c r="F19" s="5">
        <f>IF(SUM(L4:L11) &gt; 0, IF(AND(SUM(F4:F11)&gt;0, ISNUMBER(F9)),F9/SUM(F4:F11), ""), "")</f>
        <v>0</v>
      </c>
      <c r="G19" s="5">
        <f>IF(SUM(L4:L11) &gt; 0, IF(AND(SUM(G4:G11)&gt;0, ISNUMBER(G9)),G9/SUM(G4:G11), ""), "")</f>
        <v>0</v>
      </c>
      <c r="H19" s="5">
        <f>IF(SUM(L4:L11) &gt; 0, IF(AND(SUM(H4:H11)&gt;0, ISNUMBER(H9)),H9/SUM(H4:H11), ""), "")</f>
        <v>0</v>
      </c>
      <c r="I19" s="5">
        <f>IF(SUM(L4:L11) &gt; 0, IF(AND(SUM(I4:I11)&gt;0, ISNUMBER(I9)),I9/SUM(I4:I11), ""), "")</f>
        <v>0</v>
      </c>
    </row>
    <row r="20" spans="2:9">
      <c r="B20" t="s">
        <v>1010</v>
      </c>
      <c r="C20" s="5">
        <f>IF(SUM(L4:L11) &gt; 0, IF(AND(SUM(C4:C11)&gt;0, ISNUMBER(C10)),C10/SUM(C4:C11), ""), "")</f>
        <v>0</v>
      </c>
      <c r="D20" s="5">
        <f>IF(SUM(L4:L11) &gt; 0, IF(AND(SUM(D4:D11)&gt;0, ISNUMBER(D10)),D10/SUM(D4:D11), ""), "")</f>
        <v>0</v>
      </c>
      <c r="E20" s="5">
        <f>IF(SUM(L4:L11) &gt; 0, IF(AND(SUM(E4:E11)&gt;0, ISNUMBER(E10)),E10/SUM(E4:E11), ""), "")</f>
        <v>0</v>
      </c>
      <c r="F20" s="5">
        <f>IF(SUM(L4:L11) &gt; 0, IF(AND(SUM(F4:F11)&gt;0, ISNUMBER(F10)),F10/SUM(F4:F11), ""), "")</f>
        <v>0</v>
      </c>
      <c r="G20" s="5">
        <f>IF(SUM(L4:L11) &gt; 0, IF(AND(SUM(G4:G11)&gt;0, ISNUMBER(G10)),G10/SUM(G4:G11), ""), "")</f>
        <v>0</v>
      </c>
      <c r="H20" s="5">
        <f>IF(SUM(L4:L11) &gt; 0, IF(AND(SUM(H4:H11)&gt;0, ISNUMBER(H10)),H10/SUM(H4:H11), ""), "")</f>
        <v>0</v>
      </c>
      <c r="I20" s="5">
        <f>IF(SUM(L4:L11) &gt; 0, IF(AND(SUM(I4:I11)&gt;0, ISNUMBER(I10)),I10/SUM(I4:I11), ""), "")</f>
        <v>0</v>
      </c>
    </row>
    <row r="21" spans="2:9">
      <c r="B21" t="s">
        <v>894</v>
      </c>
      <c r="C21" s="5">
        <f>IF(SUM(L4:L11) &gt; 0, IF(AND(SUM(C4:C11)&gt;0, ISNUMBER(C11)),C11/SUM(C4:C11), ""), "")</f>
        <v>0</v>
      </c>
      <c r="D21" s="5">
        <f>IF(SUM(L4:L11) &gt; 0, IF(AND(SUM(D4:D11)&gt;0, ISNUMBER(D11)),D11/SUM(D4:D11), ""), "")</f>
        <v>0</v>
      </c>
      <c r="E21" s="5">
        <f>IF(SUM(L4:L11) &gt; 0, IF(AND(SUM(E4:E11)&gt;0, ISNUMBER(E11)),E11/SUM(E4:E11), ""), "")</f>
        <v>0</v>
      </c>
      <c r="F21" s="5">
        <f>IF(SUM(L4:L11) &gt; 0, IF(AND(SUM(F4:F11)&gt;0, ISNUMBER(F11)),F11/SUM(F4:F11), ""), "")</f>
        <v>0</v>
      </c>
      <c r="G21" s="5">
        <f>IF(SUM(L4:L11) &gt; 0, IF(AND(SUM(G4:G11)&gt;0, ISNUMBER(G11)),G11/SUM(G4:G11), ""), "")</f>
        <v>0</v>
      </c>
      <c r="H21" s="5">
        <f>IF(SUM(L4:L11) &gt; 0, IF(AND(SUM(H4:H11)&gt;0, ISNUMBER(H11)),H11/SUM(H4:H11), ""), "")</f>
        <v>0</v>
      </c>
      <c r="I21" s="5">
        <f>IF(SUM(L4:L11) &gt; 0, IF(AND(SUM(I4:I11)&gt;0, ISNUMBER(I11)),I11/SUM(I4:I11), ""), "")</f>
        <v>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0033A0"/>
  </sheetPr>
  <dimension ref="A1:R21"/>
  <sheetViews>
    <sheetView workbookViewId="0"/>
  </sheetViews>
  <sheetFormatPr defaultRowHeight="15"/>
  <sheetData>
    <row r="1" spans="1:18" s="3" customFormat="1" ht="40" customHeight="1">
      <c r="A1" s="3" t="s">
        <v>1012</v>
      </c>
    </row>
    <row r="3" spans="1:18">
      <c r="B3" t="s">
        <v>915</v>
      </c>
      <c r="C3" t="s">
        <v>982</v>
      </c>
      <c r="D3" t="s">
        <v>983</v>
      </c>
      <c r="E3" t="s">
        <v>984</v>
      </c>
      <c r="F3" t="s">
        <v>985</v>
      </c>
      <c r="G3" t="s">
        <v>986</v>
      </c>
      <c r="H3" t="s">
        <v>987</v>
      </c>
      <c r="I3" t="s">
        <v>988</v>
      </c>
      <c r="K3" t="s">
        <v>915</v>
      </c>
      <c r="L3" t="s">
        <v>992</v>
      </c>
      <c r="M3" t="s">
        <v>993</v>
      </c>
      <c r="N3" t="s">
        <v>994</v>
      </c>
      <c r="O3" t="s">
        <v>995</v>
      </c>
      <c r="P3" t="s">
        <v>996</v>
      </c>
      <c r="Q3" t="s">
        <v>997</v>
      </c>
      <c r="R3" t="s">
        <v>998</v>
      </c>
    </row>
    <row r="4" spans="1:18">
      <c r="B4" t="s">
        <v>884</v>
      </c>
      <c r="C4">
        <v>12.0683725090027</v>
      </c>
      <c r="D4">
        <v>18.8962181892395</v>
      </c>
      <c r="E4">
        <v>5.74294264411926</v>
      </c>
      <c r="F4">
        <v>12.3550623073578</v>
      </c>
      <c r="G4">
        <v>15.91585090065</v>
      </c>
      <c r="H4">
        <v>3.6214211101532</v>
      </c>
      <c r="I4">
        <f>IF(SUMIFS('TERadj'!FK2:FK100,'TERadj'!FK2:FK100,"&gt;0")/1000,SUMIFS('TERadj'!FK2:FK100,'TERadj'!FK2:FK100,"&gt;0")/1000,"")</f>
        <v>0</v>
      </c>
      <c r="K4" t="s">
        <v>884</v>
      </c>
      <c r="L4">
        <v>37</v>
      </c>
      <c r="M4">
        <v>30</v>
      </c>
      <c r="N4">
        <v>20</v>
      </c>
      <c r="O4">
        <v>25</v>
      </c>
      <c r="P4">
        <v>23</v>
      </c>
      <c r="Q4">
        <v>18</v>
      </c>
      <c r="R4" cm="1">
        <f t="array" ref="R4">IF(COUNT(_xlfn._xlws.FILTER('TERadj'!FK2:FK100, ('TERadj'!FK2:FK100&gt;0))),COUNT(_xlfn._xlws.FILTER('TERadj'!FK2:FK100, ('TERadj'!FK2:FK100&gt;0))),"")</f>
        <v>0</v>
      </c>
    </row>
    <row r="5" spans="1:18">
      <c r="B5" t="s">
        <v>892</v>
      </c>
      <c r="C5">
        <v>10.9011439990997</v>
      </c>
      <c r="D5">
        <v>12.3822746276855</v>
      </c>
      <c r="E5">
        <v>9.799280136108401</v>
      </c>
      <c r="F5">
        <v>8.095695539474489</v>
      </c>
      <c r="G5">
        <v>6.19734772872925</v>
      </c>
      <c r="H5">
        <v>3.83597349739075</v>
      </c>
      <c r="I5">
        <f>IF(SUMIFS('TERadj'!FL2:FL100,'TERadj'!FL2:FL100,"&gt;0")/1000,SUMIFS('TERadj'!FL2:FL100,'TERadj'!FL2:FL100,"&gt;0")/1000,"")</f>
        <v>0</v>
      </c>
      <c r="K5" t="s">
        <v>892</v>
      </c>
      <c r="L5">
        <v>22</v>
      </c>
      <c r="M5">
        <v>17</v>
      </c>
      <c r="N5">
        <v>9</v>
      </c>
      <c r="O5">
        <v>9</v>
      </c>
      <c r="P5">
        <v>9</v>
      </c>
      <c r="Q5">
        <v>7</v>
      </c>
      <c r="R5" cm="1">
        <f t="array" ref="R5">IF(COUNT(_xlfn._xlws.FILTER('TERadj'!FL2:FL100, ('TERadj'!FL2:FL100&gt;0))),COUNT(_xlfn._xlws.FILTER('TERadj'!FL2:FL100, ('TERadj'!FL2:FL100&gt;0))),"")</f>
        <v>0</v>
      </c>
    </row>
    <row r="6" spans="1:18">
      <c r="B6" t="s">
        <v>880</v>
      </c>
      <c r="C6">
        <v>1.26707236480713</v>
      </c>
      <c r="D6">
        <v>1.93380031532049</v>
      </c>
      <c r="E6">
        <v>1.55782844543457</v>
      </c>
      <c r="F6">
        <v>1.65774942016602</v>
      </c>
      <c r="G6">
        <v>2.98052454566956</v>
      </c>
      <c r="H6">
        <v>1.95029621887207</v>
      </c>
      <c r="I6">
        <f>IF(SUMIFS('TERadj'!FM2:FM100,'TERadj'!FM2:FM100,"&gt;0")/1000,SUMIFS('TERadj'!FM2:FM100,'TERadj'!FM2:FM100,"&gt;0")/1000,"")</f>
        <v>0</v>
      </c>
      <c r="K6" t="s">
        <v>880</v>
      </c>
      <c r="L6">
        <v>6</v>
      </c>
      <c r="M6">
        <v>8</v>
      </c>
      <c r="N6">
        <v>7</v>
      </c>
      <c r="O6">
        <v>7</v>
      </c>
      <c r="P6">
        <v>8</v>
      </c>
      <c r="Q6">
        <v>7</v>
      </c>
      <c r="R6" cm="1">
        <f t="array" ref="R6">IF(COUNT(_xlfn._xlws.FILTER('TERadj'!FM2:FM100, ('TERadj'!FM2:FM100&gt;0))),COUNT(_xlfn._xlws.FILTER('TERadj'!FM2:FM100, ('TERadj'!FM2:FM100&gt;0))),"")</f>
        <v>0</v>
      </c>
    </row>
    <row r="7" spans="1:18">
      <c r="B7" t="s">
        <v>890</v>
      </c>
      <c r="C7">
        <v>1.21884073448181</v>
      </c>
      <c r="D7">
        <v>0.547634123802185</v>
      </c>
      <c r="E7">
        <v>0.122311925888062</v>
      </c>
      <c r="F7">
        <v>1.00167401504517</v>
      </c>
      <c r="G7">
        <v>0.187170867919922</v>
      </c>
      <c r="H7">
        <v>0.0019027943611145</v>
      </c>
      <c r="I7">
        <f>IF(SUMIFS('TERadj'!FN2:FN100,'TERadj'!FN2:FN100,"&gt;0")/1000,SUMIFS('TERadj'!FN2:FN100,'TERadj'!FN2:FN100,"&gt;0")/1000,"")</f>
        <v>0</v>
      </c>
      <c r="K7" t="s">
        <v>890</v>
      </c>
      <c r="L7">
        <v>5</v>
      </c>
      <c r="M7">
        <v>5</v>
      </c>
      <c r="N7">
        <v>2</v>
      </c>
      <c r="O7">
        <v>3</v>
      </c>
      <c r="P7">
        <v>3</v>
      </c>
      <c r="Q7">
        <v>1</v>
      </c>
      <c r="R7" cm="1">
        <f t="array" ref="R7">IF(COUNT(_xlfn._xlws.FILTER('TERadj'!FN2:FN100, ('TERadj'!FN2:FN100&gt;0))),COUNT(_xlfn._xlws.FILTER('TERadj'!FN2:FN100, ('TERadj'!FN2:FN100&gt;0))),"")</f>
        <v>0</v>
      </c>
    </row>
    <row r="8" spans="1:18">
      <c r="B8" t="s">
        <v>1009</v>
      </c>
      <c r="C8">
        <v>0.057</v>
      </c>
      <c r="D8">
        <v>0.233344566345215</v>
      </c>
      <c r="E8">
        <v>0.0285394496917725</v>
      </c>
      <c r="F8">
        <v>0.175473480224609</v>
      </c>
      <c r="G8">
        <v>0.0994528675079346</v>
      </c>
      <c r="I8">
        <f>IF(SUMIFS('TERadj'!FO2:FO100,'TERadj'!FO2:FO100,"&gt;0")/1000,SUMIFS('TERadj'!FO2:FO100,'TERadj'!FO2:FO100,"&gt;0")/1000,"")</f>
        <v>0</v>
      </c>
      <c r="K8" t="s">
        <v>1009</v>
      </c>
      <c r="L8">
        <v>1</v>
      </c>
      <c r="M8">
        <v>3</v>
      </c>
      <c r="N8">
        <v>1</v>
      </c>
      <c r="O8">
        <v>3</v>
      </c>
      <c r="P8">
        <v>2</v>
      </c>
      <c r="R8" cm="1">
        <f t="array" ref="R8">IF(COUNT(_xlfn._xlws.FILTER('TERadj'!FO2:FO100, ('TERadj'!FO2:FO100&gt;0))),COUNT(_xlfn._xlws.FILTER('TERadj'!FO2:FO100, ('TERadj'!FO2:FO100&gt;0))),"")</f>
        <v>0</v>
      </c>
    </row>
    <row r="9" spans="1:18">
      <c r="B9" t="s">
        <v>936</v>
      </c>
      <c r="C9">
        <v>0.574256139755249</v>
      </c>
      <c r="D9">
        <v>2.53904309844971</v>
      </c>
      <c r="E9">
        <v>0.036236946105957</v>
      </c>
      <c r="F9">
        <v>0.318641644477844</v>
      </c>
      <c r="G9">
        <v>0.0216291999816895</v>
      </c>
      <c r="H9">
        <v>0.0467543754577637</v>
      </c>
      <c r="I9">
        <f>IF(SUMIFS('TERadj'!FP2:FP100,'TERadj'!FP2:FP100,"&gt;0")/1000,SUMIFS('TERadj'!FP2:FP100,'TERadj'!FP2:FP100,"&gt;0")/1000,"")</f>
        <v>0</v>
      </c>
      <c r="K9" t="s">
        <v>936</v>
      </c>
      <c r="L9">
        <v>4</v>
      </c>
      <c r="M9">
        <v>4</v>
      </c>
      <c r="N9">
        <v>1</v>
      </c>
      <c r="O9">
        <v>3</v>
      </c>
      <c r="P9">
        <v>1</v>
      </c>
      <c r="Q9">
        <v>1</v>
      </c>
      <c r="R9" cm="1">
        <f t="array" ref="R9">IF(COUNT(_xlfn._xlws.FILTER('TERadj'!FP2:FP100, ('TERadj'!FP2:FP100&gt;0))),COUNT(_xlfn._xlws.FILTER('TERadj'!FP2:FP100, ('TERadj'!FP2:FP100&gt;0))),"")</f>
        <v>0</v>
      </c>
    </row>
    <row r="10" spans="1:18">
      <c r="B10" t="s">
        <v>1010</v>
      </c>
      <c r="C10">
        <v>0.265500383257866</v>
      </c>
      <c r="D10">
        <v>1.72820157814026</v>
      </c>
      <c r="E10">
        <v>0.107634494781494</v>
      </c>
      <c r="F10">
        <v>0.0440335559844971</v>
      </c>
      <c r="G10">
        <v>0.0336495780944824</v>
      </c>
      <c r="H10">
        <v>0.058</v>
      </c>
      <c r="I10">
        <f>IF(SUMIFS('TERadj'!FQ2:FQ100,'TERadj'!FQ2:FQ100,"&gt;0")/1000,SUMIFS('TERadj'!FQ2:FQ100,'TERadj'!FQ2:FQ100,"&gt;0")/1000,"")</f>
        <v>0</v>
      </c>
      <c r="K10" t="s">
        <v>1010</v>
      </c>
      <c r="L10">
        <v>7</v>
      </c>
      <c r="M10">
        <v>5</v>
      </c>
      <c r="N10">
        <v>3</v>
      </c>
      <c r="O10">
        <v>3</v>
      </c>
      <c r="P10">
        <v>1</v>
      </c>
      <c r="Q10">
        <v>1</v>
      </c>
      <c r="R10" cm="1">
        <f t="array" ref="R10">IF(COUNT(_xlfn._xlws.FILTER('TERadj'!FQ2:FQ100, ('TERadj'!FQ2:FQ100&gt;0))),COUNT(_xlfn._xlws.FILTER('TERadj'!FQ2:FQ100, ('TERadj'!FQ2:FQ100&gt;0))),"")</f>
        <v>0</v>
      </c>
    </row>
    <row r="11" spans="1:18">
      <c r="B11" t="s">
        <v>894</v>
      </c>
      <c r="C11">
        <v>4.60611466217041</v>
      </c>
      <c r="D11">
        <v>4.56035238361359</v>
      </c>
      <c r="E11">
        <v>2.71640378022194</v>
      </c>
      <c r="F11">
        <v>6.01271951293945</v>
      </c>
      <c r="G11">
        <v>5.09371504974365</v>
      </c>
      <c r="H11">
        <v>2.52482015347481</v>
      </c>
      <c r="I11">
        <f>IF(SUMIFS('TERadj'!FR2:FR100,'TERadj'!FR2:FR100,"&gt;0")/1000,SUMIFS('TERadj'!FR2:FR100,'TERadj'!FR2:FR100,"&gt;0")/1000,"")</f>
        <v>0</v>
      </c>
      <c r="K11" t="s">
        <v>894</v>
      </c>
      <c r="L11">
        <v>18</v>
      </c>
      <c r="M11">
        <v>14</v>
      </c>
      <c r="N11">
        <v>14</v>
      </c>
      <c r="O11">
        <v>15</v>
      </c>
      <c r="P11">
        <v>15</v>
      </c>
      <c r="Q11">
        <v>12</v>
      </c>
      <c r="R11" cm="1">
        <f t="array" ref="R11">IF(COUNT(_xlfn._xlws.FILTER('TERadj'!FR2:FR100, ('TERadj'!FR2:FR100&gt;0))),COUNT(_xlfn._xlws.FILTER('TERadj'!FR2:FR100, ('TERadj'!FR2:FR100&gt;0))),"")</f>
        <v>0</v>
      </c>
    </row>
    <row r="13" spans="1:18">
      <c r="B13" t="s">
        <v>915</v>
      </c>
      <c r="C13" t="s">
        <v>946</v>
      </c>
      <c r="D13" t="s">
        <v>947</v>
      </c>
      <c r="E13" t="s">
        <v>948</v>
      </c>
      <c r="F13" t="s">
        <v>949</v>
      </c>
      <c r="G13" t="s">
        <v>950</v>
      </c>
      <c r="H13" t="s">
        <v>931</v>
      </c>
      <c r="I13" t="s">
        <v>932</v>
      </c>
    </row>
    <row r="14" spans="1:18">
      <c r="B14" t="s">
        <v>884</v>
      </c>
      <c r="C14" s="5">
        <f>IF(SUM(L4:L11) &gt; 0, IF(AND(SUM(C4:C11)&gt;0, ISNUMBER(C4)),C4/SUM(C4:C11), ""), "")</f>
        <v>0</v>
      </c>
      <c r="D14" s="5">
        <f>IF(SUM(L4:L11) &gt; 0, IF(AND(SUM(D4:D11)&gt;0, ISNUMBER(D4)),D4/SUM(D4:D11), ""), "")</f>
        <v>0</v>
      </c>
      <c r="E14" s="5">
        <f>IF(SUM(L4:L11) &gt; 0, IF(AND(SUM(E4:E11)&gt;0, ISNUMBER(E4)),E4/SUM(E4:E11), ""), "")</f>
        <v>0</v>
      </c>
      <c r="F14" s="5">
        <f>IF(SUM(L4:L11) &gt; 0, IF(AND(SUM(F4:F11)&gt;0, ISNUMBER(F4)),F4/SUM(F4:F11), ""), "")</f>
        <v>0</v>
      </c>
      <c r="G14" s="5">
        <f>IF(SUM(L4:L11) &gt; 0, IF(AND(SUM(G4:G11)&gt;0, ISNUMBER(G4)),G4/SUM(G4:G11), ""), "")</f>
        <v>0</v>
      </c>
      <c r="H14" s="5">
        <f>IF(SUM(L4:L11) &gt; 0, IF(AND(SUM(H4:H11)&gt;0, ISNUMBER(H4)),H4/SUM(H4:H11), ""), "")</f>
        <v>0</v>
      </c>
      <c r="I14" s="5">
        <f>IF(SUM(L4:L11) &gt; 0, IF(AND(SUM(I4:I11)&gt;0, ISNUMBER(I4)),I4/SUM(I4:I11), ""), "")</f>
        <v>0</v>
      </c>
    </row>
    <row r="15" spans="1:18">
      <c r="B15" t="s">
        <v>892</v>
      </c>
      <c r="C15" s="5">
        <f>IF(SUM(L4:L11) &gt; 0, IF(AND(SUM(C4:C11)&gt;0, ISNUMBER(C5)),C5/SUM(C4:C11), ""), "")</f>
        <v>0</v>
      </c>
      <c r="D15" s="5">
        <f>IF(SUM(L4:L11) &gt; 0, IF(AND(SUM(D4:D11)&gt;0, ISNUMBER(D5)),D5/SUM(D4:D11), ""), "")</f>
        <v>0</v>
      </c>
      <c r="E15" s="5">
        <f>IF(SUM(L4:L11) &gt; 0, IF(AND(SUM(E4:E11)&gt;0, ISNUMBER(E5)),E5/SUM(E4:E11), ""), "")</f>
        <v>0</v>
      </c>
      <c r="F15" s="5">
        <f>IF(SUM(L4:L11) &gt; 0, IF(AND(SUM(F4:F11)&gt;0, ISNUMBER(F5)),F5/SUM(F4:F11), ""), "")</f>
        <v>0</v>
      </c>
      <c r="G15" s="5">
        <f>IF(SUM(L4:L11) &gt; 0, IF(AND(SUM(G4:G11)&gt;0, ISNUMBER(G5)),G5/SUM(G4:G11), ""), "")</f>
        <v>0</v>
      </c>
      <c r="H15" s="5">
        <f>IF(SUM(L4:L11) &gt; 0, IF(AND(SUM(H4:H11)&gt;0, ISNUMBER(H5)),H5/SUM(H4:H11), ""), "")</f>
        <v>0</v>
      </c>
      <c r="I15" s="5">
        <f>IF(SUM(L4:L11) &gt; 0, IF(AND(SUM(I4:I11)&gt;0, ISNUMBER(I5)),I5/SUM(I4:I11), ""), "")</f>
        <v>0</v>
      </c>
    </row>
    <row r="16" spans="1:18">
      <c r="B16" t="s">
        <v>880</v>
      </c>
      <c r="C16" s="5">
        <f>IF(SUM(L4:L11) &gt; 0, IF(AND(SUM(C4:C11)&gt;0, ISNUMBER(C6)),C6/SUM(C4:C11), ""), "")</f>
        <v>0</v>
      </c>
      <c r="D16" s="5">
        <f>IF(SUM(L4:L11) &gt; 0, IF(AND(SUM(D4:D11)&gt;0, ISNUMBER(D6)),D6/SUM(D4:D11), ""), "")</f>
        <v>0</v>
      </c>
      <c r="E16" s="5">
        <f>IF(SUM(L4:L11) &gt; 0, IF(AND(SUM(E4:E11)&gt;0, ISNUMBER(E6)),E6/SUM(E4:E11), ""), "")</f>
        <v>0</v>
      </c>
      <c r="F16" s="5">
        <f>IF(SUM(L4:L11) &gt; 0, IF(AND(SUM(F4:F11)&gt;0, ISNUMBER(F6)),F6/SUM(F4:F11), ""), "")</f>
        <v>0</v>
      </c>
      <c r="G16" s="5">
        <f>IF(SUM(L4:L11) &gt; 0, IF(AND(SUM(G4:G11)&gt;0, ISNUMBER(G6)),G6/SUM(G4:G11), ""), "")</f>
        <v>0</v>
      </c>
      <c r="H16" s="5">
        <f>IF(SUM(L4:L11) &gt; 0, IF(AND(SUM(H4:H11)&gt;0, ISNUMBER(H6)),H6/SUM(H4:H11), ""), "")</f>
        <v>0</v>
      </c>
      <c r="I16" s="5">
        <f>IF(SUM(L4:L11) &gt; 0, IF(AND(SUM(I4:I11)&gt;0, ISNUMBER(I6)),I6/SUM(I4:I11), ""), "")</f>
        <v>0</v>
      </c>
    </row>
    <row r="17" spans="2:9">
      <c r="B17" t="s">
        <v>890</v>
      </c>
      <c r="C17" s="5">
        <f>IF(SUM(L4:L11) &gt; 0, IF(AND(SUM(C4:C11)&gt;0, ISNUMBER(C7)),C7/SUM(C4:C11), ""), "")</f>
        <v>0</v>
      </c>
      <c r="D17" s="5">
        <f>IF(SUM(L4:L11) &gt; 0, IF(AND(SUM(D4:D11)&gt;0, ISNUMBER(D7)),D7/SUM(D4:D11), ""), "")</f>
        <v>0</v>
      </c>
      <c r="E17" s="5">
        <f>IF(SUM(L4:L11) &gt; 0, IF(AND(SUM(E4:E11)&gt;0, ISNUMBER(E7)),E7/SUM(E4:E11), ""), "")</f>
        <v>0</v>
      </c>
      <c r="F17" s="5">
        <f>IF(SUM(L4:L11) &gt; 0, IF(AND(SUM(F4:F11)&gt;0, ISNUMBER(F7)),F7/SUM(F4:F11), ""), "")</f>
        <v>0</v>
      </c>
      <c r="G17" s="5">
        <f>IF(SUM(L4:L11) &gt; 0, IF(AND(SUM(G4:G11)&gt;0, ISNUMBER(G7)),G7/SUM(G4:G11), ""), "")</f>
        <v>0</v>
      </c>
      <c r="H17" s="5">
        <f>IF(SUM(L4:L11) &gt; 0, IF(AND(SUM(H4:H11)&gt;0, ISNUMBER(H7)),H7/SUM(H4:H11), ""), "")</f>
        <v>0</v>
      </c>
      <c r="I17" s="5">
        <f>IF(SUM(L4:L11) &gt; 0, IF(AND(SUM(I4:I11)&gt;0, ISNUMBER(I7)),I7/SUM(I4:I11), ""), "")</f>
        <v>0</v>
      </c>
    </row>
    <row r="18" spans="2:9">
      <c r="B18" t="s">
        <v>1009</v>
      </c>
      <c r="C18" s="5">
        <f>IF(SUM(L4:L11) &gt; 0, IF(AND(SUM(C4:C11)&gt;0, ISNUMBER(C8)),C8/SUM(C4:C11), ""), "")</f>
        <v>0</v>
      </c>
      <c r="D18" s="5">
        <f>IF(SUM(L4:L11) &gt; 0, IF(AND(SUM(D4:D11)&gt;0, ISNUMBER(D8)),D8/SUM(D4:D11), ""), "")</f>
        <v>0</v>
      </c>
      <c r="E18" s="5">
        <f>IF(SUM(L4:L11) &gt; 0, IF(AND(SUM(E4:E11)&gt;0, ISNUMBER(E8)),E8/SUM(E4:E11), ""), "")</f>
        <v>0</v>
      </c>
      <c r="F18" s="5">
        <f>IF(SUM(L4:L11) &gt; 0, IF(AND(SUM(F4:F11)&gt;0, ISNUMBER(F8)),F8/SUM(F4:F11), ""), "")</f>
        <v>0</v>
      </c>
      <c r="G18" s="5">
        <f>IF(SUM(L4:L11) &gt; 0, IF(AND(SUM(G4:G11)&gt;0, ISNUMBER(G8)),G8/SUM(G4:G11), ""), "")</f>
        <v>0</v>
      </c>
      <c r="H18" s="5">
        <f>IF(SUM(L4:L11) &gt; 0, IF(AND(SUM(H4:H11)&gt;0, ISNUMBER(H8)),H8/SUM(H4:H11), ""), "")</f>
        <v>0</v>
      </c>
      <c r="I18" s="5">
        <f>IF(SUM(L4:L11) &gt; 0, IF(AND(SUM(I4:I11)&gt;0, ISNUMBER(I8)),I8/SUM(I4:I11), ""), "")</f>
        <v>0</v>
      </c>
    </row>
    <row r="19" spans="2:9">
      <c r="B19" t="s">
        <v>936</v>
      </c>
      <c r="C19" s="5">
        <f>IF(SUM(L4:L11) &gt; 0, IF(AND(SUM(C4:C11)&gt;0, ISNUMBER(C9)),C9/SUM(C4:C11), ""), "")</f>
        <v>0</v>
      </c>
      <c r="D19" s="5">
        <f>IF(SUM(L4:L11) &gt; 0, IF(AND(SUM(D4:D11)&gt;0, ISNUMBER(D9)),D9/SUM(D4:D11), ""), "")</f>
        <v>0</v>
      </c>
      <c r="E19" s="5">
        <f>IF(SUM(L4:L11) &gt; 0, IF(AND(SUM(E4:E11)&gt;0, ISNUMBER(E9)),E9/SUM(E4:E11), ""), "")</f>
        <v>0</v>
      </c>
      <c r="F19" s="5">
        <f>IF(SUM(L4:L11) &gt; 0, IF(AND(SUM(F4:F11)&gt;0, ISNUMBER(F9)),F9/SUM(F4:F11), ""), "")</f>
        <v>0</v>
      </c>
      <c r="G19" s="5">
        <f>IF(SUM(L4:L11) &gt; 0, IF(AND(SUM(G4:G11)&gt;0, ISNUMBER(G9)),G9/SUM(G4:G11), ""), "")</f>
        <v>0</v>
      </c>
      <c r="H19" s="5">
        <f>IF(SUM(L4:L11) &gt; 0, IF(AND(SUM(H4:H11)&gt;0, ISNUMBER(H9)),H9/SUM(H4:H11), ""), "")</f>
        <v>0</v>
      </c>
      <c r="I19" s="5">
        <f>IF(SUM(L4:L11) &gt; 0, IF(AND(SUM(I4:I11)&gt;0, ISNUMBER(I9)),I9/SUM(I4:I11), ""), "")</f>
        <v>0</v>
      </c>
    </row>
    <row r="20" spans="2:9">
      <c r="B20" t="s">
        <v>1010</v>
      </c>
      <c r="C20" s="5">
        <f>IF(SUM(L4:L11) &gt; 0, IF(AND(SUM(C4:C11)&gt;0, ISNUMBER(C10)),C10/SUM(C4:C11), ""), "")</f>
        <v>0</v>
      </c>
      <c r="D20" s="5">
        <f>IF(SUM(L4:L11) &gt; 0, IF(AND(SUM(D4:D11)&gt;0, ISNUMBER(D10)),D10/SUM(D4:D11), ""), "")</f>
        <v>0</v>
      </c>
      <c r="E20" s="5">
        <f>IF(SUM(L4:L11) &gt; 0, IF(AND(SUM(E4:E11)&gt;0, ISNUMBER(E10)),E10/SUM(E4:E11), ""), "")</f>
        <v>0</v>
      </c>
      <c r="F20" s="5">
        <f>IF(SUM(L4:L11) &gt; 0, IF(AND(SUM(F4:F11)&gt;0, ISNUMBER(F10)),F10/SUM(F4:F11), ""), "")</f>
        <v>0</v>
      </c>
      <c r="G20" s="5">
        <f>IF(SUM(L4:L11) &gt; 0, IF(AND(SUM(G4:G11)&gt;0, ISNUMBER(G10)),G10/SUM(G4:G11), ""), "")</f>
        <v>0</v>
      </c>
      <c r="H20" s="5">
        <f>IF(SUM(L4:L11) &gt; 0, IF(AND(SUM(H4:H11)&gt;0, ISNUMBER(H10)),H10/SUM(H4:H11), ""), "")</f>
        <v>0</v>
      </c>
      <c r="I20" s="5">
        <f>IF(SUM(L4:L11) &gt; 0, IF(AND(SUM(I4:I11)&gt;0, ISNUMBER(I10)),I10/SUM(I4:I11), ""), "")</f>
        <v>0</v>
      </c>
    </row>
    <row r="21" spans="2:9">
      <c r="B21" t="s">
        <v>894</v>
      </c>
      <c r="C21" s="5">
        <f>IF(SUM(L4:L11) &gt; 0, IF(AND(SUM(C4:C11)&gt;0, ISNUMBER(C11)),C11/SUM(C4:C11), ""), "")</f>
        <v>0</v>
      </c>
      <c r="D21" s="5">
        <f>IF(SUM(L4:L11) &gt; 0, IF(AND(SUM(D4:D11)&gt;0, ISNUMBER(D11)),D11/SUM(D4:D11), ""), "")</f>
        <v>0</v>
      </c>
      <c r="E21" s="5">
        <f>IF(SUM(L4:L11) &gt; 0, IF(AND(SUM(E4:E11)&gt;0, ISNUMBER(E11)),E11/SUM(E4:E11), ""), "")</f>
        <v>0</v>
      </c>
      <c r="F21" s="5">
        <f>IF(SUM(L4:L11) &gt; 0, IF(AND(SUM(F4:F11)&gt;0, ISNUMBER(F11)),F11/SUM(F4:F11), ""), "")</f>
        <v>0</v>
      </c>
      <c r="G21" s="5">
        <f>IF(SUM(L4:L11) &gt; 0, IF(AND(SUM(G4:G11)&gt;0, ISNUMBER(G11)),G11/SUM(G4:G11), ""), "")</f>
        <v>0</v>
      </c>
      <c r="H21" s="5">
        <f>IF(SUM(L4:L11) &gt; 0, IF(AND(SUM(H4:H11)&gt;0, ISNUMBER(H11)),H11/SUM(H4:H11), ""), "")</f>
        <v>0</v>
      </c>
      <c r="I21" s="5">
        <f>IF(SUM(L4:L11) &gt; 0, IF(AND(SUM(I4:I11)&gt;0, ISNUMBER(I11)),I11/SUM(I4:I11), ""), "")</f>
        <v>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0033A0"/>
  </sheetPr>
  <dimension ref="A1:R21"/>
  <sheetViews>
    <sheetView workbookViewId="0"/>
  </sheetViews>
  <sheetFormatPr defaultRowHeight="15"/>
  <sheetData>
    <row r="1" spans="1:18" s="3" customFormat="1" ht="40" customHeight="1">
      <c r="A1" s="3" t="s">
        <v>1013</v>
      </c>
    </row>
    <row r="3" spans="1:18">
      <c r="B3" t="s">
        <v>915</v>
      </c>
      <c r="C3" t="s">
        <v>982</v>
      </c>
      <c r="D3" t="s">
        <v>983</v>
      </c>
      <c r="E3" t="s">
        <v>984</v>
      </c>
      <c r="F3" t="s">
        <v>985</v>
      </c>
      <c r="G3" t="s">
        <v>986</v>
      </c>
      <c r="H3" t="s">
        <v>987</v>
      </c>
      <c r="I3" t="s">
        <v>988</v>
      </c>
      <c r="K3" t="s">
        <v>915</v>
      </c>
      <c r="L3" t="s">
        <v>992</v>
      </c>
      <c r="M3" t="s">
        <v>993</v>
      </c>
      <c r="N3" t="s">
        <v>994</v>
      </c>
      <c r="O3" t="s">
        <v>995</v>
      </c>
      <c r="P3" t="s">
        <v>996</v>
      </c>
      <c r="Q3" t="s">
        <v>997</v>
      </c>
      <c r="R3" t="s">
        <v>998</v>
      </c>
    </row>
    <row r="4" spans="1:18">
      <c r="B4" t="s">
        <v>884</v>
      </c>
      <c r="C4">
        <v>4.27653423690796</v>
      </c>
      <c r="D4">
        <v>1.53680648803711</v>
      </c>
      <c r="E4">
        <v>0.450071929931641</v>
      </c>
      <c r="F4">
        <v>3.89087823486328</v>
      </c>
      <c r="G4">
        <v>1.89791552734375</v>
      </c>
      <c r="H4">
        <v>1.19952331161499</v>
      </c>
      <c r="I4">
        <f>IF(SUMIFS('TERadj'!FS2:FS100,'TERadj'!FS2:FS100,"&gt;0")/1000,SUMIFS('TERadj'!FS2:FS100,'TERadj'!FS2:FS100,"&gt;0")/1000,"")</f>
        <v>0</v>
      </c>
      <c r="K4" t="s">
        <v>884</v>
      </c>
      <c r="L4">
        <v>8</v>
      </c>
      <c r="M4">
        <v>8</v>
      </c>
      <c r="N4">
        <v>3</v>
      </c>
      <c r="O4">
        <v>6</v>
      </c>
      <c r="P4">
        <v>2</v>
      </c>
      <c r="Q4">
        <v>3</v>
      </c>
      <c r="R4" cm="1">
        <f t="array" ref="R4">IF(COUNT(_xlfn._xlws.FILTER('TERadj'!FS2:FS100, ('TERadj'!FS2:FS100&gt;0))),COUNT(_xlfn._xlws.FILTER('TERadj'!FS2:FS100, ('TERadj'!FS2:FS100&gt;0))),"")</f>
        <v>0</v>
      </c>
    </row>
    <row r="5" spans="1:18">
      <c r="B5" t="s">
        <v>892</v>
      </c>
      <c r="C5">
        <v>1.35957044410706</v>
      </c>
      <c r="D5">
        <v>1.81942808151245</v>
      </c>
      <c r="E5">
        <v>0.767588806152344</v>
      </c>
      <c r="F5">
        <v>2.03542205810547</v>
      </c>
      <c r="G5">
        <v>3.20278662109375</v>
      </c>
      <c r="H5">
        <v>0.659115829467773</v>
      </c>
      <c r="I5">
        <f>IF(SUMIFS('TERadj'!FT2:FT100,'TERadj'!FT2:FT100,"&gt;0")/1000,SUMIFS('TERadj'!FT2:FT100,'TERadj'!FT2:FT100,"&gt;0")/1000,"")</f>
        <v>0</v>
      </c>
      <c r="K5" t="s">
        <v>892</v>
      </c>
      <c r="L5">
        <v>3</v>
      </c>
      <c r="M5">
        <v>4</v>
      </c>
      <c r="N5">
        <v>1</v>
      </c>
      <c r="O5">
        <v>4</v>
      </c>
      <c r="P5">
        <v>4</v>
      </c>
      <c r="Q5">
        <v>2</v>
      </c>
      <c r="R5" cm="1">
        <f t="array" ref="R5">IF(COUNT(_xlfn._xlws.FILTER('TERadj'!FT2:FT100, ('TERadj'!FT2:FT100&gt;0))),COUNT(_xlfn._xlws.FILTER('TERadj'!FT2:FT100, ('TERadj'!FT2:FT100&gt;0))),"")</f>
        <v>0</v>
      </c>
    </row>
    <row r="6" spans="1:18">
      <c r="B6" t="s">
        <v>880</v>
      </c>
      <c r="C6">
        <v>0.05</v>
      </c>
      <c r="D6">
        <v>0.05</v>
      </c>
      <c r="F6">
        <v>1.40716052246094</v>
      </c>
      <c r="H6">
        <v>0.536271301269531</v>
      </c>
      <c r="I6">
        <f>IF(SUMIFS('TERadj'!FU2:FU100,'TERadj'!FU2:FU100,"&gt;0")/1000,SUMIFS('TERadj'!FU2:FU100,'TERadj'!FU2:FU100,"&gt;0")/1000,"")</f>
        <v>0</v>
      </c>
      <c r="K6" t="s">
        <v>880</v>
      </c>
      <c r="L6">
        <v>1</v>
      </c>
      <c r="M6">
        <v>1</v>
      </c>
      <c r="O6">
        <v>2</v>
      </c>
      <c r="Q6">
        <v>2</v>
      </c>
      <c r="R6" cm="1">
        <f t="array" ref="R6">IF(COUNT(_xlfn._xlws.FILTER('TERadj'!FU2:FU100, ('TERadj'!FU2:FU100&gt;0))),COUNT(_xlfn._xlws.FILTER('TERadj'!FU2:FU100, ('TERadj'!FU2:FU100&gt;0))),"")</f>
        <v>0</v>
      </c>
    </row>
    <row r="7" spans="1:18">
      <c r="B7" t="s">
        <v>890</v>
      </c>
      <c r="C7">
        <v>1.04914196777344</v>
      </c>
      <c r="D7">
        <v>2.02365386676788</v>
      </c>
      <c r="E7">
        <v>0.003</v>
      </c>
      <c r="H7">
        <v>0.446531463623047</v>
      </c>
      <c r="I7">
        <f>IF(SUMIFS('TERadj'!FV2:FV100,'TERadj'!FV2:FV100,"&gt;0")/1000,SUMIFS('TERadj'!FV2:FV100,'TERadj'!FV2:FV100,"&gt;0")/1000,"")</f>
        <v>0</v>
      </c>
      <c r="K7" t="s">
        <v>890</v>
      </c>
      <c r="L7">
        <v>1</v>
      </c>
      <c r="M7">
        <v>2</v>
      </c>
      <c r="N7">
        <v>1</v>
      </c>
      <c r="Q7">
        <v>1</v>
      </c>
      <c r="R7" cm="1">
        <f t="array" ref="R7">IF(COUNT(_xlfn._xlws.FILTER('TERadj'!FV2:FV100, ('TERadj'!FV2:FV100&gt;0))),COUNT(_xlfn._xlws.FILTER('TERadj'!FV2:FV100, ('TERadj'!FV2:FV100&gt;0))),"")</f>
        <v>0</v>
      </c>
    </row>
    <row r="8" spans="1:18">
      <c r="B8" t="s">
        <v>1009</v>
      </c>
      <c r="E8">
        <v>0.036</v>
      </c>
      <c r="F8">
        <v>0.00352671813964844</v>
      </c>
      <c r="G8">
        <v>0.00934710502624512</v>
      </c>
      <c r="H8">
        <v>0.0330270729064941</v>
      </c>
      <c r="I8">
        <f>IF(SUMIFS('TERadj'!FW2:FW100,'TERadj'!FW2:FW100,"&gt;0")/1000,SUMIFS('TERadj'!FW2:FW100,'TERadj'!FW2:FW100,"&gt;0")/1000,"")</f>
        <v>0</v>
      </c>
      <c r="K8" t="s">
        <v>1009</v>
      </c>
      <c r="N8">
        <v>1</v>
      </c>
      <c r="O8">
        <v>1</v>
      </c>
      <c r="P8">
        <v>1</v>
      </c>
      <c r="Q8">
        <v>1</v>
      </c>
      <c r="R8" cm="1">
        <f t="array" ref="R8">IF(COUNT(_xlfn._xlws.FILTER('TERadj'!FW2:FW100, ('TERadj'!FW2:FW100&gt;0))),COUNT(_xlfn._xlws.FILTER('TERadj'!FW2:FW100, ('TERadj'!FW2:FW100&gt;0))),"")</f>
        <v>0</v>
      </c>
    </row>
    <row r="9" spans="1:18">
      <c r="B9" t="s">
        <v>936</v>
      </c>
      <c r="D9">
        <v>0.263623970031738</v>
      </c>
      <c r="G9">
        <v>0.0499582490921021</v>
      </c>
      <c r="I9">
        <f>IF(SUMIFS('TERadj'!FX2:FX100,'TERadj'!FX2:FX100,"&gt;0")/1000,SUMIFS('TERadj'!FX2:FX100,'TERadj'!FX2:FX100,"&gt;0")/1000,"")</f>
        <v>0</v>
      </c>
      <c r="K9" t="s">
        <v>936</v>
      </c>
      <c r="M9">
        <v>2</v>
      </c>
      <c r="P9">
        <v>2</v>
      </c>
      <c r="R9" cm="1">
        <f t="array" ref="R9">IF(COUNT(_xlfn._xlws.FILTER('TERadj'!FX2:FX100, ('TERadj'!FX2:FX100&gt;0))),COUNT(_xlfn._xlws.FILTER('TERadj'!FX2:FX100, ('TERadj'!FX2:FX100&gt;0))),"")</f>
        <v>0</v>
      </c>
    </row>
    <row r="10" spans="1:18">
      <c r="B10" t="s">
        <v>1010</v>
      </c>
      <c r="D10">
        <v>0.014</v>
      </c>
      <c r="E10">
        <v>0.05</v>
      </c>
      <c r="I10">
        <f>IF(SUMIFS('TERadj'!FY2:FY100,'TERadj'!FY2:FY100,"&gt;0")/1000,SUMIFS('TERadj'!FY2:FY100,'TERadj'!FY2:FY100,"&gt;0")/1000,"")</f>
        <v>0</v>
      </c>
      <c r="K10" t="s">
        <v>1010</v>
      </c>
      <c r="M10">
        <v>1</v>
      </c>
      <c r="N10">
        <v>1</v>
      </c>
      <c r="R10" cm="1">
        <f t="array" ref="R10">IF(COUNT(_xlfn._xlws.FILTER('TERadj'!FY2:FY100, ('TERadj'!FY2:FY100&gt;0))),COUNT(_xlfn._xlws.FILTER('TERadj'!FY2:FY100, ('TERadj'!FY2:FY100&gt;0))),"")</f>
        <v>0</v>
      </c>
    </row>
    <row r="11" spans="1:18">
      <c r="B11" t="s">
        <v>894</v>
      </c>
      <c r="C11">
        <v>0.297362783432007</v>
      </c>
      <c r="D11">
        <v>1.01027903318405</v>
      </c>
      <c r="E11">
        <v>0.910385320663452</v>
      </c>
      <c r="F11">
        <v>3.13174251937866</v>
      </c>
      <c r="G11">
        <v>1.08474847412109</v>
      </c>
      <c r="H11">
        <v>0.0420416030883789</v>
      </c>
      <c r="I11">
        <f>IF(SUMIFS('TERadj'!FZ2:FZ100,'TERadj'!FZ2:FZ100,"&gt;0")/1000,SUMIFS('TERadj'!FZ2:FZ100,'TERadj'!FZ2:FZ100,"&gt;0")/1000,"")</f>
        <v>0</v>
      </c>
      <c r="K11" t="s">
        <v>894</v>
      </c>
      <c r="L11">
        <v>3</v>
      </c>
      <c r="M11">
        <v>7</v>
      </c>
      <c r="N11">
        <v>4</v>
      </c>
      <c r="O11">
        <v>3</v>
      </c>
      <c r="P11">
        <v>2</v>
      </c>
      <c r="Q11">
        <v>1</v>
      </c>
      <c r="R11" cm="1">
        <f t="array" ref="R11">IF(COUNT(_xlfn._xlws.FILTER('TERadj'!FZ2:FZ100, ('TERadj'!FZ2:FZ100&gt;0))),COUNT(_xlfn._xlws.FILTER('TERadj'!FZ2:FZ100, ('TERadj'!FZ2:FZ100&gt;0))),"")</f>
        <v>0</v>
      </c>
    </row>
    <row r="13" spans="1:18">
      <c r="B13" t="s">
        <v>915</v>
      </c>
      <c r="C13" t="s">
        <v>946</v>
      </c>
      <c r="D13" t="s">
        <v>947</v>
      </c>
      <c r="E13" t="s">
        <v>948</v>
      </c>
      <c r="F13" t="s">
        <v>949</v>
      </c>
      <c r="G13" t="s">
        <v>950</v>
      </c>
      <c r="H13" t="s">
        <v>931</v>
      </c>
      <c r="I13" t="s">
        <v>932</v>
      </c>
    </row>
    <row r="14" spans="1:18">
      <c r="B14" t="s">
        <v>884</v>
      </c>
      <c r="C14" s="5">
        <f>IF(SUM(L4:L11) &gt; 0, IF(AND(SUM(C4:C11)&gt;0, ISNUMBER(C4)),C4/SUM(C4:C11), ""), "")</f>
        <v>0</v>
      </c>
      <c r="D14" s="5">
        <f>IF(SUM(L4:L11) &gt; 0, IF(AND(SUM(D4:D11)&gt;0, ISNUMBER(D4)),D4/SUM(D4:D11), ""), "")</f>
        <v>0</v>
      </c>
      <c r="E14" s="5">
        <f>IF(SUM(L4:L11) &gt; 0, IF(AND(SUM(E4:E11)&gt;0, ISNUMBER(E4)),E4/SUM(E4:E11), ""), "")</f>
        <v>0</v>
      </c>
      <c r="F14" s="5">
        <f>IF(SUM(L4:L11) &gt; 0, IF(AND(SUM(F4:F11)&gt;0, ISNUMBER(F4)),F4/SUM(F4:F11), ""), "")</f>
        <v>0</v>
      </c>
      <c r="G14" s="5">
        <f>IF(SUM(L4:L11) &gt; 0, IF(AND(SUM(G4:G11)&gt;0, ISNUMBER(G4)),G4/SUM(G4:G11), ""), "")</f>
        <v>0</v>
      </c>
      <c r="H14" s="5">
        <f>IF(SUM(L4:L11) &gt; 0, IF(AND(SUM(H4:H11)&gt;0, ISNUMBER(H4)),H4/SUM(H4:H11), ""), "")</f>
        <v>0</v>
      </c>
      <c r="I14" s="5">
        <f>IF(SUM(L4:L11) &gt; 0, IF(AND(SUM(I4:I11)&gt;0, ISNUMBER(I4)),I4/SUM(I4:I11), ""), "")</f>
        <v>0</v>
      </c>
    </row>
    <row r="15" spans="1:18">
      <c r="B15" t="s">
        <v>892</v>
      </c>
      <c r="C15" s="5">
        <f>IF(SUM(L4:L11) &gt; 0, IF(AND(SUM(C4:C11)&gt;0, ISNUMBER(C5)),C5/SUM(C4:C11), ""), "")</f>
        <v>0</v>
      </c>
      <c r="D15" s="5">
        <f>IF(SUM(L4:L11) &gt; 0, IF(AND(SUM(D4:D11)&gt;0, ISNUMBER(D5)),D5/SUM(D4:D11), ""), "")</f>
        <v>0</v>
      </c>
      <c r="E15" s="5">
        <f>IF(SUM(L4:L11) &gt; 0, IF(AND(SUM(E4:E11)&gt;0, ISNUMBER(E5)),E5/SUM(E4:E11), ""), "")</f>
        <v>0</v>
      </c>
      <c r="F15" s="5">
        <f>IF(SUM(L4:L11) &gt; 0, IF(AND(SUM(F4:F11)&gt;0, ISNUMBER(F5)),F5/SUM(F4:F11), ""), "")</f>
        <v>0</v>
      </c>
      <c r="G15" s="5">
        <f>IF(SUM(L4:L11) &gt; 0, IF(AND(SUM(G4:G11)&gt;0, ISNUMBER(G5)),G5/SUM(G4:G11), ""), "")</f>
        <v>0</v>
      </c>
      <c r="H15" s="5">
        <f>IF(SUM(L4:L11) &gt; 0, IF(AND(SUM(H4:H11)&gt;0, ISNUMBER(H5)),H5/SUM(H4:H11), ""), "")</f>
        <v>0</v>
      </c>
      <c r="I15" s="5">
        <f>IF(SUM(L4:L11) &gt; 0, IF(AND(SUM(I4:I11)&gt;0, ISNUMBER(I5)),I5/SUM(I4:I11), ""), "")</f>
        <v>0</v>
      </c>
    </row>
    <row r="16" spans="1:18">
      <c r="B16" t="s">
        <v>880</v>
      </c>
      <c r="C16" s="5">
        <f>IF(SUM(L4:L11) &gt; 0, IF(AND(SUM(C4:C11)&gt;0, ISNUMBER(C6)),C6/SUM(C4:C11), ""), "")</f>
        <v>0</v>
      </c>
      <c r="D16" s="5">
        <f>IF(SUM(L4:L11) &gt; 0, IF(AND(SUM(D4:D11)&gt;0, ISNUMBER(D6)),D6/SUM(D4:D11), ""), "")</f>
        <v>0</v>
      </c>
      <c r="E16" s="5">
        <f>IF(SUM(L4:L11) &gt; 0, IF(AND(SUM(E4:E11)&gt;0, ISNUMBER(E6)),E6/SUM(E4:E11), ""), "")</f>
        <v>0</v>
      </c>
      <c r="F16" s="5">
        <f>IF(SUM(L4:L11) &gt; 0, IF(AND(SUM(F4:F11)&gt;0, ISNUMBER(F6)),F6/SUM(F4:F11), ""), "")</f>
        <v>0</v>
      </c>
      <c r="G16" s="5">
        <f>IF(SUM(L4:L11) &gt; 0, IF(AND(SUM(G4:G11)&gt;0, ISNUMBER(G6)),G6/SUM(G4:G11), ""), "")</f>
        <v>0</v>
      </c>
      <c r="H16" s="5">
        <f>IF(SUM(L4:L11) &gt; 0, IF(AND(SUM(H4:H11)&gt;0, ISNUMBER(H6)),H6/SUM(H4:H11), ""), "")</f>
        <v>0</v>
      </c>
      <c r="I16" s="5">
        <f>IF(SUM(L4:L11) &gt; 0, IF(AND(SUM(I4:I11)&gt;0, ISNUMBER(I6)),I6/SUM(I4:I11), ""), "")</f>
        <v>0</v>
      </c>
    </row>
    <row r="17" spans="2:9">
      <c r="B17" t="s">
        <v>890</v>
      </c>
      <c r="C17" s="5">
        <f>IF(SUM(L4:L11) &gt; 0, IF(AND(SUM(C4:C11)&gt;0, ISNUMBER(C7)),C7/SUM(C4:C11), ""), "")</f>
        <v>0</v>
      </c>
      <c r="D17" s="5">
        <f>IF(SUM(L4:L11) &gt; 0, IF(AND(SUM(D4:D11)&gt;0, ISNUMBER(D7)),D7/SUM(D4:D11), ""), "")</f>
        <v>0</v>
      </c>
      <c r="E17" s="5">
        <f>IF(SUM(L4:L11) &gt; 0, IF(AND(SUM(E4:E11)&gt;0, ISNUMBER(E7)),E7/SUM(E4:E11), ""), "")</f>
        <v>0</v>
      </c>
      <c r="F17" s="5">
        <f>IF(SUM(L4:L11) &gt; 0, IF(AND(SUM(F4:F11)&gt;0, ISNUMBER(F7)),F7/SUM(F4:F11), ""), "")</f>
        <v>0</v>
      </c>
      <c r="G17" s="5">
        <f>IF(SUM(L4:L11) &gt; 0, IF(AND(SUM(G4:G11)&gt;0, ISNUMBER(G7)),G7/SUM(G4:G11), ""), "")</f>
        <v>0</v>
      </c>
      <c r="H17" s="5">
        <f>IF(SUM(L4:L11) &gt; 0, IF(AND(SUM(H4:H11)&gt;0, ISNUMBER(H7)),H7/SUM(H4:H11), ""), "")</f>
        <v>0</v>
      </c>
      <c r="I17" s="5">
        <f>IF(SUM(L4:L11) &gt; 0, IF(AND(SUM(I4:I11)&gt;0, ISNUMBER(I7)),I7/SUM(I4:I11), ""), "")</f>
        <v>0</v>
      </c>
    </row>
    <row r="18" spans="2:9">
      <c r="B18" t="s">
        <v>1009</v>
      </c>
      <c r="C18" s="5">
        <f>IF(SUM(L4:L11) &gt; 0, IF(AND(SUM(C4:C11)&gt;0, ISNUMBER(C8)),C8/SUM(C4:C11), ""), "")</f>
        <v>0</v>
      </c>
      <c r="D18" s="5">
        <f>IF(SUM(L4:L11) &gt; 0, IF(AND(SUM(D4:D11)&gt;0, ISNUMBER(D8)),D8/SUM(D4:D11), ""), "")</f>
        <v>0</v>
      </c>
      <c r="E18" s="5">
        <f>IF(SUM(L4:L11) &gt; 0, IF(AND(SUM(E4:E11)&gt;0, ISNUMBER(E8)),E8/SUM(E4:E11), ""), "")</f>
        <v>0</v>
      </c>
      <c r="F18" s="5">
        <f>IF(SUM(L4:L11) &gt; 0, IF(AND(SUM(F4:F11)&gt;0, ISNUMBER(F8)),F8/SUM(F4:F11), ""), "")</f>
        <v>0</v>
      </c>
      <c r="G18" s="5">
        <f>IF(SUM(L4:L11) &gt; 0, IF(AND(SUM(G4:G11)&gt;0, ISNUMBER(G8)),G8/SUM(G4:G11), ""), "")</f>
        <v>0</v>
      </c>
      <c r="H18" s="5">
        <f>IF(SUM(L4:L11) &gt; 0, IF(AND(SUM(H4:H11)&gt;0, ISNUMBER(H8)),H8/SUM(H4:H11), ""), "")</f>
        <v>0</v>
      </c>
      <c r="I18" s="5">
        <f>IF(SUM(L4:L11) &gt; 0, IF(AND(SUM(I4:I11)&gt;0, ISNUMBER(I8)),I8/SUM(I4:I11), ""), "")</f>
        <v>0</v>
      </c>
    </row>
    <row r="19" spans="2:9">
      <c r="B19" t="s">
        <v>936</v>
      </c>
      <c r="C19" s="5">
        <f>IF(SUM(L4:L11) &gt; 0, IF(AND(SUM(C4:C11)&gt;0, ISNUMBER(C9)),C9/SUM(C4:C11), ""), "")</f>
        <v>0</v>
      </c>
      <c r="D19" s="5">
        <f>IF(SUM(L4:L11) &gt; 0, IF(AND(SUM(D4:D11)&gt;0, ISNUMBER(D9)),D9/SUM(D4:D11), ""), "")</f>
        <v>0</v>
      </c>
      <c r="E19" s="5">
        <f>IF(SUM(L4:L11) &gt; 0, IF(AND(SUM(E4:E11)&gt;0, ISNUMBER(E9)),E9/SUM(E4:E11), ""), "")</f>
        <v>0</v>
      </c>
      <c r="F19" s="5">
        <f>IF(SUM(L4:L11) &gt; 0, IF(AND(SUM(F4:F11)&gt;0, ISNUMBER(F9)),F9/SUM(F4:F11), ""), "")</f>
        <v>0</v>
      </c>
      <c r="G19" s="5">
        <f>IF(SUM(L4:L11) &gt; 0, IF(AND(SUM(G4:G11)&gt;0, ISNUMBER(G9)),G9/SUM(G4:G11), ""), "")</f>
        <v>0</v>
      </c>
      <c r="H19" s="5">
        <f>IF(SUM(L4:L11) &gt; 0, IF(AND(SUM(H4:H11)&gt;0, ISNUMBER(H9)),H9/SUM(H4:H11), ""), "")</f>
        <v>0</v>
      </c>
      <c r="I19" s="5">
        <f>IF(SUM(L4:L11) &gt; 0, IF(AND(SUM(I4:I11)&gt;0, ISNUMBER(I9)),I9/SUM(I4:I11), ""), "")</f>
        <v>0</v>
      </c>
    </row>
    <row r="20" spans="2:9">
      <c r="B20" t="s">
        <v>1010</v>
      </c>
      <c r="C20" s="5">
        <f>IF(SUM(L4:L11) &gt; 0, IF(AND(SUM(C4:C11)&gt;0, ISNUMBER(C10)),C10/SUM(C4:C11), ""), "")</f>
        <v>0</v>
      </c>
      <c r="D20" s="5">
        <f>IF(SUM(L4:L11) &gt; 0, IF(AND(SUM(D4:D11)&gt;0, ISNUMBER(D10)),D10/SUM(D4:D11), ""), "")</f>
        <v>0</v>
      </c>
      <c r="E20" s="5">
        <f>IF(SUM(L4:L11) &gt; 0, IF(AND(SUM(E4:E11)&gt;0, ISNUMBER(E10)),E10/SUM(E4:E11), ""), "")</f>
        <v>0</v>
      </c>
      <c r="F20" s="5">
        <f>IF(SUM(L4:L11) &gt; 0, IF(AND(SUM(F4:F11)&gt;0, ISNUMBER(F10)),F10/SUM(F4:F11), ""), "")</f>
        <v>0</v>
      </c>
      <c r="G20" s="5">
        <f>IF(SUM(L4:L11) &gt; 0, IF(AND(SUM(G4:G11)&gt;0, ISNUMBER(G10)),G10/SUM(G4:G11), ""), "")</f>
        <v>0</v>
      </c>
      <c r="H20" s="5">
        <f>IF(SUM(L4:L11) &gt; 0, IF(AND(SUM(H4:H11)&gt;0, ISNUMBER(H10)),H10/SUM(H4:H11), ""), "")</f>
        <v>0</v>
      </c>
      <c r="I20" s="5">
        <f>IF(SUM(L4:L11) &gt; 0, IF(AND(SUM(I4:I11)&gt;0, ISNUMBER(I10)),I10/SUM(I4:I11), ""), "")</f>
        <v>0</v>
      </c>
    </row>
    <row r="21" spans="2:9">
      <c r="B21" t="s">
        <v>894</v>
      </c>
      <c r="C21" s="5">
        <f>IF(SUM(L4:L11) &gt; 0, IF(AND(SUM(C4:C11)&gt;0, ISNUMBER(C11)),C11/SUM(C4:C11), ""), "")</f>
        <v>0</v>
      </c>
      <c r="D21" s="5">
        <f>IF(SUM(L4:L11) &gt; 0, IF(AND(SUM(D4:D11)&gt;0, ISNUMBER(D11)),D11/SUM(D4:D11), ""), "")</f>
        <v>0</v>
      </c>
      <c r="E21" s="5">
        <f>IF(SUM(L4:L11) &gt; 0, IF(AND(SUM(E4:E11)&gt;0, ISNUMBER(E11)),E11/SUM(E4:E11), ""), "")</f>
        <v>0</v>
      </c>
      <c r="F21" s="5">
        <f>IF(SUM(L4:L11) &gt; 0, IF(AND(SUM(F4:F11)&gt;0, ISNUMBER(F11)),F11/SUM(F4:F11), ""), "")</f>
        <v>0</v>
      </c>
      <c r="G21" s="5">
        <f>IF(SUM(L4:L11) &gt; 0, IF(AND(SUM(G4:G11)&gt;0, ISNUMBER(G11)),G11/SUM(G4:G11), ""), "")</f>
        <v>0</v>
      </c>
      <c r="H21" s="5">
        <f>IF(SUM(L4:L11) &gt; 0, IF(AND(SUM(H4:H11)&gt;0, ISNUMBER(H11)),H11/SUM(H4:H11), ""), "")</f>
        <v>0</v>
      </c>
      <c r="I21" s="5">
        <f>IF(SUM(L4:L11) &gt; 0, IF(AND(SUM(I4:I11)&gt;0, ISNUMBER(I11)),I11/SUM(I4:I11), ""), "")</f>
        <v>0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0033A0"/>
  </sheetPr>
  <dimension ref="A1:R21"/>
  <sheetViews>
    <sheetView workbookViewId="0"/>
  </sheetViews>
  <sheetFormatPr defaultRowHeight="15"/>
  <sheetData>
    <row r="1" spans="1:18" s="3" customFormat="1" ht="40" customHeight="1">
      <c r="A1" s="3" t="s">
        <v>1014</v>
      </c>
    </row>
    <row r="3" spans="1:18">
      <c r="B3" t="s">
        <v>915</v>
      </c>
      <c r="C3" t="s">
        <v>982</v>
      </c>
      <c r="D3" t="s">
        <v>983</v>
      </c>
      <c r="E3" t="s">
        <v>984</v>
      </c>
      <c r="F3" t="s">
        <v>985</v>
      </c>
      <c r="G3" t="s">
        <v>986</v>
      </c>
      <c r="H3" t="s">
        <v>987</v>
      </c>
      <c r="I3" t="s">
        <v>988</v>
      </c>
      <c r="K3" t="s">
        <v>915</v>
      </c>
      <c r="L3" t="s">
        <v>992</v>
      </c>
      <c r="M3" t="s">
        <v>993</v>
      </c>
      <c r="N3" t="s">
        <v>994</v>
      </c>
      <c r="O3" t="s">
        <v>995</v>
      </c>
      <c r="P3" t="s">
        <v>996</v>
      </c>
      <c r="Q3" t="s">
        <v>997</v>
      </c>
      <c r="R3" t="s">
        <v>998</v>
      </c>
    </row>
    <row r="4" spans="1:18">
      <c r="B4" t="s">
        <v>884</v>
      </c>
      <c r="C4">
        <v>4.42961766242981</v>
      </c>
      <c r="D4">
        <v>6.44665544128418</v>
      </c>
      <c r="E4">
        <v>2.50130207061768</v>
      </c>
      <c r="F4">
        <v>3.86887326049805</v>
      </c>
      <c r="G4">
        <v>2.62882302856445</v>
      </c>
      <c r="H4">
        <v>1.55317563819885</v>
      </c>
      <c r="I4">
        <f>IF(SUMIFS('TERadj'!GA2:GA100,'TERadj'!GA2:GA100,"&gt;0")/1000,SUMIFS('TERadj'!GA2:GA100,'TERadj'!GA2:GA100,"&gt;0")/1000,"")</f>
        <v>0</v>
      </c>
      <c r="K4" t="s">
        <v>884</v>
      </c>
      <c r="L4">
        <v>21</v>
      </c>
      <c r="M4">
        <v>24</v>
      </c>
      <c r="N4">
        <v>14</v>
      </c>
      <c r="O4">
        <v>14</v>
      </c>
      <c r="P4">
        <v>11</v>
      </c>
      <c r="Q4">
        <v>9</v>
      </c>
      <c r="R4" cm="1">
        <f t="array" ref="R4">IF(COUNT(_xlfn._xlws.FILTER('TERadj'!GA2:GA100, ('TERadj'!GA2:GA100&gt;0))),COUNT(_xlfn._xlws.FILTER('TERadj'!GA2:GA100, ('TERadj'!GA2:GA100&gt;0))),"")</f>
        <v>0</v>
      </c>
    </row>
    <row r="5" spans="1:18">
      <c r="B5" t="s">
        <v>892</v>
      </c>
      <c r="C5">
        <v>2.21443399906158</v>
      </c>
      <c r="D5">
        <v>2.90464278173447</v>
      </c>
      <c r="E5">
        <v>0.957889442443848</v>
      </c>
      <c r="F5">
        <v>1.42872743988037</v>
      </c>
      <c r="G5">
        <v>1.30383795166016</v>
      </c>
      <c r="H5">
        <v>1.27670907402039</v>
      </c>
      <c r="I5">
        <f>IF(SUMIFS('TERadj'!GB2:GB100,'TERadj'!GB2:GB100,"&gt;0")/1000,SUMIFS('TERadj'!GB2:GB100,'TERadj'!GB2:GB100,"&gt;0")/1000,"")</f>
        <v>0</v>
      </c>
      <c r="K5" t="s">
        <v>892</v>
      </c>
      <c r="L5">
        <v>13</v>
      </c>
      <c r="M5">
        <v>14</v>
      </c>
      <c r="N5">
        <v>7</v>
      </c>
      <c r="O5">
        <v>9</v>
      </c>
      <c r="P5">
        <v>7</v>
      </c>
      <c r="Q5">
        <v>6</v>
      </c>
      <c r="R5" cm="1">
        <f t="array" ref="R5">IF(COUNT(_xlfn._xlws.FILTER('TERadj'!GB2:GB100, ('TERadj'!GB2:GB100&gt;0))),COUNT(_xlfn._xlws.FILTER('TERadj'!GB2:GB100, ('TERadj'!GB2:GB100&gt;0))),"")</f>
        <v>0</v>
      </c>
    </row>
    <row r="6" spans="1:18">
      <c r="B6" t="s">
        <v>880</v>
      </c>
      <c r="C6">
        <v>1.38989940452576</v>
      </c>
      <c r="D6">
        <v>3.09230290031433</v>
      </c>
      <c r="E6">
        <v>2.1058473033905</v>
      </c>
      <c r="F6">
        <v>1.52758926010132</v>
      </c>
      <c r="G6">
        <v>2.4429204788208</v>
      </c>
      <c r="H6">
        <v>1.441286860466</v>
      </c>
      <c r="I6">
        <f>IF(SUMIFS('TERadj'!GC2:GC100,'TERadj'!GC2:GC100,"&gt;0")/1000,SUMIFS('TERadj'!GC2:GC100,'TERadj'!GC2:GC100,"&gt;0")/1000,"")</f>
        <v>0</v>
      </c>
      <c r="K6" t="s">
        <v>880</v>
      </c>
      <c r="L6">
        <v>8</v>
      </c>
      <c r="M6">
        <v>11</v>
      </c>
      <c r="N6">
        <v>7</v>
      </c>
      <c r="O6">
        <v>7</v>
      </c>
      <c r="P6">
        <v>5</v>
      </c>
      <c r="Q6">
        <v>8</v>
      </c>
      <c r="R6" cm="1">
        <f t="array" ref="R6">IF(COUNT(_xlfn._xlws.FILTER('TERadj'!GC2:GC100, ('TERadj'!GC2:GC100&gt;0))),COUNT(_xlfn._xlws.FILTER('TERadj'!GC2:GC100, ('TERadj'!GC2:GC100&gt;0))),"")</f>
        <v>0</v>
      </c>
    </row>
    <row r="7" spans="1:18">
      <c r="B7" t="s">
        <v>890</v>
      </c>
      <c r="C7">
        <v>0.371002206802368</v>
      </c>
      <c r="D7">
        <v>0.08078593599796299</v>
      </c>
      <c r="F7">
        <v>0.443484809875488</v>
      </c>
      <c r="G7">
        <v>0.342441764831543</v>
      </c>
      <c r="H7">
        <v>0.156229736328125</v>
      </c>
      <c r="I7">
        <f>IF(SUMIFS('TERadj'!GD2:GD100,'TERadj'!GD2:GD100,"&gt;0")/1000,SUMIFS('TERadj'!GD2:GD100,'TERadj'!GD2:GD100,"&gt;0")/1000,"")</f>
        <v>0</v>
      </c>
      <c r="K7" t="s">
        <v>890</v>
      </c>
      <c r="L7">
        <v>3</v>
      </c>
      <c r="M7">
        <v>2</v>
      </c>
      <c r="O7">
        <v>2</v>
      </c>
      <c r="P7">
        <v>2</v>
      </c>
      <c r="Q7">
        <v>1</v>
      </c>
      <c r="R7" cm="1">
        <f t="array" ref="R7">IF(COUNT(_xlfn._xlws.FILTER('TERadj'!GD2:GD100, ('TERadj'!GD2:GD100&gt;0))),COUNT(_xlfn._xlws.FILTER('TERadj'!GD2:GD100, ('TERadj'!GD2:GD100&gt;0))),"")</f>
        <v>0</v>
      </c>
    </row>
    <row r="8" spans="1:18">
      <c r="B8" t="s">
        <v>1009</v>
      </c>
      <c r="C8">
        <v>0.0437142524719238</v>
      </c>
      <c r="E8">
        <v>0.0133000001907349</v>
      </c>
      <c r="G8">
        <v>0.244924030303955</v>
      </c>
      <c r="H8">
        <v>0.0556193313598633</v>
      </c>
      <c r="I8">
        <f>IF(SUMIFS('TERadj'!GE2:GE100,'TERadj'!GE2:GE100,"&gt;0")/1000,SUMIFS('TERadj'!GE2:GE100,'TERadj'!GE2:GE100,"&gt;0")/1000,"")</f>
        <v>0</v>
      </c>
      <c r="K8" t="s">
        <v>1009</v>
      </c>
      <c r="L8">
        <v>1</v>
      </c>
      <c r="N8">
        <v>1</v>
      </c>
      <c r="P8">
        <v>2</v>
      </c>
      <c r="Q8">
        <v>2</v>
      </c>
      <c r="R8" cm="1">
        <f t="array" ref="R8">IF(COUNT(_xlfn._xlws.FILTER('TERadj'!GE2:GE100, ('TERadj'!GE2:GE100&gt;0))),COUNT(_xlfn._xlws.FILTER('TERadj'!GE2:GE100, ('TERadj'!GE2:GE100&gt;0))),"")</f>
        <v>0</v>
      </c>
    </row>
    <row r="9" spans="1:18">
      <c r="B9" t="s">
        <v>936</v>
      </c>
      <c r="C9">
        <v>0.569684634208679</v>
      </c>
      <c r="D9">
        <v>0.647882409572601</v>
      </c>
      <c r="E9">
        <v>0.400593406677246</v>
      </c>
      <c r="F9">
        <v>0.627304962158203</v>
      </c>
      <c r="G9">
        <v>1.02901554489136</v>
      </c>
      <c r="H9">
        <v>0.202681246757507</v>
      </c>
      <c r="I9">
        <f>IF(SUMIFS('TERadj'!GF2:GF100,'TERadj'!GF2:GF100,"&gt;0")/1000,SUMIFS('TERadj'!GF2:GF100,'TERadj'!GF2:GF100,"&gt;0")/1000,"")</f>
        <v>0</v>
      </c>
      <c r="K9" t="s">
        <v>936</v>
      </c>
      <c r="L9">
        <v>4</v>
      </c>
      <c r="M9">
        <v>7</v>
      </c>
      <c r="N9">
        <v>4</v>
      </c>
      <c r="O9">
        <v>2</v>
      </c>
      <c r="P9">
        <v>3</v>
      </c>
      <c r="Q9">
        <v>3</v>
      </c>
      <c r="R9" cm="1">
        <f t="array" ref="R9">IF(COUNT(_xlfn._xlws.FILTER('TERadj'!GF2:GF100, ('TERadj'!GF2:GF100&gt;0))),COUNT(_xlfn._xlws.FILTER('TERadj'!GF2:GF100, ('TERadj'!GF2:GF100&gt;0))),"")</f>
        <v>0</v>
      </c>
    </row>
    <row r="10" spans="1:18">
      <c r="B10" t="s">
        <v>1010</v>
      </c>
      <c r="C10">
        <v>0.929697778224945</v>
      </c>
      <c r="D10">
        <v>0.267</v>
      </c>
      <c r="E10">
        <v>0.259169361889362</v>
      </c>
      <c r="F10">
        <v>0.615356384277344</v>
      </c>
      <c r="G10">
        <v>0.216355236053467</v>
      </c>
      <c r="H10">
        <v>0.0154941824674606</v>
      </c>
      <c r="I10">
        <f>IF(SUMIFS('TERadj'!GG2:GG100,'TERadj'!GG2:GG100,"&gt;0")/1000,SUMIFS('TERadj'!GG2:GG100,'TERadj'!GG2:GG100,"&gt;0")/1000,"")</f>
        <v>0</v>
      </c>
      <c r="K10" t="s">
        <v>1010</v>
      </c>
      <c r="L10">
        <v>9</v>
      </c>
      <c r="M10">
        <v>4</v>
      </c>
      <c r="N10">
        <v>4</v>
      </c>
      <c r="O10">
        <v>3</v>
      </c>
      <c r="P10">
        <v>6</v>
      </c>
      <c r="Q10">
        <v>2</v>
      </c>
      <c r="R10" cm="1">
        <f t="array" ref="R10">IF(COUNT(_xlfn._xlws.FILTER('TERadj'!GG2:GG100, ('TERadj'!GG2:GG100&gt;0))),COUNT(_xlfn._xlws.FILTER('TERadj'!GG2:GG100, ('TERadj'!GG2:GG100&gt;0))),"")</f>
        <v>0</v>
      </c>
    </row>
    <row r="11" spans="1:18">
      <c r="B11" t="s">
        <v>894</v>
      </c>
      <c r="C11">
        <v>5.10582812595367</v>
      </c>
      <c r="D11">
        <v>2.43667871630192</v>
      </c>
      <c r="E11">
        <v>0.660017169952393</v>
      </c>
      <c r="F11">
        <v>3.21473260593414</v>
      </c>
      <c r="G11">
        <v>5.20603346061707</v>
      </c>
      <c r="H11">
        <v>4.45467215061188</v>
      </c>
      <c r="I11">
        <f>IF(SUMIFS('TERadj'!GH2:GH100,'TERadj'!GH2:GH100,"&gt;0")/1000,SUMIFS('TERadj'!GH2:GH100,'TERadj'!GH2:GH100,"&gt;0")/1000,"")</f>
        <v>0</v>
      </c>
      <c r="K11" t="s">
        <v>894</v>
      </c>
      <c r="L11">
        <v>20</v>
      </c>
      <c r="M11">
        <v>13</v>
      </c>
      <c r="N11">
        <v>10</v>
      </c>
      <c r="O11">
        <v>10</v>
      </c>
      <c r="P11">
        <v>13</v>
      </c>
      <c r="Q11">
        <v>12</v>
      </c>
      <c r="R11" cm="1">
        <f t="array" ref="R11">IF(COUNT(_xlfn._xlws.FILTER('TERadj'!GH2:GH100, ('TERadj'!GH2:GH100&gt;0))),COUNT(_xlfn._xlws.FILTER('TERadj'!GH2:GH100, ('TERadj'!GH2:GH100&gt;0))),"")</f>
        <v>0</v>
      </c>
    </row>
    <row r="13" spans="1:18">
      <c r="B13" t="s">
        <v>915</v>
      </c>
      <c r="C13" t="s">
        <v>946</v>
      </c>
      <c r="D13" t="s">
        <v>947</v>
      </c>
      <c r="E13" t="s">
        <v>948</v>
      </c>
      <c r="F13" t="s">
        <v>949</v>
      </c>
      <c r="G13" t="s">
        <v>950</v>
      </c>
      <c r="H13" t="s">
        <v>931</v>
      </c>
      <c r="I13" t="s">
        <v>932</v>
      </c>
    </row>
    <row r="14" spans="1:18">
      <c r="B14" t="s">
        <v>884</v>
      </c>
      <c r="C14" s="5">
        <f>IF(SUM(L4:L11) &gt; 0, IF(AND(SUM(C4:C11)&gt;0, ISNUMBER(C4)),C4/SUM(C4:C11), ""), "")</f>
        <v>0</v>
      </c>
      <c r="D14" s="5">
        <f>IF(SUM(L4:L11) &gt; 0, IF(AND(SUM(D4:D11)&gt;0, ISNUMBER(D4)),D4/SUM(D4:D11), ""), "")</f>
        <v>0</v>
      </c>
      <c r="E14" s="5">
        <f>IF(SUM(L4:L11) &gt; 0, IF(AND(SUM(E4:E11)&gt;0, ISNUMBER(E4)),E4/SUM(E4:E11), ""), "")</f>
        <v>0</v>
      </c>
      <c r="F14" s="5">
        <f>IF(SUM(L4:L11) &gt; 0, IF(AND(SUM(F4:F11)&gt;0, ISNUMBER(F4)),F4/SUM(F4:F11), ""), "")</f>
        <v>0</v>
      </c>
      <c r="G14" s="5">
        <f>IF(SUM(L4:L11) &gt; 0, IF(AND(SUM(G4:G11)&gt;0, ISNUMBER(G4)),G4/SUM(G4:G11), ""), "")</f>
        <v>0</v>
      </c>
      <c r="H14" s="5">
        <f>IF(SUM(L4:L11) &gt; 0, IF(AND(SUM(H4:H11)&gt;0, ISNUMBER(H4)),H4/SUM(H4:H11), ""), "")</f>
        <v>0</v>
      </c>
      <c r="I14" s="5">
        <f>IF(SUM(L4:L11) &gt; 0, IF(AND(SUM(I4:I11)&gt;0, ISNUMBER(I4)),I4/SUM(I4:I11), ""), "")</f>
        <v>0</v>
      </c>
    </row>
    <row r="15" spans="1:18">
      <c r="B15" t="s">
        <v>892</v>
      </c>
      <c r="C15" s="5">
        <f>IF(SUM(L4:L11) &gt; 0, IF(AND(SUM(C4:C11)&gt;0, ISNUMBER(C5)),C5/SUM(C4:C11), ""), "")</f>
        <v>0</v>
      </c>
      <c r="D15" s="5">
        <f>IF(SUM(L4:L11) &gt; 0, IF(AND(SUM(D4:D11)&gt;0, ISNUMBER(D5)),D5/SUM(D4:D11), ""), "")</f>
        <v>0</v>
      </c>
      <c r="E15" s="5">
        <f>IF(SUM(L4:L11) &gt; 0, IF(AND(SUM(E4:E11)&gt;0, ISNUMBER(E5)),E5/SUM(E4:E11), ""), "")</f>
        <v>0</v>
      </c>
      <c r="F15" s="5">
        <f>IF(SUM(L4:L11) &gt; 0, IF(AND(SUM(F4:F11)&gt;0, ISNUMBER(F5)),F5/SUM(F4:F11), ""), "")</f>
        <v>0</v>
      </c>
      <c r="G15" s="5">
        <f>IF(SUM(L4:L11) &gt; 0, IF(AND(SUM(G4:G11)&gt;0, ISNUMBER(G5)),G5/SUM(G4:G11), ""), "")</f>
        <v>0</v>
      </c>
      <c r="H15" s="5">
        <f>IF(SUM(L4:L11) &gt; 0, IF(AND(SUM(H4:H11)&gt;0, ISNUMBER(H5)),H5/SUM(H4:H11), ""), "")</f>
        <v>0</v>
      </c>
      <c r="I15" s="5">
        <f>IF(SUM(L4:L11) &gt; 0, IF(AND(SUM(I4:I11)&gt;0, ISNUMBER(I5)),I5/SUM(I4:I11), ""), "")</f>
        <v>0</v>
      </c>
    </row>
    <row r="16" spans="1:18">
      <c r="B16" t="s">
        <v>880</v>
      </c>
      <c r="C16" s="5">
        <f>IF(SUM(L4:L11) &gt; 0, IF(AND(SUM(C4:C11)&gt;0, ISNUMBER(C6)),C6/SUM(C4:C11), ""), "")</f>
        <v>0</v>
      </c>
      <c r="D16" s="5">
        <f>IF(SUM(L4:L11) &gt; 0, IF(AND(SUM(D4:D11)&gt;0, ISNUMBER(D6)),D6/SUM(D4:D11), ""), "")</f>
        <v>0</v>
      </c>
      <c r="E16" s="5">
        <f>IF(SUM(L4:L11) &gt; 0, IF(AND(SUM(E4:E11)&gt;0, ISNUMBER(E6)),E6/SUM(E4:E11), ""), "")</f>
        <v>0</v>
      </c>
      <c r="F16" s="5">
        <f>IF(SUM(L4:L11) &gt; 0, IF(AND(SUM(F4:F11)&gt;0, ISNUMBER(F6)),F6/SUM(F4:F11), ""), "")</f>
        <v>0</v>
      </c>
      <c r="G16" s="5">
        <f>IF(SUM(L4:L11) &gt; 0, IF(AND(SUM(G4:G11)&gt;0, ISNUMBER(G6)),G6/SUM(G4:G11), ""), "")</f>
        <v>0</v>
      </c>
      <c r="H16" s="5">
        <f>IF(SUM(L4:L11) &gt; 0, IF(AND(SUM(H4:H11)&gt;0, ISNUMBER(H6)),H6/SUM(H4:H11), ""), "")</f>
        <v>0</v>
      </c>
      <c r="I16" s="5">
        <f>IF(SUM(L4:L11) &gt; 0, IF(AND(SUM(I4:I11)&gt;0, ISNUMBER(I6)),I6/SUM(I4:I11), ""), "")</f>
        <v>0</v>
      </c>
    </row>
    <row r="17" spans="2:9">
      <c r="B17" t="s">
        <v>890</v>
      </c>
      <c r="C17" s="5">
        <f>IF(SUM(L4:L11) &gt; 0, IF(AND(SUM(C4:C11)&gt;0, ISNUMBER(C7)),C7/SUM(C4:C11), ""), "")</f>
        <v>0</v>
      </c>
      <c r="D17" s="5">
        <f>IF(SUM(L4:L11) &gt; 0, IF(AND(SUM(D4:D11)&gt;0, ISNUMBER(D7)),D7/SUM(D4:D11), ""), "")</f>
        <v>0</v>
      </c>
      <c r="E17" s="5">
        <f>IF(SUM(L4:L11) &gt; 0, IF(AND(SUM(E4:E11)&gt;0, ISNUMBER(E7)),E7/SUM(E4:E11), ""), "")</f>
        <v>0</v>
      </c>
      <c r="F17" s="5">
        <f>IF(SUM(L4:L11) &gt; 0, IF(AND(SUM(F4:F11)&gt;0, ISNUMBER(F7)),F7/SUM(F4:F11), ""), "")</f>
        <v>0</v>
      </c>
      <c r="G17" s="5">
        <f>IF(SUM(L4:L11) &gt; 0, IF(AND(SUM(G4:G11)&gt;0, ISNUMBER(G7)),G7/SUM(G4:G11), ""), "")</f>
        <v>0</v>
      </c>
      <c r="H17" s="5">
        <f>IF(SUM(L4:L11) &gt; 0, IF(AND(SUM(H4:H11)&gt;0, ISNUMBER(H7)),H7/SUM(H4:H11), ""), "")</f>
        <v>0</v>
      </c>
      <c r="I17" s="5">
        <f>IF(SUM(L4:L11) &gt; 0, IF(AND(SUM(I4:I11)&gt;0, ISNUMBER(I7)),I7/SUM(I4:I11), ""), "")</f>
        <v>0</v>
      </c>
    </row>
    <row r="18" spans="2:9">
      <c r="B18" t="s">
        <v>1009</v>
      </c>
      <c r="C18" s="5">
        <f>IF(SUM(L4:L11) &gt; 0, IF(AND(SUM(C4:C11)&gt;0, ISNUMBER(C8)),C8/SUM(C4:C11), ""), "")</f>
        <v>0</v>
      </c>
      <c r="D18" s="5">
        <f>IF(SUM(L4:L11) &gt; 0, IF(AND(SUM(D4:D11)&gt;0, ISNUMBER(D8)),D8/SUM(D4:D11), ""), "")</f>
        <v>0</v>
      </c>
      <c r="E18" s="5">
        <f>IF(SUM(L4:L11) &gt; 0, IF(AND(SUM(E4:E11)&gt;0, ISNUMBER(E8)),E8/SUM(E4:E11), ""), "")</f>
        <v>0</v>
      </c>
      <c r="F18" s="5">
        <f>IF(SUM(L4:L11) &gt; 0, IF(AND(SUM(F4:F11)&gt;0, ISNUMBER(F8)),F8/SUM(F4:F11), ""), "")</f>
        <v>0</v>
      </c>
      <c r="G18" s="5">
        <f>IF(SUM(L4:L11) &gt; 0, IF(AND(SUM(G4:G11)&gt;0, ISNUMBER(G8)),G8/SUM(G4:G11), ""), "")</f>
        <v>0</v>
      </c>
      <c r="H18" s="5">
        <f>IF(SUM(L4:L11) &gt; 0, IF(AND(SUM(H4:H11)&gt;0, ISNUMBER(H8)),H8/SUM(H4:H11), ""), "")</f>
        <v>0</v>
      </c>
      <c r="I18" s="5">
        <f>IF(SUM(L4:L11) &gt; 0, IF(AND(SUM(I4:I11)&gt;0, ISNUMBER(I8)),I8/SUM(I4:I11), ""), "")</f>
        <v>0</v>
      </c>
    </row>
    <row r="19" spans="2:9">
      <c r="B19" t="s">
        <v>936</v>
      </c>
      <c r="C19" s="5">
        <f>IF(SUM(L4:L11) &gt; 0, IF(AND(SUM(C4:C11)&gt;0, ISNUMBER(C9)),C9/SUM(C4:C11), ""), "")</f>
        <v>0</v>
      </c>
      <c r="D19" s="5">
        <f>IF(SUM(L4:L11) &gt; 0, IF(AND(SUM(D4:D11)&gt;0, ISNUMBER(D9)),D9/SUM(D4:D11), ""), "")</f>
        <v>0</v>
      </c>
      <c r="E19" s="5">
        <f>IF(SUM(L4:L11) &gt; 0, IF(AND(SUM(E4:E11)&gt;0, ISNUMBER(E9)),E9/SUM(E4:E11), ""), "")</f>
        <v>0</v>
      </c>
      <c r="F19" s="5">
        <f>IF(SUM(L4:L11) &gt; 0, IF(AND(SUM(F4:F11)&gt;0, ISNUMBER(F9)),F9/SUM(F4:F11), ""), "")</f>
        <v>0</v>
      </c>
      <c r="G19" s="5">
        <f>IF(SUM(L4:L11) &gt; 0, IF(AND(SUM(G4:G11)&gt;0, ISNUMBER(G9)),G9/SUM(G4:G11), ""), "")</f>
        <v>0</v>
      </c>
      <c r="H19" s="5">
        <f>IF(SUM(L4:L11) &gt; 0, IF(AND(SUM(H4:H11)&gt;0, ISNUMBER(H9)),H9/SUM(H4:H11), ""), "")</f>
        <v>0</v>
      </c>
      <c r="I19" s="5">
        <f>IF(SUM(L4:L11) &gt; 0, IF(AND(SUM(I4:I11)&gt;0, ISNUMBER(I9)),I9/SUM(I4:I11), ""), "")</f>
        <v>0</v>
      </c>
    </row>
    <row r="20" spans="2:9">
      <c r="B20" t="s">
        <v>1010</v>
      </c>
      <c r="C20" s="5">
        <f>IF(SUM(L4:L11) &gt; 0, IF(AND(SUM(C4:C11)&gt;0, ISNUMBER(C10)),C10/SUM(C4:C11), ""), "")</f>
        <v>0</v>
      </c>
      <c r="D20" s="5">
        <f>IF(SUM(L4:L11) &gt; 0, IF(AND(SUM(D4:D11)&gt;0, ISNUMBER(D10)),D10/SUM(D4:D11), ""), "")</f>
        <v>0</v>
      </c>
      <c r="E20" s="5">
        <f>IF(SUM(L4:L11) &gt; 0, IF(AND(SUM(E4:E11)&gt;0, ISNUMBER(E10)),E10/SUM(E4:E11), ""), "")</f>
        <v>0</v>
      </c>
      <c r="F20" s="5">
        <f>IF(SUM(L4:L11) &gt; 0, IF(AND(SUM(F4:F11)&gt;0, ISNUMBER(F10)),F10/SUM(F4:F11), ""), "")</f>
        <v>0</v>
      </c>
      <c r="G20" s="5">
        <f>IF(SUM(L4:L11) &gt; 0, IF(AND(SUM(G4:G11)&gt;0, ISNUMBER(G10)),G10/SUM(G4:G11), ""), "")</f>
        <v>0</v>
      </c>
      <c r="H20" s="5">
        <f>IF(SUM(L4:L11) &gt; 0, IF(AND(SUM(H4:H11)&gt;0, ISNUMBER(H10)),H10/SUM(H4:H11), ""), "")</f>
        <v>0</v>
      </c>
      <c r="I20" s="5">
        <f>IF(SUM(L4:L11) &gt; 0, IF(AND(SUM(I4:I11)&gt;0, ISNUMBER(I10)),I10/SUM(I4:I11), ""), "")</f>
        <v>0</v>
      </c>
    </row>
    <row r="21" spans="2:9">
      <c r="B21" t="s">
        <v>894</v>
      </c>
      <c r="C21" s="5">
        <f>IF(SUM(L4:L11) &gt; 0, IF(AND(SUM(C4:C11)&gt;0, ISNUMBER(C11)),C11/SUM(C4:C11), ""), "")</f>
        <v>0</v>
      </c>
      <c r="D21" s="5">
        <f>IF(SUM(L4:L11) &gt; 0, IF(AND(SUM(D4:D11)&gt;0, ISNUMBER(D11)),D11/SUM(D4:D11), ""), "")</f>
        <v>0</v>
      </c>
      <c r="E21" s="5">
        <f>IF(SUM(L4:L11) &gt; 0, IF(AND(SUM(E4:E11)&gt;0, ISNUMBER(E11)),E11/SUM(E4:E11), ""), "")</f>
        <v>0</v>
      </c>
      <c r="F21" s="5">
        <f>IF(SUM(L4:L11) &gt; 0, IF(AND(SUM(F4:F11)&gt;0, ISNUMBER(F11)),F11/SUM(F4:F11), ""), "")</f>
        <v>0</v>
      </c>
      <c r="G21" s="5">
        <f>IF(SUM(L4:L11) &gt; 0, IF(AND(SUM(G4:G11)&gt;0, ISNUMBER(G11)),G11/SUM(G4:G11), ""), "")</f>
        <v>0</v>
      </c>
      <c r="H21" s="5">
        <f>IF(SUM(L4:L11) &gt; 0, IF(AND(SUM(H4:H11)&gt;0, ISNUMBER(H11)),H11/SUM(H4:H11), ""), "")</f>
        <v>0</v>
      </c>
      <c r="I21" s="5">
        <f>IF(SUM(L4:L11) &gt; 0, IF(AND(SUM(I4:I11)&gt;0, ISNUMBER(I11)),I11/SUM(I4:I11), ""), "")</f>
        <v>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0033A0"/>
  </sheetPr>
  <dimension ref="A1:R21"/>
  <sheetViews>
    <sheetView workbookViewId="0"/>
  </sheetViews>
  <sheetFormatPr defaultRowHeight="15"/>
  <sheetData>
    <row r="1" spans="1:18" s="3" customFormat="1" ht="40" customHeight="1">
      <c r="A1" s="3" t="s">
        <v>1015</v>
      </c>
    </row>
    <row r="3" spans="1:18">
      <c r="B3" t="s">
        <v>915</v>
      </c>
      <c r="C3" t="s">
        <v>982</v>
      </c>
      <c r="D3" t="s">
        <v>983</v>
      </c>
      <c r="E3" t="s">
        <v>984</v>
      </c>
      <c r="F3" t="s">
        <v>985</v>
      </c>
      <c r="G3" t="s">
        <v>986</v>
      </c>
      <c r="H3" t="s">
        <v>987</v>
      </c>
      <c r="I3" t="s">
        <v>988</v>
      </c>
      <c r="K3" t="s">
        <v>915</v>
      </c>
      <c r="L3" t="s">
        <v>992</v>
      </c>
      <c r="M3" t="s">
        <v>993</v>
      </c>
      <c r="N3" t="s">
        <v>994</v>
      </c>
      <c r="O3" t="s">
        <v>995</v>
      </c>
      <c r="P3" t="s">
        <v>996</v>
      </c>
      <c r="Q3" t="s">
        <v>997</v>
      </c>
      <c r="R3" t="s">
        <v>998</v>
      </c>
    </row>
    <row r="4" spans="1:18">
      <c r="B4" t="s">
        <v>884</v>
      </c>
      <c r="C4">
        <v>1.34812476348877</v>
      </c>
      <c r="D4">
        <v>1.02208133554459</v>
      </c>
      <c r="E4">
        <v>0.0970225372314453</v>
      </c>
      <c r="F4">
        <v>0.665668060302734</v>
      </c>
      <c r="G4">
        <v>0.0280413150787354</v>
      </c>
      <c r="H4">
        <v>0.404833100318909</v>
      </c>
      <c r="I4">
        <f>IF(SUMIFS('TERadj'!GI2:GI100,'TERadj'!GI2:GI100,"&gt;0")/1000,SUMIFS('TERadj'!GI2:GI100,'TERadj'!GI2:GI100,"&gt;0")/1000,"")</f>
        <v>0</v>
      </c>
      <c r="K4" t="s">
        <v>884</v>
      </c>
      <c r="L4">
        <v>4</v>
      </c>
      <c r="M4">
        <v>7</v>
      </c>
      <c r="N4">
        <v>1</v>
      </c>
      <c r="O4">
        <v>2</v>
      </c>
      <c r="P4">
        <v>1</v>
      </c>
      <c r="Q4">
        <v>3</v>
      </c>
      <c r="R4" cm="1">
        <f t="array" ref="R4">IF(COUNT(_xlfn._xlws.FILTER('TERadj'!GI2:GI100, ('TERadj'!GI2:GI100&gt;0))),COUNT(_xlfn._xlws.FILTER('TERadj'!GI2:GI100, ('TERadj'!GI2:GI100&gt;0))),"")</f>
        <v>0</v>
      </c>
    </row>
    <row r="5" spans="1:18">
      <c r="B5" t="s">
        <v>892</v>
      </c>
      <c r="C5">
        <v>0.152754165649414</v>
      </c>
      <c r="D5">
        <v>0.202642512321472</v>
      </c>
      <c r="E5">
        <v>0.05</v>
      </c>
      <c r="F5">
        <v>0.132251934051514</v>
      </c>
      <c r="H5">
        <v>0.00453046274185181</v>
      </c>
      <c r="I5">
        <f>IF(SUMIFS('TERadj'!GJ2:GJ100,'TERadj'!GJ2:GJ100,"&gt;0")/1000,SUMIFS('TERadj'!GJ2:GJ100,'TERadj'!GJ2:GJ100,"&gt;0")/1000,"")</f>
        <v>0</v>
      </c>
      <c r="K5" t="s">
        <v>892</v>
      </c>
      <c r="L5">
        <v>2</v>
      </c>
      <c r="M5">
        <v>6</v>
      </c>
      <c r="N5">
        <v>1</v>
      </c>
      <c r="O5">
        <v>2</v>
      </c>
      <c r="Q5">
        <v>1</v>
      </c>
      <c r="R5" cm="1">
        <f t="array" ref="R5">IF(COUNT(_xlfn._xlws.FILTER('TERadj'!GJ2:GJ100, ('TERadj'!GJ2:GJ100&gt;0))),COUNT(_xlfn._xlws.FILTER('TERadj'!GJ2:GJ100, ('TERadj'!GJ2:GJ100&gt;0))),"")</f>
        <v>0</v>
      </c>
    </row>
    <row r="6" spans="1:18">
      <c r="B6" t="s">
        <v>880</v>
      </c>
      <c r="I6">
        <f>IF(SUMIFS('TERadj'!GK2:GK100,'TERadj'!GK2:GK100,"&gt;0")/1000,SUMIFS('TERadj'!GK2:GK100,'TERadj'!GK2:GK100,"&gt;0")/1000,"")</f>
        <v>0</v>
      </c>
      <c r="K6" t="s">
        <v>880</v>
      </c>
      <c r="R6" cm="1">
        <f t="array" ref="R6">IF(COUNT(_xlfn._xlws.FILTER('TERadj'!GK2:GK100, ('TERadj'!GK2:GK100&gt;0))),COUNT(_xlfn._xlws.FILTER('TERadj'!GK2:GK100, ('TERadj'!GK2:GK100&gt;0))),"")</f>
        <v>0</v>
      </c>
    </row>
    <row r="7" spans="1:18">
      <c r="B7" t="s">
        <v>890</v>
      </c>
      <c r="C7">
        <v>0.127536058425903</v>
      </c>
      <c r="D7">
        <v>0.0446483993530273</v>
      </c>
      <c r="F7">
        <v>0.00264503860473633</v>
      </c>
      <c r="I7">
        <f>IF(SUMIFS('TERadj'!GL2:GL100,'TERadj'!GL2:GL100,"&gt;0")/1000,SUMIFS('TERadj'!GL2:GL100,'TERadj'!GL2:GL100,"&gt;0")/1000,"")</f>
        <v>0</v>
      </c>
      <c r="K7" t="s">
        <v>890</v>
      </c>
      <c r="L7">
        <v>2</v>
      </c>
      <c r="M7">
        <v>1</v>
      </c>
      <c r="O7">
        <v>1</v>
      </c>
      <c r="R7" cm="1">
        <f t="array" ref="R7">IF(COUNT(_xlfn._xlws.FILTER('TERadj'!GL2:GL100, ('TERadj'!GL2:GL100&gt;0))),COUNT(_xlfn._xlws.FILTER('TERadj'!GL2:GL100, ('TERadj'!GL2:GL100&gt;0))),"")</f>
        <v>0</v>
      </c>
    </row>
    <row r="8" spans="1:18">
      <c r="B8" t="s">
        <v>1009</v>
      </c>
      <c r="C8">
        <v>0.104559936523437</v>
      </c>
      <c r="D8">
        <v>0.00446483993530273</v>
      </c>
      <c r="F8">
        <v>0.0149885520935059</v>
      </c>
      <c r="H8">
        <v>0.0418614768981934</v>
      </c>
      <c r="I8">
        <f>IF(SUMIFS('TERadj'!GM2:GM100,'TERadj'!GM2:GM100,"&gt;0")/1000,SUMIFS('TERadj'!GM2:GM100,'TERadj'!GM2:GM100,"&gt;0")/1000,"")</f>
        <v>0</v>
      </c>
      <c r="K8" t="s">
        <v>1009</v>
      </c>
      <c r="L8">
        <v>3</v>
      </c>
      <c r="M8">
        <v>1</v>
      </c>
      <c r="O8">
        <v>1</v>
      </c>
      <c r="Q8">
        <v>1</v>
      </c>
      <c r="R8" cm="1">
        <f t="array" ref="R8">IF(COUNT(_xlfn._xlws.FILTER('TERadj'!GM2:GM100, ('TERadj'!GM2:GM100&gt;0))),COUNT(_xlfn._xlws.FILTER('TERadj'!GM2:GM100, ('TERadj'!GM2:GM100&gt;0))),"")</f>
        <v>0</v>
      </c>
    </row>
    <row r="9" spans="1:18">
      <c r="B9" t="s">
        <v>936</v>
      </c>
      <c r="C9">
        <v>1.02247998046875</v>
      </c>
      <c r="D9">
        <v>0.0350962829589844</v>
      </c>
      <c r="F9">
        <v>0.0282137451171875</v>
      </c>
      <c r="I9">
        <f>IF(SUMIFS('TERadj'!GN2:GN100,'TERadj'!GN2:GN100,"&gt;0")/1000,SUMIFS('TERadj'!GN2:GN100,'TERadj'!GN2:GN100,"&gt;0")/1000,"")</f>
        <v>0</v>
      </c>
      <c r="K9" t="s">
        <v>936</v>
      </c>
      <c r="L9">
        <v>1</v>
      </c>
      <c r="M9">
        <v>1</v>
      </c>
      <c r="O9">
        <v>1</v>
      </c>
      <c r="R9" cm="1">
        <f t="array" ref="R9">IF(COUNT(_xlfn._xlws.FILTER('TERadj'!GN2:GN100, ('TERadj'!GN2:GN100&gt;0))),COUNT(_xlfn._xlws.FILTER('TERadj'!GN2:GN100, ('TERadj'!GN2:GN100&gt;0))),"")</f>
        <v>0</v>
      </c>
    </row>
    <row r="10" spans="1:18">
      <c r="B10" t="s">
        <v>1010</v>
      </c>
      <c r="C10">
        <v>0.0938342452049255</v>
      </c>
      <c r="D10">
        <v>0.306410655021667</v>
      </c>
      <c r="E10">
        <v>0.01</v>
      </c>
      <c r="H10">
        <v>0.009060925483703609</v>
      </c>
      <c r="I10">
        <f>IF(SUMIFS('TERadj'!GO2:GO100,'TERadj'!GO2:GO100,"&gt;0")/1000,SUMIFS('TERadj'!GO2:GO100,'TERadj'!GO2:GO100,"&gt;0")/1000,"")</f>
        <v>0</v>
      </c>
      <c r="K10" t="s">
        <v>1010</v>
      </c>
      <c r="L10">
        <v>3</v>
      </c>
      <c r="M10">
        <v>5</v>
      </c>
      <c r="N10">
        <v>1</v>
      </c>
      <c r="Q10">
        <v>1</v>
      </c>
      <c r="R10" cm="1">
        <f t="array" ref="R10">IF(COUNT(_xlfn._xlws.FILTER('TERadj'!GO2:GO100, ('TERadj'!GO2:GO100&gt;0))),COUNT(_xlfn._xlws.FILTER('TERadj'!GO2:GO100, ('TERadj'!GO2:GO100&gt;0))),"")</f>
        <v>0</v>
      </c>
    </row>
    <row r="11" spans="1:18">
      <c r="B11" t="s">
        <v>894</v>
      </c>
      <c r="C11">
        <v>0.210255907058716</v>
      </c>
      <c r="D11">
        <v>1.07559637069702</v>
      </c>
      <c r="F11">
        <v>0.623347450256348</v>
      </c>
      <c r="G11">
        <v>0.539093330383301</v>
      </c>
      <c r="H11">
        <v>0.874044082641602</v>
      </c>
      <c r="I11">
        <f>IF(SUMIFS('TERadj'!GP2:GP100,'TERadj'!GP2:GP100,"&gt;0")/1000,SUMIFS('TERadj'!GP2:GP100,'TERadj'!GP2:GP100,"&gt;0")/1000,"")</f>
        <v>0</v>
      </c>
      <c r="K11" t="s">
        <v>894</v>
      </c>
      <c r="L11">
        <v>2</v>
      </c>
      <c r="M11">
        <v>3</v>
      </c>
      <c r="O11">
        <v>2</v>
      </c>
      <c r="P11">
        <v>3</v>
      </c>
      <c r="Q11">
        <v>3</v>
      </c>
      <c r="R11" cm="1">
        <f t="array" ref="R11">IF(COUNT(_xlfn._xlws.FILTER('TERadj'!GP2:GP100, ('TERadj'!GP2:GP100&gt;0))),COUNT(_xlfn._xlws.FILTER('TERadj'!GP2:GP100, ('TERadj'!GP2:GP100&gt;0))),"")</f>
        <v>0</v>
      </c>
    </row>
    <row r="13" spans="1:18">
      <c r="B13" t="s">
        <v>915</v>
      </c>
      <c r="C13" t="s">
        <v>946</v>
      </c>
      <c r="D13" t="s">
        <v>947</v>
      </c>
      <c r="E13" t="s">
        <v>948</v>
      </c>
      <c r="F13" t="s">
        <v>949</v>
      </c>
      <c r="G13" t="s">
        <v>950</v>
      </c>
      <c r="H13" t="s">
        <v>931</v>
      </c>
      <c r="I13" t="s">
        <v>932</v>
      </c>
    </row>
    <row r="14" spans="1:18">
      <c r="B14" t="s">
        <v>884</v>
      </c>
      <c r="C14" s="5">
        <f>IF(SUM(L4:L11) &gt; 0, IF(AND(SUM(C4:C11)&gt;0, ISNUMBER(C4)),C4/SUM(C4:C11), ""), "")</f>
        <v>0</v>
      </c>
      <c r="D14" s="5">
        <f>IF(SUM(L4:L11) &gt; 0, IF(AND(SUM(D4:D11)&gt;0, ISNUMBER(D4)),D4/SUM(D4:D11), ""), "")</f>
        <v>0</v>
      </c>
      <c r="E14" s="5">
        <f>IF(SUM(L4:L11) &gt; 0, IF(AND(SUM(E4:E11)&gt;0, ISNUMBER(E4)),E4/SUM(E4:E11), ""), "")</f>
        <v>0</v>
      </c>
      <c r="F14" s="5">
        <f>IF(SUM(L4:L11) &gt; 0, IF(AND(SUM(F4:F11)&gt;0, ISNUMBER(F4)),F4/SUM(F4:F11), ""), "")</f>
        <v>0</v>
      </c>
      <c r="G14" s="5">
        <f>IF(SUM(L4:L11) &gt; 0, IF(AND(SUM(G4:G11)&gt;0, ISNUMBER(G4)),G4/SUM(G4:G11), ""), "")</f>
        <v>0</v>
      </c>
      <c r="H14" s="5">
        <f>IF(SUM(L4:L11) &gt; 0, IF(AND(SUM(H4:H11)&gt;0, ISNUMBER(H4)),H4/SUM(H4:H11), ""), "")</f>
        <v>0</v>
      </c>
      <c r="I14" s="5">
        <f>IF(SUM(L4:L11) &gt; 0, IF(AND(SUM(I4:I11)&gt;0, ISNUMBER(I4)),I4/SUM(I4:I11), ""), "")</f>
        <v>0</v>
      </c>
    </row>
    <row r="15" spans="1:18">
      <c r="B15" t="s">
        <v>892</v>
      </c>
      <c r="C15" s="5">
        <f>IF(SUM(L4:L11) &gt; 0, IF(AND(SUM(C4:C11)&gt;0, ISNUMBER(C5)),C5/SUM(C4:C11), ""), "")</f>
        <v>0</v>
      </c>
      <c r="D15" s="5">
        <f>IF(SUM(L4:L11) &gt; 0, IF(AND(SUM(D4:D11)&gt;0, ISNUMBER(D5)),D5/SUM(D4:D11), ""), "")</f>
        <v>0</v>
      </c>
      <c r="E15" s="5">
        <f>IF(SUM(L4:L11) &gt; 0, IF(AND(SUM(E4:E11)&gt;0, ISNUMBER(E5)),E5/SUM(E4:E11), ""), "")</f>
        <v>0</v>
      </c>
      <c r="F15" s="5">
        <f>IF(SUM(L4:L11) &gt; 0, IF(AND(SUM(F4:F11)&gt;0, ISNUMBER(F5)),F5/SUM(F4:F11), ""), "")</f>
        <v>0</v>
      </c>
      <c r="G15" s="5">
        <f>IF(SUM(L4:L11) &gt; 0, IF(AND(SUM(G4:G11)&gt;0, ISNUMBER(G5)),G5/SUM(G4:G11), ""), "")</f>
        <v>0</v>
      </c>
      <c r="H15" s="5">
        <f>IF(SUM(L4:L11) &gt; 0, IF(AND(SUM(H4:H11)&gt;0, ISNUMBER(H5)),H5/SUM(H4:H11), ""), "")</f>
        <v>0</v>
      </c>
      <c r="I15" s="5">
        <f>IF(SUM(L4:L11) &gt; 0, IF(AND(SUM(I4:I11)&gt;0, ISNUMBER(I5)),I5/SUM(I4:I11), ""), "")</f>
        <v>0</v>
      </c>
    </row>
    <row r="16" spans="1:18">
      <c r="B16" t="s">
        <v>880</v>
      </c>
      <c r="C16" s="5">
        <f>IF(SUM(L4:L11) &gt; 0, IF(AND(SUM(C4:C11)&gt;0, ISNUMBER(C6)),C6/SUM(C4:C11), ""), "")</f>
        <v>0</v>
      </c>
      <c r="D16" s="5">
        <f>IF(SUM(L4:L11) &gt; 0, IF(AND(SUM(D4:D11)&gt;0, ISNUMBER(D6)),D6/SUM(D4:D11), ""), "")</f>
        <v>0</v>
      </c>
      <c r="E16" s="5">
        <f>IF(SUM(L4:L11) &gt; 0, IF(AND(SUM(E4:E11)&gt;0, ISNUMBER(E6)),E6/SUM(E4:E11), ""), "")</f>
        <v>0</v>
      </c>
      <c r="F16" s="5">
        <f>IF(SUM(L4:L11) &gt; 0, IF(AND(SUM(F4:F11)&gt;0, ISNUMBER(F6)),F6/SUM(F4:F11), ""), "")</f>
        <v>0</v>
      </c>
      <c r="G16" s="5">
        <f>IF(SUM(L4:L11) &gt; 0, IF(AND(SUM(G4:G11)&gt;0, ISNUMBER(G6)),G6/SUM(G4:G11), ""), "")</f>
        <v>0</v>
      </c>
      <c r="H16" s="5">
        <f>IF(SUM(L4:L11) &gt; 0, IF(AND(SUM(H4:H11)&gt;0, ISNUMBER(H6)),H6/SUM(H4:H11), ""), "")</f>
        <v>0</v>
      </c>
      <c r="I16" s="5">
        <f>IF(SUM(L4:L11) &gt; 0, IF(AND(SUM(I4:I11)&gt;0, ISNUMBER(I6)),I6/SUM(I4:I11), ""), "")</f>
        <v>0</v>
      </c>
    </row>
    <row r="17" spans="2:9">
      <c r="B17" t="s">
        <v>890</v>
      </c>
      <c r="C17" s="5">
        <f>IF(SUM(L4:L11) &gt; 0, IF(AND(SUM(C4:C11)&gt;0, ISNUMBER(C7)),C7/SUM(C4:C11), ""), "")</f>
        <v>0</v>
      </c>
      <c r="D17" s="5">
        <f>IF(SUM(L4:L11) &gt; 0, IF(AND(SUM(D4:D11)&gt;0, ISNUMBER(D7)),D7/SUM(D4:D11), ""), "")</f>
        <v>0</v>
      </c>
      <c r="E17" s="5">
        <f>IF(SUM(L4:L11) &gt; 0, IF(AND(SUM(E4:E11)&gt;0, ISNUMBER(E7)),E7/SUM(E4:E11), ""), "")</f>
        <v>0</v>
      </c>
      <c r="F17" s="5">
        <f>IF(SUM(L4:L11) &gt; 0, IF(AND(SUM(F4:F11)&gt;0, ISNUMBER(F7)),F7/SUM(F4:F11), ""), "")</f>
        <v>0</v>
      </c>
      <c r="G17" s="5">
        <f>IF(SUM(L4:L11) &gt; 0, IF(AND(SUM(G4:G11)&gt;0, ISNUMBER(G7)),G7/SUM(G4:G11), ""), "")</f>
        <v>0</v>
      </c>
      <c r="H17" s="5">
        <f>IF(SUM(L4:L11) &gt; 0, IF(AND(SUM(H4:H11)&gt;0, ISNUMBER(H7)),H7/SUM(H4:H11), ""), "")</f>
        <v>0</v>
      </c>
      <c r="I17" s="5">
        <f>IF(SUM(L4:L11) &gt; 0, IF(AND(SUM(I4:I11)&gt;0, ISNUMBER(I7)),I7/SUM(I4:I11), ""), "")</f>
        <v>0</v>
      </c>
    </row>
    <row r="18" spans="2:9">
      <c r="B18" t="s">
        <v>1009</v>
      </c>
      <c r="C18" s="5">
        <f>IF(SUM(L4:L11) &gt; 0, IF(AND(SUM(C4:C11)&gt;0, ISNUMBER(C8)),C8/SUM(C4:C11), ""), "")</f>
        <v>0</v>
      </c>
      <c r="D18" s="5">
        <f>IF(SUM(L4:L11) &gt; 0, IF(AND(SUM(D4:D11)&gt;0, ISNUMBER(D8)),D8/SUM(D4:D11), ""), "")</f>
        <v>0</v>
      </c>
      <c r="E18" s="5">
        <f>IF(SUM(L4:L11) &gt; 0, IF(AND(SUM(E4:E11)&gt;0, ISNUMBER(E8)),E8/SUM(E4:E11), ""), "")</f>
        <v>0</v>
      </c>
      <c r="F18" s="5">
        <f>IF(SUM(L4:L11) &gt; 0, IF(AND(SUM(F4:F11)&gt;0, ISNUMBER(F8)),F8/SUM(F4:F11), ""), "")</f>
        <v>0</v>
      </c>
      <c r="G18" s="5">
        <f>IF(SUM(L4:L11) &gt; 0, IF(AND(SUM(G4:G11)&gt;0, ISNUMBER(G8)),G8/SUM(G4:G11), ""), "")</f>
        <v>0</v>
      </c>
      <c r="H18" s="5">
        <f>IF(SUM(L4:L11) &gt; 0, IF(AND(SUM(H4:H11)&gt;0, ISNUMBER(H8)),H8/SUM(H4:H11), ""), "")</f>
        <v>0</v>
      </c>
      <c r="I18" s="5">
        <f>IF(SUM(L4:L11) &gt; 0, IF(AND(SUM(I4:I11)&gt;0, ISNUMBER(I8)),I8/SUM(I4:I11), ""), "")</f>
        <v>0</v>
      </c>
    </row>
    <row r="19" spans="2:9">
      <c r="B19" t="s">
        <v>936</v>
      </c>
      <c r="C19" s="5">
        <f>IF(SUM(L4:L11) &gt; 0, IF(AND(SUM(C4:C11)&gt;0, ISNUMBER(C9)),C9/SUM(C4:C11), ""), "")</f>
        <v>0</v>
      </c>
      <c r="D19" s="5">
        <f>IF(SUM(L4:L11) &gt; 0, IF(AND(SUM(D4:D11)&gt;0, ISNUMBER(D9)),D9/SUM(D4:D11), ""), "")</f>
        <v>0</v>
      </c>
      <c r="E19" s="5">
        <f>IF(SUM(L4:L11) &gt; 0, IF(AND(SUM(E4:E11)&gt;0, ISNUMBER(E9)),E9/SUM(E4:E11), ""), "")</f>
        <v>0</v>
      </c>
      <c r="F19" s="5">
        <f>IF(SUM(L4:L11) &gt; 0, IF(AND(SUM(F4:F11)&gt;0, ISNUMBER(F9)),F9/SUM(F4:F11), ""), "")</f>
        <v>0</v>
      </c>
      <c r="G19" s="5">
        <f>IF(SUM(L4:L11) &gt; 0, IF(AND(SUM(G4:G11)&gt;0, ISNUMBER(G9)),G9/SUM(G4:G11), ""), "")</f>
        <v>0</v>
      </c>
      <c r="H19" s="5">
        <f>IF(SUM(L4:L11) &gt; 0, IF(AND(SUM(H4:H11)&gt;0, ISNUMBER(H9)),H9/SUM(H4:H11), ""), "")</f>
        <v>0</v>
      </c>
      <c r="I19" s="5">
        <f>IF(SUM(L4:L11) &gt; 0, IF(AND(SUM(I4:I11)&gt;0, ISNUMBER(I9)),I9/SUM(I4:I11), ""), "")</f>
        <v>0</v>
      </c>
    </row>
    <row r="20" spans="2:9">
      <c r="B20" t="s">
        <v>1010</v>
      </c>
      <c r="C20" s="5">
        <f>IF(SUM(L4:L11) &gt; 0, IF(AND(SUM(C4:C11)&gt;0, ISNUMBER(C10)),C10/SUM(C4:C11), ""), "")</f>
        <v>0</v>
      </c>
      <c r="D20" s="5">
        <f>IF(SUM(L4:L11) &gt; 0, IF(AND(SUM(D4:D11)&gt;0, ISNUMBER(D10)),D10/SUM(D4:D11), ""), "")</f>
        <v>0</v>
      </c>
      <c r="E20" s="5">
        <f>IF(SUM(L4:L11) &gt; 0, IF(AND(SUM(E4:E11)&gt;0, ISNUMBER(E10)),E10/SUM(E4:E11), ""), "")</f>
        <v>0</v>
      </c>
      <c r="F20" s="5">
        <f>IF(SUM(L4:L11) &gt; 0, IF(AND(SUM(F4:F11)&gt;0, ISNUMBER(F10)),F10/SUM(F4:F11), ""), "")</f>
        <v>0</v>
      </c>
      <c r="G20" s="5">
        <f>IF(SUM(L4:L11) &gt; 0, IF(AND(SUM(G4:G11)&gt;0, ISNUMBER(G10)),G10/SUM(G4:G11), ""), "")</f>
        <v>0</v>
      </c>
      <c r="H20" s="5">
        <f>IF(SUM(L4:L11) &gt; 0, IF(AND(SUM(H4:H11)&gt;0, ISNUMBER(H10)),H10/SUM(H4:H11), ""), "")</f>
        <v>0</v>
      </c>
      <c r="I20" s="5">
        <f>IF(SUM(L4:L11) &gt; 0, IF(AND(SUM(I4:I11)&gt;0, ISNUMBER(I10)),I10/SUM(I4:I11), ""), "")</f>
        <v>0</v>
      </c>
    </row>
    <row r="21" spans="2:9">
      <c r="B21" t="s">
        <v>894</v>
      </c>
      <c r="C21" s="5">
        <f>IF(SUM(L4:L11) &gt; 0, IF(AND(SUM(C4:C11)&gt;0, ISNUMBER(C11)),C11/SUM(C4:C11), ""), "")</f>
        <v>0</v>
      </c>
      <c r="D21" s="5">
        <f>IF(SUM(L4:L11) &gt; 0, IF(AND(SUM(D4:D11)&gt;0, ISNUMBER(D11)),D11/SUM(D4:D11), ""), "")</f>
        <v>0</v>
      </c>
      <c r="E21" s="5">
        <f>IF(SUM(L4:L11) &gt; 0, IF(AND(SUM(E4:E11)&gt;0, ISNUMBER(E11)),E11/SUM(E4:E11), ""), "")</f>
        <v>0</v>
      </c>
      <c r="F21" s="5">
        <f>IF(SUM(L4:L11) &gt; 0, IF(AND(SUM(F4:F11)&gt;0, ISNUMBER(F11)),F11/SUM(F4:F11), ""), "")</f>
        <v>0</v>
      </c>
      <c r="G21" s="5">
        <f>IF(SUM(L4:L11) &gt; 0, IF(AND(SUM(G4:G11)&gt;0, ISNUMBER(G11)),G11/SUM(G4:G11), ""), "")</f>
        <v>0</v>
      </c>
      <c r="H21" s="5">
        <f>IF(SUM(L4:L11) &gt; 0, IF(AND(SUM(H4:H11)&gt;0, ISNUMBER(H11)),H11/SUM(H4:H11), ""), "")</f>
        <v>0</v>
      </c>
      <c r="I21" s="5">
        <f>IF(SUM(L4:L11) &gt; 0, IF(AND(SUM(I4:I11)&gt;0, ISNUMBER(I11)),I11/SUM(I4:I11), ""), "")</f>
        <v>0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0033A0"/>
  </sheetPr>
  <dimension ref="A1:R21"/>
  <sheetViews>
    <sheetView workbookViewId="0"/>
  </sheetViews>
  <sheetFormatPr defaultRowHeight="15"/>
  <sheetData>
    <row r="1" spans="1:18" s="3" customFormat="1" ht="40" customHeight="1">
      <c r="A1" s="3" t="s">
        <v>1016</v>
      </c>
    </row>
    <row r="3" spans="1:18">
      <c r="B3" t="s">
        <v>915</v>
      </c>
      <c r="C3" t="s">
        <v>982</v>
      </c>
      <c r="D3" t="s">
        <v>983</v>
      </c>
      <c r="E3" t="s">
        <v>984</v>
      </c>
      <c r="F3" t="s">
        <v>985</v>
      </c>
      <c r="G3" t="s">
        <v>986</v>
      </c>
      <c r="H3" t="s">
        <v>987</v>
      </c>
      <c r="I3" t="s">
        <v>988</v>
      </c>
      <c r="K3" t="s">
        <v>915</v>
      </c>
      <c r="L3" t="s">
        <v>992</v>
      </c>
      <c r="M3" t="s">
        <v>993</v>
      </c>
      <c r="N3" t="s">
        <v>994</v>
      </c>
      <c r="O3" t="s">
        <v>995</v>
      </c>
      <c r="P3" t="s">
        <v>996</v>
      </c>
      <c r="Q3" t="s">
        <v>997</v>
      </c>
      <c r="R3" t="s">
        <v>998</v>
      </c>
    </row>
    <row r="4" spans="1:18">
      <c r="B4" t="s">
        <v>884</v>
      </c>
      <c r="C4">
        <v>2.81756981658936</v>
      </c>
      <c r="D4">
        <v>2.51409069824219</v>
      </c>
      <c r="E4">
        <v>6.60778028106689</v>
      </c>
      <c r="F4">
        <v>8.23901958084106</v>
      </c>
      <c r="G4">
        <v>1.40828456878662</v>
      </c>
      <c r="H4">
        <v>3.90036807727814</v>
      </c>
      <c r="I4">
        <f>IF(SUMIFS('TERadj'!GQ2:GQ100,'TERadj'!GQ2:GQ100,"&gt;0")/1000,SUMIFS('TERadj'!GQ2:GQ100,'TERadj'!GQ2:GQ100,"&gt;0")/1000,"")</f>
        <v>0</v>
      </c>
      <c r="K4" t="s">
        <v>884</v>
      </c>
      <c r="L4">
        <v>12</v>
      </c>
      <c r="M4">
        <v>8</v>
      </c>
      <c r="N4">
        <v>13</v>
      </c>
      <c r="O4">
        <v>18</v>
      </c>
      <c r="P4">
        <v>7</v>
      </c>
      <c r="Q4">
        <v>8</v>
      </c>
      <c r="R4" cm="1">
        <f t="array" ref="R4">IF(COUNT(_xlfn._xlws.FILTER('TERadj'!GQ2:GQ100, ('TERadj'!GQ2:GQ100&gt;0))),COUNT(_xlfn._xlws.FILTER('TERadj'!GQ2:GQ100, ('TERadj'!GQ2:GQ100&gt;0))),"")</f>
        <v>0</v>
      </c>
    </row>
    <row r="5" spans="1:18">
      <c r="B5" t="s">
        <v>892</v>
      </c>
      <c r="C5">
        <v>15.477406917572</v>
      </c>
      <c r="D5">
        <v>14.4898644504547</v>
      </c>
      <c r="E5">
        <v>4.70676340389252</v>
      </c>
      <c r="F5">
        <v>8.188420635223389</v>
      </c>
      <c r="G5">
        <v>3.78770666503906</v>
      </c>
      <c r="H5">
        <v>2.84056959843636</v>
      </c>
      <c r="I5">
        <f>IF(SUMIFS('TERadj'!GR2:GR100,'TERadj'!GR2:GR100,"&gt;0")/1000,SUMIFS('TERadj'!GR2:GR100,'TERadj'!GR2:GR100,"&gt;0")/1000,"")</f>
        <v>0</v>
      </c>
      <c r="K5" t="s">
        <v>892</v>
      </c>
      <c r="L5">
        <v>11</v>
      </c>
      <c r="M5">
        <v>10</v>
      </c>
      <c r="N5">
        <v>14</v>
      </c>
      <c r="O5">
        <v>18</v>
      </c>
      <c r="P5">
        <v>10</v>
      </c>
      <c r="Q5">
        <v>7</v>
      </c>
      <c r="R5" cm="1">
        <f t="array" ref="R5">IF(COUNT(_xlfn._xlws.FILTER('TERadj'!GR2:GR100, ('TERadj'!GR2:GR100&gt;0))),COUNT(_xlfn._xlws.FILTER('TERadj'!GR2:GR100, ('TERadj'!GR2:GR100&gt;0))),"")</f>
        <v>0</v>
      </c>
    </row>
    <row r="6" spans="1:18">
      <c r="B6" t="s">
        <v>880</v>
      </c>
      <c r="C6">
        <v>0.303126243591309</v>
      </c>
      <c r="D6">
        <v>0.291267578125</v>
      </c>
      <c r="E6">
        <v>0.117142214775085</v>
      </c>
      <c r="F6">
        <v>0.761153961181641</v>
      </c>
      <c r="G6">
        <v>0.777414726257324</v>
      </c>
      <c r="H6">
        <v>0.775615234375</v>
      </c>
      <c r="I6">
        <f>IF(SUMIFS('TERadj'!GS2:GS100,'TERadj'!GS2:GS100,"&gt;0")/1000,SUMIFS('TERadj'!GS2:GS100,'TERadj'!GS2:GS100,"&gt;0")/1000,"")</f>
        <v>0</v>
      </c>
      <c r="K6" t="s">
        <v>880</v>
      </c>
      <c r="L6">
        <v>3</v>
      </c>
      <c r="M6">
        <v>2</v>
      </c>
      <c r="N6">
        <v>3</v>
      </c>
      <c r="O6">
        <v>2</v>
      </c>
      <c r="P6">
        <v>3</v>
      </c>
      <c r="Q6">
        <v>1</v>
      </c>
      <c r="R6" cm="1">
        <f t="array" ref="R6">IF(COUNT(_xlfn._xlws.FILTER('TERadj'!GS2:GS100, ('TERadj'!GS2:GS100&gt;0))),COUNT(_xlfn._xlws.FILTER('TERadj'!GS2:GS100, ('TERadj'!GS2:GS100&gt;0))),"")</f>
        <v>0</v>
      </c>
    </row>
    <row r="7" spans="1:18">
      <c r="B7" t="s">
        <v>890</v>
      </c>
      <c r="C7">
        <v>0.804342232942581</v>
      </c>
      <c r="D7">
        <v>0.0669726028442383</v>
      </c>
      <c r="F7">
        <v>0.0548034973144531</v>
      </c>
      <c r="G7">
        <v>0.00934710502624512</v>
      </c>
      <c r="H7">
        <v>3.44043359375</v>
      </c>
      <c r="I7">
        <f>IF(SUMIFS('TERadj'!GT2:GT100,'TERadj'!GT2:GT100,"&gt;0")/1000,SUMIFS('TERadj'!GT2:GT100,'TERadj'!GT2:GT100,"&gt;0")/1000,"")</f>
        <v>0</v>
      </c>
      <c r="K7" t="s">
        <v>890</v>
      </c>
      <c r="L7">
        <v>2</v>
      </c>
      <c r="M7">
        <v>1</v>
      </c>
      <c r="O7">
        <v>1</v>
      </c>
      <c r="P7">
        <v>1</v>
      </c>
      <c r="Q7">
        <v>1</v>
      </c>
      <c r="R7" cm="1">
        <f t="array" ref="R7">IF(COUNT(_xlfn._xlws.FILTER('TERadj'!GT2:GT100, ('TERadj'!GT2:GT100&gt;0))),COUNT(_xlfn._xlws.FILTER('TERadj'!GT2:GT100, ('TERadj'!GT2:GT100&gt;0))),"")</f>
        <v>0</v>
      </c>
    </row>
    <row r="8" spans="1:18">
      <c r="B8" t="s">
        <v>1009</v>
      </c>
      <c r="C8">
        <v>0.02</v>
      </c>
      <c r="D8">
        <v>0.0234404106140137</v>
      </c>
      <c r="E8">
        <v>0.09428327941894531</v>
      </c>
      <c r="F8">
        <v>0.0535355834960937</v>
      </c>
      <c r="G8">
        <v>0.322323127746582</v>
      </c>
      <c r="H8">
        <v>0.06</v>
      </c>
      <c r="I8">
        <f>IF(SUMIFS('TERadj'!GU2:GU100,'TERadj'!GU2:GU100,"&gt;0")/1000,SUMIFS('TERadj'!GU2:GU100,'TERadj'!GU2:GU100,"&gt;0")/1000,"")</f>
        <v>0</v>
      </c>
      <c r="K8" t="s">
        <v>1009</v>
      </c>
      <c r="L8">
        <v>1</v>
      </c>
      <c r="M8">
        <v>1</v>
      </c>
      <c r="N8">
        <v>1</v>
      </c>
      <c r="O8">
        <v>2</v>
      </c>
      <c r="P8">
        <v>3</v>
      </c>
      <c r="Q8">
        <v>1</v>
      </c>
      <c r="R8" cm="1">
        <f t="array" ref="R8">IF(COUNT(_xlfn._xlws.FILTER('TERadj'!GU2:GU100, ('TERadj'!GU2:GU100&gt;0))),COUNT(_xlfn._xlws.FILTER('TERadj'!GU2:GU100, ('TERadj'!GU2:GU100&gt;0))),"")</f>
        <v>0</v>
      </c>
    </row>
    <row r="9" spans="1:18">
      <c r="B9" t="s">
        <v>936</v>
      </c>
      <c r="C9">
        <v>0.280182439804077</v>
      </c>
      <c r="D9">
        <v>0.151740165710449</v>
      </c>
      <c r="E9">
        <v>0.087959545135498</v>
      </c>
      <c r="F9">
        <v>1.37507332992554</v>
      </c>
      <c r="G9">
        <v>0.00186942100524902</v>
      </c>
      <c r="H9">
        <v>0.261091247558594</v>
      </c>
      <c r="I9">
        <f>IF(SUMIFS('TERadj'!GV2:GV100,'TERadj'!GV2:GV100,"&gt;0")/1000,SUMIFS('TERadj'!GV2:GV100,'TERadj'!GV2:GV100,"&gt;0")/1000,"")</f>
        <v>0</v>
      </c>
      <c r="K9" t="s">
        <v>936</v>
      </c>
      <c r="L9">
        <v>4</v>
      </c>
      <c r="M9">
        <v>3</v>
      </c>
      <c r="N9">
        <v>3</v>
      </c>
      <c r="O9">
        <v>6</v>
      </c>
      <c r="P9">
        <v>1</v>
      </c>
      <c r="Q9">
        <v>2</v>
      </c>
      <c r="R9" cm="1">
        <f t="array" ref="R9">IF(COUNT(_xlfn._xlws.FILTER('TERadj'!GV2:GV100, ('TERadj'!GV2:GV100&gt;0))),COUNT(_xlfn._xlws.FILTER('TERadj'!GV2:GV100, ('TERadj'!GV2:GV100&gt;0))),"")</f>
        <v>0</v>
      </c>
    </row>
    <row r="10" spans="1:18">
      <c r="B10" t="s">
        <v>1010</v>
      </c>
      <c r="C10">
        <v>0.0305999765396118</v>
      </c>
      <c r="D10">
        <v>0.1140908203125</v>
      </c>
      <c r="E10">
        <v>0.30423886680603</v>
      </c>
      <c r="F10">
        <v>0.0723091697692871</v>
      </c>
      <c r="G10">
        <v>0.972150522232056</v>
      </c>
      <c r="H10">
        <v>0.354127333641052</v>
      </c>
      <c r="I10">
        <f>IF(SUMIFS('TERadj'!GW2:GW100,'TERadj'!GW2:GW100,"&gt;0")/1000,SUMIFS('TERadj'!GW2:GW100,'TERadj'!GW2:GW100,"&gt;0")/1000,"")</f>
        <v>0</v>
      </c>
      <c r="K10" t="s">
        <v>1010</v>
      </c>
      <c r="L10">
        <v>2</v>
      </c>
      <c r="M10">
        <v>3</v>
      </c>
      <c r="N10">
        <v>4</v>
      </c>
      <c r="O10">
        <v>2</v>
      </c>
      <c r="P10">
        <v>5</v>
      </c>
      <c r="Q10">
        <v>2</v>
      </c>
      <c r="R10" cm="1">
        <f t="array" ref="R10">IF(COUNT(_xlfn._xlws.FILTER('TERadj'!GW2:GW100, ('TERadj'!GW2:GW100&gt;0))),COUNT(_xlfn._xlws.FILTER('TERadj'!GW2:GW100, ('TERadj'!GW2:GW100&gt;0))),"")</f>
        <v>0</v>
      </c>
    </row>
    <row r="11" spans="1:18">
      <c r="B11" t="s">
        <v>894</v>
      </c>
      <c r="C11">
        <v>1.70128382503986</v>
      </c>
      <c r="D11">
        <v>2.67256988143921</v>
      </c>
      <c r="E11">
        <v>2.2829501824379</v>
      </c>
      <c r="F11">
        <v>2.10998636054993</v>
      </c>
      <c r="G11">
        <v>5.13004591560364</v>
      </c>
      <c r="H11">
        <v>4.29234215165675</v>
      </c>
      <c r="I11">
        <f>IF(SUMIFS('TERadj'!GX2:GX100,'TERadj'!GX2:GX100,"&gt;0")/1000,SUMIFS('TERadj'!GX2:GX100,'TERadj'!GX2:GX100,"&gt;0")/1000,"")</f>
        <v>0</v>
      </c>
      <c r="K11" t="s">
        <v>894</v>
      </c>
      <c r="L11">
        <v>9</v>
      </c>
      <c r="M11">
        <v>11</v>
      </c>
      <c r="N11">
        <v>11</v>
      </c>
      <c r="O11">
        <v>10</v>
      </c>
      <c r="P11">
        <v>12</v>
      </c>
      <c r="Q11">
        <v>8</v>
      </c>
      <c r="R11" cm="1">
        <f t="array" ref="R11">IF(COUNT(_xlfn._xlws.FILTER('TERadj'!GX2:GX100, ('TERadj'!GX2:GX100&gt;0))),COUNT(_xlfn._xlws.FILTER('TERadj'!GX2:GX100, ('TERadj'!GX2:GX100&gt;0))),"")</f>
        <v>0</v>
      </c>
    </row>
    <row r="13" spans="1:18">
      <c r="B13" t="s">
        <v>915</v>
      </c>
      <c r="C13" t="s">
        <v>946</v>
      </c>
      <c r="D13" t="s">
        <v>947</v>
      </c>
      <c r="E13" t="s">
        <v>948</v>
      </c>
      <c r="F13" t="s">
        <v>949</v>
      </c>
      <c r="G13" t="s">
        <v>950</v>
      </c>
      <c r="H13" t="s">
        <v>931</v>
      </c>
      <c r="I13" t="s">
        <v>932</v>
      </c>
    </row>
    <row r="14" spans="1:18">
      <c r="B14" t="s">
        <v>884</v>
      </c>
      <c r="C14" s="5">
        <f>IF(SUM(L4:L11) &gt; 0, IF(AND(SUM(C4:C11)&gt;0, ISNUMBER(C4)),C4/SUM(C4:C11), ""), "")</f>
        <v>0</v>
      </c>
      <c r="D14" s="5">
        <f>IF(SUM(L4:L11) &gt; 0, IF(AND(SUM(D4:D11)&gt;0, ISNUMBER(D4)),D4/SUM(D4:D11), ""), "")</f>
        <v>0</v>
      </c>
      <c r="E14" s="5">
        <f>IF(SUM(L4:L11) &gt; 0, IF(AND(SUM(E4:E11)&gt;0, ISNUMBER(E4)),E4/SUM(E4:E11), ""), "")</f>
        <v>0</v>
      </c>
      <c r="F14" s="5">
        <f>IF(SUM(L4:L11) &gt; 0, IF(AND(SUM(F4:F11)&gt;0, ISNUMBER(F4)),F4/SUM(F4:F11), ""), "")</f>
        <v>0</v>
      </c>
      <c r="G14" s="5">
        <f>IF(SUM(L4:L11) &gt; 0, IF(AND(SUM(G4:G11)&gt;0, ISNUMBER(G4)),G4/SUM(G4:G11), ""), "")</f>
        <v>0</v>
      </c>
      <c r="H14" s="5">
        <f>IF(SUM(L4:L11) &gt; 0, IF(AND(SUM(H4:H11)&gt;0, ISNUMBER(H4)),H4/SUM(H4:H11), ""), "")</f>
        <v>0</v>
      </c>
      <c r="I14" s="5">
        <f>IF(SUM(L4:L11) &gt; 0, IF(AND(SUM(I4:I11)&gt;0, ISNUMBER(I4)),I4/SUM(I4:I11), ""), "")</f>
        <v>0</v>
      </c>
    </row>
    <row r="15" spans="1:18">
      <c r="B15" t="s">
        <v>892</v>
      </c>
      <c r="C15" s="5">
        <f>IF(SUM(L4:L11) &gt; 0, IF(AND(SUM(C4:C11)&gt;0, ISNUMBER(C5)),C5/SUM(C4:C11), ""), "")</f>
        <v>0</v>
      </c>
      <c r="D15" s="5">
        <f>IF(SUM(L4:L11) &gt; 0, IF(AND(SUM(D4:D11)&gt;0, ISNUMBER(D5)),D5/SUM(D4:D11), ""), "")</f>
        <v>0</v>
      </c>
      <c r="E15" s="5">
        <f>IF(SUM(L4:L11) &gt; 0, IF(AND(SUM(E4:E11)&gt;0, ISNUMBER(E5)),E5/SUM(E4:E11), ""), "")</f>
        <v>0</v>
      </c>
      <c r="F15" s="5">
        <f>IF(SUM(L4:L11) &gt; 0, IF(AND(SUM(F4:F11)&gt;0, ISNUMBER(F5)),F5/SUM(F4:F11), ""), "")</f>
        <v>0</v>
      </c>
      <c r="G15" s="5">
        <f>IF(SUM(L4:L11) &gt; 0, IF(AND(SUM(G4:G11)&gt;0, ISNUMBER(G5)),G5/SUM(G4:G11), ""), "")</f>
        <v>0</v>
      </c>
      <c r="H15" s="5">
        <f>IF(SUM(L4:L11) &gt; 0, IF(AND(SUM(H4:H11)&gt;0, ISNUMBER(H5)),H5/SUM(H4:H11), ""), "")</f>
        <v>0</v>
      </c>
      <c r="I15" s="5">
        <f>IF(SUM(L4:L11) &gt; 0, IF(AND(SUM(I4:I11)&gt;0, ISNUMBER(I5)),I5/SUM(I4:I11), ""), "")</f>
        <v>0</v>
      </c>
    </row>
    <row r="16" spans="1:18">
      <c r="B16" t="s">
        <v>880</v>
      </c>
      <c r="C16" s="5">
        <f>IF(SUM(L4:L11) &gt; 0, IF(AND(SUM(C4:C11)&gt;0, ISNUMBER(C6)),C6/SUM(C4:C11), ""), "")</f>
        <v>0</v>
      </c>
      <c r="D16" s="5">
        <f>IF(SUM(L4:L11) &gt; 0, IF(AND(SUM(D4:D11)&gt;0, ISNUMBER(D6)),D6/SUM(D4:D11), ""), "")</f>
        <v>0</v>
      </c>
      <c r="E16" s="5">
        <f>IF(SUM(L4:L11) &gt; 0, IF(AND(SUM(E4:E11)&gt;0, ISNUMBER(E6)),E6/SUM(E4:E11), ""), "")</f>
        <v>0</v>
      </c>
      <c r="F16" s="5">
        <f>IF(SUM(L4:L11) &gt; 0, IF(AND(SUM(F4:F11)&gt;0, ISNUMBER(F6)),F6/SUM(F4:F11), ""), "")</f>
        <v>0</v>
      </c>
      <c r="G16" s="5">
        <f>IF(SUM(L4:L11) &gt; 0, IF(AND(SUM(G4:G11)&gt;0, ISNUMBER(G6)),G6/SUM(G4:G11), ""), "")</f>
        <v>0</v>
      </c>
      <c r="H16" s="5">
        <f>IF(SUM(L4:L11) &gt; 0, IF(AND(SUM(H4:H11)&gt;0, ISNUMBER(H6)),H6/SUM(H4:H11), ""), "")</f>
        <v>0</v>
      </c>
      <c r="I16" s="5">
        <f>IF(SUM(L4:L11) &gt; 0, IF(AND(SUM(I4:I11)&gt;0, ISNUMBER(I6)),I6/SUM(I4:I11), ""), "")</f>
        <v>0</v>
      </c>
    </row>
    <row r="17" spans="2:9">
      <c r="B17" t="s">
        <v>890</v>
      </c>
      <c r="C17" s="5">
        <f>IF(SUM(L4:L11) &gt; 0, IF(AND(SUM(C4:C11)&gt;0, ISNUMBER(C7)),C7/SUM(C4:C11), ""), "")</f>
        <v>0</v>
      </c>
      <c r="D17" s="5">
        <f>IF(SUM(L4:L11) &gt; 0, IF(AND(SUM(D4:D11)&gt;0, ISNUMBER(D7)),D7/SUM(D4:D11), ""), "")</f>
        <v>0</v>
      </c>
      <c r="E17" s="5">
        <f>IF(SUM(L4:L11) &gt; 0, IF(AND(SUM(E4:E11)&gt;0, ISNUMBER(E7)),E7/SUM(E4:E11), ""), "")</f>
        <v>0</v>
      </c>
      <c r="F17" s="5">
        <f>IF(SUM(L4:L11) &gt; 0, IF(AND(SUM(F4:F11)&gt;0, ISNUMBER(F7)),F7/SUM(F4:F11), ""), "")</f>
        <v>0</v>
      </c>
      <c r="G17" s="5">
        <f>IF(SUM(L4:L11) &gt; 0, IF(AND(SUM(G4:G11)&gt;0, ISNUMBER(G7)),G7/SUM(G4:G11), ""), "")</f>
        <v>0</v>
      </c>
      <c r="H17" s="5">
        <f>IF(SUM(L4:L11) &gt; 0, IF(AND(SUM(H4:H11)&gt;0, ISNUMBER(H7)),H7/SUM(H4:H11), ""), "")</f>
        <v>0</v>
      </c>
      <c r="I17" s="5">
        <f>IF(SUM(L4:L11) &gt; 0, IF(AND(SUM(I4:I11)&gt;0, ISNUMBER(I7)),I7/SUM(I4:I11), ""), "")</f>
        <v>0</v>
      </c>
    </row>
    <row r="18" spans="2:9">
      <c r="B18" t="s">
        <v>1009</v>
      </c>
      <c r="C18" s="5">
        <f>IF(SUM(L4:L11) &gt; 0, IF(AND(SUM(C4:C11)&gt;0, ISNUMBER(C8)),C8/SUM(C4:C11), ""), "")</f>
        <v>0</v>
      </c>
      <c r="D18" s="5">
        <f>IF(SUM(L4:L11) &gt; 0, IF(AND(SUM(D4:D11)&gt;0, ISNUMBER(D8)),D8/SUM(D4:D11), ""), "")</f>
        <v>0</v>
      </c>
      <c r="E18" s="5">
        <f>IF(SUM(L4:L11) &gt; 0, IF(AND(SUM(E4:E11)&gt;0, ISNUMBER(E8)),E8/SUM(E4:E11), ""), "")</f>
        <v>0</v>
      </c>
      <c r="F18" s="5">
        <f>IF(SUM(L4:L11) &gt; 0, IF(AND(SUM(F4:F11)&gt;0, ISNUMBER(F8)),F8/SUM(F4:F11), ""), "")</f>
        <v>0</v>
      </c>
      <c r="G18" s="5">
        <f>IF(SUM(L4:L11) &gt; 0, IF(AND(SUM(G4:G11)&gt;0, ISNUMBER(G8)),G8/SUM(G4:G11), ""), "")</f>
        <v>0</v>
      </c>
      <c r="H18" s="5">
        <f>IF(SUM(L4:L11) &gt; 0, IF(AND(SUM(H4:H11)&gt;0, ISNUMBER(H8)),H8/SUM(H4:H11), ""), "")</f>
        <v>0</v>
      </c>
      <c r="I18" s="5">
        <f>IF(SUM(L4:L11) &gt; 0, IF(AND(SUM(I4:I11)&gt;0, ISNUMBER(I8)),I8/SUM(I4:I11), ""), "")</f>
        <v>0</v>
      </c>
    </row>
    <row r="19" spans="2:9">
      <c r="B19" t="s">
        <v>936</v>
      </c>
      <c r="C19" s="5">
        <f>IF(SUM(L4:L11) &gt; 0, IF(AND(SUM(C4:C11)&gt;0, ISNUMBER(C9)),C9/SUM(C4:C11), ""), "")</f>
        <v>0</v>
      </c>
      <c r="D19" s="5">
        <f>IF(SUM(L4:L11) &gt; 0, IF(AND(SUM(D4:D11)&gt;0, ISNUMBER(D9)),D9/SUM(D4:D11), ""), "")</f>
        <v>0</v>
      </c>
      <c r="E19" s="5">
        <f>IF(SUM(L4:L11) &gt; 0, IF(AND(SUM(E4:E11)&gt;0, ISNUMBER(E9)),E9/SUM(E4:E11), ""), "")</f>
        <v>0</v>
      </c>
      <c r="F19" s="5">
        <f>IF(SUM(L4:L11) &gt; 0, IF(AND(SUM(F4:F11)&gt;0, ISNUMBER(F9)),F9/SUM(F4:F11), ""), "")</f>
        <v>0</v>
      </c>
      <c r="G19" s="5">
        <f>IF(SUM(L4:L11) &gt; 0, IF(AND(SUM(G4:G11)&gt;0, ISNUMBER(G9)),G9/SUM(G4:G11), ""), "")</f>
        <v>0</v>
      </c>
      <c r="H19" s="5">
        <f>IF(SUM(L4:L11) &gt; 0, IF(AND(SUM(H4:H11)&gt;0, ISNUMBER(H9)),H9/SUM(H4:H11), ""), "")</f>
        <v>0</v>
      </c>
      <c r="I19" s="5">
        <f>IF(SUM(L4:L11) &gt; 0, IF(AND(SUM(I4:I11)&gt;0, ISNUMBER(I9)),I9/SUM(I4:I11), ""), "")</f>
        <v>0</v>
      </c>
    </row>
    <row r="20" spans="2:9">
      <c r="B20" t="s">
        <v>1010</v>
      </c>
      <c r="C20" s="5">
        <f>IF(SUM(L4:L11) &gt; 0, IF(AND(SUM(C4:C11)&gt;0, ISNUMBER(C10)),C10/SUM(C4:C11), ""), "")</f>
        <v>0</v>
      </c>
      <c r="D20" s="5">
        <f>IF(SUM(L4:L11) &gt; 0, IF(AND(SUM(D4:D11)&gt;0, ISNUMBER(D10)),D10/SUM(D4:D11), ""), "")</f>
        <v>0</v>
      </c>
      <c r="E20" s="5">
        <f>IF(SUM(L4:L11) &gt; 0, IF(AND(SUM(E4:E11)&gt;0, ISNUMBER(E10)),E10/SUM(E4:E11), ""), "")</f>
        <v>0</v>
      </c>
      <c r="F20" s="5">
        <f>IF(SUM(L4:L11) &gt; 0, IF(AND(SUM(F4:F11)&gt;0, ISNUMBER(F10)),F10/SUM(F4:F11), ""), "")</f>
        <v>0</v>
      </c>
      <c r="G20" s="5">
        <f>IF(SUM(L4:L11) &gt; 0, IF(AND(SUM(G4:G11)&gt;0, ISNUMBER(G10)),G10/SUM(G4:G11), ""), "")</f>
        <v>0</v>
      </c>
      <c r="H20" s="5">
        <f>IF(SUM(L4:L11) &gt; 0, IF(AND(SUM(H4:H11)&gt;0, ISNUMBER(H10)),H10/SUM(H4:H11), ""), "")</f>
        <v>0</v>
      </c>
      <c r="I20" s="5">
        <f>IF(SUM(L4:L11) &gt; 0, IF(AND(SUM(I4:I11)&gt;0, ISNUMBER(I10)),I10/SUM(I4:I11), ""), "")</f>
        <v>0</v>
      </c>
    </row>
    <row r="21" spans="2:9">
      <c r="B21" t="s">
        <v>894</v>
      </c>
      <c r="C21" s="5">
        <f>IF(SUM(L4:L11) &gt; 0, IF(AND(SUM(C4:C11)&gt;0, ISNUMBER(C11)),C11/SUM(C4:C11), ""), "")</f>
        <v>0</v>
      </c>
      <c r="D21" s="5">
        <f>IF(SUM(L4:L11) &gt; 0, IF(AND(SUM(D4:D11)&gt;0, ISNUMBER(D11)),D11/SUM(D4:D11), ""), "")</f>
        <v>0</v>
      </c>
      <c r="E21" s="5">
        <f>IF(SUM(L4:L11) &gt; 0, IF(AND(SUM(E4:E11)&gt;0, ISNUMBER(E11)),E11/SUM(E4:E11), ""), "")</f>
        <v>0</v>
      </c>
      <c r="F21" s="5">
        <f>IF(SUM(L4:L11) &gt; 0, IF(AND(SUM(F4:F11)&gt;0, ISNUMBER(F11)),F11/SUM(F4:F11), ""), "")</f>
        <v>0</v>
      </c>
      <c r="G21" s="5">
        <f>IF(SUM(L4:L11) &gt; 0, IF(AND(SUM(G4:G11)&gt;0, ISNUMBER(G11)),G11/SUM(G4:G11), ""), "")</f>
        <v>0</v>
      </c>
      <c r="H21" s="5">
        <f>IF(SUM(L4:L11) &gt; 0, IF(AND(SUM(H4:H11)&gt;0, ISNUMBER(H11)),H11/SUM(H4:H11), ""), "")</f>
        <v>0</v>
      </c>
      <c r="I21" s="5">
        <f>IF(SUM(L4:L11) &gt; 0, IF(AND(SUM(I4:I11)&gt;0, ISNUMBER(I11)),I11/SUM(I4:I11), ""), "")</f>
        <v>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33A0"/>
  </sheetPr>
  <dimension ref="A1:F21"/>
  <sheetViews>
    <sheetView workbookViewId="0"/>
  </sheetViews>
  <sheetFormatPr defaultRowHeight="15"/>
  <sheetData>
    <row r="1" spans="1:6" s="3" customFormat="1" ht="40" customHeight="1">
      <c r="A1" s="3" t="s">
        <v>1017</v>
      </c>
    </row>
    <row r="3" spans="1:6">
      <c r="B3" t="s">
        <v>915</v>
      </c>
      <c r="C3" t="s">
        <v>988</v>
      </c>
      <c r="E3" t="s">
        <v>915</v>
      </c>
      <c r="F3" t="s">
        <v>998</v>
      </c>
    </row>
    <row r="4" spans="1:6">
      <c r="B4" t="s">
        <v>884</v>
      </c>
      <c r="E4" t="s">
        <v>884</v>
      </c>
    </row>
    <row r="5" spans="1:6">
      <c r="B5" t="s">
        <v>892</v>
      </c>
      <c r="E5" t="s">
        <v>892</v>
      </c>
    </row>
    <row r="6" spans="1:6">
      <c r="B6" t="s">
        <v>880</v>
      </c>
      <c r="E6" t="s">
        <v>880</v>
      </c>
    </row>
    <row r="7" spans="1:6">
      <c r="B7" t="s">
        <v>890</v>
      </c>
      <c r="E7" t="s">
        <v>890</v>
      </c>
    </row>
    <row r="8" spans="1:6">
      <c r="B8" t="s">
        <v>1009</v>
      </c>
      <c r="E8" t="s">
        <v>1009</v>
      </c>
    </row>
    <row r="9" spans="1:6">
      <c r="B9" t="s">
        <v>936</v>
      </c>
      <c r="E9" t="s">
        <v>936</v>
      </c>
    </row>
    <row r="10" spans="1:6">
      <c r="B10" t="s">
        <v>1010</v>
      </c>
      <c r="E10" t="s">
        <v>1010</v>
      </c>
    </row>
    <row r="11" spans="1:6">
      <c r="B11" t="s">
        <v>894</v>
      </c>
      <c r="E11" t="s">
        <v>894</v>
      </c>
    </row>
    <row r="13" spans="1:6">
      <c r="B13" t="s">
        <v>915</v>
      </c>
      <c r="C13" t="s">
        <v>932</v>
      </c>
    </row>
    <row r="14" spans="1:6">
      <c r="B14" t="s">
        <v>884</v>
      </c>
      <c r="C14" s="5">
        <f>IF(SUM(F4:F11) &gt; 0, IF(AND(SUM(C4:C11)&gt;0, ISNUMBER(C4)),C4/SUM(C4:C11), ""), "")</f>
        <v>0</v>
      </c>
    </row>
    <row r="15" spans="1:6">
      <c r="B15" t="s">
        <v>892</v>
      </c>
      <c r="C15" s="5">
        <f>IF(SUM(F4:F11) &gt; 0, IF(AND(SUM(C4:C11)&gt;0, ISNUMBER(C5)),C5/SUM(C4:C11), ""), "")</f>
        <v>0</v>
      </c>
    </row>
    <row r="16" spans="1:6">
      <c r="B16" t="s">
        <v>880</v>
      </c>
      <c r="C16" s="5">
        <f>IF(SUM(F4:F11) &gt; 0, IF(AND(SUM(C4:C11)&gt;0, ISNUMBER(C6)),C6/SUM(C4:C11), ""), "")</f>
        <v>0</v>
      </c>
    </row>
    <row r="17" spans="2:3">
      <c r="B17" t="s">
        <v>890</v>
      </c>
      <c r="C17" s="5">
        <f>IF(SUM(F4:F11) &gt; 0, IF(AND(SUM(C4:C11)&gt;0, ISNUMBER(C7)),C7/SUM(C4:C11), ""), "")</f>
        <v>0</v>
      </c>
    </row>
    <row r="18" spans="2:3">
      <c r="B18" t="s">
        <v>1009</v>
      </c>
      <c r="C18" s="5">
        <f>IF(SUM(F4:F11) &gt; 0, IF(AND(SUM(C4:C11)&gt;0, ISNUMBER(C8)),C8/SUM(C4:C11), ""), "")</f>
        <v>0</v>
      </c>
    </row>
    <row r="19" spans="2:3">
      <c r="B19" t="s">
        <v>936</v>
      </c>
      <c r="C19" s="5">
        <f>IF(SUM(F4:F11) &gt; 0, IF(AND(SUM(C4:C11)&gt;0, ISNUMBER(C9)),C9/SUM(C4:C11), ""), "")</f>
        <v>0</v>
      </c>
    </row>
    <row r="20" spans="2:3">
      <c r="B20" t="s">
        <v>1010</v>
      </c>
      <c r="C20" s="5">
        <f>IF(SUM(F4:F11) &gt; 0, IF(AND(SUM(C4:C11)&gt;0, ISNUMBER(C10)),C10/SUM(C4:C11), ""), "")</f>
        <v>0</v>
      </c>
    </row>
    <row r="21" spans="2:3">
      <c r="B21" t="s">
        <v>894</v>
      </c>
      <c r="C21" s="5">
        <f>IF(SUM(F4:F11) &gt; 0, IF(AND(SUM(C4:C11)&gt;0, ISNUMBER(C11)),C11/SUM(C4:C11), ""), "")</f>
        <v>0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1008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23.3993716252446</v>
      </c>
      <c r="D4">
        <v>29.9937134907246</v>
      </c>
      <c r="E4">
        <v>38.7200345039368</v>
      </c>
      <c r="F4">
        <v>29.1394428825378</v>
      </c>
      <c r="G4">
        <v>45.6628138370514</v>
      </c>
      <c r="H4">
        <v>51.2107504367828</v>
      </c>
      <c r="I4">
        <v>22.508772513628</v>
      </c>
      <c r="J4">
        <f>IF(SUMIFS('TERadj'!GY2:GY100,'TERadj'!GY2:GY100,"&gt;0")/1000,SUMIFS('TERadj'!GY2:GY100,'TERadj'!GY2:GY100,"&gt;0")/1000,"")</f>
        <v>0</v>
      </c>
      <c r="L4" t="s">
        <v>839</v>
      </c>
      <c r="M4">
        <v>68</v>
      </c>
      <c r="N4">
        <v>71</v>
      </c>
      <c r="O4">
        <v>65</v>
      </c>
      <c r="P4">
        <v>45</v>
      </c>
      <c r="Q4">
        <v>54</v>
      </c>
      <c r="R4">
        <v>51</v>
      </c>
      <c r="S4">
        <v>39</v>
      </c>
      <c r="T4" cm="1">
        <f t="array" ref="T4">IF(COUNT(_xlfn._xlws.FILTER('TERadj'!GY2:GY100, ('TERadj'!GY2:GY100&gt;0))),COUNT(_xlfn._xlws.FILTER('TERadj'!GY2:GY100, ('TERadj'!GY2:GY100&gt;0))),"")</f>
        <v>0</v>
      </c>
    </row>
    <row r="5" spans="1:20">
      <c r="B5" t="s">
        <v>840</v>
      </c>
      <c r="C5">
        <v>58.4788716888428</v>
      </c>
      <c r="D5">
        <v>58.9925345432758</v>
      </c>
      <c r="E5">
        <v>71.5554144141674</v>
      </c>
      <c r="F5">
        <v>45.5838369739056</v>
      </c>
      <c r="G5">
        <v>72.5172514967918</v>
      </c>
      <c r="H5">
        <v>44.1007652232647</v>
      </c>
      <c r="I5">
        <v>25.1212975616157</v>
      </c>
      <c r="J5">
        <f>IF(SUMIFS('TERadj'!GZ2:GZ100,'TERadj'!GZ2:GZ100,"&gt;0")/1000,SUMIFS('TERadj'!GZ2:GZ100,'TERadj'!GZ2:GZ100,"&gt;0")/1000,"")</f>
        <v>0</v>
      </c>
      <c r="L5" t="s">
        <v>840</v>
      </c>
      <c r="M5">
        <v>98</v>
      </c>
      <c r="N5">
        <v>111</v>
      </c>
      <c r="O5">
        <v>97</v>
      </c>
      <c r="P5">
        <v>63</v>
      </c>
      <c r="Q5">
        <v>82</v>
      </c>
      <c r="R5">
        <v>70</v>
      </c>
      <c r="S5">
        <v>45</v>
      </c>
      <c r="T5" cm="1">
        <f t="array" ref="T5">IF(COUNT(_xlfn._xlws.FILTER('TERadj'!GZ2:GZ100, ('TERadj'!GZ2:GZ100&gt;0))),COUNT(_xlfn._xlws.FILTER('TERadj'!GZ2:GZ100, ('TERadj'!GZ2:GZ100&gt;0))),"")</f>
        <v>0</v>
      </c>
    </row>
    <row r="6" spans="1:20">
      <c r="B6" t="s">
        <v>838</v>
      </c>
      <c r="C6">
        <v>30.5428139773607</v>
      </c>
      <c r="D6">
        <v>54.7958775477409</v>
      </c>
      <c r="E6">
        <v>50.3071316547394</v>
      </c>
      <c r="F6">
        <v>20.8939165450335</v>
      </c>
      <c r="G6">
        <v>58.2829266147614</v>
      </c>
      <c r="H6">
        <v>50.4985066077113</v>
      </c>
      <c r="I6">
        <v>18.3645156940371</v>
      </c>
      <c r="J6">
        <f>IF(SUMIFS('TERadj'!HA2:HA100,'TERadj'!HA2:HA100,"&gt;0")/1000,SUMIFS('TERadj'!HA2:HA100,'TERadj'!HA2:HA100,"&gt;0")/1000,"")</f>
        <v>0</v>
      </c>
      <c r="L6" t="s">
        <v>838</v>
      </c>
      <c r="M6">
        <v>56</v>
      </c>
      <c r="N6">
        <v>64</v>
      </c>
      <c r="O6">
        <v>54</v>
      </c>
      <c r="P6">
        <v>43</v>
      </c>
      <c r="Q6">
        <v>43</v>
      </c>
      <c r="R6">
        <v>50</v>
      </c>
      <c r="S6">
        <v>29</v>
      </c>
      <c r="T6" cm="1">
        <f t="array" ref="T6">IF(COUNT(_xlfn._xlws.FILTER('TERadj'!HA2:HA100, ('TERadj'!HA2:HA100&gt;0))),COUNT(_xlfn._xlws.FILTER('TERadj'!HA2:HA100, ('TERadj'!HA2:HA100&gt;0))),"")</f>
        <v>0</v>
      </c>
    </row>
    <row r="7" spans="1:20">
      <c r="B7" t="s">
        <v>841</v>
      </c>
      <c r="C7">
        <v>0.576287728905678</v>
      </c>
      <c r="D7">
        <v>0.231896195411682</v>
      </c>
      <c r="E7">
        <v>0.348668511867523</v>
      </c>
      <c r="F7">
        <v>0.07132470703125</v>
      </c>
      <c r="G7">
        <v>0.570666893959045</v>
      </c>
      <c r="H7">
        <v>0.683969330787659</v>
      </c>
      <c r="I7">
        <v>0.0252005269527435</v>
      </c>
      <c r="J7">
        <f>IF(SUMIFS('TERadj'!HB2:HB100,'TERadj'!HB2:HB100,"&gt;0")/1000,SUMIFS('TERadj'!HB2:HB100,'TERadj'!HB2:HB100,"&gt;0")/1000,"")</f>
        <v>0</v>
      </c>
      <c r="L7" t="s">
        <v>841</v>
      </c>
      <c r="M7">
        <v>7</v>
      </c>
      <c r="N7">
        <v>7</v>
      </c>
      <c r="O7">
        <v>8</v>
      </c>
      <c r="P7">
        <v>5</v>
      </c>
      <c r="Q7">
        <v>12</v>
      </c>
      <c r="R7">
        <v>9</v>
      </c>
      <c r="S7">
        <v>3</v>
      </c>
      <c r="T7" cm="1">
        <f t="array" ref="T7">IF(COUNT(_xlfn._xlws.FILTER('TERadj'!HB2:HB100, ('TERadj'!HB2:HB100&gt;0))),COUNT(_xlfn._xlws.FILTER('TERadj'!HB2:HB100, ('TERadj'!HB2:HB100&gt;0))),"")</f>
        <v>0</v>
      </c>
    </row>
    <row r="8" spans="1:20">
      <c r="B8" t="s">
        <v>898</v>
      </c>
      <c r="C8">
        <v>0.70203099155426</v>
      </c>
      <c r="D8">
        <v>0.680767398146912</v>
      </c>
      <c r="E8">
        <v>0.141079627990723</v>
      </c>
      <c r="F8">
        <v>0.0815412826538086</v>
      </c>
      <c r="G8">
        <v>0.9336545372009279</v>
      </c>
      <c r="H8">
        <v>0.126185916900635</v>
      </c>
      <c r="I8">
        <v>0.0449421901702881</v>
      </c>
      <c r="J8">
        <f>IF(SUMIFS('TERadj'!HC2:HC100,'TERadj'!HC2:HC100,"&gt;0")/1000,SUMIFS('TERadj'!HC2:HC100,'TERadj'!HC2:HC100,"&gt;0")/1000,"")</f>
        <v>0</v>
      </c>
      <c r="L8" t="s">
        <v>898</v>
      </c>
      <c r="M8">
        <v>6</v>
      </c>
      <c r="N8">
        <v>8</v>
      </c>
      <c r="O8">
        <v>2</v>
      </c>
      <c r="P8">
        <v>1</v>
      </c>
      <c r="Q8">
        <v>3</v>
      </c>
      <c r="R8">
        <v>2</v>
      </c>
      <c r="S8">
        <v>2</v>
      </c>
      <c r="T8" cm="1">
        <f t="array" ref="T8">IF(COUNT(_xlfn._xlws.FILTER('TERadj'!HC2:HC100, ('TERadj'!HC2:HC100&gt;0))),COUNT(_xlfn._xlws.FILTER('TERadj'!HC2:HC100, ('TERadj'!HC2:HC100&gt;0))),"")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1018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14.330223115921</v>
      </c>
      <c r="D4">
        <v>12.4126829407215</v>
      </c>
      <c r="E4">
        <v>15.8712918901443</v>
      </c>
      <c r="F4">
        <v>15.5349232254028</v>
      </c>
      <c r="G4">
        <v>24.7011417970657</v>
      </c>
      <c r="H4">
        <v>25.6254705610275</v>
      </c>
      <c r="I4">
        <v>7.69979161715507</v>
      </c>
      <c r="J4">
        <f>IF(SUMIFS('TERadj'!T2:T100,'TERadj'!T2:T100,"&gt;0")/1000,SUMIFS('TERadj'!T2:T100,'TERadj'!T2:T100,"&gt;0")/1000,"")</f>
        <v>0</v>
      </c>
      <c r="L4" t="s">
        <v>839</v>
      </c>
      <c r="M4">
        <v>49</v>
      </c>
      <c r="N4">
        <v>48</v>
      </c>
      <c r="O4">
        <v>52</v>
      </c>
      <c r="P4">
        <v>38</v>
      </c>
      <c r="Q4">
        <v>42</v>
      </c>
      <c r="R4">
        <v>44</v>
      </c>
      <c r="S4">
        <v>31</v>
      </c>
      <c r="T4" cm="1">
        <f t="array" ref="T4">IF(COUNT(_xlfn._xlws.FILTER('TERadj'!T2:T100, ('TERadj'!T2:T100&gt;0))),COUNT(_xlfn._xlws.FILTER('TERadj'!T2:T100, ('TERadj'!T2:T100&gt;0))),"")</f>
        <v>0</v>
      </c>
    </row>
    <row r="5" spans="1:20">
      <c r="B5" t="s">
        <v>840</v>
      </c>
      <c r="C5">
        <v>29.6407757987976</v>
      </c>
      <c r="D5">
        <v>26.5597070534229</v>
      </c>
      <c r="E5">
        <v>33.2509268600941</v>
      </c>
      <c r="F5">
        <v>19.995737123251</v>
      </c>
      <c r="G5">
        <v>35.5544791617394</v>
      </c>
      <c r="H5">
        <v>26.8173642814159</v>
      </c>
      <c r="I5">
        <v>7.16142053601146</v>
      </c>
      <c r="J5">
        <f>IF(SUMIFS('TERadj'!U2:U100,'TERadj'!U2:U100,"&gt;0")/1000,SUMIFS('TERadj'!U2:U100,'TERadj'!U2:U100,"&gt;0")/1000,"")</f>
        <v>0</v>
      </c>
      <c r="L5" t="s">
        <v>840</v>
      </c>
      <c r="M5">
        <v>80</v>
      </c>
      <c r="N5">
        <v>91</v>
      </c>
      <c r="O5">
        <v>84</v>
      </c>
      <c r="P5">
        <v>54</v>
      </c>
      <c r="Q5">
        <v>71</v>
      </c>
      <c r="R5">
        <v>64</v>
      </c>
      <c r="S5">
        <v>37</v>
      </c>
      <c r="T5" cm="1">
        <f t="array" ref="T5">IF(COUNT(_xlfn._xlws.FILTER('TERadj'!U2:U100, ('TERadj'!U2:U100&gt;0))),COUNT(_xlfn._xlws.FILTER('TERadj'!U2:U100, ('TERadj'!U2:U100&gt;0))),"")</f>
        <v>0</v>
      </c>
    </row>
    <row r="6" spans="1:20">
      <c r="B6" t="s">
        <v>838</v>
      </c>
      <c r="C6">
        <v>17.5210731095672</v>
      </c>
      <c r="D6">
        <v>24.8697845277786</v>
      </c>
      <c r="E6">
        <v>23.1787663507462</v>
      </c>
      <c r="F6">
        <v>13.2095238608718</v>
      </c>
      <c r="G6">
        <v>43.1403897769451</v>
      </c>
      <c r="H6">
        <v>34.1577832511067</v>
      </c>
      <c r="I6">
        <v>9.776522636786099</v>
      </c>
      <c r="J6">
        <f>IF(SUMIFS('TERadj'!V2:V100,'TERadj'!V2:V100,"&gt;0")/1000,SUMIFS('TERadj'!V2:V100,'TERadj'!V2:V100,"&gt;0")/1000,"")</f>
        <v>0</v>
      </c>
      <c r="L6" t="s">
        <v>838</v>
      </c>
      <c r="M6">
        <v>46</v>
      </c>
      <c r="N6">
        <v>48</v>
      </c>
      <c r="O6">
        <v>45</v>
      </c>
      <c r="P6">
        <v>36</v>
      </c>
      <c r="Q6">
        <v>38</v>
      </c>
      <c r="R6">
        <v>45</v>
      </c>
      <c r="S6">
        <v>25</v>
      </c>
      <c r="T6" cm="1">
        <f t="array" ref="T6">IF(COUNT(_xlfn._xlws.FILTER('TERadj'!V2:V100, ('TERadj'!V2:V100&gt;0))),COUNT(_xlfn._xlws.FILTER('TERadj'!V2:V100, ('TERadj'!V2:V100&gt;0))),"")</f>
        <v>0</v>
      </c>
    </row>
    <row r="7" spans="1:20">
      <c r="B7" t="s">
        <v>841</v>
      </c>
      <c r="C7">
        <v>0.389496845841408</v>
      </c>
      <c r="D7">
        <v>0.0507705698013306</v>
      </c>
      <c r="E7">
        <v>0.17543271780014</v>
      </c>
      <c r="F7">
        <v>0.0710247070789337</v>
      </c>
      <c r="G7">
        <v>0.36994144153595</v>
      </c>
      <c r="H7">
        <v>0.519834171295166</v>
      </c>
      <c r="I7">
        <v>0.0116091388463974</v>
      </c>
      <c r="J7">
        <f>IF(SUMIFS('TERadj'!W2:W100,'TERadj'!W2:W100,"&gt;0")/1000,SUMIFS('TERadj'!W2:W100,'TERadj'!W2:W100,"&gt;0")/1000,"")</f>
        <v>0</v>
      </c>
      <c r="L7" t="s">
        <v>841</v>
      </c>
      <c r="M7">
        <v>6</v>
      </c>
      <c r="N7">
        <v>5</v>
      </c>
      <c r="O7">
        <v>7</v>
      </c>
      <c r="P7">
        <v>5</v>
      </c>
      <c r="Q7">
        <v>9</v>
      </c>
      <c r="R7">
        <v>8</v>
      </c>
      <c r="S7">
        <v>2</v>
      </c>
      <c r="T7" cm="1">
        <f t="array" ref="T7">IF(COUNT(_xlfn._xlws.FILTER('TERadj'!W2:W100, ('TERadj'!W2:W100&gt;0))),COUNT(_xlfn._xlws.FILTER('TERadj'!W2:W100, ('TERadj'!W2:W100&gt;0))),"")</f>
        <v>0</v>
      </c>
    </row>
    <row r="8" spans="1:20">
      <c r="B8" t="s">
        <v>898</v>
      </c>
      <c r="C8">
        <v>0.574228455543518</v>
      </c>
      <c r="D8">
        <v>0.437051705626771</v>
      </c>
      <c r="E8">
        <v>0.075</v>
      </c>
      <c r="G8">
        <v>0.0220419883728027</v>
      </c>
      <c r="H8">
        <v>0.126185916900635</v>
      </c>
      <c r="I8">
        <v>0.0449421901702881</v>
      </c>
      <c r="J8">
        <f>IF(SUMIFS('TERadj'!X2:X100,'TERadj'!X2:X100,"&gt;0")/1000,SUMIFS('TERadj'!X2:X100,'TERadj'!X2:X100,"&gt;0")/1000,"")</f>
        <v>0</v>
      </c>
      <c r="L8" t="s">
        <v>898</v>
      </c>
      <c r="M8">
        <v>5</v>
      </c>
      <c r="N8">
        <v>6</v>
      </c>
      <c r="O8">
        <v>1</v>
      </c>
      <c r="Q8">
        <v>1</v>
      </c>
      <c r="R8">
        <v>2</v>
      </c>
      <c r="S8">
        <v>2</v>
      </c>
      <c r="T8" cm="1">
        <f t="array" ref="T8">IF(COUNT(_xlfn._xlws.FILTER('TERadj'!X2:X100, ('TERadj'!X2:X100&gt;0))),COUNT(_xlfn._xlws.FILTER('TERadj'!X2:X100, ('TERadj'!X2:X100&gt;0))),"")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1019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3.08749376487732</v>
      </c>
      <c r="D4">
        <v>5.5753303604126</v>
      </c>
      <c r="E4">
        <v>12.4390805969238</v>
      </c>
      <c r="F4">
        <v>6.03098263931274</v>
      </c>
      <c r="G4">
        <v>9.24521334934235</v>
      </c>
      <c r="H4">
        <v>11.7856561946869</v>
      </c>
      <c r="I4">
        <v>3.57696585273743</v>
      </c>
      <c r="J4">
        <f>IF(SUMIFS('TERadj'!Y2:Y100,'TERadj'!Y2:Y100,"&gt;0")/1000,SUMIFS('TERadj'!Y2:Y100,'TERadj'!Y2:Y100,"&gt;0")/1000,"")</f>
        <v>0</v>
      </c>
      <c r="L4" t="s">
        <v>839</v>
      </c>
      <c r="M4">
        <v>22</v>
      </c>
      <c r="N4">
        <v>20</v>
      </c>
      <c r="O4">
        <v>20</v>
      </c>
      <c r="P4">
        <v>16</v>
      </c>
      <c r="Q4">
        <v>19</v>
      </c>
      <c r="R4">
        <v>15</v>
      </c>
      <c r="S4">
        <v>14</v>
      </c>
      <c r="T4" cm="1">
        <f t="array" ref="T4">IF(COUNT(_xlfn._xlws.FILTER('TERadj'!Y2:Y100, ('TERadj'!Y2:Y100&gt;0))),COUNT(_xlfn._xlws.FILTER('TERadj'!Y2:Y100, ('TERadj'!Y2:Y100&gt;0))),"")</f>
        <v>0</v>
      </c>
    </row>
    <row r="5" spans="1:20">
      <c r="B5" t="s">
        <v>840</v>
      </c>
      <c r="C5">
        <v>13.0989666194916</v>
      </c>
      <c r="D5">
        <v>15.6439416540861</v>
      </c>
      <c r="E5">
        <v>21.5991121444702</v>
      </c>
      <c r="F5">
        <v>11.1730894241333</v>
      </c>
      <c r="G5">
        <v>14.9934342460632</v>
      </c>
      <c r="H5">
        <v>8.288405246734619</v>
      </c>
      <c r="I5">
        <v>6.14791601109505</v>
      </c>
      <c r="J5">
        <f>IF(SUMIFS('TERadj'!Z2:Z100,'TERadj'!Z2:Z100,"&gt;0")/1000,SUMIFS('TERadj'!Z2:Z100,'TERadj'!Z2:Z100,"&gt;0")/1000,"")</f>
        <v>0</v>
      </c>
      <c r="L5" t="s">
        <v>840</v>
      </c>
      <c r="M5">
        <v>35</v>
      </c>
      <c r="N5">
        <v>29</v>
      </c>
      <c r="O5">
        <v>31</v>
      </c>
      <c r="P5">
        <v>15</v>
      </c>
      <c r="Q5">
        <v>23</v>
      </c>
      <c r="R5">
        <v>18</v>
      </c>
      <c r="S5">
        <v>18</v>
      </c>
      <c r="T5" cm="1">
        <f t="array" ref="T5">IF(COUNT(_xlfn._xlws.FILTER('TERadj'!Z2:Z100, ('TERadj'!Z2:Z100&gt;0))),COUNT(_xlfn._xlws.FILTER('TERadj'!Z2:Z100, ('TERadj'!Z2:Z100&gt;0))),"")</f>
        <v>0</v>
      </c>
    </row>
    <row r="6" spans="1:20">
      <c r="B6" t="s">
        <v>838</v>
      </c>
      <c r="C6">
        <v>5.44710953712463</v>
      </c>
      <c r="D6">
        <v>9.316160980224611</v>
      </c>
      <c r="E6">
        <v>8.904413876533511</v>
      </c>
      <c r="F6">
        <v>3.97564944076538</v>
      </c>
      <c r="G6">
        <v>5.42027347946167</v>
      </c>
      <c r="H6">
        <v>9.36512656784058</v>
      </c>
      <c r="I6">
        <v>2.31429534339905</v>
      </c>
      <c r="J6">
        <f>IF(SUMIFS('TERadj'!AA2:AA100,'TERadj'!AA2:AA100,"&gt;0")/1000,SUMIFS('TERadj'!AA2:AA100,'TERadj'!AA2:AA100,"&gt;0")/1000,"")</f>
        <v>0</v>
      </c>
      <c r="L6" t="s">
        <v>838</v>
      </c>
      <c r="M6">
        <v>16</v>
      </c>
      <c r="N6">
        <v>24</v>
      </c>
      <c r="O6">
        <v>19</v>
      </c>
      <c r="P6">
        <v>18</v>
      </c>
      <c r="Q6">
        <v>12</v>
      </c>
      <c r="R6">
        <v>21</v>
      </c>
      <c r="S6">
        <v>9</v>
      </c>
      <c r="T6" cm="1">
        <f t="array" ref="T6">IF(COUNT(_xlfn._xlws.FILTER('TERadj'!AA2:AA100, ('TERadj'!AA2:AA100&gt;0))),COUNT(_xlfn._xlws.FILTER('TERadj'!AA2:AA100, ('TERadj'!AA2:AA100&gt;0))),"")</f>
        <v>0</v>
      </c>
    </row>
    <row r="7" spans="1:20">
      <c r="B7" t="s">
        <v>841</v>
      </c>
      <c r="C7">
        <v>0.166963928222656</v>
      </c>
      <c r="D7">
        <v>0.0795599365234375</v>
      </c>
      <c r="G7">
        <v>0.003</v>
      </c>
      <c r="H7">
        <v>0.0928167495727539</v>
      </c>
      <c r="J7">
        <f>IF(SUMIFS('TERadj'!AB2:AB100,'TERadj'!AB2:AB100,"&gt;0")/1000,SUMIFS('TERadj'!AB2:AB100,'TERadj'!AB2:AB100,"&gt;0")/1000,"")</f>
        <v>0</v>
      </c>
      <c r="L7" t="s">
        <v>841</v>
      </c>
      <c r="M7">
        <v>1</v>
      </c>
      <c r="N7">
        <v>1</v>
      </c>
      <c r="Q7">
        <v>1</v>
      </c>
      <c r="R7">
        <v>1</v>
      </c>
      <c r="T7" cm="1">
        <f t="array" ref="T7">IF(COUNT(_xlfn._xlws.FILTER('TERadj'!AB2:AB100, ('TERadj'!AB2:AB100&gt;0))),COUNT(_xlfn._xlws.FILTER('TERadj'!AB2:AB100, ('TERadj'!AB2:AB100&gt;0))),"")</f>
        <v>0</v>
      </c>
    </row>
    <row r="8" spans="1:20">
      <c r="B8" t="s">
        <v>898</v>
      </c>
      <c r="C8">
        <v>0.127802536010742</v>
      </c>
      <c r="J8">
        <f>IF(SUMIFS('TERadj'!AC2:AC100,'TERadj'!AC2:AC100,"&gt;0")/1000,SUMIFS('TERadj'!AC2:AC100,'TERadj'!AC2:AC100,"&gt;0")/1000,"")</f>
        <v>0</v>
      </c>
      <c r="L8" t="s">
        <v>898</v>
      </c>
      <c r="M8">
        <v>1</v>
      </c>
      <c r="T8" cm="1">
        <f t="array" ref="T8">IF(COUNT(_xlfn._xlws.FILTER('TERadj'!AC2:AC100, ('TERadj'!AC2:AC100&gt;0))),COUNT(_xlfn._xlws.FILTER('TERadj'!AC2:AC100, ('TERadj'!AC2:AC100&gt;0))),"")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1020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0.390797944366932</v>
      </c>
      <c r="D4">
        <v>3.35854521179199</v>
      </c>
      <c r="E4">
        <v>3.37946720600128</v>
      </c>
      <c r="F4">
        <v>1.22058880615234</v>
      </c>
      <c r="G4">
        <v>5.22236288070679</v>
      </c>
      <c r="H4">
        <v>3.75465030002594</v>
      </c>
      <c r="I4">
        <v>1.74738666152954</v>
      </c>
      <c r="J4">
        <f>IF(SUMIFS('TERadj'!AD2:AD100,'TERadj'!AD2:AD100,"&gt;0")/1000,SUMIFS('TERadj'!AD2:AD100,'TERadj'!AD2:AD100,"&gt;0")/1000,"")</f>
        <v>0</v>
      </c>
      <c r="L4" t="s">
        <v>839</v>
      </c>
      <c r="M4">
        <v>4</v>
      </c>
      <c r="N4">
        <v>5</v>
      </c>
      <c r="O4">
        <v>5</v>
      </c>
      <c r="P4">
        <v>4</v>
      </c>
      <c r="Q4">
        <v>6</v>
      </c>
      <c r="R4">
        <v>4</v>
      </c>
      <c r="S4">
        <v>5</v>
      </c>
      <c r="T4" cm="1">
        <f t="array" ref="T4">IF(COUNT(_xlfn._xlws.FILTER('TERadj'!AD2:AD100, ('TERadj'!AD2:AD100&gt;0))),COUNT(_xlfn._xlws.FILTER('TERadj'!AD2:AD100, ('TERadj'!AD2:AD100&gt;0))),"")</f>
        <v>0</v>
      </c>
    </row>
    <row r="5" spans="1:20">
      <c r="B5" t="s">
        <v>840</v>
      </c>
      <c r="C5">
        <v>3.88915998840332</v>
      </c>
      <c r="D5">
        <v>3.78663568687439</v>
      </c>
      <c r="E5">
        <v>2.35483448791504</v>
      </c>
      <c r="F5">
        <v>0.914915969848633</v>
      </c>
      <c r="G5">
        <v>3.65673782348633</v>
      </c>
      <c r="H5">
        <v>2.54899230957031</v>
      </c>
      <c r="I5">
        <v>1.06938125610352</v>
      </c>
      <c r="J5">
        <f>IF(SUMIFS('TERadj'!AE2:AE100,'TERadj'!AE2:AE100,"&gt;0")/1000,SUMIFS('TERadj'!AE2:AE100,'TERadj'!AE2:AE100,"&gt;0")/1000,"")</f>
        <v>0</v>
      </c>
      <c r="L5" t="s">
        <v>840</v>
      </c>
      <c r="M5">
        <v>11</v>
      </c>
      <c r="N5">
        <v>9</v>
      </c>
      <c r="O5">
        <v>10</v>
      </c>
      <c r="P5">
        <v>5</v>
      </c>
      <c r="Q5">
        <v>7</v>
      </c>
      <c r="R5">
        <v>4</v>
      </c>
      <c r="S5">
        <v>2</v>
      </c>
      <c r="T5" cm="1">
        <f t="array" ref="T5">IF(COUNT(_xlfn._xlws.FILTER('TERadj'!AE2:AE100, ('TERadj'!AE2:AE100&gt;0))),COUNT(_xlfn._xlws.FILTER('TERadj'!AE2:AE100, ('TERadj'!AE2:AE100&gt;0))),"")</f>
        <v>0</v>
      </c>
    </row>
    <row r="6" spans="1:20">
      <c r="B6" t="s">
        <v>838</v>
      </c>
      <c r="C6">
        <v>0.484612800598145</v>
      </c>
      <c r="D6">
        <v>0.0874285049438477</v>
      </c>
      <c r="E6">
        <v>0.187523284912109</v>
      </c>
      <c r="F6">
        <v>0.0815412826538086</v>
      </c>
      <c r="G6">
        <v>1.41329340744019</v>
      </c>
      <c r="H6">
        <v>0.293499084472656</v>
      </c>
      <c r="I6">
        <v>0.09974266815185549</v>
      </c>
      <c r="J6">
        <f>IF(SUMIFS('TERadj'!AF2:AF100,'TERadj'!AF2:AF100,"&gt;0")/1000,SUMIFS('TERadj'!AF2:AF100,'TERadj'!AF2:AF100,"&gt;0")/1000,"")</f>
        <v>0</v>
      </c>
      <c r="L6" t="s">
        <v>838</v>
      </c>
      <c r="M6">
        <v>3</v>
      </c>
      <c r="N6">
        <v>1</v>
      </c>
      <c r="O6">
        <v>2</v>
      </c>
      <c r="P6">
        <v>1</v>
      </c>
      <c r="Q6">
        <v>4</v>
      </c>
      <c r="R6">
        <v>1</v>
      </c>
      <c r="S6">
        <v>1</v>
      </c>
      <c r="T6" cm="1">
        <f t="array" ref="T6">IF(COUNT(_xlfn._xlws.FILTER('TERadj'!AF2:AF100, ('TERadj'!AF2:AF100&gt;0))),COUNT(_xlfn._xlws.FILTER('TERadj'!AF2:AF100, ('TERadj'!AF2:AF100&gt;0))),"")</f>
        <v>0</v>
      </c>
    </row>
    <row r="7" spans="1:20">
      <c r="B7" t="s">
        <v>841</v>
      </c>
      <c r="J7">
        <f>IF(SUMIFS('TERadj'!AG2:AG100,'TERadj'!AG2:AG100,"&gt;0")/1000,SUMIFS('TERadj'!AG2:AG100,'TERadj'!AG2:AG100,"&gt;0")/1000,"")</f>
        <v>0</v>
      </c>
      <c r="L7" t="s">
        <v>841</v>
      </c>
      <c r="T7" cm="1">
        <f t="array" ref="T7">IF(COUNT(_xlfn._xlws.FILTER('TERadj'!AG2:AG100, ('TERadj'!AG2:AG100&gt;0))),COUNT(_xlfn._xlws.FILTER('TERadj'!AG2:AG100, ('TERadj'!AG2:AG100&gt;0))),"")</f>
        <v>0</v>
      </c>
    </row>
    <row r="8" spans="1:20">
      <c r="B8" t="s">
        <v>898</v>
      </c>
      <c r="G8">
        <v>0.176335906982422</v>
      </c>
      <c r="J8">
        <f>IF(SUMIFS('TERadj'!AH2:AH100,'TERadj'!AH2:AH100,"&gt;0")/1000,SUMIFS('TERadj'!AH2:AH100,'TERadj'!AH2:AH100,"&gt;0")/1000,"")</f>
        <v>0</v>
      </c>
      <c r="L8" t="s">
        <v>898</v>
      </c>
      <c r="Q8">
        <v>1</v>
      </c>
      <c r="T8" cm="1">
        <f t="array" ref="T8">IF(COUNT(_xlfn._xlws.FILTER('TERadj'!AH2:AH100, ('TERadj'!AH2:AH100&gt;0))),COUNT(_xlfn._xlws.FILTER('TERadj'!AH2:AH100, ('TERadj'!AH2:AH100&gt;0))),"")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1021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2.83630970573425</v>
      </c>
      <c r="D4">
        <v>5.05443354320526</v>
      </c>
      <c r="E4">
        <v>4.25910879898071</v>
      </c>
      <c r="F4">
        <v>3.50835071277618</v>
      </c>
      <c r="G4">
        <v>3.07505176258087</v>
      </c>
      <c r="H4">
        <v>5.84826058197021</v>
      </c>
      <c r="I4">
        <v>5.12184212493896</v>
      </c>
      <c r="J4">
        <f>IF(SUMIFS('TERadj'!AI2:AI100,'TERadj'!AI2:AI100,"&gt;0")/1000,SUMIFS('TERadj'!AI2:AI100,'TERadj'!AI2:AI100,"&gt;0")/1000,"")</f>
        <v>0</v>
      </c>
      <c r="L4" t="s">
        <v>839</v>
      </c>
      <c r="M4">
        <v>14</v>
      </c>
      <c r="N4">
        <v>17</v>
      </c>
      <c r="O4">
        <v>16</v>
      </c>
      <c r="P4">
        <v>10</v>
      </c>
      <c r="Q4">
        <v>11</v>
      </c>
      <c r="R4">
        <v>12</v>
      </c>
      <c r="S4">
        <v>12</v>
      </c>
      <c r="T4" cm="1">
        <f t="array" ref="T4">IF(COUNT(_xlfn._xlws.FILTER('TERadj'!AI2:AI100, ('TERadj'!AI2:AI100&gt;0))),COUNT(_xlfn._xlws.FILTER('TERadj'!AI2:AI100, ('TERadj'!AI2:AI100&gt;0))),"")</f>
        <v>0</v>
      </c>
    </row>
    <row r="5" spans="1:20">
      <c r="B5" t="s">
        <v>840</v>
      </c>
      <c r="C5">
        <v>4.68169990539551</v>
      </c>
      <c r="D5">
        <v>5.90077854061127</v>
      </c>
      <c r="E5">
        <v>8.241212102413179</v>
      </c>
      <c r="F5">
        <v>2.37374279117584</v>
      </c>
      <c r="G5">
        <v>5.02429418563843</v>
      </c>
      <c r="H5">
        <v>4.14799475097656</v>
      </c>
      <c r="I5">
        <v>2.43985993289948</v>
      </c>
      <c r="J5">
        <f>IF(SUMIFS('TERadj'!AJ2:AJ100,'TERadj'!AJ2:AJ100,"&gt;0")/1000,SUMIFS('TERadj'!AJ2:AJ100,'TERadj'!AJ2:AJ100,"&gt;0")/1000,"")</f>
        <v>0</v>
      </c>
      <c r="L5" t="s">
        <v>840</v>
      </c>
      <c r="M5">
        <v>22</v>
      </c>
      <c r="N5">
        <v>24</v>
      </c>
      <c r="O5">
        <v>25</v>
      </c>
      <c r="P5">
        <v>18</v>
      </c>
      <c r="Q5">
        <v>14</v>
      </c>
      <c r="R5">
        <v>14</v>
      </c>
      <c r="S5">
        <v>12</v>
      </c>
      <c r="T5" cm="1">
        <f t="array" ref="T5">IF(COUNT(_xlfn._xlws.FILTER('TERadj'!AJ2:AJ100, ('TERadj'!AJ2:AJ100&gt;0))),COUNT(_xlfn._xlws.FILTER('TERadj'!AJ2:AJ100, ('TERadj'!AJ2:AJ100&gt;0))),"")</f>
        <v>0</v>
      </c>
    </row>
    <row r="6" spans="1:20">
      <c r="B6" t="s">
        <v>838</v>
      </c>
      <c r="C6">
        <v>2.70562887954712</v>
      </c>
      <c r="D6">
        <v>3.47494900655746</v>
      </c>
      <c r="E6">
        <v>3.6023542495966</v>
      </c>
      <c r="F6">
        <v>0.934183990478516</v>
      </c>
      <c r="G6">
        <v>3.40123443603516</v>
      </c>
      <c r="H6">
        <v>2.78501681613922</v>
      </c>
      <c r="I6">
        <v>1.58419924163818</v>
      </c>
      <c r="J6">
        <f>IF(SUMIFS('TERadj'!AK2:AK100,'TERadj'!AK2:AK100,"&gt;0")/1000,SUMIFS('TERadj'!AK2:AK100,'TERadj'!AK2:AK100,"&gt;0")/1000,"")</f>
        <v>0</v>
      </c>
      <c r="L6" t="s">
        <v>838</v>
      </c>
      <c r="M6">
        <v>12</v>
      </c>
      <c r="N6">
        <v>14</v>
      </c>
      <c r="O6">
        <v>13</v>
      </c>
      <c r="P6">
        <v>11</v>
      </c>
      <c r="Q6">
        <v>10</v>
      </c>
      <c r="R6">
        <v>11</v>
      </c>
      <c r="S6">
        <v>8</v>
      </c>
      <c r="T6" cm="1">
        <f t="array" ref="T6">IF(COUNT(_xlfn._xlws.FILTER('TERadj'!AK2:AK100, ('TERadj'!AK2:AK100&gt;0))),COUNT(_xlfn._xlws.FILTER('TERadj'!AK2:AK100, ('TERadj'!AK2:AK100&gt;0))),"")</f>
        <v>0</v>
      </c>
    </row>
    <row r="7" spans="1:20">
      <c r="B7" t="s">
        <v>841</v>
      </c>
      <c r="C7">
        <v>0.0198269653320313</v>
      </c>
      <c r="D7">
        <v>0.101565689086914</v>
      </c>
      <c r="F7">
        <v>0.000300000011920929</v>
      </c>
      <c r="G7">
        <v>0.184500255584717</v>
      </c>
      <c r="H7">
        <v>0.07131840896606451</v>
      </c>
      <c r="I7">
        <v>0.009967018127441409</v>
      </c>
      <c r="J7">
        <f>IF(SUMIFS('TERadj'!AL2:AL100,'TERadj'!AL2:AL100,"&gt;0")/1000,SUMIFS('TERadj'!AL2:AL100,'TERadj'!AL2:AL100,"&gt;0")/1000,"")</f>
        <v>0</v>
      </c>
      <c r="L7" t="s">
        <v>841</v>
      </c>
      <c r="M7">
        <v>1</v>
      </c>
      <c r="N7">
        <v>1</v>
      </c>
      <c r="P7">
        <v>1</v>
      </c>
      <c r="Q7">
        <v>2</v>
      </c>
      <c r="R7">
        <v>2</v>
      </c>
      <c r="S7">
        <v>1</v>
      </c>
      <c r="T7" cm="1">
        <f t="array" ref="T7">IF(COUNT(_xlfn._xlws.FILTER('TERadj'!AL2:AL100, ('TERadj'!AL2:AL100&gt;0))),COUNT(_xlfn._xlws.FILTER('TERadj'!AL2:AL100, ('TERadj'!AL2:AL100&gt;0))),"")</f>
        <v>0</v>
      </c>
    </row>
    <row r="8" spans="1:20">
      <c r="B8" t="s">
        <v>898</v>
      </c>
      <c r="D8">
        <v>0.243715692520142</v>
      </c>
      <c r="E8">
        <v>0.0660796279907227</v>
      </c>
      <c r="F8">
        <v>0.0815412826538086</v>
      </c>
      <c r="G8">
        <v>0.0409981002807617</v>
      </c>
      <c r="J8">
        <f>IF(SUMIFS('TERadj'!AM2:AM100,'TERadj'!AM2:AM100,"&gt;0")/1000,SUMIFS('TERadj'!AM2:AM100,'TERadj'!AM2:AM100,"&gt;0")/1000,"")</f>
        <v>0</v>
      </c>
      <c r="L8" t="s">
        <v>898</v>
      </c>
      <c r="N8">
        <v>2</v>
      </c>
      <c r="O8">
        <v>1</v>
      </c>
      <c r="P8">
        <v>1</v>
      </c>
      <c r="Q8">
        <v>1</v>
      </c>
      <c r="T8" cm="1">
        <f t="array" ref="T8">IF(COUNT(_xlfn._xlws.FILTER('TERadj'!AM2:AM100, ('TERadj'!AM2:AM100&gt;0))),COUNT(_xlfn._xlws.FILTER('TERadj'!AM2:AM100, ('TERadj'!AM2:AM100&gt;0))),"")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1022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0.715661208927631</v>
      </c>
      <c r="D4">
        <v>1.2406390953064</v>
      </c>
      <c r="E4">
        <v>0.358419083595276</v>
      </c>
      <c r="G4">
        <v>0.12519849395752</v>
      </c>
      <c r="H4">
        <v>0.0682338638305664</v>
      </c>
      <c r="I4">
        <v>0.0467996797561646</v>
      </c>
      <c r="J4">
        <f>IF(SUMIFS('TERadj'!AN2:AN100,'TERadj'!AN2:AN100,"&gt;0")/1000,SUMIFS('TERadj'!AN2:AN100,'TERadj'!AN2:AN100,"&gt;0")/1000,"")</f>
        <v>0</v>
      </c>
      <c r="L4" t="s">
        <v>839</v>
      </c>
      <c r="M4">
        <v>4</v>
      </c>
      <c r="N4">
        <v>4</v>
      </c>
      <c r="O4">
        <v>4</v>
      </c>
      <c r="Q4">
        <v>2</v>
      </c>
      <c r="R4">
        <v>1</v>
      </c>
      <c r="S4">
        <v>2</v>
      </c>
      <c r="T4" cm="1">
        <f t="array" ref="T4">IF(COUNT(_xlfn._xlws.FILTER('TERadj'!AN2:AN100, ('TERadj'!AN2:AN100&gt;0))),COUNT(_xlfn._xlws.FILTER('TERadj'!AN2:AN100, ('TERadj'!AN2:AN100&gt;0))),"")</f>
        <v>0</v>
      </c>
    </row>
    <row r="5" spans="1:20">
      <c r="B5" t="s">
        <v>840</v>
      </c>
      <c r="C5">
        <v>2.89070500183105</v>
      </c>
      <c r="D5">
        <v>3.41147392272949</v>
      </c>
      <c r="E5">
        <v>1.94291928863525</v>
      </c>
      <c r="F5">
        <v>3.65702253723145</v>
      </c>
      <c r="G5">
        <v>0.908129959106445</v>
      </c>
      <c r="H5">
        <v>0.368041315078735</v>
      </c>
      <c r="I5">
        <v>0.154416290283203</v>
      </c>
      <c r="J5">
        <f>IF(SUMIFS('TERadj'!AO2:AO100,'TERadj'!AO2:AO100,"&gt;0")/1000,SUMIFS('TERadj'!AO2:AO100,'TERadj'!AO2:AO100,"&gt;0")/1000,"")</f>
        <v>0</v>
      </c>
      <c r="L5" t="s">
        <v>840</v>
      </c>
      <c r="M5">
        <v>9</v>
      </c>
      <c r="N5">
        <v>5</v>
      </c>
      <c r="O5">
        <v>7</v>
      </c>
      <c r="P5">
        <v>4</v>
      </c>
      <c r="Q5">
        <v>2</v>
      </c>
      <c r="R5">
        <v>2</v>
      </c>
      <c r="S5">
        <v>1</v>
      </c>
      <c r="T5" cm="1">
        <f t="array" ref="T5">IF(COUNT(_xlfn._xlws.FILTER('TERadj'!AO2:AO100, ('TERadj'!AO2:AO100&gt;0))),COUNT(_xlfn._xlws.FILTER('TERadj'!AO2:AO100, ('TERadj'!AO2:AO100&gt;0))),"")</f>
        <v>0</v>
      </c>
    </row>
    <row r="6" spans="1:20">
      <c r="B6" t="s">
        <v>838</v>
      </c>
      <c r="C6">
        <v>1.20355111694336</v>
      </c>
      <c r="D6">
        <v>1.09810202026367</v>
      </c>
      <c r="E6">
        <v>0.38960192489624</v>
      </c>
      <c r="G6">
        <v>0.427614593505859</v>
      </c>
      <c r="H6">
        <v>0.130859466552734</v>
      </c>
      <c r="I6">
        <v>1.13311405944824</v>
      </c>
      <c r="J6">
        <f>IF(SUMIFS('TERadj'!AP2:AP100,'TERadj'!AP2:AP100,"&gt;0")/1000,SUMIFS('TERadj'!AP2:AP100,'TERadj'!AP2:AP100,"&gt;0")/1000,"")</f>
        <v>0</v>
      </c>
      <c r="L6" t="s">
        <v>838</v>
      </c>
      <c r="M6">
        <v>3</v>
      </c>
      <c r="N6">
        <v>3</v>
      </c>
      <c r="O6">
        <v>3</v>
      </c>
      <c r="Q6">
        <v>2</v>
      </c>
      <c r="R6">
        <v>1</v>
      </c>
      <c r="S6">
        <v>3</v>
      </c>
      <c r="T6" cm="1">
        <f t="array" ref="T6">IF(COUNT(_xlfn._xlws.FILTER('TERadj'!AP2:AP100, ('TERadj'!AP2:AP100&gt;0))),COUNT(_xlfn._xlws.FILTER('TERadj'!AP2:AP100, ('TERadj'!AP2:AP100&gt;0))),"")</f>
        <v>0</v>
      </c>
    </row>
    <row r="7" spans="1:20">
      <c r="B7" t="s">
        <v>841</v>
      </c>
      <c r="G7">
        <v>0.00617175674438477</v>
      </c>
      <c r="J7">
        <f>IF(SUMIFS('TERadj'!AQ2:AQ100,'TERadj'!AQ2:AQ100,"&gt;0")/1000,SUMIFS('TERadj'!AQ2:AQ100,'TERadj'!AQ2:AQ100,"&gt;0")/1000,"")</f>
        <v>0</v>
      </c>
      <c r="L7" t="s">
        <v>841</v>
      </c>
      <c r="Q7">
        <v>1</v>
      </c>
      <c r="T7" cm="1">
        <f t="array" ref="T7">IF(COUNT(_xlfn._xlws.FILTER('TERadj'!AQ2:AQ100, ('TERadj'!AQ2:AQ100&gt;0))),COUNT(_xlfn._xlws.FILTER('TERadj'!AQ2:AQ100, ('TERadj'!AQ2:AQ100&gt;0))),"")</f>
        <v>0</v>
      </c>
    </row>
    <row r="8" spans="1:20">
      <c r="B8" t="s">
        <v>898</v>
      </c>
      <c r="J8">
        <f>IF(SUMIFS('TERadj'!AR2:AR100,'TERadj'!AR2:AR100,"&gt;0")/1000,SUMIFS('TERadj'!AR2:AR100,'TERadj'!AR2:AR100,"&gt;0")/1000,"")</f>
        <v>0</v>
      </c>
      <c r="L8" t="s">
        <v>898</v>
      </c>
      <c r="T8" cm="1">
        <f t="array" ref="T8">IF(COUNT(_xlfn._xlws.FILTER('TERadj'!AR2:AR100, ('TERadj'!AR2:AR100&gt;0))),COUNT(_xlfn._xlws.FILTER('TERadj'!AR2:AR100, ('TERadj'!AR2:AR100&gt;0))),"")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1023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2.03888599777222</v>
      </c>
      <c r="D4">
        <v>2.35208239650726</v>
      </c>
      <c r="E4">
        <v>2.41266650390625</v>
      </c>
      <c r="F4">
        <v>2.84459760046005</v>
      </c>
      <c r="G4">
        <v>3.29385554504395</v>
      </c>
      <c r="H4">
        <v>4.12847921276092</v>
      </c>
      <c r="I4">
        <v>4.3159772529602</v>
      </c>
      <c r="J4">
        <f>IF(SUMIFS('TERadj'!AS2:AS100,'TERadj'!AS2:AS100,"&gt;0")/1000,SUMIFS('TERadj'!AS2:AS100,'TERadj'!AS2:AS100,"&gt;0")/1000,"")</f>
        <v>0</v>
      </c>
      <c r="L4" t="s">
        <v>839</v>
      </c>
      <c r="M4">
        <v>12</v>
      </c>
      <c r="N4">
        <v>7</v>
      </c>
      <c r="O4">
        <v>7</v>
      </c>
      <c r="P4">
        <v>14</v>
      </c>
      <c r="Q4">
        <v>13</v>
      </c>
      <c r="R4">
        <v>9</v>
      </c>
      <c r="S4">
        <v>9</v>
      </c>
      <c r="T4" cm="1">
        <f t="array" ref="T4">IF(COUNT(_xlfn._xlws.FILTER('TERadj'!AS2:AS100, ('TERadj'!AS2:AS100&gt;0))),COUNT(_xlfn._xlws.FILTER('TERadj'!AS2:AS100, ('TERadj'!AS2:AS100&gt;0))),"")</f>
        <v>0</v>
      </c>
    </row>
    <row r="5" spans="1:20">
      <c r="B5" t="s">
        <v>840</v>
      </c>
      <c r="C5">
        <v>4.2775640501976</v>
      </c>
      <c r="D5">
        <v>3.69000649261475</v>
      </c>
      <c r="E5">
        <v>4.21783428955078</v>
      </c>
      <c r="F5">
        <v>7.4693289604187</v>
      </c>
      <c r="G5">
        <v>12.3801755447388</v>
      </c>
      <c r="H5">
        <v>1.9299672088623</v>
      </c>
      <c r="I5">
        <v>8.14830375766754</v>
      </c>
      <c r="J5">
        <f>IF(SUMIFS('TERadj'!AT2:AT100,'TERadj'!AT2:AT100,"&gt;0")/1000,SUMIFS('TERadj'!AT2:AT100,'TERadj'!AT2:AT100,"&gt;0")/1000,"")</f>
        <v>0</v>
      </c>
      <c r="L5" t="s">
        <v>840</v>
      </c>
      <c r="M5">
        <v>15</v>
      </c>
      <c r="N5">
        <v>9</v>
      </c>
      <c r="O5">
        <v>7</v>
      </c>
      <c r="P5">
        <v>17</v>
      </c>
      <c r="Q5">
        <v>16</v>
      </c>
      <c r="R5">
        <v>8</v>
      </c>
      <c r="S5">
        <v>7</v>
      </c>
      <c r="T5" cm="1">
        <f t="array" ref="T5">IF(COUNT(_xlfn._xlws.FILTER('TERadj'!AT2:AT100, ('TERadj'!AT2:AT100&gt;0))),COUNT(_xlfn._xlws.FILTER('TERadj'!AT2:AT100, ('TERadj'!AT2:AT100&gt;0))),"")</f>
        <v>0</v>
      </c>
    </row>
    <row r="6" spans="1:20">
      <c r="B6" t="s">
        <v>838</v>
      </c>
      <c r="C6">
        <v>3.18083856868744</v>
      </c>
      <c r="D6">
        <v>15.9494528121948</v>
      </c>
      <c r="E6">
        <v>14.0444725227356</v>
      </c>
      <c r="F6">
        <v>2.69301789474487</v>
      </c>
      <c r="G6">
        <v>4.4798207321167</v>
      </c>
      <c r="H6">
        <v>3.76622129821777</v>
      </c>
      <c r="I6">
        <v>3.45664172363281</v>
      </c>
      <c r="J6">
        <f>IF(SUMIFS('TERadj'!AU2:AU100,'TERadj'!AU2:AU100,"&gt;0")/1000,SUMIFS('TERadj'!AU2:AU100,'TERadj'!AU2:AU100,"&gt;0")/1000,"")</f>
        <v>0</v>
      </c>
      <c r="L6" t="s">
        <v>838</v>
      </c>
      <c r="M6">
        <v>12</v>
      </c>
      <c r="N6">
        <v>9</v>
      </c>
      <c r="O6">
        <v>8</v>
      </c>
      <c r="P6">
        <v>10</v>
      </c>
      <c r="Q6">
        <v>9</v>
      </c>
      <c r="R6">
        <v>9</v>
      </c>
      <c r="S6">
        <v>4</v>
      </c>
      <c r="T6" cm="1">
        <f t="array" ref="T6">IF(COUNT(_xlfn._xlws.FILTER('TERadj'!AU2:AU100, ('TERadj'!AU2:AU100&gt;0))),COUNT(_xlfn._xlws.FILTER('TERadj'!AU2:AU100, ('TERadj'!AU2:AU100&gt;0))),"")</f>
        <v>0</v>
      </c>
    </row>
    <row r="7" spans="1:20">
      <c r="B7" t="s">
        <v>841</v>
      </c>
      <c r="E7">
        <v>0.173235794067383</v>
      </c>
      <c r="G7">
        <v>0.00705343627929688</v>
      </c>
      <c r="I7">
        <v>0.00362437033653259</v>
      </c>
      <c r="J7">
        <f>IF(SUMIFS('TERadj'!AV2:AV100,'TERadj'!AV2:AV100,"&gt;0")/1000,SUMIFS('TERadj'!AV2:AV100,'TERadj'!AV2:AV100,"&gt;0")/1000,"")</f>
        <v>0</v>
      </c>
      <c r="L7" t="s">
        <v>841</v>
      </c>
      <c r="O7">
        <v>1</v>
      </c>
      <c r="Q7">
        <v>2</v>
      </c>
      <c r="S7">
        <v>1</v>
      </c>
      <c r="T7" cm="1">
        <f t="array" ref="T7">IF(COUNT(_xlfn._xlws.FILTER('TERadj'!AV2:AV100, ('TERadj'!AV2:AV100&gt;0))),COUNT(_xlfn._xlws.FILTER('TERadj'!AV2:AV100, ('TERadj'!AV2:AV100&gt;0))),"")</f>
        <v>0</v>
      </c>
    </row>
    <row r="8" spans="1:20">
      <c r="B8" t="s">
        <v>898</v>
      </c>
      <c r="G8">
        <v>0.69427857208252</v>
      </c>
      <c r="J8">
        <f>IF(SUMIFS('TERadj'!AW2:AW100,'TERadj'!AW2:AW100,"&gt;0")/1000,SUMIFS('TERadj'!AW2:AW100,'TERadj'!AW2:AW100,"&gt;0")/1000,"")</f>
        <v>0</v>
      </c>
      <c r="L8" t="s">
        <v>898</v>
      </c>
      <c r="Q8">
        <v>2</v>
      </c>
      <c r="T8" cm="1">
        <f t="array" ref="T8">IF(COUNT(_xlfn._xlws.FILTER('TERadj'!AW2:AW100, ('TERadj'!AW2:AW100&gt;0))),COUNT(_xlfn._xlws.FILTER('TERadj'!AW2:AW100, ('TERadj'!AW2:AW100&gt;0))),"")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rgb="FF0033A0"/>
  </sheetPr>
  <dimension ref="A1:F15"/>
  <sheetViews>
    <sheetView workbookViewId="0"/>
  </sheetViews>
  <sheetFormatPr defaultRowHeight="15"/>
  <sheetData>
    <row r="1" spans="1:6" s="3" customFormat="1" ht="40" customHeight="1">
      <c r="A1" s="3" t="s">
        <v>1024</v>
      </c>
    </row>
    <row r="3" spans="1:6">
      <c r="B3" t="s">
        <v>915</v>
      </c>
      <c r="C3" t="s">
        <v>988</v>
      </c>
      <c r="E3" t="s">
        <v>915</v>
      </c>
      <c r="F3" t="s">
        <v>998</v>
      </c>
    </row>
    <row r="4" spans="1:6">
      <c r="B4" t="s">
        <v>839</v>
      </c>
      <c r="E4" t="s">
        <v>839</v>
      </c>
    </row>
    <row r="5" spans="1:6">
      <c r="B5" t="s">
        <v>840</v>
      </c>
      <c r="E5" t="s">
        <v>840</v>
      </c>
    </row>
    <row r="6" spans="1:6">
      <c r="B6" t="s">
        <v>838</v>
      </c>
      <c r="E6" t="s">
        <v>838</v>
      </c>
    </row>
    <row r="7" spans="1:6">
      <c r="B7" t="s">
        <v>841</v>
      </c>
      <c r="E7" t="s">
        <v>841</v>
      </c>
    </row>
    <row r="8" spans="1:6">
      <c r="B8" t="s">
        <v>898</v>
      </c>
      <c r="E8" t="s">
        <v>898</v>
      </c>
    </row>
    <row r="10" spans="1:6">
      <c r="B10" t="s">
        <v>915</v>
      </c>
      <c r="C10" t="s">
        <v>932</v>
      </c>
    </row>
    <row r="11" spans="1:6">
      <c r="B11" t="s">
        <v>839</v>
      </c>
      <c r="C11" s="5">
        <f>IF(SUM(F4:F8) &gt; 0, IF(AND(SUM(C4:C8)&gt;0, ISNUMBER(C4)),C4/SUM(C4:C8), ""), "")</f>
        <v>0</v>
      </c>
    </row>
    <row r="12" spans="1:6">
      <c r="B12" t="s">
        <v>840</v>
      </c>
      <c r="C12" s="5">
        <f>IF(SUM(F4:F8) &gt; 0, IF(AND(SUM(C4:C8)&gt;0, ISNUMBER(C5)),C5/SUM(C4:C8), ""), "")</f>
        <v>0</v>
      </c>
    </row>
    <row r="13" spans="1:6">
      <c r="B13" t="s">
        <v>838</v>
      </c>
      <c r="C13" s="5">
        <f>IF(SUM(F4:F8) &gt; 0, IF(AND(SUM(C4:C8)&gt;0, ISNUMBER(C6)),C6/SUM(C4:C8), ""), "")</f>
        <v>0</v>
      </c>
    </row>
    <row r="14" spans="1:6">
      <c r="B14" t="s">
        <v>841</v>
      </c>
      <c r="C14" s="5">
        <f>IF(SUM(F4:F8) &gt; 0, IF(AND(SUM(C4:C8)&gt;0, ISNUMBER(C7)),C7/SUM(C4:C8), ""), "")</f>
        <v>0</v>
      </c>
    </row>
    <row r="15" spans="1:6">
      <c r="B15" t="s">
        <v>898</v>
      </c>
      <c r="C15" s="5">
        <f>IF(SUM(F4:F8) &gt; 0, IF(AND(SUM(C4:C8)&gt;0, ISNUMBER(C8)),C8/SUM(C4:C8), ""), "")</f>
        <v>0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rgb="FF0033A0"/>
  </sheetPr>
  <dimension ref="A1:T21"/>
  <sheetViews>
    <sheetView workbookViewId="0"/>
  </sheetViews>
  <sheetFormatPr defaultRowHeight="15"/>
  <sheetData>
    <row r="1" spans="1:20" s="3" customFormat="1" ht="40" customHeight="1">
      <c r="A1" s="3" t="s">
        <v>1025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884</v>
      </c>
      <c r="C4">
        <v>4.03847100830078</v>
      </c>
      <c r="D4">
        <v>3.88423163604736</v>
      </c>
      <c r="E4">
        <v>4.1730986328125</v>
      </c>
      <c r="F4">
        <v>0.41015266418457</v>
      </c>
      <c r="G4">
        <v>5.94051220703125</v>
      </c>
      <c r="H4">
        <v>5.3074213180542</v>
      </c>
      <c r="I4">
        <v>2.86328149986267</v>
      </c>
      <c r="J4">
        <f>IF(SUMIFS('TERadj'!HD2:HD100,'TERadj'!HD2:HD100,"&gt;0")/1000,SUMIFS('TERadj'!HD2:HD100,'TERadj'!HD2:HD100,"&gt;0")/1000,"")</f>
        <v>0</v>
      </c>
      <c r="L4" t="s">
        <v>884</v>
      </c>
      <c r="M4">
        <v>9</v>
      </c>
      <c r="N4">
        <v>9</v>
      </c>
      <c r="O4">
        <v>7</v>
      </c>
      <c r="P4">
        <v>2</v>
      </c>
      <c r="Q4">
        <v>8</v>
      </c>
      <c r="R4">
        <v>5</v>
      </c>
      <c r="S4">
        <v>6</v>
      </c>
      <c r="T4" cm="1">
        <f t="array" ref="T4">IF(COUNT(_xlfn._xlws.FILTER('TERadj'!HD2:HD100, ('TERadj'!HD2:HD100&gt;0))),COUNT(_xlfn._xlws.FILTER('TERadj'!HD2:HD100, ('TERadj'!HD2:HD100&gt;0))),"")</f>
        <v>0</v>
      </c>
    </row>
    <row r="5" spans="1:20">
      <c r="B5" t="s">
        <v>892</v>
      </c>
      <c r="C5">
        <v>2.33947081184387</v>
      </c>
      <c r="D5">
        <v>0.937633827209473</v>
      </c>
      <c r="E5">
        <v>3.56423955154419</v>
      </c>
      <c r="F5">
        <v>0.787158714294434</v>
      </c>
      <c r="G5">
        <v>1.36062225723267</v>
      </c>
      <c r="H5">
        <v>1.18890194702148</v>
      </c>
      <c r="I5">
        <v>1.32558416366577</v>
      </c>
      <c r="J5">
        <f>IF(SUMIFS('TERadj'!HE2:HE100,'TERadj'!HE2:HE100,"&gt;0")/1000,SUMIFS('TERadj'!HE2:HE100,'TERadj'!HE2:HE100,"&gt;0")/1000,"")</f>
        <v>0</v>
      </c>
      <c r="L5" t="s">
        <v>892</v>
      </c>
      <c r="M5">
        <v>10</v>
      </c>
      <c r="N5">
        <v>5</v>
      </c>
      <c r="O5">
        <v>6</v>
      </c>
      <c r="P5">
        <v>2</v>
      </c>
      <c r="Q5">
        <v>7</v>
      </c>
      <c r="R5">
        <v>2</v>
      </c>
      <c r="S5">
        <v>4</v>
      </c>
      <c r="T5" cm="1">
        <f t="array" ref="T5">IF(COUNT(_xlfn._xlws.FILTER('TERadj'!HE2:HE100, ('TERadj'!HE2:HE100&gt;0))),COUNT(_xlfn._xlws.FILTER('TERadj'!HE2:HE100, ('TERadj'!HE2:HE100&gt;0))),"")</f>
        <v>0</v>
      </c>
    </row>
    <row r="6" spans="1:20">
      <c r="B6" t="s">
        <v>880</v>
      </c>
      <c r="C6">
        <v>0.753007308959961</v>
      </c>
      <c r="D6">
        <v>0.12239990234375</v>
      </c>
      <c r="E6">
        <v>0.110578079223633</v>
      </c>
      <c r="G6">
        <v>2.79933266067505</v>
      </c>
      <c r="H6">
        <v>0.09347104644775391</v>
      </c>
      <c r="I6">
        <v>0.326084594726562</v>
      </c>
      <c r="J6">
        <f>IF(SUMIFS('TERadj'!HF2:HF100,'TERadj'!HF2:HF100,"&gt;0")/1000,SUMIFS('TERadj'!HF2:HF100,'TERadj'!HF2:HF100,"&gt;0")/1000,"")</f>
        <v>0</v>
      </c>
      <c r="L6" t="s">
        <v>880</v>
      </c>
      <c r="M6">
        <v>3</v>
      </c>
      <c r="N6">
        <v>1</v>
      </c>
      <c r="O6">
        <v>2</v>
      </c>
      <c r="Q6">
        <v>2</v>
      </c>
      <c r="R6">
        <v>1</v>
      </c>
      <c r="S6">
        <v>2</v>
      </c>
      <c r="T6" cm="1">
        <f t="array" ref="T6">IF(COUNT(_xlfn._xlws.FILTER('TERadj'!HF2:HF100, ('TERadj'!HF2:HF100&gt;0))),COUNT(_xlfn._xlws.FILTER('TERadj'!HF2:HF100, ('TERadj'!HF2:HF100&gt;0))),"")</f>
        <v>0</v>
      </c>
    </row>
    <row r="7" spans="1:20">
      <c r="B7" t="s">
        <v>890</v>
      </c>
      <c r="C7">
        <v>0.60728955078125</v>
      </c>
      <c r="D7">
        <v>1.17667804145813</v>
      </c>
      <c r="E7">
        <v>2.01274987792969</v>
      </c>
      <c r="F7">
        <v>1.40740258789062</v>
      </c>
      <c r="G7">
        <v>0.0908129920959473</v>
      </c>
      <c r="I7">
        <v>0.446531463623047</v>
      </c>
      <c r="J7">
        <f>IF(SUMIFS('TERadj'!HG2:HG100,'TERadj'!HG2:HG100,"&gt;0")/1000,SUMIFS('TERadj'!HG2:HG100,'TERadj'!HG2:HG100,"&gt;0")/1000,"")</f>
        <v>0</v>
      </c>
      <c r="L7" t="s">
        <v>890</v>
      </c>
      <c r="M7">
        <v>3</v>
      </c>
      <c r="N7">
        <v>2</v>
      </c>
      <c r="O7">
        <v>1</v>
      </c>
      <c r="P7">
        <v>2</v>
      </c>
      <c r="Q7">
        <v>2</v>
      </c>
      <c r="S7">
        <v>1</v>
      </c>
      <c r="T7" cm="1">
        <f t="array" ref="T7">IF(COUNT(_xlfn._xlws.FILTER('TERadj'!HG2:HG100, ('TERadj'!HG2:HG100&gt;0))),COUNT(_xlfn._xlws.FILTER('TERadj'!HG2:HG100, ('TERadj'!HG2:HG100&gt;0))),"")</f>
        <v>0</v>
      </c>
    </row>
    <row r="8" spans="1:20">
      <c r="B8" t="s">
        <v>1009</v>
      </c>
      <c r="C8">
        <v>0.122664979934692</v>
      </c>
      <c r="D8">
        <v>0.12841134262085</v>
      </c>
      <c r="E8">
        <v>0.242269393920898</v>
      </c>
      <c r="F8">
        <v>0.247885507106781</v>
      </c>
      <c r="G8">
        <v>0.415271057128906</v>
      </c>
      <c r="H8">
        <v>0.159835493087769</v>
      </c>
      <c r="I8">
        <v>0.0748885498046875</v>
      </c>
      <c r="J8">
        <f>IF(SUMIFS('TERadj'!HH2:HH100,'TERadj'!HH2:HH100,"&gt;0")/1000,SUMIFS('TERadj'!HH2:HH100,'TERadj'!HH2:HH100,"&gt;0")/1000,"")</f>
        <v>0</v>
      </c>
      <c r="L8" t="s">
        <v>1009</v>
      </c>
      <c r="M8">
        <v>3</v>
      </c>
      <c r="N8">
        <v>3</v>
      </c>
      <c r="O8">
        <v>2</v>
      </c>
      <c r="P8">
        <v>2</v>
      </c>
      <c r="Q8">
        <v>1</v>
      </c>
      <c r="R8">
        <v>2</v>
      </c>
      <c r="S8">
        <v>1</v>
      </c>
      <c r="T8" cm="1">
        <f t="array" ref="T8">IF(COUNT(_xlfn._xlws.FILTER('TERadj'!HH2:HH100, ('TERadj'!HH2:HH100&gt;0))),COUNT(_xlfn._xlws.FILTER('TERadj'!HH2:HH100, ('TERadj'!HH2:HH100&gt;0))),"")</f>
        <v>0</v>
      </c>
    </row>
    <row r="9" spans="1:20">
      <c r="B9" t="s">
        <v>936</v>
      </c>
      <c r="C9">
        <v>0.068455207824707</v>
      </c>
      <c r="E9">
        <v>0.09755000329017641</v>
      </c>
      <c r="H9">
        <v>0.08021685218811039</v>
      </c>
      <c r="J9">
        <f>IF(SUMIFS('TERadj'!HI2:HI100,'TERadj'!HI2:HI100,"&gt;0")/1000,SUMIFS('TERadj'!HI2:HI100,'TERadj'!HI2:HI100,"&gt;0")/1000,"")</f>
        <v>0</v>
      </c>
      <c r="L9" t="s">
        <v>936</v>
      </c>
      <c r="M9">
        <v>2</v>
      </c>
      <c r="O9">
        <v>2</v>
      </c>
      <c r="R9">
        <v>2</v>
      </c>
      <c r="T9" cm="1">
        <f t="array" ref="T9">IF(COUNT(_xlfn._xlws.FILTER('TERadj'!HI2:HI100, ('TERadj'!HI2:HI100&gt;0))),COUNT(_xlfn._xlws.FILTER('TERadj'!HI2:HI100, ('TERadj'!HI2:HI100&gt;0))),"")</f>
        <v>0</v>
      </c>
    </row>
    <row r="10" spans="1:20">
      <c r="B10" t="s">
        <v>1010</v>
      </c>
      <c r="C10">
        <v>0.554865489959717</v>
      </c>
      <c r="D10">
        <v>0.297519899368286</v>
      </c>
      <c r="E10">
        <v>0.826495882496238</v>
      </c>
      <c r="F10">
        <v>0.366550469398499</v>
      </c>
      <c r="G10">
        <v>0.499030639648438</v>
      </c>
      <c r="H10">
        <v>5.58720302581787</v>
      </c>
      <c r="I10">
        <v>0.009060925483703609</v>
      </c>
      <c r="J10">
        <f>IF(SUMIFS('TERadj'!HJ2:HJ100,'TERadj'!HJ2:HJ100,"&gt;0")/1000,SUMIFS('TERadj'!HJ2:HJ100,'TERadj'!HJ2:HJ100,"&gt;0")/1000,"")</f>
        <v>0</v>
      </c>
      <c r="L10" t="s">
        <v>1010</v>
      </c>
      <c r="M10">
        <v>5</v>
      </c>
      <c r="N10">
        <v>5</v>
      </c>
      <c r="O10">
        <v>7</v>
      </c>
      <c r="P10">
        <v>5</v>
      </c>
      <c r="Q10">
        <v>2</v>
      </c>
      <c r="R10">
        <v>4</v>
      </c>
      <c r="S10">
        <v>1</v>
      </c>
      <c r="T10" cm="1">
        <f t="array" ref="T10">IF(COUNT(_xlfn._xlws.FILTER('TERadj'!HJ2:HJ100, ('TERadj'!HJ2:HJ100&gt;0))),COUNT(_xlfn._xlws.FILTER('TERadj'!HJ2:HJ100, ('TERadj'!HJ2:HJ100&gt;0))),"")</f>
        <v>0</v>
      </c>
    </row>
    <row r="11" spans="1:20">
      <c r="B11" t="s">
        <v>894</v>
      </c>
      <c r="C11">
        <v>0.935965346336365</v>
      </c>
      <c r="D11">
        <v>1.04218283557892</v>
      </c>
      <c r="E11">
        <v>7.97247723388672</v>
      </c>
      <c r="F11">
        <v>0.489973428726196</v>
      </c>
      <c r="G11">
        <v>3.57914831662178</v>
      </c>
      <c r="H11">
        <v>2.70271530914307</v>
      </c>
      <c r="I11">
        <v>0.736498649597168</v>
      </c>
      <c r="J11">
        <f>IF(SUMIFS('TERadj'!HK2:HK100,'TERadj'!HK2:HK100,"&gt;0")/1000,SUMIFS('TERadj'!HK2:HK100,'TERadj'!HK2:HK100,"&gt;0")/1000,"")</f>
        <v>0</v>
      </c>
      <c r="L11" t="s">
        <v>894</v>
      </c>
      <c r="M11">
        <v>9</v>
      </c>
      <c r="N11">
        <v>4</v>
      </c>
      <c r="O11">
        <v>5</v>
      </c>
      <c r="P11">
        <v>5</v>
      </c>
      <c r="Q11">
        <v>6</v>
      </c>
      <c r="R11">
        <v>3</v>
      </c>
      <c r="S11">
        <v>3</v>
      </c>
      <c r="T11" cm="1">
        <f t="array" ref="T11">IF(COUNT(_xlfn._xlws.FILTER('TERadj'!HK2:HK100, ('TERadj'!HK2:HK100&gt;0))),COUNT(_xlfn._xlws.FILTER('TERadj'!HK2:HK100, ('TERadj'!HK2:HK100&gt;0))),"")</f>
        <v>0</v>
      </c>
    </row>
    <row r="13" spans="1:20">
      <c r="B13" t="s">
        <v>915</v>
      </c>
      <c r="C13" t="s">
        <v>945</v>
      </c>
      <c r="D13" t="s">
        <v>946</v>
      </c>
      <c r="E13" t="s">
        <v>947</v>
      </c>
      <c r="F13" t="s">
        <v>948</v>
      </c>
      <c r="G13" t="s">
        <v>949</v>
      </c>
      <c r="H13" t="s">
        <v>950</v>
      </c>
      <c r="I13" t="s">
        <v>931</v>
      </c>
      <c r="J13" t="s">
        <v>932</v>
      </c>
    </row>
    <row r="14" spans="1:20">
      <c r="B14" t="s">
        <v>884</v>
      </c>
      <c r="C14" s="5">
        <f>IF(SUM(M4:M11) &gt; 0, IF(AND(SUM(C4:C11)&gt;0, ISNUMBER(C4)),C4/SUM(C4:C11), ""), "")</f>
        <v>0</v>
      </c>
      <c r="D14" s="5">
        <f>IF(SUM(M4:M11) &gt; 0, IF(AND(SUM(D4:D11)&gt;0, ISNUMBER(D4)),D4/SUM(D4:D11), ""), "")</f>
        <v>0</v>
      </c>
      <c r="E14" s="5">
        <f>IF(SUM(M4:M11) &gt; 0, IF(AND(SUM(E4:E11)&gt;0, ISNUMBER(E4)),E4/SUM(E4:E11), ""), "")</f>
        <v>0</v>
      </c>
      <c r="F14" s="5">
        <f>IF(SUM(M4:M11) &gt; 0, IF(AND(SUM(F4:F11)&gt;0, ISNUMBER(F4)),F4/SUM(F4:F11), ""), "")</f>
        <v>0</v>
      </c>
      <c r="G14" s="5">
        <f>IF(SUM(M4:M11) &gt; 0, IF(AND(SUM(G4:G11)&gt;0, ISNUMBER(G4)),G4/SUM(G4:G11), ""), "")</f>
        <v>0</v>
      </c>
      <c r="H14" s="5">
        <f>IF(SUM(M4:M11) &gt; 0, IF(AND(SUM(H4:H11)&gt;0, ISNUMBER(H4)),H4/SUM(H4:H11), ""), "")</f>
        <v>0</v>
      </c>
      <c r="I14" s="5">
        <f>IF(SUM(M4:M11) &gt; 0, IF(AND(SUM(I4:I11)&gt;0, ISNUMBER(I4)),I4/SUM(I4:I11), ""), "")</f>
        <v>0</v>
      </c>
      <c r="J14" s="5">
        <f>IF(SUM(M4:M11) &gt; 0, IF(AND(SUM(J4:J11)&gt;0, ISNUMBER(J4)),J4/SUM(J4:J11), ""), "")</f>
        <v>0</v>
      </c>
    </row>
    <row r="15" spans="1:20">
      <c r="B15" t="s">
        <v>892</v>
      </c>
      <c r="C15" s="5">
        <f>IF(SUM(M4:M11) &gt; 0, IF(AND(SUM(C4:C11)&gt;0, ISNUMBER(C5)),C5/SUM(C4:C11), ""), "")</f>
        <v>0</v>
      </c>
      <c r="D15" s="5">
        <f>IF(SUM(M4:M11) &gt; 0, IF(AND(SUM(D4:D11)&gt;0, ISNUMBER(D5)),D5/SUM(D4:D11), ""), "")</f>
        <v>0</v>
      </c>
      <c r="E15" s="5">
        <f>IF(SUM(M4:M11) &gt; 0, IF(AND(SUM(E4:E11)&gt;0, ISNUMBER(E5)),E5/SUM(E4:E11), ""), "")</f>
        <v>0</v>
      </c>
      <c r="F15" s="5">
        <f>IF(SUM(M4:M11) &gt; 0, IF(AND(SUM(F4:F11)&gt;0, ISNUMBER(F5)),F5/SUM(F4:F11), ""), "")</f>
        <v>0</v>
      </c>
      <c r="G15" s="5">
        <f>IF(SUM(M4:M11) &gt; 0, IF(AND(SUM(G4:G11)&gt;0, ISNUMBER(G5)),G5/SUM(G4:G11), ""), "")</f>
        <v>0</v>
      </c>
      <c r="H15" s="5">
        <f>IF(SUM(M4:M11) &gt; 0, IF(AND(SUM(H4:H11)&gt;0, ISNUMBER(H5)),H5/SUM(H4:H11), ""), "")</f>
        <v>0</v>
      </c>
      <c r="I15" s="5">
        <f>IF(SUM(M4:M11) &gt; 0, IF(AND(SUM(I4:I11)&gt;0, ISNUMBER(I5)),I5/SUM(I4:I11), ""), "")</f>
        <v>0</v>
      </c>
      <c r="J15" s="5">
        <f>IF(SUM(M4:M11) &gt; 0, IF(AND(SUM(J4:J11)&gt;0, ISNUMBER(J5)),J5/SUM(J4:J11), ""), "")</f>
        <v>0</v>
      </c>
    </row>
    <row r="16" spans="1:20">
      <c r="B16" t="s">
        <v>880</v>
      </c>
      <c r="C16" s="5">
        <f>IF(SUM(M4:M11) &gt; 0, IF(AND(SUM(C4:C11)&gt;0, ISNUMBER(C6)),C6/SUM(C4:C11), ""), "")</f>
        <v>0</v>
      </c>
      <c r="D16" s="5">
        <f>IF(SUM(M4:M11) &gt; 0, IF(AND(SUM(D4:D11)&gt;0, ISNUMBER(D6)),D6/SUM(D4:D11), ""), "")</f>
        <v>0</v>
      </c>
      <c r="E16" s="5">
        <f>IF(SUM(M4:M11) &gt; 0, IF(AND(SUM(E4:E11)&gt;0, ISNUMBER(E6)),E6/SUM(E4:E11), ""), "")</f>
        <v>0</v>
      </c>
      <c r="F16" s="5">
        <f>IF(SUM(M4:M11) &gt; 0, IF(AND(SUM(F4:F11)&gt;0, ISNUMBER(F6)),F6/SUM(F4:F11), ""), "")</f>
        <v>0</v>
      </c>
      <c r="G16" s="5">
        <f>IF(SUM(M4:M11) &gt; 0, IF(AND(SUM(G4:G11)&gt;0, ISNUMBER(G6)),G6/SUM(G4:G11), ""), "")</f>
        <v>0</v>
      </c>
      <c r="H16" s="5">
        <f>IF(SUM(M4:M11) &gt; 0, IF(AND(SUM(H4:H11)&gt;0, ISNUMBER(H6)),H6/SUM(H4:H11), ""), "")</f>
        <v>0</v>
      </c>
      <c r="I16" s="5">
        <f>IF(SUM(M4:M11) &gt; 0, IF(AND(SUM(I4:I11)&gt;0, ISNUMBER(I6)),I6/SUM(I4:I11), ""), "")</f>
        <v>0</v>
      </c>
      <c r="J16" s="5">
        <f>IF(SUM(M4:M11) &gt; 0, IF(AND(SUM(J4:J11)&gt;0, ISNUMBER(J6)),J6/SUM(J4:J11), ""), "")</f>
        <v>0</v>
      </c>
    </row>
    <row r="17" spans="2:10">
      <c r="B17" t="s">
        <v>890</v>
      </c>
      <c r="C17" s="5">
        <f>IF(SUM(M4:M11) &gt; 0, IF(AND(SUM(C4:C11)&gt;0, ISNUMBER(C7)),C7/SUM(C4:C11), ""), "")</f>
        <v>0</v>
      </c>
      <c r="D17" s="5">
        <f>IF(SUM(M4:M11) &gt; 0, IF(AND(SUM(D4:D11)&gt;0, ISNUMBER(D7)),D7/SUM(D4:D11), ""), "")</f>
        <v>0</v>
      </c>
      <c r="E17" s="5">
        <f>IF(SUM(M4:M11) &gt; 0, IF(AND(SUM(E4:E11)&gt;0, ISNUMBER(E7)),E7/SUM(E4:E11), ""), "")</f>
        <v>0</v>
      </c>
      <c r="F17" s="5">
        <f>IF(SUM(M4:M11) &gt; 0, IF(AND(SUM(F4:F11)&gt;0, ISNUMBER(F7)),F7/SUM(F4:F11), ""), "")</f>
        <v>0</v>
      </c>
      <c r="G17" s="5">
        <f>IF(SUM(M4:M11) &gt; 0, IF(AND(SUM(G4:G11)&gt;0, ISNUMBER(G7)),G7/SUM(G4:G11), ""), "")</f>
        <v>0</v>
      </c>
      <c r="H17" s="5">
        <f>IF(SUM(M4:M11) &gt; 0, IF(AND(SUM(H4:H11)&gt;0, ISNUMBER(H7)),H7/SUM(H4:H11), ""), "")</f>
        <v>0</v>
      </c>
      <c r="I17" s="5">
        <f>IF(SUM(M4:M11) &gt; 0, IF(AND(SUM(I4:I11)&gt;0, ISNUMBER(I7)),I7/SUM(I4:I11), ""), "")</f>
        <v>0</v>
      </c>
      <c r="J17" s="5">
        <f>IF(SUM(M4:M11) &gt; 0, IF(AND(SUM(J4:J11)&gt;0, ISNUMBER(J7)),J7/SUM(J4:J11), ""), "")</f>
        <v>0</v>
      </c>
    </row>
    <row r="18" spans="2:10">
      <c r="B18" t="s">
        <v>1009</v>
      </c>
      <c r="C18" s="5">
        <f>IF(SUM(M4:M11) &gt; 0, IF(AND(SUM(C4:C11)&gt;0, ISNUMBER(C8)),C8/SUM(C4:C11), ""), "")</f>
        <v>0</v>
      </c>
      <c r="D18" s="5">
        <f>IF(SUM(M4:M11) &gt; 0, IF(AND(SUM(D4:D11)&gt;0, ISNUMBER(D8)),D8/SUM(D4:D11), ""), "")</f>
        <v>0</v>
      </c>
      <c r="E18" s="5">
        <f>IF(SUM(M4:M11) &gt; 0, IF(AND(SUM(E4:E11)&gt;0, ISNUMBER(E8)),E8/SUM(E4:E11), ""), "")</f>
        <v>0</v>
      </c>
      <c r="F18" s="5">
        <f>IF(SUM(M4:M11) &gt; 0, IF(AND(SUM(F4:F11)&gt;0, ISNUMBER(F8)),F8/SUM(F4:F11), ""), "")</f>
        <v>0</v>
      </c>
      <c r="G18" s="5">
        <f>IF(SUM(M4:M11) &gt; 0, IF(AND(SUM(G4:G11)&gt;0, ISNUMBER(G8)),G8/SUM(G4:G11), ""), "")</f>
        <v>0</v>
      </c>
      <c r="H18" s="5">
        <f>IF(SUM(M4:M11) &gt; 0, IF(AND(SUM(H4:H11)&gt;0, ISNUMBER(H8)),H8/SUM(H4:H11), ""), "")</f>
        <v>0</v>
      </c>
      <c r="I18" s="5">
        <f>IF(SUM(M4:M11) &gt; 0, IF(AND(SUM(I4:I11)&gt;0, ISNUMBER(I8)),I8/SUM(I4:I11), ""), "")</f>
        <v>0</v>
      </c>
      <c r="J18" s="5">
        <f>IF(SUM(M4:M11) &gt; 0, IF(AND(SUM(J4:J11)&gt;0, ISNUMBER(J8)),J8/SUM(J4:J11), ""), "")</f>
        <v>0</v>
      </c>
    </row>
    <row r="19" spans="2:10">
      <c r="B19" t="s">
        <v>936</v>
      </c>
      <c r="C19" s="5">
        <f>IF(SUM(M4:M11) &gt; 0, IF(AND(SUM(C4:C11)&gt;0, ISNUMBER(C9)),C9/SUM(C4:C11), ""), "")</f>
        <v>0</v>
      </c>
      <c r="D19" s="5">
        <f>IF(SUM(M4:M11) &gt; 0, IF(AND(SUM(D4:D11)&gt;0, ISNUMBER(D9)),D9/SUM(D4:D11), ""), "")</f>
        <v>0</v>
      </c>
      <c r="E19" s="5">
        <f>IF(SUM(M4:M11) &gt; 0, IF(AND(SUM(E4:E11)&gt;0, ISNUMBER(E9)),E9/SUM(E4:E11), ""), "")</f>
        <v>0</v>
      </c>
      <c r="F19" s="5">
        <f>IF(SUM(M4:M11) &gt; 0, IF(AND(SUM(F4:F11)&gt;0, ISNUMBER(F9)),F9/SUM(F4:F11), ""), "")</f>
        <v>0</v>
      </c>
      <c r="G19" s="5">
        <f>IF(SUM(M4:M11) &gt; 0, IF(AND(SUM(G4:G11)&gt;0, ISNUMBER(G9)),G9/SUM(G4:G11), ""), "")</f>
        <v>0</v>
      </c>
      <c r="H19" s="5">
        <f>IF(SUM(M4:M11) &gt; 0, IF(AND(SUM(H4:H11)&gt;0, ISNUMBER(H9)),H9/SUM(H4:H11), ""), "")</f>
        <v>0</v>
      </c>
      <c r="I19" s="5">
        <f>IF(SUM(M4:M11) &gt; 0, IF(AND(SUM(I4:I11)&gt;0, ISNUMBER(I9)),I9/SUM(I4:I11), ""), "")</f>
        <v>0</v>
      </c>
      <c r="J19" s="5">
        <f>IF(SUM(M4:M11) &gt; 0, IF(AND(SUM(J4:J11)&gt;0, ISNUMBER(J9)),J9/SUM(J4:J11), ""), "")</f>
        <v>0</v>
      </c>
    </row>
    <row r="20" spans="2:10">
      <c r="B20" t="s">
        <v>1010</v>
      </c>
      <c r="C20" s="5">
        <f>IF(SUM(M4:M11) &gt; 0, IF(AND(SUM(C4:C11)&gt;0, ISNUMBER(C10)),C10/SUM(C4:C11), ""), "")</f>
        <v>0</v>
      </c>
      <c r="D20" s="5">
        <f>IF(SUM(M4:M11) &gt; 0, IF(AND(SUM(D4:D11)&gt;0, ISNUMBER(D10)),D10/SUM(D4:D11), ""), "")</f>
        <v>0</v>
      </c>
      <c r="E20" s="5">
        <f>IF(SUM(M4:M11) &gt; 0, IF(AND(SUM(E4:E11)&gt;0, ISNUMBER(E10)),E10/SUM(E4:E11), ""), "")</f>
        <v>0</v>
      </c>
      <c r="F20" s="5">
        <f>IF(SUM(M4:M11) &gt; 0, IF(AND(SUM(F4:F11)&gt;0, ISNUMBER(F10)),F10/SUM(F4:F11), ""), "")</f>
        <v>0</v>
      </c>
      <c r="G20" s="5">
        <f>IF(SUM(M4:M11) &gt; 0, IF(AND(SUM(G4:G11)&gt;0, ISNUMBER(G10)),G10/SUM(G4:G11), ""), "")</f>
        <v>0</v>
      </c>
      <c r="H20" s="5">
        <f>IF(SUM(M4:M11) &gt; 0, IF(AND(SUM(H4:H11)&gt;0, ISNUMBER(H10)),H10/SUM(H4:H11), ""), "")</f>
        <v>0</v>
      </c>
      <c r="I20" s="5">
        <f>IF(SUM(M4:M11) &gt; 0, IF(AND(SUM(I4:I11)&gt;0, ISNUMBER(I10)),I10/SUM(I4:I11), ""), "")</f>
        <v>0</v>
      </c>
      <c r="J20" s="5">
        <f>IF(SUM(M4:M11) &gt; 0, IF(AND(SUM(J4:J11)&gt;0, ISNUMBER(J10)),J10/SUM(J4:J11), ""), "")</f>
        <v>0</v>
      </c>
    </row>
    <row r="21" spans="2:10">
      <c r="B21" t="s">
        <v>894</v>
      </c>
      <c r="C21" s="5">
        <f>IF(SUM(M4:M11) &gt; 0, IF(AND(SUM(C4:C11)&gt;0, ISNUMBER(C11)),C11/SUM(C4:C11), ""), "")</f>
        <v>0</v>
      </c>
      <c r="D21" s="5">
        <f>IF(SUM(M4:M11) &gt; 0, IF(AND(SUM(D4:D11)&gt;0, ISNUMBER(D11)),D11/SUM(D4:D11), ""), "")</f>
        <v>0</v>
      </c>
      <c r="E21" s="5">
        <f>IF(SUM(M4:M11) &gt; 0, IF(AND(SUM(E4:E11)&gt;0, ISNUMBER(E11)),E11/SUM(E4:E11), ""), "")</f>
        <v>0</v>
      </c>
      <c r="F21" s="5">
        <f>IF(SUM(M4:M11) &gt; 0, IF(AND(SUM(F4:F11)&gt;0, ISNUMBER(F11)),F11/SUM(F4:F11), ""), "")</f>
        <v>0</v>
      </c>
      <c r="G21" s="5">
        <f>IF(SUM(M4:M11) &gt; 0, IF(AND(SUM(G4:G11)&gt;0, ISNUMBER(G11)),G11/SUM(G4:G11), ""), "")</f>
        <v>0</v>
      </c>
      <c r="H21" s="5">
        <f>IF(SUM(M4:M11) &gt; 0, IF(AND(SUM(H4:H11)&gt;0, ISNUMBER(H11)),H11/SUM(H4:H11), ""), "")</f>
        <v>0</v>
      </c>
      <c r="I21" s="5">
        <f>IF(SUM(M4:M11) &gt; 0, IF(AND(SUM(I4:I11)&gt;0, ISNUMBER(I11)),I11/SUM(I4:I11), ""), "")</f>
        <v>0</v>
      </c>
      <c r="J21" s="5">
        <f>IF(SUM(M4:M11) &gt; 0, IF(AND(SUM(J4:J11)&gt;0, ISNUMBER(J11)),J11/SUM(J4:J11), ""), "")</f>
        <v>0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rgb="FF0033A0"/>
  </sheetPr>
  <dimension ref="A1:T19"/>
  <sheetViews>
    <sheetView workbookViewId="0"/>
  </sheetViews>
  <sheetFormatPr defaultRowHeight="15"/>
  <sheetData>
    <row r="1" spans="1:20" s="3" customFormat="1" ht="40" customHeight="1">
      <c r="A1" s="3" t="s">
        <v>1025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933</v>
      </c>
      <c r="C4">
        <v>3.16810286903381</v>
      </c>
      <c r="D4">
        <v>1.52791368103027</v>
      </c>
      <c r="E4">
        <v>8.76376457214355</v>
      </c>
      <c r="F4">
        <v>2.11367549133301</v>
      </c>
      <c r="G4">
        <v>11.3497130432129</v>
      </c>
      <c r="H4">
        <v>10.4098090744019</v>
      </c>
      <c r="I4">
        <v>1.25660906982422</v>
      </c>
      <c r="J4">
        <f>IF(SUMIFS('TERadj'!HL2:HL100,'TERadj'!HL2:HL100,"&gt;0"),SUMIFS('TERadj'!HL2:HL100,'TERadj'!HL2:HL100,"&gt;0"),"")</f>
        <v>0</v>
      </c>
      <c r="L4" t="s">
        <v>933</v>
      </c>
      <c r="M4">
        <v>6</v>
      </c>
      <c r="N4">
        <v>4</v>
      </c>
      <c r="O4">
        <v>5</v>
      </c>
      <c r="P4">
        <v>4</v>
      </c>
      <c r="Q4">
        <v>4</v>
      </c>
      <c r="R4">
        <v>6</v>
      </c>
      <c r="S4">
        <v>4</v>
      </c>
      <c r="T4" cm="1">
        <f t="array" ref="T4">IF(COUNT(_xlfn._xlws.FILTER('TERadj'!HL2:HL100, ('TERadj'!HL2:HL100&gt;0))),COUNT(_xlfn._xlws.FILTER('TERadj'!HL2:HL100, ('TERadj'!HL2:HL100&gt;0))),"")</f>
        <v>0</v>
      </c>
    </row>
    <row r="5" spans="1:20">
      <c r="B5" t="s">
        <v>934</v>
      </c>
      <c r="C5">
        <v>0.0510492210388184</v>
      </c>
      <c r="D5">
        <v>0.422588415145874</v>
      </c>
      <c r="E5">
        <v>2.965</v>
      </c>
      <c r="F5">
        <v>0.49740185546875</v>
      </c>
      <c r="G5">
        <v>0.390801544189453</v>
      </c>
      <c r="H5">
        <v>3.90241625976563</v>
      </c>
      <c r="I5">
        <v>0.65718890953064</v>
      </c>
      <c r="J5">
        <f>IF(SUMIFS('TERadj'!HM2:HM100,'TERadj'!HM2:HM100,"&gt;0"),SUMIFS('TERadj'!HM2:HM100,'TERadj'!HM2:HM100,"&gt;0"),"")</f>
        <v>0</v>
      </c>
      <c r="L5" t="s">
        <v>934</v>
      </c>
      <c r="M5">
        <v>1</v>
      </c>
      <c r="N5">
        <v>4</v>
      </c>
      <c r="O5">
        <v>1</v>
      </c>
      <c r="P5">
        <v>1</v>
      </c>
      <c r="Q5">
        <v>2</v>
      </c>
      <c r="R5">
        <v>1</v>
      </c>
      <c r="S5">
        <v>2</v>
      </c>
      <c r="T5" cm="1">
        <f t="array" ref="T5">IF(COUNT(_xlfn._xlws.FILTER('TERadj'!HM2:HM100, ('TERadj'!HM2:HM100&gt;0))),COUNT(_xlfn._xlws.FILTER('TERadj'!HM2:HM100, ('TERadj'!HM2:HM100&gt;0))),"")</f>
        <v>0</v>
      </c>
    </row>
    <row r="6" spans="1:20">
      <c r="B6" t="s">
        <v>935</v>
      </c>
      <c r="C6">
        <v>2.83927648925781</v>
      </c>
      <c r="D6">
        <v>3.30905993652344</v>
      </c>
      <c r="E6">
        <v>3.44060568237305</v>
      </c>
      <c r="F6">
        <v>1.08804605102539</v>
      </c>
      <c r="G6">
        <v>1.23508683776855</v>
      </c>
      <c r="H6">
        <v>0.711264892578125</v>
      </c>
      <c r="I6">
        <v>2.52837746810913</v>
      </c>
      <c r="J6">
        <f>IF(SUMIFS('TERadj'!HN2:HN100,'TERadj'!HN2:HN100,"&gt;0"),SUMIFS('TERadj'!HN2:HN100,'TERadj'!HN2:HN100,"&gt;0"),"")</f>
        <v>0</v>
      </c>
      <c r="L6" t="s">
        <v>935</v>
      </c>
      <c r="M6">
        <v>4</v>
      </c>
      <c r="N6">
        <v>2</v>
      </c>
      <c r="O6">
        <v>2</v>
      </c>
      <c r="P6">
        <v>2</v>
      </c>
      <c r="Q6">
        <v>3</v>
      </c>
      <c r="R6">
        <v>1</v>
      </c>
      <c r="S6">
        <v>4</v>
      </c>
      <c r="T6" cm="1">
        <f t="array" ref="T6">IF(COUNT(_xlfn._xlws.FILTER('TERadj'!HN2:HN100, ('TERadj'!HN2:HN100&gt;0))),COUNT(_xlfn._xlws.FILTER('TERadj'!HN2:HN100, ('TERadj'!HN2:HN100&gt;0))),"")</f>
        <v>0</v>
      </c>
    </row>
    <row r="7" spans="1:20">
      <c r="B7" t="s">
        <v>878</v>
      </c>
      <c r="E7">
        <v>0.5649999999999999</v>
      </c>
      <c r="I7">
        <v>0.4</v>
      </c>
      <c r="J7">
        <f>IF(SUMIFS('TERadj'!HO2:HO100,'TERadj'!HO2:HO100,"&gt;0"),SUMIFS('TERadj'!HO2:HO100,'TERadj'!HO2:HO100,"&gt;0"),"")</f>
        <v>0</v>
      </c>
      <c r="L7" t="s">
        <v>878</v>
      </c>
      <c r="O7">
        <v>1</v>
      </c>
      <c r="S7">
        <v>1</v>
      </c>
      <c r="T7" cm="1">
        <f t="array" ref="T7">IF(COUNT(_xlfn._xlws.FILTER('TERadj'!HO2:HO100, ('TERadj'!HO2:HO100&gt;0))),COUNT(_xlfn._xlws.FILTER('TERadj'!HO2:HO100, ('TERadj'!HO2:HO100&gt;0))),"")</f>
        <v>0</v>
      </c>
    </row>
    <row r="8" spans="1:20">
      <c r="B8" t="s">
        <v>936</v>
      </c>
      <c r="C8">
        <v>2.71476103210449</v>
      </c>
      <c r="D8">
        <v>1.25329545783997</v>
      </c>
      <c r="E8">
        <v>1.74208837890625</v>
      </c>
      <c r="F8">
        <v>0.01</v>
      </c>
      <c r="G8">
        <v>0.775877990722656</v>
      </c>
      <c r="H8">
        <v>0.09627517700195309</v>
      </c>
      <c r="I8">
        <v>0.537693451881409</v>
      </c>
      <c r="J8">
        <f>IF(SUMIFS('TERadj'!HP2:HP100,'TERadj'!HP2:HP100,"&gt;0"),SUMIFS('TERadj'!HP2:HP100,'TERadj'!HP2:HP100,"&gt;0"),"")</f>
        <v>0</v>
      </c>
      <c r="L8" t="s">
        <v>936</v>
      </c>
      <c r="M8">
        <v>6</v>
      </c>
      <c r="N8">
        <v>3</v>
      </c>
      <c r="O8">
        <v>5</v>
      </c>
      <c r="P8">
        <v>1</v>
      </c>
      <c r="Q8">
        <v>1</v>
      </c>
      <c r="R8">
        <v>1</v>
      </c>
      <c r="S8">
        <v>2</v>
      </c>
      <c r="T8" cm="1">
        <f t="array" ref="T8">IF(COUNT(_xlfn._xlws.FILTER('TERadj'!HP2:HP100, ('TERadj'!HP2:HP100&gt;0))),COUNT(_xlfn._xlws.FILTER('TERadj'!HP2:HP100, ('TERadj'!HP2:HP100&gt;0))),"")</f>
        <v>0</v>
      </c>
    </row>
    <row r="9" spans="1:20">
      <c r="B9" t="s">
        <v>881</v>
      </c>
      <c r="C9">
        <v>0.647</v>
      </c>
      <c r="D9">
        <v>1.07619995117187</v>
      </c>
      <c r="E9">
        <v>1.523</v>
      </c>
      <c r="G9">
        <v>1.70295040893555</v>
      </c>
      <c r="I9">
        <v>0.402070007324219</v>
      </c>
      <c r="J9">
        <f>IF(SUMIFS('TERadj'!HQ2:HQ100,'TERadj'!HQ2:HQ100,"&gt;0"),SUMIFS('TERadj'!HQ2:HQ100,'TERadj'!HQ2:HQ100,"&gt;0"),"")</f>
        <v>0</v>
      </c>
      <c r="L9" t="s">
        <v>881</v>
      </c>
      <c r="M9">
        <v>2</v>
      </c>
      <c r="N9">
        <v>1</v>
      </c>
      <c r="O9">
        <v>2</v>
      </c>
      <c r="Q9">
        <v>3</v>
      </c>
      <c r="S9">
        <v>1</v>
      </c>
      <c r="T9" cm="1">
        <f t="array" ref="T9">IF(COUNT(_xlfn._xlws.FILTER('TERadj'!HQ2:HQ100, ('TERadj'!HQ2:HQ100&gt;0))),COUNT(_xlfn._xlws.FILTER('TERadj'!HQ2:HQ100, ('TERadj'!HQ2:HQ100&gt;0))),"")</f>
        <v>0</v>
      </c>
    </row>
    <row r="10" spans="1:20">
      <c r="B10" t="s">
        <v>938</v>
      </c>
      <c r="J10">
        <f>IF(SUMIFS('TERadj'!HR2:HR100,'TERadj'!HR2:HR100,"&gt;0"),SUMIFS('TERadj'!HR2:HR100,'TERadj'!HR2:HR100,"&gt;0"),"")</f>
        <v>0</v>
      </c>
      <c r="L10" t="s">
        <v>938</v>
      </c>
      <c r="T10" cm="1">
        <f t="array" ref="T10">IF(COUNT(_xlfn._xlws.FILTER('TERadj'!HR2:HR100, ('TERadj'!HR2:HR100&gt;0))),COUNT(_xlfn._xlws.FILTER('TERadj'!HR2:HR100, ('TERadj'!HR2:HR100&gt;0))),"")</f>
        <v>0</v>
      </c>
    </row>
    <row r="12" spans="1:20">
      <c r="B12" t="s">
        <v>915</v>
      </c>
      <c r="C12" t="s">
        <v>945</v>
      </c>
      <c r="D12" t="s">
        <v>946</v>
      </c>
      <c r="E12" t="s">
        <v>947</v>
      </c>
      <c r="F12" t="s">
        <v>948</v>
      </c>
      <c r="G12" t="s">
        <v>949</v>
      </c>
      <c r="H12" t="s">
        <v>950</v>
      </c>
      <c r="I12" t="s">
        <v>931</v>
      </c>
      <c r="J12" t="s">
        <v>932</v>
      </c>
    </row>
    <row r="13" spans="1:20">
      <c r="B13" t="s">
        <v>933</v>
      </c>
      <c r="C13" s="5">
        <f>IF(SUM(M4:M10) &gt; 0, IF(AND(SUM(C4:C10)&gt;0, ISNUMBER(C4)),C4/SUM(C4:C10), ""), "")</f>
        <v>0</v>
      </c>
      <c r="D13" s="5">
        <f>IF(SUM(M4:M10) &gt; 0, IF(AND(SUM(D4:D10)&gt;0, ISNUMBER(D4)),D4/SUM(D4:D10), ""), "")</f>
        <v>0</v>
      </c>
      <c r="E13" s="5">
        <f>IF(SUM(M4:M10) &gt; 0, IF(AND(SUM(E4:E10)&gt;0, ISNUMBER(E4)),E4/SUM(E4:E10), ""), "")</f>
        <v>0</v>
      </c>
      <c r="F13" s="5">
        <f>IF(SUM(M4:M10) &gt; 0, IF(AND(SUM(F4:F10)&gt;0, ISNUMBER(F4)),F4/SUM(F4:F10), ""), "")</f>
        <v>0</v>
      </c>
      <c r="G13" s="5">
        <f>IF(SUM(M4:M10) &gt; 0, IF(AND(SUM(G4:G10)&gt;0, ISNUMBER(G4)),G4/SUM(G4:G10), ""), "")</f>
        <v>0</v>
      </c>
      <c r="H13" s="5">
        <f>IF(SUM(M4:M10) &gt; 0, IF(AND(SUM(H4:H10)&gt;0, ISNUMBER(H4)),H4/SUM(H4:H10), ""), "")</f>
        <v>0</v>
      </c>
      <c r="I13" s="5">
        <f>IF(SUM(M4:M10) &gt; 0, IF(AND(SUM(I4:I10)&gt;0, ISNUMBER(I4)),I4/SUM(I4:I10), ""), "")</f>
        <v>0</v>
      </c>
      <c r="J13" s="5">
        <f>IF(SUM(M4:M10) &gt; 0, IF(AND(SUM(J4:J10)&gt;0, ISNUMBER(J4)),J4/SUM(J4:J10), ""), "")</f>
        <v>0</v>
      </c>
    </row>
    <row r="14" spans="1:20">
      <c r="B14" t="s">
        <v>934</v>
      </c>
      <c r="C14" s="5">
        <f>IF(SUM(M4:M10) &gt; 0, IF(AND(SUM(C4:C10)&gt;0, ISNUMBER(C5)),C5/SUM(C4:C10), ""), "")</f>
        <v>0</v>
      </c>
      <c r="D14" s="5">
        <f>IF(SUM(M4:M10) &gt; 0, IF(AND(SUM(D4:D10)&gt;0, ISNUMBER(D5)),D5/SUM(D4:D10), ""), "")</f>
        <v>0</v>
      </c>
      <c r="E14" s="5">
        <f>IF(SUM(M4:M10) &gt; 0, IF(AND(SUM(E4:E10)&gt;0, ISNUMBER(E5)),E5/SUM(E4:E10), ""), "")</f>
        <v>0</v>
      </c>
      <c r="F14" s="5">
        <f>IF(SUM(M4:M10) &gt; 0, IF(AND(SUM(F4:F10)&gt;0, ISNUMBER(F5)),F5/SUM(F4:F10), ""), "")</f>
        <v>0</v>
      </c>
      <c r="G14" s="5">
        <f>IF(SUM(M4:M10) &gt; 0, IF(AND(SUM(G4:G10)&gt;0, ISNUMBER(G5)),G5/SUM(G4:G10), ""), "")</f>
        <v>0</v>
      </c>
      <c r="H14" s="5">
        <f>IF(SUM(M4:M10) &gt; 0, IF(AND(SUM(H4:H10)&gt;0, ISNUMBER(H5)),H5/SUM(H4:H10), ""), "")</f>
        <v>0</v>
      </c>
      <c r="I14" s="5">
        <f>IF(SUM(M4:M10) &gt; 0, IF(AND(SUM(I4:I10)&gt;0, ISNUMBER(I5)),I5/SUM(I4:I10), ""), "")</f>
        <v>0</v>
      </c>
      <c r="J14" s="5">
        <f>IF(SUM(M4:M10) &gt; 0, IF(AND(SUM(J4:J10)&gt;0, ISNUMBER(J5)),J5/SUM(J4:J10), ""), "")</f>
        <v>0</v>
      </c>
    </row>
    <row r="15" spans="1:20">
      <c r="B15" t="s">
        <v>935</v>
      </c>
      <c r="C15" s="5">
        <f>IF(SUM(M4:M10) &gt; 0, IF(AND(SUM(C4:C10)&gt;0, ISNUMBER(C6)),C6/SUM(C4:C10), ""), "")</f>
        <v>0</v>
      </c>
      <c r="D15" s="5">
        <f>IF(SUM(M4:M10) &gt; 0, IF(AND(SUM(D4:D10)&gt;0, ISNUMBER(D6)),D6/SUM(D4:D10), ""), "")</f>
        <v>0</v>
      </c>
      <c r="E15" s="5">
        <f>IF(SUM(M4:M10) &gt; 0, IF(AND(SUM(E4:E10)&gt;0, ISNUMBER(E6)),E6/SUM(E4:E10), ""), "")</f>
        <v>0</v>
      </c>
      <c r="F15" s="5">
        <f>IF(SUM(M4:M10) &gt; 0, IF(AND(SUM(F4:F10)&gt;0, ISNUMBER(F6)),F6/SUM(F4:F10), ""), "")</f>
        <v>0</v>
      </c>
      <c r="G15" s="5">
        <f>IF(SUM(M4:M10) &gt; 0, IF(AND(SUM(G4:G10)&gt;0, ISNUMBER(G6)),G6/SUM(G4:G10), ""), "")</f>
        <v>0</v>
      </c>
      <c r="H15" s="5">
        <f>IF(SUM(M4:M10) &gt; 0, IF(AND(SUM(H4:H10)&gt;0, ISNUMBER(H6)),H6/SUM(H4:H10), ""), "")</f>
        <v>0</v>
      </c>
      <c r="I15" s="5">
        <f>IF(SUM(M4:M10) &gt; 0, IF(AND(SUM(I4:I10)&gt;0, ISNUMBER(I6)),I6/SUM(I4:I10), ""), "")</f>
        <v>0</v>
      </c>
      <c r="J15" s="5">
        <f>IF(SUM(M4:M10) &gt; 0, IF(AND(SUM(J4:J10)&gt;0, ISNUMBER(J6)),J6/SUM(J4:J10), ""), "")</f>
        <v>0</v>
      </c>
    </row>
    <row r="16" spans="1:20">
      <c r="B16" t="s">
        <v>878</v>
      </c>
      <c r="C16" s="5">
        <f>IF(SUM(M4:M10) &gt; 0, IF(AND(SUM(C4:C10)&gt;0, ISNUMBER(C7)),C7/SUM(C4:C10), ""), "")</f>
        <v>0</v>
      </c>
      <c r="D16" s="5">
        <f>IF(SUM(M4:M10) &gt; 0, IF(AND(SUM(D4:D10)&gt;0, ISNUMBER(D7)),D7/SUM(D4:D10), ""), "")</f>
        <v>0</v>
      </c>
      <c r="E16" s="5">
        <f>IF(SUM(M4:M10) &gt; 0, IF(AND(SUM(E4:E10)&gt;0, ISNUMBER(E7)),E7/SUM(E4:E10), ""), "")</f>
        <v>0</v>
      </c>
      <c r="F16" s="5">
        <f>IF(SUM(M4:M10) &gt; 0, IF(AND(SUM(F4:F10)&gt;0, ISNUMBER(F7)),F7/SUM(F4:F10), ""), "")</f>
        <v>0</v>
      </c>
      <c r="G16" s="5">
        <f>IF(SUM(M4:M10) &gt; 0, IF(AND(SUM(G4:G10)&gt;0, ISNUMBER(G7)),G7/SUM(G4:G10), ""), "")</f>
        <v>0</v>
      </c>
      <c r="H16" s="5">
        <f>IF(SUM(M4:M10) &gt; 0, IF(AND(SUM(H4:H10)&gt;0, ISNUMBER(H7)),H7/SUM(H4:H10), ""), "")</f>
        <v>0</v>
      </c>
      <c r="I16" s="5">
        <f>IF(SUM(M4:M10) &gt; 0, IF(AND(SUM(I4:I10)&gt;0, ISNUMBER(I7)),I7/SUM(I4:I10), ""), "")</f>
        <v>0</v>
      </c>
      <c r="J16" s="5">
        <f>IF(SUM(M4:M10) &gt; 0, IF(AND(SUM(J4:J10)&gt;0, ISNUMBER(J7)),J7/SUM(J4:J10), ""), "")</f>
        <v>0</v>
      </c>
    </row>
    <row r="17" spans="2:10">
      <c r="B17" t="s">
        <v>936</v>
      </c>
      <c r="C17" s="5">
        <f>IF(SUM(M4:M10) &gt; 0, IF(AND(SUM(C4:C10)&gt;0, ISNUMBER(C8)),C8/SUM(C4:C10), ""), "")</f>
        <v>0</v>
      </c>
      <c r="D17" s="5">
        <f>IF(SUM(M4:M10) &gt; 0, IF(AND(SUM(D4:D10)&gt;0, ISNUMBER(D8)),D8/SUM(D4:D10), ""), "")</f>
        <v>0</v>
      </c>
      <c r="E17" s="5">
        <f>IF(SUM(M4:M10) &gt; 0, IF(AND(SUM(E4:E10)&gt;0, ISNUMBER(E8)),E8/SUM(E4:E10), ""), "")</f>
        <v>0</v>
      </c>
      <c r="F17" s="5">
        <f>IF(SUM(M4:M10) &gt; 0, IF(AND(SUM(F4:F10)&gt;0, ISNUMBER(F8)),F8/SUM(F4:F10), ""), "")</f>
        <v>0</v>
      </c>
      <c r="G17" s="5">
        <f>IF(SUM(M4:M10) &gt; 0, IF(AND(SUM(G4:G10)&gt;0, ISNUMBER(G8)),G8/SUM(G4:G10), ""), "")</f>
        <v>0</v>
      </c>
      <c r="H17" s="5">
        <f>IF(SUM(M4:M10) &gt; 0, IF(AND(SUM(H4:H10)&gt;0, ISNUMBER(H8)),H8/SUM(H4:H10), ""), "")</f>
        <v>0</v>
      </c>
      <c r="I17" s="5">
        <f>IF(SUM(M4:M10) &gt; 0, IF(AND(SUM(I4:I10)&gt;0, ISNUMBER(I8)),I8/SUM(I4:I10), ""), "")</f>
        <v>0</v>
      </c>
      <c r="J17" s="5">
        <f>IF(SUM(M4:M10) &gt; 0, IF(AND(SUM(J4:J10)&gt;0, ISNUMBER(J8)),J8/SUM(J4:J10), ""), "")</f>
        <v>0</v>
      </c>
    </row>
    <row r="18" spans="2:10">
      <c r="B18" t="s">
        <v>881</v>
      </c>
      <c r="C18" s="5">
        <f>IF(SUM(M4:M10) &gt; 0, IF(AND(SUM(C4:C10)&gt;0, ISNUMBER(C9)),C9/SUM(C4:C10), ""), "")</f>
        <v>0</v>
      </c>
      <c r="D18" s="5">
        <f>IF(SUM(M4:M10) &gt; 0, IF(AND(SUM(D4:D10)&gt;0, ISNUMBER(D9)),D9/SUM(D4:D10), ""), "")</f>
        <v>0</v>
      </c>
      <c r="E18" s="5">
        <f>IF(SUM(M4:M10) &gt; 0, IF(AND(SUM(E4:E10)&gt;0, ISNUMBER(E9)),E9/SUM(E4:E10), ""), "")</f>
        <v>0</v>
      </c>
      <c r="F18" s="5">
        <f>IF(SUM(M4:M10) &gt; 0, IF(AND(SUM(F4:F10)&gt;0, ISNUMBER(F9)),F9/SUM(F4:F10), ""), "")</f>
        <v>0</v>
      </c>
      <c r="G18" s="5">
        <f>IF(SUM(M4:M10) &gt; 0, IF(AND(SUM(G4:G10)&gt;0, ISNUMBER(G9)),G9/SUM(G4:G10), ""), "")</f>
        <v>0</v>
      </c>
      <c r="H18" s="5">
        <f>IF(SUM(M4:M10) &gt; 0, IF(AND(SUM(H4:H10)&gt;0, ISNUMBER(H9)),H9/SUM(H4:H10), ""), "")</f>
        <v>0</v>
      </c>
      <c r="I18" s="5">
        <f>IF(SUM(M4:M10) &gt; 0, IF(AND(SUM(I4:I10)&gt;0, ISNUMBER(I9)),I9/SUM(I4:I10), ""), "")</f>
        <v>0</v>
      </c>
      <c r="J18" s="5">
        <f>IF(SUM(M4:M10) &gt; 0, IF(AND(SUM(J4:J10)&gt;0, ISNUMBER(J9)),J9/SUM(J4:J10), ""), "")</f>
        <v>0</v>
      </c>
    </row>
    <row r="19" spans="2:10">
      <c r="B19" t="s">
        <v>938</v>
      </c>
      <c r="C19" s="5">
        <f>IF(SUM(M4:M10) &gt; 0, IF(AND(SUM(C4:C10)&gt;0, ISNUMBER(C10)),C10/SUM(C4:C10), ""), "")</f>
        <v>0</v>
      </c>
      <c r="D19" s="5">
        <f>IF(SUM(M4:M10) &gt; 0, IF(AND(SUM(D4:D10)&gt;0, ISNUMBER(D10)),D10/SUM(D4:D10), ""), "")</f>
        <v>0</v>
      </c>
      <c r="E19" s="5">
        <f>IF(SUM(M4:M10) &gt; 0, IF(AND(SUM(E4:E10)&gt;0, ISNUMBER(E10)),E10/SUM(E4:E10), ""), "")</f>
        <v>0</v>
      </c>
      <c r="F19" s="5">
        <f>IF(SUM(M4:M10) &gt; 0, IF(AND(SUM(F4:F10)&gt;0, ISNUMBER(F10)),F10/SUM(F4:F10), ""), "")</f>
        <v>0</v>
      </c>
      <c r="G19" s="5">
        <f>IF(SUM(M4:M10) &gt; 0, IF(AND(SUM(G4:G10)&gt;0, ISNUMBER(G10)),G10/SUM(G4:G10), ""), "")</f>
        <v>0</v>
      </c>
      <c r="H19" s="5">
        <f>IF(SUM(M4:M10) &gt; 0, IF(AND(SUM(H4:H10)&gt;0, ISNUMBER(H10)),H10/SUM(H4:H10), ""), "")</f>
        <v>0</v>
      </c>
      <c r="I19" s="5">
        <f>IF(SUM(M4:M10) &gt; 0, IF(AND(SUM(I4:I10)&gt;0, ISNUMBER(I10)),I10/SUM(I4:I10), ""), "")</f>
        <v>0</v>
      </c>
      <c r="J19" s="5">
        <f>IF(SUM(M4:M10) &gt; 0, IF(AND(SUM(J4:J10)&gt;0, ISNUMBER(J10)),J10/SUM(J4:J10), ""), "")</f>
        <v>0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1026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1.90210856819153</v>
      </c>
      <c r="D4">
        <v>3.24855687141418</v>
      </c>
      <c r="E4">
        <v>3.37176092934608</v>
      </c>
      <c r="F4">
        <v>1.97063413047791</v>
      </c>
      <c r="G4">
        <v>3.62088723111153</v>
      </c>
      <c r="H4">
        <v>5.38833170318603</v>
      </c>
      <c r="I4">
        <v>2.47089260864258</v>
      </c>
      <c r="J4">
        <f>IF(SUMIFS('TERadj'!HS2:HS100,'TERadj'!HS2:HS100,"&gt;0")/1000,SUMIFS('TERadj'!HS2:HS100,'TERadj'!HS2:HS100,"&gt;0")/1000,"")</f>
        <v>0</v>
      </c>
      <c r="L4" t="s">
        <v>839</v>
      </c>
      <c r="M4">
        <v>8</v>
      </c>
      <c r="N4">
        <v>5</v>
      </c>
      <c r="O4">
        <v>7</v>
      </c>
      <c r="P4">
        <v>5</v>
      </c>
      <c r="Q4">
        <v>7</v>
      </c>
      <c r="R4">
        <v>5</v>
      </c>
      <c r="S4">
        <v>6</v>
      </c>
      <c r="T4" cm="1">
        <f t="array" ref="T4">IF(COUNT(_xlfn._xlws.FILTER('TERadj'!HS2:HS100, ('TERadj'!HS2:HS100&gt;0))),COUNT(_xlfn._xlws.FILTER('TERadj'!HS2:HS100, ('TERadj'!HS2:HS100&gt;0))),"")</f>
        <v>0</v>
      </c>
    </row>
    <row r="5" spans="1:20">
      <c r="B5" t="s">
        <v>840</v>
      </c>
      <c r="C5">
        <v>6.25100041198731</v>
      </c>
      <c r="D5">
        <v>3.58224983596802</v>
      </c>
      <c r="E5">
        <v>6.52441088724136</v>
      </c>
      <c r="F5">
        <v>0.743056173324585</v>
      </c>
      <c r="G5">
        <v>4.29613284301758</v>
      </c>
      <c r="H5">
        <v>0.849646203994751</v>
      </c>
      <c r="I5">
        <v>1.80790217208862</v>
      </c>
      <c r="J5">
        <f>IF(SUMIFS('TERadj'!HT2:HT100,'TERadj'!HT2:HT100,"&gt;0")/1000,SUMIFS('TERadj'!HT2:HT100,'TERadj'!HT2:HT100,"&gt;0")/1000,"")</f>
        <v>0</v>
      </c>
      <c r="L5" t="s">
        <v>840</v>
      </c>
      <c r="M5">
        <v>12</v>
      </c>
      <c r="N5">
        <v>7</v>
      </c>
      <c r="O5">
        <v>9</v>
      </c>
      <c r="P5">
        <v>4</v>
      </c>
      <c r="Q5">
        <v>9</v>
      </c>
      <c r="R5">
        <v>4</v>
      </c>
      <c r="S5">
        <v>4</v>
      </c>
      <c r="T5" cm="1">
        <f t="array" ref="T5">IF(COUNT(_xlfn._xlws.FILTER('TERadj'!HT2:HT100, ('TERadj'!HT2:HT100&gt;0))),COUNT(_xlfn._xlws.FILTER('TERadj'!HT2:HT100, ('TERadj'!HT2:HT100&gt;0))),"")</f>
        <v>0</v>
      </c>
    </row>
    <row r="6" spans="1:20">
      <c r="B6" t="s">
        <v>838</v>
      </c>
      <c r="C6">
        <v>1.26708068084717</v>
      </c>
      <c r="D6">
        <v>0.763250823974609</v>
      </c>
      <c r="E6">
        <v>4.29096282958984</v>
      </c>
      <c r="F6">
        <v>0.962709007263184</v>
      </c>
      <c r="G6">
        <v>6.85940539550781</v>
      </c>
      <c r="H6">
        <v>8.84016426086426</v>
      </c>
      <c r="I6">
        <v>1.5031441192627</v>
      </c>
      <c r="J6">
        <f>IF(SUMIFS('TERadj'!HU2:HU100,'TERadj'!HU2:HU100,"&gt;0")/1000,SUMIFS('TERadj'!HU2:HU100,'TERadj'!HU2:HU100,"&gt;0")/1000,"")</f>
        <v>0</v>
      </c>
      <c r="L6" t="s">
        <v>838</v>
      </c>
      <c r="M6">
        <v>6</v>
      </c>
      <c r="N6">
        <v>3</v>
      </c>
      <c r="O6">
        <v>5</v>
      </c>
      <c r="P6">
        <v>4</v>
      </c>
      <c r="Q6">
        <v>5</v>
      </c>
      <c r="R6">
        <v>5</v>
      </c>
      <c r="S6">
        <v>4</v>
      </c>
      <c r="T6" cm="1">
        <f t="array" ref="T6">IF(COUNT(_xlfn._xlws.FILTER('TERadj'!HU2:HU100, ('TERadj'!HU2:HU100&gt;0))),COUNT(_xlfn._xlws.FILTER('TERadj'!HU2:HU100, ('TERadj'!HU2:HU100&gt;0))),"")</f>
        <v>0</v>
      </c>
    </row>
    <row r="7" spans="1:20">
      <c r="B7" t="s">
        <v>841</v>
      </c>
      <c r="E7">
        <v>0.0349449272155762</v>
      </c>
      <c r="F7">
        <v>0.0327240371704102</v>
      </c>
      <c r="G7">
        <v>0.0969847526550293</v>
      </c>
      <c r="H7">
        <v>0.0416226577758789</v>
      </c>
      <c r="J7">
        <f>IF(SUMIFS('TERadj'!HV2:HV100,'TERadj'!HV2:HV100,"&gt;0")/1000,SUMIFS('TERadj'!HV2:HV100,'TERadj'!HV2:HV100,"&gt;0")/1000,"")</f>
        <v>0</v>
      </c>
      <c r="L7" t="s">
        <v>841</v>
      </c>
      <c r="O7">
        <v>1</v>
      </c>
      <c r="P7">
        <v>2</v>
      </c>
      <c r="Q7">
        <v>2</v>
      </c>
      <c r="R7">
        <v>1</v>
      </c>
      <c r="T7" cm="1">
        <f t="array" ref="T7">IF(COUNT(_xlfn._xlws.FILTER('TERadj'!HV2:HV100, ('TERadj'!HV2:HV100&gt;0))),COUNT(_xlfn._xlws.FILTER('TERadj'!HV2:HV100, ('TERadj'!HV2:HV100&gt;0))),"")</f>
        <v>0</v>
      </c>
    </row>
    <row r="8" spans="1:20">
      <c r="B8" t="s">
        <v>898</v>
      </c>
      <c r="J8">
        <f>IF(SUMIFS('TERadj'!HW2:HW100,'TERadj'!HW2:HW100,"&gt;0")/1000,SUMIFS('TERadj'!HW2:HW100,'TERadj'!HW2:HW100,"&gt;0")/1000,"")</f>
        <v>0</v>
      </c>
      <c r="L8" t="s">
        <v>898</v>
      </c>
      <c r="T8" cm="1">
        <f t="array" ref="T8">IF(COUNT(_xlfn._xlws.FILTER('TERadj'!HW2:HW100, ('TERadj'!HW2:HW100&gt;0))),COUNT(_xlfn._xlws.FILTER('TERadj'!HW2:HW100, ('TERadj'!HW2:HW100&gt;0))),"")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rgb="FF0033A0"/>
  </sheetPr>
  <dimension ref="A1:AB19"/>
  <sheetViews>
    <sheetView workbookViewId="0"/>
  </sheetViews>
  <sheetFormatPr defaultRowHeight="15"/>
  <sheetData>
    <row r="1" spans="1:28" s="3" customFormat="1" ht="40" customHeight="1">
      <c r="A1" s="3" t="s">
        <v>1025</v>
      </c>
    </row>
    <row r="3" spans="1:28">
      <c r="B3" t="s">
        <v>915</v>
      </c>
      <c r="C3" t="s">
        <v>1027</v>
      </c>
      <c r="D3" t="s">
        <v>1028</v>
      </c>
      <c r="E3" t="s">
        <v>1029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894</v>
      </c>
      <c r="L3" t="s">
        <v>1035</v>
      </c>
      <c r="M3" t="s">
        <v>1036</v>
      </c>
      <c r="N3" t="s">
        <v>1037</v>
      </c>
      <c r="P3" t="s">
        <v>915</v>
      </c>
      <c r="Q3" t="s">
        <v>1038</v>
      </c>
      <c r="R3" t="s">
        <v>1039</v>
      </c>
      <c r="S3" t="s">
        <v>1040</v>
      </c>
      <c r="T3" t="s">
        <v>1041</v>
      </c>
      <c r="U3" t="s">
        <v>1042</v>
      </c>
      <c r="V3" t="s">
        <v>1043</v>
      </c>
      <c r="W3" t="s">
        <v>1044</v>
      </c>
      <c r="X3" t="s">
        <v>1045</v>
      </c>
      <c r="Y3" t="s">
        <v>1046</v>
      </c>
      <c r="Z3" t="s">
        <v>1047</v>
      </c>
      <c r="AA3" t="s">
        <v>1048</v>
      </c>
      <c r="AB3" t="s">
        <v>1049</v>
      </c>
    </row>
    <row r="4" spans="1:28">
      <c r="B4" t="s">
        <v>933</v>
      </c>
      <c r="C4">
        <f>IF(SUMIFS('TERadj'!HX2:HX100,'TERadj'!HX2:HX100,"&gt;0")/1000,SUMIFS('TERadj'!HX2:HX100,'TERadj'!HX2:HX100,"&gt;0")/1000,"")</f>
        <v>0</v>
      </c>
      <c r="D4">
        <f>IF(SUMIFS('TERadj'!HY2:HY100,'TERadj'!HY2:HY100,"&gt;0")/1000,SUMIFS('TERadj'!HY2:HY100,'TERadj'!HY2:HY100,"&gt;0")/1000,"")</f>
        <v>0</v>
      </c>
      <c r="E4">
        <f>IF(SUMIFS('TERadj'!HZ2:HZ100,'TERadj'!HZ2:HZ100,"&gt;0")/1000,SUMIFS('TERadj'!HZ2:HZ100,'TERadj'!HZ2:HZ100,"&gt;0")/1000,"")</f>
        <v>0</v>
      </c>
      <c r="F4">
        <f>IF(SUMIFS('TERadj'!IA2:IA100,'TERadj'!IA2:IA100,"&gt;0")/1000,SUMIFS('TERadj'!IA2:IA100,'TERadj'!IA2:IA100,"&gt;0")/1000,"")</f>
        <v>0</v>
      </c>
      <c r="G4">
        <f>IF(SUMIFS('TERadj'!IB2:IB100,'TERadj'!IB2:IB100,"&gt;0")/1000,SUMIFS('TERadj'!IB2:IB100,'TERadj'!IB2:IB100,"&gt;0")/1000,"")</f>
        <v>0</v>
      </c>
      <c r="H4">
        <f>IF(SUMIFS('TERadj'!IC2:IC100,'TERadj'!IC2:IC100,"&gt;0")/1000,SUMIFS('TERadj'!IC2:IC100,'TERadj'!IC2:IC100,"&gt;0")/1000,"")</f>
        <v>0</v>
      </c>
      <c r="I4">
        <f>IF(SUMIFS('TERadj'!ID2:ID100,'TERadj'!ID2:ID100,"&gt;0")/1000,SUMIFS('TERadj'!ID2:ID100,'TERadj'!ID2:ID100,"&gt;0")/1000,"")</f>
        <v>0</v>
      </c>
      <c r="K4">
        <f>IF(SUMIFS('TERadj'!IE2:IE100,'TERadj'!IE2:IE100,"&gt;0")/1000,SUMIFS('TERadj'!IE2:IE100,'TERadj'!IE2:IE100,"&gt;0")/1000,"")</f>
        <v>0</v>
      </c>
      <c r="L4">
        <f>IF(SUMIFS('TERadj'!IF2:IF100,'TERadj'!IF2:IF100,"&gt;0")/1000,SUMIFS('TERadj'!IF2:IF100,'TERadj'!IF2:IF100,"&gt;0")/1000,"")</f>
        <v>0</v>
      </c>
      <c r="M4">
        <f>IF(SUMIFS('TERadj'!IG2:IG100,'TERadj'!IG2:IG100,"&gt;0")/1000,SUMIFS('TERadj'!IG2:IG100,'TERadj'!IG2:IG100,"&gt;0")/1000,"")</f>
        <v>0</v>
      </c>
      <c r="N4">
        <f>IF(SUMIFS('TERadj'!IH2:IH100,'TERadj'!IH2:IH100,"&gt;0")/1000,SUMIFS('TERadj'!IH2:IH100,'TERadj'!IH2:IH100,"&gt;0")/1000,"")</f>
        <v>0</v>
      </c>
      <c r="P4" t="s">
        <v>933</v>
      </c>
      <c r="Q4" cm="1">
        <f t="array" ref="Q4">IF(COUNT(_xlfn._xlws.FILTER('TERadj'!HX2:HX100, ('TERadj'!HX2:HX100&gt;0))),COUNT(_xlfn._xlws.FILTER('TERadj'!HX2:HX100, ('TERadj'!HX2:HX100&gt;0))),"")</f>
        <v>0</v>
      </c>
      <c r="R4" cm="1">
        <f t="array" ref="R4">IF(COUNT(_xlfn._xlws.FILTER('TERadj'!HY2:HY100, ('TERadj'!HY2:HY100&gt;0))),COUNT(_xlfn._xlws.FILTER('TERadj'!HY2:HY100, ('TERadj'!HY2:HY100&gt;0))),"")</f>
        <v>0</v>
      </c>
      <c r="S4" cm="1">
        <f t="array" ref="S4">IF(COUNT(_xlfn._xlws.FILTER('TERadj'!HZ2:HZ100, ('TERadj'!HZ2:HZ100&gt;0))),COUNT(_xlfn._xlws.FILTER('TERadj'!HZ2:HZ100, ('TERadj'!HZ2:HZ100&gt;0))),"")</f>
        <v>0</v>
      </c>
      <c r="T4" cm="1">
        <f t="array" ref="T4">IF(COUNT(_xlfn._xlws.FILTER('TERadj'!IA2:IA100, ('TERadj'!IA2:IA100&gt;0))),COUNT(_xlfn._xlws.FILTER('TERadj'!IA2:IA100, ('TERadj'!IA2:IA100&gt;0))),"")</f>
        <v>0</v>
      </c>
      <c r="U4" cm="1">
        <f t="array" ref="U4">IF(COUNT(_xlfn._xlws.FILTER('TERadj'!IB2:IB100, ('TERadj'!IB2:IB100&gt;0))),COUNT(_xlfn._xlws.FILTER('TERadj'!IB2:IB100, ('TERadj'!IB2:IB100&gt;0))),"")</f>
        <v>0</v>
      </c>
      <c r="V4" cm="1">
        <f t="array" ref="V4">IF(COUNT(_xlfn._xlws.FILTER('TERadj'!IC2:IC100, ('TERadj'!IC2:IC100&gt;0))),COUNT(_xlfn._xlws.FILTER('TERadj'!IC2:IC100, ('TERadj'!IC2:IC100&gt;0))),"")</f>
        <v>0</v>
      </c>
      <c r="W4" cm="1">
        <f t="array" ref="W4">IF(COUNT(_xlfn._xlws.FILTER('TERadj'!ID2:ID100, ('TERadj'!ID2:ID100&gt;0))),COUNT(_xlfn._xlws.FILTER('TERadj'!ID2:ID100, ('TERadj'!ID2:ID100&gt;0))),"")</f>
        <v>0</v>
      </c>
      <c r="Y4" cm="1">
        <f t="array" ref="Y4">IF(COUNT(_xlfn._xlws.FILTER('TERadj'!IE2:IE100, ('TERadj'!IE2:IE100&gt;0))),COUNT(_xlfn._xlws.FILTER('TERadj'!IE2:IE100, ('TERadj'!IE2:IE100&gt;0))),"")</f>
        <v>0</v>
      </c>
      <c r="Z4" cm="1">
        <f t="array" ref="Z4">IF(COUNT(_xlfn._xlws.FILTER('TERadj'!IF2:IF100, ('TERadj'!IF2:IF100&gt;0))),COUNT(_xlfn._xlws.FILTER('TERadj'!IF2:IF100, ('TERadj'!IF2:IF100&gt;0))),"")</f>
        <v>0</v>
      </c>
      <c r="AA4" cm="1">
        <f t="array" ref="AA4">IF(COUNT(_xlfn._xlws.FILTER('TERadj'!IG2:IG100, ('TERadj'!IG2:IG100&gt;0))),COUNT(_xlfn._xlws.FILTER('TERadj'!IG2:IG100, ('TERadj'!IG2:IG100&gt;0))),"")</f>
        <v>0</v>
      </c>
      <c r="AB4" cm="1">
        <f t="array" ref="AB4">IF(COUNT(_xlfn._xlws.FILTER('TERadj'!IH2:IH100, ('TERadj'!IH2:IH100&gt;0))),COUNT(_xlfn._xlws.FILTER('TERadj'!IH2:IH100, ('TERadj'!IH2:IH100&gt;0))),"")</f>
        <v>0</v>
      </c>
    </row>
    <row r="5" spans="1:28">
      <c r="B5" t="s">
        <v>934</v>
      </c>
      <c r="C5">
        <f>IF(SUMIFS('TERadj'!II2:II100,'TERadj'!II2:II100,"&gt;0")/1000,SUMIFS('TERadj'!II2:II100,'TERadj'!II2:II100,"&gt;0")/1000,"")</f>
        <v>0</v>
      </c>
      <c r="D5">
        <f>IF(SUMIFS('TERadj'!IJ2:IJ100,'TERadj'!IJ2:IJ100,"&gt;0")/1000,SUMIFS('TERadj'!IJ2:IJ100,'TERadj'!IJ2:IJ100,"&gt;0")/1000,"")</f>
        <v>0</v>
      </c>
      <c r="E5">
        <f>IF(SUMIFS('TERadj'!IK2:IK100,'TERadj'!IK2:IK100,"&gt;0")/1000,SUMIFS('TERadj'!IK2:IK100,'TERadj'!IK2:IK100,"&gt;0")/1000,"")</f>
        <v>0</v>
      </c>
      <c r="F5">
        <f>IF(SUMIFS('TERadj'!IL2:IL100,'TERadj'!IL2:IL100,"&gt;0")/1000,SUMIFS('TERadj'!IL2:IL100,'TERadj'!IL2:IL100,"&gt;0")/1000,"")</f>
        <v>0</v>
      </c>
      <c r="G5">
        <f>IF(SUMIFS('TERadj'!IM2:IM100,'TERadj'!IM2:IM100,"&gt;0")/1000,SUMIFS('TERadj'!IM2:IM100,'TERadj'!IM2:IM100,"&gt;0")/1000,"")</f>
        <v>0</v>
      </c>
      <c r="H5">
        <f>IF(SUMIFS('TERadj'!IN2:IN100,'TERadj'!IN2:IN100,"&gt;0")/1000,SUMIFS('TERadj'!IN2:IN100,'TERadj'!IN2:IN100,"&gt;0")/1000,"")</f>
        <v>0</v>
      </c>
      <c r="I5">
        <f>IF(SUMIFS('TERadj'!IO2:IO100,'TERadj'!IO2:IO100,"&gt;0")/1000,SUMIFS('TERadj'!IO2:IO100,'TERadj'!IO2:IO100,"&gt;0")/1000,"")</f>
        <v>0</v>
      </c>
      <c r="K5">
        <f>IF(SUMIFS('TERadj'!IP2:IP100,'TERadj'!IP2:IP100,"&gt;0")/1000,SUMIFS('TERadj'!IP2:IP100,'TERadj'!IP2:IP100,"&gt;0")/1000,"")</f>
        <v>0</v>
      </c>
      <c r="L5">
        <f>IF(SUMIFS('TERadj'!IQ2:IQ100,'TERadj'!IQ2:IQ100,"&gt;0")/1000,SUMIFS('TERadj'!IQ2:IQ100,'TERadj'!IQ2:IQ100,"&gt;0")/1000,"")</f>
        <v>0</v>
      </c>
      <c r="M5">
        <f>IF(SUMIFS('TERadj'!IR2:IR100,'TERadj'!IR2:IR100,"&gt;0")/1000,SUMIFS('TERadj'!IR2:IR100,'TERadj'!IR2:IR100,"&gt;0")/1000,"")</f>
        <v>0</v>
      </c>
      <c r="N5">
        <f>IF(SUMIFS('TERadj'!IS2:IS100,'TERadj'!IS2:IS100,"&gt;0")/1000,SUMIFS('TERadj'!IS2:IS100,'TERadj'!IS2:IS100,"&gt;0")/1000,"")</f>
        <v>0</v>
      </c>
      <c r="P5" t="s">
        <v>934</v>
      </c>
      <c r="Q5" cm="1">
        <f t="array" ref="Q5">IF(COUNT(_xlfn._xlws.FILTER('TERadj'!II2:II100, ('TERadj'!II2:II100&gt;0))),COUNT(_xlfn._xlws.FILTER('TERadj'!II2:II100, ('TERadj'!II2:II100&gt;0))),"")</f>
        <v>0</v>
      </c>
      <c r="R5" cm="1">
        <f t="array" ref="R5">IF(COUNT(_xlfn._xlws.FILTER('TERadj'!IJ2:IJ100, ('TERadj'!IJ2:IJ100&gt;0))),COUNT(_xlfn._xlws.FILTER('TERadj'!IJ2:IJ100, ('TERadj'!IJ2:IJ100&gt;0))),"")</f>
        <v>0</v>
      </c>
      <c r="S5" cm="1">
        <f t="array" ref="S5">IF(COUNT(_xlfn._xlws.FILTER('TERadj'!IK2:IK100, ('TERadj'!IK2:IK100&gt;0))),COUNT(_xlfn._xlws.FILTER('TERadj'!IK2:IK100, ('TERadj'!IK2:IK100&gt;0))),"")</f>
        <v>0</v>
      </c>
      <c r="T5" cm="1">
        <f t="array" ref="T5">IF(COUNT(_xlfn._xlws.FILTER('TERadj'!IL2:IL100, ('TERadj'!IL2:IL100&gt;0))),COUNT(_xlfn._xlws.FILTER('TERadj'!IL2:IL100, ('TERadj'!IL2:IL100&gt;0))),"")</f>
        <v>0</v>
      </c>
      <c r="U5" cm="1">
        <f t="array" ref="U5">IF(COUNT(_xlfn._xlws.FILTER('TERadj'!IM2:IM100, ('TERadj'!IM2:IM100&gt;0))),COUNT(_xlfn._xlws.FILTER('TERadj'!IM2:IM100, ('TERadj'!IM2:IM100&gt;0))),"")</f>
        <v>0</v>
      </c>
      <c r="V5" cm="1">
        <f t="array" ref="V5">IF(COUNT(_xlfn._xlws.FILTER('TERadj'!IN2:IN100, ('TERadj'!IN2:IN100&gt;0))),COUNT(_xlfn._xlws.FILTER('TERadj'!IN2:IN100, ('TERadj'!IN2:IN100&gt;0))),"")</f>
        <v>0</v>
      </c>
      <c r="W5" cm="1">
        <f t="array" ref="W5">IF(COUNT(_xlfn._xlws.FILTER('TERadj'!IO2:IO100, ('TERadj'!IO2:IO100&gt;0))),COUNT(_xlfn._xlws.FILTER('TERadj'!IO2:IO100, ('TERadj'!IO2:IO100&gt;0))),"")</f>
        <v>0</v>
      </c>
      <c r="Y5" cm="1">
        <f t="array" ref="Y5">IF(COUNT(_xlfn._xlws.FILTER('TERadj'!IP2:IP100, ('TERadj'!IP2:IP100&gt;0))),COUNT(_xlfn._xlws.FILTER('TERadj'!IP2:IP100, ('TERadj'!IP2:IP100&gt;0))),"")</f>
        <v>0</v>
      </c>
      <c r="Z5" cm="1">
        <f t="array" ref="Z5">IF(COUNT(_xlfn._xlws.FILTER('TERadj'!IQ2:IQ100, ('TERadj'!IQ2:IQ100&gt;0))),COUNT(_xlfn._xlws.FILTER('TERadj'!IQ2:IQ100, ('TERadj'!IQ2:IQ100&gt;0))),"")</f>
        <v>0</v>
      </c>
      <c r="AA5" cm="1">
        <f t="array" ref="AA5">IF(COUNT(_xlfn._xlws.FILTER('TERadj'!IR2:IR100, ('TERadj'!IR2:IR100&gt;0))),COUNT(_xlfn._xlws.FILTER('TERadj'!IR2:IR100, ('TERadj'!IR2:IR100&gt;0))),"")</f>
        <v>0</v>
      </c>
      <c r="AB5" cm="1">
        <f t="array" ref="AB5">IF(COUNT(_xlfn._xlws.FILTER('TERadj'!IS2:IS100, ('TERadj'!IS2:IS100&gt;0))),COUNT(_xlfn._xlws.FILTER('TERadj'!IS2:IS100, ('TERadj'!IS2:IS100&gt;0))),"")</f>
        <v>0</v>
      </c>
    </row>
    <row r="6" spans="1:28">
      <c r="B6" t="s">
        <v>935</v>
      </c>
      <c r="C6">
        <f>IF(SUMIFS('TERadj'!IT2:IT100,'TERadj'!IT2:IT100,"&gt;0")/1000,SUMIFS('TERadj'!IT2:IT100,'TERadj'!IT2:IT100,"&gt;0")/1000,"")</f>
        <v>0</v>
      </c>
      <c r="D6">
        <f>IF(SUMIFS('TERadj'!IU2:IU100,'TERadj'!IU2:IU100,"&gt;0")/1000,SUMIFS('TERadj'!IU2:IU100,'TERadj'!IU2:IU100,"&gt;0")/1000,"")</f>
        <v>0</v>
      </c>
      <c r="E6">
        <f>IF(SUMIFS('TERadj'!IV2:IV100,'TERadj'!IV2:IV100,"&gt;0")/1000,SUMIFS('TERadj'!IV2:IV100,'TERadj'!IV2:IV100,"&gt;0")/1000,"")</f>
        <v>0</v>
      </c>
      <c r="F6">
        <f>IF(SUMIFS('TERadj'!IW2:IW100,'TERadj'!IW2:IW100,"&gt;0")/1000,SUMIFS('TERadj'!IW2:IW100,'TERadj'!IW2:IW100,"&gt;0")/1000,"")</f>
        <v>0</v>
      </c>
      <c r="G6">
        <f>IF(SUMIFS('TERadj'!IX2:IX100,'TERadj'!IX2:IX100,"&gt;0")/1000,SUMIFS('TERadj'!IX2:IX100,'TERadj'!IX2:IX100,"&gt;0")/1000,"")</f>
        <v>0</v>
      </c>
      <c r="H6">
        <f>IF(SUMIFS('TERadj'!IY2:IY100,'TERadj'!IY2:IY100,"&gt;0")/1000,SUMIFS('TERadj'!IY2:IY100,'TERadj'!IY2:IY100,"&gt;0")/1000,"")</f>
        <v>0</v>
      </c>
      <c r="I6">
        <f>IF(SUMIFS('TERadj'!IZ2:IZ100,'TERadj'!IZ2:IZ100,"&gt;0")/1000,SUMIFS('TERadj'!IZ2:IZ100,'TERadj'!IZ2:IZ100,"&gt;0")/1000,"")</f>
        <v>0</v>
      </c>
      <c r="K6">
        <f>IF(SUMIFS('TERadj'!JA2:JA100,'TERadj'!JA2:JA100,"&gt;0")/1000,SUMIFS('TERadj'!JA2:JA100,'TERadj'!JA2:JA100,"&gt;0")/1000,"")</f>
        <v>0</v>
      </c>
      <c r="L6">
        <f>IF(SUMIFS('TERadj'!JB2:JB100,'TERadj'!JB2:JB100,"&gt;0")/1000,SUMIFS('TERadj'!JB2:JB100,'TERadj'!JB2:JB100,"&gt;0")/1000,"")</f>
        <v>0</v>
      </c>
      <c r="M6">
        <f>IF(SUMIFS('TERadj'!JC2:JC100,'TERadj'!JC2:JC100,"&gt;0")/1000,SUMIFS('TERadj'!JC2:JC100,'TERadj'!JC2:JC100,"&gt;0")/1000,"")</f>
        <v>0</v>
      </c>
      <c r="N6">
        <f>IF(SUMIFS('TERadj'!JD2:JD100,'TERadj'!JD2:JD100,"&gt;0")/1000,SUMIFS('TERadj'!JD2:JD100,'TERadj'!JD2:JD100,"&gt;0")/1000,"")</f>
        <v>0</v>
      </c>
      <c r="P6" t="s">
        <v>935</v>
      </c>
      <c r="Q6" cm="1">
        <f t="array" ref="Q6">IF(COUNT(_xlfn._xlws.FILTER('TERadj'!IT2:IT100, ('TERadj'!IT2:IT100&gt;0))),COUNT(_xlfn._xlws.FILTER('TERadj'!IT2:IT100, ('TERadj'!IT2:IT100&gt;0))),"")</f>
        <v>0</v>
      </c>
      <c r="R6" cm="1">
        <f t="array" ref="R6">IF(COUNT(_xlfn._xlws.FILTER('TERadj'!IU2:IU100, ('TERadj'!IU2:IU100&gt;0))),COUNT(_xlfn._xlws.FILTER('TERadj'!IU2:IU100, ('TERadj'!IU2:IU100&gt;0))),"")</f>
        <v>0</v>
      </c>
      <c r="S6" cm="1">
        <f t="array" ref="S6">IF(COUNT(_xlfn._xlws.FILTER('TERadj'!IV2:IV100, ('TERadj'!IV2:IV100&gt;0))),COUNT(_xlfn._xlws.FILTER('TERadj'!IV2:IV100, ('TERadj'!IV2:IV100&gt;0))),"")</f>
        <v>0</v>
      </c>
      <c r="T6" cm="1">
        <f t="array" ref="T6">IF(COUNT(_xlfn._xlws.FILTER('TERadj'!IW2:IW100, ('TERadj'!IW2:IW100&gt;0))),COUNT(_xlfn._xlws.FILTER('TERadj'!IW2:IW100, ('TERadj'!IW2:IW100&gt;0))),"")</f>
        <v>0</v>
      </c>
      <c r="U6" cm="1">
        <f t="array" ref="U6">IF(COUNT(_xlfn._xlws.FILTER('TERadj'!IX2:IX100, ('TERadj'!IX2:IX100&gt;0))),COUNT(_xlfn._xlws.FILTER('TERadj'!IX2:IX100, ('TERadj'!IX2:IX100&gt;0))),"")</f>
        <v>0</v>
      </c>
      <c r="V6" cm="1">
        <f t="array" ref="V6">IF(COUNT(_xlfn._xlws.FILTER('TERadj'!IY2:IY100, ('TERadj'!IY2:IY100&gt;0))),COUNT(_xlfn._xlws.FILTER('TERadj'!IY2:IY100, ('TERadj'!IY2:IY100&gt;0))),"")</f>
        <v>0</v>
      </c>
      <c r="W6" cm="1">
        <f t="array" ref="W6">IF(COUNT(_xlfn._xlws.FILTER('TERadj'!IZ2:IZ100, ('TERadj'!IZ2:IZ100&gt;0))),COUNT(_xlfn._xlws.FILTER('TERadj'!IZ2:IZ100, ('TERadj'!IZ2:IZ100&gt;0))),"")</f>
        <v>0</v>
      </c>
      <c r="Y6" cm="1">
        <f t="array" ref="Y6">IF(COUNT(_xlfn._xlws.FILTER('TERadj'!JA2:JA100, ('TERadj'!JA2:JA100&gt;0))),COUNT(_xlfn._xlws.FILTER('TERadj'!JA2:JA100, ('TERadj'!JA2:JA100&gt;0))),"")</f>
        <v>0</v>
      </c>
      <c r="Z6" cm="1">
        <f t="array" ref="Z6">IF(COUNT(_xlfn._xlws.FILTER('TERadj'!JB2:JB100, ('TERadj'!JB2:JB100&gt;0))),COUNT(_xlfn._xlws.FILTER('TERadj'!JB2:JB100, ('TERadj'!JB2:JB100&gt;0))),"")</f>
        <v>0</v>
      </c>
      <c r="AA6" cm="1">
        <f t="array" ref="AA6">IF(COUNT(_xlfn._xlws.FILTER('TERadj'!JC2:JC100, ('TERadj'!JC2:JC100&gt;0))),COUNT(_xlfn._xlws.FILTER('TERadj'!JC2:JC100, ('TERadj'!JC2:JC100&gt;0))),"")</f>
        <v>0</v>
      </c>
      <c r="AB6" cm="1">
        <f t="array" ref="AB6">IF(COUNT(_xlfn._xlws.FILTER('TERadj'!JD2:JD100, ('TERadj'!JD2:JD100&gt;0))),COUNT(_xlfn._xlws.FILTER('TERadj'!JD2:JD100, ('TERadj'!JD2:JD100&gt;0))),"")</f>
        <v>0</v>
      </c>
    </row>
    <row r="7" spans="1:28">
      <c r="B7" t="s">
        <v>878</v>
      </c>
      <c r="C7">
        <f>IF(SUMIFS('TERadj'!JE2:JE100,'TERadj'!JE2:JE100,"&gt;0")/1000,SUMIFS('TERadj'!JE2:JE100,'TERadj'!JE2:JE100,"&gt;0")/1000,"")</f>
        <v>0</v>
      </c>
      <c r="D7">
        <f>IF(SUMIFS('TERadj'!JF2:JF100,'TERadj'!JF2:JF100,"&gt;0")/1000,SUMIFS('TERadj'!JF2:JF100,'TERadj'!JF2:JF100,"&gt;0")/1000,"")</f>
        <v>0</v>
      </c>
      <c r="E7">
        <f>IF(SUMIFS('TERadj'!JG2:JG100,'TERadj'!JG2:JG100,"&gt;0")/1000,SUMIFS('TERadj'!JG2:JG100,'TERadj'!JG2:JG100,"&gt;0")/1000,"")</f>
        <v>0</v>
      </c>
      <c r="F7">
        <f>IF(SUMIFS('TERadj'!JH2:JH100,'TERadj'!JH2:JH100,"&gt;0")/1000,SUMIFS('TERadj'!JH2:JH100,'TERadj'!JH2:JH100,"&gt;0")/1000,"")</f>
        <v>0</v>
      </c>
      <c r="G7">
        <f>IF(SUMIFS('TERadj'!JI2:JI100,'TERadj'!JI2:JI100,"&gt;0")/1000,SUMIFS('TERadj'!JI2:JI100,'TERadj'!JI2:JI100,"&gt;0")/1000,"")</f>
        <v>0</v>
      </c>
      <c r="H7">
        <f>IF(SUMIFS('TERadj'!JJ2:JJ100,'TERadj'!JJ2:JJ100,"&gt;0")/1000,SUMIFS('TERadj'!JJ2:JJ100,'TERadj'!JJ2:JJ100,"&gt;0")/1000,"")</f>
        <v>0</v>
      </c>
      <c r="I7">
        <f>IF(SUMIFS('TERadj'!JK2:JK100,'TERadj'!JK2:JK100,"&gt;0")/1000,SUMIFS('TERadj'!JK2:JK100,'TERadj'!JK2:JK100,"&gt;0")/1000,"")</f>
        <v>0</v>
      </c>
      <c r="K7">
        <f>IF(SUMIFS('TERadj'!JL2:JL100,'TERadj'!JL2:JL100,"&gt;0")/1000,SUMIFS('TERadj'!JL2:JL100,'TERadj'!JL2:JL100,"&gt;0")/1000,"")</f>
        <v>0</v>
      </c>
      <c r="L7">
        <f>IF(SUMIFS('TERadj'!JM2:JM100,'TERadj'!JM2:JM100,"&gt;0")/1000,SUMIFS('TERadj'!JM2:JM100,'TERadj'!JM2:JM100,"&gt;0")/1000,"")</f>
        <v>0</v>
      </c>
      <c r="M7">
        <f>IF(SUMIFS('TERadj'!JN2:JN100,'TERadj'!JN2:JN100,"&gt;0")/1000,SUMIFS('TERadj'!JN2:JN100,'TERadj'!JN2:JN100,"&gt;0")/1000,"")</f>
        <v>0</v>
      </c>
      <c r="N7">
        <f>IF(SUMIFS('TERadj'!JO2:JO100,'TERadj'!JO2:JO100,"&gt;0")/1000,SUMIFS('TERadj'!JO2:JO100,'TERadj'!JO2:JO100,"&gt;0")/1000,"")</f>
        <v>0</v>
      </c>
      <c r="P7" t="s">
        <v>878</v>
      </c>
      <c r="Q7" cm="1">
        <f t="array" ref="Q7">IF(COUNT(_xlfn._xlws.FILTER('TERadj'!JE2:JE100, ('TERadj'!JE2:JE100&gt;0))),COUNT(_xlfn._xlws.FILTER('TERadj'!JE2:JE100, ('TERadj'!JE2:JE100&gt;0))),"")</f>
        <v>0</v>
      </c>
      <c r="R7" cm="1">
        <f t="array" ref="R7">IF(COUNT(_xlfn._xlws.FILTER('TERadj'!JF2:JF100, ('TERadj'!JF2:JF100&gt;0))),COUNT(_xlfn._xlws.FILTER('TERadj'!JF2:JF100, ('TERadj'!JF2:JF100&gt;0))),"")</f>
        <v>0</v>
      </c>
      <c r="S7" cm="1">
        <f t="array" ref="S7">IF(COUNT(_xlfn._xlws.FILTER('TERadj'!JG2:JG100, ('TERadj'!JG2:JG100&gt;0))),COUNT(_xlfn._xlws.FILTER('TERadj'!JG2:JG100, ('TERadj'!JG2:JG100&gt;0))),"")</f>
        <v>0</v>
      </c>
      <c r="T7" cm="1">
        <f t="array" ref="T7">IF(COUNT(_xlfn._xlws.FILTER('TERadj'!JH2:JH100, ('TERadj'!JH2:JH100&gt;0))),COUNT(_xlfn._xlws.FILTER('TERadj'!JH2:JH100, ('TERadj'!JH2:JH100&gt;0))),"")</f>
        <v>0</v>
      </c>
      <c r="U7" cm="1">
        <f t="array" ref="U7">IF(COUNT(_xlfn._xlws.FILTER('TERadj'!JI2:JI100, ('TERadj'!JI2:JI100&gt;0))),COUNT(_xlfn._xlws.FILTER('TERadj'!JI2:JI100, ('TERadj'!JI2:JI100&gt;0))),"")</f>
        <v>0</v>
      </c>
      <c r="V7" cm="1">
        <f t="array" ref="V7">IF(COUNT(_xlfn._xlws.FILTER('TERadj'!JJ2:JJ100, ('TERadj'!JJ2:JJ100&gt;0))),COUNT(_xlfn._xlws.FILTER('TERadj'!JJ2:JJ100, ('TERadj'!JJ2:JJ100&gt;0))),"")</f>
        <v>0</v>
      </c>
      <c r="W7" cm="1">
        <f t="array" ref="W7">IF(COUNT(_xlfn._xlws.FILTER('TERadj'!JK2:JK100, ('TERadj'!JK2:JK100&gt;0))),COUNT(_xlfn._xlws.FILTER('TERadj'!JK2:JK100, ('TERadj'!JK2:JK100&gt;0))),"")</f>
        <v>0</v>
      </c>
      <c r="Y7" cm="1">
        <f t="array" ref="Y7">IF(COUNT(_xlfn._xlws.FILTER('TERadj'!JL2:JL100, ('TERadj'!JL2:JL100&gt;0))),COUNT(_xlfn._xlws.FILTER('TERadj'!JL2:JL100, ('TERadj'!JL2:JL100&gt;0))),"")</f>
        <v>0</v>
      </c>
      <c r="Z7" cm="1">
        <f t="array" ref="Z7">IF(COUNT(_xlfn._xlws.FILTER('TERadj'!JM2:JM100, ('TERadj'!JM2:JM100&gt;0))),COUNT(_xlfn._xlws.FILTER('TERadj'!JM2:JM100, ('TERadj'!JM2:JM100&gt;0))),"")</f>
        <v>0</v>
      </c>
      <c r="AA7" cm="1">
        <f t="array" ref="AA7">IF(COUNT(_xlfn._xlws.FILTER('TERadj'!JN2:JN100, ('TERadj'!JN2:JN100&gt;0))),COUNT(_xlfn._xlws.FILTER('TERadj'!JN2:JN100, ('TERadj'!JN2:JN100&gt;0))),"")</f>
        <v>0</v>
      </c>
      <c r="AB7" cm="1">
        <f t="array" ref="AB7">IF(COUNT(_xlfn._xlws.FILTER('TERadj'!JO2:JO100, ('TERadj'!JO2:JO100&gt;0))),COUNT(_xlfn._xlws.FILTER('TERadj'!JO2:JO100, ('TERadj'!JO2:JO100&gt;0))),"")</f>
        <v>0</v>
      </c>
    </row>
    <row r="8" spans="1:28">
      <c r="B8" t="s">
        <v>936</v>
      </c>
      <c r="C8">
        <f>IF(SUMIFS('TERadj'!JP2:JP100,'TERadj'!JP2:JP100,"&gt;0")/1000,SUMIFS('TERadj'!JP2:JP100,'TERadj'!JP2:JP100,"&gt;0")/1000,"")</f>
        <v>0</v>
      </c>
      <c r="D8">
        <f>IF(SUMIFS('TERadj'!JQ2:JQ100,'TERadj'!JQ2:JQ100,"&gt;0")/1000,SUMIFS('TERadj'!JQ2:JQ100,'TERadj'!JQ2:JQ100,"&gt;0")/1000,"")</f>
        <v>0</v>
      </c>
      <c r="E8">
        <f>IF(SUMIFS('TERadj'!JR2:JR100,'TERadj'!JR2:JR100,"&gt;0")/1000,SUMIFS('TERadj'!JR2:JR100,'TERadj'!JR2:JR100,"&gt;0")/1000,"")</f>
        <v>0</v>
      </c>
      <c r="F8">
        <f>IF(SUMIFS('TERadj'!JS2:JS100,'TERadj'!JS2:JS100,"&gt;0")/1000,SUMIFS('TERadj'!JS2:JS100,'TERadj'!JS2:JS100,"&gt;0")/1000,"")</f>
        <v>0</v>
      </c>
      <c r="G8">
        <f>IF(SUMIFS('TERadj'!JT2:JT100,'TERadj'!JT2:JT100,"&gt;0")/1000,SUMIFS('TERadj'!JT2:JT100,'TERadj'!JT2:JT100,"&gt;0")/1000,"")</f>
        <v>0</v>
      </c>
      <c r="H8">
        <f>IF(SUMIFS('TERadj'!JU2:JU100,'TERadj'!JU2:JU100,"&gt;0")/1000,SUMIFS('TERadj'!JU2:JU100,'TERadj'!JU2:JU100,"&gt;0")/1000,"")</f>
        <v>0</v>
      </c>
      <c r="I8">
        <f>IF(SUMIFS('TERadj'!JV2:JV100,'TERadj'!JV2:JV100,"&gt;0")/1000,SUMIFS('TERadj'!JV2:JV100,'TERadj'!JV2:JV100,"&gt;0")/1000,"")</f>
        <v>0</v>
      </c>
      <c r="K8">
        <f>IF(SUMIFS('TERadj'!JW2:JW100,'TERadj'!JW2:JW100,"&gt;0")/1000,SUMIFS('TERadj'!JW2:JW100,'TERadj'!JW2:JW100,"&gt;0")/1000,"")</f>
        <v>0</v>
      </c>
      <c r="L8">
        <f>IF(SUMIFS('TERadj'!JX2:JX100,'TERadj'!JX2:JX100,"&gt;0")/1000,SUMIFS('TERadj'!JX2:JX100,'TERadj'!JX2:JX100,"&gt;0")/1000,"")</f>
        <v>0</v>
      </c>
      <c r="M8">
        <f>IF(SUMIFS('TERadj'!JY2:JY100,'TERadj'!JY2:JY100,"&gt;0")/1000,SUMIFS('TERadj'!JY2:JY100,'TERadj'!JY2:JY100,"&gt;0")/1000,"")</f>
        <v>0</v>
      </c>
      <c r="N8">
        <f>IF(SUMIFS('TERadj'!JZ2:JZ100,'TERadj'!JZ2:JZ100,"&gt;0")/1000,SUMIFS('TERadj'!JZ2:JZ100,'TERadj'!JZ2:JZ100,"&gt;0")/1000,"")</f>
        <v>0</v>
      </c>
      <c r="P8" t="s">
        <v>936</v>
      </c>
      <c r="Q8" cm="1">
        <f t="array" ref="Q8">IF(COUNT(_xlfn._xlws.FILTER('TERadj'!JP2:JP100, ('TERadj'!JP2:JP100&gt;0))),COUNT(_xlfn._xlws.FILTER('TERadj'!JP2:JP100, ('TERadj'!JP2:JP100&gt;0))),"")</f>
        <v>0</v>
      </c>
      <c r="R8" cm="1">
        <f t="array" ref="R8">IF(COUNT(_xlfn._xlws.FILTER('TERadj'!JQ2:JQ100, ('TERadj'!JQ2:JQ100&gt;0))),COUNT(_xlfn._xlws.FILTER('TERadj'!JQ2:JQ100, ('TERadj'!JQ2:JQ100&gt;0))),"")</f>
        <v>0</v>
      </c>
      <c r="S8" cm="1">
        <f t="array" ref="S8">IF(COUNT(_xlfn._xlws.FILTER('TERadj'!JR2:JR100, ('TERadj'!JR2:JR100&gt;0))),COUNT(_xlfn._xlws.FILTER('TERadj'!JR2:JR100, ('TERadj'!JR2:JR100&gt;0))),"")</f>
        <v>0</v>
      </c>
      <c r="T8" cm="1">
        <f t="array" ref="T8">IF(COUNT(_xlfn._xlws.FILTER('TERadj'!JS2:JS100, ('TERadj'!JS2:JS100&gt;0))),COUNT(_xlfn._xlws.FILTER('TERadj'!JS2:JS100, ('TERadj'!JS2:JS100&gt;0))),"")</f>
        <v>0</v>
      </c>
      <c r="U8" cm="1">
        <f t="array" ref="U8">IF(COUNT(_xlfn._xlws.FILTER('TERadj'!JT2:JT100, ('TERadj'!JT2:JT100&gt;0))),COUNT(_xlfn._xlws.FILTER('TERadj'!JT2:JT100, ('TERadj'!JT2:JT100&gt;0))),"")</f>
        <v>0</v>
      </c>
      <c r="V8" cm="1">
        <f t="array" ref="V8">IF(COUNT(_xlfn._xlws.FILTER('TERadj'!JU2:JU100, ('TERadj'!JU2:JU100&gt;0))),COUNT(_xlfn._xlws.FILTER('TERadj'!JU2:JU100, ('TERadj'!JU2:JU100&gt;0))),"")</f>
        <v>0</v>
      </c>
      <c r="W8" cm="1">
        <f t="array" ref="W8">IF(COUNT(_xlfn._xlws.FILTER('TERadj'!JV2:JV100, ('TERadj'!JV2:JV100&gt;0))),COUNT(_xlfn._xlws.FILTER('TERadj'!JV2:JV100, ('TERadj'!JV2:JV100&gt;0))),"")</f>
        <v>0</v>
      </c>
      <c r="Y8" cm="1">
        <f t="array" ref="Y8">IF(COUNT(_xlfn._xlws.FILTER('TERadj'!JW2:JW100, ('TERadj'!JW2:JW100&gt;0))),COUNT(_xlfn._xlws.FILTER('TERadj'!JW2:JW100, ('TERadj'!JW2:JW100&gt;0))),"")</f>
        <v>0</v>
      </c>
      <c r="Z8" cm="1">
        <f t="array" ref="Z8">IF(COUNT(_xlfn._xlws.FILTER('TERadj'!JX2:JX100, ('TERadj'!JX2:JX100&gt;0))),COUNT(_xlfn._xlws.FILTER('TERadj'!JX2:JX100, ('TERadj'!JX2:JX100&gt;0))),"")</f>
        <v>0</v>
      </c>
      <c r="AA8" cm="1">
        <f t="array" ref="AA8">IF(COUNT(_xlfn._xlws.FILTER('TERadj'!JY2:JY100, ('TERadj'!JY2:JY100&gt;0))),COUNT(_xlfn._xlws.FILTER('TERadj'!JY2:JY100, ('TERadj'!JY2:JY100&gt;0))),"")</f>
        <v>0</v>
      </c>
      <c r="AB8" cm="1">
        <f t="array" ref="AB8">IF(COUNT(_xlfn._xlws.FILTER('TERadj'!JZ2:JZ100, ('TERadj'!JZ2:JZ100&gt;0))),COUNT(_xlfn._xlws.FILTER('TERadj'!JZ2:JZ100, ('TERadj'!JZ2:JZ100&gt;0))),"")</f>
        <v>0</v>
      </c>
    </row>
    <row r="9" spans="1:28">
      <c r="B9" t="s">
        <v>881</v>
      </c>
      <c r="C9">
        <f>IF(SUMIFS('TERadj'!KA2:KA100,'TERadj'!KA2:KA100,"&gt;0")/1000,SUMIFS('TERadj'!KA2:KA100,'TERadj'!KA2:KA100,"&gt;0")/1000,"")</f>
        <v>0</v>
      </c>
      <c r="D9">
        <f>IF(SUMIFS('TERadj'!KB2:KB100,'TERadj'!KB2:KB100,"&gt;0")/1000,SUMIFS('TERadj'!KB2:KB100,'TERadj'!KB2:KB100,"&gt;0")/1000,"")</f>
        <v>0</v>
      </c>
      <c r="E9">
        <f>IF(SUMIFS('TERadj'!KC2:KC100,'TERadj'!KC2:KC100,"&gt;0")/1000,SUMIFS('TERadj'!KC2:KC100,'TERadj'!KC2:KC100,"&gt;0")/1000,"")</f>
        <v>0</v>
      </c>
      <c r="F9">
        <f>IF(SUMIFS('TERadj'!KD2:KD100,'TERadj'!KD2:KD100,"&gt;0")/1000,SUMIFS('TERadj'!KD2:KD100,'TERadj'!KD2:KD100,"&gt;0")/1000,"")</f>
        <v>0</v>
      </c>
      <c r="G9">
        <f>IF(SUMIFS('TERadj'!KE2:KE100,'TERadj'!KE2:KE100,"&gt;0")/1000,SUMIFS('TERadj'!KE2:KE100,'TERadj'!KE2:KE100,"&gt;0")/1000,"")</f>
        <v>0</v>
      </c>
      <c r="H9">
        <f>IF(SUMIFS('TERadj'!KF2:KF100,'TERadj'!KF2:KF100,"&gt;0")/1000,SUMIFS('TERadj'!KF2:KF100,'TERadj'!KF2:KF100,"&gt;0")/1000,"")</f>
        <v>0</v>
      </c>
      <c r="I9">
        <f>IF(SUMIFS('TERadj'!KG2:KG100,'TERadj'!KG2:KG100,"&gt;0")/1000,SUMIFS('TERadj'!KG2:KG100,'TERadj'!KG2:KG100,"&gt;0")/1000,"")</f>
        <v>0</v>
      </c>
      <c r="K9">
        <f>IF(SUMIFS('TERadj'!KH2:KH100,'TERadj'!KH2:KH100,"&gt;0")/1000,SUMIFS('TERadj'!KH2:KH100,'TERadj'!KH2:KH100,"&gt;0")/1000,"")</f>
        <v>0</v>
      </c>
      <c r="L9">
        <f>IF(SUMIFS('TERadj'!KI2:KI100,'TERadj'!KI2:KI100,"&gt;0")/1000,SUMIFS('TERadj'!KI2:KI100,'TERadj'!KI2:KI100,"&gt;0")/1000,"")</f>
        <v>0</v>
      </c>
      <c r="M9">
        <f>IF(SUMIFS('TERadj'!KJ2:KJ100,'TERadj'!KJ2:KJ100,"&gt;0")/1000,SUMIFS('TERadj'!KJ2:KJ100,'TERadj'!KJ2:KJ100,"&gt;0")/1000,"")</f>
        <v>0</v>
      </c>
      <c r="N9">
        <f>IF(SUMIFS('TERadj'!KK2:KK100,'TERadj'!KK2:KK100,"&gt;0")/1000,SUMIFS('TERadj'!KK2:KK100,'TERadj'!KK2:KK100,"&gt;0")/1000,"")</f>
        <v>0</v>
      </c>
      <c r="P9" t="s">
        <v>881</v>
      </c>
      <c r="Q9" cm="1">
        <f t="array" ref="Q9">IF(COUNT(_xlfn._xlws.FILTER('TERadj'!KA2:KA100, ('TERadj'!KA2:KA100&gt;0))),COUNT(_xlfn._xlws.FILTER('TERadj'!KA2:KA100, ('TERadj'!KA2:KA100&gt;0))),"")</f>
        <v>0</v>
      </c>
      <c r="R9" cm="1">
        <f t="array" ref="R9">IF(COUNT(_xlfn._xlws.FILTER('TERadj'!KB2:KB100, ('TERadj'!KB2:KB100&gt;0))),COUNT(_xlfn._xlws.FILTER('TERadj'!KB2:KB100, ('TERadj'!KB2:KB100&gt;0))),"")</f>
        <v>0</v>
      </c>
      <c r="S9" cm="1">
        <f t="array" ref="S9">IF(COUNT(_xlfn._xlws.FILTER('TERadj'!KC2:KC100, ('TERadj'!KC2:KC100&gt;0))),COUNT(_xlfn._xlws.FILTER('TERadj'!KC2:KC100, ('TERadj'!KC2:KC100&gt;0))),"")</f>
        <v>0</v>
      </c>
      <c r="T9" cm="1">
        <f t="array" ref="T9">IF(COUNT(_xlfn._xlws.FILTER('TERadj'!KD2:KD100, ('TERadj'!KD2:KD100&gt;0))),COUNT(_xlfn._xlws.FILTER('TERadj'!KD2:KD100, ('TERadj'!KD2:KD100&gt;0))),"")</f>
        <v>0</v>
      </c>
      <c r="U9" cm="1">
        <f t="array" ref="U9">IF(COUNT(_xlfn._xlws.FILTER('TERadj'!KE2:KE100, ('TERadj'!KE2:KE100&gt;0))),COUNT(_xlfn._xlws.FILTER('TERadj'!KE2:KE100, ('TERadj'!KE2:KE100&gt;0))),"")</f>
        <v>0</v>
      </c>
      <c r="V9" cm="1">
        <f t="array" ref="V9">IF(COUNT(_xlfn._xlws.FILTER('TERadj'!KF2:KF100, ('TERadj'!KF2:KF100&gt;0))),COUNT(_xlfn._xlws.FILTER('TERadj'!KF2:KF100, ('TERadj'!KF2:KF100&gt;0))),"")</f>
        <v>0</v>
      </c>
      <c r="W9" cm="1">
        <f t="array" ref="W9">IF(COUNT(_xlfn._xlws.FILTER('TERadj'!KG2:KG100, ('TERadj'!KG2:KG100&gt;0))),COUNT(_xlfn._xlws.FILTER('TERadj'!KG2:KG100, ('TERadj'!KG2:KG100&gt;0))),"")</f>
        <v>0</v>
      </c>
      <c r="Y9" cm="1">
        <f t="array" ref="Y9">IF(COUNT(_xlfn._xlws.FILTER('TERadj'!KH2:KH100, ('TERadj'!KH2:KH100&gt;0))),COUNT(_xlfn._xlws.FILTER('TERadj'!KH2:KH100, ('TERadj'!KH2:KH100&gt;0))),"")</f>
        <v>0</v>
      </c>
      <c r="Z9" cm="1">
        <f t="array" ref="Z9">IF(COUNT(_xlfn._xlws.FILTER('TERadj'!KI2:KI100, ('TERadj'!KI2:KI100&gt;0))),COUNT(_xlfn._xlws.FILTER('TERadj'!KI2:KI100, ('TERadj'!KI2:KI100&gt;0))),"")</f>
        <v>0</v>
      </c>
      <c r="AA9" cm="1">
        <f t="array" ref="AA9">IF(COUNT(_xlfn._xlws.FILTER('TERadj'!KJ2:KJ100, ('TERadj'!KJ2:KJ100&gt;0))),COUNT(_xlfn._xlws.FILTER('TERadj'!KJ2:KJ100, ('TERadj'!KJ2:KJ100&gt;0))),"")</f>
        <v>0</v>
      </c>
      <c r="AB9" cm="1">
        <f t="array" ref="AB9">IF(COUNT(_xlfn._xlws.FILTER('TERadj'!KK2:KK100, ('TERadj'!KK2:KK100&gt;0))),COUNT(_xlfn._xlws.FILTER('TERadj'!KK2:KK100, ('TERadj'!KK2:KK100&gt;0))),"")</f>
        <v>0</v>
      </c>
    </row>
    <row r="10" spans="1:28">
      <c r="B10" t="s">
        <v>938</v>
      </c>
      <c r="P10" t="s">
        <v>938</v>
      </c>
    </row>
    <row r="12" spans="1:28">
      <c r="B12" t="s">
        <v>915</v>
      </c>
      <c r="C12" t="s">
        <v>1027</v>
      </c>
      <c r="D12" t="s">
        <v>1028</v>
      </c>
      <c r="E12" t="s">
        <v>1029</v>
      </c>
      <c r="F12" t="s">
        <v>1030</v>
      </c>
      <c r="G12" t="s">
        <v>1031</v>
      </c>
      <c r="H12" t="s">
        <v>1032</v>
      </c>
      <c r="I12" t="s">
        <v>1033</v>
      </c>
      <c r="J12" t="s">
        <v>1034</v>
      </c>
      <c r="K12" t="s">
        <v>894</v>
      </c>
      <c r="L12" t="s">
        <v>1035</v>
      </c>
      <c r="M12" t="s">
        <v>1036</v>
      </c>
      <c r="N12" t="s">
        <v>1037</v>
      </c>
    </row>
    <row r="13" spans="1:28">
      <c r="B13" t="s">
        <v>933</v>
      </c>
      <c r="C13" s="5">
        <f>IF(SUM(Q4:Q10) &gt; 0, IF(AND(SUM(C4:C10)&gt;0, ISNUMBER(C4)),C4/SUM(C4:C10), ""), "")</f>
        <v>0</v>
      </c>
      <c r="D13" s="5">
        <f>IF(SUM(Q4:Q10) &gt; 0, IF(AND(SUM(D4:D10)&gt;0, ISNUMBER(D4)),D4/SUM(D4:D10), ""), "")</f>
        <v>0</v>
      </c>
      <c r="E13" s="5">
        <f>IF(SUM(Q4:Q10) &gt; 0, IF(AND(SUM(E4:E10)&gt;0, ISNUMBER(E4)),E4/SUM(E4:E10), ""), "")</f>
        <v>0</v>
      </c>
      <c r="F13" s="5">
        <f>IF(SUM(Q4:Q10) &gt; 0, IF(AND(SUM(F4:F10)&gt;0, ISNUMBER(F4)),F4/SUM(F4:F10), ""), "")</f>
        <v>0</v>
      </c>
      <c r="G13" s="5">
        <f>IF(SUM(Q4:Q10) &gt; 0, IF(AND(SUM(G4:G10)&gt;0, ISNUMBER(G4)),G4/SUM(G4:G10), ""), "")</f>
        <v>0</v>
      </c>
      <c r="H13" s="5">
        <f>IF(SUM(Q4:Q10) &gt; 0, IF(AND(SUM(H4:H10)&gt;0, ISNUMBER(H4)),H4/SUM(H4:H10), ""), "")</f>
        <v>0</v>
      </c>
      <c r="I13" s="5">
        <f>IF(SUM(Q4:Q10) &gt; 0, IF(AND(SUM(I4:I10)&gt;0, ISNUMBER(I4)),I4/SUM(I4:I10), ""), "")</f>
        <v>0</v>
      </c>
      <c r="J13" s="5">
        <f>IF(SUM(Q4:Q10) &gt; 0, IF(AND(SUM(J4:J10)&gt;0, ISNUMBER(J4)),J4/SUM(J4:J10), ""), "")</f>
        <v>0</v>
      </c>
      <c r="K13" s="5">
        <f>IF(SUM(Q4:Q10) &gt; 0, IF(AND(SUM(K4:K10)&gt;0, ISNUMBER(K4)),K4/SUM(K4:K10), ""), "")</f>
        <v>0</v>
      </c>
      <c r="L13" s="5">
        <f>IF(SUM(Q4:Q10) &gt; 0, IF(AND(SUM(L4:L10)&gt;0, ISNUMBER(L4)),L4/SUM(L4:L10), ""), "")</f>
        <v>0</v>
      </c>
      <c r="M13" s="5">
        <f>IF(SUM(Q4:Q10) &gt; 0, IF(AND(SUM(M4:M10)&gt;0, ISNUMBER(M4)),M4/SUM(M4:M10), ""), "")</f>
        <v>0</v>
      </c>
      <c r="N13" s="5">
        <f>IF(SUM(Q4:Q10) &gt; 0, IF(AND(SUM(N4:N10)&gt;0, ISNUMBER(N4)),N4/SUM(N4:N10), ""), "")</f>
        <v>0</v>
      </c>
    </row>
    <row r="14" spans="1:28">
      <c r="B14" t="s">
        <v>934</v>
      </c>
      <c r="C14" s="5">
        <f>IF(SUM(Q4:Q10) &gt; 0, IF(AND(SUM(C4:C10)&gt;0, ISNUMBER(C5)),C5/SUM(C4:C10), ""), "")</f>
        <v>0</v>
      </c>
      <c r="D14" s="5">
        <f>IF(SUM(Q4:Q10) &gt; 0, IF(AND(SUM(D4:D10)&gt;0, ISNUMBER(D5)),D5/SUM(D4:D10), ""), "")</f>
        <v>0</v>
      </c>
      <c r="E14" s="5">
        <f>IF(SUM(Q4:Q10) &gt; 0, IF(AND(SUM(E4:E10)&gt;0, ISNUMBER(E5)),E5/SUM(E4:E10), ""), "")</f>
        <v>0</v>
      </c>
      <c r="F14" s="5">
        <f>IF(SUM(Q4:Q10) &gt; 0, IF(AND(SUM(F4:F10)&gt;0, ISNUMBER(F5)),F5/SUM(F4:F10), ""), "")</f>
        <v>0</v>
      </c>
      <c r="G14" s="5">
        <f>IF(SUM(Q4:Q10) &gt; 0, IF(AND(SUM(G4:G10)&gt;0, ISNUMBER(G5)),G5/SUM(G4:G10), ""), "")</f>
        <v>0</v>
      </c>
      <c r="H14" s="5">
        <f>IF(SUM(Q4:Q10) &gt; 0, IF(AND(SUM(H4:H10)&gt;0, ISNUMBER(H5)),H5/SUM(H4:H10), ""), "")</f>
        <v>0</v>
      </c>
      <c r="I14" s="5">
        <f>IF(SUM(Q4:Q10) &gt; 0, IF(AND(SUM(I4:I10)&gt;0, ISNUMBER(I5)),I5/SUM(I4:I10), ""), "")</f>
        <v>0</v>
      </c>
      <c r="J14" s="5">
        <f>IF(SUM(Q4:Q10) &gt; 0, IF(AND(SUM(J4:J10)&gt;0, ISNUMBER(J5)),J5/SUM(J4:J10), ""), "")</f>
        <v>0</v>
      </c>
      <c r="K14" s="5">
        <f>IF(SUM(Q4:Q10) &gt; 0, IF(AND(SUM(K4:K10)&gt;0, ISNUMBER(K5)),K5/SUM(K4:K10), ""), "")</f>
        <v>0</v>
      </c>
      <c r="L14" s="5">
        <f>IF(SUM(Q4:Q10) &gt; 0, IF(AND(SUM(L4:L10)&gt;0, ISNUMBER(L5)),L5/SUM(L4:L10), ""), "")</f>
        <v>0</v>
      </c>
      <c r="M14" s="5">
        <f>IF(SUM(Q4:Q10) &gt; 0, IF(AND(SUM(M4:M10)&gt;0, ISNUMBER(M5)),M5/SUM(M4:M10), ""), "")</f>
        <v>0</v>
      </c>
      <c r="N14" s="5">
        <f>IF(SUM(Q4:Q10) &gt; 0, IF(AND(SUM(N4:N10)&gt;0, ISNUMBER(N5)),N5/SUM(N4:N10), ""), "")</f>
        <v>0</v>
      </c>
    </row>
    <row r="15" spans="1:28">
      <c r="B15" t="s">
        <v>935</v>
      </c>
      <c r="C15" s="5">
        <f>IF(SUM(Q4:Q10) &gt; 0, IF(AND(SUM(C4:C10)&gt;0, ISNUMBER(C6)),C6/SUM(C4:C10), ""), "")</f>
        <v>0</v>
      </c>
      <c r="D15" s="5">
        <f>IF(SUM(Q4:Q10) &gt; 0, IF(AND(SUM(D4:D10)&gt;0, ISNUMBER(D6)),D6/SUM(D4:D10), ""), "")</f>
        <v>0</v>
      </c>
      <c r="E15" s="5">
        <f>IF(SUM(Q4:Q10) &gt; 0, IF(AND(SUM(E4:E10)&gt;0, ISNUMBER(E6)),E6/SUM(E4:E10), ""), "")</f>
        <v>0</v>
      </c>
      <c r="F15" s="5">
        <f>IF(SUM(Q4:Q10) &gt; 0, IF(AND(SUM(F4:F10)&gt;0, ISNUMBER(F6)),F6/SUM(F4:F10), ""), "")</f>
        <v>0</v>
      </c>
      <c r="G15" s="5">
        <f>IF(SUM(Q4:Q10) &gt; 0, IF(AND(SUM(G4:G10)&gt;0, ISNUMBER(G6)),G6/SUM(G4:G10), ""), "")</f>
        <v>0</v>
      </c>
      <c r="H15" s="5">
        <f>IF(SUM(Q4:Q10) &gt; 0, IF(AND(SUM(H4:H10)&gt;0, ISNUMBER(H6)),H6/SUM(H4:H10), ""), "")</f>
        <v>0</v>
      </c>
      <c r="I15" s="5">
        <f>IF(SUM(Q4:Q10) &gt; 0, IF(AND(SUM(I4:I10)&gt;0, ISNUMBER(I6)),I6/SUM(I4:I10), ""), "")</f>
        <v>0</v>
      </c>
      <c r="J15" s="5">
        <f>IF(SUM(Q4:Q10) &gt; 0, IF(AND(SUM(J4:J10)&gt;0, ISNUMBER(J6)),J6/SUM(J4:J10), ""), "")</f>
        <v>0</v>
      </c>
      <c r="K15" s="5">
        <f>IF(SUM(Q4:Q10) &gt; 0, IF(AND(SUM(K4:K10)&gt;0, ISNUMBER(K6)),K6/SUM(K4:K10), ""), "")</f>
        <v>0</v>
      </c>
      <c r="L15" s="5">
        <f>IF(SUM(Q4:Q10) &gt; 0, IF(AND(SUM(L4:L10)&gt;0, ISNUMBER(L6)),L6/SUM(L4:L10), ""), "")</f>
        <v>0</v>
      </c>
      <c r="M15" s="5">
        <f>IF(SUM(Q4:Q10) &gt; 0, IF(AND(SUM(M4:M10)&gt;0, ISNUMBER(M6)),M6/SUM(M4:M10), ""), "")</f>
        <v>0</v>
      </c>
      <c r="N15" s="5">
        <f>IF(SUM(Q4:Q10) &gt; 0, IF(AND(SUM(N4:N10)&gt;0, ISNUMBER(N6)),N6/SUM(N4:N10), ""), "")</f>
        <v>0</v>
      </c>
    </row>
    <row r="16" spans="1:28">
      <c r="B16" t="s">
        <v>878</v>
      </c>
      <c r="C16" s="5">
        <f>IF(SUM(Q4:Q10) &gt; 0, IF(AND(SUM(C4:C10)&gt;0, ISNUMBER(C7)),C7/SUM(C4:C10), ""), "")</f>
        <v>0</v>
      </c>
      <c r="D16" s="5">
        <f>IF(SUM(Q4:Q10) &gt; 0, IF(AND(SUM(D4:D10)&gt;0, ISNUMBER(D7)),D7/SUM(D4:D10), ""), "")</f>
        <v>0</v>
      </c>
      <c r="E16" s="5">
        <f>IF(SUM(Q4:Q10) &gt; 0, IF(AND(SUM(E4:E10)&gt;0, ISNUMBER(E7)),E7/SUM(E4:E10), ""), "")</f>
        <v>0</v>
      </c>
      <c r="F16" s="5">
        <f>IF(SUM(Q4:Q10) &gt; 0, IF(AND(SUM(F4:F10)&gt;0, ISNUMBER(F7)),F7/SUM(F4:F10), ""), "")</f>
        <v>0</v>
      </c>
      <c r="G16" s="5">
        <f>IF(SUM(Q4:Q10) &gt; 0, IF(AND(SUM(G4:G10)&gt;0, ISNUMBER(G7)),G7/SUM(G4:G10), ""), "")</f>
        <v>0</v>
      </c>
      <c r="H16" s="5">
        <f>IF(SUM(Q4:Q10) &gt; 0, IF(AND(SUM(H4:H10)&gt;0, ISNUMBER(H7)),H7/SUM(H4:H10), ""), "")</f>
        <v>0</v>
      </c>
      <c r="I16" s="5">
        <f>IF(SUM(Q4:Q10) &gt; 0, IF(AND(SUM(I4:I10)&gt;0, ISNUMBER(I7)),I7/SUM(I4:I10), ""), "")</f>
        <v>0</v>
      </c>
      <c r="J16" s="5">
        <f>IF(SUM(Q4:Q10) &gt; 0, IF(AND(SUM(J4:J10)&gt;0, ISNUMBER(J7)),J7/SUM(J4:J10), ""), "")</f>
        <v>0</v>
      </c>
      <c r="K16" s="5">
        <f>IF(SUM(Q4:Q10) &gt; 0, IF(AND(SUM(K4:K10)&gt;0, ISNUMBER(K7)),K7/SUM(K4:K10), ""), "")</f>
        <v>0</v>
      </c>
      <c r="L16" s="5">
        <f>IF(SUM(Q4:Q10) &gt; 0, IF(AND(SUM(L4:L10)&gt;0, ISNUMBER(L7)),L7/SUM(L4:L10), ""), "")</f>
        <v>0</v>
      </c>
      <c r="M16" s="5">
        <f>IF(SUM(Q4:Q10) &gt; 0, IF(AND(SUM(M4:M10)&gt;0, ISNUMBER(M7)),M7/SUM(M4:M10), ""), "")</f>
        <v>0</v>
      </c>
      <c r="N16" s="5">
        <f>IF(SUM(Q4:Q10) &gt; 0, IF(AND(SUM(N4:N10)&gt;0, ISNUMBER(N7)),N7/SUM(N4:N10), ""), "")</f>
        <v>0</v>
      </c>
    </row>
    <row r="17" spans="2:14">
      <c r="B17" t="s">
        <v>936</v>
      </c>
      <c r="C17" s="5">
        <f>IF(SUM(Q4:Q10) &gt; 0, IF(AND(SUM(C4:C10)&gt;0, ISNUMBER(C8)),C8/SUM(C4:C10), ""), "")</f>
        <v>0</v>
      </c>
      <c r="D17" s="5">
        <f>IF(SUM(Q4:Q10) &gt; 0, IF(AND(SUM(D4:D10)&gt;0, ISNUMBER(D8)),D8/SUM(D4:D10), ""), "")</f>
        <v>0</v>
      </c>
      <c r="E17" s="5">
        <f>IF(SUM(Q4:Q10) &gt; 0, IF(AND(SUM(E4:E10)&gt;0, ISNUMBER(E8)),E8/SUM(E4:E10), ""), "")</f>
        <v>0</v>
      </c>
      <c r="F17" s="5">
        <f>IF(SUM(Q4:Q10) &gt; 0, IF(AND(SUM(F4:F10)&gt;0, ISNUMBER(F8)),F8/SUM(F4:F10), ""), "")</f>
        <v>0</v>
      </c>
      <c r="G17" s="5">
        <f>IF(SUM(Q4:Q10) &gt; 0, IF(AND(SUM(G4:G10)&gt;0, ISNUMBER(G8)),G8/SUM(G4:G10), ""), "")</f>
        <v>0</v>
      </c>
      <c r="H17" s="5">
        <f>IF(SUM(Q4:Q10) &gt; 0, IF(AND(SUM(H4:H10)&gt;0, ISNUMBER(H8)),H8/SUM(H4:H10), ""), "")</f>
        <v>0</v>
      </c>
      <c r="I17" s="5">
        <f>IF(SUM(Q4:Q10) &gt; 0, IF(AND(SUM(I4:I10)&gt;0, ISNUMBER(I8)),I8/SUM(I4:I10), ""), "")</f>
        <v>0</v>
      </c>
      <c r="J17" s="5">
        <f>IF(SUM(Q4:Q10) &gt; 0, IF(AND(SUM(J4:J10)&gt;0, ISNUMBER(J8)),J8/SUM(J4:J10), ""), "")</f>
        <v>0</v>
      </c>
      <c r="K17" s="5">
        <f>IF(SUM(Q4:Q10) &gt; 0, IF(AND(SUM(K4:K10)&gt;0, ISNUMBER(K8)),K8/SUM(K4:K10), ""), "")</f>
        <v>0</v>
      </c>
      <c r="L17" s="5">
        <f>IF(SUM(Q4:Q10) &gt; 0, IF(AND(SUM(L4:L10)&gt;0, ISNUMBER(L8)),L8/SUM(L4:L10), ""), "")</f>
        <v>0</v>
      </c>
      <c r="M17" s="5">
        <f>IF(SUM(Q4:Q10) &gt; 0, IF(AND(SUM(M4:M10)&gt;0, ISNUMBER(M8)),M8/SUM(M4:M10), ""), "")</f>
        <v>0</v>
      </c>
      <c r="N17" s="5">
        <f>IF(SUM(Q4:Q10) &gt; 0, IF(AND(SUM(N4:N10)&gt;0, ISNUMBER(N8)),N8/SUM(N4:N10), ""), "")</f>
        <v>0</v>
      </c>
    </row>
    <row r="18" spans="2:14">
      <c r="B18" t="s">
        <v>881</v>
      </c>
      <c r="C18" s="5">
        <f>IF(SUM(Q4:Q10) &gt; 0, IF(AND(SUM(C4:C10)&gt;0, ISNUMBER(C9)),C9/SUM(C4:C10), ""), "")</f>
        <v>0</v>
      </c>
      <c r="D18" s="5">
        <f>IF(SUM(Q4:Q10) &gt; 0, IF(AND(SUM(D4:D10)&gt;0, ISNUMBER(D9)),D9/SUM(D4:D10), ""), "")</f>
        <v>0</v>
      </c>
      <c r="E18" s="5">
        <f>IF(SUM(Q4:Q10) &gt; 0, IF(AND(SUM(E4:E10)&gt;0, ISNUMBER(E9)),E9/SUM(E4:E10), ""), "")</f>
        <v>0</v>
      </c>
      <c r="F18" s="5">
        <f>IF(SUM(Q4:Q10) &gt; 0, IF(AND(SUM(F4:F10)&gt;0, ISNUMBER(F9)),F9/SUM(F4:F10), ""), "")</f>
        <v>0</v>
      </c>
      <c r="G18" s="5">
        <f>IF(SUM(Q4:Q10) &gt; 0, IF(AND(SUM(G4:G10)&gt;0, ISNUMBER(G9)),G9/SUM(G4:G10), ""), "")</f>
        <v>0</v>
      </c>
      <c r="H18" s="5">
        <f>IF(SUM(Q4:Q10) &gt; 0, IF(AND(SUM(H4:H10)&gt;0, ISNUMBER(H9)),H9/SUM(H4:H10), ""), "")</f>
        <v>0</v>
      </c>
      <c r="I18" s="5">
        <f>IF(SUM(Q4:Q10) &gt; 0, IF(AND(SUM(I4:I10)&gt;0, ISNUMBER(I9)),I9/SUM(I4:I10), ""), "")</f>
        <v>0</v>
      </c>
      <c r="J18" s="5">
        <f>IF(SUM(Q4:Q10) &gt; 0, IF(AND(SUM(J4:J10)&gt;0, ISNUMBER(J9)),J9/SUM(J4:J10), ""), "")</f>
        <v>0</v>
      </c>
      <c r="K18" s="5">
        <f>IF(SUM(Q4:Q10) &gt; 0, IF(AND(SUM(K4:K10)&gt;0, ISNUMBER(K9)),K9/SUM(K4:K10), ""), "")</f>
        <v>0</v>
      </c>
      <c r="L18" s="5">
        <f>IF(SUM(Q4:Q10) &gt; 0, IF(AND(SUM(L4:L10)&gt;0, ISNUMBER(L9)),L9/SUM(L4:L10), ""), "")</f>
        <v>0</v>
      </c>
      <c r="M18" s="5">
        <f>IF(SUM(Q4:Q10) &gt; 0, IF(AND(SUM(M4:M10)&gt;0, ISNUMBER(M9)),M9/SUM(M4:M10), ""), "")</f>
        <v>0</v>
      </c>
      <c r="N18" s="5">
        <f>IF(SUM(Q4:Q10) &gt; 0, IF(AND(SUM(N4:N10)&gt;0, ISNUMBER(N9)),N9/SUM(N4:N10), ""), "")</f>
        <v>0</v>
      </c>
    </row>
    <row r="19" spans="2:14">
      <c r="B19" t="s">
        <v>938</v>
      </c>
      <c r="C19" s="5">
        <f>IF(SUM(Q4:Q10) &gt; 0, IF(AND(SUM(C4:C10)&gt;0, ISNUMBER(C10)),C10/SUM(C4:C10), ""), "")</f>
        <v>0</v>
      </c>
      <c r="D19" s="5">
        <f>IF(SUM(Q4:Q10) &gt; 0, IF(AND(SUM(D4:D10)&gt;0, ISNUMBER(D10)),D10/SUM(D4:D10), ""), "")</f>
        <v>0</v>
      </c>
      <c r="E19" s="5">
        <f>IF(SUM(Q4:Q10) &gt; 0, IF(AND(SUM(E4:E10)&gt;0, ISNUMBER(E10)),E10/SUM(E4:E10), ""), "")</f>
        <v>0</v>
      </c>
      <c r="F19" s="5">
        <f>IF(SUM(Q4:Q10) &gt; 0, IF(AND(SUM(F4:F10)&gt;0, ISNUMBER(F10)),F10/SUM(F4:F10), ""), "")</f>
        <v>0</v>
      </c>
      <c r="G19" s="5">
        <f>IF(SUM(Q4:Q10) &gt; 0, IF(AND(SUM(G4:G10)&gt;0, ISNUMBER(G10)),G10/SUM(G4:G10), ""), "")</f>
        <v>0</v>
      </c>
      <c r="H19" s="5">
        <f>IF(SUM(Q4:Q10) &gt; 0, IF(AND(SUM(H4:H10)&gt;0, ISNUMBER(H10)),H10/SUM(H4:H10), ""), "")</f>
        <v>0</v>
      </c>
      <c r="I19" s="5">
        <f>IF(SUM(Q4:Q10) &gt; 0, IF(AND(SUM(I4:I10)&gt;0, ISNUMBER(I10)),I10/SUM(I4:I10), ""), "")</f>
        <v>0</v>
      </c>
      <c r="J19" s="5">
        <f>IF(SUM(Q4:Q10) &gt; 0, IF(AND(SUM(J4:J10)&gt;0, ISNUMBER(J10)),J10/SUM(J4:J10), ""), "")</f>
        <v>0</v>
      </c>
      <c r="K19" s="5">
        <f>IF(SUM(Q4:Q10) &gt; 0, IF(AND(SUM(K4:K10)&gt;0, ISNUMBER(K10)),K10/SUM(K4:K10), ""), "")</f>
        <v>0</v>
      </c>
      <c r="L19" s="5">
        <f>IF(SUM(Q4:Q10) &gt; 0, IF(AND(SUM(L4:L10)&gt;0, ISNUMBER(L10)),L10/SUM(L4:L10), ""), "")</f>
        <v>0</v>
      </c>
      <c r="M19" s="5">
        <f>IF(SUM(Q4:Q10) &gt; 0, IF(AND(SUM(M4:M10)&gt;0, ISNUMBER(M10)),M10/SUM(M4:M10), ""), "")</f>
        <v>0</v>
      </c>
      <c r="N19" s="5">
        <f>IF(SUM(Q4:Q10) &gt; 0, IF(AND(SUM(N4:N10)&gt;0, ISNUMBER(N10)),N10/SUM(N4:N10), ""), "")</f>
        <v>0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tabColor rgb="FF0033A0"/>
  </sheetPr>
  <dimension ref="A1:N19"/>
  <sheetViews>
    <sheetView workbookViewId="0"/>
  </sheetViews>
  <sheetFormatPr defaultRowHeight="15"/>
  <sheetData>
    <row r="1" spans="1:14" s="3" customFormat="1" ht="40" customHeight="1">
      <c r="A1" s="3" t="s">
        <v>1050</v>
      </c>
    </row>
    <row r="3" spans="1:14">
      <c r="B3" t="s">
        <v>915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915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933</v>
      </c>
      <c r="C4">
        <f>IF(SUMIFS('TERadj'!KL2:KL100,'TERadj'!KL2:KL100,"&gt;0")/1000,SUMIFS('TERadj'!KL2:KL100,'TERadj'!KL2:KL100,"&gt;0")/1000,"")</f>
        <v>0</v>
      </c>
      <c r="D4">
        <f>IF(SUMIFS('TERadj'!KM2:KM100,'TERadj'!KM2:KM100,"&gt;0")/1000,SUMIFS('TERadj'!KM2:KM100,'TERadj'!KM2:KM100,"&gt;0")/1000,"")</f>
        <v>0</v>
      </c>
      <c r="E4">
        <f>IF(SUMIFS('TERadj'!KN2:KN100,'TERadj'!KN2:KN100,"&gt;0")/1000,SUMIFS('TERadj'!KN2:KN100,'TERadj'!KN2:KN100,"&gt;0")/1000,"")</f>
        <v>0</v>
      </c>
      <c r="F4">
        <f>IF(SUMIFS('TERadj'!KO2:KO100,'TERadj'!KO2:KO100,"&gt;0")/1000,SUMIFS('TERadj'!KO2:KO100,'TERadj'!KO2:KO100,"&gt;0")/1000,"")</f>
        <v>0</v>
      </c>
      <c r="G4">
        <f>IF(SUMIFS('TERadj'!KP2:KP100,'TERadj'!KP2:KP100,"&gt;0")/1000,SUMIFS('TERadj'!KP2:KP100,'TERadj'!KP2:KP100,"&gt;0")/1000,"")</f>
        <v>0</v>
      </c>
      <c r="I4" t="s">
        <v>933</v>
      </c>
      <c r="J4" cm="1">
        <f t="array" ref="J4">IF(COUNT(_xlfn._xlws.FILTER('TERadj'!KL2:KL100, ('TERadj'!KL2:KL100&gt;0))),COUNT(_xlfn._xlws.FILTER('TERadj'!KL2:KL100, ('TERadj'!KL2:KL100&gt;0))),"")</f>
        <v>0</v>
      </c>
      <c r="K4" cm="1">
        <f t="array" ref="K4">IF(COUNT(_xlfn._xlws.FILTER('TERadj'!KM2:KM100, ('TERadj'!KM2:KM100&gt;0))),COUNT(_xlfn._xlws.FILTER('TERadj'!KM2:KM100, ('TERadj'!KM2:KM100&gt;0))),"")</f>
        <v>0</v>
      </c>
      <c r="L4" cm="1">
        <f t="array" ref="L4">IF(COUNT(_xlfn._xlws.FILTER('TERadj'!KN2:KN100, ('TERadj'!KN2:KN100&gt;0))),COUNT(_xlfn._xlws.FILTER('TERadj'!KN2:KN100, ('TERadj'!KN2:KN100&gt;0))),"")</f>
        <v>0</v>
      </c>
      <c r="M4" cm="1">
        <f t="array" ref="M4">IF(COUNT(_xlfn._xlws.FILTER('TERadj'!KO2:KO100, ('TERadj'!KO2:KO100&gt;0))),COUNT(_xlfn._xlws.FILTER('TERadj'!KO2:KO100, ('TERadj'!KO2:KO100&gt;0))),"")</f>
        <v>0</v>
      </c>
      <c r="N4" cm="1">
        <f t="array" ref="N4">IF(COUNT(_xlfn._xlws.FILTER('TERadj'!KP2:KP100, ('TERadj'!KP2:KP100&gt;0))),COUNT(_xlfn._xlws.FILTER('TERadj'!KP2:KP100, ('TERadj'!KP2:KP100&gt;0))),"")</f>
        <v>0</v>
      </c>
    </row>
    <row r="5" spans="1:14">
      <c r="B5" t="s">
        <v>934</v>
      </c>
      <c r="C5">
        <f>IF(SUMIFS('TERadj'!KQ2:KQ100,'TERadj'!KQ2:KQ100,"&gt;0")/1000,SUMIFS('TERadj'!KQ2:KQ100,'TERadj'!KQ2:KQ100,"&gt;0")/1000,"")</f>
        <v>0</v>
      </c>
      <c r="D5">
        <f>IF(SUMIFS('TERadj'!KR2:KR100,'TERadj'!KR2:KR100,"&gt;0")/1000,SUMIFS('TERadj'!KR2:KR100,'TERadj'!KR2:KR100,"&gt;0")/1000,"")</f>
        <v>0</v>
      </c>
      <c r="E5">
        <f>IF(SUMIFS('TERadj'!KS2:KS100,'TERadj'!KS2:KS100,"&gt;0")/1000,SUMIFS('TERadj'!KS2:KS100,'TERadj'!KS2:KS100,"&gt;0")/1000,"")</f>
        <v>0</v>
      </c>
      <c r="F5">
        <f>IF(SUMIFS('TERadj'!KT2:KT100,'TERadj'!KT2:KT100,"&gt;0")/1000,SUMIFS('TERadj'!KT2:KT100,'TERadj'!KT2:KT100,"&gt;0")/1000,"")</f>
        <v>0</v>
      </c>
      <c r="G5">
        <f>IF(SUMIFS('TERadj'!KU2:KU100,'TERadj'!KU2:KU100,"&gt;0")/1000,SUMIFS('TERadj'!KU2:KU100,'TERadj'!KU2:KU100,"&gt;0")/1000,"")</f>
        <v>0</v>
      </c>
      <c r="I5" t="s">
        <v>934</v>
      </c>
      <c r="J5" cm="1">
        <f t="array" ref="J5">IF(COUNT(_xlfn._xlws.FILTER('TERadj'!KQ2:KQ100, ('TERadj'!KQ2:KQ100&gt;0))),COUNT(_xlfn._xlws.FILTER('TERadj'!KQ2:KQ100, ('TERadj'!KQ2:KQ100&gt;0))),"")</f>
        <v>0</v>
      </c>
      <c r="K5" cm="1">
        <f t="array" ref="K5">IF(COUNT(_xlfn._xlws.FILTER('TERadj'!KR2:KR100, ('TERadj'!KR2:KR100&gt;0))),COUNT(_xlfn._xlws.FILTER('TERadj'!KR2:KR100, ('TERadj'!KR2:KR100&gt;0))),"")</f>
        <v>0</v>
      </c>
      <c r="L5" cm="1">
        <f t="array" ref="L5">IF(COUNT(_xlfn._xlws.FILTER('TERadj'!KS2:KS100, ('TERadj'!KS2:KS100&gt;0))),COUNT(_xlfn._xlws.FILTER('TERadj'!KS2:KS100, ('TERadj'!KS2:KS100&gt;0))),"")</f>
        <v>0</v>
      </c>
      <c r="M5" cm="1">
        <f t="array" ref="M5">IF(COUNT(_xlfn._xlws.FILTER('TERadj'!KT2:KT100, ('TERadj'!KT2:KT100&gt;0))),COUNT(_xlfn._xlws.FILTER('TERadj'!KT2:KT100, ('TERadj'!KT2:KT100&gt;0))),"")</f>
        <v>0</v>
      </c>
      <c r="N5" cm="1">
        <f t="array" ref="N5">IF(COUNT(_xlfn._xlws.FILTER('TERadj'!KU2:KU100, ('TERadj'!KU2:KU100&gt;0))),COUNT(_xlfn._xlws.FILTER('TERadj'!KU2:KU100, ('TERadj'!KU2:KU100&gt;0))),"")</f>
        <v>0</v>
      </c>
    </row>
    <row r="6" spans="1:14">
      <c r="B6" t="s">
        <v>935</v>
      </c>
      <c r="C6">
        <f>IF(SUMIFS('TERadj'!KV2:KV100,'TERadj'!KV2:KV100,"&gt;0")/1000,SUMIFS('TERadj'!KV2:KV100,'TERadj'!KV2:KV100,"&gt;0")/1000,"")</f>
        <v>0</v>
      </c>
      <c r="D6">
        <f>IF(SUMIFS('TERadj'!KW2:KW100,'TERadj'!KW2:KW100,"&gt;0")/1000,SUMIFS('TERadj'!KW2:KW100,'TERadj'!KW2:KW100,"&gt;0")/1000,"")</f>
        <v>0</v>
      </c>
      <c r="E6">
        <f>IF(SUMIFS('TERadj'!KX2:KX100,'TERadj'!KX2:KX100,"&gt;0")/1000,SUMIFS('TERadj'!KX2:KX100,'TERadj'!KX2:KX100,"&gt;0")/1000,"")</f>
        <v>0</v>
      </c>
      <c r="F6">
        <f>IF(SUMIFS('TERadj'!KY2:KY100,'TERadj'!KY2:KY100,"&gt;0")/1000,SUMIFS('TERadj'!KY2:KY100,'TERadj'!KY2:KY100,"&gt;0")/1000,"")</f>
        <v>0</v>
      </c>
      <c r="G6">
        <f>IF(SUMIFS('TERadj'!KZ2:KZ100,'TERadj'!KZ2:KZ100,"&gt;0")/1000,SUMIFS('TERadj'!KZ2:KZ100,'TERadj'!KZ2:KZ100,"&gt;0")/1000,"")</f>
        <v>0</v>
      </c>
      <c r="I6" t="s">
        <v>935</v>
      </c>
      <c r="J6" cm="1">
        <f t="array" ref="J6">IF(COUNT(_xlfn._xlws.FILTER('TERadj'!KV2:KV100, ('TERadj'!KV2:KV100&gt;0))),COUNT(_xlfn._xlws.FILTER('TERadj'!KV2:KV100, ('TERadj'!KV2:KV100&gt;0))),"")</f>
        <v>0</v>
      </c>
      <c r="K6" cm="1">
        <f t="array" ref="K6">IF(COUNT(_xlfn._xlws.FILTER('TERadj'!KW2:KW100, ('TERadj'!KW2:KW100&gt;0))),COUNT(_xlfn._xlws.FILTER('TERadj'!KW2:KW100, ('TERadj'!KW2:KW100&gt;0))),"")</f>
        <v>0</v>
      </c>
      <c r="L6" cm="1">
        <f t="array" ref="L6">IF(COUNT(_xlfn._xlws.FILTER('TERadj'!KX2:KX100, ('TERadj'!KX2:KX100&gt;0))),COUNT(_xlfn._xlws.FILTER('TERadj'!KX2:KX100, ('TERadj'!KX2:KX100&gt;0))),"")</f>
        <v>0</v>
      </c>
      <c r="M6" cm="1">
        <f t="array" ref="M6">IF(COUNT(_xlfn._xlws.FILTER('TERadj'!KY2:KY100, ('TERadj'!KY2:KY100&gt;0))),COUNT(_xlfn._xlws.FILTER('TERadj'!KY2:KY100, ('TERadj'!KY2:KY100&gt;0))),"")</f>
        <v>0</v>
      </c>
      <c r="N6" cm="1">
        <f t="array" ref="N6">IF(COUNT(_xlfn._xlws.FILTER('TERadj'!KZ2:KZ100, ('TERadj'!KZ2:KZ100&gt;0))),COUNT(_xlfn._xlws.FILTER('TERadj'!KZ2:KZ100, ('TERadj'!KZ2:KZ100&gt;0))),"")</f>
        <v>0</v>
      </c>
    </row>
    <row r="7" spans="1:14">
      <c r="B7" t="s">
        <v>878</v>
      </c>
      <c r="C7">
        <f>IF(SUMIFS('TERadj'!LA2:LA100,'TERadj'!LA2:LA100,"&gt;0")/1000,SUMIFS('TERadj'!LA2:LA100,'TERadj'!LA2:LA100,"&gt;0")/1000,"")</f>
        <v>0</v>
      </c>
      <c r="D7">
        <f>IF(SUMIFS('TERadj'!LB2:LB100,'TERadj'!LB2:LB100,"&gt;0")/1000,SUMIFS('TERadj'!LB2:LB100,'TERadj'!LB2:LB100,"&gt;0")/1000,"")</f>
        <v>0</v>
      </c>
      <c r="E7">
        <f>IF(SUMIFS('TERadj'!LC2:LC100,'TERadj'!LC2:LC100,"&gt;0")/1000,SUMIFS('TERadj'!LC2:LC100,'TERadj'!LC2:LC100,"&gt;0")/1000,"")</f>
        <v>0</v>
      </c>
      <c r="F7">
        <f>IF(SUMIFS('TERadj'!LD2:LD100,'TERadj'!LD2:LD100,"&gt;0")/1000,SUMIFS('TERadj'!LD2:LD100,'TERadj'!LD2:LD100,"&gt;0")/1000,"")</f>
        <v>0</v>
      </c>
      <c r="G7">
        <f>IF(SUMIFS('TERadj'!LE2:LE100,'TERadj'!LE2:LE100,"&gt;0")/1000,SUMIFS('TERadj'!LE2:LE100,'TERadj'!LE2:LE100,"&gt;0")/1000,"")</f>
        <v>0</v>
      </c>
      <c r="I7" t="s">
        <v>878</v>
      </c>
      <c r="J7" cm="1">
        <f t="array" ref="J7">IF(COUNT(_xlfn._xlws.FILTER('TERadj'!LA2:LA100, ('TERadj'!LA2:LA100&gt;0))),COUNT(_xlfn._xlws.FILTER('TERadj'!LA2:LA100, ('TERadj'!LA2:LA100&gt;0))),"")</f>
        <v>0</v>
      </c>
      <c r="K7" cm="1">
        <f t="array" ref="K7">IF(COUNT(_xlfn._xlws.FILTER('TERadj'!LB2:LB100, ('TERadj'!LB2:LB100&gt;0))),COUNT(_xlfn._xlws.FILTER('TERadj'!LB2:LB100, ('TERadj'!LB2:LB100&gt;0))),"")</f>
        <v>0</v>
      </c>
      <c r="L7" cm="1">
        <f t="array" ref="L7">IF(COUNT(_xlfn._xlws.FILTER('TERadj'!LC2:LC100, ('TERadj'!LC2:LC100&gt;0))),COUNT(_xlfn._xlws.FILTER('TERadj'!LC2:LC100, ('TERadj'!LC2:LC100&gt;0))),"")</f>
        <v>0</v>
      </c>
      <c r="M7" cm="1">
        <f t="array" ref="M7">IF(COUNT(_xlfn._xlws.FILTER('TERadj'!LD2:LD100, ('TERadj'!LD2:LD100&gt;0))),COUNT(_xlfn._xlws.FILTER('TERadj'!LD2:LD100, ('TERadj'!LD2:LD100&gt;0))),"")</f>
        <v>0</v>
      </c>
      <c r="N7" cm="1">
        <f t="array" ref="N7">IF(COUNT(_xlfn._xlws.FILTER('TERadj'!LE2:LE100, ('TERadj'!LE2:LE100&gt;0))),COUNT(_xlfn._xlws.FILTER('TERadj'!LE2:LE100, ('TERadj'!LE2:LE100&gt;0))),"")</f>
        <v>0</v>
      </c>
    </row>
    <row r="8" spans="1:14">
      <c r="B8" t="s">
        <v>936</v>
      </c>
      <c r="C8">
        <f>IF(SUMIFS('TERadj'!LF2:LF100,'TERadj'!LF2:LF100,"&gt;0")/1000,SUMIFS('TERadj'!LF2:LF100,'TERadj'!LF2:LF100,"&gt;0")/1000,"")</f>
        <v>0</v>
      </c>
      <c r="D8">
        <f>IF(SUMIFS('TERadj'!LG2:LG100,'TERadj'!LG2:LG100,"&gt;0")/1000,SUMIFS('TERadj'!LG2:LG100,'TERadj'!LG2:LG100,"&gt;0")/1000,"")</f>
        <v>0</v>
      </c>
      <c r="E8">
        <f>IF(SUMIFS('TERadj'!LH2:LH100,'TERadj'!LH2:LH100,"&gt;0")/1000,SUMIFS('TERadj'!LH2:LH100,'TERadj'!LH2:LH100,"&gt;0")/1000,"")</f>
        <v>0</v>
      </c>
      <c r="F8">
        <f>IF(SUMIFS('TERadj'!LI2:LI100,'TERadj'!LI2:LI100,"&gt;0")/1000,SUMIFS('TERadj'!LI2:LI100,'TERadj'!LI2:LI100,"&gt;0")/1000,"")</f>
        <v>0</v>
      </c>
      <c r="G8">
        <f>IF(SUMIFS('TERadj'!LJ2:LJ100,'TERadj'!LJ2:LJ100,"&gt;0")/1000,SUMIFS('TERadj'!LJ2:LJ100,'TERadj'!LJ2:LJ100,"&gt;0")/1000,"")</f>
        <v>0</v>
      </c>
      <c r="I8" t="s">
        <v>936</v>
      </c>
      <c r="J8" cm="1">
        <f t="array" ref="J8">IF(COUNT(_xlfn._xlws.FILTER('TERadj'!LF2:LF100, ('TERadj'!LF2:LF100&gt;0))),COUNT(_xlfn._xlws.FILTER('TERadj'!LF2:LF100, ('TERadj'!LF2:LF100&gt;0))),"")</f>
        <v>0</v>
      </c>
      <c r="K8" cm="1">
        <f t="array" ref="K8">IF(COUNT(_xlfn._xlws.FILTER('TERadj'!LG2:LG100, ('TERadj'!LG2:LG100&gt;0))),COUNT(_xlfn._xlws.FILTER('TERadj'!LG2:LG100, ('TERadj'!LG2:LG100&gt;0))),"")</f>
        <v>0</v>
      </c>
      <c r="L8" cm="1">
        <f t="array" ref="L8">IF(COUNT(_xlfn._xlws.FILTER('TERadj'!LH2:LH100, ('TERadj'!LH2:LH100&gt;0))),COUNT(_xlfn._xlws.FILTER('TERadj'!LH2:LH100, ('TERadj'!LH2:LH100&gt;0))),"")</f>
        <v>0</v>
      </c>
      <c r="M8" cm="1">
        <f t="array" ref="M8">IF(COUNT(_xlfn._xlws.FILTER('TERadj'!LI2:LI100, ('TERadj'!LI2:LI100&gt;0))),COUNT(_xlfn._xlws.FILTER('TERadj'!LI2:LI100, ('TERadj'!LI2:LI100&gt;0))),"")</f>
        <v>0</v>
      </c>
      <c r="N8" cm="1">
        <f t="array" ref="N8">IF(COUNT(_xlfn._xlws.FILTER('TERadj'!LJ2:LJ100, ('TERadj'!LJ2:LJ100&gt;0))),COUNT(_xlfn._xlws.FILTER('TERadj'!LJ2:LJ100, ('TERadj'!LJ2:LJ100&gt;0))),"")</f>
        <v>0</v>
      </c>
    </row>
    <row r="9" spans="1:14">
      <c r="B9" t="s">
        <v>881</v>
      </c>
      <c r="C9">
        <f>IF(SUMIFS('TERadj'!LK2:LK100,'TERadj'!LK2:LK100,"&gt;0")/1000,SUMIFS('TERadj'!LK2:LK100,'TERadj'!LK2:LK100,"&gt;0")/1000,"")</f>
        <v>0</v>
      </c>
      <c r="D9">
        <f>IF(SUMIFS('TERadj'!LL2:LL100,'TERadj'!LL2:LL100,"&gt;0")/1000,SUMIFS('TERadj'!LL2:LL100,'TERadj'!LL2:LL100,"&gt;0")/1000,"")</f>
        <v>0</v>
      </c>
      <c r="E9">
        <f>IF(SUMIFS('TERadj'!LM2:LM100,'TERadj'!LM2:LM100,"&gt;0")/1000,SUMIFS('TERadj'!LM2:LM100,'TERadj'!LM2:LM100,"&gt;0")/1000,"")</f>
        <v>0</v>
      </c>
      <c r="F9">
        <f>IF(SUMIFS('TERadj'!LN2:LN100,'TERadj'!LN2:LN100,"&gt;0")/1000,SUMIFS('TERadj'!LN2:LN100,'TERadj'!LN2:LN100,"&gt;0")/1000,"")</f>
        <v>0</v>
      </c>
      <c r="G9">
        <f>IF(SUMIFS('TERadj'!LO2:LO100,'TERadj'!LO2:LO100,"&gt;0")/1000,SUMIFS('TERadj'!LO2:LO100,'TERadj'!LO2:LO100,"&gt;0")/1000,"")</f>
        <v>0</v>
      </c>
      <c r="I9" t="s">
        <v>881</v>
      </c>
      <c r="J9" cm="1">
        <f t="array" ref="J9">IF(COUNT(_xlfn._xlws.FILTER('TERadj'!LK2:LK100, ('TERadj'!LK2:LK100&gt;0))),COUNT(_xlfn._xlws.FILTER('TERadj'!LK2:LK100, ('TERadj'!LK2:LK100&gt;0))),"")</f>
        <v>0</v>
      </c>
      <c r="K9" cm="1">
        <f t="array" ref="K9">IF(COUNT(_xlfn._xlws.FILTER('TERadj'!LL2:LL100, ('TERadj'!LL2:LL100&gt;0))),COUNT(_xlfn._xlws.FILTER('TERadj'!LL2:LL100, ('TERadj'!LL2:LL100&gt;0))),"")</f>
        <v>0</v>
      </c>
      <c r="L9" cm="1">
        <f t="array" ref="L9">IF(COUNT(_xlfn._xlws.FILTER('TERadj'!LM2:LM100, ('TERadj'!LM2:LM100&gt;0))),COUNT(_xlfn._xlws.FILTER('TERadj'!LM2:LM100, ('TERadj'!LM2:LM100&gt;0))),"")</f>
        <v>0</v>
      </c>
      <c r="M9" cm="1">
        <f t="array" ref="M9">IF(COUNT(_xlfn._xlws.FILTER('TERadj'!LN2:LN100, ('TERadj'!LN2:LN100&gt;0))),COUNT(_xlfn._xlws.FILTER('TERadj'!LN2:LN100, ('TERadj'!LN2:LN100&gt;0))),"")</f>
        <v>0</v>
      </c>
      <c r="N9" cm="1">
        <f t="array" ref="N9">IF(COUNT(_xlfn._xlws.FILTER('TERadj'!LO2:LO100, ('TERadj'!LO2:LO100&gt;0))),COUNT(_xlfn._xlws.FILTER('TERadj'!LO2:LO100, ('TERadj'!LO2:LO100&gt;0))),"")</f>
        <v>0</v>
      </c>
    </row>
    <row r="10" spans="1:14">
      <c r="B10" t="s">
        <v>938</v>
      </c>
      <c r="I10" t="s">
        <v>938</v>
      </c>
    </row>
    <row r="12" spans="1:14">
      <c r="B12" t="s">
        <v>915</v>
      </c>
      <c r="C12" t="s">
        <v>839</v>
      </c>
      <c r="D12" t="s">
        <v>840</v>
      </c>
      <c r="E12" t="s">
        <v>838</v>
      </c>
      <c r="F12" t="s">
        <v>841</v>
      </c>
      <c r="G12" t="s">
        <v>898</v>
      </c>
    </row>
    <row r="13" spans="1:14">
      <c r="B13" t="s">
        <v>933</v>
      </c>
      <c r="C13" s="5">
        <f>IF(SUM(J4:J10) &gt; 0, IF(AND(SUM(C4:C10)&gt;0, ISNUMBER(C4)),C4/SUM(C4:C10), ""), "")</f>
        <v>0</v>
      </c>
      <c r="D13" s="5">
        <f>IF(SUM(J4:J10) &gt; 0, IF(AND(SUM(D4:D10)&gt;0, ISNUMBER(D4)),D4/SUM(D4:D10), ""), "")</f>
        <v>0</v>
      </c>
      <c r="E13" s="5">
        <f>IF(SUM(J4:J10) &gt; 0, IF(AND(SUM(E4:E10)&gt;0, ISNUMBER(E4)),E4/SUM(E4:E10), ""), "")</f>
        <v>0</v>
      </c>
      <c r="F13" s="5">
        <f>IF(SUM(J4:J10) &gt; 0, IF(AND(SUM(F4:F10)&gt;0, ISNUMBER(F4)),F4/SUM(F4:F10), ""), "")</f>
        <v>0</v>
      </c>
      <c r="G13" s="5">
        <f>IF(SUM(J4:J10) &gt; 0, IF(AND(SUM(G4:G10)&gt;0, ISNUMBER(G4)),G4/SUM(G4:G10), ""), "")</f>
        <v>0</v>
      </c>
    </row>
    <row r="14" spans="1:14">
      <c r="B14" t="s">
        <v>934</v>
      </c>
      <c r="C14" s="5">
        <f>IF(SUM(J4:J10) &gt; 0, IF(AND(SUM(C4:C10)&gt;0, ISNUMBER(C5)),C5/SUM(C4:C10), ""), "")</f>
        <v>0</v>
      </c>
      <c r="D14" s="5">
        <f>IF(SUM(J4:J10) &gt; 0, IF(AND(SUM(D4:D10)&gt;0, ISNUMBER(D5)),D5/SUM(D4:D10), ""), "")</f>
        <v>0</v>
      </c>
      <c r="E14" s="5">
        <f>IF(SUM(J4:J10) &gt; 0, IF(AND(SUM(E4:E10)&gt;0, ISNUMBER(E5)),E5/SUM(E4:E10), ""), "")</f>
        <v>0</v>
      </c>
      <c r="F14" s="5">
        <f>IF(SUM(J4:J10) &gt; 0, IF(AND(SUM(F4:F10)&gt;0, ISNUMBER(F5)),F5/SUM(F4:F10), ""), "")</f>
        <v>0</v>
      </c>
      <c r="G14" s="5">
        <f>IF(SUM(J4:J10) &gt; 0, IF(AND(SUM(G4:G10)&gt;0, ISNUMBER(G5)),G5/SUM(G4:G10), ""), "")</f>
        <v>0</v>
      </c>
    </row>
    <row r="15" spans="1:14">
      <c r="B15" t="s">
        <v>935</v>
      </c>
      <c r="C15" s="5">
        <f>IF(SUM(J4:J10) &gt; 0, IF(AND(SUM(C4:C10)&gt;0, ISNUMBER(C6)),C6/SUM(C4:C10), ""), "")</f>
        <v>0</v>
      </c>
      <c r="D15" s="5">
        <f>IF(SUM(J4:J10) &gt; 0, IF(AND(SUM(D4:D10)&gt;0, ISNUMBER(D6)),D6/SUM(D4:D10), ""), "")</f>
        <v>0</v>
      </c>
      <c r="E15" s="5">
        <f>IF(SUM(J4:J10) &gt; 0, IF(AND(SUM(E4:E10)&gt;0, ISNUMBER(E6)),E6/SUM(E4:E10), ""), "")</f>
        <v>0</v>
      </c>
      <c r="F15" s="5">
        <f>IF(SUM(J4:J10) &gt; 0, IF(AND(SUM(F4:F10)&gt;0, ISNUMBER(F6)),F6/SUM(F4:F10), ""), "")</f>
        <v>0</v>
      </c>
      <c r="G15" s="5">
        <f>IF(SUM(J4:J10) &gt; 0, IF(AND(SUM(G4:G10)&gt;0, ISNUMBER(G6)),G6/SUM(G4:G10), ""), "")</f>
        <v>0</v>
      </c>
    </row>
    <row r="16" spans="1:14">
      <c r="B16" t="s">
        <v>878</v>
      </c>
      <c r="C16" s="5">
        <f>IF(SUM(J4:J10) &gt; 0, IF(AND(SUM(C4:C10)&gt;0, ISNUMBER(C7)),C7/SUM(C4:C10), ""), "")</f>
        <v>0</v>
      </c>
      <c r="D16" s="5">
        <f>IF(SUM(J4:J10) &gt; 0, IF(AND(SUM(D4:D10)&gt;0, ISNUMBER(D7)),D7/SUM(D4:D10), ""), "")</f>
        <v>0</v>
      </c>
      <c r="E16" s="5">
        <f>IF(SUM(J4:J10) &gt; 0, IF(AND(SUM(E4:E10)&gt;0, ISNUMBER(E7)),E7/SUM(E4:E10), ""), "")</f>
        <v>0</v>
      </c>
      <c r="F16" s="5">
        <f>IF(SUM(J4:J10) &gt; 0, IF(AND(SUM(F4:F10)&gt;0, ISNUMBER(F7)),F7/SUM(F4:F10), ""), "")</f>
        <v>0</v>
      </c>
      <c r="G16" s="5">
        <f>IF(SUM(J4:J10) &gt; 0, IF(AND(SUM(G4:G10)&gt;0, ISNUMBER(G7)),G7/SUM(G4:G10), ""), "")</f>
        <v>0</v>
      </c>
    </row>
    <row r="17" spans="2:7">
      <c r="B17" t="s">
        <v>936</v>
      </c>
      <c r="C17" s="5">
        <f>IF(SUM(J4:J10) &gt; 0, IF(AND(SUM(C4:C10)&gt;0, ISNUMBER(C8)),C8/SUM(C4:C10), ""), "")</f>
        <v>0</v>
      </c>
      <c r="D17" s="5">
        <f>IF(SUM(J4:J10) &gt; 0, IF(AND(SUM(D4:D10)&gt;0, ISNUMBER(D8)),D8/SUM(D4:D10), ""), "")</f>
        <v>0</v>
      </c>
      <c r="E17" s="5">
        <f>IF(SUM(J4:J10) &gt; 0, IF(AND(SUM(E4:E10)&gt;0, ISNUMBER(E8)),E8/SUM(E4:E10), ""), "")</f>
        <v>0</v>
      </c>
      <c r="F17" s="5">
        <f>IF(SUM(J4:J10) &gt; 0, IF(AND(SUM(F4:F10)&gt;0, ISNUMBER(F8)),F8/SUM(F4:F10), ""), "")</f>
        <v>0</v>
      </c>
      <c r="G17" s="5">
        <f>IF(SUM(J4:J10) &gt; 0, IF(AND(SUM(G4:G10)&gt;0, ISNUMBER(G8)),G8/SUM(G4:G10), ""), "")</f>
        <v>0</v>
      </c>
    </row>
    <row r="18" spans="2:7">
      <c r="B18" t="s">
        <v>881</v>
      </c>
      <c r="C18" s="5">
        <f>IF(SUM(J4:J10) &gt; 0, IF(AND(SUM(C4:C10)&gt;0, ISNUMBER(C9)),C9/SUM(C4:C10), ""), "")</f>
        <v>0</v>
      </c>
      <c r="D18" s="5">
        <f>IF(SUM(J4:J10) &gt; 0, IF(AND(SUM(D4:D10)&gt;0, ISNUMBER(D9)),D9/SUM(D4:D10), ""), "")</f>
        <v>0</v>
      </c>
      <c r="E18" s="5">
        <f>IF(SUM(J4:J10) &gt; 0, IF(AND(SUM(E4:E10)&gt;0, ISNUMBER(E9)),E9/SUM(E4:E10), ""), "")</f>
        <v>0</v>
      </c>
      <c r="F18" s="5">
        <f>IF(SUM(J4:J10) &gt; 0, IF(AND(SUM(F4:F10)&gt;0, ISNUMBER(F9)),F9/SUM(F4:F10), ""), "")</f>
        <v>0</v>
      </c>
      <c r="G18" s="5">
        <f>IF(SUM(J4:J10) &gt; 0, IF(AND(SUM(G4:G10)&gt;0, ISNUMBER(G9)),G9/SUM(G4:G10), ""), "")</f>
        <v>0</v>
      </c>
    </row>
    <row r="19" spans="2:7">
      <c r="B19" t="s">
        <v>938</v>
      </c>
      <c r="C19" s="5">
        <f>IF(SUM(J4:J10) &gt; 0, IF(AND(SUM(C4:C10)&gt;0, ISNUMBER(C10)),C10/SUM(C4:C10), ""), "")</f>
        <v>0</v>
      </c>
      <c r="D19" s="5">
        <f>IF(SUM(J4:J10) &gt; 0, IF(AND(SUM(D4:D10)&gt;0, ISNUMBER(D10)),D10/SUM(D4:D10), ""), "")</f>
        <v>0</v>
      </c>
      <c r="E19" s="5">
        <f>IF(SUM(J4:J10) &gt; 0, IF(AND(SUM(E4:E10)&gt;0, ISNUMBER(E10)),E10/SUM(E4:E10), ""), "")</f>
        <v>0</v>
      </c>
      <c r="F19" s="5">
        <f>IF(SUM(J4:J10) &gt; 0, IF(AND(SUM(F4:F10)&gt;0, ISNUMBER(F10)),F10/SUM(F4:F10), ""), "")</f>
        <v>0</v>
      </c>
      <c r="G19" s="5">
        <f>IF(SUM(J4:J10) &gt; 0, IF(AND(SUM(G4:G10)&gt;0, ISNUMBER(G10)),G10/SUM(G4:G10), ""), "")</f>
        <v>0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rgb="FF0033A0"/>
  </sheetPr>
  <dimension ref="A1:J19"/>
  <sheetViews>
    <sheetView workbookViewId="0"/>
  </sheetViews>
  <sheetFormatPr defaultRowHeight="15"/>
  <sheetData>
    <row r="1" spans="1:10" s="3" customFormat="1" ht="40" customHeight="1">
      <c r="A1" s="3" t="s">
        <v>1025</v>
      </c>
    </row>
    <row r="3" spans="1:10">
      <c r="B3" t="s">
        <v>915</v>
      </c>
      <c r="C3" t="s">
        <v>1051</v>
      </c>
      <c r="D3" t="s">
        <v>1052</v>
      </c>
      <c r="E3" t="s">
        <v>1053</v>
      </c>
      <c r="G3" t="s">
        <v>915</v>
      </c>
      <c r="H3" t="s">
        <v>1054</v>
      </c>
      <c r="I3" t="s">
        <v>1055</v>
      </c>
      <c r="J3" t="s">
        <v>1056</v>
      </c>
    </row>
    <row r="4" spans="1:10">
      <c r="B4" t="s">
        <v>933</v>
      </c>
      <c r="C4">
        <f>IF(SUMIFS('TERadj'!LP2:LP100,'TERadj'!LP2:LP100,"&gt;0")/1000,SUMIFS('TERadj'!LP2:LP100,'TERadj'!LP2:LP100,"&gt;0")/1000,"")</f>
        <v>0</v>
      </c>
      <c r="D4">
        <f>IF(SUMIFS('TERadj'!LQ2:LQ100,'TERadj'!LQ2:LQ100,"&gt;0")/1000,SUMIFS('TERadj'!LQ2:LQ100,'TERadj'!LQ2:LQ100,"&gt;0")/1000,"")</f>
        <v>0</v>
      </c>
      <c r="E4">
        <f>IF(SUMIFS('TERadj'!LR2:LR100,'TERadj'!LR2:LR100,"&gt;0")/1000,SUMIFS('TERadj'!LR2:LR100,'TERadj'!LR2:LR100,"&gt;0")/1000,"")</f>
        <v>0</v>
      </c>
      <c r="G4" t="s">
        <v>933</v>
      </c>
      <c r="H4" cm="1">
        <f t="array" ref="H4">IF(COUNT(_xlfn._xlws.FILTER('TERadj'!LP2:LP100, ('TERadj'!LP2:LP100&gt;0))),COUNT(_xlfn._xlws.FILTER('TERadj'!LP2:LP100, ('TERadj'!LP2:LP100&gt;0))),"")</f>
        <v>0</v>
      </c>
      <c r="I4" cm="1">
        <f t="array" ref="I4">IF(COUNT(_xlfn._xlws.FILTER('TERadj'!LQ2:LQ100, ('TERadj'!LQ2:LQ100&gt;0))),COUNT(_xlfn._xlws.FILTER('TERadj'!LQ2:LQ100, ('TERadj'!LQ2:LQ100&gt;0))),"")</f>
        <v>0</v>
      </c>
      <c r="J4" cm="1">
        <f t="array" ref="J4">IF(COUNT(_xlfn._xlws.FILTER('TERadj'!LR2:LR100, ('TERadj'!LR2:LR100&gt;0))),COUNT(_xlfn._xlws.FILTER('TERadj'!LR2:LR100, ('TERadj'!LR2:LR100&gt;0))),"")</f>
        <v>0</v>
      </c>
    </row>
    <row r="5" spans="1:10">
      <c r="B5" t="s">
        <v>934</v>
      </c>
      <c r="C5">
        <f>IF(SUMIFS('TERadj'!LS2:LS100,'TERadj'!LS2:LS100,"&gt;0")/1000,SUMIFS('TERadj'!LS2:LS100,'TERadj'!LS2:LS100,"&gt;0")/1000,"")</f>
        <v>0</v>
      </c>
      <c r="D5">
        <f>IF(SUMIFS('TERadj'!LT2:LT100,'TERadj'!LT2:LT100,"&gt;0")/1000,SUMIFS('TERadj'!LT2:LT100,'TERadj'!LT2:LT100,"&gt;0")/1000,"")</f>
        <v>0</v>
      </c>
      <c r="E5">
        <f>IF(SUMIFS('TERadj'!LU2:LU100,'TERadj'!LU2:LU100,"&gt;0")/1000,SUMIFS('TERadj'!LU2:LU100,'TERadj'!LU2:LU100,"&gt;0")/1000,"")</f>
        <v>0</v>
      </c>
      <c r="G5" t="s">
        <v>934</v>
      </c>
      <c r="H5" cm="1">
        <f t="array" ref="H5">IF(COUNT(_xlfn._xlws.FILTER('TERadj'!LS2:LS100, ('TERadj'!LS2:LS100&gt;0))),COUNT(_xlfn._xlws.FILTER('TERadj'!LS2:LS100, ('TERadj'!LS2:LS100&gt;0))),"")</f>
        <v>0</v>
      </c>
      <c r="I5" cm="1">
        <f t="array" ref="I5">IF(COUNT(_xlfn._xlws.FILTER('TERadj'!LT2:LT100, ('TERadj'!LT2:LT100&gt;0))),COUNT(_xlfn._xlws.FILTER('TERadj'!LT2:LT100, ('TERadj'!LT2:LT100&gt;0))),"")</f>
        <v>0</v>
      </c>
      <c r="J5" cm="1">
        <f t="array" ref="J5">IF(COUNT(_xlfn._xlws.FILTER('TERadj'!LU2:LU100, ('TERadj'!LU2:LU100&gt;0))),COUNT(_xlfn._xlws.FILTER('TERadj'!LU2:LU100, ('TERadj'!LU2:LU100&gt;0))),"")</f>
        <v>0</v>
      </c>
    </row>
    <row r="6" spans="1:10">
      <c r="B6" t="s">
        <v>935</v>
      </c>
      <c r="C6">
        <f>IF(SUMIFS('TERadj'!LV2:LV100,'TERadj'!LV2:LV100,"&gt;0")/1000,SUMIFS('TERadj'!LV2:LV100,'TERadj'!LV2:LV100,"&gt;0")/1000,"")</f>
        <v>0</v>
      </c>
      <c r="D6">
        <f>IF(SUMIFS('TERadj'!LW2:LW100,'TERadj'!LW2:LW100,"&gt;0")/1000,SUMIFS('TERadj'!LW2:LW100,'TERadj'!LW2:LW100,"&gt;0")/1000,"")</f>
        <v>0</v>
      </c>
      <c r="E6">
        <f>IF(SUMIFS('TERadj'!LX2:LX100,'TERadj'!LX2:LX100,"&gt;0")/1000,SUMIFS('TERadj'!LX2:LX100,'TERadj'!LX2:LX100,"&gt;0")/1000,"")</f>
        <v>0</v>
      </c>
      <c r="G6" t="s">
        <v>935</v>
      </c>
      <c r="H6" cm="1">
        <f t="array" ref="H6">IF(COUNT(_xlfn._xlws.FILTER('TERadj'!LV2:LV100, ('TERadj'!LV2:LV100&gt;0))),COUNT(_xlfn._xlws.FILTER('TERadj'!LV2:LV100, ('TERadj'!LV2:LV100&gt;0))),"")</f>
        <v>0</v>
      </c>
      <c r="I6" cm="1">
        <f t="array" ref="I6">IF(COUNT(_xlfn._xlws.FILTER('TERadj'!LW2:LW100, ('TERadj'!LW2:LW100&gt;0))),COUNT(_xlfn._xlws.FILTER('TERadj'!LW2:LW100, ('TERadj'!LW2:LW100&gt;0))),"")</f>
        <v>0</v>
      </c>
      <c r="J6" cm="1">
        <f t="array" ref="J6">IF(COUNT(_xlfn._xlws.FILTER('TERadj'!LX2:LX100, ('TERadj'!LX2:LX100&gt;0))),COUNT(_xlfn._xlws.FILTER('TERadj'!LX2:LX100, ('TERadj'!LX2:LX100&gt;0))),"")</f>
        <v>0</v>
      </c>
    </row>
    <row r="7" spans="1:10">
      <c r="B7" t="s">
        <v>878</v>
      </c>
      <c r="C7">
        <f>IF(SUMIFS('TERadj'!LY2:LY100,'TERadj'!LY2:LY100,"&gt;0")/1000,SUMIFS('TERadj'!LY2:LY100,'TERadj'!LY2:LY100,"&gt;0")/1000,"")</f>
        <v>0</v>
      </c>
      <c r="D7">
        <f>IF(SUMIFS('TERadj'!LZ2:LZ100,'TERadj'!LZ2:LZ100,"&gt;0")/1000,SUMIFS('TERadj'!LZ2:LZ100,'TERadj'!LZ2:LZ100,"&gt;0")/1000,"")</f>
        <v>0</v>
      </c>
      <c r="E7">
        <f>IF(SUMIFS('TERadj'!MA2:MA100,'TERadj'!MA2:MA100,"&gt;0")/1000,SUMIFS('TERadj'!MA2:MA100,'TERadj'!MA2:MA100,"&gt;0")/1000,"")</f>
        <v>0</v>
      </c>
      <c r="G7" t="s">
        <v>878</v>
      </c>
      <c r="H7" cm="1">
        <f t="array" ref="H7">IF(COUNT(_xlfn._xlws.FILTER('TERadj'!LY2:LY100, ('TERadj'!LY2:LY100&gt;0))),COUNT(_xlfn._xlws.FILTER('TERadj'!LY2:LY100, ('TERadj'!LY2:LY100&gt;0))),"")</f>
        <v>0</v>
      </c>
      <c r="I7" cm="1">
        <f t="array" ref="I7">IF(COUNT(_xlfn._xlws.FILTER('TERadj'!LZ2:LZ100, ('TERadj'!LZ2:LZ100&gt;0))),COUNT(_xlfn._xlws.FILTER('TERadj'!LZ2:LZ100, ('TERadj'!LZ2:LZ100&gt;0))),"")</f>
        <v>0</v>
      </c>
      <c r="J7" cm="1">
        <f t="array" ref="J7">IF(COUNT(_xlfn._xlws.FILTER('TERadj'!MA2:MA100, ('TERadj'!MA2:MA100&gt;0))),COUNT(_xlfn._xlws.FILTER('TERadj'!MA2:MA100, ('TERadj'!MA2:MA100&gt;0))),"")</f>
        <v>0</v>
      </c>
    </row>
    <row r="8" spans="1:10">
      <c r="B8" t="s">
        <v>936</v>
      </c>
      <c r="C8">
        <f>IF(SUMIFS('TERadj'!MB2:MB100,'TERadj'!MB2:MB100,"&gt;0")/1000,SUMIFS('TERadj'!MB2:MB100,'TERadj'!MB2:MB100,"&gt;0")/1000,"")</f>
        <v>0</v>
      </c>
      <c r="D8">
        <f>IF(SUMIFS('TERadj'!MC2:MC100,'TERadj'!MC2:MC100,"&gt;0")/1000,SUMIFS('TERadj'!MC2:MC100,'TERadj'!MC2:MC100,"&gt;0")/1000,"")</f>
        <v>0</v>
      </c>
      <c r="E8">
        <f>IF(SUMIFS('TERadj'!MD2:MD100,'TERadj'!MD2:MD100,"&gt;0")/1000,SUMIFS('TERadj'!MD2:MD100,'TERadj'!MD2:MD100,"&gt;0")/1000,"")</f>
        <v>0</v>
      </c>
      <c r="G8" t="s">
        <v>936</v>
      </c>
      <c r="H8" cm="1">
        <f t="array" ref="H8">IF(COUNT(_xlfn._xlws.FILTER('TERadj'!MB2:MB100, ('TERadj'!MB2:MB100&gt;0))),COUNT(_xlfn._xlws.FILTER('TERadj'!MB2:MB100, ('TERadj'!MB2:MB100&gt;0))),"")</f>
        <v>0</v>
      </c>
      <c r="I8" cm="1">
        <f t="array" ref="I8">IF(COUNT(_xlfn._xlws.FILTER('TERadj'!MC2:MC100, ('TERadj'!MC2:MC100&gt;0))),COUNT(_xlfn._xlws.FILTER('TERadj'!MC2:MC100, ('TERadj'!MC2:MC100&gt;0))),"")</f>
        <v>0</v>
      </c>
      <c r="J8" cm="1">
        <f t="array" ref="J8">IF(COUNT(_xlfn._xlws.FILTER('TERadj'!MD2:MD100, ('TERadj'!MD2:MD100&gt;0))),COUNT(_xlfn._xlws.FILTER('TERadj'!MD2:MD100, ('TERadj'!MD2:MD100&gt;0))),"")</f>
        <v>0</v>
      </c>
    </row>
    <row r="9" spans="1:10">
      <c r="B9" t="s">
        <v>881</v>
      </c>
      <c r="C9">
        <f>IF(SUMIFS('TERadj'!ME2:ME100,'TERadj'!ME2:ME100,"&gt;0")/1000,SUMIFS('TERadj'!ME2:ME100,'TERadj'!ME2:ME100,"&gt;0")/1000,"")</f>
        <v>0</v>
      </c>
      <c r="D9">
        <f>IF(SUMIFS('TERadj'!MF2:MF100,'TERadj'!MF2:MF100,"&gt;0")/1000,SUMIFS('TERadj'!MF2:MF100,'TERadj'!MF2:MF100,"&gt;0")/1000,"")</f>
        <v>0</v>
      </c>
      <c r="E9">
        <f>IF(SUMIFS('TERadj'!MG2:MG100,'TERadj'!MG2:MG100,"&gt;0")/1000,SUMIFS('TERadj'!MG2:MG100,'TERadj'!MG2:MG100,"&gt;0")/1000,"")</f>
        <v>0</v>
      </c>
      <c r="G9" t="s">
        <v>881</v>
      </c>
      <c r="H9" cm="1">
        <f t="array" ref="H9">IF(COUNT(_xlfn._xlws.FILTER('TERadj'!ME2:ME100, ('TERadj'!ME2:ME100&gt;0))),COUNT(_xlfn._xlws.FILTER('TERadj'!ME2:ME100, ('TERadj'!ME2:ME100&gt;0))),"")</f>
        <v>0</v>
      </c>
      <c r="I9" cm="1">
        <f t="array" ref="I9">IF(COUNT(_xlfn._xlws.FILTER('TERadj'!MF2:MF100, ('TERadj'!MF2:MF100&gt;0))),COUNT(_xlfn._xlws.FILTER('TERadj'!MF2:MF100, ('TERadj'!MF2:MF100&gt;0))),"")</f>
        <v>0</v>
      </c>
      <c r="J9" cm="1">
        <f t="array" ref="J9">IF(COUNT(_xlfn._xlws.FILTER('TERadj'!MG2:MG100, ('TERadj'!MG2:MG100&gt;0))),COUNT(_xlfn._xlws.FILTER('TERadj'!MG2:MG100, ('TERadj'!MG2:MG100&gt;0))),"")</f>
        <v>0</v>
      </c>
    </row>
    <row r="10" spans="1:10">
      <c r="B10" t="s">
        <v>938</v>
      </c>
      <c r="E10">
        <f>IF(SUMIFS('TERadj'!MH2:MH100,'TERadj'!MH2:MH100,"&gt;0")/1000,SUMIFS('TERadj'!MH2:MH100,'TERadj'!MH2:MH100,"&gt;0")/1000,"")</f>
        <v>0</v>
      </c>
      <c r="G10" t="s">
        <v>938</v>
      </c>
      <c r="J10" cm="1">
        <f t="array" ref="J10">IF(COUNT(_xlfn._xlws.FILTER('TERadj'!MH2:MH100, ('TERadj'!MH2:MH100&gt;0))),COUNT(_xlfn._xlws.FILTER('TERadj'!MH2:MH100, ('TERadj'!MH2:MH100&gt;0))),"")</f>
        <v>0</v>
      </c>
    </row>
    <row r="12" spans="1:10">
      <c r="B12" t="s">
        <v>915</v>
      </c>
      <c r="C12" t="s">
        <v>1051</v>
      </c>
      <c r="D12" t="s">
        <v>1052</v>
      </c>
      <c r="E12" t="s">
        <v>1053</v>
      </c>
    </row>
    <row r="13" spans="1:10">
      <c r="B13" t="s">
        <v>933</v>
      </c>
      <c r="C13" s="5">
        <f>IF(SUM(H4:H10) &gt; 0, IF(AND(SUM(C4:C10)&gt;0, ISNUMBER(C4)),C4/SUM(C4:C10), ""), "")</f>
        <v>0</v>
      </c>
      <c r="D13" s="5">
        <f>IF(SUM(H4:H10) &gt; 0, IF(AND(SUM(D4:D10)&gt;0, ISNUMBER(D4)),D4/SUM(D4:D10), ""), "")</f>
        <v>0</v>
      </c>
      <c r="E13" s="5">
        <f>IF(SUM(H4:H10) &gt; 0, IF(AND(SUM(E4:E10)&gt;0, ISNUMBER(E4)),E4/SUM(E4:E10), ""), "")</f>
        <v>0</v>
      </c>
    </row>
    <row r="14" spans="1:10">
      <c r="B14" t="s">
        <v>934</v>
      </c>
      <c r="C14" s="5">
        <f>IF(SUM(H4:H10) &gt; 0, IF(AND(SUM(C4:C10)&gt;0, ISNUMBER(C5)),C5/SUM(C4:C10), ""), "")</f>
        <v>0</v>
      </c>
      <c r="D14" s="5">
        <f>IF(SUM(H4:H10) &gt; 0, IF(AND(SUM(D4:D10)&gt;0, ISNUMBER(D5)),D5/SUM(D4:D10), ""), "")</f>
        <v>0</v>
      </c>
      <c r="E14" s="5">
        <f>IF(SUM(H4:H10) &gt; 0, IF(AND(SUM(E4:E10)&gt;0, ISNUMBER(E5)),E5/SUM(E4:E10), ""), "")</f>
        <v>0</v>
      </c>
    </row>
    <row r="15" spans="1:10">
      <c r="B15" t="s">
        <v>935</v>
      </c>
      <c r="C15" s="5">
        <f>IF(SUM(H4:H10) &gt; 0, IF(AND(SUM(C4:C10)&gt;0, ISNUMBER(C6)),C6/SUM(C4:C10), ""), "")</f>
        <v>0</v>
      </c>
      <c r="D15" s="5">
        <f>IF(SUM(H4:H10) &gt; 0, IF(AND(SUM(D4:D10)&gt;0, ISNUMBER(D6)),D6/SUM(D4:D10), ""), "")</f>
        <v>0</v>
      </c>
      <c r="E15" s="5">
        <f>IF(SUM(H4:H10) &gt; 0, IF(AND(SUM(E4:E10)&gt;0, ISNUMBER(E6)),E6/SUM(E4:E10), ""), "")</f>
        <v>0</v>
      </c>
    </row>
    <row r="16" spans="1:10">
      <c r="B16" t="s">
        <v>878</v>
      </c>
      <c r="C16" s="5">
        <f>IF(SUM(H4:H10) &gt; 0, IF(AND(SUM(C4:C10)&gt;0, ISNUMBER(C7)),C7/SUM(C4:C10), ""), "")</f>
        <v>0</v>
      </c>
      <c r="D16" s="5">
        <f>IF(SUM(H4:H10) &gt; 0, IF(AND(SUM(D4:D10)&gt;0, ISNUMBER(D7)),D7/SUM(D4:D10), ""), "")</f>
        <v>0</v>
      </c>
      <c r="E16" s="5">
        <f>IF(SUM(H4:H10) &gt; 0, IF(AND(SUM(E4:E10)&gt;0, ISNUMBER(E7)),E7/SUM(E4:E10), ""), "")</f>
        <v>0</v>
      </c>
    </row>
    <row r="17" spans="2:5">
      <c r="B17" t="s">
        <v>936</v>
      </c>
      <c r="C17" s="5">
        <f>IF(SUM(H4:H10) &gt; 0, IF(AND(SUM(C4:C10)&gt;0, ISNUMBER(C8)),C8/SUM(C4:C10), ""), "")</f>
        <v>0</v>
      </c>
      <c r="D17" s="5">
        <f>IF(SUM(H4:H10) &gt; 0, IF(AND(SUM(D4:D10)&gt;0, ISNUMBER(D8)),D8/SUM(D4:D10), ""), "")</f>
        <v>0</v>
      </c>
      <c r="E17" s="5">
        <f>IF(SUM(H4:H10) &gt; 0, IF(AND(SUM(E4:E10)&gt;0, ISNUMBER(E8)),E8/SUM(E4:E10), ""), "")</f>
        <v>0</v>
      </c>
    </row>
    <row r="18" spans="2:5">
      <c r="B18" t="s">
        <v>881</v>
      </c>
      <c r="C18" s="5">
        <f>IF(SUM(H4:H10) &gt; 0, IF(AND(SUM(C4:C10)&gt;0, ISNUMBER(C9)),C9/SUM(C4:C10), ""), "")</f>
        <v>0</v>
      </c>
      <c r="D18" s="5">
        <f>IF(SUM(H4:H10) &gt; 0, IF(AND(SUM(D4:D10)&gt;0, ISNUMBER(D9)),D9/SUM(D4:D10), ""), "")</f>
        <v>0</v>
      </c>
      <c r="E18" s="5">
        <f>IF(SUM(H4:H10) &gt; 0, IF(AND(SUM(E4:E10)&gt;0, ISNUMBER(E9)),E9/SUM(E4:E10), ""), "")</f>
        <v>0</v>
      </c>
    </row>
    <row r="19" spans="2:5">
      <c r="B19" t="s">
        <v>938</v>
      </c>
      <c r="C19" s="5">
        <f>IF(SUM(H4:H10) &gt; 0, IF(AND(SUM(C4:C10)&gt;0, ISNUMBER(C10)),C10/SUM(C4:C10), ""), "")</f>
        <v>0</v>
      </c>
      <c r="D19" s="5">
        <f>IF(SUM(H4:H10) &gt; 0, IF(AND(SUM(D4:D10)&gt;0, ISNUMBER(D10)),D10/SUM(D4:D10), ""), "")</f>
        <v>0</v>
      </c>
      <c r="E19" s="5">
        <f>IF(SUM(H4:H10) &gt; 0, IF(AND(SUM(E4:E10)&gt;0, ISNUMBER(E10)),E10/SUM(E4:E10), ""), "")</f>
        <v>0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rgb="FF0033A0"/>
  </sheetPr>
  <dimension ref="A1:R13"/>
  <sheetViews>
    <sheetView workbookViewId="0"/>
  </sheetViews>
  <sheetFormatPr defaultRowHeight="15"/>
  <sheetData>
    <row r="1" spans="1:18" s="3" customFormat="1" ht="40" customHeight="1">
      <c r="A1" s="3" t="s">
        <v>1025</v>
      </c>
    </row>
    <row r="3" spans="1:18">
      <c r="B3" t="s">
        <v>915</v>
      </c>
      <c r="C3" t="s">
        <v>1004</v>
      </c>
      <c r="D3" t="s">
        <v>934</v>
      </c>
      <c r="E3" t="s">
        <v>935</v>
      </c>
      <c r="F3" t="s">
        <v>878</v>
      </c>
      <c r="G3" t="s">
        <v>936</v>
      </c>
      <c r="H3" t="s">
        <v>881</v>
      </c>
      <c r="I3" t="s">
        <v>1053</v>
      </c>
      <c r="K3" t="s">
        <v>915</v>
      </c>
      <c r="L3" t="s">
        <v>1061</v>
      </c>
      <c r="M3" t="s">
        <v>1062</v>
      </c>
      <c r="N3" t="s">
        <v>1063</v>
      </c>
      <c r="O3" t="s">
        <v>1064</v>
      </c>
      <c r="P3" t="s">
        <v>1065</v>
      </c>
      <c r="Q3" t="s">
        <v>1066</v>
      </c>
      <c r="R3" t="s">
        <v>1056</v>
      </c>
    </row>
    <row r="4" spans="1:18">
      <c r="B4" t="s">
        <v>1057</v>
      </c>
      <c r="C4">
        <f>IF(SUMIFS('TERadj'!MI2:MI100,'TERadj'!MI2:MI100,"&gt;0")/1000,SUMIFS('TERadj'!MI2:MI100,'TERadj'!MI2:MI100,"&gt;0")/1000,"")</f>
        <v>0</v>
      </c>
      <c r="D4">
        <f>IF(SUMIFS('TERadj'!MJ2:MJ100,'TERadj'!MJ2:MJ100,"&gt;0")/1000,SUMIFS('TERadj'!MJ2:MJ100,'TERadj'!MJ2:MJ100,"&gt;0")/1000,"")</f>
        <v>0</v>
      </c>
      <c r="E4">
        <f>IF(SUMIFS('TERadj'!MK2:MK100,'TERadj'!MK2:MK100,"&gt;0")/1000,SUMIFS('TERadj'!MK2:MK100,'TERadj'!MK2:MK100,"&gt;0")/1000,"")</f>
        <v>0</v>
      </c>
      <c r="F4">
        <f>IF(SUMIFS('TERadj'!ML2:ML100,'TERadj'!ML2:ML100,"&gt;0")/1000,SUMIFS('TERadj'!ML2:ML100,'TERadj'!ML2:ML100,"&gt;0")/1000,"")</f>
        <v>0</v>
      </c>
      <c r="G4">
        <f>IF(SUMIFS('TERadj'!MM2:MM100,'TERadj'!MM2:MM100,"&gt;0")/1000,SUMIFS('TERadj'!MM2:MM100,'TERadj'!MM2:MM100,"&gt;0")/1000,"")</f>
        <v>0</v>
      </c>
      <c r="H4">
        <f>IF(SUMIFS('TERadj'!MN2:MN100,'TERadj'!MN2:MN100,"&gt;0")/1000,SUMIFS('TERadj'!MN2:MN100,'TERadj'!MN2:MN100,"&gt;0")/1000,"")</f>
        <v>0</v>
      </c>
      <c r="I4">
        <f>IF(SUMIFS('TERadj'!MO2:MO100,'TERadj'!MO2:MO100,"&gt;0")/1000,SUMIFS('TERadj'!MO2:MO100,'TERadj'!MO2:MO100,"&gt;0")/1000,"")</f>
        <v>0</v>
      </c>
      <c r="K4" t="s">
        <v>1057</v>
      </c>
      <c r="L4" cm="1">
        <f t="array" ref="L4">IF(COUNT(_xlfn._xlws.FILTER('TERadj'!MI2:MI100, ('TERadj'!MI2:MI100&gt;0))),COUNT(_xlfn._xlws.FILTER('TERadj'!MI2:MI100, ('TERadj'!MI2:MI100&gt;0))),"")</f>
        <v>0</v>
      </c>
      <c r="M4" cm="1">
        <f t="array" ref="M4">IF(COUNT(_xlfn._xlws.FILTER('TERadj'!MJ2:MJ100, ('TERadj'!MJ2:MJ100&gt;0))),COUNT(_xlfn._xlws.FILTER('TERadj'!MJ2:MJ100, ('TERadj'!MJ2:MJ100&gt;0))),"")</f>
        <v>0</v>
      </c>
      <c r="N4" cm="1">
        <f t="array" ref="N4">IF(COUNT(_xlfn._xlws.FILTER('TERadj'!MK2:MK100, ('TERadj'!MK2:MK100&gt;0))),COUNT(_xlfn._xlws.FILTER('TERadj'!MK2:MK100, ('TERadj'!MK2:MK100&gt;0))),"")</f>
        <v>0</v>
      </c>
      <c r="O4" cm="1">
        <f t="array" ref="O4">IF(COUNT(_xlfn._xlws.FILTER('TERadj'!ML2:ML100, ('TERadj'!ML2:ML100&gt;0))),COUNT(_xlfn._xlws.FILTER('TERadj'!ML2:ML100, ('TERadj'!ML2:ML100&gt;0))),"")</f>
        <v>0</v>
      </c>
      <c r="P4" cm="1">
        <f t="array" ref="P4">IF(COUNT(_xlfn._xlws.FILTER('TERadj'!MM2:MM100, ('TERadj'!MM2:MM100&gt;0))),COUNT(_xlfn._xlws.FILTER('TERadj'!MM2:MM100, ('TERadj'!MM2:MM100&gt;0))),"")</f>
        <v>0</v>
      </c>
      <c r="Q4" cm="1">
        <f t="array" ref="Q4">IF(COUNT(_xlfn._xlws.FILTER('TERadj'!MN2:MN100, ('TERadj'!MN2:MN100&gt;0))),COUNT(_xlfn._xlws.FILTER('TERadj'!MN2:MN100, ('TERadj'!MN2:MN100&gt;0))),"")</f>
        <v>0</v>
      </c>
      <c r="R4" cm="1">
        <f t="array" ref="R4">IF(COUNT(_xlfn._xlws.FILTER('TERadj'!MO2:MO100, ('TERadj'!MO2:MO100&gt;0))),COUNT(_xlfn._xlws.FILTER('TERadj'!MO2:MO100, ('TERadj'!MO2:MO100&gt;0))),"")</f>
        <v>0</v>
      </c>
    </row>
    <row r="5" spans="1:18">
      <c r="B5" t="s">
        <v>1058</v>
      </c>
      <c r="C5">
        <f>IF(SUMIFS('TERadj'!MP2:MP100,'TERadj'!MP2:MP100,"&gt;0")/1000,SUMIFS('TERadj'!MP2:MP100,'TERadj'!MP2:MP100,"&gt;0")/1000,"")</f>
        <v>0</v>
      </c>
      <c r="D5">
        <f>IF(SUMIFS('TERadj'!MQ2:MQ100,'TERadj'!MQ2:MQ100,"&gt;0")/1000,SUMIFS('TERadj'!MQ2:MQ100,'TERadj'!MQ2:MQ100,"&gt;0")/1000,"")</f>
        <v>0</v>
      </c>
      <c r="E5">
        <f>IF(SUMIFS('TERadj'!MR2:MR100,'TERadj'!MR2:MR100,"&gt;0")/1000,SUMIFS('TERadj'!MR2:MR100,'TERadj'!MR2:MR100,"&gt;0")/1000,"")</f>
        <v>0</v>
      </c>
      <c r="F5">
        <f>IF(SUMIFS('TERadj'!MS2:MS100,'TERadj'!MS2:MS100,"&gt;0")/1000,SUMIFS('TERadj'!MS2:MS100,'TERadj'!MS2:MS100,"&gt;0")/1000,"")</f>
        <v>0</v>
      </c>
      <c r="G5">
        <f>IF(SUMIFS('TERadj'!MT2:MT100,'TERadj'!MT2:MT100,"&gt;0")/1000,SUMIFS('TERadj'!MT2:MT100,'TERadj'!MT2:MT100,"&gt;0")/1000,"")</f>
        <v>0</v>
      </c>
      <c r="H5">
        <f>IF(SUMIFS('TERadj'!MU2:MU100,'TERadj'!MU2:MU100,"&gt;0")/1000,SUMIFS('TERadj'!MU2:MU100,'TERadj'!MU2:MU100,"&gt;0")/1000,"")</f>
        <v>0</v>
      </c>
      <c r="I5">
        <f>IF(SUMIFS('TERadj'!MV2:MV100,'TERadj'!MV2:MV100,"&gt;0")/1000,SUMIFS('TERadj'!MV2:MV100,'TERadj'!MV2:MV100,"&gt;0")/1000,"")</f>
        <v>0</v>
      </c>
      <c r="K5" t="s">
        <v>1058</v>
      </c>
      <c r="L5" cm="1">
        <f t="array" ref="L5">IF(COUNT(_xlfn._xlws.FILTER('TERadj'!MP2:MP100, ('TERadj'!MP2:MP100&gt;0))),COUNT(_xlfn._xlws.FILTER('TERadj'!MP2:MP100, ('TERadj'!MP2:MP100&gt;0))),"")</f>
        <v>0</v>
      </c>
      <c r="M5" cm="1">
        <f t="array" ref="M5">IF(COUNT(_xlfn._xlws.FILTER('TERadj'!MQ2:MQ100, ('TERadj'!MQ2:MQ100&gt;0))),COUNT(_xlfn._xlws.FILTER('TERadj'!MQ2:MQ100, ('TERadj'!MQ2:MQ100&gt;0))),"")</f>
        <v>0</v>
      </c>
      <c r="N5" cm="1">
        <f t="array" ref="N5">IF(COUNT(_xlfn._xlws.FILTER('TERadj'!MR2:MR100, ('TERadj'!MR2:MR100&gt;0))),COUNT(_xlfn._xlws.FILTER('TERadj'!MR2:MR100, ('TERadj'!MR2:MR100&gt;0))),"")</f>
        <v>0</v>
      </c>
      <c r="O5" cm="1">
        <f t="array" ref="O5">IF(COUNT(_xlfn._xlws.FILTER('TERadj'!MS2:MS100, ('TERadj'!MS2:MS100&gt;0))),COUNT(_xlfn._xlws.FILTER('TERadj'!MS2:MS100, ('TERadj'!MS2:MS100&gt;0))),"")</f>
        <v>0</v>
      </c>
      <c r="P5" cm="1">
        <f t="array" ref="P5">IF(COUNT(_xlfn._xlws.FILTER('TERadj'!MT2:MT100, ('TERadj'!MT2:MT100&gt;0))),COUNT(_xlfn._xlws.FILTER('TERadj'!MT2:MT100, ('TERadj'!MT2:MT100&gt;0))),"")</f>
        <v>0</v>
      </c>
      <c r="Q5" cm="1">
        <f t="array" ref="Q5">IF(COUNT(_xlfn._xlws.FILTER('TERadj'!MU2:MU100, ('TERadj'!MU2:MU100&gt;0))),COUNT(_xlfn._xlws.FILTER('TERadj'!MU2:MU100, ('TERadj'!MU2:MU100&gt;0))),"")</f>
        <v>0</v>
      </c>
      <c r="R5" cm="1">
        <f t="array" ref="R5">IF(COUNT(_xlfn._xlws.FILTER('TERadj'!MV2:MV100, ('TERadj'!MV2:MV100&gt;0))),COUNT(_xlfn._xlws.FILTER('TERadj'!MV2:MV100, ('TERadj'!MV2:MV100&gt;0))),"")</f>
        <v>0</v>
      </c>
    </row>
    <row r="6" spans="1:18">
      <c r="B6" t="s">
        <v>1059</v>
      </c>
      <c r="C6">
        <f>IF(SUMIFS('TERadj'!MW2:MW100,'TERadj'!MW2:MW100,"&gt;0")/1000,SUMIFS('TERadj'!MW2:MW100,'TERadj'!MW2:MW100,"&gt;0")/1000,"")</f>
        <v>0</v>
      </c>
      <c r="D6">
        <f>IF(SUMIFS('TERadj'!MX2:MX100,'TERadj'!MX2:MX100,"&gt;0")/1000,SUMIFS('TERadj'!MX2:MX100,'TERadj'!MX2:MX100,"&gt;0")/1000,"")</f>
        <v>0</v>
      </c>
      <c r="E6">
        <f>IF(SUMIFS('TERadj'!MY2:MY100,'TERadj'!MY2:MY100,"&gt;0")/1000,SUMIFS('TERadj'!MY2:MY100,'TERadj'!MY2:MY100,"&gt;0")/1000,"")</f>
        <v>0</v>
      </c>
      <c r="F6">
        <f>IF(SUMIFS('TERadj'!MZ2:MZ100,'TERadj'!MZ2:MZ100,"&gt;0")/1000,SUMIFS('TERadj'!MZ2:MZ100,'TERadj'!MZ2:MZ100,"&gt;0")/1000,"")</f>
        <v>0</v>
      </c>
      <c r="G6">
        <f>IF(SUMIFS('TERadj'!NA2:NA100,'TERadj'!NA2:NA100,"&gt;0")/1000,SUMIFS('TERadj'!NA2:NA100,'TERadj'!NA2:NA100,"&gt;0")/1000,"")</f>
        <v>0</v>
      </c>
      <c r="H6">
        <f>IF(SUMIFS('TERadj'!NB2:NB100,'TERadj'!NB2:NB100,"&gt;0")/1000,SUMIFS('TERadj'!NB2:NB100,'TERadj'!NB2:NB100,"&gt;0")/1000,"")</f>
        <v>0</v>
      </c>
      <c r="I6">
        <f>IF(SUMIFS('TERadj'!NC2:NC100,'TERadj'!NC2:NC100,"&gt;0")/1000,SUMIFS('TERadj'!NC2:NC100,'TERadj'!NC2:NC100,"&gt;0")/1000,"")</f>
        <v>0</v>
      </c>
      <c r="K6" t="s">
        <v>1059</v>
      </c>
      <c r="L6" cm="1">
        <f t="array" ref="L6">IF(COUNT(_xlfn._xlws.FILTER('TERadj'!MW2:MW100, ('TERadj'!MW2:MW100&gt;0))),COUNT(_xlfn._xlws.FILTER('TERadj'!MW2:MW100, ('TERadj'!MW2:MW100&gt;0))),"")</f>
        <v>0</v>
      </c>
      <c r="M6" cm="1">
        <f t="array" ref="M6">IF(COUNT(_xlfn._xlws.FILTER('TERadj'!MX2:MX100, ('TERadj'!MX2:MX100&gt;0))),COUNT(_xlfn._xlws.FILTER('TERadj'!MX2:MX100, ('TERadj'!MX2:MX100&gt;0))),"")</f>
        <v>0</v>
      </c>
      <c r="N6" cm="1">
        <f t="array" ref="N6">IF(COUNT(_xlfn._xlws.FILTER('TERadj'!MY2:MY100, ('TERadj'!MY2:MY100&gt;0))),COUNT(_xlfn._xlws.FILTER('TERadj'!MY2:MY100, ('TERadj'!MY2:MY100&gt;0))),"")</f>
        <v>0</v>
      </c>
      <c r="O6" cm="1">
        <f t="array" ref="O6">IF(COUNT(_xlfn._xlws.FILTER('TERadj'!MZ2:MZ100, ('TERadj'!MZ2:MZ100&gt;0))),COUNT(_xlfn._xlws.FILTER('TERadj'!MZ2:MZ100, ('TERadj'!MZ2:MZ100&gt;0))),"")</f>
        <v>0</v>
      </c>
      <c r="P6" cm="1">
        <f t="array" ref="P6">IF(COUNT(_xlfn._xlws.FILTER('TERadj'!NA2:NA100, ('TERadj'!NA2:NA100&gt;0))),COUNT(_xlfn._xlws.FILTER('TERadj'!NA2:NA100, ('TERadj'!NA2:NA100&gt;0))),"")</f>
        <v>0</v>
      </c>
      <c r="Q6" cm="1">
        <f t="array" ref="Q6">IF(COUNT(_xlfn._xlws.FILTER('TERadj'!NB2:NB100, ('TERadj'!NB2:NB100&gt;0))),COUNT(_xlfn._xlws.FILTER('TERadj'!NB2:NB100, ('TERadj'!NB2:NB100&gt;0))),"")</f>
        <v>0</v>
      </c>
      <c r="R6" cm="1">
        <f t="array" ref="R6">IF(COUNT(_xlfn._xlws.FILTER('TERadj'!NC2:NC100, ('TERadj'!NC2:NC100&gt;0))),COUNT(_xlfn._xlws.FILTER('TERadj'!NC2:NC100, ('TERadj'!NC2:NC100&gt;0))),"")</f>
        <v>0</v>
      </c>
    </row>
    <row r="7" spans="1:18">
      <c r="B7" t="s">
        <v>1060</v>
      </c>
      <c r="C7">
        <f>IF(SUMIFS('TERadj'!ND2:ND100,'TERadj'!ND2:ND100,"&gt;0")/1000,SUMIFS('TERadj'!ND2:ND100,'TERadj'!ND2:ND100,"&gt;0")/1000,"")</f>
        <v>0</v>
      </c>
      <c r="D7">
        <f>IF(SUMIFS('TERadj'!NE2:NE100,'TERadj'!NE2:NE100,"&gt;0")/1000,SUMIFS('TERadj'!NE2:NE100,'TERadj'!NE2:NE100,"&gt;0")/1000,"")</f>
        <v>0</v>
      </c>
      <c r="E7">
        <f>IF(SUMIFS('TERadj'!NF2:NF100,'TERadj'!NF2:NF100,"&gt;0")/1000,SUMIFS('TERadj'!NF2:NF100,'TERadj'!NF2:NF100,"&gt;0")/1000,"")</f>
        <v>0</v>
      </c>
      <c r="F7">
        <f>IF(SUMIFS('TERadj'!NG2:NG100,'TERadj'!NG2:NG100,"&gt;0")/1000,SUMIFS('TERadj'!NG2:NG100,'TERadj'!NG2:NG100,"&gt;0")/1000,"")</f>
        <v>0</v>
      </c>
      <c r="G7">
        <f>IF(SUMIFS('TERadj'!NH2:NH100,'TERadj'!NH2:NH100,"&gt;0")/1000,SUMIFS('TERadj'!NH2:NH100,'TERadj'!NH2:NH100,"&gt;0")/1000,"")</f>
        <v>0</v>
      </c>
      <c r="H7">
        <f>IF(SUMIFS('TERadj'!NI2:NI100,'TERadj'!NI2:NI100,"&gt;0")/1000,SUMIFS('TERadj'!NI2:NI100,'TERadj'!NI2:NI100,"&gt;0")/1000,"")</f>
        <v>0</v>
      </c>
      <c r="I7">
        <f>IF(SUMIFS('TERadj'!NJ2:NJ100,'TERadj'!NJ2:NJ100,"&gt;0")/1000,SUMIFS('TERadj'!NJ2:NJ100,'TERadj'!NJ2:NJ100,"&gt;0")/1000,"")</f>
        <v>0</v>
      </c>
      <c r="K7" t="s">
        <v>1060</v>
      </c>
      <c r="L7" cm="1">
        <f t="array" ref="L7">IF(COUNT(_xlfn._xlws.FILTER('TERadj'!ND2:ND100, ('TERadj'!ND2:ND100&gt;0))),COUNT(_xlfn._xlws.FILTER('TERadj'!ND2:ND100, ('TERadj'!ND2:ND100&gt;0))),"")</f>
        <v>0</v>
      </c>
      <c r="M7" cm="1">
        <f t="array" ref="M7">IF(COUNT(_xlfn._xlws.FILTER('TERadj'!NE2:NE100, ('TERadj'!NE2:NE100&gt;0))),COUNT(_xlfn._xlws.FILTER('TERadj'!NE2:NE100, ('TERadj'!NE2:NE100&gt;0))),"")</f>
        <v>0</v>
      </c>
      <c r="N7" cm="1">
        <f t="array" ref="N7">IF(COUNT(_xlfn._xlws.FILTER('TERadj'!NF2:NF100, ('TERadj'!NF2:NF100&gt;0))),COUNT(_xlfn._xlws.FILTER('TERadj'!NF2:NF100, ('TERadj'!NF2:NF100&gt;0))),"")</f>
        <v>0</v>
      </c>
      <c r="O7" cm="1">
        <f t="array" ref="O7">IF(COUNT(_xlfn._xlws.FILTER('TERadj'!NG2:NG100, ('TERadj'!NG2:NG100&gt;0))),COUNT(_xlfn._xlws.FILTER('TERadj'!NG2:NG100, ('TERadj'!NG2:NG100&gt;0))),"")</f>
        <v>0</v>
      </c>
      <c r="P7" cm="1">
        <f t="array" ref="P7">IF(COUNT(_xlfn._xlws.FILTER('TERadj'!NH2:NH100, ('TERadj'!NH2:NH100&gt;0))),COUNT(_xlfn._xlws.FILTER('TERadj'!NH2:NH100, ('TERadj'!NH2:NH100&gt;0))),"")</f>
        <v>0</v>
      </c>
      <c r="Q7" cm="1">
        <f t="array" ref="Q7">IF(COUNT(_xlfn._xlws.FILTER('TERadj'!NI2:NI100, ('TERadj'!NI2:NI100&gt;0))),COUNT(_xlfn._xlws.FILTER('TERadj'!NI2:NI100, ('TERadj'!NI2:NI100&gt;0))),"")</f>
        <v>0</v>
      </c>
      <c r="R7" cm="1">
        <f t="array" ref="R7">IF(COUNT(_xlfn._xlws.FILTER('TERadj'!NJ2:NJ100, ('TERadj'!NJ2:NJ100&gt;0))),COUNT(_xlfn._xlws.FILTER('TERadj'!NJ2:NJ100, ('TERadj'!NJ2:NJ100&gt;0))),"")</f>
        <v>0</v>
      </c>
    </row>
    <row r="9" spans="1:18">
      <c r="B9" t="s">
        <v>915</v>
      </c>
      <c r="C9" t="s">
        <v>1004</v>
      </c>
      <c r="D9" t="s">
        <v>934</v>
      </c>
      <c r="E9" t="s">
        <v>935</v>
      </c>
      <c r="F9" t="s">
        <v>878</v>
      </c>
      <c r="G9" t="s">
        <v>936</v>
      </c>
      <c r="H9" t="s">
        <v>881</v>
      </c>
      <c r="I9" t="s">
        <v>1053</v>
      </c>
    </row>
    <row r="10" spans="1:18">
      <c r="B10" t="s">
        <v>1057</v>
      </c>
      <c r="C10" s="5">
        <f>IF(SUM(L4:L7) &gt; 0, IF(AND(SUM(C4:C7)&gt;0, ISNUMBER(C4)),C4/SUM(C4:C7), ""), "")</f>
        <v>0</v>
      </c>
      <c r="D10" s="5">
        <f>IF(SUM(L4:L7) &gt; 0, IF(AND(SUM(D4:D7)&gt;0, ISNUMBER(D4)),D4/SUM(D4:D7), ""), "")</f>
        <v>0</v>
      </c>
      <c r="E10" s="5">
        <f>IF(SUM(L4:L7) &gt; 0, IF(AND(SUM(E4:E7)&gt;0, ISNUMBER(E4)),E4/SUM(E4:E7), ""), "")</f>
        <v>0</v>
      </c>
      <c r="F10" s="5">
        <f>IF(SUM(L4:L7) &gt; 0, IF(AND(SUM(F4:F7)&gt;0, ISNUMBER(F4)),F4/SUM(F4:F7), ""), "")</f>
        <v>0</v>
      </c>
      <c r="G10" s="5">
        <f>IF(SUM(L4:L7) &gt; 0, IF(AND(SUM(G4:G7)&gt;0, ISNUMBER(G4)),G4/SUM(G4:G7), ""), "")</f>
        <v>0</v>
      </c>
      <c r="H10" s="5">
        <f>IF(SUM(L4:L7) &gt; 0, IF(AND(SUM(H4:H7)&gt;0, ISNUMBER(H4)),H4/SUM(H4:H7), ""), "")</f>
        <v>0</v>
      </c>
      <c r="I10" s="5">
        <f>IF(SUM(L4:L7) &gt; 0, IF(AND(SUM(I4:I7)&gt;0, ISNUMBER(I4)),I4/SUM(I4:I7), ""), "")</f>
        <v>0</v>
      </c>
    </row>
    <row r="11" spans="1:18">
      <c r="B11" t="s">
        <v>1058</v>
      </c>
      <c r="C11" s="5">
        <f>IF(SUM(L4:L7) &gt; 0, IF(AND(SUM(C4:C7)&gt;0, ISNUMBER(C5)),C5/SUM(C4:C7), ""), "")</f>
        <v>0</v>
      </c>
      <c r="D11" s="5">
        <f>IF(SUM(L4:L7) &gt; 0, IF(AND(SUM(D4:D7)&gt;0, ISNUMBER(D5)),D5/SUM(D4:D7), ""), "")</f>
        <v>0</v>
      </c>
      <c r="E11" s="5">
        <f>IF(SUM(L4:L7) &gt; 0, IF(AND(SUM(E4:E7)&gt;0, ISNUMBER(E5)),E5/SUM(E4:E7), ""), "")</f>
        <v>0</v>
      </c>
      <c r="F11" s="5">
        <f>IF(SUM(L4:L7) &gt; 0, IF(AND(SUM(F4:F7)&gt;0, ISNUMBER(F5)),F5/SUM(F4:F7), ""), "")</f>
        <v>0</v>
      </c>
      <c r="G11" s="5">
        <f>IF(SUM(L4:L7) &gt; 0, IF(AND(SUM(G4:G7)&gt;0, ISNUMBER(G5)),G5/SUM(G4:G7), ""), "")</f>
        <v>0</v>
      </c>
      <c r="H11" s="5">
        <f>IF(SUM(L4:L7) &gt; 0, IF(AND(SUM(H4:H7)&gt;0, ISNUMBER(H5)),H5/SUM(H4:H7), ""), "")</f>
        <v>0</v>
      </c>
      <c r="I11" s="5">
        <f>IF(SUM(L4:L7) &gt; 0, IF(AND(SUM(I4:I7)&gt;0, ISNUMBER(I5)),I5/SUM(I4:I7), ""), "")</f>
        <v>0</v>
      </c>
    </row>
    <row r="12" spans="1:18">
      <c r="B12" t="s">
        <v>1059</v>
      </c>
      <c r="C12" s="5">
        <f>IF(SUM(L4:L7) &gt; 0, IF(AND(SUM(C4:C7)&gt;0, ISNUMBER(C6)),C6/SUM(C4:C7), ""), "")</f>
        <v>0</v>
      </c>
      <c r="D12" s="5">
        <f>IF(SUM(L4:L7) &gt; 0, IF(AND(SUM(D4:D7)&gt;0, ISNUMBER(D6)),D6/SUM(D4:D7), ""), "")</f>
        <v>0</v>
      </c>
      <c r="E12" s="5">
        <f>IF(SUM(L4:L7) &gt; 0, IF(AND(SUM(E4:E7)&gt;0, ISNUMBER(E6)),E6/SUM(E4:E7), ""), "")</f>
        <v>0</v>
      </c>
      <c r="F12" s="5">
        <f>IF(SUM(L4:L7) &gt; 0, IF(AND(SUM(F4:F7)&gt;0, ISNUMBER(F6)),F6/SUM(F4:F7), ""), "")</f>
        <v>0</v>
      </c>
      <c r="G12" s="5">
        <f>IF(SUM(L4:L7) &gt; 0, IF(AND(SUM(G4:G7)&gt;0, ISNUMBER(G6)),G6/SUM(G4:G7), ""), "")</f>
        <v>0</v>
      </c>
      <c r="H12" s="5">
        <f>IF(SUM(L4:L7) &gt; 0, IF(AND(SUM(H4:H7)&gt;0, ISNUMBER(H6)),H6/SUM(H4:H7), ""), "")</f>
        <v>0</v>
      </c>
      <c r="I12" s="5">
        <f>IF(SUM(L4:L7) &gt; 0, IF(AND(SUM(I4:I7)&gt;0, ISNUMBER(I6)),I6/SUM(I4:I7), ""), "")</f>
        <v>0</v>
      </c>
    </row>
    <row r="13" spans="1:18">
      <c r="B13" t="s">
        <v>1060</v>
      </c>
      <c r="C13" s="5">
        <f>IF(SUM(L4:L7) &gt; 0, IF(AND(SUM(C4:C7)&gt;0, ISNUMBER(C7)),C7/SUM(C4:C7), ""), "")</f>
        <v>0</v>
      </c>
      <c r="D13" s="5">
        <f>IF(SUM(L4:L7) &gt; 0, IF(AND(SUM(D4:D7)&gt;0, ISNUMBER(D7)),D7/SUM(D4:D7), ""), "")</f>
        <v>0</v>
      </c>
      <c r="E13" s="5">
        <f>IF(SUM(L4:L7) &gt; 0, IF(AND(SUM(E4:E7)&gt;0, ISNUMBER(E7)),E7/SUM(E4:E7), ""), "")</f>
        <v>0</v>
      </c>
      <c r="F13" s="5">
        <f>IF(SUM(L4:L7) &gt; 0, IF(AND(SUM(F4:F7)&gt;0, ISNUMBER(F7)),F7/SUM(F4:F7), ""), "")</f>
        <v>0</v>
      </c>
      <c r="G13" s="5">
        <f>IF(SUM(L4:L7) &gt; 0, IF(AND(SUM(G4:G7)&gt;0, ISNUMBER(G7)),G7/SUM(G4:G7), ""), "")</f>
        <v>0</v>
      </c>
      <c r="H13" s="5">
        <f>IF(SUM(L4:L7) &gt; 0, IF(AND(SUM(H4:H7)&gt;0, ISNUMBER(H7)),H7/SUM(H4:H7), ""), "")</f>
        <v>0</v>
      </c>
      <c r="I13" s="5">
        <f>IF(SUM(L4:L7) &gt; 0, IF(AND(SUM(I4:I7)&gt;0, ISNUMBER(I7)),I7/SUM(I4:I7), ""), "")</f>
        <v>0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tabColor rgb="FF0033A0"/>
  </sheetPr>
  <dimension ref="A1:T21"/>
  <sheetViews>
    <sheetView workbookViewId="0"/>
  </sheetViews>
  <sheetFormatPr defaultRowHeight="15"/>
  <sheetData>
    <row r="1" spans="1:20" s="3" customFormat="1" ht="40" customHeight="1">
      <c r="A1" s="3" t="s">
        <v>1067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884</v>
      </c>
      <c r="C4">
        <v>19.680988568306</v>
      </c>
      <c r="D4">
        <v>22.6093390216827</v>
      </c>
      <c r="E4">
        <v>22.5436315898895</v>
      </c>
      <c r="F4">
        <v>14.0704466543198</v>
      </c>
      <c r="G4">
        <v>23.9436104426384</v>
      </c>
      <c r="H4">
        <v>15.4453886556625</v>
      </c>
      <c r="I4">
        <v>6.80206332874298</v>
      </c>
      <c r="J4">
        <f>IF(SUMIFS('TERadj'!NK2:NK100,'TERadj'!NK2:NK100,"&gt;0")/1000,SUMIFS('TERadj'!NK2:NK100,'TERadj'!NK2:NK100,"&gt;0")/1000,"")</f>
        <v>0</v>
      </c>
      <c r="L4" t="s">
        <v>884</v>
      </c>
      <c r="M4">
        <v>68</v>
      </c>
      <c r="N4">
        <v>69</v>
      </c>
      <c r="O4">
        <v>57</v>
      </c>
      <c r="P4">
        <v>38</v>
      </c>
      <c r="Q4">
        <v>55</v>
      </c>
      <c r="R4">
        <v>44</v>
      </c>
      <c r="S4">
        <v>23</v>
      </c>
      <c r="T4" cm="1">
        <f t="array" ref="T4">IF(COUNT(_xlfn._xlws.FILTER('TERadj'!NK2:NK100, ('TERadj'!NK2:NK100&gt;0))),COUNT(_xlfn._xlws.FILTER('TERadj'!NK2:NK100, ('TERadj'!NK2:NK100&gt;0))),"")</f>
        <v>0</v>
      </c>
    </row>
    <row r="5" spans="1:20">
      <c r="B5" t="s">
        <v>892</v>
      </c>
      <c r="C5">
        <v>9.711425120353701</v>
      </c>
      <c r="D5">
        <v>14.0500466297865</v>
      </c>
      <c r="E5">
        <v>17.5404298790693</v>
      </c>
      <c r="F5">
        <v>18.5669563770294</v>
      </c>
      <c r="G5">
        <v>18.6233304409087</v>
      </c>
      <c r="H5">
        <v>7.10868372344971</v>
      </c>
      <c r="I5">
        <v>3.00412460899353</v>
      </c>
      <c r="J5">
        <f>IF(SUMIFS('TERadj'!NL2:NL100,'TERadj'!NL2:NL100,"&gt;0")/1000,SUMIFS('TERadj'!NL2:NL100,'TERadj'!NL2:NL100,"&gt;0")/1000,"")</f>
        <v>0</v>
      </c>
      <c r="L5" t="s">
        <v>892</v>
      </c>
      <c r="M5">
        <v>42</v>
      </c>
      <c r="N5">
        <v>45</v>
      </c>
      <c r="O5">
        <v>44</v>
      </c>
      <c r="P5">
        <v>29</v>
      </c>
      <c r="Q5">
        <v>43</v>
      </c>
      <c r="R5">
        <v>31</v>
      </c>
      <c r="S5">
        <v>13</v>
      </c>
      <c r="T5" cm="1">
        <f t="array" ref="T5">IF(COUNT(_xlfn._xlws.FILTER('TERadj'!NL2:NL100, ('TERadj'!NL2:NL100&gt;0))),COUNT(_xlfn._xlws.FILTER('TERadj'!NL2:NL100, ('TERadj'!NL2:NL100&gt;0))),"")</f>
        <v>0</v>
      </c>
    </row>
    <row r="6" spans="1:20">
      <c r="B6" t="s">
        <v>880</v>
      </c>
      <c r="C6">
        <v>2.34444535624608</v>
      </c>
      <c r="D6">
        <v>3.41588745880127</v>
      </c>
      <c r="E6">
        <v>1.94640919184685</v>
      </c>
      <c r="F6">
        <v>1.63197926402092</v>
      </c>
      <c r="G6">
        <v>2.81323983001709</v>
      </c>
      <c r="H6">
        <v>6.63837115478516</v>
      </c>
      <c r="I6">
        <v>2.32869107341766</v>
      </c>
      <c r="J6">
        <f>IF(SUMIFS('TERadj'!NM2:NM100,'TERadj'!NM2:NM100,"&gt;0")/1000,SUMIFS('TERadj'!NM2:NM100,'TERadj'!NM2:NM100,"&gt;0")/1000,"")</f>
        <v>0</v>
      </c>
      <c r="L6" t="s">
        <v>880</v>
      </c>
      <c r="M6">
        <v>11</v>
      </c>
      <c r="N6">
        <v>15</v>
      </c>
      <c r="O6">
        <v>15</v>
      </c>
      <c r="P6">
        <v>9</v>
      </c>
      <c r="Q6">
        <v>9</v>
      </c>
      <c r="R6">
        <v>10</v>
      </c>
      <c r="S6">
        <v>8</v>
      </c>
      <c r="T6" cm="1">
        <f t="array" ref="T6">IF(COUNT(_xlfn._xlws.FILTER('TERadj'!NM2:NM100, ('TERadj'!NM2:NM100&gt;0))),COUNT(_xlfn._xlws.FILTER('TERadj'!NM2:NM100, ('TERadj'!NM2:NM100&gt;0))),"")</f>
        <v>0</v>
      </c>
    </row>
    <row r="7" spans="1:20">
      <c r="B7" t="s">
        <v>890</v>
      </c>
      <c r="C7">
        <v>1.17647274637222</v>
      </c>
      <c r="D7">
        <v>0.652470153689384</v>
      </c>
      <c r="E7">
        <v>0.311340318799019</v>
      </c>
      <c r="F7">
        <v>0.0392000007629395</v>
      </c>
      <c r="G7">
        <v>0.446704303741455</v>
      </c>
      <c r="H7">
        <v>1.57209498119354</v>
      </c>
      <c r="I7">
        <v>3.48043359375</v>
      </c>
      <c r="J7">
        <f>IF(SUMIFS('TERadj'!NN2:NN100,'TERadj'!NN2:NN100,"&gt;0")/1000,SUMIFS('TERadj'!NN2:NN100,'TERadj'!NN2:NN100,"&gt;0")/1000,"")</f>
        <v>0</v>
      </c>
      <c r="L7" t="s">
        <v>890</v>
      </c>
      <c r="M7">
        <v>12</v>
      </c>
      <c r="N7">
        <v>6</v>
      </c>
      <c r="O7">
        <v>8</v>
      </c>
      <c r="P7">
        <v>1</v>
      </c>
      <c r="Q7">
        <v>6</v>
      </c>
      <c r="R7">
        <v>9</v>
      </c>
      <c r="S7">
        <v>2</v>
      </c>
      <c r="T7" cm="1">
        <f t="array" ref="T7">IF(COUNT(_xlfn._xlws.FILTER('TERadj'!NN2:NN100, ('TERadj'!NN2:NN100&gt;0))),COUNT(_xlfn._xlws.FILTER('TERadj'!NN2:NN100, ('TERadj'!NN2:NN100&gt;0))),"")</f>
        <v>0</v>
      </c>
    </row>
    <row r="8" spans="1:20">
      <c r="B8" t="s">
        <v>1009</v>
      </c>
      <c r="C8">
        <v>0.955117349438369</v>
      </c>
      <c r="D8">
        <v>1.13442460727319</v>
      </c>
      <c r="E8">
        <v>0.569079134643078</v>
      </c>
      <c r="F8">
        <v>0.408875524520874</v>
      </c>
      <c r="G8">
        <v>1.08883641052246</v>
      </c>
      <c r="H8">
        <v>0.897572359085083</v>
      </c>
      <c r="I8">
        <v>0.14183092546463</v>
      </c>
      <c r="J8">
        <f>IF(SUMIFS('TERadj'!NO2:NO100,'TERadj'!NO2:NO100,"&gt;0")/1000,SUMIFS('TERadj'!NO2:NO100,'TERadj'!NO2:NO100,"&gt;0")/1000,"")</f>
        <v>0</v>
      </c>
      <c r="L8" t="s">
        <v>1009</v>
      </c>
      <c r="M8">
        <v>29</v>
      </c>
      <c r="N8">
        <v>29</v>
      </c>
      <c r="O8">
        <v>17</v>
      </c>
      <c r="P8">
        <v>8</v>
      </c>
      <c r="Q8">
        <v>18</v>
      </c>
      <c r="R8">
        <v>12</v>
      </c>
      <c r="S8">
        <v>6</v>
      </c>
      <c r="T8" cm="1">
        <f t="array" ref="T8">IF(COUNT(_xlfn._xlws.FILTER('TERadj'!NO2:NO100, ('TERadj'!NO2:NO100&gt;0))),COUNT(_xlfn._xlws.FILTER('TERadj'!NO2:NO100, ('TERadj'!NO2:NO100&gt;0))),"")</f>
        <v>0</v>
      </c>
    </row>
    <row r="9" spans="1:20">
      <c r="B9" t="s">
        <v>936</v>
      </c>
      <c r="C9">
        <v>2.18891197872162</v>
      </c>
      <c r="D9">
        <v>1.34146063137054</v>
      </c>
      <c r="E9">
        <v>3.88769694900513</v>
      </c>
      <c r="F9">
        <v>1.15089181816578</v>
      </c>
      <c r="G9">
        <v>4.11783467245102</v>
      </c>
      <c r="H9">
        <v>1.48415672445297</v>
      </c>
      <c r="I9">
        <v>0.197256344556808</v>
      </c>
      <c r="J9">
        <f>IF(SUMIFS('TERadj'!NP2:NP100,'TERadj'!NP2:NP100,"&gt;0")/1000,SUMIFS('TERadj'!NP2:NP100,'TERadj'!NP2:NP100,"&gt;0")/1000,"")</f>
        <v>0</v>
      </c>
      <c r="L9" t="s">
        <v>936</v>
      </c>
      <c r="M9">
        <v>25</v>
      </c>
      <c r="N9">
        <v>25</v>
      </c>
      <c r="O9">
        <v>22</v>
      </c>
      <c r="P9">
        <v>15</v>
      </c>
      <c r="Q9">
        <v>30</v>
      </c>
      <c r="R9">
        <v>18</v>
      </c>
      <c r="S9">
        <v>3</v>
      </c>
      <c r="T9" cm="1">
        <f t="array" ref="T9">IF(COUNT(_xlfn._xlws.FILTER('TERadj'!NP2:NP100, ('TERadj'!NP2:NP100&gt;0))),COUNT(_xlfn._xlws.FILTER('TERadj'!NP2:NP100, ('TERadj'!NP2:NP100&gt;0))),"")</f>
        <v>0</v>
      </c>
    </row>
    <row r="10" spans="1:20">
      <c r="B10" t="s">
        <v>1010</v>
      </c>
      <c r="C10">
        <v>4.25742421227694</v>
      </c>
      <c r="D10">
        <v>3.1295943287611</v>
      </c>
      <c r="E10">
        <v>3.37105836892128</v>
      </c>
      <c r="F10">
        <v>0.790356553673744</v>
      </c>
      <c r="G10">
        <v>0.984305460929871</v>
      </c>
      <c r="H10">
        <v>0.5471163728237149</v>
      </c>
      <c r="I10">
        <v>0.256367819786072</v>
      </c>
      <c r="J10">
        <f>IF(SUMIFS('TERadj'!NQ2:NQ100,'TERadj'!NQ2:NQ100,"&gt;0")/1000,SUMIFS('TERadj'!NQ2:NQ100,'TERadj'!NQ2:NQ100,"&gt;0")/1000,"")</f>
        <v>0</v>
      </c>
      <c r="L10" t="s">
        <v>1010</v>
      </c>
      <c r="M10">
        <v>27</v>
      </c>
      <c r="N10">
        <v>36</v>
      </c>
      <c r="O10">
        <v>30</v>
      </c>
      <c r="P10">
        <v>12</v>
      </c>
      <c r="Q10">
        <v>23</v>
      </c>
      <c r="R10">
        <v>18</v>
      </c>
      <c r="S10">
        <v>7</v>
      </c>
      <c r="T10" cm="1">
        <f t="array" ref="T10">IF(COUNT(_xlfn._xlws.FILTER('TERadj'!NQ2:NQ100, ('TERadj'!NQ2:NQ100&gt;0))),COUNT(_xlfn._xlws.FILTER('TERadj'!NQ2:NQ100, ('TERadj'!NQ2:NQ100&gt;0))),"")</f>
        <v>0</v>
      </c>
    </row>
    <row r="11" spans="1:20">
      <c r="B11" t="s">
        <v>894</v>
      </c>
      <c r="C11">
        <v>8.587554598271851</v>
      </c>
      <c r="D11">
        <v>8.18098340505361</v>
      </c>
      <c r="E11">
        <v>6.70698698455095</v>
      </c>
      <c r="F11">
        <v>7.79008064556122</v>
      </c>
      <c r="G11">
        <v>11.8439468494654</v>
      </c>
      <c r="H11">
        <v>8.716400272369381</v>
      </c>
      <c r="I11">
        <v>6.86254810602963</v>
      </c>
      <c r="J11">
        <f>IF(SUMIFS('TERadj'!NR2:NR100,'TERadj'!NR2:NR100,"&gt;0")/1000,SUMIFS('TERadj'!NR2:NR100,'TERadj'!NR2:NR100,"&gt;0")/1000,"")</f>
        <v>0</v>
      </c>
      <c r="L11" t="s">
        <v>894</v>
      </c>
      <c r="M11">
        <v>43</v>
      </c>
      <c r="N11">
        <v>38</v>
      </c>
      <c r="O11">
        <v>33</v>
      </c>
      <c r="P11">
        <v>24</v>
      </c>
      <c r="Q11">
        <v>34</v>
      </c>
      <c r="R11">
        <v>29</v>
      </c>
      <c r="S11">
        <v>23</v>
      </c>
      <c r="T11" cm="1">
        <f t="array" ref="T11">IF(COUNT(_xlfn._xlws.FILTER('TERadj'!NR2:NR100, ('TERadj'!NR2:NR100&gt;0))),COUNT(_xlfn._xlws.FILTER('TERadj'!NR2:NR100, ('TERadj'!NR2:NR100&gt;0))),"")</f>
        <v>0</v>
      </c>
    </row>
    <row r="13" spans="1:20">
      <c r="B13" t="s">
        <v>915</v>
      </c>
      <c r="C13" t="s">
        <v>945</v>
      </c>
      <c r="D13" t="s">
        <v>946</v>
      </c>
      <c r="E13" t="s">
        <v>947</v>
      </c>
      <c r="F13" t="s">
        <v>948</v>
      </c>
      <c r="G13" t="s">
        <v>949</v>
      </c>
      <c r="H13" t="s">
        <v>950</v>
      </c>
      <c r="I13" t="s">
        <v>931</v>
      </c>
      <c r="J13" t="s">
        <v>932</v>
      </c>
    </row>
    <row r="14" spans="1:20">
      <c r="B14" t="s">
        <v>884</v>
      </c>
      <c r="C14" s="6">
        <f>IF(SUM(M4:M11) &gt; 0, IF(AND(SUM(C4:C11)&gt;0, ISNUMBER(C4)),C4/SUM(C4:C11), ""), "")</f>
        <v>0</v>
      </c>
      <c r="D14" s="6">
        <f>IF(SUM(M4:M11) &gt; 0, IF(AND(SUM(D4:D11)&gt;0, ISNUMBER(D4)),D4/SUM(D4:D11), ""), "")</f>
        <v>0</v>
      </c>
      <c r="E14" s="6">
        <f>IF(SUM(M4:M11) &gt; 0, IF(AND(SUM(E4:E11)&gt;0, ISNUMBER(E4)),E4/SUM(E4:E11), ""), "")</f>
        <v>0</v>
      </c>
      <c r="F14" s="6">
        <f>IF(SUM(M4:M11) &gt; 0, IF(AND(SUM(F4:F11)&gt;0, ISNUMBER(F4)),F4/SUM(F4:F11), ""), "")</f>
        <v>0</v>
      </c>
      <c r="G14" s="6">
        <f>IF(SUM(M4:M11) &gt; 0, IF(AND(SUM(G4:G11)&gt;0, ISNUMBER(G4)),G4/SUM(G4:G11), ""), "")</f>
        <v>0</v>
      </c>
      <c r="H14" s="6">
        <f>IF(SUM(M4:M11) &gt; 0, IF(AND(SUM(H4:H11)&gt;0, ISNUMBER(H4)),H4/SUM(H4:H11), ""), "")</f>
        <v>0</v>
      </c>
      <c r="I14" s="6">
        <f>IF(SUM(M4:M11) &gt; 0, IF(AND(SUM(I4:I11)&gt;0, ISNUMBER(I4)),I4/SUM(I4:I11), ""), "")</f>
        <v>0</v>
      </c>
      <c r="J14" s="6">
        <f>IF(SUM(M4:M11) &gt; 0, IF(AND(SUM(J4:J11)&gt;0, ISNUMBER(J4)),J4/SUM(J4:J11), ""), "")</f>
        <v>0</v>
      </c>
    </row>
    <row r="15" spans="1:20">
      <c r="B15" t="s">
        <v>892</v>
      </c>
      <c r="C15" s="6">
        <f>IF(SUM(M4:M11) &gt; 0, IF(AND(SUM(C4:C11)&gt;0, ISNUMBER(C5)),C5/SUM(C4:C11), ""), "")</f>
        <v>0</v>
      </c>
      <c r="D15" s="6">
        <f>IF(SUM(M4:M11) &gt; 0, IF(AND(SUM(D4:D11)&gt;0, ISNUMBER(D5)),D5/SUM(D4:D11), ""), "")</f>
        <v>0</v>
      </c>
      <c r="E15" s="6">
        <f>IF(SUM(M4:M11) &gt; 0, IF(AND(SUM(E4:E11)&gt;0, ISNUMBER(E5)),E5/SUM(E4:E11), ""), "")</f>
        <v>0</v>
      </c>
      <c r="F15" s="6">
        <f>IF(SUM(M4:M11) &gt; 0, IF(AND(SUM(F4:F11)&gt;0, ISNUMBER(F5)),F5/SUM(F4:F11), ""), "")</f>
        <v>0</v>
      </c>
      <c r="G15" s="6">
        <f>IF(SUM(M4:M11) &gt; 0, IF(AND(SUM(G4:G11)&gt;0, ISNUMBER(G5)),G5/SUM(G4:G11), ""), "")</f>
        <v>0</v>
      </c>
      <c r="H15" s="6">
        <f>IF(SUM(M4:M11) &gt; 0, IF(AND(SUM(H4:H11)&gt;0, ISNUMBER(H5)),H5/SUM(H4:H11), ""), "")</f>
        <v>0</v>
      </c>
      <c r="I15" s="6">
        <f>IF(SUM(M4:M11) &gt; 0, IF(AND(SUM(I4:I11)&gt;0, ISNUMBER(I5)),I5/SUM(I4:I11), ""), "")</f>
        <v>0</v>
      </c>
      <c r="J15" s="6">
        <f>IF(SUM(M4:M11) &gt; 0, IF(AND(SUM(J4:J11)&gt;0, ISNUMBER(J5)),J5/SUM(J4:J11), ""), "")</f>
        <v>0</v>
      </c>
    </row>
    <row r="16" spans="1:20">
      <c r="B16" t="s">
        <v>880</v>
      </c>
      <c r="C16" s="6">
        <f>IF(SUM(M4:M11) &gt; 0, IF(AND(SUM(C4:C11)&gt;0, ISNUMBER(C6)),C6/SUM(C4:C11), ""), "")</f>
        <v>0</v>
      </c>
      <c r="D16" s="6">
        <f>IF(SUM(M4:M11) &gt; 0, IF(AND(SUM(D4:D11)&gt;0, ISNUMBER(D6)),D6/SUM(D4:D11), ""), "")</f>
        <v>0</v>
      </c>
      <c r="E16" s="6">
        <f>IF(SUM(M4:M11) &gt; 0, IF(AND(SUM(E4:E11)&gt;0, ISNUMBER(E6)),E6/SUM(E4:E11), ""), "")</f>
        <v>0</v>
      </c>
      <c r="F16" s="6">
        <f>IF(SUM(M4:M11) &gt; 0, IF(AND(SUM(F4:F11)&gt;0, ISNUMBER(F6)),F6/SUM(F4:F11), ""), "")</f>
        <v>0</v>
      </c>
      <c r="G16" s="6">
        <f>IF(SUM(M4:M11) &gt; 0, IF(AND(SUM(G4:G11)&gt;0, ISNUMBER(G6)),G6/SUM(G4:G11), ""), "")</f>
        <v>0</v>
      </c>
      <c r="H16" s="6">
        <f>IF(SUM(M4:M11) &gt; 0, IF(AND(SUM(H4:H11)&gt;0, ISNUMBER(H6)),H6/SUM(H4:H11), ""), "")</f>
        <v>0</v>
      </c>
      <c r="I16" s="6">
        <f>IF(SUM(M4:M11) &gt; 0, IF(AND(SUM(I4:I11)&gt;0, ISNUMBER(I6)),I6/SUM(I4:I11), ""), "")</f>
        <v>0</v>
      </c>
      <c r="J16" s="6">
        <f>IF(SUM(M4:M11) &gt; 0, IF(AND(SUM(J4:J11)&gt;0, ISNUMBER(J6)),J6/SUM(J4:J11), ""), "")</f>
        <v>0</v>
      </c>
    </row>
    <row r="17" spans="2:10">
      <c r="B17" t="s">
        <v>890</v>
      </c>
      <c r="C17" s="6">
        <f>IF(SUM(M4:M11) &gt; 0, IF(AND(SUM(C4:C11)&gt;0, ISNUMBER(C7)),C7/SUM(C4:C11), ""), "")</f>
        <v>0</v>
      </c>
      <c r="D17" s="6">
        <f>IF(SUM(M4:M11) &gt; 0, IF(AND(SUM(D4:D11)&gt;0, ISNUMBER(D7)),D7/SUM(D4:D11), ""), "")</f>
        <v>0</v>
      </c>
      <c r="E17" s="6">
        <f>IF(SUM(M4:M11) &gt; 0, IF(AND(SUM(E4:E11)&gt;0, ISNUMBER(E7)),E7/SUM(E4:E11), ""), "")</f>
        <v>0</v>
      </c>
      <c r="F17" s="6">
        <f>IF(SUM(M4:M11) &gt; 0, IF(AND(SUM(F4:F11)&gt;0, ISNUMBER(F7)),F7/SUM(F4:F11), ""), "")</f>
        <v>0</v>
      </c>
      <c r="G17" s="6">
        <f>IF(SUM(M4:M11) &gt; 0, IF(AND(SUM(G4:G11)&gt;0, ISNUMBER(G7)),G7/SUM(G4:G11), ""), "")</f>
        <v>0</v>
      </c>
      <c r="H17" s="6">
        <f>IF(SUM(M4:M11) &gt; 0, IF(AND(SUM(H4:H11)&gt;0, ISNUMBER(H7)),H7/SUM(H4:H11), ""), "")</f>
        <v>0</v>
      </c>
      <c r="I17" s="6">
        <f>IF(SUM(M4:M11) &gt; 0, IF(AND(SUM(I4:I11)&gt;0, ISNUMBER(I7)),I7/SUM(I4:I11), ""), "")</f>
        <v>0</v>
      </c>
      <c r="J17" s="6">
        <f>IF(SUM(M4:M11) &gt; 0, IF(AND(SUM(J4:J11)&gt;0, ISNUMBER(J7)),J7/SUM(J4:J11), ""), "")</f>
        <v>0</v>
      </c>
    </row>
    <row r="18" spans="2:10">
      <c r="B18" t="s">
        <v>1009</v>
      </c>
      <c r="C18" s="6">
        <f>IF(SUM(M4:M11) &gt; 0, IF(AND(SUM(C4:C11)&gt;0, ISNUMBER(C8)),C8/SUM(C4:C11), ""), "")</f>
        <v>0</v>
      </c>
      <c r="D18" s="6">
        <f>IF(SUM(M4:M11) &gt; 0, IF(AND(SUM(D4:D11)&gt;0, ISNUMBER(D8)),D8/SUM(D4:D11), ""), "")</f>
        <v>0</v>
      </c>
      <c r="E18" s="6">
        <f>IF(SUM(M4:M11) &gt; 0, IF(AND(SUM(E4:E11)&gt;0, ISNUMBER(E8)),E8/SUM(E4:E11), ""), "")</f>
        <v>0</v>
      </c>
      <c r="F18" s="6">
        <f>IF(SUM(M4:M11) &gt; 0, IF(AND(SUM(F4:F11)&gt;0, ISNUMBER(F8)),F8/SUM(F4:F11), ""), "")</f>
        <v>0</v>
      </c>
      <c r="G18" s="6">
        <f>IF(SUM(M4:M11) &gt; 0, IF(AND(SUM(G4:G11)&gt;0, ISNUMBER(G8)),G8/SUM(G4:G11), ""), "")</f>
        <v>0</v>
      </c>
      <c r="H18" s="6">
        <f>IF(SUM(M4:M11) &gt; 0, IF(AND(SUM(H4:H11)&gt;0, ISNUMBER(H8)),H8/SUM(H4:H11), ""), "")</f>
        <v>0</v>
      </c>
      <c r="I18" s="6">
        <f>IF(SUM(M4:M11) &gt; 0, IF(AND(SUM(I4:I11)&gt;0, ISNUMBER(I8)),I8/SUM(I4:I11), ""), "")</f>
        <v>0</v>
      </c>
      <c r="J18" s="6">
        <f>IF(SUM(M4:M11) &gt; 0, IF(AND(SUM(J4:J11)&gt;0, ISNUMBER(J8)),J8/SUM(J4:J11), ""), "")</f>
        <v>0</v>
      </c>
    </row>
    <row r="19" spans="2:10">
      <c r="B19" t="s">
        <v>936</v>
      </c>
      <c r="C19" s="6">
        <f>IF(SUM(M4:M11) &gt; 0, IF(AND(SUM(C4:C11)&gt;0, ISNUMBER(C9)),C9/SUM(C4:C11), ""), "")</f>
        <v>0</v>
      </c>
      <c r="D19" s="6">
        <f>IF(SUM(M4:M11) &gt; 0, IF(AND(SUM(D4:D11)&gt;0, ISNUMBER(D9)),D9/SUM(D4:D11), ""), "")</f>
        <v>0</v>
      </c>
      <c r="E19" s="6">
        <f>IF(SUM(M4:M11) &gt; 0, IF(AND(SUM(E4:E11)&gt;0, ISNUMBER(E9)),E9/SUM(E4:E11), ""), "")</f>
        <v>0</v>
      </c>
      <c r="F19" s="6">
        <f>IF(SUM(M4:M11) &gt; 0, IF(AND(SUM(F4:F11)&gt;0, ISNUMBER(F9)),F9/SUM(F4:F11), ""), "")</f>
        <v>0</v>
      </c>
      <c r="G19" s="6">
        <f>IF(SUM(M4:M11) &gt; 0, IF(AND(SUM(G4:G11)&gt;0, ISNUMBER(G9)),G9/SUM(G4:G11), ""), "")</f>
        <v>0</v>
      </c>
      <c r="H19" s="6">
        <f>IF(SUM(M4:M11) &gt; 0, IF(AND(SUM(H4:H11)&gt;0, ISNUMBER(H9)),H9/SUM(H4:H11), ""), "")</f>
        <v>0</v>
      </c>
      <c r="I19" s="6">
        <f>IF(SUM(M4:M11) &gt; 0, IF(AND(SUM(I4:I11)&gt;0, ISNUMBER(I9)),I9/SUM(I4:I11), ""), "")</f>
        <v>0</v>
      </c>
      <c r="J19" s="6">
        <f>IF(SUM(M4:M11) &gt; 0, IF(AND(SUM(J4:J11)&gt;0, ISNUMBER(J9)),J9/SUM(J4:J11), ""), "")</f>
        <v>0</v>
      </c>
    </row>
    <row r="20" spans="2:10">
      <c r="B20" t="s">
        <v>1010</v>
      </c>
      <c r="C20" s="6">
        <f>IF(SUM(M4:M11) &gt; 0, IF(AND(SUM(C4:C11)&gt;0, ISNUMBER(C10)),C10/SUM(C4:C11), ""), "")</f>
        <v>0</v>
      </c>
      <c r="D20" s="6">
        <f>IF(SUM(M4:M11) &gt; 0, IF(AND(SUM(D4:D11)&gt;0, ISNUMBER(D10)),D10/SUM(D4:D11), ""), "")</f>
        <v>0</v>
      </c>
      <c r="E20" s="6">
        <f>IF(SUM(M4:M11) &gt; 0, IF(AND(SUM(E4:E11)&gt;0, ISNUMBER(E10)),E10/SUM(E4:E11), ""), "")</f>
        <v>0</v>
      </c>
      <c r="F20" s="6">
        <f>IF(SUM(M4:M11) &gt; 0, IF(AND(SUM(F4:F11)&gt;0, ISNUMBER(F10)),F10/SUM(F4:F11), ""), "")</f>
        <v>0</v>
      </c>
      <c r="G20" s="6">
        <f>IF(SUM(M4:M11) &gt; 0, IF(AND(SUM(G4:G11)&gt;0, ISNUMBER(G10)),G10/SUM(G4:G11), ""), "")</f>
        <v>0</v>
      </c>
      <c r="H20" s="6">
        <f>IF(SUM(M4:M11) &gt; 0, IF(AND(SUM(H4:H11)&gt;0, ISNUMBER(H10)),H10/SUM(H4:H11), ""), "")</f>
        <v>0</v>
      </c>
      <c r="I20" s="6">
        <f>IF(SUM(M4:M11) &gt; 0, IF(AND(SUM(I4:I11)&gt;0, ISNUMBER(I10)),I10/SUM(I4:I11), ""), "")</f>
        <v>0</v>
      </c>
      <c r="J20" s="6">
        <f>IF(SUM(M4:M11) &gt; 0, IF(AND(SUM(J4:J11)&gt;0, ISNUMBER(J10)),J10/SUM(J4:J11), ""), "")</f>
        <v>0</v>
      </c>
    </row>
    <row r="21" spans="2:10">
      <c r="B21" t="s">
        <v>894</v>
      </c>
      <c r="C21" s="6">
        <f>IF(SUM(M4:M11) &gt; 0, IF(AND(SUM(C4:C11)&gt;0, ISNUMBER(C11)),C11/SUM(C4:C11), ""), "")</f>
        <v>0</v>
      </c>
      <c r="D21" s="6">
        <f>IF(SUM(M4:M11) &gt; 0, IF(AND(SUM(D4:D11)&gt;0, ISNUMBER(D11)),D11/SUM(D4:D11), ""), "")</f>
        <v>0</v>
      </c>
      <c r="E21" s="6">
        <f>IF(SUM(M4:M11) &gt; 0, IF(AND(SUM(E4:E11)&gt;0, ISNUMBER(E11)),E11/SUM(E4:E11), ""), "")</f>
        <v>0</v>
      </c>
      <c r="F21" s="6">
        <f>IF(SUM(M4:M11) &gt; 0, IF(AND(SUM(F4:F11)&gt;0, ISNUMBER(F11)),F11/SUM(F4:F11), ""), "")</f>
        <v>0</v>
      </c>
      <c r="G21" s="6">
        <f>IF(SUM(M4:M11) &gt; 0, IF(AND(SUM(G4:G11)&gt;0, ISNUMBER(G11)),G11/SUM(G4:G11), ""), "")</f>
        <v>0</v>
      </c>
      <c r="H21" s="6">
        <f>IF(SUM(M4:M11) &gt; 0, IF(AND(SUM(H4:H11)&gt;0, ISNUMBER(H11)),H11/SUM(H4:H11), ""), "")</f>
        <v>0</v>
      </c>
      <c r="I21" s="6">
        <f>IF(SUM(M4:M11) &gt; 0, IF(AND(SUM(I4:I11)&gt;0, ISNUMBER(I11)),I11/SUM(I4:I11), ""), "")</f>
        <v>0</v>
      </c>
      <c r="J21" s="6">
        <f>IF(SUM(M4:M11) &gt; 0, IF(AND(SUM(J4:J11)&gt;0, ISNUMBER(J11)),J11/SUM(J4:J11), ""), "")</f>
        <v>0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rgb="FF0033A0"/>
  </sheetPr>
  <dimension ref="A1:T19"/>
  <sheetViews>
    <sheetView workbookViewId="0"/>
  </sheetViews>
  <sheetFormatPr defaultRowHeight="15"/>
  <sheetData>
    <row r="1" spans="1:20" s="3" customFormat="1" ht="40" customHeight="1">
      <c r="A1" s="3" t="s">
        <v>1067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933</v>
      </c>
      <c r="C4">
        <v>27.6057948722839</v>
      </c>
      <c r="D4">
        <v>29.7121865663528</v>
      </c>
      <c r="E4">
        <v>24.1119496545792</v>
      </c>
      <c r="F4">
        <v>19.8977339897156</v>
      </c>
      <c r="G4">
        <v>29.1884288387299</v>
      </c>
      <c r="H4">
        <v>29.0301813087463</v>
      </c>
      <c r="I4">
        <v>6.65006713676453</v>
      </c>
      <c r="J4">
        <f>IF(SUMIFS('TERadj'!NS2:NS100,'TERadj'!NS2:NS100,"&gt;0")/1000,SUMIFS('TERadj'!NS2:NS100,'TERadj'!NS2:NS100,"&gt;0")/1000,"")</f>
        <v>0</v>
      </c>
      <c r="L4" t="s">
        <v>933</v>
      </c>
      <c r="M4">
        <v>66</v>
      </c>
      <c r="N4">
        <v>66</v>
      </c>
      <c r="O4">
        <v>59</v>
      </c>
      <c r="P4">
        <v>39</v>
      </c>
      <c r="Q4">
        <v>57</v>
      </c>
      <c r="R4">
        <v>52</v>
      </c>
      <c r="S4">
        <v>28</v>
      </c>
      <c r="T4" cm="1">
        <f t="array" ref="T4">IF(COUNT(_xlfn._xlws.FILTER('TERadj'!NS2:NS100, ('TERadj'!NS2:NS100&gt;0))),COUNT(_xlfn._xlws.FILTER('TERadj'!NS2:NS100, ('TERadj'!NS2:NS100&gt;0))),"")</f>
        <v>0</v>
      </c>
    </row>
    <row r="5" spans="1:20">
      <c r="B5" t="s">
        <v>934</v>
      </c>
      <c r="C5">
        <v>10.7422848014832</v>
      </c>
      <c r="D5">
        <v>14.2983983801603</v>
      </c>
      <c r="E5">
        <v>20.0657958679199</v>
      </c>
      <c r="F5">
        <v>11.6904238300323</v>
      </c>
      <c r="G5">
        <v>15.0392883377075</v>
      </c>
      <c r="H5">
        <v>6.65281969261169</v>
      </c>
      <c r="I5">
        <v>4.46668766522408</v>
      </c>
      <c r="J5">
        <f>IF(SUMIFS('TERadj'!NT2:NT100,'TERadj'!NT2:NT100,"&gt;0")/1000,SUMIFS('TERadj'!NT2:NT100,'TERadj'!NT2:NT100,"&gt;0")/1000,"")</f>
        <v>0</v>
      </c>
      <c r="L5" t="s">
        <v>934</v>
      </c>
      <c r="M5">
        <v>25</v>
      </c>
      <c r="N5">
        <v>25</v>
      </c>
      <c r="O5">
        <v>23</v>
      </c>
      <c r="P5">
        <v>15</v>
      </c>
      <c r="Q5">
        <v>21</v>
      </c>
      <c r="R5">
        <v>14</v>
      </c>
      <c r="S5">
        <v>14</v>
      </c>
      <c r="T5" cm="1">
        <f t="array" ref="T5">IF(COUNT(_xlfn._xlws.FILTER('TERadj'!NT2:NT100, ('TERadj'!NT2:NT100&gt;0))),COUNT(_xlfn._xlws.FILTER('TERadj'!NT2:NT100, ('TERadj'!NT2:NT100&gt;0))),"")</f>
        <v>0</v>
      </c>
    </row>
    <row r="6" spans="1:20">
      <c r="B6" t="s">
        <v>935</v>
      </c>
      <c r="C6">
        <v>1.5383430480957</v>
      </c>
      <c r="D6">
        <v>2.25858539390564</v>
      </c>
      <c r="E6">
        <v>2.42769830322266</v>
      </c>
      <c r="F6">
        <v>1.05</v>
      </c>
      <c r="G6">
        <v>2.32147344970703</v>
      </c>
      <c r="H6">
        <v>0.926</v>
      </c>
      <c r="I6">
        <v>0.3461005859375</v>
      </c>
      <c r="J6">
        <f>IF(SUMIFS('TERadj'!NU2:NU100,'TERadj'!NU2:NU100,"&gt;0")/1000,SUMIFS('TERadj'!NU2:NU100,'TERadj'!NU2:NU100,"&gt;0")/1000,"")</f>
        <v>0</v>
      </c>
      <c r="L6" t="s">
        <v>935</v>
      </c>
      <c r="M6">
        <v>6</v>
      </c>
      <c r="N6">
        <v>8</v>
      </c>
      <c r="O6">
        <v>9</v>
      </c>
      <c r="P6">
        <v>4</v>
      </c>
      <c r="Q6">
        <v>5</v>
      </c>
      <c r="R6">
        <v>2</v>
      </c>
      <c r="S6">
        <v>1</v>
      </c>
      <c r="T6" cm="1">
        <f t="array" ref="T6">IF(COUNT(_xlfn._xlws.FILTER('TERadj'!NU2:NU100, ('TERadj'!NU2:NU100&gt;0))),COUNT(_xlfn._xlws.FILTER('TERadj'!NU2:NU100, ('TERadj'!NU2:NU100&gt;0))),"")</f>
        <v>0</v>
      </c>
    </row>
    <row r="7" spans="1:20">
      <c r="B7" t="s">
        <v>878</v>
      </c>
      <c r="C7">
        <v>4.0451052532196</v>
      </c>
      <c r="D7">
        <v>5.79156392478943</v>
      </c>
      <c r="E7">
        <v>6.08950283241272</v>
      </c>
      <c r="F7">
        <v>2.20094071388245</v>
      </c>
      <c r="G7">
        <v>6.28429670715332</v>
      </c>
      <c r="H7">
        <v>3.28022508239746</v>
      </c>
      <c r="I7">
        <v>2.30504999160767</v>
      </c>
      <c r="J7">
        <f>IF(SUMIFS('TERadj'!NV2:NV100,'TERadj'!NV2:NV100,"&gt;0")/1000,SUMIFS('TERadj'!NV2:NV100,'TERadj'!NV2:NV100,"&gt;0")/1000,"")</f>
        <v>0</v>
      </c>
      <c r="L7" t="s">
        <v>878</v>
      </c>
      <c r="M7">
        <v>21</v>
      </c>
      <c r="N7">
        <v>22</v>
      </c>
      <c r="O7">
        <v>21</v>
      </c>
      <c r="P7">
        <v>15</v>
      </c>
      <c r="Q7">
        <v>13</v>
      </c>
      <c r="R7">
        <v>10</v>
      </c>
      <c r="S7">
        <v>8</v>
      </c>
      <c r="T7" cm="1">
        <f t="array" ref="T7">IF(COUNT(_xlfn._xlws.FILTER('TERadj'!NV2:NV100, ('TERadj'!NV2:NV100&gt;0))),COUNT(_xlfn._xlws.FILTER('TERadj'!NV2:NV100, ('TERadj'!NV2:NV100&gt;0))),"")</f>
        <v>0</v>
      </c>
    </row>
    <row r="8" spans="1:20">
      <c r="B8" t="s">
        <v>936</v>
      </c>
      <c r="C8">
        <v>1.00896777153015</v>
      </c>
      <c r="D8">
        <v>0.0773199462890625</v>
      </c>
      <c r="E8">
        <v>0.821464141845703</v>
      </c>
      <c r="J8">
        <f>IF(SUMIFS('TERadj'!NW2:NW100,'TERadj'!NW2:NW100,"&gt;0")/1000,SUMIFS('TERadj'!NW2:NW100,'TERadj'!NW2:NW100,"&gt;0")/1000,"")</f>
        <v>0</v>
      </c>
      <c r="L8" t="s">
        <v>936</v>
      </c>
      <c r="M8">
        <v>7</v>
      </c>
      <c r="N8">
        <v>2</v>
      </c>
      <c r="O8">
        <v>3</v>
      </c>
      <c r="T8" cm="1">
        <f t="array" ref="T8">IF(COUNT(_xlfn._xlws.FILTER('TERadj'!NW2:NW100, ('TERadj'!NW2:NW100&gt;0))),COUNT(_xlfn._xlws.FILTER('TERadj'!NW2:NW100, ('TERadj'!NW2:NW100&gt;0))),"")</f>
        <v>0</v>
      </c>
    </row>
    <row r="9" spans="1:20">
      <c r="B9" t="s">
        <v>881</v>
      </c>
      <c r="C9">
        <v>3.95784435796738</v>
      </c>
      <c r="D9">
        <v>2.37614330291748</v>
      </c>
      <c r="E9">
        <v>3.36023149108887</v>
      </c>
      <c r="F9">
        <v>9.60968815612793</v>
      </c>
      <c r="G9">
        <v>12.1771499557495</v>
      </c>
      <c r="H9">
        <v>2.52055816459656</v>
      </c>
      <c r="I9">
        <v>9.30541038608551</v>
      </c>
      <c r="J9">
        <f>IF(SUMIFS('TERadj'!NX2:NX100,'TERadj'!NX2:NX100,"&gt;0")/1000,SUMIFS('TERadj'!NX2:NX100,'TERadj'!NX2:NX100,"&gt;0")/1000,"")</f>
        <v>0</v>
      </c>
      <c r="L9" t="s">
        <v>881</v>
      </c>
      <c r="M9">
        <v>11</v>
      </c>
      <c r="N9">
        <v>7</v>
      </c>
      <c r="O9">
        <v>5</v>
      </c>
      <c r="P9">
        <v>16</v>
      </c>
      <c r="Q9">
        <v>15</v>
      </c>
      <c r="R9">
        <v>8</v>
      </c>
      <c r="S9">
        <v>7</v>
      </c>
      <c r="T9" cm="1">
        <f t="array" ref="T9">IF(COUNT(_xlfn._xlws.FILTER('TERadj'!NX2:NX100, ('TERadj'!NX2:NX100&gt;0))),COUNT(_xlfn._xlws.FILTER('TERadj'!NX2:NX100, ('TERadj'!NX2:NX100&gt;0))),"")</f>
        <v>0</v>
      </c>
    </row>
    <row r="10" spans="1:20">
      <c r="B10" t="s">
        <v>938</v>
      </c>
      <c r="J10">
        <f>IF(SUMIFS('TERadj'!NY2:NY100,'TERadj'!NY2:NY100,"&gt;0")/1000,SUMIFS('TERadj'!NY2:NY100,'TERadj'!NY2:NY100,"&gt;0")/1000,"")</f>
        <v>0</v>
      </c>
      <c r="L10" t="s">
        <v>938</v>
      </c>
      <c r="T10" cm="1">
        <f t="array" ref="T10">IF(COUNT(_xlfn._xlws.FILTER('TERadj'!NY2:NY100, ('TERadj'!NY2:NY100&gt;0))),COUNT(_xlfn._xlws.FILTER('TERadj'!NY2:NY100, ('TERadj'!NY2:NY100&gt;0))),"")</f>
        <v>0</v>
      </c>
    </row>
    <row r="12" spans="1:20">
      <c r="B12" t="s">
        <v>915</v>
      </c>
      <c r="C12" t="s">
        <v>945</v>
      </c>
      <c r="D12" t="s">
        <v>946</v>
      </c>
      <c r="E12" t="s">
        <v>947</v>
      </c>
      <c r="F12" t="s">
        <v>948</v>
      </c>
      <c r="G12" t="s">
        <v>949</v>
      </c>
      <c r="H12" t="s">
        <v>950</v>
      </c>
      <c r="I12" t="s">
        <v>931</v>
      </c>
      <c r="J12" t="s">
        <v>932</v>
      </c>
    </row>
    <row r="13" spans="1:20">
      <c r="B13" t="s">
        <v>933</v>
      </c>
      <c r="C13" s="5">
        <f>IF(SUM(M4:M10) &gt; 0, IF(AND(SUM(C4:C10)&gt;0, ISNUMBER(C4)),C4/SUM(C4:C10), ""), "")</f>
        <v>0</v>
      </c>
      <c r="D13" s="5">
        <f>IF(SUM(M4:M10) &gt; 0, IF(AND(SUM(D4:D10)&gt;0, ISNUMBER(D4)),D4/SUM(D4:D10), ""), "")</f>
        <v>0</v>
      </c>
      <c r="E13" s="5">
        <f>IF(SUM(M4:M10) &gt; 0, IF(AND(SUM(E4:E10)&gt;0, ISNUMBER(E4)),E4/SUM(E4:E10), ""), "")</f>
        <v>0</v>
      </c>
      <c r="F13" s="5">
        <f>IF(SUM(M4:M10) &gt; 0, IF(AND(SUM(F4:F10)&gt;0, ISNUMBER(F4)),F4/SUM(F4:F10), ""), "")</f>
        <v>0</v>
      </c>
      <c r="G13" s="5">
        <f>IF(SUM(M4:M10) &gt; 0, IF(AND(SUM(G4:G10)&gt;0, ISNUMBER(G4)),G4/SUM(G4:G10), ""), "")</f>
        <v>0</v>
      </c>
      <c r="H13" s="5">
        <f>IF(SUM(M4:M10) &gt; 0, IF(AND(SUM(H4:H10)&gt;0, ISNUMBER(H4)),H4/SUM(H4:H10), ""), "")</f>
        <v>0</v>
      </c>
      <c r="I13" s="5">
        <f>IF(SUM(M4:M10) &gt; 0, IF(AND(SUM(I4:I10)&gt;0, ISNUMBER(I4)),I4/SUM(I4:I10), ""), "")</f>
        <v>0</v>
      </c>
      <c r="J13" s="5">
        <f>IF(SUM(M4:M10) &gt; 0, IF(AND(SUM(J4:J10)&gt;0, ISNUMBER(J4)),J4/SUM(J4:J10), ""), "")</f>
        <v>0</v>
      </c>
    </row>
    <row r="14" spans="1:20">
      <c r="B14" t="s">
        <v>934</v>
      </c>
      <c r="C14" s="5">
        <f>IF(SUM(M4:M10) &gt; 0, IF(AND(SUM(C4:C10)&gt;0, ISNUMBER(C5)),C5/SUM(C4:C10), ""), "")</f>
        <v>0</v>
      </c>
      <c r="D14" s="5">
        <f>IF(SUM(M4:M10) &gt; 0, IF(AND(SUM(D4:D10)&gt;0, ISNUMBER(D5)),D5/SUM(D4:D10), ""), "")</f>
        <v>0</v>
      </c>
      <c r="E14" s="5">
        <f>IF(SUM(M4:M10) &gt; 0, IF(AND(SUM(E4:E10)&gt;0, ISNUMBER(E5)),E5/SUM(E4:E10), ""), "")</f>
        <v>0</v>
      </c>
      <c r="F14" s="5">
        <f>IF(SUM(M4:M10) &gt; 0, IF(AND(SUM(F4:F10)&gt;0, ISNUMBER(F5)),F5/SUM(F4:F10), ""), "")</f>
        <v>0</v>
      </c>
      <c r="G14" s="5">
        <f>IF(SUM(M4:M10) &gt; 0, IF(AND(SUM(G4:G10)&gt;0, ISNUMBER(G5)),G5/SUM(G4:G10), ""), "")</f>
        <v>0</v>
      </c>
      <c r="H14" s="5">
        <f>IF(SUM(M4:M10) &gt; 0, IF(AND(SUM(H4:H10)&gt;0, ISNUMBER(H5)),H5/SUM(H4:H10), ""), "")</f>
        <v>0</v>
      </c>
      <c r="I14" s="5">
        <f>IF(SUM(M4:M10) &gt; 0, IF(AND(SUM(I4:I10)&gt;0, ISNUMBER(I5)),I5/SUM(I4:I10), ""), "")</f>
        <v>0</v>
      </c>
      <c r="J14" s="5">
        <f>IF(SUM(M4:M10) &gt; 0, IF(AND(SUM(J4:J10)&gt;0, ISNUMBER(J5)),J5/SUM(J4:J10), ""), "")</f>
        <v>0</v>
      </c>
    </row>
    <row r="15" spans="1:20">
      <c r="B15" t="s">
        <v>935</v>
      </c>
      <c r="C15" s="5">
        <f>IF(SUM(M4:M10) &gt; 0, IF(AND(SUM(C4:C10)&gt;0, ISNUMBER(C6)),C6/SUM(C4:C10), ""), "")</f>
        <v>0</v>
      </c>
      <c r="D15" s="5">
        <f>IF(SUM(M4:M10) &gt; 0, IF(AND(SUM(D4:D10)&gt;0, ISNUMBER(D6)),D6/SUM(D4:D10), ""), "")</f>
        <v>0</v>
      </c>
      <c r="E15" s="5">
        <f>IF(SUM(M4:M10) &gt; 0, IF(AND(SUM(E4:E10)&gt;0, ISNUMBER(E6)),E6/SUM(E4:E10), ""), "")</f>
        <v>0</v>
      </c>
      <c r="F15" s="5">
        <f>IF(SUM(M4:M10) &gt; 0, IF(AND(SUM(F4:F10)&gt;0, ISNUMBER(F6)),F6/SUM(F4:F10), ""), "")</f>
        <v>0</v>
      </c>
      <c r="G15" s="5">
        <f>IF(SUM(M4:M10) &gt; 0, IF(AND(SUM(G4:G10)&gt;0, ISNUMBER(G6)),G6/SUM(G4:G10), ""), "")</f>
        <v>0</v>
      </c>
      <c r="H15" s="5">
        <f>IF(SUM(M4:M10) &gt; 0, IF(AND(SUM(H4:H10)&gt;0, ISNUMBER(H6)),H6/SUM(H4:H10), ""), "")</f>
        <v>0</v>
      </c>
      <c r="I15" s="5">
        <f>IF(SUM(M4:M10) &gt; 0, IF(AND(SUM(I4:I10)&gt;0, ISNUMBER(I6)),I6/SUM(I4:I10), ""), "")</f>
        <v>0</v>
      </c>
      <c r="J15" s="5">
        <f>IF(SUM(M4:M10) &gt; 0, IF(AND(SUM(J4:J10)&gt;0, ISNUMBER(J6)),J6/SUM(J4:J10), ""), "")</f>
        <v>0</v>
      </c>
    </row>
    <row r="16" spans="1:20">
      <c r="B16" t="s">
        <v>878</v>
      </c>
      <c r="C16" s="5">
        <f>IF(SUM(M4:M10) &gt; 0, IF(AND(SUM(C4:C10)&gt;0, ISNUMBER(C7)),C7/SUM(C4:C10), ""), "")</f>
        <v>0</v>
      </c>
      <c r="D16" s="5">
        <f>IF(SUM(M4:M10) &gt; 0, IF(AND(SUM(D4:D10)&gt;0, ISNUMBER(D7)),D7/SUM(D4:D10), ""), "")</f>
        <v>0</v>
      </c>
      <c r="E16" s="5">
        <f>IF(SUM(M4:M10) &gt; 0, IF(AND(SUM(E4:E10)&gt;0, ISNUMBER(E7)),E7/SUM(E4:E10), ""), "")</f>
        <v>0</v>
      </c>
      <c r="F16" s="5">
        <f>IF(SUM(M4:M10) &gt; 0, IF(AND(SUM(F4:F10)&gt;0, ISNUMBER(F7)),F7/SUM(F4:F10), ""), "")</f>
        <v>0</v>
      </c>
      <c r="G16" s="5">
        <f>IF(SUM(M4:M10) &gt; 0, IF(AND(SUM(G4:G10)&gt;0, ISNUMBER(G7)),G7/SUM(G4:G10), ""), "")</f>
        <v>0</v>
      </c>
      <c r="H16" s="5">
        <f>IF(SUM(M4:M10) &gt; 0, IF(AND(SUM(H4:H10)&gt;0, ISNUMBER(H7)),H7/SUM(H4:H10), ""), "")</f>
        <v>0</v>
      </c>
      <c r="I16" s="5">
        <f>IF(SUM(M4:M10) &gt; 0, IF(AND(SUM(I4:I10)&gt;0, ISNUMBER(I7)),I7/SUM(I4:I10), ""), "")</f>
        <v>0</v>
      </c>
      <c r="J16" s="5">
        <f>IF(SUM(M4:M10) &gt; 0, IF(AND(SUM(J4:J10)&gt;0, ISNUMBER(J7)),J7/SUM(J4:J10), ""), "")</f>
        <v>0</v>
      </c>
    </row>
    <row r="17" spans="2:10">
      <c r="B17" t="s">
        <v>936</v>
      </c>
      <c r="C17" s="5">
        <f>IF(SUM(M4:M10) &gt; 0, IF(AND(SUM(C4:C10)&gt;0, ISNUMBER(C8)),C8/SUM(C4:C10), ""), "")</f>
        <v>0</v>
      </c>
      <c r="D17" s="5">
        <f>IF(SUM(M4:M10) &gt; 0, IF(AND(SUM(D4:D10)&gt;0, ISNUMBER(D8)),D8/SUM(D4:D10), ""), "")</f>
        <v>0</v>
      </c>
      <c r="E17" s="5">
        <f>IF(SUM(M4:M10) &gt; 0, IF(AND(SUM(E4:E10)&gt;0, ISNUMBER(E8)),E8/SUM(E4:E10), ""), "")</f>
        <v>0</v>
      </c>
      <c r="F17" s="5">
        <f>IF(SUM(M4:M10) &gt; 0, IF(AND(SUM(F4:F10)&gt;0, ISNUMBER(F8)),F8/SUM(F4:F10), ""), "")</f>
        <v>0</v>
      </c>
      <c r="G17" s="5">
        <f>IF(SUM(M4:M10) &gt; 0, IF(AND(SUM(G4:G10)&gt;0, ISNUMBER(G8)),G8/SUM(G4:G10), ""), "")</f>
        <v>0</v>
      </c>
      <c r="H17" s="5">
        <f>IF(SUM(M4:M10) &gt; 0, IF(AND(SUM(H4:H10)&gt;0, ISNUMBER(H8)),H8/SUM(H4:H10), ""), "")</f>
        <v>0</v>
      </c>
      <c r="I17" s="5">
        <f>IF(SUM(M4:M10) &gt; 0, IF(AND(SUM(I4:I10)&gt;0, ISNUMBER(I8)),I8/SUM(I4:I10), ""), "")</f>
        <v>0</v>
      </c>
      <c r="J17" s="5">
        <f>IF(SUM(M4:M10) &gt; 0, IF(AND(SUM(J4:J10)&gt;0, ISNUMBER(J8)),J8/SUM(J4:J10), ""), "")</f>
        <v>0</v>
      </c>
    </row>
    <row r="18" spans="2:10">
      <c r="B18" t="s">
        <v>881</v>
      </c>
      <c r="C18" s="5">
        <f>IF(SUM(M4:M10) &gt; 0, IF(AND(SUM(C4:C10)&gt;0, ISNUMBER(C9)),C9/SUM(C4:C10), ""), "")</f>
        <v>0</v>
      </c>
      <c r="D18" s="5">
        <f>IF(SUM(M4:M10) &gt; 0, IF(AND(SUM(D4:D10)&gt;0, ISNUMBER(D9)),D9/SUM(D4:D10), ""), "")</f>
        <v>0</v>
      </c>
      <c r="E18" s="5">
        <f>IF(SUM(M4:M10) &gt; 0, IF(AND(SUM(E4:E10)&gt;0, ISNUMBER(E9)),E9/SUM(E4:E10), ""), "")</f>
        <v>0</v>
      </c>
      <c r="F18" s="5">
        <f>IF(SUM(M4:M10) &gt; 0, IF(AND(SUM(F4:F10)&gt;0, ISNUMBER(F9)),F9/SUM(F4:F10), ""), "")</f>
        <v>0</v>
      </c>
      <c r="G18" s="5">
        <f>IF(SUM(M4:M10) &gt; 0, IF(AND(SUM(G4:G10)&gt;0, ISNUMBER(G9)),G9/SUM(G4:G10), ""), "")</f>
        <v>0</v>
      </c>
      <c r="H18" s="5">
        <f>IF(SUM(M4:M10) &gt; 0, IF(AND(SUM(H4:H10)&gt;0, ISNUMBER(H9)),H9/SUM(H4:H10), ""), "")</f>
        <v>0</v>
      </c>
      <c r="I18" s="5">
        <f>IF(SUM(M4:M10) &gt; 0, IF(AND(SUM(I4:I10)&gt;0, ISNUMBER(I9)),I9/SUM(I4:I10), ""), "")</f>
        <v>0</v>
      </c>
      <c r="J18" s="5">
        <f>IF(SUM(M4:M10) &gt; 0, IF(AND(SUM(J4:J10)&gt;0, ISNUMBER(J9)),J9/SUM(J4:J10), ""), "")</f>
        <v>0</v>
      </c>
    </row>
    <row r="19" spans="2:10">
      <c r="B19" t="s">
        <v>938</v>
      </c>
      <c r="C19" s="5">
        <f>IF(SUM(M4:M10) &gt; 0, IF(AND(SUM(C4:C10)&gt;0, ISNUMBER(C10)),C10/SUM(C4:C10), ""), "")</f>
        <v>0</v>
      </c>
      <c r="D19" s="5">
        <f>IF(SUM(M4:M10) &gt; 0, IF(AND(SUM(D4:D10)&gt;0, ISNUMBER(D10)),D10/SUM(D4:D10), ""), "")</f>
        <v>0</v>
      </c>
      <c r="E19" s="5">
        <f>IF(SUM(M4:M10) &gt; 0, IF(AND(SUM(E4:E10)&gt;0, ISNUMBER(E10)),E10/SUM(E4:E10), ""), "")</f>
        <v>0</v>
      </c>
      <c r="F19" s="5">
        <f>IF(SUM(M4:M10) &gt; 0, IF(AND(SUM(F4:F10)&gt;0, ISNUMBER(F10)),F10/SUM(F4:F10), ""), "")</f>
        <v>0</v>
      </c>
      <c r="G19" s="5">
        <f>IF(SUM(M4:M10) &gt; 0, IF(AND(SUM(G4:G10)&gt;0, ISNUMBER(G10)),G10/SUM(G4:G10), ""), "")</f>
        <v>0</v>
      </c>
      <c r="H19" s="5">
        <f>IF(SUM(M4:M10) &gt; 0, IF(AND(SUM(H4:H10)&gt;0, ISNUMBER(H10)),H10/SUM(H4:H10), ""), "")</f>
        <v>0</v>
      </c>
      <c r="I19" s="5">
        <f>IF(SUM(M4:M10) &gt; 0, IF(AND(SUM(I4:I10)&gt;0, ISNUMBER(I10)),I10/SUM(I4:I10), ""), "")</f>
        <v>0</v>
      </c>
      <c r="J19" s="5">
        <f>IF(SUM(M4:M10) &gt; 0, IF(AND(SUM(J4:J10)&gt;0, ISNUMBER(J10)),J10/SUM(J4:J10), ""), "")</f>
        <v>0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rgb="FF0033A0"/>
  </sheetPr>
  <dimension ref="A1:J19"/>
  <sheetViews>
    <sheetView workbookViewId="0"/>
  </sheetViews>
  <sheetFormatPr defaultRowHeight="15"/>
  <sheetData>
    <row r="1" spans="1:10" s="3" customFormat="1" ht="40" customHeight="1">
      <c r="A1" s="3" t="s">
        <v>1067</v>
      </c>
    </row>
    <row r="3" spans="1:10">
      <c r="B3" t="s">
        <v>915</v>
      </c>
      <c r="C3" t="s">
        <v>1051</v>
      </c>
      <c r="D3" t="s">
        <v>1052</v>
      </c>
      <c r="E3" t="s">
        <v>1053</v>
      </c>
      <c r="G3" t="s">
        <v>915</v>
      </c>
      <c r="H3" t="s">
        <v>1054</v>
      </c>
      <c r="I3" t="s">
        <v>1055</v>
      </c>
      <c r="J3" t="s">
        <v>1056</v>
      </c>
    </row>
    <row r="4" spans="1:10">
      <c r="B4" t="s">
        <v>933</v>
      </c>
      <c r="C4">
        <f>IF(SUMIFS('TERadj'!NZ2:NZ100,'TERadj'!NZ2:NZ100,"&gt;0")/1000,SUMIFS('TERadj'!NZ2:NZ100,'TERadj'!NZ2:NZ100,"&gt;0")/1000,"")</f>
        <v>0</v>
      </c>
      <c r="D4">
        <f>IF(SUMIFS('TERadj'!OA2:OA100,'TERadj'!OA2:OA100,"&gt;0")/1000,SUMIFS('TERadj'!OA2:OA100,'TERadj'!OA2:OA100,"&gt;0")/1000,"")</f>
        <v>0</v>
      </c>
      <c r="E4">
        <f>IF(SUMIFS('TERadj'!OB2:OB100,'TERadj'!OB2:OB100,"&gt;0")/1000,SUMIFS('TERadj'!OB2:OB100,'TERadj'!OB2:OB100,"&gt;0")/1000,"")</f>
        <v>0</v>
      </c>
      <c r="G4" t="s">
        <v>933</v>
      </c>
      <c r="H4" cm="1">
        <f t="array" ref="H4">IF(COUNT(_xlfn._xlws.FILTER('TERadj'!NZ2:NZ100, ('TERadj'!NZ2:NZ100&gt;0))),COUNT(_xlfn._xlws.FILTER('TERadj'!NZ2:NZ100, ('TERadj'!NZ2:NZ100&gt;0))),"")</f>
        <v>0</v>
      </c>
      <c r="I4" cm="1">
        <f t="array" ref="I4">IF(COUNT(_xlfn._xlws.FILTER('TERadj'!OA2:OA100, ('TERadj'!OA2:OA100&gt;0))),COUNT(_xlfn._xlws.FILTER('TERadj'!OA2:OA100, ('TERadj'!OA2:OA100&gt;0))),"")</f>
        <v>0</v>
      </c>
      <c r="J4" cm="1">
        <f t="array" ref="J4">IF(COUNT(_xlfn._xlws.FILTER('TERadj'!OB2:OB100, ('TERadj'!OB2:OB100&gt;0))),COUNT(_xlfn._xlws.FILTER('TERadj'!OB2:OB100, ('TERadj'!OB2:OB100&gt;0))),"")</f>
        <v>0</v>
      </c>
    </row>
    <row r="5" spans="1:10">
      <c r="B5" t="s">
        <v>934</v>
      </c>
      <c r="C5">
        <f>IF(SUMIFS('TERadj'!OC2:OC100,'TERadj'!OC2:OC100,"&gt;0")/1000,SUMIFS('TERadj'!OC2:OC100,'TERadj'!OC2:OC100,"&gt;0")/1000,"")</f>
        <v>0</v>
      </c>
      <c r="D5">
        <f>IF(SUMIFS('TERadj'!OD2:OD100,'TERadj'!OD2:OD100,"&gt;0")/1000,SUMIFS('TERadj'!OD2:OD100,'TERadj'!OD2:OD100,"&gt;0")/1000,"")</f>
        <v>0</v>
      </c>
      <c r="E5">
        <f>IF(SUMIFS('TERadj'!OE2:OE100,'TERadj'!OE2:OE100,"&gt;0")/1000,SUMIFS('TERadj'!OE2:OE100,'TERadj'!OE2:OE100,"&gt;0")/1000,"")</f>
        <v>0</v>
      </c>
      <c r="G5" t="s">
        <v>934</v>
      </c>
      <c r="H5" cm="1">
        <f t="array" ref="H5">IF(COUNT(_xlfn._xlws.FILTER('TERadj'!OC2:OC100, ('TERadj'!OC2:OC100&gt;0))),COUNT(_xlfn._xlws.FILTER('TERadj'!OC2:OC100, ('TERadj'!OC2:OC100&gt;0))),"")</f>
        <v>0</v>
      </c>
      <c r="I5" cm="1">
        <f t="array" ref="I5">IF(COUNT(_xlfn._xlws.FILTER('TERadj'!OD2:OD100, ('TERadj'!OD2:OD100&gt;0))),COUNT(_xlfn._xlws.FILTER('TERadj'!OD2:OD100, ('TERadj'!OD2:OD100&gt;0))),"")</f>
        <v>0</v>
      </c>
      <c r="J5" cm="1">
        <f t="array" ref="J5">IF(COUNT(_xlfn._xlws.FILTER('TERadj'!OE2:OE100, ('TERadj'!OE2:OE100&gt;0))),COUNT(_xlfn._xlws.FILTER('TERadj'!OE2:OE100, ('TERadj'!OE2:OE100&gt;0))),"")</f>
        <v>0</v>
      </c>
    </row>
    <row r="6" spans="1:10">
      <c r="B6" t="s">
        <v>935</v>
      </c>
      <c r="C6">
        <f>IF(SUMIFS('TERadj'!OF2:OF100,'TERadj'!OF2:OF100,"&gt;0")/1000,SUMIFS('TERadj'!OF2:OF100,'TERadj'!OF2:OF100,"&gt;0")/1000,"")</f>
        <v>0</v>
      </c>
      <c r="D6">
        <f>IF(SUMIFS('TERadj'!OG2:OG100,'TERadj'!OG2:OG100,"&gt;0")/1000,SUMIFS('TERadj'!OG2:OG100,'TERadj'!OG2:OG100,"&gt;0")/1000,"")</f>
        <v>0</v>
      </c>
      <c r="E6">
        <f>IF(SUMIFS('TERadj'!OH2:OH100,'TERadj'!OH2:OH100,"&gt;0")/1000,SUMIFS('TERadj'!OH2:OH100,'TERadj'!OH2:OH100,"&gt;0")/1000,"")</f>
        <v>0</v>
      </c>
      <c r="G6" t="s">
        <v>935</v>
      </c>
      <c r="H6" cm="1">
        <f t="array" ref="H6">IF(COUNT(_xlfn._xlws.FILTER('TERadj'!OF2:OF100, ('TERadj'!OF2:OF100&gt;0))),COUNT(_xlfn._xlws.FILTER('TERadj'!OF2:OF100, ('TERadj'!OF2:OF100&gt;0))),"")</f>
        <v>0</v>
      </c>
      <c r="I6" cm="1">
        <f t="array" ref="I6">IF(COUNT(_xlfn._xlws.FILTER('TERadj'!OG2:OG100, ('TERadj'!OG2:OG100&gt;0))),COUNT(_xlfn._xlws.FILTER('TERadj'!OG2:OG100, ('TERadj'!OG2:OG100&gt;0))),"")</f>
        <v>0</v>
      </c>
      <c r="J6" cm="1">
        <f t="array" ref="J6">IF(COUNT(_xlfn._xlws.FILTER('TERadj'!OH2:OH100, ('TERadj'!OH2:OH100&gt;0))),COUNT(_xlfn._xlws.FILTER('TERadj'!OH2:OH100, ('TERadj'!OH2:OH100&gt;0))),"")</f>
        <v>0</v>
      </c>
    </row>
    <row r="7" spans="1:10">
      <c r="B7" t="s">
        <v>878</v>
      </c>
      <c r="C7">
        <f>IF(SUMIFS('TERadj'!OI2:OI100,'TERadj'!OI2:OI100,"&gt;0")/1000,SUMIFS('TERadj'!OI2:OI100,'TERadj'!OI2:OI100,"&gt;0")/1000,"")</f>
        <v>0</v>
      </c>
      <c r="D7">
        <f>IF(SUMIFS('TERadj'!OJ2:OJ100,'TERadj'!OJ2:OJ100,"&gt;0")/1000,SUMIFS('TERadj'!OJ2:OJ100,'TERadj'!OJ2:OJ100,"&gt;0")/1000,"")</f>
        <v>0</v>
      </c>
      <c r="E7">
        <f>IF(SUMIFS('TERadj'!OK2:OK100,'TERadj'!OK2:OK100,"&gt;0")/1000,SUMIFS('TERadj'!OK2:OK100,'TERadj'!OK2:OK100,"&gt;0")/1000,"")</f>
        <v>0</v>
      </c>
      <c r="G7" t="s">
        <v>878</v>
      </c>
      <c r="H7" cm="1">
        <f t="array" ref="H7">IF(COUNT(_xlfn._xlws.FILTER('TERadj'!OI2:OI100, ('TERadj'!OI2:OI100&gt;0))),COUNT(_xlfn._xlws.FILTER('TERadj'!OI2:OI100, ('TERadj'!OI2:OI100&gt;0))),"")</f>
        <v>0</v>
      </c>
      <c r="I7" cm="1">
        <f t="array" ref="I7">IF(COUNT(_xlfn._xlws.FILTER('TERadj'!OJ2:OJ100, ('TERadj'!OJ2:OJ100&gt;0))),COUNT(_xlfn._xlws.FILTER('TERadj'!OJ2:OJ100, ('TERadj'!OJ2:OJ100&gt;0))),"")</f>
        <v>0</v>
      </c>
      <c r="J7" cm="1">
        <f t="array" ref="J7">IF(COUNT(_xlfn._xlws.FILTER('TERadj'!OK2:OK100, ('TERadj'!OK2:OK100&gt;0))),COUNT(_xlfn._xlws.FILTER('TERadj'!OK2:OK100, ('TERadj'!OK2:OK100&gt;0))),"")</f>
        <v>0</v>
      </c>
    </row>
    <row r="8" spans="1:10">
      <c r="B8" t="s">
        <v>936</v>
      </c>
      <c r="C8">
        <f>IF(SUMIFS('TERadj'!OL2:OL100,'TERadj'!OL2:OL100,"&gt;0")/1000,SUMIFS('TERadj'!OL2:OL100,'TERadj'!OL2:OL100,"&gt;0")/1000,"")</f>
        <v>0</v>
      </c>
      <c r="D8">
        <f>IF(SUMIFS('TERadj'!OM2:OM100,'TERadj'!OM2:OM100,"&gt;0")/1000,SUMIFS('TERadj'!OM2:OM100,'TERadj'!OM2:OM100,"&gt;0")/1000,"")</f>
        <v>0</v>
      </c>
      <c r="E8">
        <f>IF(SUMIFS('TERadj'!ON2:ON100,'TERadj'!ON2:ON100,"&gt;0")/1000,SUMIFS('TERadj'!ON2:ON100,'TERadj'!ON2:ON100,"&gt;0")/1000,"")</f>
        <v>0</v>
      </c>
      <c r="G8" t="s">
        <v>936</v>
      </c>
      <c r="H8" cm="1">
        <f t="array" ref="H8">IF(COUNT(_xlfn._xlws.FILTER('TERadj'!OL2:OL100, ('TERadj'!OL2:OL100&gt;0))),COUNT(_xlfn._xlws.FILTER('TERadj'!OL2:OL100, ('TERadj'!OL2:OL100&gt;0))),"")</f>
        <v>0</v>
      </c>
      <c r="I8" cm="1">
        <f t="array" ref="I8">IF(COUNT(_xlfn._xlws.FILTER('TERadj'!OM2:OM100, ('TERadj'!OM2:OM100&gt;0))),COUNT(_xlfn._xlws.FILTER('TERadj'!OM2:OM100, ('TERadj'!OM2:OM100&gt;0))),"")</f>
        <v>0</v>
      </c>
      <c r="J8" cm="1">
        <f t="array" ref="J8">IF(COUNT(_xlfn._xlws.FILTER('TERadj'!ON2:ON100, ('TERadj'!ON2:ON100&gt;0))),COUNT(_xlfn._xlws.FILTER('TERadj'!ON2:ON100, ('TERadj'!ON2:ON100&gt;0))),"")</f>
        <v>0</v>
      </c>
    </row>
    <row r="9" spans="1:10">
      <c r="B9" t="s">
        <v>881</v>
      </c>
      <c r="C9">
        <f>IF(SUMIFS('TERadj'!OO2:OO100,'TERadj'!OO2:OO100,"&gt;0")/1000,SUMIFS('TERadj'!OO2:OO100,'TERadj'!OO2:OO100,"&gt;0")/1000,"")</f>
        <v>0</v>
      </c>
      <c r="D9">
        <f>IF(SUMIFS('TERadj'!OP2:OP100,'TERadj'!OP2:OP100,"&gt;0")/1000,SUMIFS('TERadj'!OP2:OP100,'TERadj'!OP2:OP100,"&gt;0")/1000,"")</f>
        <v>0</v>
      </c>
      <c r="E9">
        <f>IF(SUMIFS('TERadj'!OQ2:OQ100,'TERadj'!OQ2:OQ100,"&gt;0")/1000,SUMIFS('TERadj'!OQ2:OQ100,'TERadj'!OQ2:OQ100,"&gt;0")/1000,"")</f>
        <v>0</v>
      </c>
      <c r="G9" t="s">
        <v>881</v>
      </c>
      <c r="H9" cm="1">
        <f t="array" ref="H9">IF(COUNT(_xlfn._xlws.FILTER('TERadj'!OO2:OO100, ('TERadj'!OO2:OO100&gt;0))),COUNT(_xlfn._xlws.FILTER('TERadj'!OO2:OO100, ('TERadj'!OO2:OO100&gt;0))),"")</f>
        <v>0</v>
      </c>
      <c r="I9" cm="1">
        <f t="array" ref="I9">IF(COUNT(_xlfn._xlws.FILTER('TERadj'!OP2:OP100, ('TERadj'!OP2:OP100&gt;0))),COUNT(_xlfn._xlws.FILTER('TERadj'!OP2:OP100, ('TERadj'!OP2:OP100&gt;0))),"")</f>
        <v>0</v>
      </c>
      <c r="J9" cm="1">
        <f t="array" ref="J9">IF(COUNT(_xlfn._xlws.FILTER('TERadj'!OQ2:OQ100, ('TERadj'!OQ2:OQ100&gt;0))),COUNT(_xlfn._xlws.FILTER('TERadj'!OQ2:OQ100, ('TERadj'!OQ2:OQ100&gt;0))),"")</f>
        <v>0</v>
      </c>
    </row>
    <row r="10" spans="1:10">
      <c r="B10" t="s">
        <v>938</v>
      </c>
      <c r="E10">
        <f>IF(SUMIFS('TERadj'!OR2:OR100,'TERadj'!OR2:OR100,"&gt;0")/1000,SUMIFS('TERadj'!OR2:OR100,'TERadj'!OR2:OR100,"&gt;0")/1000,"")</f>
        <v>0</v>
      </c>
      <c r="G10" t="s">
        <v>938</v>
      </c>
      <c r="J10" cm="1">
        <f t="array" ref="J10">IF(COUNT(_xlfn._xlws.FILTER('TERadj'!OR2:OR100, ('TERadj'!OR2:OR100&gt;0))),COUNT(_xlfn._xlws.FILTER('TERadj'!OR2:OR100, ('TERadj'!OR2:OR100&gt;0))),"")</f>
        <v>0</v>
      </c>
    </row>
    <row r="12" spans="1:10">
      <c r="B12" t="s">
        <v>915</v>
      </c>
      <c r="C12" t="s">
        <v>1051</v>
      </c>
      <c r="D12" t="s">
        <v>1052</v>
      </c>
      <c r="E12" t="s">
        <v>1053</v>
      </c>
    </row>
    <row r="13" spans="1:10">
      <c r="B13" t="s">
        <v>933</v>
      </c>
      <c r="C13" s="5">
        <f>IF(SUM(H4:H10) &gt; 0, IF(AND(SUM(C4:C10)&gt;0, ISNUMBER(C4)),C4/SUM(C4:C10), ""), "")</f>
        <v>0</v>
      </c>
      <c r="D13" s="5">
        <f>IF(SUM(H4:H10) &gt; 0, IF(AND(SUM(D4:D10)&gt;0, ISNUMBER(D4)),D4/SUM(D4:D10), ""), "")</f>
        <v>0</v>
      </c>
      <c r="E13" s="5">
        <f>IF(SUM(H4:H10) &gt; 0, IF(AND(SUM(E4:E10)&gt;0, ISNUMBER(E4)),E4/SUM(E4:E10), ""), "")</f>
        <v>0</v>
      </c>
    </row>
    <row r="14" spans="1:10">
      <c r="B14" t="s">
        <v>934</v>
      </c>
      <c r="C14" s="5">
        <f>IF(SUM(H4:H10) &gt; 0, IF(AND(SUM(C4:C10)&gt;0, ISNUMBER(C5)),C5/SUM(C4:C10), ""), "")</f>
        <v>0</v>
      </c>
      <c r="D14" s="5">
        <f>IF(SUM(H4:H10) &gt; 0, IF(AND(SUM(D4:D10)&gt;0, ISNUMBER(D5)),D5/SUM(D4:D10), ""), "")</f>
        <v>0</v>
      </c>
      <c r="E14" s="5">
        <f>IF(SUM(H4:H10) &gt; 0, IF(AND(SUM(E4:E10)&gt;0, ISNUMBER(E5)),E5/SUM(E4:E10), ""), "")</f>
        <v>0</v>
      </c>
    </row>
    <row r="15" spans="1:10">
      <c r="B15" t="s">
        <v>935</v>
      </c>
      <c r="C15" s="5">
        <f>IF(SUM(H4:H10) &gt; 0, IF(AND(SUM(C4:C10)&gt;0, ISNUMBER(C6)),C6/SUM(C4:C10), ""), "")</f>
        <v>0</v>
      </c>
      <c r="D15" s="5">
        <f>IF(SUM(H4:H10) &gt; 0, IF(AND(SUM(D4:D10)&gt;0, ISNUMBER(D6)),D6/SUM(D4:D10), ""), "")</f>
        <v>0</v>
      </c>
      <c r="E15" s="5">
        <f>IF(SUM(H4:H10) &gt; 0, IF(AND(SUM(E4:E10)&gt;0, ISNUMBER(E6)),E6/SUM(E4:E10), ""), "")</f>
        <v>0</v>
      </c>
    </row>
    <row r="16" spans="1:10">
      <c r="B16" t="s">
        <v>878</v>
      </c>
      <c r="C16" s="5">
        <f>IF(SUM(H4:H10) &gt; 0, IF(AND(SUM(C4:C10)&gt;0, ISNUMBER(C7)),C7/SUM(C4:C10), ""), "")</f>
        <v>0</v>
      </c>
      <c r="D16" s="5">
        <f>IF(SUM(H4:H10) &gt; 0, IF(AND(SUM(D4:D10)&gt;0, ISNUMBER(D7)),D7/SUM(D4:D10), ""), "")</f>
        <v>0</v>
      </c>
      <c r="E16" s="5">
        <f>IF(SUM(H4:H10) &gt; 0, IF(AND(SUM(E4:E10)&gt;0, ISNUMBER(E7)),E7/SUM(E4:E10), ""), "")</f>
        <v>0</v>
      </c>
    </row>
    <row r="17" spans="2:5">
      <c r="B17" t="s">
        <v>936</v>
      </c>
      <c r="C17" s="5">
        <f>IF(SUM(H4:H10) &gt; 0, IF(AND(SUM(C4:C10)&gt;0, ISNUMBER(C8)),C8/SUM(C4:C10), ""), "")</f>
        <v>0</v>
      </c>
      <c r="D17" s="5">
        <f>IF(SUM(H4:H10) &gt; 0, IF(AND(SUM(D4:D10)&gt;0, ISNUMBER(D8)),D8/SUM(D4:D10), ""), "")</f>
        <v>0</v>
      </c>
      <c r="E17" s="5">
        <f>IF(SUM(H4:H10) &gt; 0, IF(AND(SUM(E4:E10)&gt;0, ISNUMBER(E8)),E8/SUM(E4:E10), ""), "")</f>
        <v>0</v>
      </c>
    </row>
    <row r="18" spans="2:5">
      <c r="B18" t="s">
        <v>881</v>
      </c>
      <c r="C18" s="5">
        <f>IF(SUM(H4:H10) &gt; 0, IF(AND(SUM(C4:C10)&gt;0, ISNUMBER(C9)),C9/SUM(C4:C10), ""), "")</f>
        <v>0</v>
      </c>
      <c r="D18" s="5">
        <f>IF(SUM(H4:H10) &gt; 0, IF(AND(SUM(D4:D10)&gt;0, ISNUMBER(D9)),D9/SUM(D4:D10), ""), "")</f>
        <v>0</v>
      </c>
      <c r="E18" s="5">
        <f>IF(SUM(H4:H10) &gt; 0, IF(AND(SUM(E4:E10)&gt;0, ISNUMBER(E9)),E9/SUM(E4:E10), ""), "")</f>
        <v>0</v>
      </c>
    </row>
    <row r="19" spans="2:5">
      <c r="B19" t="s">
        <v>938</v>
      </c>
      <c r="C19" s="5">
        <f>IF(SUM(H4:H10) &gt; 0, IF(AND(SUM(C4:C10)&gt;0, ISNUMBER(C10)),C10/SUM(C4:C10), ""), "")</f>
        <v>0</v>
      </c>
      <c r="D19" s="5">
        <f>IF(SUM(H4:H10) &gt; 0, IF(AND(SUM(D4:D10)&gt;0, ISNUMBER(D10)),D10/SUM(D4:D10), ""), "")</f>
        <v>0</v>
      </c>
      <c r="E19" s="5">
        <f>IF(SUM(H4:H10) &gt; 0, IF(AND(SUM(E4:E10)&gt;0, ISNUMBER(E10)),E10/SUM(E4:E10), ""), "")</f>
        <v>0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tabColor rgb="FF0033A0"/>
  </sheetPr>
  <dimension ref="A1:T15"/>
  <sheetViews>
    <sheetView workbookViewId="0"/>
  </sheetViews>
  <sheetFormatPr defaultRowHeight="15"/>
  <sheetData>
    <row r="1" spans="1:20" s="3" customFormat="1" ht="40" customHeight="1">
      <c r="A1" s="3" t="s">
        <v>1068</v>
      </c>
    </row>
    <row r="3" spans="1:20">
      <c r="B3" t="s">
        <v>915</v>
      </c>
      <c r="C3" t="s">
        <v>981</v>
      </c>
      <c r="D3" t="s">
        <v>982</v>
      </c>
      <c r="E3" t="s">
        <v>983</v>
      </c>
      <c r="F3" t="s">
        <v>984</v>
      </c>
      <c r="G3" t="s">
        <v>985</v>
      </c>
      <c r="H3" t="s">
        <v>986</v>
      </c>
      <c r="I3" t="s">
        <v>987</v>
      </c>
      <c r="J3" t="s">
        <v>988</v>
      </c>
      <c r="L3" t="s">
        <v>915</v>
      </c>
      <c r="M3" t="s">
        <v>991</v>
      </c>
      <c r="N3" t="s">
        <v>992</v>
      </c>
      <c r="O3" t="s">
        <v>993</v>
      </c>
      <c r="P3" t="s">
        <v>994</v>
      </c>
      <c r="Q3" t="s">
        <v>995</v>
      </c>
      <c r="R3" t="s">
        <v>996</v>
      </c>
      <c r="S3" t="s">
        <v>997</v>
      </c>
      <c r="T3" t="s">
        <v>998</v>
      </c>
    </row>
    <row r="4" spans="1:20">
      <c r="B4" t="s">
        <v>839</v>
      </c>
      <c r="C4">
        <v>5.61726454305649</v>
      </c>
      <c r="D4">
        <v>6.78330410194397</v>
      </c>
      <c r="E4">
        <v>7.01245552062988</v>
      </c>
      <c r="F4">
        <v>7.2149595208168</v>
      </c>
      <c r="G4">
        <v>7.23185095977783</v>
      </c>
      <c r="H4">
        <v>8.7021627779007</v>
      </c>
      <c r="I4">
        <v>3.32282679653168</v>
      </c>
      <c r="J4">
        <f>IF(SUMIFS('TERadj'!OS2:OS100,'TERadj'!OS2:OS100,"&gt;0")/1000,SUMIFS('TERadj'!OS2:OS100,'TERadj'!OS2:OS100,"&gt;0")/1000,"")</f>
        <v>0</v>
      </c>
      <c r="L4" t="s">
        <v>839</v>
      </c>
      <c r="M4">
        <v>31</v>
      </c>
      <c r="N4">
        <v>31</v>
      </c>
      <c r="O4">
        <v>26</v>
      </c>
      <c r="P4">
        <v>17</v>
      </c>
      <c r="Q4">
        <v>22</v>
      </c>
      <c r="R4">
        <v>22</v>
      </c>
      <c r="S4">
        <v>16</v>
      </c>
      <c r="T4" cm="1">
        <f t="array" ref="T4">IF(COUNT(_xlfn._xlws.FILTER('TERadj'!OS2:OS100, ('TERadj'!OS2:OS100&gt;0))),COUNT(_xlfn._xlws.FILTER('TERadj'!OS2:OS100, ('TERadj'!OS2:OS100&gt;0))),"")</f>
        <v>0</v>
      </c>
    </row>
    <row r="5" spans="1:20">
      <c r="B5" t="s">
        <v>840</v>
      </c>
      <c r="C5">
        <v>42.1736569271088</v>
      </c>
      <c r="D5">
        <v>43.4296050405502</v>
      </c>
      <c r="E5">
        <v>46.8075997257233</v>
      </c>
      <c r="F5">
        <v>33.975221988678</v>
      </c>
      <c r="G5">
        <v>51.8955351648331</v>
      </c>
      <c r="H5">
        <v>26.6832898674011</v>
      </c>
      <c r="I5">
        <v>18.2761453237534</v>
      </c>
      <c r="J5">
        <f>IF(SUMIFS('TERadj'!OT2:OT100,'TERadj'!OT2:OT100,"&gt;0")/1000,SUMIFS('TERadj'!OT2:OT100,'TERadj'!OT2:OT100,"&gt;0")/1000,"")</f>
        <v>0</v>
      </c>
      <c r="L5" t="s">
        <v>840</v>
      </c>
      <c r="M5">
        <v>75</v>
      </c>
      <c r="N5">
        <v>81</v>
      </c>
      <c r="O5">
        <v>66</v>
      </c>
      <c r="P5">
        <v>46</v>
      </c>
      <c r="Q5">
        <v>63</v>
      </c>
      <c r="R5">
        <v>52</v>
      </c>
      <c r="S5">
        <v>29</v>
      </c>
      <c r="T5" cm="1">
        <f t="array" ref="T5">IF(COUNT(_xlfn._xlws.FILTER('TERadj'!OT2:OT100, ('TERadj'!OT2:OT100&gt;0))),COUNT(_xlfn._xlws.FILTER('TERadj'!OT2:OT100, ('TERadj'!OT2:OT100&gt;0))),"")</f>
        <v>0</v>
      </c>
    </row>
    <row r="6" spans="1:20">
      <c r="B6" t="s">
        <v>838</v>
      </c>
      <c r="C6">
        <v>3.26216888201237</v>
      </c>
      <c r="D6">
        <v>7.02659238433838</v>
      </c>
      <c r="E6">
        <v>3.17788430786133</v>
      </c>
      <c r="F6">
        <v>3.1523688365221</v>
      </c>
      <c r="G6">
        <v>4.22291181945801</v>
      </c>
      <c r="H6">
        <v>6.87719434189796</v>
      </c>
      <c r="I6">
        <v>1.35119370937347</v>
      </c>
      <c r="J6">
        <f>IF(SUMIFS('TERadj'!OU2:OU100,'TERadj'!OU2:OU100,"&gt;0")/1000,SUMIFS('TERadj'!OU2:OU100,'TERadj'!OU2:OU100,"&gt;0")/1000,"")</f>
        <v>0</v>
      </c>
      <c r="L6" t="s">
        <v>838</v>
      </c>
      <c r="M6">
        <v>25</v>
      </c>
      <c r="N6">
        <v>26</v>
      </c>
      <c r="O6">
        <v>24</v>
      </c>
      <c r="P6">
        <v>16</v>
      </c>
      <c r="Q6">
        <v>22</v>
      </c>
      <c r="R6">
        <v>23</v>
      </c>
      <c r="S6">
        <v>10</v>
      </c>
      <c r="T6" cm="1">
        <f t="array" ref="T6">IF(COUNT(_xlfn._xlws.FILTER('TERadj'!OU2:OU100, ('TERadj'!OU2:OU100&gt;0))),COUNT(_xlfn._xlws.FILTER('TERadj'!OU2:OU100, ('TERadj'!OU2:OU100&gt;0))),"")</f>
        <v>0</v>
      </c>
    </row>
    <row r="7" spans="1:20">
      <c r="B7" t="s">
        <v>841</v>
      </c>
      <c r="C7">
        <v>0.166600000023842</v>
      </c>
      <c r="D7">
        <v>0.0425522909164429</v>
      </c>
      <c r="E7">
        <v>0.150649765014648</v>
      </c>
      <c r="F7">
        <v>0.00913710117340088</v>
      </c>
      <c r="G7">
        <v>0.034540843963623</v>
      </c>
      <c r="H7">
        <v>0.06768668556213379</v>
      </c>
      <c r="I7">
        <v>0.09632879638671871</v>
      </c>
      <c r="J7">
        <f>IF(SUMIFS('TERadj'!OV2:OV100,'TERadj'!OV2:OV100,"&gt;0")/1000,SUMIFS('TERadj'!OV2:OV100,'TERadj'!OV2:OV100,"&gt;0")/1000,"")</f>
        <v>0</v>
      </c>
      <c r="L7" t="s">
        <v>841</v>
      </c>
      <c r="M7">
        <v>4</v>
      </c>
      <c r="N7">
        <v>4</v>
      </c>
      <c r="O7">
        <v>6</v>
      </c>
      <c r="P7">
        <v>2</v>
      </c>
      <c r="Q7">
        <v>3</v>
      </c>
      <c r="R7">
        <v>4</v>
      </c>
      <c r="S7">
        <v>2</v>
      </c>
      <c r="T7" cm="1">
        <f t="array" ref="T7">IF(COUNT(_xlfn._xlws.FILTER('TERadj'!OV2:OV100, ('TERadj'!OV2:OV100&gt;0))),COUNT(_xlfn._xlws.FILTER('TERadj'!OV2:OV100, ('TERadj'!OV2:OV100&gt;0))),"")</f>
        <v>0</v>
      </c>
    </row>
    <row r="8" spans="1:20">
      <c r="B8" t="s">
        <v>898</v>
      </c>
      <c r="C8">
        <v>0.520800000190735</v>
      </c>
      <c r="D8">
        <v>0.424593143729493</v>
      </c>
      <c r="E8">
        <v>0.075</v>
      </c>
      <c r="G8">
        <v>0.69427857208252</v>
      </c>
      <c r="H8">
        <v>0.0794503936767578</v>
      </c>
      <c r="I8">
        <v>0.0268203392028809</v>
      </c>
      <c r="J8">
        <f>IF(SUMIFS('TERadj'!OW2:OW100,'TERadj'!OW2:OW100,"&gt;0")/1000,SUMIFS('TERadj'!OW2:OW100,'TERadj'!OW2:OW100,"&gt;0")/1000,"")</f>
        <v>0</v>
      </c>
      <c r="L8" t="s">
        <v>898</v>
      </c>
      <c r="M8">
        <v>4</v>
      </c>
      <c r="N8">
        <v>6</v>
      </c>
      <c r="O8">
        <v>1</v>
      </c>
      <c r="Q8">
        <v>2</v>
      </c>
      <c r="R8">
        <v>1</v>
      </c>
      <c r="S8">
        <v>1</v>
      </c>
      <c r="T8" cm="1">
        <f t="array" ref="T8">IF(COUNT(_xlfn._xlws.FILTER('TERadj'!OW2:OW100, ('TERadj'!OW2:OW100&gt;0))),COUNT(_xlfn._xlws.FILTER('TERadj'!OW2:OW100, ('TERadj'!OW2:OW100&gt;0))),"")</f>
        <v>0</v>
      </c>
    </row>
    <row r="10" spans="1:20">
      <c r="B10" t="s">
        <v>915</v>
      </c>
      <c r="C10" t="s">
        <v>945</v>
      </c>
      <c r="D10" t="s">
        <v>946</v>
      </c>
      <c r="E10" t="s">
        <v>947</v>
      </c>
      <c r="F10" t="s">
        <v>948</v>
      </c>
      <c r="G10" t="s">
        <v>949</v>
      </c>
      <c r="H10" t="s">
        <v>950</v>
      </c>
      <c r="I10" t="s">
        <v>931</v>
      </c>
      <c r="J10" t="s">
        <v>932</v>
      </c>
    </row>
    <row r="11" spans="1:20">
      <c r="B11" t="s">
        <v>839</v>
      </c>
      <c r="C11" s="5">
        <f>IF(SUM(M4:M8) &gt; 0, IF(AND(SUM(C4:C8)&gt;0, ISNUMBER(C4)),C4/SUM(C4:C8), ""), "")</f>
        <v>0</v>
      </c>
      <c r="D11" s="5">
        <f>IF(SUM(M4:M8) &gt; 0, IF(AND(SUM(D4:D8)&gt;0, ISNUMBER(D4)),D4/SUM(D4:D8), ""), "")</f>
        <v>0</v>
      </c>
      <c r="E11" s="5">
        <f>IF(SUM(M4:M8) &gt; 0, IF(AND(SUM(E4:E8)&gt;0, ISNUMBER(E4)),E4/SUM(E4:E8), ""), "")</f>
        <v>0</v>
      </c>
      <c r="F11" s="5">
        <f>IF(SUM(M4:M8) &gt; 0, IF(AND(SUM(F4:F8)&gt;0, ISNUMBER(F4)),F4/SUM(F4:F8), ""), "")</f>
        <v>0</v>
      </c>
      <c r="G11" s="5">
        <f>IF(SUM(M4:M8) &gt; 0, IF(AND(SUM(G4:G8)&gt;0, ISNUMBER(G4)),G4/SUM(G4:G8), ""), "")</f>
        <v>0</v>
      </c>
      <c r="H11" s="5">
        <f>IF(SUM(M4:M8) &gt; 0, IF(AND(SUM(H4:H8)&gt;0, ISNUMBER(H4)),H4/SUM(H4:H8), ""), "")</f>
        <v>0</v>
      </c>
      <c r="I11" s="5">
        <f>IF(SUM(M4:M8) &gt; 0, IF(AND(SUM(I4:I8)&gt;0, ISNUMBER(I4)),I4/SUM(I4:I8), ""), "")</f>
        <v>0</v>
      </c>
      <c r="J11" s="5">
        <f>IF(SUM(M4:M8) &gt; 0, IF(AND(SUM(J4:J8)&gt;0, ISNUMBER(J4)),J4/SUM(J4:J8), ""), "")</f>
        <v>0</v>
      </c>
    </row>
    <row r="12" spans="1:20">
      <c r="B12" t="s">
        <v>840</v>
      </c>
      <c r="C12" s="5">
        <f>IF(SUM(M4:M8) &gt; 0, IF(AND(SUM(C4:C8)&gt;0, ISNUMBER(C5)),C5/SUM(C4:C8), ""), "")</f>
        <v>0</v>
      </c>
      <c r="D12" s="5">
        <f>IF(SUM(M4:M8) &gt; 0, IF(AND(SUM(D4:D8)&gt;0, ISNUMBER(D5)),D5/SUM(D4:D8), ""), "")</f>
        <v>0</v>
      </c>
      <c r="E12" s="5">
        <f>IF(SUM(M4:M8) &gt; 0, IF(AND(SUM(E4:E8)&gt;0, ISNUMBER(E5)),E5/SUM(E4:E8), ""), "")</f>
        <v>0</v>
      </c>
      <c r="F12" s="5">
        <f>IF(SUM(M4:M8) &gt; 0, IF(AND(SUM(F4:F8)&gt;0, ISNUMBER(F5)),F5/SUM(F4:F8), ""), "")</f>
        <v>0</v>
      </c>
      <c r="G12" s="5">
        <f>IF(SUM(M4:M8) &gt; 0, IF(AND(SUM(G4:G8)&gt;0, ISNUMBER(G5)),G5/SUM(G4:G8), ""), "")</f>
        <v>0</v>
      </c>
      <c r="H12" s="5">
        <f>IF(SUM(M4:M8) &gt; 0, IF(AND(SUM(H4:H8)&gt;0, ISNUMBER(H5)),H5/SUM(H4:H8), ""), "")</f>
        <v>0</v>
      </c>
      <c r="I12" s="5">
        <f>IF(SUM(M4:M8) &gt; 0, IF(AND(SUM(I4:I8)&gt;0, ISNUMBER(I5)),I5/SUM(I4:I8), ""), "")</f>
        <v>0</v>
      </c>
      <c r="J12" s="5">
        <f>IF(SUM(M4:M8) &gt; 0, IF(AND(SUM(J4:J8)&gt;0, ISNUMBER(J5)),J5/SUM(J4:J8), ""), "")</f>
        <v>0</v>
      </c>
    </row>
    <row r="13" spans="1:20">
      <c r="B13" t="s">
        <v>838</v>
      </c>
      <c r="C13" s="5">
        <f>IF(SUM(M4:M8) &gt; 0, IF(AND(SUM(C4:C8)&gt;0, ISNUMBER(C6)),C6/SUM(C4:C8), ""), "")</f>
        <v>0</v>
      </c>
      <c r="D13" s="5">
        <f>IF(SUM(M4:M8) &gt; 0, IF(AND(SUM(D4:D8)&gt;0, ISNUMBER(D6)),D6/SUM(D4:D8), ""), "")</f>
        <v>0</v>
      </c>
      <c r="E13" s="5">
        <f>IF(SUM(M4:M8) &gt; 0, IF(AND(SUM(E4:E8)&gt;0, ISNUMBER(E6)),E6/SUM(E4:E8), ""), "")</f>
        <v>0</v>
      </c>
      <c r="F13" s="5">
        <f>IF(SUM(M4:M8) &gt; 0, IF(AND(SUM(F4:F8)&gt;0, ISNUMBER(F6)),F6/SUM(F4:F8), ""), "")</f>
        <v>0</v>
      </c>
      <c r="G13" s="5">
        <f>IF(SUM(M4:M8) &gt; 0, IF(AND(SUM(G4:G8)&gt;0, ISNUMBER(G6)),G6/SUM(G4:G8), ""), "")</f>
        <v>0</v>
      </c>
      <c r="H13" s="5">
        <f>IF(SUM(M4:M8) &gt; 0, IF(AND(SUM(H4:H8)&gt;0, ISNUMBER(H6)),H6/SUM(H4:H8), ""), "")</f>
        <v>0</v>
      </c>
      <c r="I13" s="5">
        <f>IF(SUM(M4:M8) &gt; 0, IF(AND(SUM(I4:I8)&gt;0, ISNUMBER(I6)),I6/SUM(I4:I8), ""), "")</f>
        <v>0</v>
      </c>
      <c r="J13" s="5">
        <f>IF(SUM(M4:M8) &gt; 0, IF(AND(SUM(J4:J8)&gt;0, ISNUMBER(J6)),J6/SUM(J4:J8), ""), "")</f>
        <v>0</v>
      </c>
    </row>
    <row r="14" spans="1:20">
      <c r="B14" t="s">
        <v>841</v>
      </c>
      <c r="C14" s="5">
        <f>IF(SUM(M4:M8) &gt; 0, IF(AND(SUM(C4:C8)&gt;0, ISNUMBER(C7)),C7/SUM(C4:C8), ""), "")</f>
        <v>0</v>
      </c>
      <c r="D14" s="5">
        <f>IF(SUM(M4:M8) &gt; 0, IF(AND(SUM(D4:D8)&gt;0, ISNUMBER(D7)),D7/SUM(D4:D8), ""), "")</f>
        <v>0</v>
      </c>
      <c r="E14" s="5">
        <f>IF(SUM(M4:M8) &gt; 0, IF(AND(SUM(E4:E8)&gt;0, ISNUMBER(E7)),E7/SUM(E4:E8), ""), "")</f>
        <v>0</v>
      </c>
      <c r="F14" s="5">
        <f>IF(SUM(M4:M8) &gt; 0, IF(AND(SUM(F4:F8)&gt;0, ISNUMBER(F7)),F7/SUM(F4:F8), ""), "")</f>
        <v>0</v>
      </c>
      <c r="G14" s="5">
        <f>IF(SUM(M4:M8) &gt; 0, IF(AND(SUM(G4:G8)&gt;0, ISNUMBER(G7)),G7/SUM(G4:G8), ""), "")</f>
        <v>0</v>
      </c>
      <c r="H14" s="5">
        <f>IF(SUM(M4:M8) &gt; 0, IF(AND(SUM(H4:H8)&gt;0, ISNUMBER(H7)),H7/SUM(H4:H8), ""), "")</f>
        <v>0</v>
      </c>
      <c r="I14" s="5">
        <f>IF(SUM(M4:M8) &gt; 0, IF(AND(SUM(I4:I8)&gt;0, ISNUMBER(I7)),I7/SUM(I4:I8), ""), "")</f>
        <v>0</v>
      </c>
      <c r="J14" s="5">
        <f>IF(SUM(M4:M8) &gt; 0, IF(AND(SUM(J4:J8)&gt;0, ISNUMBER(J7)),J7/SUM(J4:J8), ""), "")</f>
        <v>0</v>
      </c>
    </row>
    <row r="15" spans="1:20">
      <c r="B15" t="s">
        <v>898</v>
      </c>
      <c r="C15" s="5">
        <f>IF(SUM(M4:M8) &gt; 0, IF(AND(SUM(C4:C8)&gt;0, ISNUMBER(C8)),C8/SUM(C4:C8), ""), "")</f>
        <v>0</v>
      </c>
      <c r="D15" s="5">
        <f>IF(SUM(M4:M8) &gt; 0, IF(AND(SUM(D4:D8)&gt;0, ISNUMBER(D8)),D8/SUM(D4:D8), ""), "")</f>
        <v>0</v>
      </c>
      <c r="E15" s="5">
        <f>IF(SUM(M4:M8) &gt; 0, IF(AND(SUM(E4:E8)&gt;0, ISNUMBER(E8)),E8/SUM(E4:E8), ""), "")</f>
        <v>0</v>
      </c>
      <c r="F15" s="5">
        <f>IF(SUM(M4:M8) &gt; 0, IF(AND(SUM(F4:F8)&gt;0, ISNUMBER(F8)),F8/SUM(F4:F8), ""), "")</f>
        <v>0</v>
      </c>
      <c r="G15" s="5">
        <f>IF(SUM(M4:M8) &gt; 0, IF(AND(SUM(G4:G8)&gt;0, ISNUMBER(G8)),G8/SUM(G4:G8), ""), "")</f>
        <v>0</v>
      </c>
      <c r="H15" s="5">
        <f>IF(SUM(M4:M8) &gt; 0, IF(AND(SUM(H4:H8)&gt;0, ISNUMBER(H8)),H8/SUM(H4:H8), ""), "")</f>
        <v>0</v>
      </c>
      <c r="I15" s="5">
        <f>IF(SUM(M4:M8) &gt; 0, IF(AND(SUM(I4:I8)&gt;0, ISNUMBER(I8)),I8/SUM(I4:I8), ""), "")</f>
        <v>0</v>
      </c>
      <c r="J15" s="5">
        <f>IF(SUM(M4:M8) &gt; 0, IF(AND(SUM(J4:J8)&gt;0, ISNUMBER(J8)),J8/SUM(J4:J8), ""), "")</f>
        <v>0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tabColor rgb="FF0033A0"/>
  </sheetPr>
  <dimension ref="A1:P21"/>
  <sheetViews>
    <sheetView workbookViewId="0"/>
  </sheetViews>
  <sheetFormatPr defaultRowHeight="15"/>
  <sheetData>
    <row r="1" spans="1:16" s="3" customFormat="1" ht="40" customHeight="1">
      <c r="A1" s="3" t="s">
        <v>1069</v>
      </c>
    </row>
    <row r="3" spans="1:16">
      <c r="B3" t="s">
        <v>915</v>
      </c>
      <c r="C3" t="s">
        <v>933</v>
      </c>
      <c r="D3" t="s">
        <v>934</v>
      </c>
      <c r="E3" t="s">
        <v>935</v>
      </c>
      <c r="F3" t="s">
        <v>878</v>
      </c>
      <c r="G3" t="s">
        <v>936</v>
      </c>
      <c r="H3" t="s">
        <v>881</v>
      </c>
      <c r="J3" t="s">
        <v>915</v>
      </c>
      <c r="K3" t="s">
        <v>1070</v>
      </c>
      <c r="L3" t="s">
        <v>1062</v>
      </c>
      <c r="M3" t="s">
        <v>1063</v>
      </c>
      <c r="N3" t="s">
        <v>1064</v>
      </c>
      <c r="O3" t="s">
        <v>1065</v>
      </c>
      <c r="P3" t="s">
        <v>1066</v>
      </c>
    </row>
    <row r="4" spans="1:16">
      <c r="B4" t="s">
        <v>884</v>
      </c>
      <c r="C4">
        <f>IF(SUMIFS('TERadj'!OX2:OX100,'TERadj'!OX2:OX100,"&gt;0")/1000,SUMIFS('TERadj'!OX2:OX100,'TERadj'!OX2:OX100,"&gt;0")/1000,"")</f>
        <v>0</v>
      </c>
      <c r="D4">
        <f>IF(SUMIFS('TERadj'!OY2:OY100,'TERadj'!OY2:OY100,"&gt;0")/1000,SUMIFS('TERadj'!OY2:OY100,'TERadj'!OY2:OY100,"&gt;0")/1000,"")</f>
        <v>0</v>
      </c>
      <c r="E4">
        <f>IF(SUMIFS('TERadj'!OZ2:OZ100,'TERadj'!OZ2:OZ100,"&gt;0")/1000,SUMIFS('TERadj'!OZ2:OZ100,'TERadj'!OZ2:OZ100,"&gt;0")/1000,"")</f>
        <v>0</v>
      </c>
      <c r="F4">
        <f>IF(SUMIFS('TERadj'!PA2:PA100,'TERadj'!PA2:PA100,"&gt;0")/1000,SUMIFS('TERadj'!PA2:PA100,'TERadj'!PA2:PA100,"&gt;0")/1000,"")</f>
        <v>0</v>
      </c>
      <c r="G4">
        <f>IF(SUMIFS('TERadj'!PB2:PB100,'TERadj'!PB2:PB100,"&gt;0")/1000,SUMIFS('TERadj'!PB2:PB100,'TERadj'!PB2:PB100,"&gt;0")/1000,"")</f>
        <v>0</v>
      </c>
      <c r="H4">
        <f>IF(SUMIFS('TERadj'!PC2:PC100,'TERadj'!PC2:PC100,"&gt;0")/1000,SUMIFS('TERadj'!PC2:PC100,'TERadj'!PC2:PC100,"&gt;0")/1000,"")</f>
        <v>0</v>
      </c>
      <c r="J4" t="s">
        <v>884</v>
      </c>
      <c r="K4" cm="1">
        <f t="array" ref="K4">IF(COUNT(_xlfn._xlws.FILTER('TERadj'!OX2:OX100, ('TERadj'!OX2:OX100&gt;0))),COUNT(_xlfn._xlws.FILTER('TERadj'!OX2:OX100, ('TERadj'!OX2:OX100&gt;0))),"")</f>
        <v>0</v>
      </c>
      <c r="L4" cm="1">
        <f t="array" ref="L4">IF(COUNT(_xlfn._xlws.FILTER('TERadj'!OY2:OY100, ('TERadj'!OY2:OY100&gt;0))),COUNT(_xlfn._xlws.FILTER('TERadj'!OY2:OY100, ('TERadj'!OY2:OY100&gt;0))),"")</f>
        <v>0</v>
      </c>
      <c r="M4" cm="1">
        <f t="array" ref="M4">IF(COUNT(_xlfn._xlws.FILTER('TERadj'!OZ2:OZ100, ('TERadj'!OZ2:OZ100&gt;0))),COUNT(_xlfn._xlws.FILTER('TERadj'!OZ2:OZ100, ('TERadj'!OZ2:OZ100&gt;0))),"")</f>
        <v>0</v>
      </c>
      <c r="N4" cm="1">
        <f t="array" ref="N4">IF(COUNT(_xlfn._xlws.FILTER('TERadj'!PA2:PA100, ('TERadj'!PA2:PA100&gt;0))),COUNT(_xlfn._xlws.FILTER('TERadj'!PA2:PA100, ('TERadj'!PA2:PA100&gt;0))),"")</f>
        <v>0</v>
      </c>
      <c r="O4" cm="1">
        <f t="array" ref="O4">IF(COUNT(_xlfn._xlws.FILTER('TERadj'!PB2:PB100, ('TERadj'!PB2:PB100&gt;0))),COUNT(_xlfn._xlws.FILTER('TERadj'!PB2:PB100, ('TERadj'!PB2:PB100&gt;0))),"")</f>
        <v>0</v>
      </c>
      <c r="P4" cm="1">
        <f t="array" ref="P4">IF(COUNT(_xlfn._xlws.FILTER('TERadj'!PC2:PC100, ('TERadj'!PC2:PC100&gt;0))),COUNT(_xlfn._xlws.FILTER('TERadj'!PC2:PC100, ('TERadj'!PC2:PC100&gt;0))),"")</f>
        <v>0</v>
      </c>
    </row>
    <row r="5" spans="1:16">
      <c r="B5" t="s">
        <v>892</v>
      </c>
      <c r="C5">
        <f>IF(SUMIFS('TERadj'!PD2:PD100,'TERadj'!PD2:PD100,"&gt;0")/1000,SUMIFS('TERadj'!PD2:PD100,'TERadj'!PD2:PD100,"&gt;0")/1000,"")</f>
        <v>0</v>
      </c>
      <c r="D5">
        <f>IF(SUMIFS('TERadj'!PE2:PE100,'TERadj'!PE2:PE100,"&gt;0")/1000,SUMIFS('TERadj'!PE2:PE100,'TERadj'!PE2:PE100,"&gt;0")/1000,"")</f>
        <v>0</v>
      </c>
      <c r="E5">
        <f>IF(SUMIFS('TERadj'!PF2:PF100,'TERadj'!PF2:PF100,"&gt;0")/1000,SUMIFS('TERadj'!PF2:PF100,'TERadj'!PF2:PF100,"&gt;0")/1000,"")</f>
        <v>0</v>
      </c>
      <c r="F5">
        <f>IF(SUMIFS('TERadj'!PG2:PG100,'TERadj'!PG2:PG100,"&gt;0")/1000,SUMIFS('TERadj'!PG2:PG100,'TERadj'!PG2:PG100,"&gt;0")/1000,"")</f>
        <v>0</v>
      </c>
      <c r="G5">
        <f>IF(SUMIFS('TERadj'!PH2:PH100,'TERadj'!PH2:PH100,"&gt;0")/1000,SUMIFS('TERadj'!PH2:PH100,'TERadj'!PH2:PH100,"&gt;0")/1000,"")</f>
        <v>0</v>
      </c>
      <c r="H5">
        <f>IF(SUMIFS('TERadj'!PI2:PI100,'TERadj'!PI2:PI100,"&gt;0")/1000,SUMIFS('TERadj'!PI2:PI100,'TERadj'!PI2:PI100,"&gt;0")/1000,"")</f>
        <v>0</v>
      </c>
      <c r="J5" t="s">
        <v>892</v>
      </c>
      <c r="K5" cm="1">
        <f t="array" ref="K5">IF(COUNT(_xlfn._xlws.FILTER('TERadj'!PD2:PD100, ('TERadj'!PD2:PD100&gt;0))),COUNT(_xlfn._xlws.FILTER('TERadj'!PD2:PD100, ('TERadj'!PD2:PD100&gt;0))),"")</f>
        <v>0</v>
      </c>
      <c r="L5" cm="1">
        <f t="array" ref="L5">IF(COUNT(_xlfn._xlws.FILTER('TERadj'!PE2:PE100, ('TERadj'!PE2:PE100&gt;0))),COUNT(_xlfn._xlws.FILTER('TERadj'!PE2:PE100, ('TERadj'!PE2:PE100&gt;0))),"")</f>
        <v>0</v>
      </c>
      <c r="M5" cm="1">
        <f t="array" ref="M5">IF(COUNT(_xlfn._xlws.FILTER('TERadj'!PF2:PF100, ('TERadj'!PF2:PF100&gt;0))),COUNT(_xlfn._xlws.FILTER('TERadj'!PF2:PF100, ('TERadj'!PF2:PF100&gt;0))),"")</f>
        <v>0</v>
      </c>
      <c r="N5" cm="1">
        <f t="array" ref="N5">IF(COUNT(_xlfn._xlws.FILTER('TERadj'!PG2:PG100, ('TERadj'!PG2:PG100&gt;0))),COUNT(_xlfn._xlws.FILTER('TERadj'!PG2:PG100, ('TERadj'!PG2:PG100&gt;0))),"")</f>
        <v>0</v>
      </c>
      <c r="O5" cm="1">
        <f t="array" ref="O5">IF(COUNT(_xlfn._xlws.FILTER('TERadj'!PH2:PH100, ('TERadj'!PH2:PH100&gt;0))),COUNT(_xlfn._xlws.FILTER('TERadj'!PH2:PH100, ('TERadj'!PH2:PH100&gt;0))),"")</f>
        <v>0</v>
      </c>
      <c r="P5" cm="1">
        <f t="array" ref="P5">IF(COUNT(_xlfn._xlws.FILTER('TERadj'!PI2:PI100, ('TERadj'!PI2:PI100&gt;0))),COUNT(_xlfn._xlws.FILTER('TERadj'!PI2:PI100, ('TERadj'!PI2:PI100&gt;0))),"")</f>
        <v>0</v>
      </c>
    </row>
    <row r="6" spans="1:16">
      <c r="B6" t="s">
        <v>880</v>
      </c>
      <c r="C6">
        <f>IF(SUMIFS('TERadj'!PJ2:PJ100,'TERadj'!PJ2:PJ100,"&gt;0")/1000,SUMIFS('TERadj'!PJ2:PJ100,'TERadj'!PJ2:PJ100,"&gt;0")/1000,"")</f>
        <v>0</v>
      </c>
      <c r="D6">
        <f>IF(SUMIFS('TERadj'!PK2:PK100,'TERadj'!PK2:PK100,"&gt;0")/1000,SUMIFS('TERadj'!PK2:PK100,'TERadj'!PK2:PK100,"&gt;0")/1000,"")</f>
        <v>0</v>
      </c>
      <c r="E6">
        <f>IF(SUMIFS('TERadj'!PL2:PL100,'TERadj'!PL2:PL100,"&gt;0")/1000,SUMIFS('TERadj'!PL2:PL100,'TERadj'!PL2:PL100,"&gt;0")/1000,"")</f>
        <v>0</v>
      </c>
      <c r="F6">
        <f>IF(SUMIFS('TERadj'!PM2:PM100,'TERadj'!PM2:PM100,"&gt;0")/1000,SUMIFS('TERadj'!PM2:PM100,'TERadj'!PM2:PM100,"&gt;0")/1000,"")</f>
        <v>0</v>
      </c>
      <c r="G6">
        <f>IF(SUMIFS('TERadj'!PN2:PN100,'TERadj'!PN2:PN100,"&gt;0")/1000,SUMIFS('TERadj'!PN2:PN100,'TERadj'!PN2:PN100,"&gt;0")/1000,"")</f>
        <v>0</v>
      </c>
      <c r="H6">
        <f>IF(SUMIFS('TERadj'!PO2:PO100,'TERadj'!PO2:PO100,"&gt;0")/1000,SUMIFS('TERadj'!PO2:PO100,'TERadj'!PO2:PO100,"&gt;0")/1000,"")</f>
        <v>0</v>
      </c>
      <c r="J6" t="s">
        <v>880</v>
      </c>
      <c r="K6" cm="1">
        <f t="array" ref="K6">IF(COUNT(_xlfn._xlws.FILTER('TERadj'!PJ2:PJ100, ('TERadj'!PJ2:PJ100&gt;0))),COUNT(_xlfn._xlws.FILTER('TERadj'!PJ2:PJ100, ('TERadj'!PJ2:PJ100&gt;0))),"")</f>
        <v>0</v>
      </c>
      <c r="L6" cm="1">
        <f t="array" ref="L6">IF(COUNT(_xlfn._xlws.FILTER('TERadj'!PK2:PK100, ('TERadj'!PK2:PK100&gt;0))),COUNT(_xlfn._xlws.FILTER('TERadj'!PK2:PK100, ('TERadj'!PK2:PK100&gt;0))),"")</f>
        <v>0</v>
      </c>
      <c r="M6" cm="1">
        <f t="array" ref="M6">IF(COUNT(_xlfn._xlws.FILTER('TERadj'!PL2:PL100, ('TERadj'!PL2:PL100&gt;0))),COUNT(_xlfn._xlws.FILTER('TERadj'!PL2:PL100, ('TERadj'!PL2:PL100&gt;0))),"")</f>
        <v>0</v>
      </c>
      <c r="N6" cm="1">
        <f t="array" ref="N6">IF(COUNT(_xlfn._xlws.FILTER('TERadj'!PM2:PM100, ('TERadj'!PM2:PM100&gt;0))),COUNT(_xlfn._xlws.FILTER('TERadj'!PM2:PM100, ('TERadj'!PM2:PM100&gt;0))),"")</f>
        <v>0</v>
      </c>
      <c r="O6" cm="1">
        <f t="array" ref="O6">IF(COUNT(_xlfn._xlws.FILTER('TERadj'!PN2:PN100, ('TERadj'!PN2:PN100&gt;0))),COUNT(_xlfn._xlws.FILTER('TERadj'!PN2:PN100, ('TERadj'!PN2:PN100&gt;0))),"")</f>
        <v>0</v>
      </c>
      <c r="P6" cm="1">
        <f t="array" ref="P6">IF(COUNT(_xlfn._xlws.FILTER('TERadj'!PO2:PO100, ('TERadj'!PO2:PO100&gt;0))),COUNT(_xlfn._xlws.FILTER('TERadj'!PO2:PO100, ('TERadj'!PO2:PO100&gt;0))),"")</f>
        <v>0</v>
      </c>
    </row>
    <row r="7" spans="1:16">
      <c r="B7" t="s">
        <v>890</v>
      </c>
      <c r="C7">
        <f>IF(SUMIFS('TERadj'!PP2:PP100,'TERadj'!PP2:PP100,"&gt;0")/1000,SUMIFS('TERadj'!PP2:PP100,'TERadj'!PP2:PP100,"&gt;0")/1000,"")</f>
        <v>0</v>
      </c>
      <c r="D7">
        <f>IF(SUMIFS('TERadj'!PQ2:PQ100,'TERadj'!PQ2:PQ100,"&gt;0")/1000,SUMIFS('TERadj'!PQ2:PQ100,'TERadj'!PQ2:PQ100,"&gt;0")/1000,"")</f>
        <v>0</v>
      </c>
      <c r="E7">
        <f>IF(SUMIFS('TERadj'!PR2:PR100,'TERadj'!PR2:PR100,"&gt;0")/1000,SUMIFS('TERadj'!PR2:PR100,'TERadj'!PR2:PR100,"&gt;0")/1000,"")</f>
        <v>0</v>
      </c>
      <c r="F7">
        <f>IF(SUMIFS('TERadj'!PS2:PS100,'TERadj'!PS2:PS100,"&gt;0")/1000,SUMIFS('TERadj'!PS2:PS100,'TERadj'!PS2:PS100,"&gt;0")/1000,"")</f>
        <v>0</v>
      </c>
      <c r="G7">
        <f>IF(SUMIFS('TERadj'!PT2:PT100,'TERadj'!PT2:PT100,"&gt;0")/1000,SUMIFS('TERadj'!PT2:PT100,'TERadj'!PT2:PT100,"&gt;0")/1000,"")</f>
        <v>0</v>
      </c>
      <c r="H7">
        <f>IF(SUMIFS('TERadj'!PU2:PU100,'TERadj'!PU2:PU100,"&gt;0")/1000,SUMIFS('TERadj'!PU2:PU100,'TERadj'!PU2:PU100,"&gt;0")/1000,"")</f>
        <v>0</v>
      </c>
      <c r="J7" t="s">
        <v>890</v>
      </c>
      <c r="K7" cm="1">
        <f t="array" ref="K7">IF(COUNT(_xlfn._xlws.FILTER('TERadj'!PP2:PP100, ('TERadj'!PP2:PP100&gt;0))),COUNT(_xlfn._xlws.FILTER('TERadj'!PP2:PP100, ('TERadj'!PP2:PP100&gt;0))),"")</f>
        <v>0</v>
      </c>
      <c r="L7" cm="1">
        <f t="array" ref="L7">IF(COUNT(_xlfn._xlws.FILTER('TERadj'!PQ2:PQ100, ('TERadj'!PQ2:PQ100&gt;0))),COUNT(_xlfn._xlws.FILTER('TERadj'!PQ2:PQ100, ('TERadj'!PQ2:PQ100&gt;0))),"")</f>
        <v>0</v>
      </c>
      <c r="M7" cm="1">
        <f t="array" ref="M7">IF(COUNT(_xlfn._xlws.FILTER('TERadj'!PR2:PR100, ('TERadj'!PR2:PR100&gt;0))),COUNT(_xlfn._xlws.FILTER('TERadj'!PR2:PR100, ('TERadj'!PR2:PR100&gt;0))),"")</f>
        <v>0</v>
      </c>
      <c r="N7" cm="1">
        <f t="array" ref="N7">IF(COUNT(_xlfn._xlws.FILTER('TERadj'!PS2:PS100, ('TERadj'!PS2:PS100&gt;0))),COUNT(_xlfn._xlws.FILTER('TERadj'!PS2:PS100, ('TERadj'!PS2:PS100&gt;0))),"")</f>
        <v>0</v>
      </c>
      <c r="O7" cm="1">
        <f t="array" ref="O7">IF(COUNT(_xlfn._xlws.FILTER('TERadj'!PT2:PT100, ('TERadj'!PT2:PT100&gt;0))),COUNT(_xlfn._xlws.FILTER('TERadj'!PT2:PT100, ('TERadj'!PT2:PT100&gt;0))),"")</f>
        <v>0</v>
      </c>
      <c r="P7" cm="1">
        <f t="array" ref="P7">IF(COUNT(_xlfn._xlws.FILTER('TERadj'!PU2:PU100, ('TERadj'!PU2:PU100&gt;0))),COUNT(_xlfn._xlws.FILTER('TERadj'!PU2:PU100, ('TERadj'!PU2:PU100&gt;0))),"")</f>
        <v>0</v>
      </c>
    </row>
    <row r="8" spans="1:16">
      <c r="B8" t="s">
        <v>1009</v>
      </c>
      <c r="C8">
        <f>IF(SUMIFS('TERadj'!PV2:PV100,'TERadj'!PV2:PV100,"&gt;0")/1000,SUMIFS('TERadj'!PV2:PV100,'TERadj'!PV2:PV100,"&gt;0")/1000,"")</f>
        <v>0</v>
      </c>
      <c r="D8">
        <f>IF(SUMIFS('TERadj'!PW2:PW100,'TERadj'!PW2:PW100,"&gt;0")/1000,SUMIFS('TERadj'!PW2:PW100,'TERadj'!PW2:PW100,"&gt;0")/1000,"")</f>
        <v>0</v>
      </c>
      <c r="E8">
        <f>IF(SUMIFS('TERadj'!PX2:PX100,'TERadj'!PX2:PX100,"&gt;0")/1000,SUMIFS('TERadj'!PX2:PX100,'TERadj'!PX2:PX100,"&gt;0")/1000,"")</f>
        <v>0</v>
      </c>
      <c r="F8">
        <f>IF(SUMIFS('TERadj'!PY2:PY100,'TERadj'!PY2:PY100,"&gt;0")/1000,SUMIFS('TERadj'!PY2:PY100,'TERadj'!PY2:PY100,"&gt;0")/1000,"")</f>
        <v>0</v>
      </c>
      <c r="G8">
        <f>IF(SUMIFS('TERadj'!PZ2:PZ100,'TERadj'!PZ2:PZ100,"&gt;0")/1000,SUMIFS('TERadj'!PZ2:PZ100,'TERadj'!PZ2:PZ100,"&gt;0")/1000,"")</f>
        <v>0</v>
      </c>
      <c r="H8">
        <f>IF(SUMIFS('TERadj'!QA2:QA100,'TERadj'!QA2:QA100,"&gt;0")/1000,SUMIFS('TERadj'!QA2:QA100,'TERadj'!QA2:QA100,"&gt;0")/1000,"")</f>
        <v>0</v>
      </c>
      <c r="J8" t="s">
        <v>1009</v>
      </c>
      <c r="K8" cm="1">
        <f t="array" ref="K8">IF(COUNT(_xlfn._xlws.FILTER('TERadj'!PV2:PV100, ('TERadj'!PV2:PV100&gt;0))),COUNT(_xlfn._xlws.FILTER('TERadj'!PV2:PV100, ('TERadj'!PV2:PV100&gt;0))),"")</f>
        <v>0</v>
      </c>
      <c r="L8" cm="1">
        <f t="array" ref="L8">IF(COUNT(_xlfn._xlws.FILTER('TERadj'!PW2:PW100, ('TERadj'!PW2:PW100&gt;0))),COUNT(_xlfn._xlws.FILTER('TERadj'!PW2:PW100, ('TERadj'!PW2:PW100&gt;0))),"")</f>
        <v>0</v>
      </c>
      <c r="M8" cm="1">
        <f t="array" ref="M8">IF(COUNT(_xlfn._xlws.FILTER('TERadj'!PX2:PX100, ('TERadj'!PX2:PX100&gt;0))),COUNT(_xlfn._xlws.FILTER('TERadj'!PX2:PX100, ('TERadj'!PX2:PX100&gt;0))),"")</f>
        <v>0</v>
      </c>
      <c r="N8" cm="1">
        <f t="array" ref="N8">IF(COUNT(_xlfn._xlws.FILTER('TERadj'!PY2:PY100, ('TERadj'!PY2:PY100&gt;0))),COUNT(_xlfn._xlws.FILTER('TERadj'!PY2:PY100, ('TERadj'!PY2:PY100&gt;0))),"")</f>
        <v>0</v>
      </c>
      <c r="O8" cm="1">
        <f t="array" ref="O8">IF(COUNT(_xlfn._xlws.FILTER('TERadj'!PZ2:PZ100, ('TERadj'!PZ2:PZ100&gt;0))),COUNT(_xlfn._xlws.FILTER('TERadj'!PZ2:PZ100, ('TERadj'!PZ2:PZ100&gt;0))),"")</f>
        <v>0</v>
      </c>
      <c r="P8" cm="1">
        <f t="array" ref="P8">IF(COUNT(_xlfn._xlws.FILTER('TERadj'!QA2:QA100, ('TERadj'!QA2:QA100&gt;0))),COUNT(_xlfn._xlws.FILTER('TERadj'!QA2:QA100, ('TERadj'!QA2:QA100&gt;0))),"")</f>
        <v>0</v>
      </c>
    </row>
    <row r="9" spans="1:16">
      <c r="B9" t="s">
        <v>936</v>
      </c>
      <c r="C9">
        <f>IF(SUMIFS('TERadj'!QB2:QB100,'TERadj'!QB2:QB100,"&gt;0")/1000,SUMIFS('TERadj'!QB2:QB100,'TERadj'!QB2:QB100,"&gt;0")/1000,"")</f>
        <v>0</v>
      </c>
      <c r="D9">
        <f>IF(SUMIFS('TERadj'!QC2:QC100,'TERadj'!QC2:QC100,"&gt;0")/1000,SUMIFS('TERadj'!QC2:QC100,'TERadj'!QC2:QC100,"&gt;0")/1000,"")</f>
        <v>0</v>
      </c>
      <c r="E9">
        <f>IF(SUMIFS('TERadj'!QD2:QD100,'TERadj'!QD2:QD100,"&gt;0")/1000,SUMIFS('TERadj'!QD2:QD100,'TERadj'!QD2:QD100,"&gt;0")/1000,"")</f>
        <v>0</v>
      </c>
      <c r="F9">
        <f>IF(SUMIFS('TERadj'!QE2:QE100,'TERadj'!QE2:QE100,"&gt;0")/1000,SUMIFS('TERadj'!QE2:QE100,'TERadj'!QE2:QE100,"&gt;0")/1000,"")</f>
        <v>0</v>
      </c>
      <c r="G9">
        <f>IF(SUMIFS('TERadj'!QF2:QF100,'TERadj'!QF2:QF100,"&gt;0")/1000,SUMIFS('TERadj'!QF2:QF100,'TERadj'!QF2:QF100,"&gt;0")/1000,"")</f>
        <v>0</v>
      </c>
      <c r="H9">
        <f>IF(SUMIFS('TERadj'!QG2:QG100,'TERadj'!QG2:QG100,"&gt;0")/1000,SUMIFS('TERadj'!QG2:QG100,'TERadj'!QG2:QG100,"&gt;0")/1000,"")</f>
        <v>0</v>
      </c>
      <c r="J9" t="s">
        <v>936</v>
      </c>
      <c r="K9" cm="1">
        <f t="array" ref="K9">IF(COUNT(_xlfn._xlws.FILTER('TERadj'!QB2:QB100, ('TERadj'!QB2:QB100&gt;0))),COUNT(_xlfn._xlws.FILTER('TERadj'!QB2:QB100, ('TERadj'!QB2:QB100&gt;0))),"")</f>
        <v>0</v>
      </c>
      <c r="L9" cm="1">
        <f t="array" ref="L9">IF(COUNT(_xlfn._xlws.FILTER('TERadj'!QC2:QC100, ('TERadj'!QC2:QC100&gt;0))),COUNT(_xlfn._xlws.FILTER('TERadj'!QC2:QC100, ('TERadj'!QC2:QC100&gt;0))),"")</f>
        <v>0</v>
      </c>
      <c r="M9" cm="1">
        <f t="array" ref="M9">IF(COUNT(_xlfn._xlws.FILTER('TERadj'!QD2:QD100, ('TERadj'!QD2:QD100&gt;0))),COUNT(_xlfn._xlws.FILTER('TERadj'!QD2:QD100, ('TERadj'!QD2:QD100&gt;0))),"")</f>
        <v>0</v>
      </c>
      <c r="N9" cm="1">
        <f t="array" ref="N9">IF(COUNT(_xlfn._xlws.FILTER('TERadj'!QE2:QE100, ('TERadj'!QE2:QE100&gt;0))),COUNT(_xlfn._xlws.FILTER('TERadj'!QE2:QE100, ('TERadj'!QE2:QE100&gt;0))),"")</f>
        <v>0</v>
      </c>
      <c r="O9" cm="1">
        <f t="array" ref="O9">IF(COUNT(_xlfn._xlws.FILTER('TERadj'!QF2:QF100, ('TERadj'!QF2:QF100&gt;0))),COUNT(_xlfn._xlws.FILTER('TERadj'!QF2:QF100, ('TERadj'!QF2:QF100&gt;0))),"")</f>
        <v>0</v>
      </c>
      <c r="P9" cm="1">
        <f t="array" ref="P9">IF(COUNT(_xlfn._xlws.FILTER('TERadj'!QG2:QG100, ('TERadj'!QG2:QG100&gt;0))),COUNT(_xlfn._xlws.FILTER('TERadj'!QG2:QG100, ('TERadj'!QG2:QG100&gt;0))),"")</f>
        <v>0</v>
      </c>
    </row>
    <row r="10" spans="1:16">
      <c r="B10" t="s">
        <v>1010</v>
      </c>
      <c r="C10">
        <f>IF(SUMIFS('TERadj'!QH2:QH100,'TERadj'!QH2:QH100,"&gt;0")/1000,SUMIFS('TERadj'!QH2:QH100,'TERadj'!QH2:QH100,"&gt;0")/1000,"")</f>
        <v>0</v>
      </c>
      <c r="D10">
        <f>IF(SUMIFS('TERadj'!QI2:QI100,'TERadj'!QI2:QI100,"&gt;0")/1000,SUMIFS('TERadj'!QI2:QI100,'TERadj'!QI2:QI100,"&gt;0")/1000,"")</f>
        <v>0</v>
      </c>
      <c r="E10">
        <f>IF(SUMIFS('TERadj'!QJ2:QJ100,'TERadj'!QJ2:QJ100,"&gt;0")/1000,SUMIFS('TERadj'!QJ2:QJ100,'TERadj'!QJ2:QJ100,"&gt;0")/1000,"")</f>
        <v>0</v>
      </c>
      <c r="F10">
        <f>IF(SUMIFS('TERadj'!QK2:QK100,'TERadj'!QK2:QK100,"&gt;0")/1000,SUMIFS('TERadj'!QK2:QK100,'TERadj'!QK2:QK100,"&gt;0")/1000,"")</f>
        <v>0</v>
      </c>
      <c r="G10">
        <f>IF(SUMIFS('TERadj'!QL2:QL100,'TERadj'!QL2:QL100,"&gt;0")/1000,SUMIFS('TERadj'!QL2:QL100,'TERadj'!QL2:QL100,"&gt;0")/1000,"")</f>
        <v>0</v>
      </c>
      <c r="H10">
        <f>IF(SUMIFS('TERadj'!QM2:QM100,'TERadj'!QM2:QM100,"&gt;0")/1000,SUMIFS('TERadj'!QM2:QM100,'TERadj'!QM2:QM100,"&gt;0")/1000,"")</f>
        <v>0</v>
      </c>
      <c r="J10" t="s">
        <v>1010</v>
      </c>
      <c r="K10" cm="1">
        <f t="array" ref="K10">IF(COUNT(_xlfn._xlws.FILTER('TERadj'!QH2:QH100, ('TERadj'!QH2:QH100&gt;0))),COUNT(_xlfn._xlws.FILTER('TERadj'!QH2:QH100, ('TERadj'!QH2:QH100&gt;0))),"")</f>
        <v>0</v>
      </c>
      <c r="L10" cm="1">
        <f t="array" ref="L10">IF(COUNT(_xlfn._xlws.FILTER('TERadj'!QI2:QI100, ('TERadj'!QI2:QI100&gt;0))),COUNT(_xlfn._xlws.FILTER('TERadj'!QI2:QI100, ('TERadj'!QI2:QI100&gt;0))),"")</f>
        <v>0</v>
      </c>
      <c r="M10" cm="1">
        <f t="array" ref="M10">IF(COUNT(_xlfn._xlws.FILTER('TERadj'!QJ2:QJ100, ('TERadj'!QJ2:QJ100&gt;0))),COUNT(_xlfn._xlws.FILTER('TERadj'!QJ2:QJ100, ('TERadj'!QJ2:QJ100&gt;0))),"")</f>
        <v>0</v>
      </c>
      <c r="N10" cm="1">
        <f t="array" ref="N10">IF(COUNT(_xlfn._xlws.FILTER('TERadj'!QK2:QK100, ('TERadj'!QK2:QK100&gt;0))),COUNT(_xlfn._xlws.FILTER('TERadj'!QK2:QK100, ('TERadj'!QK2:QK100&gt;0))),"")</f>
        <v>0</v>
      </c>
      <c r="O10" cm="1">
        <f t="array" ref="O10">IF(COUNT(_xlfn._xlws.FILTER('TERadj'!QL2:QL100, ('TERadj'!QL2:QL100&gt;0))),COUNT(_xlfn._xlws.FILTER('TERadj'!QL2:QL100, ('TERadj'!QL2:QL100&gt;0))),"")</f>
        <v>0</v>
      </c>
      <c r="P10" cm="1">
        <f t="array" ref="P10">IF(COUNT(_xlfn._xlws.FILTER('TERadj'!QM2:QM100, ('TERadj'!QM2:QM100&gt;0))),COUNT(_xlfn._xlws.FILTER('TERadj'!QM2:QM100, ('TERadj'!QM2:QM100&gt;0))),"")</f>
        <v>0</v>
      </c>
    </row>
    <row r="11" spans="1:16">
      <c r="B11" t="s">
        <v>894</v>
      </c>
      <c r="C11">
        <f>IF(SUMIFS('TERadj'!QN2:QN100,'TERadj'!QN2:QN100,"&gt;0")/1000,SUMIFS('TERadj'!QN2:QN100,'TERadj'!QN2:QN100,"&gt;0")/1000,"")</f>
        <v>0</v>
      </c>
      <c r="D11">
        <f>IF(SUMIFS('TERadj'!QO2:QO100,'TERadj'!QO2:QO100,"&gt;0")/1000,SUMIFS('TERadj'!QO2:QO100,'TERadj'!QO2:QO100,"&gt;0")/1000,"")</f>
        <v>0</v>
      </c>
      <c r="E11">
        <f>IF(SUMIFS('TERadj'!QP2:QP100,'TERadj'!QP2:QP100,"&gt;0")/1000,SUMIFS('TERadj'!QP2:QP100,'TERadj'!QP2:QP100,"&gt;0")/1000,"")</f>
        <v>0</v>
      </c>
      <c r="F11">
        <f>IF(SUMIFS('TERadj'!QQ2:QQ100,'TERadj'!QQ2:QQ100,"&gt;0")/1000,SUMIFS('TERadj'!QQ2:QQ100,'TERadj'!QQ2:QQ100,"&gt;0")/1000,"")</f>
        <v>0</v>
      </c>
      <c r="G11">
        <f>IF(SUMIFS('TERadj'!QR2:QR100,'TERadj'!QR2:QR100,"&gt;0")/1000,SUMIFS('TERadj'!QR2:QR100,'TERadj'!QR2:QR100,"&gt;0")/1000,"")</f>
        <v>0</v>
      </c>
      <c r="H11">
        <f>IF(SUMIFS('TERadj'!QS2:QS100,'TERadj'!QS2:QS100,"&gt;0")/1000,SUMIFS('TERadj'!QS2:QS100,'TERadj'!QS2:QS100,"&gt;0")/1000,"")</f>
        <v>0</v>
      </c>
      <c r="J11" t="s">
        <v>894</v>
      </c>
      <c r="K11" cm="1">
        <f t="array" ref="K11">IF(COUNT(_xlfn._xlws.FILTER('TERadj'!QN2:QN100, ('TERadj'!QN2:QN100&gt;0))),COUNT(_xlfn._xlws.FILTER('TERadj'!QN2:QN100, ('TERadj'!QN2:QN100&gt;0))),"")</f>
        <v>0</v>
      </c>
      <c r="L11" cm="1">
        <f t="array" ref="L11">IF(COUNT(_xlfn._xlws.FILTER('TERadj'!QO2:QO100, ('TERadj'!QO2:QO100&gt;0))),COUNT(_xlfn._xlws.FILTER('TERadj'!QO2:QO100, ('TERadj'!QO2:QO100&gt;0))),"")</f>
        <v>0</v>
      </c>
      <c r="M11" cm="1">
        <f t="array" ref="M11">IF(COUNT(_xlfn._xlws.FILTER('TERadj'!QP2:QP100, ('TERadj'!QP2:QP100&gt;0))),COUNT(_xlfn._xlws.FILTER('TERadj'!QP2:QP100, ('TERadj'!QP2:QP100&gt;0))),"")</f>
        <v>0</v>
      </c>
      <c r="N11" cm="1">
        <f t="array" ref="N11">IF(COUNT(_xlfn._xlws.FILTER('TERadj'!QQ2:QQ100, ('TERadj'!QQ2:QQ100&gt;0))),COUNT(_xlfn._xlws.FILTER('TERadj'!QQ2:QQ100, ('TERadj'!QQ2:QQ100&gt;0))),"")</f>
        <v>0</v>
      </c>
      <c r="O11" cm="1">
        <f t="array" ref="O11">IF(COUNT(_xlfn._xlws.FILTER('TERadj'!QR2:QR100, ('TERadj'!QR2:QR100&gt;0))),COUNT(_xlfn._xlws.FILTER('TERadj'!QR2:QR100, ('TERadj'!QR2:QR100&gt;0))),"")</f>
        <v>0</v>
      </c>
      <c r="P11" cm="1">
        <f t="array" ref="P11">IF(COUNT(_xlfn._xlws.FILTER('TERadj'!QS2:QS100, ('TERadj'!QS2:QS100&gt;0))),COUNT(_xlfn._xlws.FILTER('TERadj'!QS2:QS100, ('TERadj'!QS2:QS100&gt;0))),"")</f>
        <v>0</v>
      </c>
    </row>
    <row r="13" spans="1:16">
      <c r="B13" t="s">
        <v>915</v>
      </c>
      <c r="C13" t="s">
        <v>933</v>
      </c>
      <c r="D13" t="s">
        <v>934</v>
      </c>
      <c r="E13" t="s">
        <v>935</v>
      </c>
      <c r="F13" t="s">
        <v>878</v>
      </c>
      <c r="G13" t="s">
        <v>936</v>
      </c>
      <c r="H13" t="s">
        <v>881</v>
      </c>
    </row>
    <row r="14" spans="1:16">
      <c r="B14" t="s">
        <v>884</v>
      </c>
      <c r="C14" s="5">
        <f>IF(SUM(K4:K11) &gt; 0, IF(AND(SUM(C4:C11)&gt;0, ISNUMBER(C4)),C4/SUM(C4:C11), ""), "")</f>
        <v>0</v>
      </c>
      <c r="D14" s="5">
        <f>IF(SUM(K4:K11) &gt; 0, IF(AND(SUM(D4:D11)&gt;0, ISNUMBER(D4)),D4/SUM(D4:D11), ""), "")</f>
        <v>0</v>
      </c>
      <c r="E14" s="5">
        <f>IF(SUM(K4:K11) &gt; 0, IF(AND(SUM(E4:E11)&gt;0, ISNUMBER(E4)),E4/SUM(E4:E11), ""), "")</f>
        <v>0</v>
      </c>
      <c r="F14" s="5">
        <f>IF(SUM(K4:K11) &gt; 0, IF(AND(SUM(F4:F11)&gt;0, ISNUMBER(F4)),F4/SUM(F4:F11), ""), "")</f>
        <v>0</v>
      </c>
      <c r="G14" s="5">
        <f>IF(SUM(K4:K11) &gt; 0, IF(AND(SUM(G4:G11)&gt;0, ISNUMBER(G4)),G4/SUM(G4:G11), ""), "")</f>
        <v>0</v>
      </c>
      <c r="H14" s="5">
        <f>IF(SUM(K4:K11) &gt; 0, IF(AND(SUM(H4:H11)&gt;0, ISNUMBER(H4)),H4/SUM(H4:H11), ""), "")</f>
        <v>0</v>
      </c>
    </row>
    <row r="15" spans="1:16">
      <c r="B15" t="s">
        <v>892</v>
      </c>
      <c r="C15" s="5">
        <f>IF(SUM(K4:K11) &gt; 0, IF(AND(SUM(C4:C11)&gt;0, ISNUMBER(C5)),C5/SUM(C4:C11), ""), "")</f>
        <v>0</v>
      </c>
      <c r="D15" s="5">
        <f>IF(SUM(K4:K11) &gt; 0, IF(AND(SUM(D4:D11)&gt;0, ISNUMBER(D5)),D5/SUM(D4:D11), ""), "")</f>
        <v>0</v>
      </c>
      <c r="E15" s="5">
        <f>IF(SUM(K4:K11) &gt; 0, IF(AND(SUM(E4:E11)&gt;0, ISNUMBER(E5)),E5/SUM(E4:E11), ""), "")</f>
        <v>0</v>
      </c>
      <c r="F15" s="5">
        <f>IF(SUM(K4:K11) &gt; 0, IF(AND(SUM(F4:F11)&gt;0, ISNUMBER(F5)),F5/SUM(F4:F11), ""), "")</f>
        <v>0</v>
      </c>
      <c r="G15" s="5">
        <f>IF(SUM(K4:K11) &gt; 0, IF(AND(SUM(G4:G11)&gt;0, ISNUMBER(G5)),G5/SUM(G4:G11), ""), "")</f>
        <v>0</v>
      </c>
      <c r="H15" s="5">
        <f>IF(SUM(K4:K11) &gt; 0, IF(AND(SUM(H4:H11)&gt;0, ISNUMBER(H5)),H5/SUM(H4:H11), ""), "")</f>
        <v>0</v>
      </c>
    </row>
    <row r="16" spans="1:16">
      <c r="B16" t="s">
        <v>880</v>
      </c>
      <c r="C16" s="5">
        <f>IF(SUM(K4:K11) &gt; 0, IF(AND(SUM(C4:C11)&gt;0, ISNUMBER(C6)),C6/SUM(C4:C11), ""), "")</f>
        <v>0</v>
      </c>
      <c r="D16" s="5">
        <f>IF(SUM(K4:K11) &gt; 0, IF(AND(SUM(D4:D11)&gt;0, ISNUMBER(D6)),D6/SUM(D4:D11), ""), "")</f>
        <v>0</v>
      </c>
      <c r="E16" s="5">
        <f>IF(SUM(K4:K11) &gt; 0, IF(AND(SUM(E4:E11)&gt;0, ISNUMBER(E6)),E6/SUM(E4:E11), ""), "")</f>
        <v>0</v>
      </c>
      <c r="F16" s="5">
        <f>IF(SUM(K4:K11) &gt; 0, IF(AND(SUM(F4:F11)&gt;0, ISNUMBER(F6)),F6/SUM(F4:F11), ""), "")</f>
        <v>0</v>
      </c>
      <c r="G16" s="5">
        <f>IF(SUM(K4:K11) &gt; 0, IF(AND(SUM(G4:G11)&gt;0, ISNUMBER(G6)),G6/SUM(G4:G11), ""), "")</f>
        <v>0</v>
      </c>
      <c r="H16" s="5">
        <f>IF(SUM(K4:K11) &gt; 0, IF(AND(SUM(H4:H11)&gt;0, ISNUMBER(H6)),H6/SUM(H4:H11), ""), "")</f>
        <v>0</v>
      </c>
    </row>
    <row r="17" spans="2:8">
      <c r="B17" t="s">
        <v>890</v>
      </c>
      <c r="C17" s="5">
        <f>IF(SUM(K4:K11) &gt; 0, IF(AND(SUM(C4:C11)&gt;0, ISNUMBER(C7)),C7/SUM(C4:C11), ""), "")</f>
        <v>0</v>
      </c>
      <c r="D17" s="5">
        <f>IF(SUM(K4:K11) &gt; 0, IF(AND(SUM(D4:D11)&gt;0, ISNUMBER(D7)),D7/SUM(D4:D11), ""), "")</f>
        <v>0</v>
      </c>
      <c r="E17" s="5">
        <f>IF(SUM(K4:K11) &gt; 0, IF(AND(SUM(E4:E11)&gt;0, ISNUMBER(E7)),E7/SUM(E4:E11), ""), "")</f>
        <v>0</v>
      </c>
      <c r="F17" s="5">
        <f>IF(SUM(K4:K11) &gt; 0, IF(AND(SUM(F4:F11)&gt;0, ISNUMBER(F7)),F7/SUM(F4:F11), ""), "")</f>
        <v>0</v>
      </c>
      <c r="G17" s="5">
        <f>IF(SUM(K4:K11) &gt; 0, IF(AND(SUM(G4:G11)&gt;0, ISNUMBER(G7)),G7/SUM(G4:G11), ""), "")</f>
        <v>0</v>
      </c>
      <c r="H17" s="5">
        <f>IF(SUM(K4:K11) &gt; 0, IF(AND(SUM(H4:H11)&gt;0, ISNUMBER(H7)),H7/SUM(H4:H11), ""), "")</f>
        <v>0</v>
      </c>
    </row>
    <row r="18" spans="2:8">
      <c r="B18" t="s">
        <v>1009</v>
      </c>
      <c r="C18" s="5">
        <f>IF(SUM(K4:K11) &gt; 0, IF(AND(SUM(C4:C11)&gt;0, ISNUMBER(C8)),C8/SUM(C4:C11), ""), "")</f>
        <v>0</v>
      </c>
      <c r="D18" s="5">
        <f>IF(SUM(K4:K11) &gt; 0, IF(AND(SUM(D4:D11)&gt;0, ISNUMBER(D8)),D8/SUM(D4:D11), ""), "")</f>
        <v>0</v>
      </c>
      <c r="E18" s="5">
        <f>IF(SUM(K4:K11) &gt; 0, IF(AND(SUM(E4:E11)&gt;0, ISNUMBER(E8)),E8/SUM(E4:E11), ""), "")</f>
        <v>0</v>
      </c>
      <c r="F18" s="5">
        <f>IF(SUM(K4:K11) &gt; 0, IF(AND(SUM(F4:F11)&gt;0, ISNUMBER(F8)),F8/SUM(F4:F11), ""), "")</f>
        <v>0</v>
      </c>
      <c r="G18" s="5">
        <f>IF(SUM(K4:K11) &gt; 0, IF(AND(SUM(G4:G11)&gt;0, ISNUMBER(G8)),G8/SUM(G4:G11), ""), "")</f>
        <v>0</v>
      </c>
      <c r="H18" s="5">
        <f>IF(SUM(K4:K11) &gt; 0, IF(AND(SUM(H4:H11)&gt;0, ISNUMBER(H8)),H8/SUM(H4:H11), ""), "")</f>
        <v>0</v>
      </c>
    </row>
    <row r="19" spans="2:8">
      <c r="B19" t="s">
        <v>936</v>
      </c>
      <c r="C19" s="5">
        <f>IF(SUM(K4:K11) &gt; 0, IF(AND(SUM(C4:C11)&gt;0, ISNUMBER(C9)),C9/SUM(C4:C11), ""), "")</f>
        <v>0</v>
      </c>
      <c r="D19" s="5">
        <f>IF(SUM(K4:K11) &gt; 0, IF(AND(SUM(D4:D11)&gt;0, ISNUMBER(D9)),D9/SUM(D4:D11), ""), "")</f>
        <v>0</v>
      </c>
      <c r="E19" s="5">
        <f>IF(SUM(K4:K11) &gt; 0, IF(AND(SUM(E4:E11)&gt;0, ISNUMBER(E9)),E9/SUM(E4:E11), ""), "")</f>
        <v>0</v>
      </c>
      <c r="F19" s="5">
        <f>IF(SUM(K4:K11) &gt; 0, IF(AND(SUM(F4:F11)&gt;0, ISNUMBER(F9)),F9/SUM(F4:F11), ""), "")</f>
        <v>0</v>
      </c>
      <c r="G19" s="5">
        <f>IF(SUM(K4:K11) &gt; 0, IF(AND(SUM(G4:G11)&gt;0, ISNUMBER(G9)),G9/SUM(G4:G11), ""), "")</f>
        <v>0</v>
      </c>
      <c r="H19" s="5">
        <f>IF(SUM(K4:K11) &gt; 0, IF(AND(SUM(H4:H11)&gt;0, ISNUMBER(H9)),H9/SUM(H4:H11), ""), "")</f>
        <v>0</v>
      </c>
    </row>
    <row r="20" spans="2:8">
      <c r="B20" t="s">
        <v>1010</v>
      </c>
      <c r="C20" s="5">
        <f>IF(SUM(K4:K11) &gt; 0, IF(AND(SUM(C4:C11)&gt;0, ISNUMBER(C10)),C10/SUM(C4:C11), ""), "")</f>
        <v>0</v>
      </c>
      <c r="D20" s="5">
        <f>IF(SUM(K4:K11) &gt; 0, IF(AND(SUM(D4:D11)&gt;0, ISNUMBER(D10)),D10/SUM(D4:D11), ""), "")</f>
        <v>0</v>
      </c>
      <c r="E20" s="5">
        <f>IF(SUM(K4:K11) &gt; 0, IF(AND(SUM(E4:E11)&gt;0, ISNUMBER(E10)),E10/SUM(E4:E11), ""), "")</f>
        <v>0</v>
      </c>
      <c r="F20" s="5">
        <f>IF(SUM(K4:K11) &gt; 0, IF(AND(SUM(F4:F11)&gt;0, ISNUMBER(F10)),F10/SUM(F4:F11), ""), "")</f>
        <v>0</v>
      </c>
      <c r="G20" s="5">
        <f>IF(SUM(K4:K11) &gt; 0, IF(AND(SUM(G4:G11)&gt;0, ISNUMBER(G10)),G10/SUM(G4:G11), ""), "")</f>
        <v>0</v>
      </c>
      <c r="H20" s="5">
        <f>IF(SUM(K4:K11) &gt; 0, IF(AND(SUM(H4:H11)&gt;0, ISNUMBER(H10)),H10/SUM(H4:H11), ""), "")</f>
        <v>0</v>
      </c>
    </row>
    <row r="21" spans="2:8">
      <c r="B21" t="s">
        <v>894</v>
      </c>
      <c r="C21" s="5">
        <f>IF(SUM(K4:K11) &gt; 0, IF(AND(SUM(C4:C11)&gt;0, ISNUMBER(C11)),C11/SUM(C4:C11), ""), "")</f>
        <v>0</v>
      </c>
      <c r="D21" s="5">
        <f>IF(SUM(K4:K11) &gt; 0, IF(AND(SUM(D4:D11)&gt;0, ISNUMBER(D11)),D11/SUM(D4:D11), ""), "")</f>
        <v>0</v>
      </c>
      <c r="E21" s="5">
        <f>IF(SUM(K4:K11) &gt; 0, IF(AND(SUM(E4:E11)&gt;0, ISNUMBER(E11)),E11/SUM(E4:E11), ""), "")</f>
        <v>0</v>
      </c>
      <c r="F21" s="5">
        <f>IF(SUM(K4:K11) &gt; 0, IF(AND(SUM(F4:F11)&gt;0, ISNUMBER(F11)),F11/SUM(F4:F11), ""), "")</f>
        <v>0</v>
      </c>
      <c r="G21" s="5">
        <f>IF(SUM(K4:K11) &gt; 0, IF(AND(SUM(G4:G11)&gt;0, ISNUMBER(G11)),G11/SUM(G4:G11), ""), "")</f>
        <v>0</v>
      </c>
      <c r="H21" s="5">
        <f>IF(SUM(K4:K11) &gt; 0, IF(AND(SUM(H4:H11)&gt;0, ISNUMBER(H11)),H11/SUM(H4:H11), ""), "")</f>
        <v>0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rgb="FF0033A0"/>
  </sheetPr>
  <dimension ref="A1:AB19"/>
  <sheetViews>
    <sheetView workbookViewId="0"/>
  </sheetViews>
  <sheetFormatPr defaultRowHeight="15"/>
  <sheetData>
    <row r="1" spans="1:28" s="3" customFormat="1" ht="40" customHeight="1">
      <c r="A1" s="3" t="s">
        <v>1071</v>
      </c>
    </row>
    <row r="3" spans="1:28">
      <c r="B3" t="s">
        <v>915</v>
      </c>
      <c r="C3" t="s">
        <v>1027</v>
      </c>
      <c r="D3" t="s">
        <v>1028</v>
      </c>
      <c r="E3" t="s">
        <v>1029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894</v>
      </c>
      <c r="L3" t="s">
        <v>1035</v>
      </c>
      <c r="M3" t="s">
        <v>1036</v>
      </c>
      <c r="N3" t="s">
        <v>1037</v>
      </c>
      <c r="P3" t="s">
        <v>915</v>
      </c>
      <c r="Q3" t="s">
        <v>1038</v>
      </c>
      <c r="R3" t="s">
        <v>1039</v>
      </c>
      <c r="S3" t="s">
        <v>1040</v>
      </c>
      <c r="T3" t="s">
        <v>1041</v>
      </c>
      <c r="U3" t="s">
        <v>1042</v>
      </c>
      <c r="V3" t="s">
        <v>1072</v>
      </c>
      <c r="W3" t="s">
        <v>1044</v>
      </c>
      <c r="X3" t="s">
        <v>1045</v>
      </c>
      <c r="Y3" t="s">
        <v>1046</v>
      </c>
      <c r="Z3" t="s">
        <v>1047</v>
      </c>
      <c r="AA3" t="s">
        <v>1048</v>
      </c>
      <c r="AB3" t="s">
        <v>1049</v>
      </c>
    </row>
    <row r="4" spans="1:28">
      <c r="B4" t="s">
        <v>933</v>
      </c>
      <c r="C4">
        <f>IF(SUMIFS('TERadj'!QT2:QT100,'TERadj'!QT2:QT100,"&gt;0")/1000,SUMIFS('TERadj'!QT2:QT100,'TERadj'!QT2:QT100,"&gt;0")/1000,"")</f>
        <v>0</v>
      </c>
      <c r="D4">
        <f>IF(SUMIFS('TERadj'!QU2:QU100,'TERadj'!QU2:QU100,"&gt;0")/1000,SUMIFS('TERadj'!QU2:QU100,'TERadj'!QU2:QU100,"&gt;0")/1000,"")</f>
        <v>0</v>
      </c>
      <c r="E4">
        <f>IF(SUMIFS('TERadj'!QV2:QV100,'TERadj'!QV2:QV100,"&gt;0")/1000,SUMIFS('TERadj'!QV2:QV100,'TERadj'!QV2:QV100,"&gt;0")/1000,"")</f>
        <v>0</v>
      </c>
      <c r="F4">
        <f>IF(SUMIFS('TERadj'!QW2:QW100,'TERadj'!QW2:QW100,"&gt;0")/1000,SUMIFS('TERadj'!QW2:QW100,'TERadj'!QW2:QW100,"&gt;0")/1000,"")</f>
        <v>0</v>
      </c>
      <c r="G4">
        <f>IF(SUMIFS('TERadj'!QX2:QX100,'TERadj'!QX2:QX100,"&gt;0")/1000,SUMIFS('TERadj'!QX2:QX100,'TERadj'!QX2:QX100,"&gt;0")/1000,"")</f>
        <v>0</v>
      </c>
      <c r="H4">
        <f>IF(SUMIFS('TERadj'!QY2:QY100,'TERadj'!QY2:QY100,"&gt;0")/1000,SUMIFS('TERadj'!QY2:QY100,'TERadj'!QY2:QY100,"&gt;0")/1000,"")</f>
        <v>0</v>
      </c>
      <c r="I4">
        <f>IF(SUMIFS('TERadj'!QZ2:QZ100,'TERadj'!QZ2:QZ100,"&gt;0")/1000,SUMIFS('TERadj'!QZ2:QZ100,'TERadj'!QZ2:QZ100,"&gt;0")/1000,"")</f>
        <v>0</v>
      </c>
      <c r="K4">
        <f>IF(SUMIFS('TERadj'!RA2:RA100,'TERadj'!RA2:RA100,"&gt;0")/1000,SUMIFS('TERadj'!RA2:RA100,'TERadj'!RA2:RA100,"&gt;0")/1000,"")</f>
        <v>0</v>
      </c>
      <c r="L4">
        <f>IF(SUMIFS('TERadj'!RB2:RB100,'TERadj'!RB2:RB100,"&gt;0")/1000,SUMIFS('TERadj'!RB2:RB100,'TERadj'!RB2:RB100,"&gt;0")/1000,"")</f>
        <v>0</v>
      </c>
      <c r="M4">
        <f>IF(SUMIFS('TERadj'!RC2:RC100,'TERadj'!RC2:RC100,"&gt;0")/1000,SUMIFS('TERadj'!RC2:RC100,'TERadj'!RC2:RC100,"&gt;0")/1000,"")</f>
        <v>0</v>
      </c>
      <c r="N4">
        <f>IF(SUMIFS('TERadj'!RD2:RD100,'TERadj'!RD2:RD100,"&gt;0")/1000,SUMIFS('TERadj'!RD2:RD100,'TERadj'!RD2:RD100,"&gt;0")/1000,"")</f>
        <v>0</v>
      </c>
      <c r="P4" t="s">
        <v>933</v>
      </c>
      <c r="Q4" cm="1">
        <f t="array" ref="Q4">IF(COUNT(_xlfn._xlws.FILTER('TERadj'!QT2:QT100, ('TERadj'!QT2:QT100&gt;0))),COUNT(_xlfn._xlws.FILTER('TERadj'!QT2:QT100, ('TERadj'!QT2:QT100&gt;0))),"")</f>
        <v>0</v>
      </c>
      <c r="R4" cm="1">
        <f t="array" ref="R4">IF(COUNT(_xlfn._xlws.FILTER('TERadj'!QU2:QU100, ('TERadj'!QU2:QU100&gt;0))),COUNT(_xlfn._xlws.FILTER('TERadj'!QU2:QU100, ('TERadj'!QU2:QU100&gt;0))),"")</f>
        <v>0</v>
      </c>
      <c r="S4" cm="1">
        <f t="array" ref="S4">IF(COUNT(_xlfn._xlws.FILTER('TERadj'!QV2:QV100, ('TERadj'!QV2:QV100&gt;0))),COUNT(_xlfn._xlws.FILTER('TERadj'!QV2:QV100, ('TERadj'!QV2:QV100&gt;0))),"")</f>
        <v>0</v>
      </c>
      <c r="T4" cm="1">
        <f t="array" ref="T4">IF(COUNT(_xlfn._xlws.FILTER('TERadj'!QW2:QW100, ('TERadj'!QW2:QW100&gt;0))),COUNT(_xlfn._xlws.FILTER('TERadj'!QW2:QW100, ('TERadj'!QW2:QW100&gt;0))),"")</f>
        <v>0</v>
      </c>
      <c r="U4" cm="1">
        <f t="array" ref="U4">IF(COUNT(_xlfn._xlws.FILTER('TERadj'!QX2:QX100, ('TERadj'!QX2:QX100&gt;0))),COUNT(_xlfn._xlws.FILTER('TERadj'!QX2:QX100, ('TERadj'!QX2:QX100&gt;0))),"")</f>
        <v>0</v>
      </c>
      <c r="V4" cm="1">
        <f t="array" ref="V4">IF(COUNT(_xlfn._xlws.FILTER('TERadj'!QY2:QY100, ('TERadj'!QY2:QY100&gt;0))),COUNT(_xlfn._xlws.FILTER('TERadj'!QY2:QY100, ('TERadj'!QY2:QY100&gt;0))),"")</f>
        <v>0</v>
      </c>
      <c r="W4" cm="1">
        <f t="array" ref="W4">IF(COUNT(_xlfn._xlws.FILTER('TERadj'!QZ2:QZ100, ('TERadj'!QZ2:QZ100&gt;0))),COUNT(_xlfn._xlws.FILTER('TERadj'!QZ2:QZ100, ('TERadj'!QZ2:QZ100&gt;0))),"")</f>
        <v>0</v>
      </c>
      <c r="Y4" cm="1">
        <f t="array" ref="Y4">IF(COUNT(_xlfn._xlws.FILTER('TERadj'!RA2:RA100, ('TERadj'!RA2:RA100&gt;0))),COUNT(_xlfn._xlws.FILTER('TERadj'!RA2:RA100, ('TERadj'!RA2:RA100&gt;0))),"")</f>
        <v>0</v>
      </c>
      <c r="Z4" cm="1">
        <f t="array" ref="Z4">IF(COUNT(_xlfn._xlws.FILTER('TERadj'!RB2:RB100, ('TERadj'!RB2:RB100&gt;0))),COUNT(_xlfn._xlws.FILTER('TERadj'!RB2:RB100, ('TERadj'!RB2:RB100&gt;0))),"")</f>
        <v>0</v>
      </c>
      <c r="AA4" cm="1">
        <f t="array" ref="AA4">IF(COUNT(_xlfn._xlws.FILTER('TERadj'!RC2:RC100, ('TERadj'!RC2:RC100&gt;0))),COUNT(_xlfn._xlws.FILTER('TERadj'!RC2:RC100, ('TERadj'!RC2:RC100&gt;0))),"")</f>
        <v>0</v>
      </c>
      <c r="AB4" cm="1">
        <f t="array" ref="AB4">IF(COUNT(_xlfn._xlws.FILTER('TERadj'!RD2:RD100, ('TERadj'!RD2:RD100&gt;0))),COUNT(_xlfn._xlws.FILTER('TERadj'!RD2:RD100, ('TERadj'!RD2:RD100&gt;0))),"")</f>
        <v>0</v>
      </c>
    </row>
    <row r="5" spans="1:28">
      <c r="B5" t="s">
        <v>934</v>
      </c>
      <c r="C5">
        <f>IF(SUMIFS('TERadj'!RE2:RE100,'TERadj'!RE2:RE100,"&gt;0")/1000,SUMIFS('TERadj'!RE2:RE100,'TERadj'!RE2:RE100,"&gt;0")/1000,"")</f>
        <v>0</v>
      </c>
      <c r="D5">
        <f>IF(SUMIFS('TERadj'!RF2:RF100,'TERadj'!RF2:RF100,"&gt;0")/1000,SUMIFS('TERadj'!RF2:RF100,'TERadj'!RF2:RF100,"&gt;0")/1000,"")</f>
        <v>0</v>
      </c>
      <c r="E5">
        <f>IF(SUMIFS('TERadj'!RG2:RG100,'TERadj'!RG2:RG100,"&gt;0")/1000,SUMIFS('TERadj'!RG2:RG100,'TERadj'!RG2:RG100,"&gt;0")/1000,"")</f>
        <v>0</v>
      </c>
      <c r="F5">
        <f>IF(SUMIFS('TERadj'!RH2:RH100,'TERadj'!RH2:RH100,"&gt;0")/1000,SUMIFS('TERadj'!RH2:RH100,'TERadj'!RH2:RH100,"&gt;0")/1000,"")</f>
        <v>0</v>
      </c>
      <c r="G5">
        <f>IF(SUMIFS('TERadj'!RI2:RI100,'TERadj'!RI2:RI100,"&gt;0")/1000,SUMIFS('TERadj'!RI2:RI100,'TERadj'!RI2:RI100,"&gt;0")/1000,"")</f>
        <v>0</v>
      </c>
      <c r="H5">
        <f>IF(SUMIFS('TERadj'!RJ2:RJ100,'TERadj'!RJ2:RJ100,"&gt;0")/1000,SUMIFS('TERadj'!RJ2:RJ100,'TERadj'!RJ2:RJ100,"&gt;0")/1000,"")</f>
        <v>0</v>
      </c>
      <c r="I5">
        <f>IF(SUMIFS('TERadj'!RK2:RK100,'TERadj'!RK2:RK100,"&gt;0")/1000,SUMIFS('TERadj'!RK2:RK100,'TERadj'!RK2:RK100,"&gt;0")/1000,"")</f>
        <v>0</v>
      </c>
      <c r="K5">
        <f>IF(SUMIFS('TERadj'!RL2:RL100,'TERadj'!RL2:RL100,"&gt;0")/1000,SUMIFS('TERadj'!RL2:RL100,'TERadj'!RL2:RL100,"&gt;0")/1000,"")</f>
        <v>0</v>
      </c>
      <c r="L5">
        <f>IF(SUMIFS('TERadj'!RM2:RM100,'TERadj'!RM2:RM100,"&gt;0")/1000,SUMIFS('TERadj'!RM2:RM100,'TERadj'!RM2:RM100,"&gt;0")/1000,"")</f>
        <v>0</v>
      </c>
      <c r="M5">
        <f>IF(SUMIFS('TERadj'!RN2:RN100,'TERadj'!RN2:RN100,"&gt;0")/1000,SUMIFS('TERadj'!RN2:RN100,'TERadj'!RN2:RN100,"&gt;0")/1000,"")</f>
        <v>0</v>
      </c>
      <c r="N5">
        <f>IF(SUMIFS('TERadj'!RO2:RO100,'TERadj'!RO2:RO100,"&gt;0")/1000,SUMIFS('TERadj'!RO2:RO100,'TERadj'!RO2:RO100,"&gt;0")/1000,"")</f>
        <v>0</v>
      </c>
      <c r="P5" t="s">
        <v>934</v>
      </c>
      <c r="Q5" cm="1">
        <f t="array" ref="Q5">IF(COUNT(_xlfn._xlws.FILTER('TERadj'!RE2:RE100, ('TERadj'!RE2:RE100&gt;0))),COUNT(_xlfn._xlws.FILTER('TERadj'!RE2:RE100, ('TERadj'!RE2:RE100&gt;0))),"")</f>
        <v>0</v>
      </c>
      <c r="R5" cm="1">
        <f t="array" ref="R5">IF(COUNT(_xlfn._xlws.FILTER('TERadj'!RF2:RF100, ('TERadj'!RF2:RF100&gt;0))),COUNT(_xlfn._xlws.FILTER('TERadj'!RF2:RF100, ('TERadj'!RF2:RF100&gt;0))),"")</f>
        <v>0</v>
      </c>
      <c r="S5" cm="1">
        <f t="array" ref="S5">IF(COUNT(_xlfn._xlws.FILTER('TERadj'!RG2:RG100, ('TERadj'!RG2:RG100&gt;0))),COUNT(_xlfn._xlws.FILTER('TERadj'!RG2:RG100, ('TERadj'!RG2:RG100&gt;0))),"")</f>
        <v>0</v>
      </c>
      <c r="T5" cm="1">
        <f t="array" ref="T5">IF(COUNT(_xlfn._xlws.FILTER('TERadj'!RH2:RH100, ('TERadj'!RH2:RH100&gt;0))),COUNT(_xlfn._xlws.FILTER('TERadj'!RH2:RH100, ('TERadj'!RH2:RH100&gt;0))),"")</f>
        <v>0</v>
      </c>
      <c r="U5" cm="1">
        <f t="array" ref="U5">IF(COUNT(_xlfn._xlws.FILTER('TERadj'!RI2:RI100, ('TERadj'!RI2:RI100&gt;0))),COUNT(_xlfn._xlws.FILTER('TERadj'!RI2:RI100, ('TERadj'!RI2:RI100&gt;0))),"")</f>
        <v>0</v>
      </c>
      <c r="V5" cm="1">
        <f t="array" ref="V5">IF(COUNT(_xlfn._xlws.FILTER('TERadj'!RJ2:RJ100, ('TERadj'!RJ2:RJ100&gt;0))),COUNT(_xlfn._xlws.FILTER('TERadj'!RJ2:RJ100, ('TERadj'!RJ2:RJ100&gt;0))),"")</f>
        <v>0</v>
      </c>
      <c r="W5" cm="1">
        <f t="array" ref="W5">IF(COUNT(_xlfn._xlws.FILTER('TERadj'!RK2:RK100, ('TERadj'!RK2:RK100&gt;0))),COUNT(_xlfn._xlws.FILTER('TERadj'!RK2:RK100, ('TERadj'!RK2:RK100&gt;0))),"")</f>
        <v>0</v>
      </c>
      <c r="Y5" cm="1">
        <f t="array" ref="Y5">IF(COUNT(_xlfn._xlws.FILTER('TERadj'!RL2:RL100, ('TERadj'!RL2:RL100&gt;0))),COUNT(_xlfn._xlws.FILTER('TERadj'!RL2:RL100, ('TERadj'!RL2:RL100&gt;0))),"")</f>
        <v>0</v>
      </c>
      <c r="Z5" cm="1">
        <f t="array" ref="Z5">IF(COUNT(_xlfn._xlws.FILTER('TERadj'!RM2:RM100, ('TERadj'!RM2:RM100&gt;0))),COUNT(_xlfn._xlws.FILTER('TERadj'!RM2:RM100, ('TERadj'!RM2:RM100&gt;0))),"")</f>
        <v>0</v>
      </c>
      <c r="AA5" cm="1">
        <f t="array" ref="AA5">IF(COUNT(_xlfn._xlws.FILTER('TERadj'!RN2:RN100, ('TERadj'!RN2:RN100&gt;0))),COUNT(_xlfn._xlws.FILTER('TERadj'!RN2:RN100, ('TERadj'!RN2:RN100&gt;0))),"")</f>
        <v>0</v>
      </c>
      <c r="AB5" cm="1">
        <f t="array" ref="AB5">IF(COUNT(_xlfn._xlws.FILTER('TERadj'!RO2:RO100, ('TERadj'!RO2:RO100&gt;0))),COUNT(_xlfn._xlws.FILTER('TERadj'!RO2:RO100, ('TERadj'!RO2:RO100&gt;0))),"")</f>
        <v>0</v>
      </c>
    </row>
    <row r="6" spans="1:28">
      <c r="B6" t="s">
        <v>935</v>
      </c>
      <c r="C6">
        <f>IF(SUMIFS('TERadj'!RP2:RP100,'TERadj'!RP2:RP100,"&gt;0")/1000,SUMIFS('TERadj'!RP2:RP100,'TERadj'!RP2:RP100,"&gt;0")/1000,"")</f>
        <v>0</v>
      </c>
      <c r="D6">
        <f>IF(SUMIFS('TERadj'!RQ2:RQ100,'TERadj'!RQ2:RQ100,"&gt;0")/1000,SUMIFS('TERadj'!RQ2:RQ100,'TERadj'!RQ2:RQ100,"&gt;0")/1000,"")</f>
        <v>0</v>
      </c>
      <c r="E6">
        <f>IF(SUMIFS('TERadj'!RR2:RR100,'TERadj'!RR2:RR100,"&gt;0")/1000,SUMIFS('TERadj'!RR2:RR100,'TERadj'!RR2:RR100,"&gt;0")/1000,"")</f>
        <v>0</v>
      </c>
      <c r="F6">
        <f>IF(SUMIFS('TERadj'!RS2:RS100,'TERadj'!RS2:RS100,"&gt;0")/1000,SUMIFS('TERadj'!RS2:RS100,'TERadj'!RS2:RS100,"&gt;0")/1000,"")</f>
        <v>0</v>
      </c>
      <c r="G6">
        <f>IF(SUMIFS('TERadj'!RT2:RT100,'TERadj'!RT2:RT100,"&gt;0")/1000,SUMIFS('TERadj'!RT2:RT100,'TERadj'!RT2:RT100,"&gt;0")/1000,"")</f>
        <v>0</v>
      </c>
      <c r="H6">
        <f>IF(SUMIFS('TERadj'!RU2:RU100,'TERadj'!RU2:RU100,"&gt;0")/1000,SUMIFS('TERadj'!RU2:RU100,'TERadj'!RU2:RU100,"&gt;0")/1000,"")</f>
        <v>0</v>
      </c>
      <c r="I6">
        <f>IF(SUMIFS('TERadj'!RV2:RV100,'TERadj'!RV2:RV100,"&gt;0")/1000,SUMIFS('TERadj'!RV2:RV100,'TERadj'!RV2:RV100,"&gt;0")/1000,"")</f>
        <v>0</v>
      </c>
      <c r="K6">
        <f>IF(SUMIFS('TERadj'!RW2:RW100,'TERadj'!RW2:RW100,"&gt;0")/1000,SUMIFS('TERadj'!RW2:RW100,'TERadj'!RW2:RW100,"&gt;0")/1000,"")</f>
        <v>0</v>
      </c>
      <c r="L6">
        <f>IF(SUMIFS('TERadj'!RX2:RX100,'TERadj'!RX2:RX100,"&gt;0")/1000,SUMIFS('TERadj'!RX2:RX100,'TERadj'!RX2:RX100,"&gt;0")/1000,"")</f>
        <v>0</v>
      </c>
      <c r="M6">
        <f>IF(SUMIFS('TERadj'!RY2:RY100,'TERadj'!RY2:RY100,"&gt;0")/1000,SUMIFS('TERadj'!RY2:RY100,'TERadj'!RY2:RY100,"&gt;0")/1000,"")</f>
        <v>0</v>
      </c>
      <c r="N6">
        <f>IF(SUMIFS('TERadj'!RZ2:RZ100,'TERadj'!RZ2:RZ100,"&gt;0")/1000,SUMIFS('TERadj'!RZ2:RZ100,'TERadj'!RZ2:RZ100,"&gt;0")/1000,"")</f>
        <v>0</v>
      </c>
      <c r="P6" t="s">
        <v>935</v>
      </c>
      <c r="Q6" cm="1">
        <f t="array" ref="Q6">IF(COUNT(_xlfn._xlws.FILTER('TERadj'!RP2:RP100, ('TERadj'!RP2:RP100&gt;0))),COUNT(_xlfn._xlws.FILTER('TERadj'!RP2:RP100, ('TERadj'!RP2:RP100&gt;0))),"")</f>
        <v>0</v>
      </c>
      <c r="R6" cm="1">
        <f t="array" ref="R6">IF(COUNT(_xlfn._xlws.FILTER('TERadj'!RQ2:RQ100, ('TERadj'!RQ2:RQ100&gt;0))),COUNT(_xlfn._xlws.FILTER('TERadj'!RQ2:RQ100, ('TERadj'!RQ2:RQ100&gt;0))),"")</f>
        <v>0</v>
      </c>
      <c r="S6" cm="1">
        <f t="array" ref="S6">IF(COUNT(_xlfn._xlws.FILTER('TERadj'!RR2:RR100, ('TERadj'!RR2:RR100&gt;0))),COUNT(_xlfn._xlws.FILTER('TERadj'!RR2:RR100, ('TERadj'!RR2:RR100&gt;0))),"")</f>
        <v>0</v>
      </c>
      <c r="T6" cm="1">
        <f t="array" ref="T6">IF(COUNT(_xlfn._xlws.FILTER('TERadj'!RS2:RS100, ('TERadj'!RS2:RS100&gt;0))),COUNT(_xlfn._xlws.FILTER('TERadj'!RS2:RS100, ('TERadj'!RS2:RS100&gt;0))),"")</f>
        <v>0</v>
      </c>
      <c r="U6" cm="1">
        <f t="array" ref="U6">IF(COUNT(_xlfn._xlws.FILTER('TERadj'!RT2:RT100, ('TERadj'!RT2:RT100&gt;0))),COUNT(_xlfn._xlws.FILTER('TERadj'!RT2:RT100, ('TERadj'!RT2:RT100&gt;0))),"")</f>
        <v>0</v>
      </c>
      <c r="V6" cm="1">
        <f t="array" ref="V6">IF(COUNT(_xlfn._xlws.FILTER('TERadj'!RU2:RU100, ('TERadj'!RU2:RU100&gt;0))),COUNT(_xlfn._xlws.FILTER('TERadj'!RU2:RU100, ('TERadj'!RU2:RU100&gt;0))),"")</f>
        <v>0</v>
      </c>
      <c r="W6" cm="1">
        <f t="array" ref="W6">IF(COUNT(_xlfn._xlws.FILTER('TERadj'!RV2:RV100, ('TERadj'!RV2:RV100&gt;0))),COUNT(_xlfn._xlws.FILTER('TERadj'!RV2:RV100, ('TERadj'!RV2:RV100&gt;0))),"")</f>
        <v>0</v>
      </c>
      <c r="Y6" cm="1">
        <f t="array" ref="Y6">IF(COUNT(_xlfn._xlws.FILTER('TERadj'!RW2:RW100, ('TERadj'!RW2:RW100&gt;0))),COUNT(_xlfn._xlws.FILTER('TERadj'!RW2:RW100, ('TERadj'!RW2:RW100&gt;0))),"")</f>
        <v>0</v>
      </c>
      <c r="Z6" cm="1">
        <f t="array" ref="Z6">IF(COUNT(_xlfn._xlws.FILTER('TERadj'!RX2:RX100, ('TERadj'!RX2:RX100&gt;0))),COUNT(_xlfn._xlws.FILTER('TERadj'!RX2:RX100, ('TERadj'!RX2:RX100&gt;0))),"")</f>
        <v>0</v>
      </c>
      <c r="AA6" cm="1">
        <f t="array" ref="AA6">IF(COUNT(_xlfn._xlws.FILTER('TERadj'!RY2:RY100, ('TERadj'!RY2:RY100&gt;0))),COUNT(_xlfn._xlws.FILTER('TERadj'!RY2:RY100, ('TERadj'!RY2:RY100&gt;0))),"")</f>
        <v>0</v>
      </c>
      <c r="AB6" cm="1">
        <f t="array" ref="AB6">IF(COUNT(_xlfn._xlws.FILTER('TERadj'!RZ2:RZ100, ('TERadj'!RZ2:RZ100&gt;0))),COUNT(_xlfn._xlws.FILTER('TERadj'!RZ2:RZ100, ('TERadj'!RZ2:RZ100&gt;0))),"")</f>
        <v>0</v>
      </c>
    </row>
    <row r="7" spans="1:28">
      <c r="B7" t="s">
        <v>878</v>
      </c>
      <c r="C7">
        <f>IF(SUMIFS('TERadj'!SA2:SA100,'TERadj'!SA2:SA100,"&gt;0")/1000,SUMIFS('TERadj'!SA2:SA100,'TERadj'!SA2:SA100,"&gt;0")/1000,"")</f>
        <v>0</v>
      </c>
      <c r="D7">
        <f>IF(SUMIFS('TERadj'!SB2:SB100,'TERadj'!SB2:SB100,"&gt;0")/1000,SUMIFS('TERadj'!SB2:SB100,'TERadj'!SB2:SB100,"&gt;0")/1000,"")</f>
        <v>0</v>
      </c>
      <c r="E7">
        <f>IF(SUMIFS('TERadj'!SC2:SC100,'TERadj'!SC2:SC100,"&gt;0")/1000,SUMIFS('TERadj'!SC2:SC100,'TERadj'!SC2:SC100,"&gt;0")/1000,"")</f>
        <v>0</v>
      </c>
      <c r="F7">
        <f>IF(SUMIFS('TERadj'!SD2:SD100,'TERadj'!SD2:SD100,"&gt;0")/1000,SUMIFS('TERadj'!SD2:SD100,'TERadj'!SD2:SD100,"&gt;0")/1000,"")</f>
        <v>0</v>
      </c>
      <c r="G7">
        <f>IF(SUMIFS('TERadj'!SE2:SE100,'TERadj'!SE2:SE100,"&gt;0")/1000,SUMIFS('TERadj'!SE2:SE100,'TERadj'!SE2:SE100,"&gt;0")/1000,"")</f>
        <v>0</v>
      </c>
      <c r="H7">
        <f>IF(SUMIFS('TERadj'!SF2:SF100,'TERadj'!SF2:SF100,"&gt;0")/1000,SUMIFS('TERadj'!SF2:SF100,'TERadj'!SF2:SF100,"&gt;0")/1000,"")</f>
        <v>0</v>
      </c>
      <c r="I7">
        <f>IF(SUMIFS('TERadj'!SG2:SG100,'TERadj'!SG2:SG100,"&gt;0")/1000,SUMIFS('TERadj'!SG2:SG100,'TERadj'!SG2:SG100,"&gt;0")/1000,"")</f>
        <v>0</v>
      </c>
      <c r="K7">
        <f>IF(SUMIFS('TERadj'!SH2:SH100,'TERadj'!SH2:SH100,"&gt;0")/1000,SUMIFS('TERadj'!SH2:SH100,'TERadj'!SH2:SH100,"&gt;0")/1000,"")</f>
        <v>0</v>
      </c>
      <c r="L7">
        <f>IF(SUMIFS('TERadj'!SI2:SI100,'TERadj'!SI2:SI100,"&gt;0")/1000,SUMIFS('TERadj'!SI2:SI100,'TERadj'!SI2:SI100,"&gt;0")/1000,"")</f>
        <v>0</v>
      </c>
      <c r="M7">
        <f>IF(SUMIFS('TERadj'!SJ2:SJ100,'TERadj'!SJ2:SJ100,"&gt;0")/1000,SUMIFS('TERadj'!SJ2:SJ100,'TERadj'!SJ2:SJ100,"&gt;0")/1000,"")</f>
        <v>0</v>
      </c>
      <c r="N7">
        <f>IF(SUMIFS('TERadj'!SK2:SK100,'TERadj'!SK2:SK100,"&gt;0")/1000,SUMIFS('TERadj'!SK2:SK100,'TERadj'!SK2:SK100,"&gt;0")/1000,"")</f>
        <v>0</v>
      </c>
      <c r="P7" t="s">
        <v>878</v>
      </c>
      <c r="Q7" cm="1">
        <f t="array" ref="Q7">IF(COUNT(_xlfn._xlws.FILTER('TERadj'!SA2:SA100, ('TERadj'!SA2:SA100&gt;0))),COUNT(_xlfn._xlws.FILTER('TERadj'!SA2:SA100, ('TERadj'!SA2:SA100&gt;0))),"")</f>
        <v>0</v>
      </c>
      <c r="R7" cm="1">
        <f t="array" ref="R7">IF(COUNT(_xlfn._xlws.FILTER('TERadj'!SB2:SB100, ('TERadj'!SB2:SB100&gt;0))),COUNT(_xlfn._xlws.FILTER('TERadj'!SB2:SB100, ('TERadj'!SB2:SB100&gt;0))),"")</f>
        <v>0</v>
      </c>
      <c r="S7" cm="1">
        <f t="array" ref="S7">IF(COUNT(_xlfn._xlws.FILTER('TERadj'!SC2:SC100, ('TERadj'!SC2:SC100&gt;0))),COUNT(_xlfn._xlws.FILTER('TERadj'!SC2:SC100, ('TERadj'!SC2:SC100&gt;0))),"")</f>
        <v>0</v>
      </c>
      <c r="T7" cm="1">
        <f t="array" ref="T7">IF(COUNT(_xlfn._xlws.FILTER('TERadj'!SD2:SD100, ('TERadj'!SD2:SD100&gt;0))),COUNT(_xlfn._xlws.FILTER('TERadj'!SD2:SD100, ('TERadj'!SD2:SD100&gt;0))),"")</f>
        <v>0</v>
      </c>
      <c r="U7" cm="1">
        <f t="array" ref="U7">IF(COUNT(_xlfn._xlws.FILTER('TERadj'!SE2:SE100, ('TERadj'!SE2:SE100&gt;0))),COUNT(_xlfn._xlws.FILTER('TERadj'!SE2:SE100, ('TERadj'!SE2:SE100&gt;0))),"")</f>
        <v>0</v>
      </c>
      <c r="V7" cm="1">
        <f t="array" ref="V7">IF(COUNT(_xlfn._xlws.FILTER('TERadj'!SF2:SF100, ('TERadj'!SF2:SF100&gt;0))),COUNT(_xlfn._xlws.FILTER('TERadj'!SF2:SF100, ('TERadj'!SF2:SF100&gt;0))),"")</f>
        <v>0</v>
      </c>
      <c r="W7" cm="1">
        <f t="array" ref="W7">IF(COUNT(_xlfn._xlws.FILTER('TERadj'!SG2:SG100, ('TERadj'!SG2:SG100&gt;0))),COUNT(_xlfn._xlws.FILTER('TERadj'!SG2:SG100, ('TERadj'!SG2:SG100&gt;0))),"")</f>
        <v>0</v>
      </c>
      <c r="Y7" cm="1">
        <f t="array" ref="Y7">IF(COUNT(_xlfn._xlws.FILTER('TERadj'!SH2:SH100, ('TERadj'!SH2:SH100&gt;0))),COUNT(_xlfn._xlws.FILTER('TERadj'!SH2:SH100, ('TERadj'!SH2:SH100&gt;0))),"")</f>
        <v>0</v>
      </c>
      <c r="Z7" cm="1">
        <f t="array" ref="Z7">IF(COUNT(_xlfn._xlws.FILTER('TERadj'!SI2:SI100, ('TERadj'!SI2:SI100&gt;0))),COUNT(_xlfn._xlws.FILTER('TERadj'!SI2:SI100, ('TERadj'!SI2:SI100&gt;0))),"")</f>
        <v>0</v>
      </c>
      <c r="AA7" cm="1">
        <f t="array" ref="AA7">IF(COUNT(_xlfn._xlws.FILTER('TERadj'!SJ2:SJ100, ('TERadj'!SJ2:SJ100&gt;0))),COUNT(_xlfn._xlws.FILTER('TERadj'!SJ2:SJ100, ('TERadj'!SJ2:SJ100&gt;0))),"")</f>
        <v>0</v>
      </c>
      <c r="AB7" cm="1">
        <f t="array" ref="AB7">IF(COUNT(_xlfn._xlws.FILTER('TERadj'!SK2:SK100, ('TERadj'!SK2:SK100&gt;0))),COUNT(_xlfn._xlws.FILTER('TERadj'!SK2:SK100, ('TERadj'!SK2:SK100&gt;0))),"")</f>
        <v>0</v>
      </c>
    </row>
    <row r="8" spans="1:28">
      <c r="B8" t="s">
        <v>936</v>
      </c>
      <c r="C8">
        <f>IF(SUMIFS('TERadj'!SL2:SL100,'TERadj'!SL2:SL100,"&gt;0")/1000,SUMIFS('TERadj'!SL2:SL100,'TERadj'!SL2:SL100,"&gt;0")/1000,"")</f>
        <v>0</v>
      </c>
      <c r="D8">
        <f>IF(SUMIFS('TERadj'!SM2:SM100,'TERadj'!SM2:SM100,"&gt;0")/1000,SUMIFS('TERadj'!SM2:SM100,'TERadj'!SM2:SM100,"&gt;0")/1000,"")</f>
        <v>0</v>
      </c>
      <c r="E8">
        <f>IF(SUMIFS('TERadj'!SN2:SN100,'TERadj'!SN2:SN100,"&gt;0")/1000,SUMIFS('TERadj'!SN2:SN100,'TERadj'!SN2:SN100,"&gt;0")/1000,"")</f>
        <v>0</v>
      </c>
      <c r="F8">
        <f>IF(SUMIFS('TERadj'!SO2:SO100,'TERadj'!SO2:SO100,"&gt;0")/1000,SUMIFS('TERadj'!SO2:SO100,'TERadj'!SO2:SO100,"&gt;0")/1000,"")</f>
        <v>0</v>
      </c>
      <c r="G8">
        <f>IF(SUMIFS('TERadj'!SP2:SP100,'TERadj'!SP2:SP100,"&gt;0")/1000,SUMIFS('TERadj'!SP2:SP100,'TERadj'!SP2:SP100,"&gt;0")/1000,"")</f>
        <v>0</v>
      </c>
      <c r="H8">
        <f>IF(SUMIFS('TERadj'!SQ2:SQ100,'TERadj'!SQ2:SQ100,"&gt;0")/1000,SUMIFS('TERadj'!SQ2:SQ100,'TERadj'!SQ2:SQ100,"&gt;0")/1000,"")</f>
        <v>0</v>
      </c>
      <c r="I8">
        <f>IF(SUMIFS('TERadj'!SR2:SR100,'TERadj'!SR2:SR100,"&gt;0")/1000,SUMIFS('TERadj'!SR2:SR100,'TERadj'!SR2:SR100,"&gt;0")/1000,"")</f>
        <v>0</v>
      </c>
      <c r="K8">
        <f>IF(SUMIFS('TERadj'!SS2:SS100,'TERadj'!SS2:SS100,"&gt;0")/1000,SUMIFS('TERadj'!SS2:SS100,'TERadj'!SS2:SS100,"&gt;0")/1000,"")</f>
        <v>0</v>
      </c>
      <c r="L8">
        <f>IF(SUMIFS('TERadj'!ST2:ST100,'TERadj'!ST2:ST100,"&gt;0")/1000,SUMIFS('TERadj'!ST2:ST100,'TERadj'!ST2:ST100,"&gt;0")/1000,"")</f>
        <v>0</v>
      </c>
      <c r="M8">
        <f>IF(SUMIFS('TERadj'!SU2:SU100,'TERadj'!SU2:SU100,"&gt;0")/1000,SUMIFS('TERadj'!SU2:SU100,'TERadj'!SU2:SU100,"&gt;0")/1000,"")</f>
        <v>0</v>
      </c>
      <c r="N8">
        <f>IF(SUMIFS('TERadj'!SV2:SV100,'TERadj'!SV2:SV100,"&gt;0")/1000,SUMIFS('TERadj'!SV2:SV100,'TERadj'!SV2:SV100,"&gt;0")/1000,"")</f>
        <v>0</v>
      </c>
      <c r="P8" t="s">
        <v>936</v>
      </c>
      <c r="Q8" cm="1">
        <f t="array" ref="Q8">IF(COUNT(_xlfn._xlws.FILTER('TERadj'!SL2:SL100, ('TERadj'!SL2:SL100&gt;0))),COUNT(_xlfn._xlws.FILTER('TERadj'!SL2:SL100, ('TERadj'!SL2:SL100&gt;0))),"")</f>
        <v>0</v>
      </c>
      <c r="R8" cm="1">
        <f t="array" ref="R8">IF(COUNT(_xlfn._xlws.FILTER('TERadj'!SM2:SM100, ('TERadj'!SM2:SM100&gt;0))),COUNT(_xlfn._xlws.FILTER('TERadj'!SM2:SM100, ('TERadj'!SM2:SM100&gt;0))),"")</f>
        <v>0</v>
      </c>
      <c r="S8" cm="1">
        <f t="array" ref="S8">IF(COUNT(_xlfn._xlws.FILTER('TERadj'!SN2:SN100, ('TERadj'!SN2:SN100&gt;0))),COUNT(_xlfn._xlws.FILTER('TERadj'!SN2:SN100, ('TERadj'!SN2:SN100&gt;0))),"")</f>
        <v>0</v>
      </c>
      <c r="T8" cm="1">
        <f t="array" ref="T8">IF(COUNT(_xlfn._xlws.FILTER('TERadj'!SO2:SO100, ('TERadj'!SO2:SO100&gt;0))),COUNT(_xlfn._xlws.FILTER('TERadj'!SO2:SO100, ('TERadj'!SO2:SO100&gt;0))),"")</f>
        <v>0</v>
      </c>
      <c r="U8" cm="1">
        <f t="array" ref="U8">IF(COUNT(_xlfn._xlws.FILTER('TERadj'!SP2:SP100, ('TERadj'!SP2:SP100&gt;0))),COUNT(_xlfn._xlws.FILTER('TERadj'!SP2:SP100, ('TERadj'!SP2:SP100&gt;0))),"")</f>
        <v>0</v>
      </c>
      <c r="V8" cm="1">
        <f t="array" ref="V8">IF(COUNT(_xlfn._xlws.FILTER('TERadj'!SQ2:SQ100, ('TERadj'!SQ2:SQ100&gt;0))),COUNT(_xlfn._xlws.FILTER('TERadj'!SQ2:SQ100, ('TERadj'!SQ2:SQ100&gt;0))),"")</f>
        <v>0</v>
      </c>
      <c r="W8" cm="1">
        <f t="array" ref="W8">IF(COUNT(_xlfn._xlws.FILTER('TERadj'!SR2:SR100, ('TERadj'!SR2:SR100&gt;0))),COUNT(_xlfn._xlws.FILTER('TERadj'!SR2:SR100, ('TERadj'!SR2:SR100&gt;0))),"")</f>
        <v>0</v>
      </c>
      <c r="Y8" cm="1">
        <f t="array" ref="Y8">IF(COUNT(_xlfn._xlws.FILTER('TERadj'!SS2:SS100, ('TERadj'!SS2:SS100&gt;0))),COUNT(_xlfn._xlws.FILTER('TERadj'!SS2:SS100, ('TERadj'!SS2:SS100&gt;0))),"")</f>
        <v>0</v>
      </c>
      <c r="Z8" cm="1">
        <f t="array" ref="Z8">IF(COUNT(_xlfn._xlws.FILTER('TERadj'!ST2:ST100, ('TERadj'!ST2:ST100&gt;0))),COUNT(_xlfn._xlws.FILTER('TERadj'!ST2:ST100, ('TERadj'!ST2:ST100&gt;0))),"")</f>
        <v>0</v>
      </c>
      <c r="AA8" cm="1">
        <f t="array" ref="AA8">IF(COUNT(_xlfn._xlws.FILTER('TERadj'!SU2:SU100, ('TERadj'!SU2:SU100&gt;0))),COUNT(_xlfn._xlws.FILTER('TERadj'!SU2:SU100, ('TERadj'!SU2:SU100&gt;0))),"")</f>
        <v>0</v>
      </c>
      <c r="AB8" cm="1">
        <f t="array" ref="AB8">IF(COUNT(_xlfn._xlws.FILTER('TERadj'!SV2:SV100, ('TERadj'!SV2:SV100&gt;0))),COUNT(_xlfn._xlws.FILTER('TERadj'!SV2:SV100, ('TERadj'!SV2:SV100&gt;0))),"")</f>
        <v>0</v>
      </c>
    </row>
    <row r="9" spans="1:28">
      <c r="B9" t="s">
        <v>881</v>
      </c>
      <c r="C9">
        <f>IF(SUMIFS('TERadj'!SW2:SW100,'TERadj'!SW2:SW100,"&gt;0")/1000,SUMIFS('TERadj'!SW2:SW100,'TERadj'!SW2:SW100,"&gt;0")/1000,"")</f>
        <v>0</v>
      </c>
      <c r="D9">
        <f>IF(SUMIFS('TERadj'!SX2:SX100,'TERadj'!SX2:SX100,"&gt;0")/1000,SUMIFS('TERadj'!SX2:SX100,'TERadj'!SX2:SX100,"&gt;0")/1000,"")</f>
        <v>0</v>
      </c>
      <c r="E9">
        <f>IF(SUMIFS('TERadj'!SY2:SY100,'TERadj'!SY2:SY100,"&gt;0")/1000,SUMIFS('TERadj'!SY2:SY100,'TERadj'!SY2:SY100,"&gt;0")/1000,"")</f>
        <v>0</v>
      </c>
      <c r="F9">
        <f>IF(SUMIFS('TERadj'!SZ2:SZ100,'TERadj'!SZ2:SZ100,"&gt;0")/1000,SUMIFS('TERadj'!SZ2:SZ100,'TERadj'!SZ2:SZ100,"&gt;0")/1000,"")</f>
        <v>0</v>
      </c>
      <c r="G9">
        <f>IF(SUMIFS('TERadj'!TA2:TA100,'TERadj'!TA2:TA100,"&gt;0")/1000,SUMIFS('TERadj'!TA2:TA100,'TERadj'!TA2:TA100,"&gt;0")/1000,"")</f>
        <v>0</v>
      </c>
      <c r="H9">
        <f>IF(SUMIFS('TERadj'!TB2:TB100,'TERadj'!TB2:TB100,"&gt;0")/1000,SUMIFS('TERadj'!TB2:TB100,'TERadj'!TB2:TB100,"&gt;0")/1000,"")</f>
        <v>0</v>
      </c>
      <c r="I9">
        <f>IF(SUMIFS('TERadj'!TC2:TC100,'TERadj'!TC2:TC100,"&gt;0")/1000,SUMIFS('TERadj'!TC2:TC100,'TERadj'!TC2:TC100,"&gt;0")/1000,"")</f>
        <v>0</v>
      </c>
      <c r="K9">
        <f>IF(SUMIFS('TERadj'!TD2:TD100,'TERadj'!TD2:TD100,"&gt;0")/1000,SUMIFS('TERadj'!TD2:TD100,'TERadj'!TD2:TD100,"&gt;0")/1000,"")</f>
        <v>0</v>
      </c>
      <c r="L9">
        <f>IF(SUMIFS('TERadj'!TE2:TE100,'TERadj'!TE2:TE100,"&gt;0")/1000,SUMIFS('TERadj'!TE2:TE100,'TERadj'!TE2:TE100,"&gt;0")/1000,"")</f>
        <v>0</v>
      </c>
      <c r="M9">
        <f>IF(SUMIFS('TERadj'!TF2:TF100,'TERadj'!TF2:TF100,"&gt;0")/1000,SUMIFS('TERadj'!TF2:TF100,'TERadj'!TF2:TF100,"&gt;0")/1000,"")</f>
        <v>0</v>
      </c>
      <c r="N9">
        <f>IF(SUMIFS('TERadj'!TG2:TG100,'TERadj'!TG2:TG100,"&gt;0")/1000,SUMIFS('TERadj'!TG2:TG100,'TERadj'!TG2:TG100,"&gt;0")/1000,"")</f>
        <v>0</v>
      </c>
      <c r="P9" t="s">
        <v>881</v>
      </c>
      <c r="Q9" cm="1">
        <f t="array" ref="Q9">IF(COUNT(_xlfn._xlws.FILTER('TERadj'!SW2:SW100, ('TERadj'!SW2:SW100&gt;0))),COUNT(_xlfn._xlws.FILTER('TERadj'!SW2:SW100, ('TERadj'!SW2:SW100&gt;0))),"")</f>
        <v>0</v>
      </c>
      <c r="R9" cm="1">
        <f t="array" ref="R9">IF(COUNT(_xlfn._xlws.FILTER('TERadj'!SX2:SX100, ('TERadj'!SX2:SX100&gt;0))),COUNT(_xlfn._xlws.FILTER('TERadj'!SX2:SX100, ('TERadj'!SX2:SX100&gt;0))),"")</f>
        <v>0</v>
      </c>
      <c r="S9" cm="1">
        <f t="array" ref="S9">IF(COUNT(_xlfn._xlws.FILTER('TERadj'!SY2:SY100, ('TERadj'!SY2:SY100&gt;0))),COUNT(_xlfn._xlws.FILTER('TERadj'!SY2:SY100, ('TERadj'!SY2:SY100&gt;0))),"")</f>
        <v>0</v>
      </c>
      <c r="T9" cm="1">
        <f t="array" ref="T9">IF(COUNT(_xlfn._xlws.FILTER('TERadj'!SZ2:SZ100, ('TERadj'!SZ2:SZ100&gt;0))),COUNT(_xlfn._xlws.FILTER('TERadj'!SZ2:SZ100, ('TERadj'!SZ2:SZ100&gt;0))),"")</f>
        <v>0</v>
      </c>
      <c r="U9" cm="1">
        <f t="array" ref="U9">IF(COUNT(_xlfn._xlws.FILTER('TERadj'!TA2:TA100, ('TERadj'!TA2:TA100&gt;0))),COUNT(_xlfn._xlws.FILTER('TERadj'!TA2:TA100, ('TERadj'!TA2:TA100&gt;0))),"")</f>
        <v>0</v>
      </c>
      <c r="V9" cm="1">
        <f t="array" ref="V9">IF(COUNT(_xlfn._xlws.FILTER('TERadj'!TB2:TB100, ('TERadj'!TB2:TB100&gt;0))),COUNT(_xlfn._xlws.FILTER('TERadj'!TB2:TB100, ('TERadj'!TB2:TB100&gt;0))),"")</f>
        <v>0</v>
      </c>
      <c r="W9" cm="1">
        <f t="array" ref="W9">IF(COUNT(_xlfn._xlws.FILTER('TERadj'!TC2:TC100, ('TERadj'!TC2:TC100&gt;0))),COUNT(_xlfn._xlws.FILTER('TERadj'!TC2:TC100, ('TERadj'!TC2:TC100&gt;0))),"")</f>
        <v>0</v>
      </c>
      <c r="Y9" cm="1">
        <f t="array" ref="Y9">IF(COUNT(_xlfn._xlws.FILTER('TERadj'!TD2:TD100, ('TERadj'!TD2:TD100&gt;0))),COUNT(_xlfn._xlws.FILTER('TERadj'!TD2:TD100, ('TERadj'!TD2:TD100&gt;0))),"")</f>
        <v>0</v>
      </c>
      <c r="Z9" cm="1">
        <f t="array" ref="Z9">IF(COUNT(_xlfn._xlws.FILTER('TERadj'!TE2:TE100, ('TERadj'!TE2:TE100&gt;0))),COUNT(_xlfn._xlws.FILTER('TERadj'!TE2:TE100, ('TERadj'!TE2:TE100&gt;0))),"")</f>
        <v>0</v>
      </c>
      <c r="AA9" cm="1">
        <f t="array" ref="AA9">IF(COUNT(_xlfn._xlws.FILTER('TERadj'!TF2:TF100, ('TERadj'!TF2:TF100&gt;0))),COUNT(_xlfn._xlws.FILTER('TERadj'!TF2:TF100, ('TERadj'!TF2:TF100&gt;0))),"")</f>
        <v>0</v>
      </c>
      <c r="AB9" cm="1">
        <f t="array" ref="AB9">IF(COUNT(_xlfn._xlws.FILTER('TERadj'!TG2:TG100, ('TERadj'!TG2:TG100&gt;0))),COUNT(_xlfn._xlws.FILTER('TERadj'!TG2:TG100, ('TERadj'!TG2:TG100&gt;0))),"")</f>
        <v>0</v>
      </c>
    </row>
    <row r="10" spans="1:28">
      <c r="B10" t="s">
        <v>938</v>
      </c>
      <c r="P10" t="s">
        <v>938</v>
      </c>
    </row>
    <row r="12" spans="1:28">
      <c r="B12" t="s">
        <v>915</v>
      </c>
      <c r="C12" t="s">
        <v>1027</v>
      </c>
      <c r="D12" t="s">
        <v>1028</v>
      </c>
      <c r="E12" t="s">
        <v>1029</v>
      </c>
      <c r="F12" t="s">
        <v>1030</v>
      </c>
      <c r="G12" t="s">
        <v>1031</v>
      </c>
      <c r="H12" t="s">
        <v>1032</v>
      </c>
      <c r="I12" t="s">
        <v>1033</v>
      </c>
      <c r="J12" t="s">
        <v>1034</v>
      </c>
      <c r="K12" t="s">
        <v>894</v>
      </c>
      <c r="L12" t="s">
        <v>1035</v>
      </c>
      <c r="M12" t="s">
        <v>1036</v>
      </c>
      <c r="N12" t="s">
        <v>1037</v>
      </c>
    </row>
    <row r="13" spans="1:28">
      <c r="B13" t="s">
        <v>933</v>
      </c>
      <c r="C13" s="5">
        <f>IF(SUM(Q4:Q10) &gt; 0, IF(AND(SUM(C4:C10)&gt;0, ISNUMBER(C4)),C4/SUM(C4:C10), ""), "")</f>
        <v>0</v>
      </c>
      <c r="D13" s="5">
        <f>IF(SUM(Q4:Q10) &gt; 0, IF(AND(SUM(D4:D10)&gt;0, ISNUMBER(D4)),D4/SUM(D4:D10), ""), "")</f>
        <v>0</v>
      </c>
      <c r="E13" s="5">
        <f>IF(SUM(Q4:Q10) &gt; 0, IF(AND(SUM(E4:E10)&gt;0, ISNUMBER(E4)),E4/SUM(E4:E10), ""), "")</f>
        <v>0</v>
      </c>
      <c r="F13" s="5">
        <f>IF(SUM(Q4:Q10) &gt; 0, IF(AND(SUM(F4:F10)&gt;0, ISNUMBER(F4)),F4/SUM(F4:F10), ""), "")</f>
        <v>0</v>
      </c>
      <c r="G13" s="5">
        <f>IF(SUM(Q4:Q10) &gt; 0, IF(AND(SUM(G4:G10)&gt;0, ISNUMBER(G4)),G4/SUM(G4:G10), ""), "")</f>
        <v>0</v>
      </c>
      <c r="H13" s="5">
        <f>IF(SUM(Q4:Q10) &gt; 0, IF(AND(SUM(H4:H10)&gt;0, ISNUMBER(H4)),H4/SUM(H4:H10), ""), "")</f>
        <v>0</v>
      </c>
      <c r="I13" s="5">
        <f>IF(SUM(Q4:Q10) &gt; 0, IF(AND(SUM(I4:I10)&gt;0, ISNUMBER(I4)),I4/SUM(I4:I10), ""), "")</f>
        <v>0</v>
      </c>
      <c r="J13" s="5">
        <f>IF(SUM(Q4:Q10) &gt; 0, IF(AND(SUM(J4:J10)&gt;0, ISNUMBER(J4)),J4/SUM(J4:J10), ""), "")</f>
        <v>0</v>
      </c>
      <c r="K13" s="5">
        <f>IF(SUM(Q4:Q10) &gt; 0, IF(AND(SUM(K4:K10)&gt;0, ISNUMBER(K4)),K4/SUM(K4:K10), ""), "")</f>
        <v>0</v>
      </c>
      <c r="L13" s="5">
        <f>IF(SUM(Q4:Q10) &gt; 0, IF(AND(SUM(L4:L10)&gt;0, ISNUMBER(L4)),L4/SUM(L4:L10), ""), "")</f>
        <v>0</v>
      </c>
      <c r="M13" s="5">
        <f>IF(SUM(Q4:Q10) &gt; 0, IF(AND(SUM(M4:M10)&gt;0, ISNUMBER(M4)),M4/SUM(M4:M10), ""), "")</f>
        <v>0</v>
      </c>
      <c r="N13" s="5">
        <f>IF(SUM(Q4:Q10) &gt; 0, IF(AND(SUM(N4:N10)&gt;0, ISNUMBER(N4)),N4/SUM(N4:N10), ""), "")</f>
        <v>0</v>
      </c>
    </row>
    <row r="14" spans="1:28">
      <c r="B14" t="s">
        <v>934</v>
      </c>
      <c r="C14" s="5">
        <f>IF(SUM(Q4:Q10) &gt; 0, IF(AND(SUM(C4:C10)&gt;0, ISNUMBER(C5)),C5/SUM(C4:C10), ""), "")</f>
        <v>0</v>
      </c>
      <c r="D14" s="5">
        <f>IF(SUM(Q4:Q10) &gt; 0, IF(AND(SUM(D4:D10)&gt;0, ISNUMBER(D5)),D5/SUM(D4:D10), ""), "")</f>
        <v>0</v>
      </c>
      <c r="E14" s="5">
        <f>IF(SUM(Q4:Q10) &gt; 0, IF(AND(SUM(E4:E10)&gt;0, ISNUMBER(E5)),E5/SUM(E4:E10), ""), "")</f>
        <v>0</v>
      </c>
      <c r="F14" s="5">
        <f>IF(SUM(Q4:Q10) &gt; 0, IF(AND(SUM(F4:F10)&gt;0, ISNUMBER(F5)),F5/SUM(F4:F10), ""), "")</f>
        <v>0</v>
      </c>
      <c r="G14" s="5">
        <f>IF(SUM(Q4:Q10) &gt; 0, IF(AND(SUM(G4:G10)&gt;0, ISNUMBER(G5)),G5/SUM(G4:G10), ""), "")</f>
        <v>0</v>
      </c>
      <c r="H14" s="5">
        <f>IF(SUM(Q4:Q10) &gt; 0, IF(AND(SUM(H4:H10)&gt;0, ISNUMBER(H5)),H5/SUM(H4:H10), ""), "")</f>
        <v>0</v>
      </c>
      <c r="I14" s="5">
        <f>IF(SUM(Q4:Q10) &gt; 0, IF(AND(SUM(I4:I10)&gt;0, ISNUMBER(I5)),I5/SUM(I4:I10), ""), "")</f>
        <v>0</v>
      </c>
      <c r="J14" s="5">
        <f>IF(SUM(Q4:Q10) &gt; 0, IF(AND(SUM(J4:J10)&gt;0, ISNUMBER(J5)),J5/SUM(J4:J10), ""), "")</f>
        <v>0</v>
      </c>
      <c r="K14" s="5">
        <f>IF(SUM(Q4:Q10) &gt; 0, IF(AND(SUM(K4:K10)&gt;0, ISNUMBER(K5)),K5/SUM(K4:K10), ""), "")</f>
        <v>0</v>
      </c>
      <c r="L14" s="5">
        <f>IF(SUM(Q4:Q10) &gt; 0, IF(AND(SUM(L4:L10)&gt;0, ISNUMBER(L5)),L5/SUM(L4:L10), ""), "")</f>
        <v>0</v>
      </c>
      <c r="M14" s="5">
        <f>IF(SUM(Q4:Q10) &gt; 0, IF(AND(SUM(M4:M10)&gt;0, ISNUMBER(M5)),M5/SUM(M4:M10), ""), "")</f>
        <v>0</v>
      </c>
      <c r="N14" s="5">
        <f>IF(SUM(Q4:Q10) &gt; 0, IF(AND(SUM(N4:N10)&gt;0, ISNUMBER(N5)),N5/SUM(N4:N10), ""), "")</f>
        <v>0</v>
      </c>
    </row>
    <row r="15" spans="1:28">
      <c r="B15" t="s">
        <v>935</v>
      </c>
      <c r="C15" s="5">
        <f>IF(SUM(Q4:Q10) &gt; 0, IF(AND(SUM(C4:C10)&gt;0, ISNUMBER(C6)),C6/SUM(C4:C10), ""), "")</f>
        <v>0</v>
      </c>
      <c r="D15" s="5">
        <f>IF(SUM(Q4:Q10) &gt; 0, IF(AND(SUM(D4:D10)&gt;0, ISNUMBER(D6)),D6/SUM(D4:D10), ""), "")</f>
        <v>0</v>
      </c>
      <c r="E15" s="5">
        <f>IF(SUM(Q4:Q10) &gt; 0, IF(AND(SUM(E4:E10)&gt;0, ISNUMBER(E6)),E6/SUM(E4:E10), ""), "")</f>
        <v>0</v>
      </c>
      <c r="F15" s="5">
        <f>IF(SUM(Q4:Q10) &gt; 0, IF(AND(SUM(F4:F10)&gt;0, ISNUMBER(F6)),F6/SUM(F4:F10), ""), "")</f>
        <v>0</v>
      </c>
      <c r="G15" s="5">
        <f>IF(SUM(Q4:Q10) &gt; 0, IF(AND(SUM(G4:G10)&gt;0, ISNUMBER(G6)),G6/SUM(G4:G10), ""), "")</f>
        <v>0</v>
      </c>
      <c r="H15" s="5">
        <f>IF(SUM(Q4:Q10) &gt; 0, IF(AND(SUM(H4:H10)&gt;0, ISNUMBER(H6)),H6/SUM(H4:H10), ""), "")</f>
        <v>0</v>
      </c>
      <c r="I15" s="5">
        <f>IF(SUM(Q4:Q10) &gt; 0, IF(AND(SUM(I4:I10)&gt;0, ISNUMBER(I6)),I6/SUM(I4:I10), ""), "")</f>
        <v>0</v>
      </c>
      <c r="J15" s="5">
        <f>IF(SUM(Q4:Q10) &gt; 0, IF(AND(SUM(J4:J10)&gt;0, ISNUMBER(J6)),J6/SUM(J4:J10), ""), "")</f>
        <v>0</v>
      </c>
      <c r="K15" s="5">
        <f>IF(SUM(Q4:Q10) &gt; 0, IF(AND(SUM(K4:K10)&gt;0, ISNUMBER(K6)),K6/SUM(K4:K10), ""), "")</f>
        <v>0</v>
      </c>
      <c r="L15" s="5">
        <f>IF(SUM(Q4:Q10) &gt; 0, IF(AND(SUM(L4:L10)&gt;0, ISNUMBER(L6)),L6/SUM(L4:L10), ""), "")</f>
        <v>0</v>
      </c>
      <c r="M15" s="5">
        <f>IF(SUM(Q4:Q10) &gt; 0, IF(AND(SUM(M4:M10)&gt;0, ISNUMBER(M6)),M6/SUM(M4:M10), ""), "")</f>
        <v>0</v>
      </c>
      <c r="N15" s="5">
        <f>IF(SUM(Q4:Q10) &gt; 0, IF(AND(SUM(N4:N10)&gt;0, ISNUMBER(N6)),N6/SUM(N4:N10), ""), "")</f>
        <v>0</v>
      </c>
    </row>
    <row r="16" spans="1:28">
      <c r="B16" t="s">
        <v>878</v>
      </c>
      <c r="C16" s="5">
        <f>IF(SUM(Q4:Q10) &gt; 0, IF(AND(SUM(C4:C10)&gt;0, ISNUMBER(C7)),C7/SUM(C4:C10), ""), "")</f>
        <v>0</v>
      </c>
      <c r="D16" s="5">
        <f>IF(SUM(Q4:Q10) &gt; 0, IF(AND(SUM(D4:D10)&gt;0, ISNUMBER(D7)),D7/SUM(D4:D10), ""), "")</f>
        <v>0</v>
      </c>
      <c r="E16" s="5">
        <f>IF(SUM(Q4:Q10) &gt; 0, IF(AND(SUM(E4:E10)&gt;0, ISNUMBER(E7)),E7/SUM(E4:E10), ""), "")</f>
        <v>0</v>
      </c>
      <c r="F16" s="5">
        <f>IF(SUM(Q4:Q10) &gt; 0, IF(AND(SUM(F4:F10)&gt;0, ISNUMBER(F7)),F7/SUM(F4:F10), ""), "")</f>
        <v>0</v>
      </c>
      <c r="G16" s="5">
        <f>IF(SUM(Q4:Q10) &gt; 0, IF(AND(SUM(G4:G10)&gt;0, ISNUMBER(G7)),G7/SUM(G4:G10), ""), "")</f>
        <v>0</v>
      </c>
      <c r="H16" s="5">
        <f>IF(SUM(Q4:Q10) &gt; 0, IF(AND(SUM(H4:H10)&gt;0, ISNUMBER(H7)),H7/SUM(H4:H10), ""), "")</f>
        <v>0</v>
      </c>
      <c r="I16" s="5">
        <f>IF(SUM(Q4:Q10) &gt; 0, IF(AND(SUM(I4:I10)&gt;0, ISNUMBER(I7)),I7/SUM(I4:I10), ""), "")</f>
        <v>0</v>
      </c>
      <c r="J16" s="5">
        <f>IF(SUM(Q4:Q10) &gt; 0, IF(AND(SUM(J4:J10)&gt;0, ISNUMBER(J7)),J7/SUM(J4:J10), ""), "")</f>
        <v>0</v>
      </c>
      <c r="K16" s="5">
        <f>IF(SUM(Q4:Q10) &gt; 0, IF(AND(SUM(K4:K10)&gt;0, ISNUMBER(K7)),K7/SUM(K4:K10), ""), "")</f>
        <v>0</v>
      </c>
      <c r="L16" s="5">
        <f>IF(SUM(Q4:Q10) &gt; 0, IF(AND(SUM(L4:L10)&gt;0, ISNUMBER(L7)),L7/SUM(L4:L10), ""), "")</f>
        <v>0</v>
      </c>
      <c r="M16" s="5">
        <f>IF(SUM(Q4:Q10) &gt; 0, IF(AND(SUM(M4:M10)&gt;0, ISNUMBER(M7)),M7/SUM(M4:M10), ""), "")</f>
        <v>0</v>
      </c>
      <c r="N16" s="5">
        <f>IF(SUM(Q4:Q10) &gt; 0, IF(AND(SUM(N4:N10)&gt;0, ISNUMBER(N7)),N7/SUM(N4:N10), ""), "")</f>
        <v>0</v>
      </c>
    </row>
    <row r="17" spans="2:14">
      <c r="B17" t="s">
        <v>936</v>
      </c>
      <c r="C17" s="5">
        <f>IF(SUM(Q4:Q10) &gt; 0, IF(AND(SUM(C4:C10)&gt;0, ISNUMBER(C8)),C8/SUM(C4:C10), ""), "")</f>
        <v>0</v>
      </c>
      <c r="D17" s="5">
        <f>IF(SUM(Q4:Q10) &gt; 0, IF(AND(SUM(D4:D10)&gt;0, ISNUMBER(D8)),D8/SUM(D4:D10), ""), "")</f>
        <v>0</v>
      </c>
      <c r="E17" s="5">
        <f>IF(SUM(Q4:Q10) &gt; 0, IF(AND(SUM(E4:E10)&gt;0, ISNUMBER(E8)),E8/SUM(E4:E10), ""), "")</f>
        <v>0</v>
      </c>
      <c r="F17" s="5">
        <f>IF(SUM(Q4:Q10) &gt; 0, IF(AND(SUM(F4:F10)&gt;0, ISNUMBER(F8)),F8/SUM(F4:F10), ""), "")</f>
        <v>0</v>
      </c>
      <c r="G17" s="5">
        <f>IF(SUM(Q4:Q10) &gt; 0, IF(AND(SUM(G4:G10)&gt;0, ISNUMBER(G8)),G8/SUM(G4:G10), ""), "")</f>
        <v>0</v>
      </c>
      <c r="H17" s="5">
        <f>IF(SUM(Q4:Q10) &gt; 0, IF(AND(SUM(H4:H10)&gt;0, ISNUMBER(H8)),H8/SUM(H4:H10), ""), "")</f>
        <v>0</v>
      </c>
      <c r="I17" s="5">
        <f>IF(SUM(Q4:Q10) &gt; 0, IF(AND(SUM(I4:I10)&gt;0, ISNUMBER(I8)),I8/SUM(I4:I10), ""), "")</f>
        <v>0</v>
      </c>
      <c r="J17" s="5">
        <f>IF(SUM(Q4:Q10) &gt; 0, IF(AND(SUM(J4:J10)&gt;0, ISNUMBER(J8)),J8/SUM(J4:J10), ""), "")</f>
        <v>0</v>
      </c>
      <c r="K17" s="5">
        <f>IF(SUM(Q4:Q10) &gt; 0, IF(AND(SUM(K4:K10)&gt;0, ISNUMBER(K8)),K8/SUM(K4:K10), ""), "")</f>
        <v>0</v>
      </c>
      <c r="L17" s="5">
        <f>IF(SUM(Q4:Q10) &gt; 0, IF(AND(SUM(L4:L10)&gt;0, ISNUMBER(L8)),L8/SUM(L4:L10), ""), "")</f>
        <v>0</v>
      </c>
      <c r="M17" s="5">
        <f>IF(SUM(Q4:Q10) &gt; 0, IF(AND(SUM(M4:M10)&gt;0, ISNUMBER(M8)),M8/SUM(M4:M10), ""), "")</f>
        <v>0</v>
      </c>
      <c r="N17" s="5">
        <f>IF(SUM(Q4:Q10) &gt; 0, IF(AND(SUM(N4:N10)&gt;0, ISNUMBER(N8)),N8/SUM(N4:N10), ""), "")</f>
        <v>0</v>
      </c>
    </row>
    <row r="18" spans="2:14">
      <c r="B18" t="s">
        <v>881</v>
      </c>
      <c r="C18" s="5">
        <f>IF(SUM(Q4:Q10) &gt; 0, IF(AND(SUM(C4:C10)&gt;0, ISNUMBER(C9)),C9/SUM(C4:C10), ""), "")</f>
        <v>0</v>
      </c>
      <c r="D18" s="5">
        <f>IF(SUM(Q4:Q10) &gt; 0, IF(AND(SUM(D4:D10)&gt;0, ISNUMBER(D9)),D9/SUM(D4:D10), ""), "")</f>
        <v>0</v>
      </c>
      <c r="E18" s="5">
        <f>IF(SUM(Q4:Q10) &gt; 0, IF(AND(SUM(E4:E10)&gt;0, ISNUMBER(E9)),E9/SUM(E4:E10), ""), "")</f>
        <v>0</v>
      </c>
      <c r="F18" s="5">
        <f>IF(SUM(Q4:Q10) &gt; 0, IF(AND(SUM(F4:F10)&gt;0, ISNUMBER(F9)),F9/SUM(F4:F10), ""), "")</f>
        <v>0</v>
      </c>
      <c r="G18" s="5">
        <f>IF(SUM(Q4:Q10) &gt; 0, IF(AND(SUM(G4:G10)&gt;0, ISNUMBER(G9)),G9/SUM(G4:G10), ""), "")</f>
        <v>0</v>
      </c>
      <c r="H18" s="5">
        <f>IF(SUM(Q4:Q10) &gt; 0, IF(AND(SUM(H4:H10)&gt;0, ISNUMBER(H9)),H9/SUM(H4:H10), ""), "")</f>
        <v>0</v>
      </c>
      <c r="I18" s="5">
        <f>IF(SUM(Q4:Q10) &gt; 0, IF(AND(SUM(I4:I10)&gt;0, ISNUMBER(I9)),I9/SUM(I4:I10), ""), "")</f>
        <v>0</v>
      </c>
      <c r="J18" s="5">
        <f>IF(SUM(Q4:Q10) &gt; 0, IF(AND(SUM(J4:J10)&gt;0, ISNUMBER(J9)),J9/SUM(J4:J10), ""), "")</f>
        <v>0</v>
      </c>
      <c r="K18" s="5">
        <f>IF(SUM(Q4:Q10) &gt; 0, IF(AND(SUM(K4:K10)&gt;0, ISNUMBER(K9)),K9/SUM(K4:K10), ""), "")</f>
        <v>0</v>
      </c>
      <c r="L18" s="5">
        <f>IF(SUM(Q4:Q10) &gt; 0, IF(AND(SUM(L4:L10)&gt;0, ISNUMBER(L9)),L9/SUM(L4:L10), ""), "")</f>
        <v>0</v>
      </c>
      <c r="M18" s="5">
        <f>IF(SUM(Q4:Q10) &gt; 0, IF(AND(SUM(M4:M10)&gt;0, ISNUMBER(M9)),M9/SUM(M4:M10), ""), "")</f>
        <v>0</v>
      </c>
      <c r="N18" s="5">
        <f>IF(SUM(Q4:Q10) &gt; 0, IF(AND(SUM(N4:N10)&gt;0, ISNUMBER(N9)),N9/SUM(N4:N10), ""), "")</f>
        <v>0</v>
      </c>
    </row>
    <row r="19" spans="2:14">
      <c r="B19" t="s">
        <v>938</v>
      </c>
      <c r="C19" s="5">
        <f>IF(SUM(Q4:Q10) &gt; 0, IF(AND(SUM(C4:C10)&gt;0, ISNUMBER(C10)),C10/SUM(C4:C10), ""), "")</f>
        <v>0</v>
      </c>
      <c r="D19" s="5">
        <f>IF(SUM(Q4:Q10) &gt; 0, IF(AND(SUM(D4:D10)&gt;0, ISNUMBER(D10)),D10/SUM(D4:D10), ""), "")</f>
        <v>0</v>
      </c>
      <c r="E19" s="5">
        <f>IF(SUM(Q4:Q10) &gt; 0, IF(AND(SUM(E4:E10)&gt;0, ISNUMBER(E10)),E10/SUM(E4:E10), ""), "")</f>
        <v>0</v>
      </c>
      <c r="F19" s="5">
        <f>IF(SUM(Q4:Q10) &gt; 0, IF(AND(SUM(F4:F10)&gt;0, ISNUMBER(F10)),F10/SUM(F4:F10), ""), "")</f>
        <v>0</v>
      </c>
      <c r="G19" s="5">
        <f>IF(SUM(Q4:Q10) &gt; 0, IF(AND(SUM(G4:G10)&gt;0, ISNUMBER(G10)),G10/SUM(G4:G10), ""), "")</f>
        <v>0</v>
      </c>
      <c r="H19" s="5">
        <f>IF(SUM(Q4:Q10) &gt; 0, IF(AND(SUM(H4:H10)&gt;0, ISNUMBER(H10)),H10/SUM(H4:H10), ""), "")</f>
        <v>0</v>
      </c>
      <c r="I19" s="5">
        <f>IF(SUM(Q4:Q10) &gt; 0, IF(AND(SUM(I4:I10)&gt;0, ISNUMBER(I10)),I10/SUM(I4:I10), ""), "")</f>
        <v>0</v>
      </c>
      <c r="J19" s="5">
        <f>IF(SUM(Q4:Q10) &gt; 0, IF(AND(SUM(J4:J10)&gt;0, ISNUMBER(J10)),J10/SUM(J4:J10), ""), "")</f>
        <v>0</v>
      </c>
      <c r="K19" s="5">
        <f>IF(SUM(Q4:Q10) &gt; 0, IF(AND(SUM(K4:K10)&gt;0, ISNUMBER(K10)),K10/SUM(K4:K10), ""), "")</f>
        <v>0</v>
      </c>
      <c r="L19" s="5">
        <f>IF(SUM(Q4:Q10) &gt; 0, IF(AND(SUM(L4:L10)&gt;0, ISNUMBER(L10)),L10/SUM(L4:L10), ""), "")</f>
        <v>0</v>
      </c>
      <c r="M19" s="5">
        <f>IF(SUM(Q4:Q10) &gt; 0, IF(AND(SUM(M4:M10)&gt;0, ISNUMBER(M10)),M10/SUM(M4:M10), ""), "")</f>
        <v>0</v>
      </c>
      <c r="N19" s="5">
        <f>IF(SUM(Q4:Q10) &gt; 0, IF(AND(SUM(N4:N10)&gt;0, ISNUMBER(N10)),N10/SUM(N4:N10), ""), "")</f>
        <v>0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tabColor rgb="FF0033A0"/>
  </sheetPr>
  <dimension ref="A1:AB15"/>
  <sheetViews>
    <sheetView workbookViewId="0"/>
  </sheetViews>
  <sheetFormatPr defaultRowHeight="15"/>
  <sheetData>
    <row r="1" spans="1:28" s="3" customFormat="1" ht="40" customHeight="1">
      <c r="A1" s="3" t="s">
        <v>939</v>
      </c>
    </row>
    <row r="3" spans="1:28">
      <c r="B3" t="s">
        <v>915</v>
      </c>
      <c r="C3" t="s">
        <v>1027</v>
      </c>
      <c r="D3" t="s">
        <v>1028</v>
      </c>
      <c r="E3" t="s">
        <v>1029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894</v>
      </c>
      <c r="L3" t="s">
        <v>1035</v>
      </c>
      <c r="M3" t="s">
        <v>1036</v>
      </c>
      <c r="N3" t="s">
        <v>1037</v>
      </c>
      <c r="P3" t="s">
        <v>915</v>
      </c>
      <c r="Q3" t="s">
        <v>1038</v>
      </c>
      <c r="R3" t="s">
        <v>1039</v>
      </c>
      <c r="S3" t="s">
        <v>1040</v>
      </c>
      <c r="T3" t="s">
        <v>1041</v>
      </c>
      <c r="U3" t="s">
        <v>1042</v>
      </c>
      <c r="V3" t="s">
        <v>1072</v>
      </c>
      <c r="W3" t="s">
        <v>1044</v>
      </c>
      <c r="X3" t="s">
        <v>1045</v>
      </c>
      <c r="Y3" t="s">
        <v>1046</v>
      </c>
      <c r="Z3" t="s">
        <v>1047</v>
      </c>
      <c r="AA3" t="s">
        <v>1048</v>
      </c>
      <c r="AB3" t="s">
        <v>1049</v>
      </c>
    </row>
    <row r="4" spans="1:28">
      <c r="B4" t="s">
        <v>839</v>
      </c>
      <c r="C4">
        <f>IF(SUMIFS('TERadj'!TH2:TH100,'TERadj'!TH2:TH100,"&gt;0",'TERadj'!C2:C100,"Asia Pacific")/1000,SUMIFS('TERadj'!TH2:TH100,'TERadj'!TH2:TH100,"&gt;0",'TERadj'!C2:C100,"Asia Pacific")/1000,"")</f>
        <v>0</v>
      </c>
      <c r="D4">
        <f>IF(SUMIFS('TERadj'!TI2:TI100,'TERadj'!TI2:TI100,"&gt;0",'TERadj'!C2:C100,"Asia Pacific")/1000,SUMIFS('TERadj'!TI2:TI100,'TERadj'!TI2:TI100,"&gt;0",'TERadj'!C2:C100,"Asia Pacific")/1000,"")</f>
        <v>0</v>
      </c>
      <c r="E4">
        <f>IF(SUMIFS('TERadj'!TJ2:TJ100,'TERadj'!TJ2:TJ100,"&gt;0",'TERadj'!C2:C100,"Asia Pacific")/1000,SUMIFS('TERadj'!TJ2:TJ100,'TERadj'!TJ2:TJ100,"&gt;0",'TERadj'!C2:C100,"Asia Pacific")/1000,"")</f>
        <v>0</v>
      </c>
      <c r="F4">
        <f>IF(SUMIFS('TERadj'!TK2:TK100,'TERadj'!TK2:TK100,"&gt;0",'TERadj'!C2:C100,"Asia Pacific")/1000,SUMIFS('TERadj'!TK2:TK100,'TERadj'!TK2:TK100,"&gt;0",'TERadj'!C2:C100,"Asia Pacific")/1000,"")</f>
        <v>0</v>
      </c>
      <c r="G4">
        <f>IF(SUMIFS('TERadj'!TL2:TL100,'TERadj'!TL2:TL100,"&gt;0",'TERadj'!C2:C100,"Asia Pacific")/1000,SUMIFS('TERadj'!TL2:TL100,'TERadj'!TL2:TL100,"&gt;0",'TERadj'!C2:C100,"Asia Pacific")/1000,"")</f>
        <v>0</v>
      </c>
      <c r="H4">
        <f>IF(SUMIFS('TERadj'!TM2:TM100,'TERadj'!TM2:TM100,"&gt;0",'TERadj'!C2:C100,"Asia Pacific")/1000,SUMIFS('TERadj'!TM2:TM100,'TERadj'!TM2:TM100,"&gt;0",'TERadj'!C2:C100,"Asia Pacific")/1000,"")</f>
        <v>0</v>
      </c>
      <c r="I4">
        <f>IF(SUMIFS('TERadj'!TN2:TN100,'TERadj'!TN2:TN100,"&gt;0",'TERadj'!C2:C100,"Asia Pacific")/1000,SUMIFS('TERadj'!TN2:TN100,'TERadj'!TN2:TN100,"&gt;0",'TERadj'!C2:C100,"Asia Pacific")/1000,"")</f>
        <v>0</v>
      </c>
      <c r="K4">
        <f>IF(SUMIFS('TERadj'!TO2:TO100,'TERadj'!TO2:TO100,"&gt;0",'TERadj'!C2:C100,"Asia Pacific")/1000,SUMIFS('TERadj'!TO2:TO100,'TERadj'!TO2:TO100,"&gt;0",'TERadj'!C2:C100,"Asia Pacific")/1000,"")</f>
        <v>0</v>
      </c>
      <c r="L4">
        <f>IF(SUMIFS('TERadj'!TP2:TP100,'TERadj'!TP2:TP100,"&gt;0",'TERadj'!C2:C100,"Asia Pacific")/1000,SUMIFS('TERadj'!TP2:TP100,'TERadj'!TP2:TP100,"&gt;0",'TERadj'!C2:C100,"Asia Pacific")/1000,"")</f>
        <v>0</v>
      </c>
      <c r="M4">
        <f>IF(SUMIFS('TERadj'!TQ2:TQ100,'TERadj'!TQ2:TQ100,"&gt;0",'TERadj'!C2:C100,"Asia Pacific")/1000,SUMIFS('TERadj'!TQ2:TQ100,'TERadj'!TQ2:TQ100,"&gt;0",'TERadj'!C2:C100,"Asia Pacific")/1000,"")</f>
        <v>0</v>
      </c>
      <c r="N4">
        <f>IF(SUMIFS('TERadj'!TR2:TR100,'TERadj'!TR2:TR100,"&gt;0",'TERadj'!C2:C100,"Asia Pacific")/1000,SUMIFS('TERadj'!TR2:TR100,'TERadj'!TR2:TR100,"&gt;0",'TERadj'!C2:C100,"Asia Pacific")/1000,"")</f>
        <v>0</v>
      </c>
      <c r="P4" t="s">
        <v>839</v>
      </c>
      <c r="Q4" cm="1">
        <f t="array" ref="Q4">IF(COUNT(_xlfn._xlws.FILTER('TERadj'!TH2:TH100, ('TERadj'!TH2:TH100&gt;0)*('TERadj'!C2:C100="Asia Pacific"))),COUNT(_xlfn._xlws.FILTER('TERadj'!TH2:TH100, ('TERadj'!TH2:TH100&gt;0)*('TERadj'!C2:C100="Asia Pacific"))),"")</f>
        <v>0</v>
      </c>
      <c r="R4" cm="1">
        <f t="array" ref="R4">IF(COUNT(_xlfn._xlws.FILTER('TERadj'!TI2:TI100, ('TERadj'!TI2:TI100&gt;0)*('TERadj'!C2:C100="Asia Pacific"))),COUNT(_xlfn._xlws.FILTER('TERadj'!TI2:TI100, ('TERadj'!TI2:TI100&gt;0)*('TERadj'!C2:C100="Asia Pacific"))),"")</f>
        <v>0</v>
      </c>
      <c r="S4" cm="1">
        <f t="array" ref="S4">IF(COUNT(_xlfn._xlws.FILTER('TERadj'!TJ2:TJ100, ('TERadj'!TJ2:TJ100&gt;0)*('TERadj'!C2:C100="Asia Pacific"))),COUNT(_xlfn._xlws.FILTER('TERadj'!TJ2:TJ100, ('TERadj'!TJ2:TJ100&gt;0)*('TERadj'!C2:C100="Asia Pacific"))),"")</f>
        <v>0</v>
      </c>
      <c r="T4" cm="1">
        <f t="array" ref="T4">IF(COUNT(_xlfn._xlws.FILTER('TERadj'!TK2:TK100, ('TERadj'!TK2:TK100&gt;0)*('TERadj'!C2:C100="Asia Pacific"))),COUNT(_xlfn._xlws.FILTER('TERadj'!TK2:TK100, ('TERadj'!TK2:TK100&gt;0)*('TERadj'!C2:C100="Asia Pacific"))),"")</f>
        <v>0</v>
      </c>
      <c r="U4" cm="1">
        <f t="array" ref="U4">IF(COUNT(_xlfn._xlws.FILTER('TERadj'!TL2:TL100, ('TERadj'!TL2:TL100&gt;0)*('TERadj'!C2:C100="Asia Pacific"))),COUNT(_xlfn._xlws.FILTER('TERadj'!TL2:TL100, ('TERadj'!TL2:TL100&gt;0)*('TERadj'!C2:C100="Asia Pacific"))),"")</f>
        <v>0</v>
      </c>
      <c r="V4" cm="1">
        <f t="array" ref="V4">IF(COUNT(_xlfn._xlws.FILTER('TERadj'!TM2:TM100, ('TERadj'!TM2:TM100&gt;0)*('TERadj'!C2:C100="Asia Pacific"))),COUNT(_xlfn._xlws.FILTER('TERadj'!TM2:TM100, ('TERadj'!TM2:TM100&gt;0)*('TERadj'!C2:C100="Asia Pacific"))),"")</f>
        <v>0</v>
      </c>
      <c r="W4" cm="1">
        <f t="array" ref="W4">IF(COUNT(_xlfn._xlws.FILTER('TERadj'!TN2:TN100, ('TERadj'!TN2:TN100&gt;0)*('TERadj'!C2:C100="Asia Pacific"))),COUNT(_xlfn._xlws.FILTER('TERadj'!TN2:TN100, ('TERadj'!TN2:TN100&gt;0)*('TERadj'!C2:C100="Asia Pacific"))),"")</f>
        <v>0</v>
      </c>
      <c r="Y4" cm="1">
        <f t="array" ref="Y4">IF(COUNT(_xlfn._xlws.FILTER('TERadj'!TO2:TO100, ('TERadj'!TO2:TO100&gt;0)*('TERadj'!C2:C100="Asia Pacific"))),COUNT(_xlfn._xlws.FILTER('TERadj'!TO2:TO100, ('TERadj'!TO2:TO100&gt;0)*('TERadj'!C2:C100="Asia Pacific"))),"")</f>
        <v>0</v>
      </c>
      <c r="Z4" cm="1">
        <f t="array" ref="Z4">IF(COUNT(_xlfn._xlws.FILTER('TERadj'!TP2:TP100, ('TERadj'!TP2:TP100&gt;0)*('TERadj'!C2:C100="Asia Pacific"))),COUNT(_xlfn._xlws.FILTER('TERadj'!TP2:TP100, ('TERadj'!TP2:TP100&gt;0)*('TERadj'!C2:C100="Asia Pacific"))),"")</f>
        <v>0</v>
      </c>
      <c r="AA4" cm="1">
        <f t="array" ref="AA4">IF(COUNT(_xlfn._xlws.FILTER('TERadj'!TQ2:TQ100, ('TERadj'!TQ2:TQ100&gt;0)*('TERadj'!C2:C100="Asia Pacific"))),COUNT(_xlfn._xlws.FILTER('TERadj'!TQ2:TQ100, ('TERadj'!TQ2:TQ100&gt;0)*('TERadj'!C2:C100="Asia Pacific"))),"")</f>
        <v>0</v>
      </c>
      <c r="AB4" cm="1">
        <f t="array" ref="AB4">IF(COUNT(_xlfn._xlws.FILTER('TERadj'!TR2:TR100, ('TERadj'!TR2:TR100&gt;0)*('TERadj'!C2:C100="Asia Pacific"))),COUNT(_xlfn._xlws.FILTER('TERadj'!TR2:TR100, ('TERadj'!TR2:TR100&gt;0)*('TERadj'!C2:C100="Asia Pacific"))),"")</f>
        <v>0</v>
      </c>
    </row>
    <row r="5" spans="1:28">
      <c r="B5" t="s">
        <v>840</v>
      </c>
      <c r="C5">
        <f>IF(SUMIFS('TERadj'!TH2:TH100,'TERadj'!TH2:TH100,"&gt;0",'TERadj'!C2:C100,"Europe")/1000,SUMIFS('TERadj'!TH2:TH100,'TERadj'!TH2:TH100,"&gt;0",'TERadj'!C2:C100,"Europe")/1000,"")</f>
        <v>0</v>
      </c>
      <c r="D5">
        <f>IF(SUMIFS('TERadj'!TI2:TI100,'TERadj'!TI2:TI100,"&gt;0",'TERadj'!C2:C100,"Europe")/1000,SUMIFS('TERadj'!TI2:TI100,'TERadj'!TI2:TI100,"&gt;0",'TERadj'!C2:C100,"Europe")/1000,"")</f>
        <v>0</v>
      </c>
      <c r="E5">
        <f>IF(SUMIFS('TERadj'!TJ2:TJ100,'TERadj'!TJ2:TJ100,"&gt;0",'TERadj'!C2:C100,"Europe")/1000,SUMIFS('TERadj'!TJ2:TJ100,'TERadj'!TJ2:TJ100,"&gt;0",'TERadj'!C2:C100,"Europe")/1000,"")</f>
        <v>0</v>
      </c>
      <c r="F5">
        <f>IF(SUMIFS('TERadj'!TK2:TK100,'TERadj'!TK2:TK100,"&gt;0",'TERadj'!C2:C100,"Europe")/1000,SUMIFS('TERadj'!TK2:TK100,'TERadj'!TK2:TK100,"&gt;0",'TERadj'!C2:C100,"Europe")/1000,"")</f>
        <v>0</v>
      </c>
      <c r="G5">
        <f>IF(SUMIFS('TERadj'!TL2:TL100,'TERadj'!TL2:TL100,"&gt;0",'TERadj'!C2:C100,"Europe")/1000,SUMIFS('TERadj'!TL2:TL100,'TERadj'!TL2:TL100,"&gt;0",'TERadj'!C2:C100,"Europe")/1000,"")</f>
        <v>0</v>
      </c>
      <c r="H5">
        <f>IF(SUMIFS('TERadj'!TM2:TM100,'TERadj'!TM2:TM100,"&gt;0",'TERadj'!C2:C100,"Europe")/1000,SUMIFS('TERadj'!TM2:TM100,'TERadj'!TM2:TM100,"&gt;0",'TERadj'!C2:C100,"Europe")/1000,"")</f>
        <v>0</v>
      </c>
      <c r="I5">
        <f>IF(SUMIFS('TERadj'!TN2:TN100,'TERadj'!TN2:TN100,"&gt;0",'TERadj'!C2:C100,"Europe")/1000,SUMIFS('TERadj'!TN2:TN100,'TERadj'!TN2:TN100,"&gt;0",'TERadj'!C2:C100,"Europe")/1000,"")</f>
        <v>0</v>
      </c>
      <c r="K5">
        <f>IF(SUMIFS('TERadj'!TO2:TO100,'TERadj'!TO2:TO100,"&gt;0",'TERadj'!C2:C100,"Europe")/1000,SUMIFS('TERadj'!TO2:TO100,'TERadj'!TO2:TO100,"&gt;0",'TERadj'!C2:C100,"Europe")/1000,"")</f>
        <v>0</v>
      </c>
      <c r="L5">
        <f>IF(SUMIFS('TERadj'!TP2:TP100,'TERadj'!TP2:TP100,"&gt;0",'TERadj'!C2:C100,"Europe")/1000,SUMIFS('TERadj'!TP2:TP100,'TERadj'!TP2:TP100,"&gt;0",'TERadj'!C2:C100,"Europe")/1000,"")</f>
        <v>0</v>
      </c>
      <c r="M5">
        <f>IF(SUMIFS('TERadj'!TQ2:TQ100,'TERadj'!TQ2:TQ100,"&gt;0",'TERadj'!C2:C100,"Europe")/1000,SUMIFS('TERadj'!TQ2:TQ100,'TERadj'!TQ2:TQ100,"&gt;0",'TERadj'!C2:C100,"Europe")/1000,"")</f>
        <v>0</v>
      </c>
      <c r="N5">
        <f>IF(SUMIFS('TERadj'!TR2:TR100,'TERadj'!TR2:TR100,"&gt;0",'TERadj'!C2:C100,"Europe")/1000,SUMIFS('TERadj'!TR2:TR100,'TERadj'!TR2:TR100,"&gt;0",'TERadj'!C2:C100,"Europe")/1000,"")</f>
        <v>0</v>
      </c>
      <c r="P5" t="s">
        <v>840</v>
      </c>
      <c r="Q5" cm="1">
        <f t="array" ref="Q5">IF(COUNT(_xlfn._xlws.FILTER('TERadj'!TH2:TH100, ('TERadj'!TH2:TH100&gt;0)*('TERadj'!C2:C100="Europe"))),COUNT(_xlfn._xlws.FILTER('TERadj'!TH2:TH100, ('TERadj'!TH2:TH100&gt;0)*('TERadj'!C2:C100="Europe"))),"")</f>
        <v>0</v>
      </c>
      <c r="R5" cm="1">
        <f t="array" ref="R5">IF(COUNT(_xlfn._xlws.FILTER('TERadj'!TI2:TI100, ('TERadj'!TI2:TI100&gt;0)*('TERadj'!C2:C100="Europe"))),COUNT(_xlfn._xlws.FILTER('TERadj'!TI2:TI100, ('TERadj'!TI2:TI100&gt;0)*('TERadj'!C2:C100="Europe"))),"")</f>
        <v>0</v>
      </c>
      <c r="S5" cm="1">
        <f t="array" ref="S5">IF(COUNT(_xlfn._xlws.FILTER('TERadj'!TJ2:TJ100, ('TERadj'!TJ2:TJ100&gt;0)*('TERadj'!C2:C100="Europe"))),COUNT(_xlfn._xlws.FILTER('TERadj'!TJ2:TJ100, ('TERadj'!TJ2:TJ100&gt;0)*('TERadj'!C2:C100="Europe"))),"")</f>
        <v>0</v>
      </c>
      <c r="T5" cm="1">
        <f t="array" ref="T5">IF(COUNT(_xlfn._xlws.FILTER('TERadj'!TK2:TK100, ('TERadj'!TK2:TK100&gt;0)*('TERadj'!C2:C100="Europe"))),COUNT(_xlfn._xlws.FILTER('TERadj'!TK2:TK100, ('TERadj'!TK2:TK100&gt;0)*('TERadj'!C2:C100="Europe"))),"")</f>
        <v>0</v>
      </c>
      <c r="U5" cm="1">
        <f t="array" ref="U5">IF(COUNT(_xlfn._xlws.FILTER('TERadj'!TL2:TL100, ('TERadj'!TL2:TL100&gt;0)*('TERadj'!C2:C100="Europe"))),COUNT(_xlfn._xlws.FILTER('TERadj'!TL2:TL100, ('TERadj'!TL2:TL100&gt;0)*('TERadj'!C2:C100="Europe"))),"")</f>
        <v>0</v>
      </c>
      <c r="V5" cm="1">
        <f t="array" ref="V5">IF(COUNT(_xlfn._xlws.FILTER('TERadj'!TM2:TM100, ('TERadj'!TM2:TM100&gt;0)*('TERadj'!C2:C100="Europe"))),COUNT(_xlfn._xlws.FILTER('TERadj'!TM2:TM100, ('TERadj'!TM2:TM100&gt;0)*('TERadj'!C2:C100="Europe"))),"")</f>
        <v>0</v>
      </c>
      <c r="W5" cm="1">
        <f t="array" ref="W5">IF(COUNT(_xlfn._xlws.FILTER('TERadj'!TN2:TN100, ('TERadj'!TN2:TN100&gt;0)*('TERadj'!C2:C100="Europe"))),COUNT(_xlfn._xlws.FILTER('TERadj'!TN2:TN100, ('TERadj'!TN2:TN100&gt;0)*('TERadj'!C2:C100="Europe"))),"")</f>
        <v>0</v>
      </c>
      <c r="Y5" cm="1">
        <f t="array" ref="Y5">IF(COUNT(_xlfn._xlws.FILTER('TERadj'!TO2:TO100, ('TERadj'!TO2:TO100&gt;0)*('TERadj'!C2:C100="Europe"))),COUNT(_xlfn._xlws.FILTER('TERadj'!TO2:TO100, ('TERadj'!TO2:TO100&gt;0)*('TERadj'!C2:C100="Europe"))),"")</f>
        <v>0</v>
      </c>
      <c r="Z5" cm="1">
        <f t="array" ref="Z5">IF(COUNT(_xlfn._xlws.FILTER('TERadj'!TP2:TP100, ('TERadj'!TP2:TP100&gt;0)*('TERadj'!C2:C100="Europe"))),COUNT(_xlfn._xlws.FILTER('TERadj'!TP2:TP100, ('TERadj'!TP2:TP100&gt;0)*('TERadj'!C2:C100="Europe"))),"")</f>
        <v>0</v>
      </c>
      <c r="AA5" cm="1">
        <f t="array" ref="AA5">IF(COUNT(_xlfn._xlws.FILTER('TERadj'!TQ2:TQ100, ('TERadj'!TQ2:TQ100&gt;0)*('TERadj'!C2:C100="Europe"))),COUNT(_xlfn._xlws.FILTER('TERadj'!TQ2:TQ100, ('TERadj'!TQ2:TQ100&gt;0)*('TERadj'!C2:C100="Europe"))),"")</f>
        <v>0</v>
      </c>
      <c r="AB5" cm="1">
        <f t="array" ref="AB5">IF(COUNT(_xlfn._xlws.FILTER('TERadj'!TR2:TR100, ('TERadj'!TR2:TR100&gt;0)*('TERadj'!C2:C100="Europe"))),COUNT(_xlfn._xlws.FILTER('TERadj'!TR2:TR100, ('TERadj'!TR2:TR100&gt;0)*('TERadj'!C2:C100="Europe"))),"")</f>
        <v>0</v>
      </c>
    </row>
    <row r="6" spans="1:28">
      <c r="B6" t="s">
        <v>838</v>
      </c>
      <c r="C6">
        <f>IF(SUMIFS('TERadj'!TH2:TH100,'TERadj'!TH2:TH100,"&gt;0",'TERadj'!C2:C100,"North America")/1000,SUMIFS('TERadj'!TH2:TH100,'TERadj'!TH2:TH100,"&gt;0",'TERadj'!C2:C100,"North America")/1000,"")</f>
        <v>0</v>
      </c>
      <c r="D6">
        <f>IF(SUMIFS('TERadj'!TI2:TI100,'TERadj'!TI2:TI100,"&gt;0",'TERadj'!C2:C100,"North America")/1000,SUMIFS('TERadj'!TI2:TI100,'TERadj'!TI2:TI100,"&gt;0",'TERadj'!C2:C100,"North America")/1000,"")</f>
        <v>0</v>
      </c>
      <c r="E6">
        <f>IF(SUMIFS('TERadj'!TJ2:TJ100,'TERadj'!TJ2:TJ100,"&gt;0",'TERadj'!C2:C100,"North America")/1000,SUMIFS('TERadj'!TJ2:TJ100,'TERadj'!TJ2:TJ100,"&gt;0",'TERadj'!C2:C100,"North America")/1000,"")</f>
        <v>0</v>
      </c>
      <c r="F6">
        <f>IF(SUMIFS('TERadj'!TK2:TK100,'TERadj'!TK2:TK100,"&gt;0",'TERadj'!C2:C100,"North America")/1000,SUMIFS('TERadj'!TK2:TK100,'TERadj'!TK2:TK100,"&gt;0",'TERadj'!C2:C100,"North America")/1000,"")</f>
        <v>0</v>
      </c>
      <c r="G6">
        <f>IF(SUMIFS('TERadj'!TL2:TL100,'TERadj'!TL2:TL100,"&gt;0",'TERadj'!C2:C100,"North America")/1000,SUMIFS('TERadj'!TL2:TL100,'TERadj'!TL2:TL100,"&gt;0",'TERadj'!C2:C100,"North America")/1000,"")</f>
        <v>0</v>
      </c>
      <c r="H6">
        <f>IF(SUMIFS('TERadj'!TM2:TM100,'TERadj'!TM2:TM100,"&gt;0",'TERadj'!C2:C100,"North America")/1000,SUMIFS('TERadj'!TM2:TM100,'TERadj'!TM2:TM100,"&gt;0",'TERadj'!C2:C100,"North America")/1000,"")</f>
        <v>0</v>
      </c>
      <c r="I6">
        <f>IF(SUMIFS('TERadj'!TN2:TN100,'TERadj'!TN2:TN100,"&gt;0",'TERadj'!C2:C100,"North America")/1000,SUMIFS('TERadj'!TN2:TN100,'TERadj'!TN2:TN100,"&gt;0",'TERadj'!C2:C100,"North America")/1000,"")</f>
        <v>0</v>
      </c>
      <c r="K6">
        <f>IF(SUMIFS('TERadj'!TO2:TO100,'TERadj'!TO2:TO100,"&gt;0",'TERadj'!C2:C100,"North America")/1000,SUMIFS('TERadj'!TO2:TO100,'TERadj'!TO2:TO100,"&gt;0",'TERadj'!C2:C100,"North America")/1000,"")</f>
        <v>0</v>
      </c>
      <c r="L6">
        <f>IF(SUMIFS('TERadj'!TP2:TP100,'TERadj'!TP2:TP100,"&gt;0",'TERadj'!C2:C100,"North America")/1000,SUMIFS('TERadj'!TP2:TP100,'TERadj'!TP2:TP100,"&gt;0",'TERadj'!C2:C100,"North America")/1000,"")</f>
        <v>0</v>
      </c>
      <c r="M6">
        <f>IF(SUMIFS('TERadj'!TQ2:TQ100,'TERadj'!TQ2:TQ100,"&gt;0",'TERadj'!C2:C100,"North America")/1000,SUMIFS('TERadj'!TQ2:TQ100,'TERadj'!TQ2:TQ100,"&gt;0",'TERadj'!C2:C100,"North America")/1000,"")</f>
        <v>0</v>
      </c>
      <c r="N6">
        <f>IF(SUMIFS('TERadj'!TR2:TR100,'TERadj'!TR2:TR100,"&gt;0",'TERadj'!C2:C100,"North America")/1000,SUMIFS('TERadj'!TR2:TR100,'TERadj'!TR2:TR100,"&gt;0",'TERadj'!C2:C100,"North America")/1000,"")</f>
        <v>0</v>
      </c>
      <c r="P6" t="s">
        <v>838</v>
      </c>
      <c r="Q6" cm="1">
        <f t="array" ref="Q6">IF(COUNT(_xlfn._xlws.FILTER('TERadj'!TH2:TH100, ('TERadj'!TH2:TH100&gt;0)*('TERadj'!C2:C100="North America"))),COUNT(_xlfn._xlws.FILTER('TERadj'!TH2:TH100, ('TERadj'!TH2:TH100&gt;0)*('TERadj'!C2:C100="North America"))),"")</f>
        <v>0</v>
      </c>
      <c r="R6" cm="1">
        <f t="array" ref="R6">IF(COUNT(_xlfn._xlws.FILTER('TERadj'!TI2:TI100, ('TERadj'!TI2:TI100&gt;0)*('TERadj'!C2:C100="North America"))),COUNT(_xlfn._xlws.FILTER('TERadj'!TI2:TI100, ('TERadj'!TI2:TI100&gt;0)*('TERadj'!C2:C100="North America"))),"")</f>
        <v>0</v>
      </c>
      <c r="S6" cm="1">
        <f t="array" ref="S6">IF(COUNT(_xlfn._xlws.FILTER('TERadj'!TJ2:TJ100, ('TERadj'!TJ2:TJ100&gt;0)*('TERadj'!C2:C100="North America"))),COUNT(_xlfn._xlws.FILTER('TERadj'!TJ2:TJ100, ('TERadj'!TJ2:TJ100&gt;0)*('TERadj'!C2:C100="North America"))),"")</f>
        <v>0</v>
      </c>
      <c r="T6" cm="1">
        <f t="array" ref="T6">IF(COUNT(_xlfn._xlws.FILTER('TERadj'!TK2:TK100, ('TERadj'!TK2:TK100&gt;0)*('TERadj'!C2:C100="North America"))),COUNT(_xlfn._xlws.FILTER('TERadj'!TK2:TK100, ('TERadj'!TK2:TK100&gt;0)*('TERadj'!C2:C100="North America"))),"")</f>
        <v>0</v>
      </c>
      <c r="U6" cm="1">
        <f t="array" ref="U6">IF(COUNT(_xlfn._xlws.FILTER('TERadj'!TL2:TL100, ('TERadj'!TL2:TL100&gt;0)*('TERadj'!C2:C100="North America"))),COUNT(_xlfn._xlws.FILTER('TERadj'!TL2:TL100, ('TERadj'!TL2:TL100&gt;0)*('TERadj'!C2:C100="North America"))),"")</f>
        <v>0</v>
      </c>
      <c r="V6" cm="1">
        <f t="array" ref="V6">IF(COUNT(_xlfn._xlws.FILTER('TERadj'!TM2:TM100, ('TERadj'!TM2:TM100&gt;0)*('TERadj'!C2:C100="North America"))),COUNT(_xlfn._xlws.FILTER('TERadj'!TM2:TM100, ('TERadj'!TM2:TM100&gt;0)*('TERadj'!C2:C100="North America"))),"")</f>
        <v>0</v>
      </c>
      <c r="W6" cm="1">
        <f t="array" ref="W6">IF(COUNT(_xlfn._xlws.FILTER('TERadj'!TN2:TN100, ('TERadj'!TN2:TN100&gt;0)*('TERadj'!C2:C100="North America"))),COUNT(_xlfn._xlws.FILTER('TERadj'!TN2:TN100, ('TERadj'!TN2:TN100&gt;0)*('TERadj'!C2:C100="North America"))),"")</f>
        <v>0</v>
      </c>
      <c r="Y6" cm="1">
        <f t="array" ref="Y6">IF(COUNT(_xlfn._xlws.FILTER('TERadj'!TO2:TO100, ('TERadj'!TO2:TO100&gt;0)*('TERadj'!C2:C100="North America"))),COUNT(_xlfn._xlws.FILTER('TERadj'!TO2:TO100, ('TERadj'!TO2:TO100&gt;0)*('TERadj'!C2:C100="North America"))),"")</f>
        <v>0</v>
      </c>
      <c r="Z6" cm="1">
        <f t="array" ref="Z6">IF(COUNT(_xlfn._xlws.FILTER('TERadj'!TP2:TP100, ('TERadj'!TP2:TP100&gt;0)*('TERadj'!C2:C100="North America"))),COUNT(_xlfn._xlws.FILTER('TERadj'!TP2:TP100, ('TERadj'!TP2:TP100&gt;0)*('TERadj'!C2:C100="North America"))),"")</f>
        <v>0</v>
      </c>
      <c r="AA6" cm="1">
        <f t="array" ref="AA6">IF(COUNT(_xlfn._xlws.FILTER('TERadj'!TQ2:TQ100, ('TERadj'!TQ2:TQ100&gt;0)*('TERadj'!C2:C100="North America"))),COUNT(_xlfn._xlws.FILTER('TERadj'!TQ2:TQ100, ('TERadj'!TQ2:TQ100&gt;0)*('TERadj'!C2:C100="North America"))),"")</f>
        <v>0</v>
      </c>
      <c r="AB6" cm="1">
        <f t="array" ref="AB6">IF(COUNT(_xlfn._xlws.FILTER('TERadj'!TR2:TR100, ('TERadj'!TR2:TR100&gt;0)*('TERadj'!C2:C100="North America"))),COUNT(_xlfn._xlws.FILTER('TERadj'!TR2:TR100, ('TERadj'!TR2:TR100&gt;0)*('TERadj'!C2:C100="North America"))),"")</f>
        <v>0</v>
      </c>
    </row>
    <row r="7" spans="1:28">
      <c r="B7" t="s">
        <v>841</v>
      </c>
      <c r="C7">
        <f>IF(SUMIFS('TERadj'!TH2:TH100,'TERadj'!TH2:TH100,"&gt;0",'TERadj'!C2:C100,"South America")/1000,SUMIFS('TERadj'!TH2:TH100,'TERadj'!TH2:TH100,"&gt;0",'TERadj'!C2:C100,"South America")/1000,"")</f>
        <v>0</v>
      </c>
      <c r="D7">
        <f>IF(SUMIFS('TERadj'!TI2:TI100,'TERadj'!TI2:TI100,"&gt;0",'TERadj'!C2:C100,"South America")/1000,SUMIFS('TERadj'!TI2:TI100,'TERadj'!TI2:TI100,"&gt;0",'TERadj'!C2:C100,"South America")/1000,"")</f>
        <v>0</v>
      </c>
      <c r="E7">
        <f>IF(SUMIFS('TERadj'!TJ2:TJ100,'TERadj'!TJ2:TJ100,"&gt;0",'TERadj'!C2:C100,"South America")/1000,SUMIFS('TERadj'!TJ2:TJ100,'TERadj'!TJ2:TJ100,"&gt;0",'TERadj'!C2:C100,"South America")/1000,"")</f>
        <v>0</v>
      </c>
      <c r="F7">
        <f>IF(SUMIFS('TERadj'!TK2:TK100,'TERadj'!TK2:TK100,"&gt;0",'TERadj'!C2:C100,"South America")/1000,SUMIFS('TERadj'!TK2:TK100,'TERadj'!TK2:TK100,"&gt;0",'TERadj'!C2:C100,"South America")/1000,"")</f>
        <v>0</v>
      </c>
      <c r="G7">
        <f>IF(SUMIFS('TERadj'!TL2:TL100,'TERadj'!TL2:TL100,"&gt;0",'TERadj'!C2:C100,"South America")/1000,SUMIFS('TERadj'!TL2:TL100,'TERadj'!TL2:TL100,"&gt;0",'TERadj'!C2:C100,"South America")/1000,"")</f>
        <v>0</v>
      </c>
      <c r="H7">
        <f>IF(SUMIFS('TERadj'!TM2:TM100,'TERadj'!TM2:TM100,"&gt;0",'TERadj'!C2:C100,"South America")/1000,SUMIFS('TERadj'!TM2:TM100,'TERadj'!TM2:TM100,"&gt;0",'TERadj'!C2:C100,"South America")/1000,"")</f>
        <v>0</v>
      </c>
      <c r="I7">
        <f>IF(SUMIFS('TERadj'!TN2:TN100,'TERadj'!TN2:TN100,"&gt;0",'TERadj'!C2:C100,"South America")/1000,SUMIFS('TERadj'!TN2:TN100,'TERadj'!TN2:TN100,"&gt;0",'TERadj'!C2:C100,"South America")/1000,"")</f>
        <v>0</v>
      </c>
      <c r="K7">
        <f>IF(SUMIFS('TERadj'!TO2:TO100,'TERadj'!TO2:TO100,"&gt;0",'TERadj'!C2:C100,"South America")/1000,SUMIFS('TERadj'!TO2:TO100,'TERadj'!TO2:TO100,"&gt;0",'TERadj'!C2:C100,"South America")/1000,"")</f>
        <v>0</v>
      </c>
      <c r="L7">
        <f>IF(SUMIFS('TERadj'!TP2:TP100,'TERadj'!TP2:TP100,"&gt;0",'TERadj'!C2:C100,"South America")/1000,SUMIFS('TERadj'!TP2:TP100,'TERadj'!TP2:TP100,"&gt;0",'TERadj'!C2:C100,"South America")/1000,"")</f>
        <v>0</v>
      </c>
      <c r="M7">
        <f>IF(SUMIFS('TERadj'!TQ2:TQ100,'TERadj'!TQ2:TQ100,"&gt;0",'TERadj'!C2:C100,"South America")/1000,SUMIFS('TERadj'!TQ2:TQ100,'TERadj'!TQ2:TQ100,"&gt;0",'TERadj'!C2:C100,"South America")/1000,"")</f>
        <v>0</v>
      </c>
      <c r="N7">
        <f>IF(SUMIFS('TERadj'!TR2:TR100,'TERadj'!TR2:TR100,"&gt;0",'TERadj'!C2:C100,"South America")/1000,SUMIFS('TERadj'!TR2:TR100,'TERadj'!TR2:TR100,"&gt;0",'TERadj'!C2:C100,"South America")/1000,"")</f>
        <v>0</v>
      </c>
      <c r="P7" t="s">
        <v>841</v>
      </c>
      <c r="Q7" cm="1">
        <f t="array" ref="Q7">IF(COUNT(_xlfn._xlws.FILTER('TERadj'!TH2:TH100, ('TERadj'!TH2:TH100&gt;0)*('TERadj'!C2:C100="South America"))),COUNT(_xlfn._xlws.FILTER('TERadj'!TH2:TH100, ('TERadj'!TH2:TH100&gt;0)*('TERadj'!C2:C100="South America"))),"")</f>
        <v>0</v>
      </c>
      <c r="R7" cm="1">
        <f t="array" ref="R7">IF(COUNT(_xlfn._xlws.FILTER('TERadj'!TI2:TI100, ('TERadj'!TI2:TI100&gt;0)*('TERadj'!C2:C100="South America"))),COUNT(_xlfn._xlws.FILTER('TERadj'!TI2:TI100, ('TERadj'!TI2:TI100&gt;0)*('TERadj'!C2:C100="South America"))),"")</f>
        <v>0</v>
      </c>
      <c r="S7" cm="1">
        <f t="array" ref="S7">IF(COUNT(_xlfn._xlws.FILTER('TERadj'!TJ2:TJ100, ('TERadj'!TJ2:TJ100&gt;0)*('TERadj'!C2:C100="South America"))),COUNT(_xlfn._xlws.FILTER('TERadj'!TJ2:TJ100, ('TERadj'!TJ2:TJ100&gt;0)*('TERadj'!C2:C100="South America"))),"")</f>
        <v>0</v>
      </c>
      <c r="T7" cm="1">
        <f t="array" ref="T7">IF(COUNT(_xlfn._xlws.FILTER('TERadj'!TK2:TK100, ('TERadj'!TK2:TK100&gt;0)*('TERadj'!C2:C100="South America"))),COUNT(_xlfn._xlws.FILTER('TERadj'!TK2:TK100, ('TERadj'!TK2:TK100&gt;0)*('TERadj'!C2:C100="South America"))),"")</f>
        <v>0</v>
      </c>
      <c r="U7" cm="1">
        <f t="array" ref="U7">IF(COUNT(_xlfn._xlws.FILTER('TERadj'!TL2:TL100, ('TERadj'!TL2:TL100&gt;0)*('TERadj'!C2:C100="South America"))),COUNT(_xlfn._xlws.FILTER('TERadj'!TL2:TL100, ('TERadj'!TL2:TL100&gt;0)*('TERadj'!C2:C100="South America"))),"")</f>
        <v>0</v>
      </c>
      <c r="V7" cm="1">
        <f t="array" ref="V7">IF(COUNT(_xlfn._xlws.FILTER('TERadj'!TM2:TM100, ('TERadj'!TM2:TM100&gt;0)*('TERadj'!C2:C100="South America"))),COUNT(_xlfn._xlws.FILTER('TERadj'!TM2:TM100, ('TERadj'!TM2:TM100&gt;0)*('TERadj'!C2:C100="South America"))),"")</f>
        <v>0</v>
      </c>
      <c r="W7" cm="1">
        <f t="array" ref="W7">IF(COUNT(_xlfn._xlws.FILTER('TERadj'!TN2:TN100, ('TERadj'!TN2:TN100&gt;0)*('TERadj'!C2:C100="South America"))),COUNT(_xlfn._xlws.FILTER('TERadj'!TN2:TN100, ('TERadj'!TN2:TN100&gt;0)*('TERadj'!C2:C100="South America"))),"")</f>
        <v>0</v>
      </c>
      <c r="Y7" cm="1">
        <f t="array" ref="Y7">IF(COUNT(_xlfn._xlws.FILTER('TERadj'!TO2:TO100, ('TERadj'!TO2:TO100&gt;0)*('TERadj'!C2:C100="South America"))),COUNT(_xlfn._xlws.FILTER('TERadj'!TO2:TO100, ('TERadj'!TO2:TO100&gt;0)*('TERadj'!C2:C100="South America"))),"")</f>
        <v>0</v>
      </c>
      <c r="Z7" cm="1">
        <f t="array" ref="Z7">IF(COUNT(_xlfn._xlws.FILTER('TERadj'!TP2:TP100, ('TERadj'!TP2:TP100&gt;0)*('TERadj'!C2:C100="South America"))),COUNT(_xlfn._xlws.FILTER('TERadj'!TP2:TP100, ('TERadj'!TP2:TP100&gt;0)*('TERadj'!C2:C100="South America"))),"")</f>
        <v>0</v>
      </c>
      <c r="AA7" cm="1">
        <f t="array" ref="AA7">IF(COUNT(_xlfn._xlws.FILTER('TERadj'!TQ2:TQ100, ('TERadj'!TQ2:TQ100&gt;0)*('TERadj'!C2:C100="South America"))),COUNT(_xlfn._xlws.FILTER('TERadj'!TQ2:TQ100, ('TERadj'!TQ2:TQ100&gt;0)*('TERadj'!C2:C100="South America"))),"")</f>
        <v>0</v>
      </c>
      <c r="AB7" cm="1">
        <f t="array" ref="AB7">IF(COUNT(_xlfn._xlws.FILTER('TERadj'!TR2:TR100, ('TERadj'!TR2:TR100&gt;0)*('TERadj'!C2:C100="South America"))),COUNT(_xlfn._xlws.FILTER('TERadj'!TR2:TR100, ('TERadj'!TR2:TR100&gt;0)*('TERadj'!C2:C100="South America"))),"")</f>
        <v>0</v>
      </c>
    </row>
    <row r="8" spans="1:28">
      <c r="B8" t="s">
        <v>898</v>
      </c>
      <c r="C8">
        <f>IF(SUMIFS('TERadj'!TH2:TH100,'TERadj'!TH2:TH100,"&gt;0",'TERadj'!C2:C100,"Africa")/1000,SUMIFS('TERadj'!TH2:TH100,'TERadj'!TH2:TH100,"&gt;0",'TERadj'!C2:C100,"Africa")/1000,"")</f>
        <v>0</v>
      </c>
      <c r="D8">
        <f>IF(SUMIFS('TERadj'!TI2:TI100,'TERadj'!TI2:TI100,"&gt;0",'TERadj'!C2:C100,"Africa")/1000,SUMIFS('TERadj'!TI2:TI100,'TERadj'!TI2:TI100,"&gt;0",'TERadj'!C2:C100,"Africa")/1000,"")</f>
        <v>0</v>
      </c>
      <c r="E8">
        <f>IF(SUMIFS('TERadj'!TJ2:TJ100,'TERadj'!TJ2:TJ100,"&gt;0",'TERadj'!C2:C100,"Africa")/1000,SUMIFS('TERadj'!TJ2:TJ100,'TERadj'!TJ2:TJ100,"&gt;0",'TERadj'!C2:C100,"Africa")/1000,"")</f>
        <v>0</v>
      </c>
      <c r="F8">
        <f>IF(SUMIFS('TERadj'!TK2:TK100,'TERadj'!TK2:TK100,"&gt;0",'TERadj'!C2:C100,"Africa")/1000,SUMIFS('TERadj'!TK2:TK100,'TERadj'!TK2:TK100,"&gt;0",'TERadj'!C2:C100,"Africa")/1000,"")</f>
        <v>0</v>
      </c>
      <c r="G8">
        <f>IF(SUMIFS('TERadj'!TL2:TL100,'TERadj'!TL2:TL100,"&gt;0",'TERadj'!C2:C100,"Africa")/1000,SUMIFS('TERadj'!TL2:TL100,'TERadj'!TL2:TL100,"&gt;0",'TERadj'!C2:C100,"Africa")/1000,"")</f>
        <v>0</v>
      </c>
      <c r="H8">
        <f>IF(SUMIFS('TERadj'!TM2:TM100,'TERadj'!TM2:TM100,"&gt;0",'TERadj'!C2:C100,"Africa")/1000,SUMIFS('TERadj'!TM2:TM100,'TERadj'!TM2:TM100,"&gt;0",'TERadj'!C2:C100,"Africa")/1000,"")</f>
        <v>0</v>
      </c>
      <c r="I8">
        <f>IF(SUMIFS('TERadj'!TN2:TN100,'TERadj'!TN2:TN100,"&gt;0",'TERadj'!C2:C100,"Africa")/1000,SUMIFS('TERadj'!TN2:TN100,'TERadj'!TN2:TN100,"&gt;0",'TERadj'!C2:C100,"Africa")/1000,"")</f>
        <v>0</v>
      </c>
      <c r="K8">
        <f>IF(SUMIFS('TERadj'!TO2:TO100,'TERadj'!TO2:TO100,"&gt;0",'TERadj'!C2:C100,"Africa")/1000,SUMIFS('TERadj'!TO2:TO100,'TERadj'!TO2:TO100,"&gt;0",'TERadj'!C2:C100,"Africa")/1000,"")</f>
        <v>0</v>
      </c>
      <c r="L8">
        <f>IF(SUMIFS('TERadj'!TP2:TP100,'TERadj'!TP2:TP100,"&gt;0",'TERadj'!C2:C100,"Africa")/1000,SUMIFS('TERadj'!TP2:TP100,'TERadj'!TP2:TP100,"&gt;0",'TERadj'!C2:C100,"Africa")/1000,"")</f>
        <v>0</v>
      </c>
      <c r="M8">
        <f>IF(SUMIFS('TERadj'!TQ2:TQ100,'TERadj'!TQ2:TQ100,"&gt;0",'TERadj'!C2:C100,"Africa")/1000,SUMIFS('TERadj'!TQ2:TQ100,'TERadj'!TQ2:TQ100,"&gt;0",'TERadj'!C2:C100,"Africa")/1000,"")</f>
        <v>0</v>
      </c>
      <c r="N8">
        <f>IF(SUMIFS('TERadj'!TR2:TR100,'TERadj'!TR2:TR100,"&gt;0",'TERadj'!C2:C100,"Africa")/1000,SUMIFS('TERadj'!TR2:TR100,'TERadj'!TR2:TR100,"&gt;0",'TERadj'!C2:C100,"Africa")/1000,"")</f>
        <v>0</v>
      </c>
      <c r="P8" t="s">
        <v>898</v>
      </c>
      <c r="Q8" cm="1">
        <f t="array" ref="Q8">IF(COUNT(_xlfn._xlws.FILTER('TERadj'!TH2:TH100, ('TERadj'!TH2:TH100&gt;0)*('TERadj'!C2:C100="Africa"))),COUNT(_xlfn._xlws.FILTER('TERadj'!TH2:TH100, ('TERadj'!TH2:TH100&gt;0)*('TERadj'!C2:C100="Africa"))),"")</f>
        <v>0</v>
      </c>
      <c r="R8" cm="1">
        <f t="array" ref="R8">IF(COUNT(_xlfn._xlws.FILTER('TERadj'!TI2:TI100, ('TERadj'!TI2:TI100&gt;0)*('TERadj'!C2:C100="Africa"))),COUNT(_xlfn._xlws.FILTER('TERadj'!TI2:TI100, ('TERadj'!TI2:TI100&gt;0)*('TERadj'!C2:C100="Africa"))),"")</f>
        <v>0</v>
      </c>
      <c r="S8" cm="1">
        <f t="array" ref="S8">IF(COUNT(_xlfn._xlws.FILTER('TERadj'!TJ2:TJ100, ('TERadj'!TJ2:TJ100&gt;0)*('TERadj'!C2:C100="Africa"))),COUNT(_xlfn._xlws.FILTER('TERadj'!TJ2:TJ100, ('TERadj'!TJ2:TJ100&gt;0)*('TERadj'!C2:C100="Africa"))),"")</f>
        <v>0</v>
      </c>
      <c r="T8" cm="1">
        <f t="array" ref="T8">IF(COUNT(_xlfn._xlws.FILTER('TERadj'!TK2:TK100, ('TERadj'!TK2:TK100&gt;0)*('TERadj'!C2:C100="Africa"))),COUNT(_xlfn._xlws.FILTER('TERadj'!TK2:TK100, ('TERadj'!TK2:TK100&gt;0)*('TERadj'!C2:C100="Africa"))),"")</f>
        <v>0</v>
      </c>
      <c r="U8" cm="1">
        <f t="array" ref="U8">IF(COUNT(_xlfn._xlws.FILTER('TERadj'!TL2:TL100, ('TERadj'!TL2:TL100&gt;0)*('TERadj'!C2:C100="Africa"))),COUNT(_xlfn._xlws.FILTER('TERadj'!TL2:TL100, ('TERadj'!TL2:TL100&gt;0)*('TERadj'!C2:C100="Africa"))),"")</f>
        <v>0</v>
      </c>
      <c r="V8" cm="1">
        <f t="array" ref="V8">IF(COUNT(_xlfn._xlws.FILTER('TERadj'!TM2:TM100, ('TERadj'!TM2:TM100&gt;0)*('TERadj'!C2:C100="Africa"))),COUNT(_xlfn._xlws.FILTER('TERadj'!TM2:TM100, ('TERadj'!TM2:TM100&gt;0)*('TERadj'!C2:C100="Africa"))),"")</f>
        <v>0</v>
      </c>
      <c r="W8" cm="1">
        <f t="array" ref="W8">IF(COUNT(_xlfn._xlws.FILTER('TERadj'!TN2:TN100, ('TERadj'!TN2:TN100&gt;0)*('TERadj'!C2:C100="Africa"))),COUNT(_xlfn._xlws.FILTER('TERadj'!TN2:TN100, ('TERadj'!TN2:TN100&gt;0)*('TERadj'!C2:C100="Africa"))),"")</f>
        <v>0</v>
      </c>
      <c r="Y8" cm="1">
        <f t="array" ref="Y8">IF(COUNT(_xlfn._xlws.FILTER('TERadj'!TO2:TO100, ('TERadj'!TO2:TO100&gt;0)*('TERadj'!C2:C100="Africa"))),COUNT(_xlfn._xlws.FILTER('TERadj'!TO2:TO100, ('TERadj'!TO2:TO100&gt;0)*('TERadj'!C2:C100="Africa"))),"")</f>
        <v>0</v>
      </c>
      <c r="Z8" cm="1">
        <f t="array" ref="Z8">IF(COUNT(_xlfn._xlws.FILTER('TERadj'!TP2:TP100, ('TERadj'!TP2:TP100&gt;0)*('TERadj'!C2:C100="Africa"))),COUNT(_xlfn._xlws.FILTER('TERadj'!TP2:TP100, ('TERadj'!TP2:TP100&gt;0)*('TERadj'!C2:C100="Africa"))),"")</f>
        <v>0</v>
      </c>
      <c r="AA8" cm="1">
        <f t="array" ref="AA8">IF(COUNT(_xlfn._xlws.FILTER('TERadj'!TQ2:TQ100, ('TERadj'!TQ2:TQ100&gt;0)*('TERadj'!C2:C100="Africa"))),COUNT(_xlfn._xlws.FILTER('TERadj'!TQ2:TQ100, ('TERadj'!TQ2:TQ100&gt;0)*('TERadj'!C2:C100="Africa"))),"")</f>
        <v>0</v>
      </c>
      <c r="AB8" cm="1">
        <f t="array" ref="AB8">IF(COUNT(_xlfn._xlws.FILTER('TERadj'!TR2:TR100, ('TERadj'!TR2:TR100&gt;0)*('TERadj'!C2:C100="Africa"))),COUNT(_xlfn._xlws.FILTER('TERadj'!TR2:TR100, ('TERadj'!TR2:TR100&gt;0)*('TERadj'!C2:C100="Africa"))),"")</f>
        <v>0</v>
      </c>
    </row>
    <row r="10" spans="1:28">
      <c r="B10" t="s">
        <v>915</v>
      </c>
      <c r="C10" t="s">
        <v>1027</v>
      </c>
      <c r="D10" t="s">
        <v>1028</v>
      </c>
      <c r="E10" t="s">
        <v>1029</v>
      </c>
      <c r="F10" t="s">
        <v>1030</v>
      </c>
      <c r="G10" t="s">
        <v>1031</v>
      </c>
      <c r="H10" t="s">
        <v>1032</v>
      </c>
      <c r="I10" t="s">
        <v>1033</v>
      </c>
      <c r="J10" t="s">
        <v>1034</v>
      </c>
      <c r="K10" t="s">
        <v>894</v>
      </c>
      <c r="L10" t="s">
        <v>1035</v>
      </c>
      <c r="M10" t="s">
        <v>1036</v>
      </c>
      <c r="N10" t="s">
        <v>1037</v>
      </c>
    </row>
    <row r="11" spans="1:28">
      <c r="B11" t="s">
        <v>839</v>
      </c>
      <c r="C11" s="4">
        <f>C4</f>
        <v>0</v>
      </c>
      <c r="D11" s="4">
        <f>D4</f>
        <v>0</v>
      </c>
      <c r="E11" s="4">
        <f>E4</f>
        <v>0</v>
      </c>
      <c r="F11" s="4">
        <f>F4</f>
        <v>0</v>
      </c>
      <c r="G11" s="4">
        <f>G4</f>
        <v>0</v>
      </c>
      <c r="H11" s="4">
        <f>H4</f>
        <v>0</v>
      </c>
      <c r="I11" s="4">
        <f>I4</f>
        <v>0</v>
      </c>
      <c r="J11" s="4">
        <f>J4</f>
        <v>0</v>
      </c>
      <c r="K11" s="4">
        <f>K4</f>
        <v>0</v>
      </c>
      <c r="L11" s="4">
        <f>L4</f>
        <v>0</v>
      </c>
      <c r="M11" s="4">
        <f>M4</f>
        <v>0</v>
      </c>
      <c r="N11" s="4">
        <f>N4</f>
        <v>0</v>
      </c>
    </row>
    <row r="12" spans="1:28">
      <c r="B12" t="s">
        <v>840</v>
      </c>
      <c r="C12" s="4">
        <f>C5</f>
        <v>0</v>
      </c>
      <c r="D12" s="4">
        <f>D5</f>
        <v>0</v>
      </c>
      <c r="E12" s="4">
        <f>E5</f>
        <v>0</v>
      </c>
      <c r="F12" s="4">
        <f>F5</f>
        <v>0</v>
      </c>
      <c r="G12" s="4">
        <f>G5</f>
        <v>0</v>
      </c>
      <c r="H12" s="4">
        <f>H5</f>
        <v>0</v>
      </c>
      <c r="I12" s="4">
        <f>I5</f>
        <v>0</v>
      </c>
      <c r="J12" s="4">
        <f>J5</f>
        <v>0</v>
      </c>
      <c r="K12" s="4">
        <f>K5</f>
        <v>0</v>
      </c>
      <c r="L12" s="4">
        <f>L5</f>
        <v>0</v>
      </c>
      <c r="M12" s="4">
        <f>M5</f>
        <v>0</v>
      </c>
      <c r="N12" s="4">
        <f>N5</f>
        <v>0</v>
      </c>
    </row>
    <row r="13" spans="1:28">
      <c r="B13" t="s">
        <v>838</v>
      </c>
      <c r="C13" s="4">
        <f>C6</f>
        <v>0</v>
      </c>
      <c r="D13" s="4">
        <f>D6</f>
        <v>0</v>
      </c>
      <c r="E13" s="4">
        <f>E6</f>
        <v>0</v>
      </c>
      <c r="F13" s="4">
        <f>F6</f>
        <v>0</v>
      </c>
      <c r="G13" s="4">
        <f>G6</f>
        <v>0</v>
      </c>
      <c r="H13" s="4">
        <f>H6</f>
        <v>0</v>
      </c>
      <c r="I13" s="4">
        <f>I6</f>
        <v>0</v>
      </c>
      <c r="J13" s="4">
        <f>J6</f>
        <v>0</v>
      </c>
      <c r="K13" s="4">
        <f>K6</f>
        <v>0</v>
      </c>
      <c r="L13" s="4">
        <f>L6</f>
        <v>0</v>
      </c>
      <c r="M13" s="4">
        <f>M6</f>
        <v>0</v>
      </c>
      <c r="N13" s="4">
        <f>N6</f>
        <v>0</v>
      </c>
    </row>
    <row r="14" spans="1:28">
      <c r="B14" t="s">
        <v>841</v>
      </c>
      <c r="C14" s="4">
        <f>C7</f>
        <v>0</v>
      </c>
      <c r="D14" s="4">
        <f>D7</f>
        <v>0</v>
      </c>
      <c r="E14" s="4">
        <f>E7</f>
        <v>0</v>
      </c>
      <c r="F14" s="4">
        <f>F7</f>
        <v>0</v>
      </c>
      <c r="G14" s="4">
        <f>G7</f>
        <v>0</v>
      </c>
      <c r="H14" s="4">
        <f>H7</f>
        <v>0</v>
      </c>
      <c r="I14" s="4">
        <f>I7</f>
        <v>0</v>
      </c>
      <c r="J14" s="4">
        <f>J7</f>
        <v>0</v>
      </c>
      <c r="K14" s="4">
        <f>K7</f>
        <v>0</v>
      </c>
      <c r="L14" s="4">
        <f>L7</f>
        <v>0</v>
      </c>
      <c r="M14" s="4">
        <f>M7</f>
        <v>0</v>
      </c>
      <c r="N14" s="4">
        <f>N7</f>
        <v>0</v>
      </c>
    </row>
    <row r="15" spans="1:28">
      <c r="B15" t="s">
        <v>898</v>
      </c>
      <c r="C15" s="4">
        <f>C8</f>
        <v>0</v>
      </c>
      <c r="D15" s="4">
        <f>D8</f>
        <v>0</v>
      </c>
      <c r="E15" s="4">
        <f>E8</f>
        <v>0</v>
      </c>
      <c r="F15" s="4">
        <f>F8</f>
        <v>0</v>
      </c>
      <c r="G15" s="4">
        <f>G8</f>
        <v>0</v>
      </c>
      <c r="H15" s="4">
        <f>H8</f>
        <v>0</v>
      </c>
      <c r="I15" s="4">
        <f>I8</f>
        <v>0</v>
      </c>
      <c r="J15" s="4">
        <f>J8</f>
        <v>0</v>
      </c>
      <c r="K15" s="4">
        <f>K8</f>
        <v>0</v>
      </c>
      <c r="L15" s="4">
        <f>L8</f>
        <v>0</v>
      </c>
      <c r="M15" s="4">
        <f>M8</f>
        <v>0</v>
      </c>
      <c r="N15" s="4">
        <f>N8</f>
        <v>0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tabColor rgb="FF0033A0"/>
  </sheetPr>
  <dimension ref="A1:N19"/>
  <sheetViews>
    <sheetView workbookViewId="0"/>
  </sheetViews>
  <sheetFormatPr defaultRowHeight="15"/>
  <sheetData>
    <row r="1" spans="1:14" s="3" customFormat="1" ht="40" customHeight="1">
      <c r="A1" s="3" t="s">
        <v>937</v>
      </c>
    </row>
    <row r="3" spans="1:14">
      <c r="B3" t="s">
        <v>915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915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933</v>
      </c>
      <c r="C4">
        <f>IF(SUMIFS('TERadj'!TS2:TS100,'TERadj'!TS2:TS100,"&gt;0")/1000,SUMIFS('TERadj'!TS2:TS100,'TERadj'!TS2:TS100,"&gt;0")/1000,"")</f>
        <v>0</v>
      </c>
      <c r="D4">
        <f>IF(SUMIFS('TERadj'!TT2:TT100,'TERadj'!TT2:TT100,"&gt;0")/1000,SUMIFS('TERadj'!TT2:TT100,'TERadj'!TT2:TT100,"&gt;0")/1000,"")</f>
        <v>0</v>
      </c>
      <c r="E4">
        <f>IF(SUMIFS('TERadj'!TU2:TU100,'TERadj'!TU2:TU100,"&gt;0")/1000,SUMIFS('TERadj'!TU2:TU100,'TERadj'!TU2:TU100,"&gt;0")/1000,"")</f>
        <v>0</v>
      </c>
      <c r="F4">
        <f>IF(SUMIFS('TERadj'!TV2:TV100,'TERadj'!TV2:TV100,"&gt;0")/1000,SUMIFS('TERadj'!TV2:TV100,'TERadj'!TV2:TV100,"&gt;0")/1000,"")</f>
        <v>0</v>
      </c>
      <c r="G4">
        <f>IF(SUMIFS('TERadj'!TW2:TW100,'TERadj'!TW2:TW100,"&gt;0")/1000,SUMIFS('TERadj'!TW2:TW100,'TERadj'!TW2:TW100,"&gt;0")/1000,"")</f>
        <v>0</v>
      </c>
      <c r="I4" t="s">
        <v>933</v>
      </c>
      <c r="J4" cm="1">
        <f t="array" ref="J4">IF(COUNT(_xlfn._xlws.FILTER('TERadj'!TS2:TS100, ('TERadj'!TS2:TS100&gt;0))),COUNT(_xlfn._xlws.FILTER('TERadj'!TS2:TS100, ('TERadj'!TS2:TS100&gt;0))),"")</f>
        <v>0</v>
      </c>
      <c r="K4" cm="1">
        <f t="array" ref="K4">IF(COUNT(_xlfn._xlws.FILTER('TERadj'!TT2:TT100, ('TERadj'!TT2:TT100&gt;0))),COUNT(_xlfn._xlws.FILTER('TERadj'!TT2:TT100, ('TERadj'!TT2:TT100&gt;0))),"")</f>
        <v>0</v>
      </c>
      <c r="L4" cm="1">
        <f t="array" ref="L4">IF(COUNT(_xlfn._xlws.FILTER('TERadj'!TU2:TU100, ('TERadj'!TU2:TU100&gt;0))),COUNT(_xlfn._xlws.FILTER('TERadj'!TU2:TU100, ('TERadj'!TU2:TU100&gt;0))),"")</f>
        <v>0</v>
      </c>
      <c r="M4" cm="1">
        <f t="array" ref="M4">IF(COUNT(_xlfn._xlws.FILTER('TERadj'!TV2:TV100, ('TERadj'!TV2:TV100&gt;0))),COUNT(_xlfn._xlws.FILTER('TERadj'!TV2:TV100, ('TERadj'!TV2:TV100&gt;0))),"")</f>
        <v>0</v>
      </c>
      <c r="N4" cm="1">
        <f t="array" ref="N4">IF(COUNT(_xlfn._xlws.FILTER('TERadj'!TW2:TW100, ('TERadj'!TW2:TW100&gt;0))),COUNT(_xlfn._xlws.FILTER('TERadj'!TW2:TW100, ('TERadj'!TW2:TW100&gt;0))),"")</f>
        <v>0</v>
      </c>
    </row>
    <row r="5" spans="1:14">
      <c r="B5" t="s">
        <v>934</v>
      </c>
      <c r="C5">
        <f>IF(SUMIFS('TERadj'!TX2:TX100,'TERadj'!TX2:TX100,"&gt;0")/1000,SUMIFS('TERadj'!TX2:TX100,'TERadj'!TX2:TX100,"&gt;0")/1000,"")</f>
        <v>0</v>
      </c>
      <c r="D5">
        <f>IF(SUMIFS('TERadj'!TY2:TY100,'TERadj'!TY2:TY100,"&gt;0")/1000,SUMIFS('TERadj'!TY2:TY100,'TERadj'!TY2:TY100,"&gt;0")/1000,"")</f>
        <v>0</v>
      </c>
      <c r="E5">
        <f>IF(SUMIFS('TERadj'!TZ2:TZ100,'TERadj'!TZ2:TZ100,"&gt;0")/1000,SUMIFS('TERadj'!TZ2:TZ100,'TERadj'!TZ2:TZ100,"&gt;0")/1000,"")</f>
        <v>0</v>
      </c>
      <c r="F5">
        <f>IF(SUMIFS('TERadj'!UA2:UA100,'TERadj'!UA2:UA100,"&gt;0")/1000,SUMIFS('TERadj'!UA2:UA100,'TERadj'!UA2:UA100,"&gt;0")/1000,"")</f>
        <v>0</v>
      </c>
      <c r="G5">
        <f>IF(SUMIFS('TERadj'!UB2:UB100,'TERadj'!UB2:UB100,"&gt;0")/1000,SUMIFS('TERadj'!UB2:UB100,'TERadj'!UB2:UB100,"&gt;0")/1000,"")</f>
        <v>0</v>
      </c>
      <c r="I5" t="s">
        <v>934</v>
      </c>
      <c r="J5" cm="1">
        <f t="array" ref="J5">IF(COUNT(_xlfn._xlws.FILTER('TERadj'!TX2:TX100, ('TERadj'!TX2:TX100&gt;0))),COUNT(_xlfn._xlws.FILTER('TERadj'!TX2:TX100, ('TERadj'!TX2:TX100&gt;0))),"")</f>
        <v>0</v>
      </c>
      <c r="K5" cm="1">
        <f t="array" ref="K5">IF(COUNT(_xlfn._xlws.FILTER('TERadj'!TY2:TY100, ('TERadj'!TY2:TY100&gt;0))),COUNT(_xlfn._xlws.FILTER('TERadj'!TY2:TY100, ('TERadj'!TY2:TY100&gt;0))),"")</f>
        <v>0</v>
      </c>
      <c r="L5" cm="1">
        <f t="array" ref="L5">IF(COUNT(_xlfn._xlws.FILTER('TERadj'!TZ2:TZ100, ('TERadj'!TZ2:TZ100&gt;0))),COUNT(_xlfn._xlws.FILTER('TERadj'!TZ2:TZ100, ('TERadj'!TZ2:TZ100&gt;0))),"")</f>
        <v>0</v>
      </c>
      <c r="M5" cm="1">
        <f t="array" ref="M5">IF(COUNT(_xlfn._xlws.FILTER('TERadj'!UA2:UA100, ('TERadj'!UA2:UA100&gt;0))),COUNT(_xlfn._xlws.FILTER('TERadj'!UA2:UA100, ('TERadj'!UA2:UA100&gt;0))),"")</f>
        <v>0</v>
      </c>
      <c r="N5" cm="1">
        <f t="array" ref="N5">IF(COUNT(_xlfn._xlws.FILTER('TERadj'!UB2:UB100, ('TERadj'!UB2:UB100&gt;0))),COUNT(_xlfn._xlws.FILTER('TERadj'!UB2:UB100, ('TERadj'!UB2:UB100&gt;0))),"")</f>
        <v>0</v>
      </c>
    </row>
    <row r="6" spans="1:14">
      <c r="B6" t="s">
        <v>935</v>
      </c>
      <c r="C6">
        <f>IF(SUMIFS('TERadj'!UC2:UC100,'TERadj'!UC2:UC100,"&gt;0")/1000,SUMIFS('TERadj'!UC2:UC100,'TERadj'!UC2:UC100,"&gt;0")/1000,"")</f>
        <v>0</v>
      </c>
      <c r="D6">
        <f>IF(SUMIFS('TERadj'!UD2:UD100,'TERadj'!UD2:UD100,"&gt;0")/1000,SUMIFS('TERadj'!UD2:UD100,'TERadj'!UD2:UD100,"&gt;0")/1000,"")</f>
        <v>0</v>
      </c>
      <c r="E6">
        <f>IF(SUMIFS('TERadj'!UE2:UE100,'TERadj'!UE2:UE100,"&gt;0")/1000,SUMIFS('TERadj'!UE2:UE100,'TERadj'!UE2:UE100,"&gt;0")/1000,"")</f>
        <v>0</v>
      </c>
      <c r="F6">
        <f>IF(SUMIFS('TERadj'!UF2:UF100,'TERadj'!UF2:UF100,"&gt;0")/1000,SUMIFS('TERadj'!UF2:UF100,'TERadj'!UF2:UF100,"&gt;0")/1000,"")</f>
        <v>0</v>
      </c>
      <c r="G6">
        <f>IF(SUMIFS('TERadj'!UG2:UG100,'TERadj'!UG2:UG100,"&gt;0")/1000,SUMIFS('TERadj'!UG2:UG100,'TERadj'!UG2:UG100,"&gt;0")/1000,"")</f>
        <v>0</v>
      </c>
      <c r="I6" t="s">
        <v>935</v>
      </c>
      <c r="J6" cm="1">
        <f t="array" ref="J6">IF(COUNT(_xlfn._xlws.FILTER('TERadj'!UC2:UC100, ('TERadj'!UC2:UC100&gt;0))),COUNT(_xlfn._xlws.FILTER('TERadj'!UC2:UC100, ('TERadj'!UC2:UC100&gt;0))),"")</f>
        <v>0</v>
      </c>
      <c r="K6" cm="1">
        <f t="array" ref="K6">IF(COUNT(_xlfn._xlws.FILTER('TERadj'!UD2:UD100, ('TERadj'!UD2:UD100&gt;0))),COUNT(_xlfn._xlws.FILTER('TERadj'!UD2:UD100, ('TERadj'!UD2:UD100&gt;0))),"")</f>
        <v>0</v>
      </c>
      <c r="L6" cm="1">
        <f t="array" ref="L6">IF(COUNT(_xlfn._xlws.FILTER('TERadj'!UE2:UE100, ('TERadj'!UE2:UE100&gt;0))),COUNT(_xlfn._xlws.FILTER('TERadj'!UE2:UE100, ('TERadj'!UE2:UE100&gt;0))),"")</f>
        <v>0</v>
      </c>
      <c r="M6" cm="1">
        <f t="array" ref="M6">IF(COUNT(_xlfn._xlws.FILTER('TERadj'!UF2:UF100, ('TERadj'!UF2:UF100&gt;0))),COUNT(_xlfn._xlws.FILTER('TERadj'!UF2:UF100, ('TERadj'!UF2:UF100&gt;0))),"")</f>
        <v>0</v>
      </c>
      <c r="N6" cm="1">
        <f t="array" ref="N6">IF(COUNT(_xlfn._xlws.FILTER('TERadj'!UG2:UG100, ('TERadj'!UG2:UG100&gt;0))),COUNT(_xlfn._xlws.FILTER('TERadj'!UG2:UG100, ('TERadj'!UG2:UG100&gt;0))),"")</f>
        <v>0</v>
      </c>
    </row>
    <row r="7" spans="1:14">
      <c r="B7" t="s">
        <v>878</v>
      </c>
      <c r="C7">
        <f>IF(SUMIFS('TERadj'!UH2:UH100,'TERadj'!UH2:UH100,"&gt;0")/1000,SUMIFS('TERadj'!UH2:UH100,'TERadj'!UH2:UH100,"&gt;0")/1000,"")</f>
        <v>0</v>
      </c>
      <c r="D7">
        <f>IF(SUMIFS('TERadj'!UI2:UI100,'TERadj'!UI2:UI100,"&gt;0")/1000,SUMIFS('TERadj'!UI2:UI100,'TERadj'!UI2:UI100,"&gt;0")/1000,"")</f>
        <v>0</v>
      </c>
      <c r="E7">
        <f>IF(SUMIFS('TERadj'!UJ2:UJ100,'TERadj'!UJ2:UJ100,"&gt;0")/1000,SUMIFS('TERadj'!UJ2:UJ100,'TERadj'!UJ2:UJ100,"&gt;0")/1000,"")</f>
        <v>0</v>
      </c>
      <c r="F7">
        <f>IF(SUMIFS('TERadj'!UK2:UK100,'TERadj'!UK2:UK100,"&gt;0")/1000,SUMIFS('TERadj'!UK2:UK100,'TERadj'!UK2:UK100,"&gt;0")/1000,"")</f>
        <v>0</v>
      </c>
      <c r="G7">
        <f>IF(SUMIFS('TERadj'!UL2:UL100,'TERadj'!UL2:UL100,"&gt;0")/1000,SUMIFS('TERadj'!UL2:UL100,'TERadj'!UL2:UL100,"&gt;0")/1000,"")</f>
        <v>0</v>
      </c>
      <c r="I7" t="s">
        <v>878</v>
      </c>
      <c r="J7" cm="1">
        <f t="array" ref="J7">IF(COUNT(_xlfn._xlws.FILTER('TERadj'!UH2:UH100, ('TERadj'!UH2:UH100&gt;0))),COUNT(_xlfn._xlws.FILTER('TERadj'!UH2:UH100, ('TERadj'!UH2:UH100&gt;0))),"")</f>
        <v>0</v>
      </c>
      <c r="K7" cm="1">
        <f t="array" ref="K7">IF(COUNT(_xlfn._xlws.FILTER('TERadj'!UI2:UI100, ('TERadj'!UI2:UI100&gt;0))),COUNT(_xlfn._xlws.FILTER('TERadj'!UI2:UI100, ('TERadj'!UI2:UI100&gt;0))),"")</f>
        <v>0</v>
      </c>
      <c r="L7" cm="1">
        <f t="array" ref="L7">IF(COUNT(_xlfn._xlws.FILTER('TERadj'!UJ2:UJ100, ('TERadj'!UJ2:UJ100&gt;0))),COUNT(_xlfn._xlws.FILTER('TERadj'!UJ2:UJ100, ('TERadj'!UJ2:UJ100&gt;0))),"")</f>
        <v>0</v>
      </c>
      <c r="M7" cm="1">
        <f t="array" ref="M7">IF(COUNT(_xlfn._xlws.FILTER('TERadj'!UK2:UK100, ('TERadj'!UK2:UK100&gt;0))),COUNT(_xlfn._xlws.FILTER('TERadj'!UK2:UK100, ('TERadj'!UK2:UK100&gt;0))),"")</f>
        <v>0</v>
      </c>
      <c r="N7" cm="1">
        <f t="array" ref="N7">IF(COUNT(_xlfn._xlws.FILTER('TERadj'!UL2:UL100, ('TERadj'!UL2:UL100&gt;0))),COUNT(_xlfn._xlws.FILTER('TERadj'!UL2:UL100, ('TERadj'!UL2:UL100&gt;0))),"")</f>
        <v>0</v>
      </c>
    </row>
    <row r="8" spans="1:14">
      <c r="B8" t="s">
        <v>936</v>
      </c>
      <c r="C8">
        <f>IF(SUMIFS('TERadj'!UM2:UM100,'TERadj'!UM2:UM100,"&gt;0")/1000,SUMIFS('TERadj'!UM2:UM100,'TERadj'!UM2:UM100,"&gt;0")/1000,"")</f>
        <v>0</v>
      </c>
      <c r="D8">
        <f>IF(SUMIFS('TERadj'!UN2:UN100,'TERadj'!UN2:UN100,"&gt;0")/1000,SUMIFS('TERadj'!UN2:UN100,'TERadj'!UN2:UN100,"&gt;0")/1000,"")</f>
        <v>0</v>
      </c>
      <c r="E8">
        <f>IF(SUMIFS('TERadj'!UO2:UO100,'TERadj'!UO2:UO100,"&gt;0")/1000,SUMIFS('TERadj'!UO2:UO100,'TERadj'!UO2:UO100,"&gt;0")/1000,"")</f>
        <v>0</v>
      </c>
      <c r="F8">
        <f>IF(SUMIFS('TERadj'!UP2:UP100,'TERadj'!UP2:UP100,"&gt;0")/1000,SUMIFS('TERadj'!UP2:UP100,'TERadj'!UP2:UP100,"&gt;0")/1000,"")</f>
        <v>0</v>
      </c>
      <c r="G8">
        <f>IF(SUMIFS('TERadj'!UQ2:UQ100,'TERadj'!UQ2:UQ100,"&gt;0")/1000,SUMIFS('TERadj'!UQ2:UQ100,'TERadj'!UQ2:UQ100,"&gt;0")/1000,"")</f>
        <v>0</v>
      </c>
      <c r="I8" t="s">
        <v>936</v>
      </c>
      <c r="J8" cm="1">
        <f t="array" ref="J8">IF(COUNT(_xlfn._xlws.FILTER('TERadj'!UM2:UM100, ('TERadj'!UM2:UM100&gt;0))),COUNT(_xlfn._xlws.FILTER('TERadj'!UM2:UM100, ('TERadj'!UM2:UM100&gt;0))),"")</f>
        <v>0</v>
      </c>
      <c r="K8" cm="1">
        <f t="array" ref="K8">IF(COUNT(_xlfn._xlws.FILTER('TERadj'!UN2:UN100, ('TERadj'!UN2:UN100&gt;0))),COUNT(_xlfn._xlws.FILTER('TERadj'!UN2:UN100, ('TERadj'!UN2:UN100&gt;0))),"")</f>
        <v>0</v>
      </c>
      <c r="L8" cm="1">
        <f t="array" ref="L8">IF(COUNT(_xlfn._xlws.FILTER('TERadj'!UO2:UO100, ('TERadj'!UO2:UO100&gt;0))),COUNT(_xlfn._xlws.FILTER('TERadj'!UO2:UO100, ('TERadj'!UO2:UO100&gt;0))),"")</f>
        <v>0</v>
      </c>
      <c r="M8" cm="1">
        <f t="array" ref="M8">IF(COUNT(_xlfn._xlws.FILTER('TERadj'!UP2:UP100, ('TERadj'!UP2:UP100&gt;0))),COUNT(_xlfn._xlws.FILTER('TERadj'!UP2:UP100, ('TERadj'!UP2:UP100&gt;0))),"")</f>
        <v>0</v>
      </c>
      <c r="N8" cm="1">
        <f t="array" ref="N8">IF(COUNT(_xlfn._xlws.FILTER('TERadj'!UQ2:UQ100, ('TERadj'!UQ2:UQ100&gt;0))),COUNT(_xlfn._xlws.FILTER('TERadj'!UQ2:UQ100, ('TERadj'!UQ2:UQ100&gt;0))),"")</f>
        <v>0</v>
      </c>
    </row>
    <row r="9" spans="1:14">
      <c r="B9" t="s">
        <v>881</v>
      </c>
      <c r="C9">
        <f>IF(SUMIFS('TERadj'!UR2:UR100,'TERadj'!UR2:UR100,"&gt;0")/1000,SUMIFS('TERadj'!UR2:UR100,'TERadj'!UR2:UR100,"&gt;0")/1000,"")</f>
        <v>0</v>
      </c>
      <c r="D9">
        <f>IF(SUMIFS('TERadj'!US2:US100,'TERadj'!US2:US100,"&gt;0")/1000,SUMIFS('TERadj'!US2:US100,'TERadj'!US2:US100,"&gt;0")/1000,"")</f>
        <v>0</v>
      </c>
      <c r="E9">
        <f>IF(SUMIFS('TERadj'!UT2:UT100,'TERadj'!UT2:UT100,"&gt;0")/1000,SUMIFS('TERadj'!UT2:UT100,'TERadj'!UT2:UT100,"&gt;0")/1000,"")</f>
        <v>0</v>
      </c>
      <c r="F9">
        <f>IF(SUMIFS('TERadj'!UU2:UU100,'TERadj'!UU2:UU100,"&gt;0")/1000,SUMIFS('TERadj'!UU2:UU100,'TERadj'!UU2:UU100,"&gt;0")/1000,"")</f>
        <v>0</v>
      </c>
      <c r="G9">
        <f>IF(SUMIFS('TERadj'!UV2:UV100,'TERadj'!UV2:UV100,"&gt;0")/1000,SUMIFS('TERadj'!UV2:UV100,'TERadj'!UV2:UV100,"&gt;0")/1000,"")</f>
        <v>0</v>
      </c>
      <c r="I9" t="s">
        <v>881</v>
      </c>
      <c r="J9" cm="1">
        <f t="array" ref="J9">IF(COUNT(_xlfn._xlws.FILTER('TERadj'!UR2:UR100, ('TERadj'!UR2:UR100&gt;0))),COUNT(_xlfn._xlws.FILTER('TERadj'!UR2:UR100, ('TERadj'!UR2:UR100&gt;0))),"")</f>
        <v>0</v>
      </c>
      <c r="K9" cm="1">
        <f t="array" ref="K9">IF(COUNT(_xlfn._xlws.FILTER('TERadj'!US2:US100, ('TERadj'!US2:US100&gt;0))),COUNT(_xlfn._xlws.FILTER('TERadj'!US2:US100, ('TERadj'!US2:US100&gt;0))),"")</f>
        <v>0</v>
      </c>
      <c r="L9" cm="1">
        <f t="array" ref="L9">IF(COUNT(_xlfn._xlws.FILTER('TERadj'!UT2:UT100, ('TERadj'!UT2:UT100&gt;0))),COUNT(_xlfn._xlws.FILTER('TERadj'!UT2:UT100, ('TERadj'!UT2:UT100&gt;0))),"")</f>
        <v>0</v>
      </c>
      <c r="M9" cm="1">
        <f t="array" ref="M9">IF(COUNT(_xlfn._xlws.FILTER('TERadj'!UU2:UU100, ('TERadj'!UU2:UU100&gt;0))),COUNT(_xlfn._xlws.FILTER('TERadj'!UU2:UU100, ('TERadj'!UU2:UU100&gt;0))),"")</f>
        <v>0</v>
      </c>
      <c r="N9" cm="1">
        <f t="array" ref="N9">IF(COUNT(_xlfn._xlws.FILTER('TERadj'!UV2:UV100, ('TERadj'!UV2:UV100&gt;0))),COUNT(_xlfn._xlws.FILTER('TERadj'!UV2:UV100, ('TERadj'!UV2:UV100&gt;0))),"")</f>
        <v>0</v>
      </c>
    </row>
    <row r="10" spans="1:14">
      <c r="B10" t="s">
        <v>938</v>
      </c>
      <c r="I10" t="s">
        <v>938</v>
      </c>
    </row>
    <row r="12" spans="1:14">
      <c r="B12" t="s">
        <v>915</v>
      </c>
      <c r="C12" t="s">
        <v>839</v>
      </c>
      <c r="D12" t="s">
        <v>840</v>
      </c>
      <c r="E12" t="s">
        <v>838</v>
      </c>
      <c r="F12" t="s">
        <v>841</v>
      </c>
      <c r="G12" t="s">
        <v>898</v>
      </c>
    </row>
    <row r="13" spans="1:14">
      <c r="B13" t="s">
        <v>933</v>
      </c>
      <c r="C13" s="5">
        <f>IF(SUM(J4:J10) &gt; 0, IF(AND(SUM(C4:C10)&gt;0, ISNUMBER(C4)),C4/SUM(C4:C10), ""), "")</f>
        <v>0</v>
      </c>
      <c r="D13" s="5">
        <f>IF(SUM(J4:J10) &gt; 0, IF(AND(SUM(D4:D10)&gt;0, ISNUMBER(D4)),D4/SUM(D4:D10), ""), "")</f>
        <v>0</v>
      </c>
      <c r="E13" s="5">
        <f>IF(SUM(J4:J10) &gt; 0, IF(AND(SUM(E4:E10)&gt;0, ISNUMBER(E4)),E4/SUM(E4:E10), ""), "")</f>
        <v>0</v>
      </c>
      <c r="F13" s="5">
        <f>IF(SUM(J4:J10) &gt; 0, IF(AND(SUM(F4:F10)&gt;0, ISNUMBER(F4)),F4/SUM(F4:F10), ""), "")</f>
        <v>0</v>
      </c>
      <c r="G13" s="5">
        <f>IF(SUM(J4:J10) &gt; 0, IF(AND(SUM(G4:G10)&gt;0, ISNUMBER(G4)),G4/SUM(G4:G10), ""), "")</f>
        <v>0</v>
      </c>
    </row>
    <row r="14" spans="1:14">
      <c r="B14" t="s">
        <v>934</v>
      </c>
      <c r="C14" s="5">
        <f>IF(SUM(J4:J10) &gt; 0, IF(AND(SUM(C4:C10)&gt;0, ISNUMBER(C5)),C5/SUM(C4:C10), ""), "")</f>
        <v>0</v>
      </c>
      <c r="D14" s="5">
        <f>IF(SUM(J4:J10) &gt; 0, IF(AND(SUM(D4:D10)&gt;0, ISNUMBER(D5)),D5/SUM(D4:D10), ""), "")</f>
        <v>0</v>
      </c>
      <c r="E14" s="5">
        <f>IF(SUM(J4:J10) &gt; 0, IF(AND(SUM(E4:E10)&gt;0, ISNUMBER(E5)),E5/SUM(E4:E10), ""), "")</f>
        <v>0</v>
      </c>
      <c r="F14" s="5">
        <f>IF(SUM(J4:J10) &gt; 0, IF(AND(SUM(F4:F10)&gt;0, ISNUMBER(F5)),F5/SUM(F4:F10), ""), "")</f>
        <v>0</v>
      </c>
      <c r="G14" s="5">
        <f>IF(SUM(J4:J10) &gt; 0, IF(AND(SUM(G4:G10)&gt;0, ISNUMBER(G5)),G5/SUM(G4:G10), ""), "")</f>
        <v>0</v>
      </c>
    </row>
    <row r="15" spans="1:14">
      <c r="B15" t="s">
        <v>935</v>
      </c>
      <c r="C15" s="5">
        <f>IF(SUM(J4:J10) &gt; 0, IF(AND(SUM(C4:C10)&gt;0, ISNUMBER(C6)),C6/SUM(C4:C10), ""), "")</f>
        <v>0</v>
      </c>
      <c r="D15" s="5">
        <f>IF(SUM(J4:J10) &gt; 0, IF(AND(SUM(D4:D10)&gt;0, ISNUMBER(D6)),D6/SUM(D4:D10), ""), "")</f>
        <v>0</v>
      </c>
      <c r="E15" s="5">
        <f>IF(SUM(J4:J10) &gt; 0, IF(AND(SUM(E4:E10)&gt;0, ISNUMBER(E6)),E6/SUM(E4:E10), ""), "")</f>
        <v>0</v>
      </c>
      <c r="F15" s="5">
        <f>IF(SUM(J4:J10) &gt; 0, IF(AND(SUM(F4:F10)&gt;0, ISNUMBER(F6)),F6/SUM(F4:F10), ""), "")</f>
        <v>0</v>
      </c>
      <c r="G15" s="5">
        <f>IF(SUM(J4:J10) &gt; 0, IF(AND(SUM(G4:G10)&gt;0, ISNUMBER(G6)),G6/SUM(G4:G10), ""), "")</f>
        <v>0</v>
      </c>
    </row>
    <row r="16" spans="1:14">
      <c r="B16" t="s">
        <v>878</v>
      </c>
      <c r="C16" s="5">
        <f>IF(SUM(J4:J10) &gt; 0, IF(AND(SUM(C4:C10)&gt;0, ISNUMBER(C7)),C7/SUM(C4:C10), ""), "")</f>
        <v>0</v>
      </c>
      <c r="D16" s="5">
        <f>IF(SUM(J4:J10) &gt; 0, IF(AND(SUM(D4:D10)&gt;0, ISNUMBER(D7)),D7/SUM(D4:D10), ""), "")</f>
        <v>0</v>
      </c>
      <c r="E16" s="5">
        <f>IF(SUM(J4:J10) &gt; 0, IF(AND(SUM(E4:E10)&gt;0, ISNUMBER(E7)),E7/SUM(E4:E10), ""), "")</f>
        <v>0</v>
      </c>
      <c r="F16" s="5">
        <f>IF(SUM(J4:J10) &gt; 0, IF(AND(SUM(F4:F10)&gt;0, ISNUMBER(F7)),F7/SUM(F4:F10), ""), "")</f>
        <v>0</v>
      </c>
      <c r="G16" s="5">
        <f>IF(SUM(J4:J10) &gt; 0, IF(AND(SUM(G4:G10)&gt;0, ISNUMBER(G7)),G7/SUM(G4:G10), ""), "")</f>
        <v>0</v>
      </c>
    </row>
    <row r="17" spans="2:7">
      <c r="B17" t="s">
        <v>936</v>
      </c>
      <c r="C17" s="5">
        <f>IF(SUM(J4:J10) &gt; 0, IF(AND(SUM(C4:C10)&gt;0, ISNUMBER(C8)),C8/SUM(C4:C10), ""), "")</f>
        <v>0</v>
      </c>
      <c r="D17" s="5">
        <f>IF(SUM(J4:J10) &gt; 0, IF(AND(SUM(D4:D10)&gt;0, ISNUMBER(D8)),D8/SUM(D4:D10), ""), "")</f>
        <v>0</v>
      </c>
      <c r="E17" s="5">
        <f>IF(SUM(J4:J10) &gt; 0, IF(AND(SUM(E4:E10)&gt;0, ISNUMBER(E8)),E8/SUM(E4:E10), ""), "")</f>
        <v>0</v>
      </c>
      <c r="F17" s="5">
        <f>IF(SUM(J4:J10) &gt; 0, IF(AND(SUM(F4:F10)&gt;0, ISNUMBER(F8)),F8/SUM(F4:F10), ""), "")</f>
        <v>0</v>
      </c>
      <c r="G17" s="5">
        <f>IF(SUM(J4:J10) &gt; 0, IF(AND(SUM(G4:G10)&gt;0, ISNUMBER(G8)),G8/SUM(G4:G10), ""), "")</f>
        <v>0</v>
      </c>
    </row>
    <row r="18" spans="2:7">
      <c r="B18" t="s">
        <v>881</v>
      </c>
      <c r="C18" s="5">
        <f>IF(SUM(J4:J10) &gt; 0, IF(AND(SUM(C4:C10)&gt;0, ISNUMBER(C9)),C9/SUM(C4:C10), ""), "")</f>
        <v>0</v>
      </c>
      <c r="D18" s="5">
        <f>IF(SUM(J4:J10) &gt; 0, IF(AND(SUM(D4:D10)&gt;0, ISNUMBER(D9)),D9/SUM(D4:D10), ""), "")</f>
        <v>0</v>
      </c>
      <c r="E18" s="5">
        <f>IF(SUM(J4:J10) &gt; 0, IF(AND(SUM(E4:E10)&gt;0, ISNUMBER(E9)),E9/SUM(E4:E10), ""), "")</f>
        <v>0</v>
      </c>
      <c r="F18" s="5">
        <f>IF(SUM(J4:J10) &gt; 0, IF(AND(SUM(F4:F10)&gt;0, ISNUMBER(F9)),F9/SUM(F4:F10), ""), "")</f>
        <v>0</v>
      </c>
      <c r="G18" s="5">
        <f>IF(SUM(J4:J10) &gt; 0, IF(AND(SUM(G4:G10)&gt;0, ISNUMBER(G9)),G9/SUM(G4:G10), ""), "")</f>
        <v>0</v>
      </c>
    </row>
    <row r="19" spans="2:7">
      <c r="B19" t="s">
        <v>938</v>
      </c>
      <c r="C19" s="5">
        <f>IF(SUM(J4:J10) &gt; 0, IF(AND(SUM(C4:C10)&gt;0, ISNUMBER(C10)),C10/SUM(C4:C10), ""), "")</f>
        <v>0</v>
      </c>
      <c r="D19" s="5">
        <f>IF(SUM(J4:J10) &gt; 0, IF(AND(SUM(D4:D10)&gt;0, ISNUMBER(D10)),D10/SUM(D4:D10), ""), "")</f>
        <v>0</v>
      </c>
      <c r="E19" s="5">
        <f>IF(SUM(J4:J10) &gt; 0, IF(AND(SUM(E4:E10)&gt;0, ISNUMBER(E10)),E10/SUM(E4:E10), ""), "")</f>
        <v>0</v>
      </c>
      <c r="F19" s="5">
        <f>IF(SUM(J4:J10) &gt; 0, IF(AND(SUM(F4:F10)&gt;0, ISNUMBER(F10)),F10/SUM(F4:F10), ""), "")</f>
        <v>0</v>
      </c>
      <c r="G19" s="5">
        <f>IF(SUM(J4:J10) &gt; 0, IF(AND(SUM(G4:G10)&gt;0, ISNUMBER(G10)),G10/SUM(G4:G10), ""), "")</f>
        <v>0</v>
      </c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tabColor rgb="FF0033A0"/>
  </sheetPr>
  <dimension ref="A1:P13"/>
  <sheetViews>
    <sheetView workbookViewId="0"/>
  </sheetViews>
  <sheetFormatPr defaultRowHeight="15"/>
  <sheetData>
    <row r="1" spans="1:16" s="3" customFormat="1" ht="40" customHeight="1">
      <c r="A1" s="3" t="s">
        <v>937</v>
      </c>
    </row>
    <row r="3" spans="1:16">
      <c r="B3" t="s">
        <v>1073</v>
      </c>
      <c r="C3" t="s">
        <v>933</v>
      </c>
      <c r="D3" t="s">
        <v>934</v>
      </c>
      <c r="E3" t="s">
        <v>935</v>
      </c>
      <c r="F3" t="s">
        <v>878</v>
      </c>
      <c r="G3" t="s">
        <v>936</v>
      </c>
      <c r="H3" t="s">
        <v>881</v>
      </c>
      <c r="J3" t="s">
        <v>1073</v>
      </c>
      <c r="K3" t="s">
        <v>1070</v>
      </c>
      <c r="L3" t="s">
        <v>1062</v>
      </c>
      <c r="M3" t="s">
        <v>1063</v>
      </c>
      <c r="N3" t="s">
        <v>1064</v>
      </c>
      <c r="O3" t="s">
        <v>1065</v>
      </c>
      <c r="P3" t="s">
        <v>1066</v>
      </c>
    </row>
    <row r="4" spans="1:16">
      <c r="B4" t="s">
        <v>1057</v>
      </c>
      <c r="C4">
        <f>IF(SUMIFS('TERadj'!UW2:UW100,'TERadj'!UW2:UW100,"&gt;0")/1000,SUMIFS('TERadj'!UW2:UW100,'TERadj'!UW2:UW100,"&gt;0")/1000,"")</f>
        <v>0</v>
      </c>
      <c r="D4">
        <f>IF(SUMIFS('TERadj'!UX2:UX100,'TERadj'!UX2:UX100,"&gt;0")/1000,SUMIFS('TERadj'!UX2:UX100,'TERadj'!UX2:UX100,"&gt;0")/1000,"")</f>
        <v>0</v>
      </c>
      <c r="E4">
        <f>IF(SUMIFS('TERadj'!UY2:UY100,'TERadj'!UY2:UY100,"&gt;0")/1000,SUMIFS('TERadj'!UY2:UY100,'TERadj'!UY2:UY100,"&gt;0")/1000,"")</f>
        <v>0</v>
      </c>
      <c r="F4">
        <f>IF(SUMIFS('TERadj'!UZ2:UZ100,'TERadj'!UZ2:UZ100,"&gt;0")/1000,SUMIFS('TERadj'!UZ2:UZ100,'TERadj'!UZ2:UZ100,"&gt;0")/1000,"")</f>
        <v>0</v>
      </c>
      <c r="G4">
        <f>IF(SUMIFS('TERadj'!VA2:VA100,'TERadj'!VA2:VA100,"&gt;0")/1000,SUMIFS('TERadj'!VA2:VA100,'TERadj'!VA2:VA100,"&gt;0")/1000,"")</f>
        <v>0</v>
      </c>
      <c r="H4">
        <f>IF(SUMIFS('TERadj'!VB2:VB100,'TERadj'!VB2:VB100,"&gt;0")/1000,SUMIFS('TERadj'!VB2:VB100,'TERadj'!VB2:VB100,"&gt;0")/1000,"")</f>
        <v>0</v>
      </c>
      <c r="J4" t="s">
        <v>1057</v>
      </c>
      <c r="K4" cm="1">
        <f t="array" ref="K4">IF(COUNT(_xlfn._xlws.FILTER('TERadj'!UW2:UW100, ('TERadj'!UW2:UW100&gt;0))),COUNT(_xlfn._xlws.FILTER('TERadj'!UW2:UW100, ('TERadj'!UW2:UW100&gt;0))),"")</f>
        <v>0</v>
      </c>
      <c r="L4" cm="1">
        <f t="array" ref="L4">IF(COUNT(_xlfn._xlws.FILTER('TERadj'!UX2:UX100, ('TERadj'!UX2:UX100&gt;0))),COUNT(_xlfn._xlws.FILTER('TERadj'!UX2:UX100, ('TERadj'!UX2:UX100&gt;0))),"")</f>
        <v>0</v>
      </c>
      <c r="M4" cm="1">
        <f t="array" ref="M4">IF(COUNT(_xlfn._xlws.FILTER('TERadj'!UY2:UY100, ('TERadj'!UY2:UY100&gt;0))),COUNT(_xlfn._xlws.FILTER('TERadj'!UY2:UY100, ('TERadj'!UY2:UY100&gt;0))),"")</f>
        <v>0</v>
      </c>
      <c r="N4" cm="1">
        <f t="array" ref="N4">IF(COUNT(_xlfn._xlws.FILTER('TERadj'!UZ2:UZ100, ('TERadj'!UZ2:UZ100&gt;0))),COUNT(_xlfn._xlws.FILTER('TERadj'!UZ2:UZ100, ('TERadj'!UZ2:UZ100&gt;0))),"")</f>
        <v>0</v>
      </c>
      <c r="O4" cm="1">
        <f t="array" ref="O4">IF(COUNT(_xlfn._xlws.FILTER('TERadj'!VA2:VA100, ('TERadj'!VA2:VA100&gt;0))),COUNT(_xlfn._xlws.FILTER('TERadj'!VA2:VA100, ('TERadj'!VA2:VA100&gt;0))),"")</f>
        <v>0</v>
      </c>
      <c r="P4" cm="1">
        <f t="array" ref="P4">IF(COUNT(_xlfn._xlws.FILTER('TERadj'!VB2:VB100, ('TERadj'!VB2:VB100&gt;0))),COUNT(_xlfn._xlws.FILTER('TERadj'!VB2:VB100, ('TERadj'!VB2:VB100&gt;0))),"")</f>
        <v>0</v>
      </c>
    </row>
    <row r="5" spans="1:16">
      <c r="B5" t="s">
        <v>1058</v>
      </c>
      <c r="C5">
        <f>IF(SUMIFS('TERadj'!VC2:VC100,'TERadj'!VC2:VC100,"&gt;0")/1000,SUMIFS('TERadj'!VC2:VC100,'TERadj'!VC2:VC100,"&gt;0")/1000,"")</f>
        <v>0</v>
      </c>
      <c r="D5">
        <f>IF(SUMIFS('TERadj'!VD2:VD100,'TERadj'!VD2:VD100,"&gt;0")/1000,SUMIFS('TERadj'!VD2:VD100,'TERadj'!VD2:VD100,"&gt;0")/1000,"")</f>
        <v>0</v>
      </c>
      <c r="E5">
        <f>IF(SUMIFS('TERadj'!VE2:VE100,'TERadj'!VE2:VE100,"&gt;0")/1000,SUMIFS('TERadj'!VE2:VE100,'TERadj'!VE2:VE100,"&gt;0")/1000,"")</f>
        <v>0</v>
      </c>
      <c r="F5">
        <f>IF(SUMIFS('TERadj'!VF2:VF100,'TERadj'!VF2:VF100,"&gt;0")/1000,SUMIFS('TERadj'!VF2:VF100,'TERadj'!VF2:VF100,"&gt;0")/1000,"")</f>
        <v>0</v>
      </c>
      <c r="G5">
        <f>IF(SUMIFS('TERadj'!VG2:VG100,'TERadj'!VG2:VG100,"&gt;0")/1000,SUMIFS('TERadj'!VG2:VG100,'TERadj'!VG2:VG100,"&gt;0")/1000,"")</f>
        <v>0</v>
      </c>
      <c r="H5">
        <f>IF(SUMIFS('TERadj'!VH2:VH100,'TERadj'!VH2:VH100,"&gt;0")/1000,SUMIFS('TERadj'!VH2:VH100,'TERadj'!VH2:VH100,"&gt;0")/1000,"")</f>
        <v>0</v>
      </c>
      <c r="J5" t="s">
        <v>1058</v>
      </c>
      <c r="K5" cm="1">
        <f t="array" ref="K5">IF(COUNT(_xlfn._xlws.FILTER('TERadj'!VC2:VC100, ('TERadj'!VC2:VC100&gt;0))),COUNT(_xlfn._xlws.FILTER('TERadj'!VC2:VC100, ('TERadj'!VC2:VC100&gt;0))),"")</f>
        <v>0</v>
      </c>
      <c r="L5" cm="1">
        <f t="array" ref="L5">IF(COUNT(_xlfn._xlws.FILTER('TERadj'!VD2:VD100, ('TERadj'!VD2:VD100&gt;0))),COUNT(_xlfn._xlws.FILTER('TERadj'!VD2:VD100, ('TERadj'!VD2:VD100&gt;0))),"")</f>
        <v>0</v>
      </c>
      <c r="M5" cm="1">
        <f t="array" ref="M5">IF(COUNT(_xlfn._xlws.FILTER('TERadj'!VE2:VE100, ('TERadj'!VE2:VE100&gt;0))),COUNT(_xlfn._xlws.FILTER('TERadj'!VE2:VE100, ('TERadj'!VE2:VE100&gt;0))),"")</f>
        <v>0</v>
      </c>
      <c r="N5" cm="1">
        <f t="array" ref="N5">IF(COUNT(_xlfn._xlws.FILTER('TERadj'!VF2:VF100, ('TERadj'!VF2:VF100&gt;0))),COUNT(_xlfn._xlws.FILTER('TERadj'!VF2:VF100, ('TERadj'!VF2:VF100&gt;0))),"")</f>
        <v>0</v>
      </c>
      <c r="O5" cm="1">
        <f t="array" ref="O5">IF(COUNT(_xlfn._xlws.FILTER('TERadj'!VG2:VG100, ('TERadj'!VG2:VG100&gt;0))),COUNT(_xlfn._xlws.FILTER('TERadj'!VG2:VG100, ('TERadj'!VG2:VG100&gt;0))),"")</f>
        <v>0</v>
      </c>
      <c r="P5" cm="1">
        <f t="array" ref="P5">IF(COUNT(_xlfn._xlws.FILTER('TERadj'!VH2:VH100, ('TERadj'!VH2:VH100&gt;0))),COUNT(_xlfn._xlws.FILTER('TERadj'!VH2:VH100, ('TERadj'!VH2:VH100&gt;0))),"")</f>
        <v>0</v>
      </c>
    </row>
    <row r="6" spans="1:16">
      <c r="B6" t="s">
        <v>1059</v>
      </c>
      <c r="C6">
        <f>IF(SUMIFS('TERadj'!VI2:VI100,'TERadj'!VI2:VI100,"&gt;0")/1000,SUMIFS('TERadj'!VI2:VI100,'TERadj'!VI2:VI100,"&gt;0")/1000,"")</f>
        <v>0</v>
      </c>
      <c r="D6">
        <f>IF(SUMIFS('TERadj'!VJ2:VJ100,'TERadj'!VJ2:VJ100,"&gt;0")/1000,SUMIFS('TERadj'!VJ2:VJ100,'TERadj'!VJ2:VJ100,"&gt;0")/1000,"")</f>
        <v>0</v>
      </c>
      <c r="E6">
        <f>IF(SUMIFS('TERadj'!VK2:VK100,'TERadj'!VK2:VK100,"&gt;0")/1000,SUMIFS('TERadj'!VK2:VK100,'TERadj'!VK2:VK100,"&gt;0")/1000,"")</f>
        <v>0</v>
      </c>
      <c r="F6">
        <f>IF(SUMIFS('TERadj'!VL2:VL100,'TERadj'!VL2:VL100,"&gt;0")/1000,SUMIFS('TERadj'!VL2:VL100,'TERadj'!VL2:VL100,"&gt;0")/1000,"")</f>
        <v>0</v>
      </c>
      <c r="G6">
        <f>IF(SUMIFS('TERadj'!VM2:VM100,'TERadj'!VM2:VM100,"&gt;0")/1000,SUMIFS('TERadj'!VM2:VM100,'TERadj'!VM2:VM100,"&gt;0")/1000,"")</f>
        <v>0</v>
      </c>
      <c r="H6">
        <f>IF(SUMIFS('TERadj'!VN2:VN100,'TERadj'!VN2:VN100,"&gt;0")/1000,SUMIFS('TERadj'!VN2:VN100,'TERadj'!VN2:VN100,"&gt;0")/1000,"")</f>
        <v>0</v>
      </c>
      <c r="J6" t="s">
        <v>1059</v>
      </c>
      <c r="K6" cm="1">
        <f t="array" ref="K6">IF(COUNT(_xlfn._xlws.FILTER('TERadj'!VI2:VI100, ('TERadj'!VI2:VI100&gt;0))),COUNT(_xlfn._xlws.FILTER('TERadj'!VI2:VI100, ('TERadj'!VI2:VI100&gt;0))),"")</f>
        <v>0</v>
      </c>
      <c r="L6" cm="1">
        <f t="array" ref="L6">IF(COUNT(_xlfn._xlws.FILTER('TERadj'!VJ2:VJ100, ('TERadj'!VJ2:VJ100&gt;0))),COUNT(_xlfn._xlws.FILTER('TERadj'!VJ2:VJ100, ('TERadj'!VJ2:VJ100&gt;0))),"")</f>
        <v>0</v>
      </c>
      <c r="M6" cm="1">
        <f t="array" ref="M6">IF(COUNT(_xlfn._xlws.FILTER('TERadj'!VK2:VK100, ('TERadj'!VK2:VK100&gt;0))),COUNT(_xlfn._xlws.FILTER('TERadj'!VK2:VK100, ('TERadj'!VK2:VK100&gt;0))),"")</f>
        <v>0</v>
      </c>
      <c r="N6" cm="1">
        <f t="array" ref="N6">IF(COUNT(_xlfn._xlws.FILTER('TERadj'!VL2:VL100, ('TERadj'!VL2:VL100&gt;0))),COUNT(_xlfn._xlws.FILTER('TERadj'!VL2:VL100, ('TERadj'!VL2:VL100&gt;0))),"")</f>
        <v>0</v>
      </c>
      <c r="O6" cm="1">
        <f t="array" ref="O6">IF(COUNT(_xlfn._xlws.FILTER('TERadj'!VM2:VM100, ('TERadj'!VM2:VM100&gt;0))),COUNT(_xlfn._xlws.FILTER('TERadj'!VM2:VM100, ('TERadj'!VM2:VM100&gt;0))),"")</f>
        <v>0</v>
      </c>
      <c r="P6" cm="1">
        <f t="array" ref="P6">IF(COUNT(_xlfn._xlws.FILTER('TERadj'!VN2:VN100, ('TERadj'!VN2:VN100&gt;0))),COUNT(_xlfn._xlws.FILTER('TERadj'!VN2:VN100, ('TERadj'!VN2:VN100&gt;0))),"")</f>
        <v>0</v>
      </c>
    </row>
    <row r="7" spans="1:16">
      <c r="B7" t="s">
        <v>1060</v>
      </c>
      <c r="C7">
        <f>IF(SUMIFS('TERadj'!VO2:VO100,'TERadj'!VO2:VO100,"&gt;0")/1000,SUMIFS('TERadj'!VO2:VO100,'TERadj'!VO2:VO100,"&gt;0")/1000,"")</f>
        <v>0</v>
      </c>
      <c r="D7">
        <f>IF(SUMIFS('TERadj'!VP2:VP100,'TERadj'!VP2:VP100,"&gt;0")/1000,SUMIFS('TERadj'!VP2:VP100,'TERadj'!VP2:VP100,"&gt;0")/1000,"")</f>
        <v>0</v>
      </c>
      <c r="E7">
        <f>IF(SUMIFS('TERadj'!VQ2:VQ100,'TERadj'!VQ2:VQ100,"&gt;0")/1000,SUMIFS('TERadj'!VQ2:VQ100,'TERadj'!VQ2:VQ100,"&gt;0")/1000,"")</f>
        <v>0</v>
      </c>
      <c r="F7">
        <f>IF(SUMIFS('TERadj'!VR2:VR100,'TERadj'!VR2:VR100,"&gt;0")/1000,SUMIFS('TERadj'!VR2:VR100,'TERadj'!VR2:VR100,"&gt;0")/1000,"")</f>
        <v>0</v>
      </c>
      <c r="G7">
        <f>IF(SUMIFS('TERadj'!VS2:VS100,'TERadj'!VS2:VS100,"&gt;0")/1000,SUMIFS('TERadj'!VS2:VS100,'TERadj'!VS2:VS100,"&gt;0")/1000,"")</f>
        <v>0</v>
      </c>
      <c r="H7">
        <f>IF(SUMIFS('TERadj'!VT2:VT100,'TERadj'!VT2:VT100,"&gt;0")/1000,SUMIFS('TERadj'!VT2:VT100,'TERadj'!VT2:VT100,"&gt;0")/1000,"")</f>
        <v>0</v>
      </c>
      <c r="J7" t="s">
        <v>1060</v>
      </c>
      <c r="K7" cm="1">
        <f t="array" ref="K7">IF(COUNT(_xlfn._xlws.FILTER('TERadj'!VO2:VO100, ('TERadj'!VO2:VO100&gt;0))),COUNT(_xlfn._xlws.FILTER('TERadj'!VO2:VO100, ('TERadj'!VO2:VO100&gt;0))),"")</f>
        <v>0</v>
      </c>
      <c r="L7" cm="1">
        <f t="array" ref="L7">IF(COUNT(_xlfn._xlws.FILTER('TERadj'!VP2:VP100, ('TERadj'!VP2:VP100&gt;0))),COUNT(_xlfn._xlws.FILTER('TERadj'!VP2:VP100, ('TERadj'!VP2:VP100&gt;0))),"")</f>
        <v>0</v>
      </c>
      <c r="M7" cm="1">
        <f t="array" ref="M7">IF(COUNT(_xlfn._xlws.FILTER('TERadj'!VQ2:VQ100, ('TERadj'!VQ2:VQ100&gt;0))),COUNT(_xlfn._xlws.FILTER('TERadj'!VQ2:VQ100, ('TERadj'!VQ2:VQ100&gt;0))),"")</f>
        <v>0</v>
      </c>
      <c r="N7" cm="1">
        <f t="array" ref="N7">IF(COUNT(_xlfn._xlws.FILTER('TERadj'!VR2:VR100, ('TERadj'!VR2:VR100&gt;0))),COUNT(_xlfn._xlws.FILTER('TERadj'!VR2:VR100, ('TERadj'!VR2:VR100&gt;0))),"")</f>
        <v>0</v>
      </c>
      <c r="O7" cm="1">
        <f t="array" ref="O7">IF(COUNT(_xlfn._xlws.FILTER('TERadj'!VS2:VS100, ('TERadj'!VS2:VS100&gt;0))),COUNT(_xlfn._xlws.FILTER('TERadj'!VS2:VS100, ('TERadj'!VS2:VS100&gt;0))),"")</f>
        <v>0</v>
      </c>
      <c r="P7" cm="1">
        <f t="array" ref="P7">IF(COUNT(_xlfn._xlws.FILTER('TERadj'!VT2:VT100, ('TERadj'!VT2:VT100&gt;0))),COUNT(_xlfn._xlws.FILTER('TERadj'!VT2:VT100, ('TERadj'!VT2:VT100&gt;0))),"")</f>
        <v>0</v>
      </c>
    </row>
    <row r="9" spans="1:16">
      <c r="B9" t="s">
        <v>1073</v>
      </c>
      <c r="C9" t="s">
        <v>933</v>
      </c>
      <c r="D9" t="s">
        <v>934</v>
      </c>
      <c r="E9" t="s">
        <v>935</v>
      </c>
      <c r="F9" t="s">
        <v>878</v>
      </c>
      <c r="G9" t="s">
        <v>936</v>
      </c>
      <c r="H9" t="s">
        <v>881</v>
      </c>
    </row>
    <row r="10" spans="1:16">
      <c r="B10" t="s">
        <v>1057</v>
      </c>
      <c r="C10" s="5">
        <f>IF(SUM(K4:K7) &gt; 0, IF(AND(SUM(C4:C7)&gt;0, ISNUMBER(C4)),C4/SUM(C4:C7), ""), "")</f>
        <v>0</v>
      </c>
      <c r="D10" s="5">
        <f>IF(SUM(K4:K7) &gt; 0, IF(AND(SUM(D4:D7)&gt;0, ISNUMBER(D4)),D4/SUM(D4:D7), ""), "")</f>
        <v>0</v>
      </c>
      <c r="E10" s="5">
        <f>IF(SUM(K4:K7) &gt; 0, IF(AND(SUM(E4:E7)&gt;0, ISNUMBER(E4)),E4/SUM(E4:E7), ""), "")</f>
        <v>0</v>
      </c>
      <c r="F10" s="5">
        <f>IF(SUM(K4:K7) &gt; 0, IF(AND(SUM(F4:F7)&gt;0, ISNUMBER(F4)),F4/SUM(F4:F7), ""), "")</f>
        <v>0</v>
      </c>
      <c r="G10" s="5">
        <f>IF(SUM(K4:K7) &gt; 0, IF(AND(SUM(G4:G7)&gt;0, ISNUMBER(G4)),G4/SUM(G4:G7), ""), "")</f>
        <v>0</v>
      </c>
      <c r="H10" s="5">
        <f>IF(SUM(K4:K7) &gt; 0, IF(AND(SUM(H4:H7)&gt;0, ISNUMBER(H4)),H4/SUM(H4:H7), ""), "")</f>
        <v>0</v>
      </c>
    </row>
    <row r="11" spans="1:16">
      <c r="B11" t="s">
        <v>1058</v>
      </c>
      <c r="C11" s="5">
        <f>IF(SUM(K4:K7) &gt; 0, IF(AND(SUM(C4:C7)&gt;0, ISNUMBER(C5)),C5/SUM(C4:C7), ""), "")</f>
        <v>0</v>
      </c>
      <c r="D11" s="5">
        <f>IF(SUM(K4:K7) &gt; 0, IF(AND(SUM(D4:D7)&gt;0, ISNUMBER(D5)),D5/SUM(D4:D7), ""), "")</f>
        <v>0</v>
      </c>
      <c r="E11" s="5">
        <f>IF(SUM(K4:K7) &gt; 0, IF(AND(SUM(E4:E7)&gt;0, ISNUMBER(E5)),E5/SUM(E4:E7), ""), "")</f>
        <v>0</v>
      </c>
      <c r="F11" s="5">
        <f>IF(SUM(K4:K7) &gt; 0, IF(AND(SUM(F4:F7)&gt;0, ISNUMBER(F5)),F5/SUM(F4:F7), ""), "")</f>
        <v>0</v>
      </c>
      <c r="G11" s="5">
        <f>IF(SUM(K4:K7) &gt; 0, IF(AND(SUM(G4:G7)&gt;0, ISNUMBER(G5)),G5/SUM(G4:G7), ""), "")</f>
        <v>0</v>
      </c>
      <c r="H11" s="5">
        <f>IF(SUM(K4:K7) &gt; 0, IF(AND(SUM(H4:H7)&gt;0, ISNUMBER(H5)),H5/SUM(H4:H7), ""), "")</f>
        <v>0</v>
      </c>
    </row>
    <row r="12" spans="1:16">
      <c r="B12" t="s">
        <v>1059</v>
      </c>
      <c r="C12" s="5">
        <f>IF(SUM(K4:K7) &gt; 0, IF(AND(SUM(C4:C7)&gt;0, ISNUMBER(C6)),C6/SUM(C4:C7), ""), "")</f>
        <v>0</v>
      </c>
      <c r="D12" s="5">
        <f>IF(SUM(K4:K7) &gt; 0, IF(AND(SUM(D4:D7)&gt;0, ISNUMBER(D6)),D6/SUM(D4:D7), ""), "")</f>
        <v>0</v>
      </c>
      <c r="E12" s="5">
        <f>IF(SUM(K4:K7) &gt; 0, IF(AND(SUM(E4:E7)&gt;0, ISNUMBER(E6)),E6/SUM(E4:E7), ""), "")</f>
        <v>0</v>
      </c>
      <c r="F12" s="5">
        <f>IF(SUM(K4:K7) &gt; 0, IF(AND(SUM(F4:F7)&gt;0, ISNUMBER(F6)),F6/SUM(F4:F7), ""), "")</f>
        <v>0</v>
      </c>
      <c r="G12" s="5">
        <f>IF(SUM(K4:K7) &gt; 0, IF(AND(SUM(G4:G7)&gt;0, ISNUMBER(G6)),G6/SUM(G4:G7), ""), "")</f>
        <v>0</v>
      </c>
      <c r="H12" s="5">
        <f>IF(SUM(K4:K7) &gt; 0, IF(AND(SUM(H4:H7)&gt;0, ISNUMBER(H6)),H6/SUM(H4:H7), ""), "")</f>
        <v>0</v>
      </c>
    </row>
    <row r="13" spans="1:16">
      <c r="B13" t="s">
        <v>1060</v>
      </c>
      <c r="C13" s="5">
        <f>IF(SUM(K4:K7) &gt; 0, IF(AND(SUM(C4:C7)&gt;0, ISNUMBER(C7)),C7/SUM(C4:C7), ""), "")</f>
        <v>0</v>
      </c>
      <c r="D13" s="5">
        <f>IF(SUM(K4:K7) &gt; 0, IF(AND(SUM(D4:D7)&gt;0, ISNUMBER(D7)),D7/SUM(D4:D7), ""), "")</f>
        <v>0</v>
      </c>
      <c r="E13" s="5">
        <f>IF(SUM(K4:K7) &gt; 0, IF(AND(SUM(E4:E7)&gt;0, ISNUMBER(E7)),E7/SUM(E4:E7), ""), "")</f>
        <v>0</v>
      </c>
      <c r="F13" s="5">
        <f>IF(SUM(K4:K7) &gt; 0, IF(AND(SUM(F4:F7)&gt;0, ISNUMBER(F7)),F7/SUM(F4:F7), ""), "")</f>
        <v>0</v>
      </c>
      <c r="G13" s="5">
        <f>IF(SUM(K4:K7) &gt; 0, IF(AND(SUM(G4:G7)&gt;0, ISNUMBER(G7)),G7/SUM(G4:G7), ""), "")</f>
        <v>0</v>
      </c>
      <c r="H13" s="5">
        <f>IF(SUM(K4:K7) &gt; 0, IF(AND(SUM(H4:H7)&gt;0, ISNUMBER(H7)),H7/SUM(H4:H7), ""), "")</f>
        <v>0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tabColor rgb="FF0033A0"/>
  </sheetPr>
  <dimension ref="A1:N19"/>
  <sheetViews>
    <sheetView workbookViewId="0"/>
  </sheetViews>
  <sheetFormatPr defaultRowHeight="15"/>
  <sheetData>
    <row r="1" spans="1:14" s="3" customFormat="1" ht="40" customHeight="1">
      <c r="A1" s="3" t="s">
        <v>937</v>
      </c>
    </row>
    <row r="3" spans="1:14">
      <c r="B3" t="s">
        <v>1073</v>
      </c>
      <c r="C3" t="s">
        <v>839</v>
      </c>
      <c r="D3" t="s">
        <v>840</v>
      </c>
      <c r="E3" t="s">
        <v>838</v>
      </c>
      <c r="F3" t="s">
        <v>841</v>
      </c>
      <c r="G3" t="s">
        <v>898</v>
      </c>
      <c r="I3" t="s">
        <v>1073</v>
      </c>
      <c r="J3" t="s">
        <v>921</v>
      </c>
      <c r="K3" t="s">
        <v>922</v>
      </c>
      <c r="L3" t="s">
        <v>923</v>
      </c>
      <c r="M3" t="s">
        <v>924</v>
      </c>
      <c r="N3" t="s">
        <v>925</v>
      </c>
    </row>
    <row r="4" spans="1:14">
      <c r="B4" t="s">
        <v>933</v>
      </c>
      <c r="C4">
        <f>IF(SUMIFS('TERadj'!T2:T100,'TERadj'!T2:T100,"&gt;0")/1000,SUMIFS('TERadj'!T2:T100,'TERadj'!T2:T100,"&gt;0")/1000,"")</f>
        <v>0</v>
      </c>
      <c r="D4">
        <f>IF(SUMIFS('TERadj'!U2:U100,'TERadj'!U2:U100,"&gt;0")/1000,SUMIFS('TERadj'!U2:U100,'TERadj'!U2:U100,"&gt;0")/1000,"")</f>
        <v>0</v>
      </c>
      <c r="E4">
        <f>IF(SUMIFS('TERadj'!V2:V100,'TERadj'!V2:V100,"&gt;0")/1000,SUMIFS('TERadj'!V2:V100,'TERadj'!V2:V100,"&gt;0")/1000,"")</f>
        <v>0</v>
      </c>
      <c r="F4">
        <f>IF(SUMIFS('TERadj'!W2:W100,'TERadj'!W2:W100,"&gt;0")/1000,SUMIFS('TERadj'!W2:W100,'TERadj'!W2:W100,"&gt;0")/1000,"")</f>
        <v>0</v>
      </c>
      <c r="G4">
        <f>IF(SUMIFS('TERadj'!X2:X100,'TERadj'!X2:X100,"&gt;0")/1000,SUMIFS('TERadj'!X2:X100,'TERadj'!X2:X100,"&gt;0")/1000,"")</f>
        <v>0</v>
      </c>
      <c r="I4" t="s">
        <v>933</v>
      </c>
      <c r="J4" cm="1">
        <f t="array" ref="J4">IF(COUNT(_xlfn._xlws.FILTER('TERadj'!T2:T100, ('TERadj'!T2:T100&gt;0))),COUNT(_xlfn._xlws.FILTER('TERadj'!T2:T100, ('TERadj'!T2:T100&gt;0))),"")</f>
        <v>0</v>
      </c>
      <c r="K4" cm="1">
        <f t="array" ref="K4">IF(COUNT(_xlfn._xlws.FILTER('TERadj'!U2:U100, ('TERadj'!U2:U100&gt;0))),COUNT(_xlfn._xlws.FILTER('TERadj'!U2:U100, ('TERadj'!U2:U100&gt;0))),"")</f>
        <v>0</v>
      </c>
      <c r="L4" cm="1">
        <f t="array" ref="L4">IF(COUNT(_xlfn._xlws.FILTER('TERadj'!V2:V100, ('TERadj'!V2:V100&gt;0))),COUNT(_xlfn._xlws.FILTER('TERadj'!V2:V100, ('TERadj'!V2:V100&gt;0))),"")</f>
        <v>0</v>
      </c>
      <c r="M4" cm="1">
        <f t="array" ref="M4">IF(COUNT(_xlfn._xlws.FILTER('TERadj'!W2:W100, ('TERadj'!W2:W100&gt;0))),COUNT(_xlfn._xlws.FILTER('TERadj'!W2:W100, ('TERadj'!W2:W100&gt;0))),"")</f>
        <v>0</v>
      </c>
      <c r="N4" cm="1">
        <f t="array" ref="N4">IF(COUNT(_xlfn._xlws.FILTER('TERadj'!X2:X100, ('TERadj'!X2:X100&gt;0))),COUNT(_xlfn._xlws.FILTER('TERadj'!X2:X100, ('TERadj'!X2:X100&gt;0))),"")</f>
        <v>0</v>
      </c>
    </row>
    <row r="5" spans="1:14">
      <c r="B5" t="s">
        <v>934</v>
      </c>
      <c r="C5">
        <f>IF(SUMIFS('TERadj'!Y2:Y100,'TERadj'!Y2:Y100,"&gt;0")/1000,SUMIFS('TERadj'!Y2:Y100,'TERadj'!Y2:Y100,"&gt;0")/1000,"")</f>
        <v>0</v>
      </c>
      <c r="D5">
        <f>IF(SUMIFS('TERadj'!Z2:Z100,'TERadj'!Z2:Z100,"&gt;0")/1000,SUMIFS('TERadj'!Z2:Z100,'TERadj'!Z2:Z100,"&gt;0")/1000,"")</f>
        <v>0</v>
      </c>
      <c r="E5">
        <f>IF(SUMIFS('TERadj'!AA2:AA100,'TERadj'!AA2:AA100,"&gt;0")/1000,SUMIFS('TERadj'!AA2:AA100,'TERadj'!AA2:AA100,"&gt;0")/1000,"")</f>
        <v>0</v>
      </c>
      <c r="F5">
        <f>IF(SUMIFS('TERadj'!AB2:AB100,'TERadj'!AB2:AB100,"&gt;0")/1000,SUMIFS('TERadj'!AB2:AB100,'TERadj'!AB2:AB100,"&gt;0")/1000,"")</f>
        <v>0</v>
      </c>
      <c r="G5">
        <f>IF(SUMIFS('TERadj'!AC2:AC100,'TERadj'!AC2:AC100,"&gt;0")/1000,SUMIFS('TERadj'!AC2:AC100,'TERadj'!AC2:AC100,"&gt;0")/1000,"")</f>
        <v>0</v>
      </c>
      <c r="I5" t="s">
        <v>934</v>
      </c>
      <c r="J5" cm="1">
        <f t="array" ref="J5">IF(COUNT(_xlfn._xlws.FILTER('TERadj'!Y2:Y100, ('TERadj'!Y2:Y100&gt;0))),COUNT(_xlfn._xlws.FILTER('TERadj'!Y2:Y100, ('TERadj'!Y2:Y100&gt;0))),"")</f>
        <v>0</v>
      </c>
      <c r="K5" cm="1">
        <f t="array" ref="K5">IF(COUNT(_xlfn._xlws.FILTER('TERadj'!Z2:Z100, ('TERadj'!Z2:Z100&gt;0))),COUNT(_xlfn._xlws.FILTER('TERadj'!Z2:Z100, ('TERadj'!Z2:Z100&gt;0))),"")</f>
        <v>0</v>
      </c>
      <c r="L5" cm="1">
        <f t="array" ref="L5">IF(COUNT(_xlfn._xlws.FILTER('TERadj'!AA2:AA100, ('TERadj'!AA2:AA100&gt;0))),COUNT(_xlfn._xlws.FILTER('TERadj'!AA2:AA100, ('TERadj'!AA2:AA100&gt;0))),"")</f>
        <v>0</v>
      </c>
      <c r="M5" cm="1">
        <f t="array" ref="M5">IF(COUNT(_xlfn._xlws.FILTER('TERadj'!AB2:AB100, ('TERadj'!AB2:AB100&gt;0))),COUNT(_xlfn._xlws.FILTER('TERadj'!AB2:AB100, ('TERadj'!AB2:AB100&gt;0))),"")</f>
        <v>0</v>
      </c>
      <c r="N5" cm="1">
        <f t="array" ref="N5">IF(COUNT(_xlfn._xlws.FILTER('TERadj'!AC2:AC100, ('TERadj'!AC2:AC100&gt;0))),COUNT(_xlfn._xlws.FILTER('TERadj'!AC2:AC100, ('TERadj'!AC2:AC100&gt;0))),"")</f>
        <v>0</v>
      </c>
    </row>
    <row r="6" spans="1:14">
      <c r="B6" t="s">
        <v>935</v>
      </c>
      <c r="C6">
        <f>IF(SUMIFS('TERadj'!AD2:AD100,'TERadj'!AD2:AD100,"&gt;0")/1000,SUMIFS('TERadj'!AD2:AD100,'TERadj'!AD2:AD100,"&gt;0")/1000,"")</f>
        <v>0</v>
      </c>
      <c r="D6">
        <f>IF(SUMIFS('TERadj'!AE2:AE100,'TERadj'!AE2:AE100,"&gt;0")/1000,SUMIFS('TERadj'!AE2:AE100,'TERadj'!AE2:AE100,"&gt;0")/1000,"")</f>
        <v>0</v>
      </c>
      <c r="E6">
        <f>IF(SUMIFS('TERadj'!AF2:AF100,'TERadj'!AF2:AF100,"&gt;0")/1000,SUMIFS('TERadj'!AF2:AF100,'TERadj'!AF2:AF100,"&gt;0")/1000,"")</f>
        <v>0</v>
      </c>
      <c r="F6">
        <f>IF(SUMIFS('TERadj'!AG2:AG100,'TERadj'!AG2:AG100,"&gt;0")/1000,SUMIFS('TERadj'!AG2:AG100,'TERadj'!AG2:AG100,"&gt;0")/1000,"")</f>
        <v>0</v>
      </c>
      <c r="G6">
        <f>IF(SUMIFS('TERadj'!AH2:AH100,'TERadj'!AH2:AH100,"&gt;0")/1000,SUMIFS('TERadj'!AH2:AH100,'TERadj'!AH2:AH100,"&gt;0")/1000,"")</f>
        <v>0</v>
      </c>
      <c r="I6" t="s">
        <v>935</v>
      </c>
      <c r="J6" cm="1">
        <f t="array" ref="J6">IF(COUNT(_xlfn._xlws.FILTER('TERadj'!AD2:AD100, ('TERadj'!AD2:AD100&gt;0))),COUNT(_xlfn._xlws.FILTER('TERadj'!AD2:AD100, ('TERadj'!AD2:AD100&gt;0))),"")</f>
        <v>0</v>
      </c>
      <c r="K6" cm="1">
        <f t="array" ref="K6">IF(COUNT(_xlfn._xlws.FILTER('TERadj'!AE2:AE100, ('TERadj'!AE2:AE100&gt;0))),COUNT(_xlfn._xlws.FILTER('TERadj'!AE2:AE100, ('TERadj'!AE2:AE100&gt;0))),"")</f>
        <v>0</v>
      </c>
      <c r="L6" cm="1">
        <f t="array" ref="L6">IF(COUNT(_xlfn._xlws.FILTER('TERadj'!AF2:AF100, ('TERadj'!AF2:AF100&gt;0))),COUNT(_xlfn._xlws.FILTER('TERadj'!AF2:AF100, ('TERadj'!AF2:AF100&gt;0))),"")</f>
        <v>0</v>
      </c>
      <c r="M6" cm="1">
        <f t="array" ref="M6">IF(COUNT(_xlfn._xlws.FILTER('TERadj'!AG2:AG100, ('TERadj'!AG2:AG100&gt;0))),COUNT(_xlfn._xlws.FILTER('TERadj'!AG2:AG100, ('TERadj'!AG2:AG100&gt;0))),"")</f>
        <v>0</v>
      </c>
      <c r="N6" cm="1">
        <f t="array" ref="N6">IF(COUNT(_xlfn._xlws.FILTER('TERadj'!AH2:AH100, ('TERadj'!AH2:AH100&gt;0))),COUNT(_xlfn._xlws.FILTER('TERadj'!AH2:AH100, ('TERadj'!AH2:AH100&gt;0))),"")</f>
        <v>0</v>
      </c>
    </row>
    <row r="7" spans="1:14">
      <c r="B7" t="s">
        <v>878</v>
      </c>
      <c r="C7">
        <f>IF(SUMIFS('TERadj'!AI2:AI100,'TERadj'!AI2:AI100,"&gt;0")/1000,SUMIFS('TERadj'!AI2:AI100,'TERadj'!AI2:AI100,"&gt;0")/1000,"")</f>
        <v>0</v>
      </c>
      <c r="D7">
        <f>IF(SUMIFS('TERadj'!AJ2:AJ100,'TERadj'!AJ2:AJ100,"&gt;0")/1000,SUMIFS('TERadj'!AJ2:AJ100,'TERadj'!AJ2:AJ100,"&gt;0")/1000,"")</f>
        <v>0</v>
      </c>
      <c r="E7">
        <f>IF(SUMIFS('TERadj'!AK2:AK100,'TERadj'!AK2:AK100,"&gt;0")/1000,SUMIFS('TERadj'!AK2:AK100,'TERadj'!AK2:AK100,"&gt;0")/1000,"")</f>
        <v>0</v>
      </c>
      <c r="F7">
        <f>IF(SUMIFS('TERadj'!AL2:AL100,'TERadj'!AL2:AL100,"&gt;0")/1000,SUMIFS('TERadj'!AL2:AL100,'TERadj'!AL2:AL100,"&gt;0")/1000,"")</f>
        <v>0</v>
      </c>
      <c r="G7">
        <f>IF(SUMIFS('TERadj'!AM2:AM100,'TERadj'!AM2:AM100,"&gt;0")/1000,SUMIFS('TERadj'!AM2:AM100,'TERadj'!AM2:AM100,"&gt;0")/1000,"")</f>
        <v>0</v>
      </c>
      <c r="I7" t="s">
        <v>878</v>
      </c>
      <c r="J7" cm="1">
        <f t="array" ref="J7">IF(COUNT(_xlfn._xlws.FILTER('TERadj'!AI2:AI100, ('TERadj'!AI2:AI100&gt;0))),COUNT(_xlfn._xlws.FILTER('TERadj'!AI2:AI100, ('TERadj'!AI2:AI100&gt;0))),"")</f>
        <v>0</v>
      </c>
      <c r="K7" cm="1">
        <f t="array" ref="K7">IF(COUNT(_xlfn._xlws.FILTER('TERadj'!AJ2:AJ100, ('TERadj'!AJ2:AJ100&gt;0))),COUNT(_xlfn._xlws.FILTER('TERadj'!AJ2:AJ100, ('TERadj'!AJ2:AJ100&gt;0))),"")</f>
        <v>0</v>
      </c>
      <c r="L7" cm="1">
        <f t="array" ref="L7">IF(COUNT(_xlfn._xlws.FILTER('TERadj'!AK2:AK100, ('TERadj'!AK2:AK100&gt;0))),COUNT(_xlfn._xlws.FILTER('TERadj'!AK2:AK100, ('TERadj'!AK2:AK100&gt;0))),"")</f>
        <v>0</v>
      </c>
      <c r="M7" cm="1">
        <f t="array" ref="M7">IF(COUNT(_xlfn._xlws.FILTER('TERadj'!AL2:AL100, ('TERadj'!AL2:AL100&gt;0))),COUNT(_xlfn._xlws.FILTER('TERadj'!AL2:AL100, ('TERadj'!AL2:AL100&gt;0))),"")</f>
        <v>0</v>
      </c>
      <c r="N7" cm="1">
        <f t="array" ref="N7">IF(COUNT(_xlfn._xlws.FILTER('TERadj'!AM2:AM100, ('TERadj'!AM2:AM100&gt;0))),COUNT(_xlfn._xlws.FILTER('TERadj'!AM2:AM100, ('TERadj'!AM2:AM100&gt;0))),"")</f>
        <v>0</v>
      </c>
    </row>
    <row r="8" spans="1:14">
      <c r="B8" t="s">
        <v>936</v>
      </c>
      <c r="C8">
        <f>IF(SUMIFS('TERadj'!AN2:AN100,'TERadj'!AN2:AN100,"&gt;0")/1000,SUMIFS('TERadj'!AN2:AN100,'TERadj'!AN2:AN100,"&gt;0")/1000,"")</f>
        <v>0</v>
      </c>
      <c r="D8">
        <f>IF(SUMIFS('TERadj'!AO2:AO100,'TERadj'!AO2:AO100,"&gt;0")/1000,SUMIFS('TERadj'!AO2:AO100,'TERadj'!AO2:AO100,"&gt;0")/1000,"")</f>
        <v>0</v>
      </c>
      <c r="E8">
        <f>IF(SUMIFS('TERadj'!AP2:AP100,'TERadj'!AP2:AP100,"&gt;0")/1000,SUMIFS('TERadj'!AP2:AP100,'TERadj'!AP2:AP100,"&gt;0")/1000,"")</f>
        <v>0</v>
      </c>
      <c r="F8">
        <f>IF(SUMIFS('TERadj'!AQ2:AQ100,'TERadj'!AQ2:AQ100,"&gt;0")/1000,SUMIFS('TERadj'!AQ2:AQ100,'TERadj'!AQ2:AQ100,"&gt;0")/1000,"")</f>
        <v>0</v>
      </c>
      <c r="G8">
        <f>IF(SUMIFS('TERadj'!AR2:AR100,'TERadj'!AR2:AR100,"&gt;0")/1000,SUMIFS('TERadj'!AR2:AR100,'TERadj'!AR2:AR100,"&gt;0")/1000,"")</f>
        <v>0</v>
      </c>
      <c r="I8" t="s">
        <v>936</v>
      </c>
      <c r="J8" cm="1">
        <f t="array" ref="J8">IF(COUNT(_xlfn._xlws.FILTER('TERadj'!AN2:AN100, ('TERadj'!AN2:AN100&gt;0))),COUNT(_xlfn._xlws.FILTER('TERadj'!AN2:AN100, ('TERadj'!AN2:AN100&gt;0))),"")</f>
        <v>0</v>
      </c>
      <c r="K8" cm="1">
        <f t="array" ref="K8">IF(COUNT(_xlfn._xlws.FILTER('TERadj'!AO2:AO100, ('TERadj'!AO2:AO100&gt;0))),COUNT(_xlfn._xlws.FILTER('TERadj'!AO2:AO100, ('TERadj'!AO2:AO100&gt;0))),"")</f>
        <v>0</v>
      </c>
      <c r="L8" cm="1">
        <f t="array" ref="L8">IF(COUNT(_xlfn._xlws.FILTER('TERadj'!AP2:AP100, ('TERadj'!AP2:AP100&gt;0))),COUNT(_xlfn._xlws.FILTER('TERadj'!AP2:AP100, ('TERadj'!AP2:AP100&gt;0))),"")</f>
        <v>0</v>
      </c>
      <c r="M8" cm="1">
        <f t="array" ref="M8">IF(COUNT(_xlfn._xlws.FILTER('TERadj'!AQ2:AQ100, ('TERadj'!AQ2:AQ100&gt;0))),COUNT(_xlfn._xlws.FILTER('TERadj'!AQ2:AQ100, ('TERadj'!AQ2:AQ100&gt;0))),"")</f>
        <v>0</v>
      </c>
      <c r="N8" cm="1">
        <f t="array" ref="N8">IF(COUNT(_xlfn._xlws.FILTER('TERadj'!AR2:AR100, ('TERadj'!AR2:AR100&gt;0))),COUNT(_xlfn._xlws.FILTER('TERadj'!AR2:AR100, ('TERadj'!AR2:AR100&gt;0))),"")</f>
        <v>0</v>
      </c>
    </row>
    <row r="9" spans="1:14">
      <c r="B9" t="s">
        <v>881</v>
      </c>
      <c r="C9">
        <f>IF(SUMIFS('TERadj'!AS2:AS100,'TERadj'!AS2:AS100,"&gt;0")/1000,SUMIFS('TERadj'!AS2:AS100,'TERadj'!AS2:AS100,"&gt;0")/1000,"")</f>
        <v>0</v>
      </c>
      <c r="D9">
        <f>IF(SUMIFS('TERadj'!AT2:AT100,'TERadj'!AT2:AT100,"&gt;0")/1000,SUMIFS('TERadj'!AT2:AT100,'TERadj'!AT2:AT100,"&gt;0")/1000,"")</f>
        <v>0</v>
      </c>
      <c r="E9">
        <f>IF(SUMIFS('TERadj'!AU2:AU100,'TERadj'!AU2:AU100,"&gt;0")/1000,SUMIFS('TERadj'!AU2:AU100,'TERadj'!AU2:AU100,"&gt;0")/1000,"")</f>
        <v>0</v>
      </c>
      <c r="F9">
        <f>IF(SUMIFS('TERadj'!AV2:AV100,'TERadj'!AV2:AV100,"&gt;0")/1000,SUMIFS('TERadj'!AV2:AV100,'TERadj'!AV2:AV100,"&gt;0")/1000,"")</f>
        <v>0</v>
      </c>
      <c r="G9">
        <f>IF(SUMIFS('TERadj'!AW2:AW100,'TERadj'!AW2:AW100,"&gt;0")/1000,SUMIFS('TERadj'!AW2:AW100,'TERadj'!AW2:AW100,"&gt;0")/1000,"")</f>
        <v>0</v>
      </c>
      <c r="I9" t="s">
        <v>881</v>
      </c>
      <c r="J9" cm="1">
        <f t="array" ref="J9">IF(COUNT(_xlfn._xlws.FILTER('TERadj'!AS2:AS100, ('TERadj'!AS2:AS100&gt;0))),COUNT(_xlfn._xlws.FILTER('TERadj'!AS2:AS100, ('TERadj'!AS2:AS100&gt;0))),"")</f>
        <v>0</v>
      </c>
      <c r="K9" cm="1">
        <f t="array" ref="K9">IF(COUNT(_xlfn._xlws.FILTER('TERadj'!AT2:AT100, ('TERadj'!AT2:AT100&gt;0))),COUNT(_xlfn._xlws.FILTER('TERadj'!AT2:AT100, ('TERadj'!AT2:AT100&gt;0))),"")</f>
        <v>0</v>
      </c>
      <c r="L9" cm="1">
        <f t="array" ref="L9">IF(COUNT(_xlfn._xlws.FILTER('TERadj'!AU2:AU100, ('TERadj'!AU2:AU100&gt;0))),COUNT(_xlfn._xlws.FILTER('TERadj'!AU2:AU100, ('TERadj'!AU2:AU100&gt;0))),"")</f>
        <v>0</v>
      </c>
      <c r="M9" cm="1">
        <f t="array" ref="M9">IF(COUNT(_xlfn._xlws.FILTER('TERadj'!AV2:AV100, ('TERadj'!AV2:AV100&gt;0))),COUNT(_xlfn._xlws.FILTER('TERadj'!AV2:AV100, ('TERadj'!AV2:AV100&gt;0))),"")</f>
        <v>0</v>
      </c>
      <c r="N9" cm="1">
        <f t="array" ref="N9">IF(COUNT(_xlfn._xlws.FILTER('TERadj'!AW2:AW100, ('TERadj'!AW2:AW100&gt;0))),COUNT(_xlfn._xlws.FILTER('TERadj'!AW2:AW100, ('TERadj'!AW2:AW100&gt;0))),"")</f>
        <v>0</v>
      </c>
    </row>
    <row r="10" spans="1:14">
      <c r="B10" t="s">
        <v>938</v>
      </c>
      <c r="I10" t="s">
        <v>938</v>
      </c>
    </row>
    <row r="12" spans="1:14">
      <c r="B12" t="s">
        <v>1073</v>
      </c>
      <c r="C12" t="s">
        <v>839</v>
      </c>
      <c r="D12" t="s">
        <v>840</v>
      </c>
      <c r="E12" t="s">
        <v>838</v>
      </c>
      <c r="F12" t="s">
        <v>841</v>
      </c>
      <c r="G12" t="s">
        <v>898</v>
      </c>
    </row>
    <row r="13" spans="1:14">
      <c r="B13" t="s">
        <v>933</v>
      </c>
      <c r="C13" s="5">
        <f>IF(SUM(J4:J10) &gt; 0, IF(AND(SUM(C4:C10)&gt;0, ISNUMBER(C4)),C4/SUM(C4:C10), ""), "")</f>
        <v>0</v>
      </c>
      <c r="D13" s="5">
        <f>IF(SUM(J4:J10) &gt; 0, IF(AND(SUM(D4:D10)&gt;0, ISNUMBER(D4)),D4/SUM(D4:D10), ""), "")</f>
        <v>0</v>
      </c>
      <c r="E13" s="5">
        <f>IF(SUM(J4:J10) &gt; 0, IF(AND(SUM(E4:E10)&gt;0, ISNUMBER(E4)),E4/SUM(E4:E10), ""), "")</f>
        <v>0</v>
      </c>
      <c r="F13" s="5">
        <f>IF(SUM(J4:J10) &gt; 0, IF(AND(SUM(F4:F10)&gt;0, ISNUMBER(F4)),F4/SUM(F4:F10), ""), "")</f>
        <v>0</v>
      </c>
      <c r="G13" s="5">
        <f>IF(SUM(J4:J10) &gt; 0, IF(AND(SUM(G4:G10)&gt;0, ISNUMBER(G4)),G4/SUM(G4:G10), ""), "")</f>
        <v>0</v>
      </c>
    </row>
    <row r="14" spans="1:14">
      <c r="B14" t="s">
        <v>934</v>
      </c>
      <c r="C14" s="5">
        <f>IF(SUM(J4:J10) &gt; 0, IF(AND(SUM(C4:C10)&gt;0, ISNUMBER(C5)),C5/SUM(C4:C10), ""), "")</f>
        <v>0</v>
      </c>
      <c r="D14" s="5">
        <f>IF(SUM(J4:J10) &gt; 0, IF(AND(SUM(D4:D10)&gt;0, ISNUMBER(D5)),D5/SUM(D4:D10), ""), "")</f>
        <v>0</v>
      </c>
      <c r="E14" s="5">
        <f>IF(SUM(J4:J10) &gt; 0, IF(AND(SUM(E4:E10)&gt;0, ISNUMBER(E5)),E5/SUM(E4:E10), ""), "")</f>
        <v>0</v>
      </c>
      <c r="F14" s="5">
        <f>IF(SUM(J4:J10) &gt; 0, IF(AND(SUM(F4:F10)&gt;0, ISNUMBER(F5)),F5/SUM(F4:F10), ""), "")</f>
        <v>0</v>
      </c>
      <c r="G14" s="5">
        <f>IF(SUM(J4:J10) &gt; 0, IF(AND(SUM(G4:G10)&gt;0, ISNUMBER(G5)),G5/SUM(G4:G10), ""), "")</f>
        <v>0</v>
      </c>
    </row>
    <row r="15" spans="1:14">
      <c r="B15" t="s">
        <v>935</v>
      </c>
      <c r="C15" s="5">
        <f>IF(SUM(J4:J10) &gt; 0, IF(AND(SUM(C4:C10)&gt;0, ISNUMBER(C6)),C6/SUM(C4:C10), ""), "")</f>
        <v>0</v>
      </c>
      <c r="D15" s="5">
        <f>IF(SUM(J4:J10) &gt; 0, IF(AND(SUM(D4:D10)&gt;0, ISNUMBER(D6)),D6/SUM(D4:D10), ""), "")</f>
        <v>0</v>
      </c>
      <c r="E15" s="5">
        <f>IF(SUM(J4:J10) &gt; 0, IF(AND(SUM(E4:E10)&gt;0, ISNUMBER(E6)),E6/SUM(E4:E10), ""), "")</f>
        <v>0</v>
      </c>
      <c r="F15" s="5">
        <f>IF(SUM(J4:J10) &gt; 0, IF(AND(SUM(F4:F10)&gt;0, ISNUMBER(F6)),F6/SUM(F4:F10), ""), "")</f>
        <v>0</v>
      </c>
      <c r="G15" s="5">
        <f>IF(SUM(J4:J10) &gt; 0, IF(AND(SUM(G4:G10)&gt;0, ISNUMBER(G6)),G6/SUM(G4:G10), ""), "")</f>
        <v>0</v>
      </c>
    </row>
    <row r="16" spans="1:14">
      <c r="B16" t="s">
        <v>878</v>
      </c>
      <c r="C16" s="5">
        <f>IF(SUM(J4:J10) &gt; 0, IF(AND(SUM(C4:C10)&gt;0, ISNUMBER(C7)),C7/SUM(C4:C10), ""), "")</f>
        <v>0</v>
      </c>
      <c r="D16" s="5">
        <f>IF(SUM(J4:J10) &gt; 0, IF(AND(SUM(D4:D10)&gt;0, ISNUMBER(D7)),D7/SUM(D4:D10), ""), "")</f>
        <v>0</v>
      </c>
      <c r="E16" s="5">
        <f>IF(SUM(J4:J10) &gt; 0, IF(AND(SUM(E4:E10)&gt;0, ISNUMBER(E7)),E7/SUM(E4:E10), ""), "")</f>
        <v>0</v>
      </c>
      <c r="F16" s="5">
        <f>IF(SUM(J4:J10) &gt; 0, IF(AND(SUM(F4:F10)&gt;0, ISNUMBER(F7)),F7/SUM(F4:F10), ""), "")</f>
        <v>0</v>
      </c>
      <c r="G16" s="5">
        <f>IF(SUM(J4:J10) &gt; 0, IF(AND(SUM(G4:G10)&gt;0, ISNUMBER(G7)),G7/SUM(G4:G10), ""), "")</f>
        <v>0</v>
      </c>
    </row>
    <row r="17" spans="2:7">
      <c r="B17" t="s">
        <v>936</v>
      </c>
      <c r="C17" s="5">
        <f>IF(SUM(J4:J10) &gt; 0, IF(AND(SUM(C4:C10)&gt;0, ISNUMBER(C8)),C8/SUM(C4:C10), ""), "")</f>
        <v>0</v>
      </c>
      <c r="D17" s="5">
        <f>IF(SUM(J4:J10) &gt; 0, IF(AND(SUM(D4:D10)&gt;0, ISNUMBER(D8)),D8/SUM(D4:D10), ""), "")</f>
        <v>0</v>
      </c>
      <c r="E17" s="5">
        <f>IF(SUM(J4:J10) &gt; 0, IF(AND(SUM(E4:E10)&gt;0, ISNUMBER(E8)),E8/SUM(E4:E10), ""), "")</f>
        <v>0</v>
      </c>
      <c r="F17" s="5">
        <f>IF(SUM(J4:J10) &gt; 0, IF(AND(SUM(F4:F10)&gt;0, ISNUMBER(F8)),F8/SUM(F4:F10), ""), "")</f>
        <v>0</v>
      </c>
      <c r="G17" s="5">
        <f>IF(SUM(J4:J10) &gt; 0, IF(AND(SUM(G4:G10)&gt;0, ISNUMBER(G8)),G8/SUM(G4:G10), ""), "")</f>
        <v>0</v>
      </c>
    </row>
    <row r="18" spans="2:7">
      <c r="B18" t="s">
        <v>881</v>
      </c>
      <c r="C18" s="5">
        <f>IF(SUM(J4:J10) &gt; 0, IF(AND(SUM(C4:C10)&gt;0, ISNUMBER(C9)),C9/SUM(C4:C10), ""), "")</f>
        <v>0</v>
      </c>
      <c r="D18" s="5">
        <f>IF(SUM(J4:J10) &gt; 0, IF(AND(SUM(D4:D10)&gt;0, ISNUMBER(D9)),D9/SUM(D4:D10), ""), "")</f>
        <v>0</v>
      </c>
      <c r="E18" s="5">
        <f>IF(SUM(J4:J10) &gt; 0, IF(AND(SUM(E4:E10)&gt;0, ISNUMBER(E9)),E9/SUM(E4:E10), ""), "")</f>
        <v>0</v>
      </c>
      <c r="F18" s="5">
        <f>IF(SUM(J4:J10) &gt; 0, IF(AND(SUM(F4:F10)&gt;0, ISNUMBER(F9)),F9/SUM(F4:F10), ""), "")</f>
        <v>0</v>
      </c>
      <c r="G18" s="5">
        <f>IF(SUM(J4:J10) &gt; 0, IF(AND(SUM(G4:G10)&gt;0, ISNUMBER(G9)),G9/SUM(G4:G10), ""), "")</f>
        <v>0</v>
      </c>
    </row>
    <row r="19" spans="2:7">
      <c r="B19" t="s">
        <v>938</v>
      </c>
      <c r="C19" s="5">
        <f>IF(SUM(J4:J10) &gt; 0, IF(AND(SUM(C4:C10)&gt;0, ISNUMBER(C10)),C10/SUM(C4:C10), ""), "")</f>
        <v>0</v>
      </c>
      <c r="D19" s="5">
        <f>IF(SUM(J4:J10) &gt; 0, IF(AND(SUM(D4:D10)&gt;0, ISNUMBER(D10)),D10/SUM(D4:D10), ""), "")</f>
        <v>0</v>
      </c>
      <c r="E19" s="5">
        <f>IF(SUM(J4:J10) &gt; 0, IF(AND(SUM(E4:E10)&gt;0, ISNUMBER(E10)),E10/SUM(E4:E10), ""), "")</f>
        <v>0</v>
      </c>
      <c r="F19" s="5">
        <f>IF(SUM(J4:J10) &gt; 0, IF(AND(SUM(F4:F10)&gt;0, ISNUMBER(F10)),F10/SUM(F4:F10), ""), "")</f>
        <v>0</v>
      </c>
      <c r="G19" s="5">
        <f>IF(SUM(J4:J10) &gt; 0, IF(AND(SUM(G4:G10)&gt;0, ISNUMBER(G10)),G10/SUM(G4:G10), ""), "")</f>
        <v>0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tabColor rgb="FF0033A0"/>
  </sheetPr>
  <dimension ref="A1:T19"/>
  <sheetViews>
    <sheetView workbookViewId="0"/>
  </sheetViews>
  <sheetFormatPr defaultRowHeight="15"/>
  <sheetData>
    <row r="1" spans="1:20" s="3" customFormat="1" ht="40" customHeight="1">
      <c r="A1" s="3" t="s">
        <v>1074</v>
      </c>
    </row>
    <row r="3" spans="1:20">
      <c r="B3" t="s">
        <v>915</v>
      </c>
      <c r="C3" t="s">
        <v>884</v>
      </c>
      <c r="D3" t="s">
        <v>892</v>
      </c>
      <c r="E3" t="s">
        <v>880</v>
      </c>
      <c r="F3" t="s">
        <v>890</v>
      </c>
      <c r="G3" t="s">
        <v>1009</v>
      </c>
      <c r="H3" t="s">
        <v>936</v>
      </c>
      <c r="I3" t="s">
        <v>1010</v>
      </c>
      <c r="J3" t="s">
        <v>894</v>
      </c>
      <c r="L3" t="s">
        <v>915</v>
      </c>
      <c r="M3" t="s">
        <v>1075</v>
      </c>
      <c r="N3" t="s">
        <v>1076</v>
      </c>
      <c r="O3" t="s">
        <v>1077</v>
      </c>
      <c r="P3" t="s">
        <v>1078</v>
      </c>
      <c r="Q3" t="s">
        <v>1079</v>
      </c>
      <c r="R3" t="s">
        <v>1065</v>
      </c>
      <c r="S3" t="s">
        <v>1080</v>
      </c>
      <c r="T3" t="s">
        <v>1046</v>
      </c>
    </row>
    <row r="4" spans="1:20">
      <c r="B4" t="s">
        <v>933</v>
      </c>
      <c r="C4">
        <f>IF(SUMIFS('TERadj'!VU2:VU100,'TERadj'!VU2:VU100,"&gt;0")/1000,SUMIFS('TERadj'!VU2:VU100,'TERadj'!VU2:VU100,"&gt;0")/1000,"")</f>
        <v>0</v>
      </c>
      <c r="D4">
        <f>IF(SUMIFS('TERadj'!VV2:VV100,'TERadj'!VV2:VV100,"&gt;0")/1000,SUMIFS('TERadj'!VV2:VV100,'TERadj'!VV2:VV100,"&gt;0")/1000,"")</f>
        <v>0</v>
      </c>
      <c r="E4">
        <f>IF(SUMIFS('TERadj'!VW2:VW100,'TERadj'!VW2:VW100,"&gt;0")/1000,SUMIFS('TERadj'!VW2:VW100,'TERadj'!VW2:VW100,"&gt;0")/1000,"")</f>
        <v>0</v>
      </c>
      <c r="F4">
        <f>IF(SUMIFS('TERadj'!VX2:VX100,'TERadj'!VX2:VX100,"&gt;0")/1000,SUMIFS('TERadj'!VX2:VX100,'TERadj'!VX2:VX100,"&gt;0")/1000,"")</f>
        <v>0</v>
      </c>
      <c r="G4">
        <f>IF(SUMIFS('TERadj'!VY2:VY100,'TERadj'!VY2:VY100,"&gt;0")/1000,SUMIFS('TERadj'!VY2:VY100,'TERadj'!VY2:VY100,"&gt;0")/1000,"")</f>
        <v>0</v>
      </c>
      <c r="H4">
        <f>IF(SUMIFS('TERadj'!VZ2:VZ100,'TERadj'!VZ2:VZ100,"&gt;0")/1000,SUMIFS('TERadj'!VZ2:VZ100,'TERadj'!VZ2:VZ100,"&gt;0")/1000,"")</f>
        <v>0</v>
      </c>
      <c r="I4">
        <f>IF(SUMIFS('TERadj'!WA2:WA100,'TERadj'!WA2:WA100,"&gt;0")/1000,SUMIFS('TERadj'!WA2:WA100,'TERadj'!WA2:WA100,"&gt;0")/1000,"")</f>
        <v>0</v>
      </c>
      <c r="J4">
        <f>IF(SUMIFS('TERadj'!WB2:WB100,'TERadj'!WB2:WB100,"&gt;0")/1000,SUMIFS('TERadj'!WB2:WB100,'TERadj'!WB2:WB100,"&gt;0")/1000,"")</f>
        <v>0</v>
      </c>
      <c r="L4" t="s">
        <v>933</v>
      </c>
      <c r="M4" cm="1">
        <f t="array" ref="M4">IF(COUNT(_xlfn._xlws.FILTER('TERadj'!VU2:VU100, ('TERadj'!VU2:VU100&gt;0))),COUNT(_xlfn._xlws.FILTER('TERadj'!VU2:VU100, ('TERadj'!VU2:VU100&gt;0))),"")</f>
        <v>0</v>
      </c>
      <c r="N4" cm="1">
        <f t="array" ref="N4">IF(COUNT(_xlfn._xlws.FILTER('TERadj'!VV2:VV100, ('TERadj'!VV2:VV100&gt;0))),COUNT(_xlfn._xlws.FILTER('TERadj'!VV2:VV100, ('TERadj'!VV2:VV100&gt;0))),"")</f>
        <v>0</v>
      </c>
      <c r="O4" cm="1">
        <f t="array" ref="O4">IF(COUNT(_xlfn._xlws.FILTER('TERadj'!VW2:VW100, ('TERadj'!VW2:VW100&gt;0))),COUNT(_xlfn._xlws.FILTER('TERadj'!VW2:VW100, ('TERadj'!VW2:VW100&gt;0))),"")</f>
        <v>0</v>
      </c>
      <c r="P4" cm="1">
        <f t="array" ref="P4">IF(COUNT(_xlfn._xlws.FILTER('TERadj'!VX2:VX100, ('TERadj'!VX2:VX100&gt;0))),COUNT(_xlfn._xlws.FILTER('TERadj'!VX2:VX100, ('TERadj'!VX2:VX100&gt;0))),"")</f>
        <v>0</v>
      </c>
      <c r="Q4" cm="1">
        <f t="array" ref="Q4">IF(COUNT(_xlfn._xlws.FILTER('TERadj'!VY2:VY100, ('TERadj'!VY2:VY100&gt;0))),COUNT(_xlfn._xlws.FILTER('TERadj'!VY2:VY100, ('TERadj'!VY2:VY100&gt;0))),"")</f>
        <v>0</v>
      </c>
      <c r="R4" cm="1">
        <f t="array" ref="R4">IF(COUNT(_xlfn._xlws.FILTER('TERadj'!VZ2:VZ100, ('TERadj'!VZ2:VZ100&gt;0))),COUNT(_xlfn._xlws.FILTER('TERadj'!VZ2:VZ100, ('TERadj'!VZ2:VZ100&gt;0))),"")</f>
        <v>0</v>
      </c>
      <c r="S4" cm="1">
        <f t="array" ref="S4">IF(COUNT(_xlfn._xlws.FILTER('TERadj'!WA2:WA100, ('TERadj'!WA2:WA100&gt;0))),COUNT(_xlfn._xlws.FILTER('TERadj'!WA2:WA100, ('TERadj'!WA2:WA100&gt;0))),"")</f>
        <v>0</v>
      </c>
      <c r="T4" cm="1">
        <f t="array" ref="T4">IF(COUNT(_xlfn._xlws.FILTER('TERadj'!WB2:WB100, ('TERadj'!WB2:WB100&gt;0))),COUNT(_xlfn._xlws.FILTER('TERadj'!WB2:WB100, ('TERadj'!WB2:WB100&gt;0))),"")</f>
        <v>0</v>
      </c>
    </row>
    <row r="5" spans="1:20">
      <c r="B5" t="s">
        <v>934</v>
      </c>
      <c r="C5">
        <f>IF(SUMIFS('TERadj'!WC2:WC100,'TERadj'!WC2:WC100,"&gt;0")/1000,SUMIFS('TERadj'!WC2:WC100,'TERadj'!WC2:WC100,"&gt;0")/1000,"")</f>
        <v>0</v>
      </c>
      <c r="D5">
        <f>IF(SUMIFS('TERadj'!WD2:WD100,'TERadj'!WD2:WD100,"&gt;0")/1000,SUMIFS('TERadj'!WD2:WD100,'TERadj'!WD2:WD100,"&gt;0")/1000,"")</f>
        <v>0</v>
      </c>
      <c r="E5">
        <f>IF(SUMIFS('TERadj'!WE2:WE100,'TERadj'!WE2:WE100,"&gt;0")/1000,SUMIFS('TERadj'!WE2:WE100,'TERadj'!WE2:WE100,"&gt;0")/1000,"")</f>
        <v>0</v>
      </c>
      <c r="F5">
        <f>IF(SUMIFS('TERadj'!WF2:WF100,'TERadj'!WF2:WF100,"&gt;0")/1000,SUMIFS('TERadj'!WF2:WF100,'TERadj'!WF2:WF100,"&gt;0")/1000,"")</f>
        <v>0</v>
      </c>
      <c r="G5">
        <f>IF(SUMIFS('TERadj'!WG2:WG100,'TERadj'!WG2:WG100,"&gt;0")/1000,SUMIFS('TERadj'!WG2:WG100,'TERadj'!WG2:WG100,"&gt;0")/1000,"")</f>
        <v>0</v>
      </c>
      <c r="H5">
        <f>IF(SUMIFS('TERadj'!WH2:WH100,'TERadj'!WH2:WH100,"&gt;0")/1000,SUMIFS('TERadj'!WH2:WH100,'TERadj'!WH2:WH100,"&gt;0")/1000,"")</f>
        <v>0</v>
      </c>
      <c r="I5">
        <f>IF(SUMIFS('TERadj'!WI2:WI100,'TERadj'!WI2:WI100,"&gt;0")/1000,SUMIFS('TERadj'!WI2:WI100,'TERadj'!WI2:WI100,"&gt;0")/1000,"")</f>
        <v>0</v>
      </c>
      <c r="J5">
        <f>IF(SUMIFS('TERadj'!WJ2:WJ100,'TERadj'!WJ2:WJ100,"&gt;0")/1000,SUMIFS('TERadj'!WJ2:WJ100,'TERadj'!WJ2:WJ100,"&gt;0")/1000,"")</f>
        <v>0</v>
      </c>
      <c r="L5" t="s">
        <v>934</v>
      </c>
      <c r="M5" cm="1">
        <f t="array" ref="M5">IF(COUNT(_xlfn._xlws.FILTER('TERadj'!WC2:WC100, ('TERadj'!WC2:WC100&gt;0))),COUNT(_xlfn._xlws.FILTER('TERadj'!WC2:WC100, ('TERadj'!WC2:WC100&gt;0))),"")</f>
        <v>0</v>
      </c>
      <c r="N5" cm="1">
        <f t="array" ref="N5">IF(COUNT(_xlfn._xlws.FILTER('TERadj'!WD2:WD100, ('TERadj'!WD2:WD100&gt;0))),COUNT(_xlfn._xlws.FILTER('TERadj'!WD2:WD100, ('TERadj'!WD2:WD100&gt;0))),"")</f>
        <v>0</v>
      </c>
      <c r="O5" cm="1">
        <f t="array" ref="O5">IF(COUNT(_xlfn._xlws.FILTER('TERadj'!WE2:WE100, ('TERadj'!WE2:WE100&gt;0))),COUNT(_xlfn._xlws.FILTER('TERadj'!WE2:WE100, ('TERadj'!WE2:WE100&gt;0))),"")</f>
        <v>0</v>
      </c>
      <c r="P5" cm="1">
        <f t="array" ref="P5">IF(COUNT(_xlfn._xlws.FILTER('TERadj'!WF2:WF100, ('TERadj'!WF2:WF100&gt;0))),COUNT(_xlfn._xlws.FILTER('TERadj'!WF2:WF100, ('TERadj'!WF2:WF100&gt;0))),"")</f>
        <v>0</v>
      </c>
      <c r="Q5" cm="1">
        <f t="array" ref="Q5">IF(COUNT(_xlfn._xlws.FILTER('TERadj'!WG2:WG100, ('TERadj'!WG2:WG100&gt;0))),COUNT(_xlfn._xlws.FILTER('TERadj'!WG2:WG100, ('TERadj'!WG2:WG100&gt;0))),"")</f>
        <v>0</v>
      </c>
      <c r="R5" cm="1">
        <f t="array" ref="R5">IF(COUNT(_xlfn._xlws.FILTER('TERadj'!WH2:WH100, ('TERadj'!WH2:WH100&gt;0))),COUNT(_xlfn._xlws.FILTER('TERadj'!WH2:WH100, ('TERadj'!WH2:WH100&gt;0))),"")</f>
        <v>0</v>
      </c>
      <c r="S5" cm="1">
        <f t="array" ref="S5">IF(COUNT(_xlfn._xlws.FILTER('TERadj'!WI2:WI100, ('TERadj'!WI2:WI100&gt;0))),COUNT(_xlfn._xlws.FILTER('TERadj'!WI2:WI100, ('TERadj'!WI2:WI100&gt;0))),"")</f>
        <v>0</v>
      </c>
      <c r="T5" cm="1">
        <f t="array" ref="T5">IF(COUNT(_xlfn._xlws.FILTER('TERadj'!WJ2:WJ100, ('TERadj'!WJ2:WJ100&gt;0))),COUNT(_xlfn._xlws.FILTER('TERadj'!WJ2:WJ100, ('TERadj'!WJ2:WJ100&gt;0))),"")</f>
        <v>0</v>
      </c>
    </row>
    <row r="6" spans="1:20">
      <c r="B6" t="s">
        <v>935</v>
      </c>
      <c r="C6">
        <f>IF(SUMIFS('TERadj'!WK2:WK100,'TERadj'!WK2:WK100,"&gt;0")/1000,SUMIFS('TERadj'!WK2:WK100,'TERadj'!WK2:WK100,"&gt;0")/1000,"")</f>
        <v>0</v>
      </c>
      <c r="D6">
        <f>IF(SUMIFS('TERadj'!WL2:WL100,'TERadj'!WL2:WL100,"&gt;0")/1000,SUMIFS('TERadj'!WL2:WL100,'TERadj'!WL2:WL100,"&gt;0")/1000,"")</f>
        <v>0</v>
      </c>
      <c r="E6">
        <f>IF(SUMIFS('TERadj'!WM2:WM100,'TERadj'!WM2:WM100,"&gt;0")/1000,SUMIFS('TERadj'!WM2:WM100,'TERadj'!WM2:WM100,"&gt;0")/1000,"")</f>
        <v>0</v>
      </c>
      <c r="F6">
        <f>IF(SUMIFS('TERadj'!WN2:WN100,'TERadj'!WN2:WN100,"&gt;0")/1000,SUMIFS('TERadj'!WN2:WN100,'TERadj'!WN2:WN100,"&gt;0")/1000,"")</f>
        <v>0</v>
      </c>
      <c r="G6">
        <f>IF(SUMIFS('TERadj'!WO2:WO100,'TERadj'!WO2:WO100,"&gt;0")/1000,SUMIFS('TERadj'!WO2:WO100,'TERadj'!WO2:WO100,"&gt;0")/1000,"")</f>
        <v>0</v>
      </c>
      <c r="H6">
        <f>IF(SUMIFS('TERadj'!WP2:WP100,'TERadj'!WP2:WP100,"&gt;0")/1000,SUMIFS('TERadj'!WP2:WP100,'TERadj'!WP2:WP100,"&gt;0")/1000,"")</f>
        <v>0</v>
      </c>
      <c r="I6">
        <f>IF(SUMIFS('TERadj'!WQ2:WQ100,'TERadj'!WQ2:WQ100,"&gt;0")/1000,SUMIFS('TERadj'!WQ2:WQ100,'TERadj'!WQ2:WQ100,"&gt;0")/1000,"")</f>
        <v>0</v>
      </c>
      <c r="J6">
        <f>IF(SUMIFS('TERadj'!WR2:WR100,'TERadj'!WR2:WR100,"&gt;0")/1000,SUMIFS('TERadj'!WR2:WR100,'TERadj'!WR2:WR100,"&gt;0")/1000,"")</f>
        <v>0</v>
      </c>
      <c r="L6" t="s">
        <v>935</v>
      </c>
      <c r="M6" cm="1">
        <f t="array" ref="M6">IF(COUNT(_xlfn._xlws.FILTER('TERadj'!WK2:WK100, ('TERadj'!WK2:WK100&gt;0))),COUNT(_xlfn._xlws.FILTER('TERadj'!WK2:WK100, ('TERadj'!WK2:WK100&gt;0))),"")</f>
        <v>0</v>
      </c>
      <c r="N6" cm="1">
        <f t="array" ref="N6">IF(COUNT(_xlfn._xlws.FILTER('TERadj'!WL2:WL100, ('TERadj'!WL2:WL100&gt;0))),COUNT(_xlfn._xlws.FILTER('TERadj'!WL2:WL100, ('TERadj'!WL2:WL100&gt;0))),"")</f>
        <v>0</v>
      </c>
      <c r="O6" cm="1">
        <f t="array" ref="O6">IF(COUNT(_xlfn._xlws.FILTER('TERadj'!WM2:WM100, ('TERadj'!WM2:WM100&gt;0))),COUNT(_xlfn._xlws.FILTER('TERadj'!WM2:WM100, ('TERadj'!WM2:WM100&gt;0))),"")</f>
        <v>0</v>
      </c>
      <c r="P6" cm="1">
        <f t="array" ref="P6">IF(COUNT(_xlfn._xlws.FILTER('TERadj'!WN2:WN100, ('TERadj'!WN2:WN100&gt;0))),COUNT(_xlfn._xlws.FILTER('TERadj'!WN2:WN100, ('TERadj'!WN2:WN100&gt;0))),"")</f>
        <v>0</v>
      </c>
      <c r="Q6" cm="1">
        <f t="array" ref="Q6">IF(COUNT(_xlfn._xlws.FILTER('TERadj'!WO2:WO100, ('TERadj'!WO2:WO100&gt;0))),COUNT(_xlfn._xlws.FILTER('TERadj'!WO2:WO100, ('TERadj'!WO2:WO100&gt;0))),"")</f>
        <v>0</v>
      </c>
      <c r="R6" cm="1">
        <f t="array" ref="R6">IF(COUNT(_xlfn._xlws.FILTER('TERadj'!WP2:WP100, ('TERadj'!WP2:WP100&gt;0))),COUNT(_xlfn._xlws.FILTER('TERadj'!WP2:WP100, ('TERadj'!WP2:WP100&gt;0))),"")</f>
        <v>0</v>
      </c>
      <c r="S6" cm="1">
        <f t="array" ref="S6">IF(COUNT(_xlfn._xlws.FILTER('TERadj'!WQ2:WQ100, ('TERadj'!WQ2:WQ100&gt;0))),COUNT(_xlfn._xlws.FILTER('TERadj'!WQ2:WQ100, ('TERadj'!WQ2:WQ100&gt;0))),"")</f>
        <v>0</v>
      </c>
      <c r="T6" cm="1">
        <f t="array" ref="T6">IF(COUNT(_xlfn._xlws.FILTER('TERadj'!WR2:WR100, ('TERadj'!WR2:WR100&gt;0))),COUNT(_xlfn._xlws.FILTER('TERadj'!WR2:WR100, ('TERadj'!WR2:WR100&gt;0))),"")</f>
        <v>0</v>
      </c>
    </row>
    <row r="7" spans="1:20">
      <c r="B7" t="s">
        <v>878</v>
      </c>
      <c r="C7">
        <f>IF(SUMIFS('TERadj'!WS2:WS100,'TERadj'!WS2:WS100,"&gt;0")/1000,SUMIFS('TERadj'!WS2:WS100,'TERadj'!WS2:WS100,"&gt;0")/1000,"")</f>
        <v>0</v>
      </c>
      <c r="D7">
        <f>IF(SUMIFS('TERadj'!WT2:WT100,'TERadj'!WT2:WT100,"&gt;0")/1000,SUMIFS('TERadj'!WT2:WT100,'TERadj'!WT2:WT100,"&gt;0")/1000,"")</f>
        <v>0</v>
      </c>
      <c r="E7">
        <f>IF(SUMIFS('TERadj'!WU2:WU100,'TERadj'!WU2:WU100,"&gt;0")/1000,SUMIFS('TERadj'!WU2:WU100,'TERadj'!WU2:WU100,"&gt;0")/1000,"")</f>
        <v>0</v>
      </c>
      <c r="F7">
        <f>IF(SUMIFS('TERadj'!WV2:WV100,'TERadj'!WV2:WV100,"&gt;0")/1000,SUMIFS('TERadj'!WV2:WV100,'TERadj'!WV2:WV100,"&gt;0")/1000,"")</f>
        <v>0</v>
      </c>
      <c r="G7">
        <f>IF(SUMIFS('TERadj'!WW2:WW100,'TERadj'!WW2:WW100,"&gt;0")/1000,SUMIFS('TERadj'!WW2:WW100,'TERadj'!WW2:WW100,"&gt;0")/1000,"")</f>
        <v>0</v>
      </c>
      <c r="H7">
        <f>IF(SUMIFS('TERadj'!WX2:WX100,'TERadj'!WX2:WX100,"&gt;0")/1000,SUMIFS('TERadj'!WX2:WX100,'TERadj'!WX2:WX100,"&gt;0")/1000,"")</f>
        <v>0</v>
      </c>
      <c r="I7">
        <f>IF(SUMIFS('TERadj'!WY2:WY100,'TERadj'!WY2:WY100,"&gt;0")/1000,SUMIFS('TERadj'!WY2:WY100,'TERadj'!WY2:WY100,"&gt;0")/1000,"")</f>
        <v>0</v>
      </c>
      <c r="J7">
        <f>IF(SUMIFS('TERadj'!WZ2:WZ100,'TERadj'!WZ2:WZ100,"&gt;0")/1000,SUMIFS('TERadj'!WZ2:WZ100,'TERadj'!WZ2:WZ100,"&gt;0")/1000,"")</f>
        <v>0</v>
      </c>
      <c r="L7" t="s">
        <v>878</v>
      </c>
      <c r="M7" cm="1">
        <f t="array" ref="M7">IF(COUNT(_xlfn._xlws.FILTER('TERadj'!WS2:WS100, ('TERadj'!WS2:WS100&gt;0))),COUNT(_xlfn._xlws.FILTER('TERadj'!WS2:WS100, ('TERadj'!WS2:WS100&gt;0))),"")</f>
        <v>0</v>
      </c>
      <c r="N7" cm="1">
        <f t="array" ref="N7">IF(COUNT(_xlfn._xlws.FILTER('TERadj'!WT2:WT100, ('TERadj'!WT2:WT100&gt;0))),COUNT(_xlfn._xlws.FILTER('TERadj'!WT2:WT100, ('TERadj'!WT2:WT100&gt;0))),"")</f>
        <v>0</v>
      </c>
      <c r="O7" cm="1">
        <f t="array" ref="O7">IF(COUNT(_xlfn._xlws.FILTER('TERadj'!WU2:WU100, ('TERadj'!WU2:WU100&gt;0))),COUNT(_xlfn._xlws.FILTER('TERadj'!WU2:WU100, ('TERadj'!WU2:WU100&gt;0))),"")</f>
        <v>0</v>
      </c>
      <c r="P7" cm="1">
        <f t="array" ref="P7">IF(COUNT(_xlfn._xlws.FILTER('TERadj'!WV2:WV100, ('TERadj'!WV2:WV100&gt;0))),COUNT(_xlfn._xlws.FILTER('TERadj'!WV2:WV100, ('TERadj'!WV2:WV100&gt;0))),"")</f>
        <v>0</v>
      </c>
      <c r="Q7" cm="1">
        <f t="array" ref="Q7">IF(COUNT(_xlfn._xlws.FILTER('TERadj'!WW2:WW100, ('TERadj'!WW2:WW100&gt;0))),COUNT(_xlfn._xlws.FILTER('TERadj'!WW2:WW100, ('TERadj'!WW2:WW100&gt;0))),"")</f>
        <v>0</v>
      </c>
      <c r="R7" cm="1">
        <f t="array" ref="R7">IF(COUNT(_xlfn._xlws.FILTER('TERadj'!WX2:WX100, ('TERadj'!WX2:WX100&gt;0))),COUNT(_xlfn._xlws.FILTER('TERadj'!WX2:WX100, ('TERadj'!WX2:WX100&gt;0))),"")</f>
        <v>0</v>
      </c>
      <c r="S7" cm="1">
        <f t="array" ref="S7">IF(COUNT(_xlfn._xlws.FILTER('TERadj'!WY2:WY100, ('TERadj'!WY2:WY100&gt;0))),COUNT(_xlfn._xlws.FILTER('TERadj'!WY2:WY100, ('TERadj'!WY2:WY100&gt;0))),"")</f>
        <v>0</v>
      </c>
      <c r="T7" cm="1">
        <f t="array" ref="T7">IF(COUNT(_xlfn._xlws.FILTER('TERadj'!WZ2:WZ100, ('TERadj'!WZ2:WZ100&gt;0))),COUNT(_xlfn._xlws.FILTER('TERadj'!WZ2:WZ100, ('TERadj'!WZ2:WZ100&gt;0))),"")</f>
        <v>0</v>
      </c>
    </row>
    <row r="8" spans="1:20">
      <c r="B8" t="s">
        <v>936</v>
      </c>
      <c r="C8">
        <f>IF(SUMIFS('TERadj'!XA2:XA100,'TERadj'!XA2:XA100,"&gt;0")/1000,SUMIFS('TERadj'!XA2:XA100,'TERadj'!XA2:XA100,"&gt;0")/1000,"")</f>
        <v>0</v>
      </c>
      <c r="D8">
        <f>IF(SUMIFS('TERadj'!XB2:XB100,'TERadj'!XB2:XB100,"&gt;0")/1000,SUMIFS('TERadj'!XB2:XB100,'TERadj'!XB2:XB100,"&gt;0")/1000,"")</f>
        <v>0</v>
      </c>
      <c r="E8">
        <f>IF(SUMIFS('TERadj'!XC2:XC100,'TERadj'!XC2:XC100,"&gt;0")/1000,SUMIFS('TERadj'!XC2:XC100,'TERadj'!XC2:XC100,"&gt;0")/1000,"")</f>
        <v>0</v>
      </c>
      <c r="F8">
        <f>IF(SUMIFS('TERadj'!XD2:XD100,'TERadj'!XD2:XD100,"&gt;0")/1000,SUMIFS('TERadj'!XD2:XD100,'TERadj'!XD2:XD100,"&gt;0")/1000,"")</f>
        <v>0</v>
      </c>
      <c r="G8">
        <f>IF(SUMIFS('TERadj'!XE2:XE100,'TERadj'!XE2:XE100,"&gt;0")/1000,SUMIFS('TERadj'!XE2:XE100,'TERadj'!XE2:XE100,"&gt;0")/1000,"")</f>
        <v>0</v>
      </c>
      <c r="H8">
        <f>IF(SUMIFS('TERadj'!XF2:XF100,'TERadj'!XF2:XF100,"&gt;0")/1000,SUMIFS('TERadj'!XF2:XF100,'TERadj'!XF2:XF100,"&gt;0")/1000,"")</f>
        <v>0</v>
      </c>
      <c r="I8">
        <f>IF(SUMIFS('TERadj'!XG2:XG100,'TERadj'!XG2:XG100,"&gt;0")/1000,SUMIFS('TERadj'!XG2:XG100,'TERadj'!XG2:XG100,"&gt;0")/1000,"")</f>
        <v>0</v>
      </c>
      <c r="J8">
        <f>IF(SUMIFS('TERadj'!XH2:XH100,'TERadj'!XH2:XH100,"&gt;0")/1000,SUMIFS('TERadj'!XH2:XH100,'TERadj'!XH2:XH100,"&gt;0")/1000,"")</f>
        <v>0</v>
      </c>
      <c r="L8" t="s">
        <v>936</v>
      </c>
      <c r="M8" cm="1">
        <f t="array" ref="M8">IF(COUNT(_xlfn._xlws.FILTER('TERadj'!XA2:XA100, ('TERadj'!XA2:XA100&gt;0))),COUNT(_xlfn._xlws.FILTER('TERadj'!XA2:XA100, ('TERadj'!XA2:XA100&gt;0))),"")</f>
        <v>0</v>
      </c>
      <c r="N8" cm="1">
        <f t="array" ref="N8">IF(COUNT(_xlfn._xlws.FILTER('TERadj'!XB2:XB100, ('TERadj'!XB2:XB100&gt;0))),COUNT(_xlfn._xlws.FILTER('TERadj'!XB2:XB100, ('TERadj'!XB2:XB100&gt;0))),"")</f>
        <v>0</v>
      </c>
      <c r="O8" cm="1">
        <f t="array" ref="O8">IF(COUNT(_xlfn._xlws.FILTER('TERadj'!XC2:XC100, ('TERadj'!XC2:XC100&gt;0))),COUNT(_xlfn._xlws.FILTER('TERadj'!XC2:XC100, ('TERadj'!XC2:XC100&gt;0))),"")</f>
        <v>0</v>
      </c>
      <c r="P8" cm="1">
        <f t="array" ref="P8">IF(COUNT(_xlfn._xlws.FILTER('TERadj'!XD2:XD100, ('TERadj'!XD2:XD100&gt;0))),COUNT(_xlfn._xlws.FILTER('TERadj'!XD2:XD100, ('TERadj'!XD2:XD100&gt;0))),"")</f>
        <v>0</v>
      </c>
      <c r="Q8" cm="1">
        <f t="array" ref="Q8">IF(COUNT(_xlfn._xlws.FILTER('TERadj'!XE2:XE100, ('TERadj'!XE2:XE100&gt;0))),COUNT(_xlfn._xlws.FILTER('TERadj'!XE2:XE100, ('TERadj'!XE2:XE100&gt;0))),"")</f>
        <v>0</v>
      </c>
      <c r="R8" cm="1">
        <f t="array" ref="R8">IF(COUNT(_xlfn._xlws.FILTER('TERadj'!XF2:XF100, ('TERadj'!XF2:XF100&gt;0))),COUNT(_xlfn._xlws.FILTER('TERadj'!XF2:XF100, ('TERadj'!XF2:XF100&gt;0))),"")</f>
        <v>0</v>
      </c>
      <c r="S8" cm="1">
        <f t="array" ref="S8">IF(COUNT(_xlfn._xlws.FILTER('TERadj'!XG2:XG100, ('TERadj'!XG2:XG100&gt;0))),COUNT(_xlfn._xlws.FILTER('TERadj'!XG2:XG100, ('TERadj'!XG2:XG100&gt;0))),"")</f>
        <v>0</v>
      </c>
      <c r="T8" cm="1">
        <f t="array" ref="T8">IF(COUNT(_xlfn._xlws.FILTER('TERadj'!XH2:XH100, ('TERadj'!XH2:XH100&gt;0))),COUNT(_xlfn._xlws.FILTER('TERadj'!XH2:XH100, ('TERadj'!XH2:XH100&gt;0))),"")</f>
        <v>0</v>
      </c>
    </row>
    <row r="9" spans="1:20">
      <c r="B9" t="s">
        <v>881</v>
      </c>
      <c r="C9">
        <f>IF(SUMIFS('TERadj'!XI2:XI100,'TERadj'!XI2:XI100,"&gt;0")/1000,SUMIFS('TERadj'!XI2:XI100,'TERadj'!XI2:XI100,"&gt;0")/1000,"")</f>
        <v>0</v>
      </c>
      <c r="D9">
        <f>IF(SUMIFS('TERadj'!XJ2:XJ100,'TERadj'!XJ2:XJ100,"&gt;0")/1000,SUMIFS('TERadj'!XJ2:XJ100,'TERadj'!XJ2:XJ100,"&gt;0")/1000,"")</f>
        <v>0</v>
      </c>
      <c r="E9">
        <f>IF(SUMIFS('TERadj'!XK2:XK100,'TERadj'!XK2:XK100,"&gt;0")/1000,SUMIFS('TERadj'!XK2:XK100,'TERadj'!XK2:XK100,"&gt;0")/1000,"")</f>
        <v>0</v>
      </c>
      <c r="F9">
        <f>IF(SUMIFS('TERadj'!XL2:XL100,'TERadj'!XL2:XL100,"&gt;0")/1000,SUMIFS('TERadj'!XL2:XL100,'TERadj'!XL2:XL100,"&gt;0")/1000,"")</f>
        <v>0</v>
      </c>
      <c r="G9">
        <f>IF(SUMIFS('TERadj'!XM2:XM100,'TERadj'!XM2:XM100,"&gt;0")/1000,SUMIFS('TERadj'!XM2:XM100,'TERadj'!XM2:XM100,"&gt;0")/1000,"")</f>
        <v>0</v>
      </c>
      <c r="H9">
        <f>IF(SUMIFS('TERadj'!XN2:XN100,'TERadj'!XN2:XN100,"&gt;0")/1000,SUMIFS('TERadj'!XN2:XN100,'TERadj'!XN2:XN100,"&gt;0")/1000,"")</f>
        <v>0</v>
      </c>
      <c r="I9">
        <f>IF(SUMIFS('TERadj'!XO2:XO100,'TERadj'!XO2:XO100,"&gt;0")/1000,SUMIFS('TERadj'!XO2:XO100,'TERadj'!XO2:XO100,"&gt;0")/1000,"")</f>
        <v>0</v>
      </c>
      <c r="J9">
        <f>IF(SUMIFS('TERadj'!XP2:XP100,'TERadj'!XP2:XP100,"&gt;0")/1000,SUMIFS('TERadj'!XP2:XP100,'TERadj'!XP2:XP100,"&gt;0")/1000,"")</f>
        <v>0</v>
      </c>
      <c r="L9" t="s">
        <v>881</v>
      </c>
      <c r="M9" cm="1">
        <f t="array" ref="M9">IF(COUNT(_xlfn._xlws.FILTER('TERadj'!XI2:XI100, ('TERadj'!XI2:XI100&gt;0))),COUNT(_xlfn._xlws.FILTER('TERadj'!XI2:XI100, ('TERadj'!XI2:XI100&gt;0))),"")</f>
        <v>0</v>
      </c>
      <c r="N9" cm="1">
        <f t="array" ref="N9">IF(COUNT(_xlfn._xlws.FILTER('TERadj'!XJ2:XJ100, ('TERadj'!XJ2:XJ100&gt;0))),COUNT(_xlfn._xlws.FILTER('TERadj'!XJ2:XJ100, ('TERadj'!XJ2:XJ100&gt;0))),"")</f>
        <v>0</v>
      </c>
      <c r="O9" cm="1">
        <f t="array" ref="O9">IF(COUNT(_xlfn._xlws.FILTER('TERadj'!XK2:XK100, ('TERadj'!XK2:XK100&gt;0))),COUNT(_xlfn._xlws.FILTER('TERadj'!XK2:XK100, ('TERadj'!XK2:XK100&gt;0))),"")</f>
        <v>0</v>
      </c>
      <c r="P9" cm="1">
        <f t="array" ref="P9">IF(COUNT(_xlfn._xlws.FILTER('TERadj'!XL2:XL100, ('TERadj'!XL2:XL100&gt;0))),COUNT(_xlfn._xlws.FILTER('TERadj'!XL2:XL100, ('TERadj'!XL2:XL100&gt;0))),"")</f>
        <v>0</v>
      </c>
      <c r="Q9" cm="1">
        <f t="array" ref="Q9">IF(COUNT(_xlfn._xlws.FILTER('TERadj'!XM2:XM100, ('TERadj'!XM2:XM100&gt;0))),COUNT(_xlfn._xlws.FILTER('TERadj'!XM2:XM100, ('TERadj'!XM2:XM100&gt;0))),"")</f>
        <v>0</v>
      </c>
      <c r="R9" cm="1">
        <f t="array" ref="R9">IF(COUNT(_xlfn._xlws.FILTER('TERadj'!XN2:XN100, ('TERadj'!XN2:XN100&gt;0))),COUNT(_xlfn._xlws.FILTER('TERadj'!XN2:XN100, ('TERadj'!XN2:XN100&gt;0))),"")</f>
        <v>0</v>
      </c>
      <c r="S9" cm="1">
        <f t="array" ref="S9">IF(COUNT(_xlfn._xlws.FILTER('TERadj'!XO2:XO100, ('TERadj'!XO2:XO100&gt;0))),COUNT(_xlfn._xlws.FILTER('TERadj'!XO2:XO100, ('TERadj'!XO2:XO100&gt;0))),"")</f>
        <v>0</v>
      </c>
      <c r="T9" cm="1">
        <f t="array" ref="T9">IF(COUNT(_xlfn._xlws.FILTER('TERadj'!XP2:XP100, ('TERadj'!XP2:XP100&gt;0))),COUNT(_xlfn._xlws.FILTER('TERadj'!XP2:XP100, ('TERadj'!XP2:XP100&gt;0))),"")</f>
        <v>0</v>
      </c>
    </row>
    <row r="10" spans="1:20">
      <c r="B10" t="s">
        <v>938</v>
      </c>
      <c r="L10" t="s">
        <v>938</v>
      </c>
    </row>
    <row r="12" spans="1:20">
      <c r="B12" t="s">
        <v>915</v>
      </c>
      <c r="C12" t="s">
        <v>884</v>
      </c>
      <c r="D12" t="s">
        <v>892</v>
      </c>
      <c r="E12" t="s">
        <v>880</v>
      </c>
      <c r="F12" t="s">
        <v>890</v>
      </c>
      <c r="G12" t="s">
        <v>1009</v>
      </c>
      <c r="H12" t="s">
        <v>936</v>
      </c>
      <c r="I12" t="s">
        <v>1010</v>
      </c>
      <c r="J12" t="s">
        <v>894</v>
      </c>
    </row>
    <row r="13" spans="1:20">
      <c r="B13" t="s">
        <v>933</v>
      </c>
      <c r="C13" s="5">
        <f>IF(SUM(M4:M10) &gt; 0, IF(AND(SUM(C4:C10)&gt;0, ISNUMBER(C4)),C4/SUM(C4:C10), ""), "")</f>
        <v>0</v>
      </c>
      <c r="D13" s="5">
        <f>IF(SUM(M4:M10) &gt; 0, IF(AND(SUM(D4:D10)&gt;0, ISNUMBER(D4)),D4/SUM(D4:D10), ""), "")</f>
        <v>0</v>
      </c>
      <c r="E13" s="5">
        <f>IF(SUM(M4:M10) &gt; 0, IF(AND(SUM(E4:E10)&gt;0, ISNUMBER(E4)),E4/SUM(E4:E10), ""), "")</f>
        <v>0</v>
      </c>
      <c r="F13" s="5">
        <f>IF(SUM(M4:M10) &gt; 0, IF(AND(SUM(F4:F10)&gt;0, ISNUMBER(F4)),F4/SUM(F4:F10), ""), "")</f>
        <v>0</v>
      </c>
      <c r="G13" s="5">
        <f>IF(SUM(M4:M10) &gt; 0, IF(AND(SUM(G4:G10)&gt;0, ISNUMBER(G4)),G4/SUM(G4:G10), ""), "")</f>
        <v>0</v>
      </c>
      <c r="H13" s="5">
        <f>IF(SUM(M4:M10) &gt; 0, IF(AND(SUM(H4:H10)&gt;0, ISNUMBER(H4)),H4/SUM(H4:H10), ""), "")</f>
        <v>0</v>
      </c>
      <c r="I13" s="5">
        <f>IF(SUM(M4:M10) &gt; 0, IF(AND(SUM(I4:I10)&gt;0, ISNUMBER(I4)),I4/SUM(I4:I10), ""), "")</f>
        <v>0</v>
      </c>
      <c r="J13" s="5">
        <f>IF(SUM(M4:M10) &gt; 0, IF(AND(SUM(J4:J10)&gt;0, ISNUMBER(J4)),J4/SUM(J4:J10), ""), "")</f>
        <v>0</v>
      </c>
    </row>
    <row r="14" spans="1:20">
      <c r="B14" t="s">
        <v>934</v>
      </c>
      <c r="C14" s="5">
        <f>IF(SUM(M4:M10) &gt; 0, IF(AND(SUM(C4:C10)&gt;0, ISNUMBER(C5)),C5/SUM(C4:C10), ""), "")</f>
        <v>0</v>
      </c>
      <c r="D14" s="5">
        <f>IF(SUM(M4:M10) &gt; 0, IF(AND(SUM(D4:D10)&gt;0, ISNUMBER(D5)),D5/SUM(D4:D10), ""), "")</f>
        <v>0</v>
      </c>
      <c r="E14" s="5">
        <f>IF(SUM(M4:M10) &gt; 0, IF(AND(SUM(E4:E10)&gt;0, ISNUMBER(E5)),E5/SUM(E4:E10), ""), "")</f>
        <v>0</v>
      </c>
      <c r="F14" s="5">
        <f>IF(SUM(M4:M10) &gt; 0, IF(AND(SUM(F4:F10)&gt;0, ISNUMBER(F5)),F5/SUM(F4:F10), ""), "")</f>
        <v>0</v>
      </c>
      <c r="G14" s="5">
        <f>IF(SUM(M4:M10) &gt; 0, IF(AND(SUM(G4:G10)&gt;0, ISNUMBER(G5)),G5/SUM(G4:G10), ""), "")</f>
        <v>0</v>
      </c>
      <c r="H14" s="5">
        <f>IF(SUM(M4:M10) &gt; 0, IF(AND(SUM(H4:H10)&gt;0, ISNUMBER(H5)),H5/SUM(H4:H10), ""), "")</f>
        <v>0</v>
      </c>
      <c r="I14" s="5">
        <f>IF(SUM(M4:M10) &gt; 0, IF(AND(SUM(I4:I10)&gt;0, ISNUMBER(I5)),I5/SUM(I4:I10), ""), "")</f>
        <v>0</v>
      </c>
      <c r="J14" s="5">
        <f>IF(SUM(M4:M10) &gt; 0, IF(AND(SUM(J4:J10)&gt;0, ISNUMBER(J5)),J5/SUM(J4:J10), ""), "")</f>
        <v>0</v>
      </c>
    </row>
    <row r="15" spans="1:20">
      <c r="B15" t="s">
        <v>935</v>
      </c>
      <c r="C15" s="5">
        <f>IF(SUM(M4:M10) &gt; 0, IF(AND(SUM(C4:C10)&gt;0, ISNUMBER(C6)),C6/SUM(C4:C10), ""), "")</f>
        <v>0</v>
      </c>
      <c r="D15" s="5">
        <f>IF(SUM(M4:M10) &gt; 0, IF(AND(SUM(D4:D10)&gt;0, ISNUMBER(D6)),D6/SUM(D4:D10), ""), "")</f>
        <v>0</v>
      </c>
      <c r="E15" s="5">
        <f>IF(SUM(M4:M10) &gt; 0, IF(AND(SUM(E4:E10)&gt;0, ISNUMBER(E6)),E6/SUM(E4:E10), ""), "")</f>
        <v>0</v>
      </c>
      <c r="F15" s="5">
        <f>IF(SUM(M4:M10) &gt; 0, IF(AND(SUM(F4:F10)&gt;0, ISNUMBER(F6)),F6/SUM(F4:F10), ""), "")</f>
        <v>0</v>
      </c>
      <c r="G15" s="5">
        <f>IF(SUM(M4:M10) &gt; 0, IF(AND(SUM(G4:G10)&gt;0, ISNUMBER(G6)),G6/SUM(G4:G10), ""), "")</f>
        <v>0</v>
      </c>
      <c r="H15" s="5">
        <f>IF(SUM(M4:M10) &gt; 0, IF(AND(SUM(H4:H10)&gt;0, ISNUMBER(H6)),H6/SUM(H4:H10), ""), "")</f>
        <v>0</v>
      </c>
      <c r="I15" s="5">
        <f>IF(SUM(M4:M10) &gt; 0, IF(AND(SUM(I4:I10)&gt;0, ISNUMBER(I6)),I6/SUM(I4:I10), ""), "")</f>
        <v>0</v>
      </c>
      <c r="J15" s="5">
        <f>IF(SUM(M4:M10) &gt; 0, IF(AND(SUM(J4:J10)&gt;0, ISNUMBER(J6)),J6/SUM(J4:J10), ""), "")</f>
        <v>0</v>
      </c>
    </row>
    <row r="16" spans="1:20">
      <c r="B16" t="s">
        <v>878</v>
      </c>
      <c r="C16" s="5">
        <f>IF(SUM(M4:M10) &gt; 0, IF(AND(SUM(C4:C10)&gt;0, ISNUMBER(C7)),C7/SUM(C4:C10), ""), "")</f>
        <v>0</v>
      </c>
      <c r="D16" s="5">
        <f>IF(SUM(M4:M10) &gt; 0, IF(AND(SUM(D4:D10)&gt;0, ISNUMBER(D7)),D7/SUM(D4:D10), ""), "")</f>
        <v>0</v>
      </c>
      <c r="E16" s="5">
        <f>IF(SUM(M4:M10) &gt; 0, IF(AND(SUM(E4:E10)&gt;0, ISNUMBER(E7)),E7/SUM(E4:E10), ""), "")</f>
        <v>0</v>
      </c>
      <c r="F16" s="5">
        <f>IF(SUM(M4:M10) &gt; 0, IF(AND(SUM(F4:F10)&gt;0, ISNUMBER(F7)),F7/SUM(F4:F10), ""), "")</f>
        <v>0</v>
      </c>
      <c r="G16" s="5">
        <f>IF(SUM(M4:M10) &gt; 0, IF(AND(SUM(G4:G10)&gt;0, ISNUMBER(G7)),G7/SUM(G4:G10), ""), "")</f>
        <v>0</v>
      </c>
      <c r="H16" s="5">
        <f>IF(SUM(M4:M10) &gt; 0, IF(AND(SUM(H4:H10)&gt;0, ISNUMBER(H7)),H7/SUM(H4:H10), ""), "")</f>
        <v>0</v>
      </c>
      <c r="I16" s="5">
        <f>IF(SUM(M4:M10) &gt; 0, IF(AND(SUM(I4:I10)&gt;0, ISNUMBER(I7)),I7/SUM(I4:I10), ""), "")</f>
        <v>0</v>
      </c>
      <c r="J16" s="5">
        <f>IF(SUM(M4:M10) &gt; 0, IF(AND(SUM(J4:J10)&gt;0, ISNUMBER(J7)),J7/SUM(J4:J10), ""), "")</f>
        <v>0</v>
      </c>
    </row>
    <row r="17" spans="2:10">
      <c r="B17" t="s">
        <v>936</v>
      </c>
      <c r="C17" s="5">
        <f>IF(SUM(M4:M10) &gt; 0, IF(AND(SUM(C4:C10)&gt;0, ISNUMBER(C8)),C8/SUM(C4:C10), ""), "")</f>
        <v>0</v>
      </c>
      <c r="D17" s="5">
        <f>IF(SUM(M4:M10) &gt; 0, IF(AND(SUM(D4:D10)&gt;0, ISNUMBER(D8)),D8/SUM(D4:D10), ""), "")</f>
        <v>0</v>
      </c>
      <c r="E17" s="5">
        <f>IF(SUM(M4:M10) &gt; 0, IF(AND(SUM(E4:E10)&gt;0, ISNUMBER(E8)),E8/SUM(E4:E10), ""), "")</f>
        <v>0</v>
      </c>
      <c r="F17" s="5">
        <f>IF(SUM(M4:M10) &gt; 0, IF(AND(SUM(F4:F10)&gt;0, ISNUMBER(F8)),F8/SUM(F4:F10), ""), "")</f>
        <v>0</v>
      </c>
      <c r="G17" s="5">
        <f>IF(SUM(M4:M10) &gt; 0, IF(AND(SUM(G4:G10)&gt;0, ISNUMBER(G8)),G8/SUM(G4:G10), ""), "")</f>
        <v>0</v>
      </c>
      <c r="H17" s="5">
        <f>IF(SUM(M4:M10) &gt; 0, IF(AND(SUM(H4:H10)&gt;0, ISNUMBER(H8)),H8/SUM(H4:H10), ""), "")</f>
        <v>0</v>
      </c>
      <c r="I17" s="5">
        <f>IF(SUM(M4:M10) &gt; 0, IF(AND(SUM(I4:I10)&gt;0, ISNUMBER(I8)),I8/SUM(I4:I10), ""), "")</f>
        <v>0</v>
      </c>
      <c r="J17" s="5">
        <f>IF(SUM(M4:M10) &gt; 0, IF(AND(SUM(J4:J10)&gt;0, ISNUMBER(J8)),J8/SUM(J4:J10), ""), "")</f>
        <v>0</v>
      </c>
    </row>
    <row r="18" spans="2:10">
      <c r="B18" t="s">
        <v>881</v>
      </c>
      <c r="C18" s="5">
        <f>IF(SUM(M4:M10) &gt; 0, IF(AND(SUM(C4:C10)&gt;0, ISNUMBER(C9)),C9/SUM(C4:C10), ""), "")</f>
        <v>0</v>
      </c>
      <c r="D18" s="5">
        <f>IF(SUM(M4:M10) &gt; 0, IF(AND(SUM(D4:D10)&gt;0, ISNUMBER(D9)),D9/SUM(D4:D10), ""), "")</f>
        <v>0</v>
      </c>
      <c r="E18" s="5">
        <f>IF(SUM(M4:M10) &gt; 0, IF(AND(SUM(E4:E10)&gt;0, ISNUMBER(E9)),E9/SUM(E4:E10), ""), "")</f>
        <v>0</v>
      </c>
      <c r="F18" s="5">
        <f>IF(SUM(M4:M10) &gt; 0, IF(AND(SUM(F4:F10)&gt;0, ISNUMBER(F9)),F9/SUM(F4:F10), ""), "")</f>
        <v>0</v>
      </c>
      <c r="G18" s="5">
        <f>IF(SUM(M4:M10) &gt; 0, IF(AND(SUM(G4:G10)&gt;0, ISNUMBER(G9)),G9/SUM(G4:G10), ""), "")</f>
        <v>0</v>
      </c>
      <c r="H18" s="5">
        <f>IF(SUM(M4:M10) &gt; 0, IF(AND(SUM(H4:H10)&gt;0, ISNUMBER(H9)),H9/SUM(H4:H10), ""), "")</f>
        <v>0</v>
      </c>
      <c r="I18" s="5">
        <f>IF(SUM(M4:M10) &gt; 0, IF(AND(SUM(I4:I10)&gt;0, ISNUMBER(I9)),I9/SUM(I4:I10), ""), "")</f>
        <v>0</v>
      </c>
      <c r="J18" s="5">
        <f>IF(SUM(M4:M10) &gt; 0, IF(AND(SUM(J4:J10)&gt;0, ISNUMBER(J9)),J9/SUM(J4:J10), ""), "")</f>
        <v>0</v>
      </c>
    </row>
    <row r="19" spans="2:10">
      <c r="B19" t="s">
        <v>938</v>
      </c>
      <c r="C19" s="5">
        <f>IF(SUM(M4:M10) &gt; 0, IF(AND(SUM(C4:C10)&gt;0, ISNUMBER(C10)),C10/SUM(C4:C10), ""), "")</f>
        <v>0</v>
      </c>
      <c r="D19" s="5">
        <f>IF(SUM(M4:M10) &gt; 0, IF(AND(SUM(D4:D10)&gt;0, ISNUMBER(D10)),D10/SUM(D4:D10), ""), "")</f>
        <v>0</v>
      </c>
      <c r="E19" s="5">
        <f>IF(SUM(M4:M10) &gt; 0, IF(AND(SUM(E4:E10)&gt;0, ISNUMBER(E10)),E10/SUM(E4:E10), ""), "")</f>
        <v>0</v>
      </c>
      <c r="F19" s="5">
        <f>IF(SUM(M4:M10) &gt; 0, IF(AND(SUM(F4:F10)&gt;0, ISNUMBER(F10)),F10/SUM(F4:F10), ""), "")</f>
        <v>0</v>
      </c>
      <c r="G19" s="5">
        <f>IF(SUM(M4:M10) &gt; 0, IF(AND(SUM(G4:G10)&gt;0, ISNUMBER(G10)),G10/SUM(G4:G10), ""), "")</f>
        <v>0</v>
      </c>
      <c r="H19" s="5">
        <f>IF(SUM(M4:M10) &gt; 0, IF(AND(SUM(H4:H10)&gt;0, ISNUMBER(H10)),H10/SUM(H4:H10), ""), "")</f>
        <v>0</v>
      </c>
      <c r="I19" s="5">
        <f>IF(SUM(M4:M10) &gt; 0, IF(AND(SUM(I4:I10)&gt;0, ISNUMBER(I10)),I10/SUM(I4:I10), ""), "")</f>
        <v>0</v>
      </c>
      <c r="J19" s="5">
        <f>IF(SUM(M4:M10) &gt; 0, IF(AND(SUM(J4:J10)&gt;0, ISNUMBER(J10)),J10/SUM(J4:J10), ""), "")</f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rgb="FF0033A0"/>
  </sheetPr>
  <dimension ref="A1:T19"/>
  <sheetViews>
    <sheetView workbookViewId="0"/>
  </sheetViews>
  <sheetFormatPr defaultRowHeight="15"/>
  <sheetData>
    <row r="1" spans="1:20" s="3" customFormat="1" ht="40" customHeight="1">
      <c r="A1" s="3" t="s">
        <v>1081</v>
      </c>
    </row>
    <row r="3" spans="1:20">
      <c r="B3" t="s">
        <v>915</v>
      </c>
      <c r="C3" t="s">
        <v>884</v>
      </c>
      <c r="D3" t="s">
        <v>892</v>
      </c>
      <c r="E3" t="s">
        <v>880</v>
      </c>
      <c r="F3" t="s">
        <v>890</v>
      </c>
      <c r="G3" t="s">
        <v>1009</v>
      </c>
      <c r="H3" t="s">
        <v>936</v>
      </c>
      <c r="I3" t="s">
        <v>1010</v>
      </c>
      <c r="J3" t="s">
        <v>894</v>
      </c>
      <c r="L3" t="s">
        <v>915</v>
      </c>
      <c r="M3" t="s">
        <v>1075</v>
      </c>
      <c r="N3" t="s">
        <v>1076</v>
      </c>
      <c r="O3" t="s">
        <v>1077</v>
      </c>
      <c r="P3" t="s">
        <v>1078</v>
      </c>
      <c r="Q3" t="s">
        <v>1079</v>
      </c>
      <c r="R3" t="s">
        <v>1065</v>
      </c>
      <c r="S3" t="s">
        <v>1080</v>
      </c>
      <c r="T3" t="s">
        <v>1046</v>
      </c>
    </row>
    <row r="4" spans="1:20">
      <c r="B4" t="s">
        <v>933</v>
      </c>
      <c r="C4">
        <f>IF(SUMIFS('TERadj'!OX2:OX100,'TERadj'!OX2:OX100,"&gt;0")/1000,SUMIFS('TERadj'!OX2:OX100,'TERadj'!OX2:OX100,"&gt;0")/1000,"")</f>
        <v>0</v>
      </c>
      <c r="D4">
        <f>IF(SUMIFS('TERadj'!PD2:PD100,'TERadj'!PD2:PD100,"&gt;0")/1000,SUMIFS('TERadj'!PD2:PD100,'TERadj'!PD2:PD100,"&gt;0")/1000,"")</f>
        <v>0</v>
      </c>
      <c r="E4">
        <f>IF(SUMIFS('TERadj'!PJ2:PJ100,'TERadj'!PJ2:PJ100,"&gt;0")/1000,SUMIFS('TERadj'!PJ2:PJ100,'TERadj'!PJ2:PJ100,"&gt;0")/1000,"")</f>
        <v>0</v>
      </c>
      <c r="F4">
        <f>IF(SUMIFS('TERadj'!PP2:PP100,'TERadj'!PP2:PP100,"&gt;0")/1000,SUMIFS('TERadj'!PP2:PP100,'TERadj'!PP2:PP100,"&gt;0")/1000,"")</f>
        <v>0</v>
      </c>
      <c r="G4">
        <f>IF(SUMIFS('TERadj'!PV2:PV100,'TERadj'!PV2:PV100,"&gt;0")/1000,SUMIFS('TERadj'!PV2:PV100,'TERadj'!PV2:PV100,"&gt;0")/1000,"")</f>
        <v>0</v>
      </c>
      <c r="H4">
        <f>IF(SUMIFS('TERadj'!QB2:QB100,'TERadj'!QB2:QB100,"&gt;0")/1000,SUMIFS('TERadj'!QB2:QB100,'TERadj'!QB2:QB100,"&gt;0")/1000,"")</f>
        <v>0</v>
      </c>
      <c r="I4">
        <f>IF(SUMIFS('TERadj'!QH2:QH100,'TERadj'!QH2:QH100,"&gt;0")/1000,SUMIFS('TERadj'!QH2:QH100,'TERadj'!QH2:QH100,"&gt;0")/1000,"")</f>
        <v>0</v>
      </c>
      <c r="J4">
        <f>IF(SUMIFS('TERadj'!QN2:QN100,'TERadj'!QN2:QN100,"&gt;0")/1000,SUMIFS('TERadj'!QN2:QN100,'TERadj'!QN2:QN100,"&gt;0")/1000,"")</f>
        <v>0</v>
      </c>
      <c r="L4" t="s">
        <v>933</v>
      </c>
      <c r="M4" cm="1">
        <f t="array" ref="M4">IF(COUNT(_xlfn._xlws.FILTER('TERadj'!OX2:OX100, ('TERadj'!OX2:OX100&gt;0))),COUNT(_xlfn._xlws.FILTER('TERadj'!OX2:OX100, ('TERadj'!OX2:OX100&gt;0))),"")</f>
        <v>0</v>
      </c>
      <c r="N4" cm="1">
        <f t="array" ref="N4">IF(COUNT(_xlfn._xlws.FILTER('TERadj'!PD2:PD100, ('TERadj'!PD2:PD100&gt;0))),COUNT(_xlfn._xlws.FILTER('TERadj'!PD2:PD100, ('TERadj'!PD2:PD100&gt;0))),"")</f>
        <v>0</v>
      </c>
      <c r="O4" cm="1">
        <f t="array" ref="O4">IF(COUNT(_xlfn._xlws.FILTER('TERadj'!PJ2:PJ100, ('TERadj'!PJ2:PJ100&gt;0))),COUNT(_xlfn._xlws.FILTER('TERadj'!PJ2:PJ100, ('TERadj'!PJ2:PJ100&gt;0))),"")</f>
        <v>0</v>
      </c>
      <c r="P4" cm="1">
        <f t="array" ref="P4">IF(COUNT(_xlfn._xlws.FILTER('TERadj'!PP2:PP100, ('TERadj'!PP2:PP100&gt;0))),COUNT(_xlfn._xlws.FILTER('TERadj'!PP2:PP100, ('TERadj'!PP2:PP100&gt;0))),"")</f>
        <v>0</v>
      </c>
      <c r="Q4" cm="1">
        <f t="array" ref="Q4">IF(COUNT(_xlfn._xlws.FILTER('TERadj'!PV2:PV100, ('TERadj'!PV2:PV100&gt;0))),COUNT(_xlfn._xlws.FILTER('TERadj'!PV2:PV100, ('TERadj'!PV2:PV100&gt;0))),"")</f>
        <v>0</v>
      </c>
      <c r="R4" cm="1">
        <f t="array" ref="R4">IF(COUNT(_xlfn._xlws.FILTER('TERadj'!QB2:QB100, ('TERadj'!QB2:QB100&gt;0))),COUNT(_xlfn._xlws.FILTER('TERadj'!QB2:QB100, ('TERadj'!QB2:QB100&gt;0))),"")</f>
        <v>0</v>
      </c>
      <c r="S4" cm="1">
        <f t="array" ref="S4">IF(COUNT(_xlfn._xlws.FILTER('TERadj'!QH2:QH100, ('TERadj'!QH2:QH100&gt;0))),COUNT(_xlfn._xlws.FILTER('TERadj'!QH2:QH100, ('TERadj'!QH2:QH100&gt;0))),"")</f>
        <v>0</v>
      </c>
      <c r="T4" cm="1">
        <f t="array" ref="T4">IF(COUNT(_xlfn._xlws.FILTER('TERadj'!QN2:QN100, ('TERadj'!QN2:QN100&gt;0))),COUNT(_xlfn._xlws.FILTER('TERadj'!QN2:QN100, ('TERadj'!QN2:QN100&gt;0))),"")</f>
        <v>0</v>
      </c>
    </row>
    <row r="5" spans="1:20">
      <c r="B5" t="s">
        <v>934</v>
      </c>
      <c r="C5">
        <f>IF(SUMIFS('TERadj'!OY2:OY100,'TERadj'!OY2:OY100,"&gt;0")/1000,SUMIFS('TERadj'!OY2:OY100,'TERadj'!OY2:OY100,"&gt;0")/1000,"")</f>
        <v>0</v>
      </c>
      <c r="D5">
        <f>IF(SUMIFS('TERadj'!PE2:PE100,'TERadj'!PE2:PE100,"&gt;0")/1000,SUMIFS('TERadj'!PE2:PE100,'TERadj'!PE2:PE100,"&gt;0")/1000,"")</f>
        <v>0</v>
      </c>
      <c r="E5">
        <f>IF(SUMIFS('TERadj'!PK2:PK100,'TERadj'!PK2:PK100,"&gt;0")/1000,SUMIFS('TERadj'!PK2:PK100,'TERadj'!PK2:PK100,"&gt;0")/1000,"")</f>
        <v>0</v>
      </c>
      <c r="F5">
        <f>IF(SUMIFS('TERadj'!PQ2:PQ100,'TERadj'!PQ2:PQ100,"&gt;0")/1000,SUMIFS('TERadj'!PQ2:PQ100,'TERadj'!PQ2:PQ100,"&gt;0")/1000,"")</f>
        <v>0</v>
      </c>
      <c r="G5">
        <f>IF(SUMIFS('TERadj'!PW2:PW100,'TERadj'!PW2:PW100,"&gt;0")/1000,SUMIFS('TERadj'!PW2:PW100,'TERadj'!PW2:PW100,"&gt;0")/1000,"")</f>
        <v>0</v>
      </c>
      <c r="H5">
        <f>IF(SUMIFS('TERadj'!QC2:QC100,'TERadj'!QC2:QC100,"&gt;0")/1000,SUMIFS('TERadj'!QC2:QC100,'TERadj'!QC2:QC100,"&gt;0")/1000,"")</f>
        <v>0</v>
      </c>
      <c r="I5">
        <f>IF(SUMIFS('TERadj'!QI2:QI100,'TERadj'!QI2:QI100,"&gt;0")/1000,SUMIFS('TERadj'!QI2:QI100,'TERadj'!QI2:QI100,"&gt;0")/1000,"")</f>
        <v>0</v>
      </c>
      <c r="J5">
        <f>IF(SUMIFS('TERadj'!QO2:QO100,'TERadj'!QO2:QO100,"&gt;0")/1000,SUMIFS('TERadj'!QO2:QO100,'TERadj'!QO2:QO100,"&gt;0")/1000,"")</f>
        <v>0</v>
      </c>
      <c r="L5" t="s">
        <v>934</v>
      </c>
      <c r="M5" cm="1">
        <f t="array" ref="M5">IF(COUNT(_xlfn._xlws.FILTER('TERadj'!OY2:OY100, ('TERadj'!OY2:OY100&gt;0))),COUNT(_xlfn._xlws.FILTER('TERadj'!OY2:OY100, ('TERadj'!OY2:OY100&gt;0))),"")</f>
        <v>0</v>
      </c>
      <c r="N5" cm="1">
        <f t="array" ref="N5">IF(COUNT(_xlfn._xlws.FILTER('TERadj'!PE2:PE100, ('TERadj'!PE2:PE100&gt;0))),COUNT(_xlfn._xlws.FILTER('TERadj'!PE2:PE100, ('TERadj'!PE2:PE100&gt;0))),"")</f>
        <v>0</v>
      </c>
      <c r="O5" cm="1">
        <f t="array" ref="O5">IF(COUNT(_xlfn._xlws.FILTER('TERadj'!PK2:PK100, ('TERadj'!PK2:PK100&gt;0))),COUNT(_xlfn._xlws.FILTER('TERadj'!PK2:PK100, ('TERadj'!PK2:PK100&gt;0))),"")</f>
        <v>0</v>
      </c>
      <c r="P5" cm="1">
        <f t="array" ref="P5">IF(COUNT(_xlfn._xlws.FILTER('TERadj'!PQ2:PQ100, ('TERadj'!PQ2:PQ100&gt;0))),COUNT(_xlfn._xlws.FILTER('TERadj'!PQ2:PQ100, ('TERadj'!PQ2:PQ100&gt;0))),"")</f>
        <v>0</v>
      </c>
      <c r="Q5" cm="1">
        <f t="array" ref="Q5">IF(COUNT(_xlfn._xlws.FILTER('TERadj'!PW2:PW100, ('TERadj'!PW2:PW100&gt;0))),COUNT(_xlfn._xlws.FILTER('TERadj'!PW2:PW100, ('TERadj'!PW2:PW100&gt;0))),"")</f>
        <v>0</v>
      </c>
      <c r="R5" cm="1">
        <f t="array" ref="R5">IF(COUNT(_xlfn._xlws.FILTER('TERadj'!QC2:QC100, ('TERadj'!QC2:QC100&gt;0))),COUNT(_xlfn._xlws.FILTER('TERadj'!QC2:QC100, ('TERadj'!QC2:QC100&gt;0))),"")</f>
        <v>0</v>
      </c>
      <c r="S5" cm="1">
        <f t="array" ref="S5">IF(COUNT(_xlfn._xlws.FILTER('TERadj'!QI2:QI100, ('TERadj'!QI2:QI100&gt;0))),COUNT(_xlfn._xlws.FILTER('TERadj'!QI2:QI100, ('TERadj'!QI2:QI100&gt;0))),"")</f>
        <v>0</v>
      </c>
      <c r="T5" cm="1">
        <f t="array" ref="T5">IF(COUNT(_xlfn._xlws.FILTER('TERadj'!QO2:QO100, ('TERadj'!QO2:QO100&gt;0))),COUNT(_xlfn._xlws.FILTER('TERadj'!QO2:QO100, ('TERadj'!QO2:QO100&gt;0))),"")</f>
        <v>0</v>
      </c>
    </row>
    <row r="6" spans="1:20">
      <c r="B6" t="s">
        <v>935</v>
      </c>
      <c r="C6">
        <f>IF(SUMIFS('TERadj'!OZ2:OZ100,'TERadj'!OZ2:OZ100,"&gt;0")/1000,SUMIFS('TERadj'!OZ2:OZ100,'TERadj'!OZ2:OZ100,"&gt;0")/1000,"")</f>
        <v>0</v>
      </c>
      <c r="D6">
        <f>IF(SUMIFS('TERadj'!PF2:PF100,'TERadj'!PF2:PF100,"&gt;0")/1000,SUMIFS('TERadj'!PF2:PF100,'TERadj'!PF2:PF100,"&gt;0")/1000,"")</f>
        <v>0</v>
      </c>
      <c r="E6">
        <f>IF(SUMIFS('TERadj'!PL2:PL100,'TERadj'!PL2:PL100,"&gt;0")/1000,SUMIFS('TERadj'!PL2:PL100,'TERadj'!PL2:PL100,"&gt;0")/1000,"")</f>
        <v>0</v>
      </c>
      <c r="F6">
        <f>IF(SUMIFS('TERadj'!PR2:PR100,'TERadj'!PR2:PR100,"&gt;0")/1000,SUMIFS('TERadj'!PR2:PR100,'TERadj'!PR2:PR100,"&gt;0")/1000,"")</f>
        <v>0</v>
      </c>
      <c r="G6">
        <f>IF(SUMIFS('TERadj'!PX2:PX100,'TERadj'!PX2:PX100,"&gt;0")/1000,SUMIFS('TERadj'!PX2:PX100,'TERadj'!PX2:PX100,"&gt;0")/1000,"")</f>
        <v>0</v>
      </c>
      <c r="H6">
        <f>IF(SUMIFS('TERadj'!QD2:QD100,'TERadj'!QD2:QD100,"&gt;0")/1000,SUMIFS('TERadj'!QD2:QD100,'TERadj'!QD2:QD100,"&gt;0")/1000,"")</f>
        <v>0</v>
      </c>
      <c r="I6">
        <f>IF(SUMIFS('TERadj'!QJ2:QJ100,'TERadj'!QJ2:QJ100,"&gt;0")/1000,SUMIFS('TERadj'!QJ2:QJ100,'TERadj'!QJ2:QJ100,"&gt;0")/1000,"")</f>
        <v>0</v>
      </c>
      <c r="J6">
        <f>IF(SUMIFS('TERadj'!QP2:QP100,'TERadj'!QP2:QP100,"&gt;0")/1000,SUMIFS('TERadj'!QP2:QP100,'TERadj'!QP2:QP100,"&gt;0")/1000,"")</f>
        <v>0</v>
      </c>
      <c r="L6" t="s">
        <v>935</v>
      </c>
      <c r="M6" cm="1">
        <f t="array" ref="M6">IF(COUNT(_xlfn._xlws.FILTER('TERadj'!OZ2:OZ100, ('TERadj'!OZ2:OZ100&gt;0))),COUNT(_xlfn._xlws.FILTER('TERadj'!OZ2:OZ100, ('TERadj'!OZ2:OZ100&gt;0))),"")</f>
        <v>0</v>
      </c>
      <c r="N6" cm="1">
        <f t="array" ref="N6">IF(COUNT(_xlfn._xlws.FILTER('TERadj'!PF2:PF100, ('TERadj'!PF2:PF100&gt;0))),COUNT(_xlfn._xlws.FILTER('TERadj'!PF2:PF100, ('TERadj'!PF2:PF100&gt;0))),"")</f>
        <v>0</v>
      </c>
      <c r="O6" cm="1">
        <f t="array" ref="O6">IF(COUNT(_xlfn._xlws.FILTER('TERadj'!PL2:PL100, ('TERadj'!PL2:PL100&gt;0))),COUNT(_xlfn._xlws.FILTER('TERadj'!PL2:PL100, ('TERadj'!PL2:PL100&gt;0))),"")</f>
        <v>0</v>
      </c>
      <c r="P6" cm="1">
        <f t="array" ref="P6">IF(COUNT(_xlfn._xlws.FILTER('TERadj'!PR2:PR100, ('TERadj'!PR2:PR100&gt;0))),COUNT(_xlfn._xlws.FILTER('TERadj'!PR2:PR100, ('TERadj'!PR2:PR100&gt;0))),"")</f>
        <v>0</v>
      </c>
      <c r="Q6" cm="1">
        <f t="array" ref="Q6">IF(COUNT(_xlfn._xlws.FILTER('TERadj'!PX2:PX100, ('TERadj'!PX2:PX100&gt;0))),COUNT(_xlfn._xlws.FILTER('TERadj'!PX2:PX100, ('TERadj'!PX2:PX100&gt;0))),"")</f>
        <v>0</v>
      </c>
      <c r="R6" cm="1">
        <f t="array" ref="R6">IF(COUNT(_xlfn._xlws.FILTER('TERadj'!QD2:QD100, ('TERadj'!QD2:QD100&gt;0))),COUNT(_xlfn._xlws.FILTER('TERadj'!QD2:QD100, ('TERadj'!QD2:QD100&gt;0))),"")</f>
        <v>0</v>
      </c>
      <c r="S6" cm="1">
        <f t="array" ref="S6">IF(COUNT(_xlfn._xlws.FILTER('TERadj'!QJ2:QJ100, ('TERadj'!QJ2:QJ100&gt;0))),COUNT(_xlfn._xlws.FILTER('TERadj'!QJ2:QJ100, ('TERadj'!QJ2:QJ100&gt;0))),"")</f>
        <v>0</v>
      </c>
      <c r="T6" cm="1">
        <f t="array" ref="T6">IF(COUNT(_xlfn._xlws.FILTER('TERadj'!QP2:QP100, ('TERadj'!QP2:QP100&gt;0))),COUNT(_xlfn._xlws.FILTER('TERadj'!QP2:QP100, ('TERadj'!QP2:QP100&gt;0))),"")</f>
        <v>0</v>
      </c>
    </row>
    <row r="7" spans="1:20">
      <c r="B7" t="s">
        <v>878</v>
      </c>
      <c r="C7">
        <f>IF(SUMIFS('TERadj'!PA2:PA100,'TERadj'!PA2:PA100,"&gt;0")/1000,SUMIFS('TERadj'!PA2:PA100,'TERadj'!PA2:PA100,"&gt;0")/1000,"")</f>
        <v>0</v>
      </c>
      <c r="D7">
        <f>IF(SUMIFS('TERadj'!PG2:PG100,'TERadj'!PG2:PG100,"&gt;0")/1000,SUMIFS('TERadj'!PG2:PG100,'TERadj'!PG2:PG100,"&gt;0")/1000,"")</f>
        <v>0</v>
      </c>
      <c r="E7">
        <f>IF(SUMIFS('TERadj'!PM2:PM100,'TERadj'!PM2:PM100,"&gt;0")/1000,SUMIFS('TERadj'!PM2:PM100,'TERadj'!PM2:PM100,"&gt;0")/1000,"")</f>
        <v>0</v>
      </c>
      <c r="F7">
        <f>IF(SUMIFS('TERadj'!PS2:PS100,'TERadj'!PS2:PS100,"&gt;0")/1000,SUMIFS('TERadj'!PS2:PS100,'TERadj'!PS2:PS100,"&gt;0")/1000,"")</f>
        <v>0</v>
      </c>
      <c r="G7">
        <f>IF(SUMIFS('TERadj'!PY2:PY100,'TERadj'!PY2:PY100,"&gt;0")/1000,SUMIFS('TERadj'!PY2:PY100,'TERadj'!PY2:PY100,"&gt;0")/1000,"")</f>
        <v>0</v>
      </c>
      <c r="H7">
        <f>IF(SUMIFS('TERadj'!QE2:QE100,'TERadj'!QE2:QE100,"&gt;0")/1000,SUMIFS('TERadj'!QE2:QE100,'TERadj'!QE2:QE100,"&gt;0")/1000,"")</f>
        <v>0</v>
      </c>
      <c r="I7">
        <f>IF(SUMIFS('TERadj'!QK2:QK100,'TERadj'!QK2:QK100,"&gt;0")/1000,SUMIFS('TERadj'!QK2:QK100,'TERadj'!QK2:QK100,"&gt;0")/1000,"")</f>
        <v>0</v>
      </c>
      <c r="J7">
        <f>IF(SUMIFS('TERadj'!QQ2:QQ100,'TERadj'!QQ2:QQ100,"&gt;0")/1000,SUMIFS('TERadj'!QQ2:QQ100,'TERadj'!QQ2:QQ100,"&gt;0")/1000,"")</f>
        <v>0</v>
      </c>
      <c r="L7" t="s">
        <v>878</v>
      </c>
      <c r="M7" cm="1">
        <f t="array" ref="M7">IF(COUNT(_xlfn._xlws.FILTER('TERadj'!PA2:PA100, ('TERadj'!PA2:PA100&gt;0))),COUNT(_xlfn._xlws.FILTER('TERadj'!PA2:PA100, ('TERadj'!PA2:PA100&gt;0))),"")</f>
        <v>0</v>
      </c>
      <c r="N7" cm="1">
        <f t="array" ref="N7">IF(COUNT(_xlfn._xlws.FILTER('TERadj'!PG2:PG100, ('TERadj'!PG2:PG100&gt;0))),COUNT(_xlfn._xlws.FILTER('TERadj'!PG2:PG100, ('TERadj'!PG2:PG100&gt;0))),"")</f>
        <v>0</v>
      </c>
      <c r="O7" cm="1">
        <f t="array" ref="O7">IF(COUNT(_xlfn._xlws.FILTER('TERadj'!PM2:PM100, ('TERadj'!PM2:PM100&gt;0))),COUNT(_xlfn._xlws.FILTER('TERadj'!PM2:PM100, ('TERadj'!PM2:PM100&gt;0))),"")</f>
        <v>0</v>
      </c>
      <c r="P7" cm="1">
        <f t="array" ref="P7">IF(COUNT(_xlfn._xlws.FILTER('TERadj'!PS2:PS100, ('TERadj'!PS2:PS100&gt;0))),COUNT(_xlfn._xlws.FILTER('TERadj'!PS2:PS100, ('TERadj'!PS2:PS100&gt;0))),"")</f>
        <v>0</v>
      </c>
      <c r="Q7" cm="1">
        <f t="array" ref="Q7">IF(COUNT(_xlfn._xlws.FILTER('TERadj'!PY2:PY100, ('TERadj'!PY2:PY100&gt;0))),COUNT(_xlfn._xlws.FILTER('TERadj'!PY2:PY100, ('TERadj'!PY2:PY100&gt;0))),"")</f>
        <v>0</v>
      </c>
      <c r="R7" cm="1">
        <f t="array" ref="R7">IF(COUNT(_xlfn._xlws.FILTER('TERadj'!QE2:QE100, ('TERadj'!QE2:QE100&gt;0))),COUNT(_xlfn._xlws.FILTER('TERadj'!QE2:QE100, ('TERadj'!QE2:QE100&gt;0))),"")</f>
        <v>0</v>
      </c>
      <c r="S7" cm="1">
        <f t="array" ref="S7">IF(COUNT(_xlfn._xlws.FILTER('TERadj'!QK2:QK100, ('TERadj'!QK2:QK100&gt;0))),COUNT(_xlfn._xlws.FILTER('TERadj'!QK2:QK100, ('TERadj'!QK2:QK100&gt;0))),"")</f>
        <v>0</v>
      </c>
      <c r="T7" cm="1">
        <f t="array" ref="T7">IF(COUNT(_xlfn._xlws.FILTER('TERadj'!QQ2:QQ100, ('TERadj'!QQ2:QQ100&gt;0))),COUNT(_xlfn._xlws.FILTER('TERadj'!QQ2:QQ100, ('TERadj'!QQ2:QQ100&gt;0))),"")</f>
        <v>0</v>
      </c>
    </row>
    <row r="8" spans="1:20">
      <c r="B8" t="s">
        <v>936</v>
      </c>
      <c r="C8">
        <f>IF(SUMIFS('TERadj'!PB2:PB100,'TERadj'!PB2:PB100,"&gt;0")/1000,SUMIFS('TERadj'!PB2:PB100,'TERadj'!PB2:PB100,"&gt;0")/1000,"")</f>
        <v>0</v>
      </c>
      <c r="D8">
        <f>IF(SUMIFS('TERadj'!PH2:PH100,'TERadj'!PH2:PH100,"&gt;0")/1000,SUMIFS('TERadj'!PH2:PH100,'TERadj'!PH2:PH100,"&gt;0")/1000,"")</f>
        <v>0</v>
      </c>
      <c r="E8">
        <f>IF(SUMIFS('TERadj'!PN2:PN100,'TERadj'!PN2:PN100,"&gt;0")/1000,SUMIFS('TERadj'!PN2:PN100,'TERadj'!PN2:PN100,"&gt;0")/1000,"")</f>
        <v>0</v>
      </c>
      <c r="F8">
        <f>IF(SUMIFS('TERadj'!PT2:PT100,'TERadj'!PT2:PT100,"&gt;0")/1000,SUMIFS('TERadj'!PT2:PT100,'TERadj'!PT2:PT100,"&gt;0")/1000,"")</f>
        <v>0</v>
      </c>
      <c r="G8">
        <f>IF(SUMIFS('TERadj'!PZ2:PZ100,'TERadj'!PZ2:PZ100,"&gt;0")/1000,SUMIFS('TERadj'!PZ2:PZ100,'TERadj'!PZ2:PZ100,"&gt;0")/1000,"")</f>
        <v>0</v>
      </c>
      <c r="H8">
        <f>IF(SUMIFS('TERadj'!QF2:QF100,'TERadj'!QF2:QF100,"&gt;0")/1000,SUMIFS('TERadj'!QF2:QF100,'TERadj'!QF2:QF100,"&gt;0")/1000,"")</f>
        <v>0</v>
      </c>
      <c r="I8">
        <f>IF(SUMIFS('TERadj'!QL2:QL100,'TERadj'!QL2:QL100,"&gt;0")/1000,SUMIFS('TERadj'!QL2:QL100,'TERadj'!QL2:QL100,"&gt;0")/1000,"")</f>
        <v>0</v>
      </c>
      <c r="J8">
        <f>IF(SUMIFS('TERadj'!QR2:QR100,'TERadj'!QR2:QR100,"&gt;0")/1000,SUMIFS('TERadj'!QR2:QR100,'TERadj'!QR2:QR100,"&gt;0")/1000,"")</f>
        <v>0</v>
      </c>
      <c r="L8" t="s">
        <v>936</v>
      </c>
      <c r="M8" cm="1">
        <f t="array" ref="M8">IF(COUNT(_xlfn._xlws.FILTER('TERadj'!PB2:PB100, ('TERadj'!PB2:PB100&gt;0))),COUNT(_xlfn._xlws.FILTER('TERadj'!PB2:PB100, ('TERadj'!PB2:PB100&gt;0))),"")</f>
        <v>0</v>
      </c>
      <c r="N8" cm="1">
        <f t="array" ref="N8">IF(COUNT(_xlfn._xlws.FILTER('TERadj'!PH2:PH100, ('TERadj'!PH2:PH100&gt;0))),COUNT(_xlfn._xlws.FILTER('TERadj'!PH2:PH100, ('TERadj'!PH2:PH100&gt;0))),"")</f>
        <v>0</v>
      </c>
      <c r="O8" cm="1">
        <f t="array" ref="O8">IF(COUNT(_xlfn._xlws.FILTER('TERadj'!PN2:PN100, ('TERadj'!PN2:PN100&gt;0))),COUNT(_xlfn._xlws.FILTER('TERadj'!PN2:PN100, ('TERadj'!PN2:PN100&gt;0))),"")</f>
        <v>0</v>
      </c>
      <c r="P8" cm="1">
        <f t="array" ref="P8">IF(COUNT(_xlfn._xlws.FILTER('TERadj'!PT2:PT100, ('TERadj'!PT2:PT100&gt;0))),COUNT(_xlfn._xlws.FILTER('TERadj'!PT2:PT100, ('TERadj'!PT2:PT100&gt;0))),"")</f>
        <v>0</v>
      </c>
      <c r="Q8" cm="1">
        <f t="array" ref="Q8">IF(COUNT(_xlfn._xlws.FILTER('TERadj'!PZ2:PZ100, ('TERadj'!PZ2:PZ100&gt;0))),COUNT(_xlfn._xlws.FILTER('TERadj'!PZ2:PZ100, ('TERadj'!PZ2:PZ100&gt;0))),"")</f>
        <v>0</v>
      </c>
      <c r="R8" cm="1">
        <f t="array" ref="R8">IF(COUNT(_xlfn._xlws.FILTER('TERadj'!QF2:QF100, ('TERadj'!QF2:QF100&gt;0))),COUNT(_xlfn._xlws.FILTER('TERadj'!QF2:QF100, ('TERadj'!QF2:QF100&gt;0))),"")</f>
        <v>0</v>
      </c>
      <c r="S8" cm="1">
        <f t="array" ref="S8">IF(COUNT(_xlfn._xlws.FILTER('TERadj'!QL2:QL100, ('TERadj'!QL2:QL100&gt;0))),COUNT(_xlfn._xlws.FILTER('TERadj'!QL2:QL100, ('TERadj'!QL2:QL100&gt;0))),"")</f>
        <v>0</v>
      </c>
      <c r="T8" cm="1">
        <f t="array" ref="T8">IF(COUNT(_xlfn._xlws.FILTER('TERadj'!QR2:QR100, ('TERadj'!QR2:QR100&gt;0))),COUNT(_xlfn._xlws.FILTER('TERadj'!QR2:QR100, ('TERadj'!QR2:QR100&gt;0))),"")</f>
        <v>0</v>
      </c>
    </row>
    <row r="9" spans="1:20">
      <c r="B9" t="s">
        <v>881</v>
      </c>
      <c r="C9">
        <f>IF(SUMIFS('TERadj'!PC2:PC100,'TERadj'!PC2:PC100,"&gt;0")/1000,SUMIFS('TERadj'!PC2:PC100,'TERadj'!PC2:PC100,"&gt;0")/1000,"")</f>
        <v>0</v>
      </c>
      <c r="D9">
        <f>IF(SUMIFS('TERadj'!PI2:PI100,'TERadj'!PI2:PI100,"&gt;0")/1000,SUMIFS('TERadj'!PI2:PI100,'TERadj'!PI2:PI100,"&gt;0")/1000,"")</f>
        <v>0</v>
      </c>
      <c r="E9">
        <f>IF(SUMIFS('TERadj'!PO2:PO100,'TERadj'!PO2:PO100,"&gt;0")/1000,SUMIFS('TERadj'!PO2:PO100,'TERadj'!PO2:PO100,"&gt;0")/1000,"")</f>
        <v>0</v>
      </c>
      <c r="F9">
        <f>IF(SUMIFS('TERadj'!PU2:PU100,'TERadj'!PU2:PU100,"&gt;0")/1000,SUMIFS('TERadj'!PU2:PU100,'TERadj'!PU2:PU100,"&gt;0")/1000,"")</f>
        <v>0</v>
      </c>
      <c r="G9">
        <f>IF(SUMIFS('TERadj'!QA2:QA100,'TERadj'!QA2:QA100,"&gt;0")/1000,SUMIFS('TERadj'!QA2:QA100,'TERadj'!QA2:QA100,"&gt;0")/1000,"")</f>
        <v>0</v>
      </c>
      <c r="H9">
        <f>IF(SUMIFS('TERadj'!QG2:QG100,'TERadj'!QG2:QG100,"&gt;0")/1000,SUMIFS('TERadj'!QG2:QG100,'TERadj'!QG2:QG100,"&gt;0")/1000,"")</f>
        <v>0</v>
      </c>
      <c r="I9">
        <f>IF(SUMIFS('TERadj'!QM2:QM100,'TERadj'!QM2:QM100,"&gt;0")/1000,SUMIFS('TERadj'!QM2:QM100,'TERadj'!QM2:QM100,"&gt;0")/1000,"")</f>
        <v>0</v>
      </c>
      <c r="J9">
        <f>IF(SUMIFS('TERadj'!QS2:QS100,'TERadj'!QS2:QS100,"&gt;0")/1000,SUMIFS('TERadj'!QS2:QS100,'TERadj'!QS2:QS100,"&gt;0")/1000,"")</f>
        <v>0</v>
      </c>
      <c r="L9" t="s">
        <v>881</v>
      </c>
      <c r="M9" cm="1">
        <f t="array" ref="M9">IF(COUNT(_xlfn._xlws.FILTER('TERadj'!PC2:PC100, ('TERadj'!PC2:PC100&gt;0))),COUNT(_xlfn._xlws.FILTER('TERadj'!PC2:PC100, ('TERadj'!PC2:PC100&gt;0))),"")</f>
        <v>0</v>
      </c>
      <c r="N9" cm="1">
        <f t="array" ref="N9">IF(COUNT(_xlfn._xlws.FILTER('TERadj'!PI2:PI100, ('TERadj'!PI2:PI100&gt;0))),COUNT(_xlfn._xlws.FILTER('TERadj'!PI2:PI100, ('TERadj'!PI2:PI100&gt;0))),"")</f>
        <v>0</v>
      </c>
      <c r="O9" cm="1">
        <f t="array" ref="O9">IF(COUNT(_xlfn._xlws.FILTER('TERadj'!PO2:PO100, ('TERadj'!PO2:PO100&gt;0))),COUNT(_xlfn._xlws.FILTER('TERadj'!PO2:PO100, ('TERadj'!PO2:PO100&gt;0))),"")</f>
        <v>0</v>
      </c>
      <c r="P9" cm="1">
        <f t="array" ref="P9">IF(COUNT(_xlfn._xlws.FILTER('TERadj'!PU2:PU100, ('TERadj'!PU2:PU100&gt;0))),COUNT(_xlfn._xlws.FILTER('TERadj'!PU2:PU100, ('TERadj'!PU2:PU100&gt;0))),"")</f>
        <v>0</v>
      </c>
      <c r="Q9" cm="1">
        <f t="array" ref="Q9">IF(COUNT(_xlfn._xlws.FILTER('TERadj'!QA2:QA100, ('TERadj'!QA2:QA100&gt;0))),COUNT(_xlfn._xlws.FILTER('TERadj'!QA2:QA100, ('TERadj'!QA2:QA100&gt;0))),"")</f>
        <v>0</v>
      </c>
      <c r="R9" cm="1">
        <f t="array" ref="R9">IF(COUNT(_xlfn._xlws.FILTER('TERadj'!QG2:QG100, ('TERadj'!QG2:QG100&gt;0))),COUNT(_xlfn._xlws.FILTER('TERadj'!QG2:QG100, ('TERadj'!QG2:QG100&gt;0))),"")</f>
        <v>0</v>
      </c>
      <c r="S9" cm="1">
        <f t="array" ref="S9">IF(COUNT(_xlfn._xlws.FILTER('TERadj'!QM2:QM100, ('TERadj'!QM2:QM100&gt;0))),COUNT(_xlfn._xlws.FILTER('TERadj'!QM2:QM100, ('TERadj'!QM2:QM100&gt;0))),"")</f>
        <v>0</v>
      </c>
      <c r="T9" cm="1">
        <f t="array" ref="T9">IF(COUNT(_xlfn._xlws.FILTER('TERadj'!QS2:QS100, ('TERadj'!QS2:QS100&gt;0))),COUNT(_xlfn._xlws.FILTER('TERadj'!QS2:QS100, ('TERadj'!QS2:QS100&gt;0))),"")</f>
        <v>0</v>
      </c>
    </row>
    <row r="10" spans="1:20">
      <c r="B10" t="s">
        <v>938</v>
      </c>
      <c r="L10" t="s">
        <v>938</v>
      </c>
    </row>
    <row r="12" spans="1:20">
      <c r="B12" t="s">
        <v>915</v>
      </c>
      <c r="C12" t="s">
        <v>884</v>
      </c>
      <c r="D12" t="s">
        <v>892</v>
      </c>
      <c r="E12" t="s">
        <v>880</v>
      </c>
      <c r="F12" t="s">
        <v>890</v>
      </c>
      <c r="G12" t="s">
        <v>1009</v>
      </c>
      <c r="H12" t="s">
        <v>936</v>
      </c>
      <c r="I12" t="s">
        <v>1010</v>
      </c>
      <c r="J12" t="s">
        <v>894</v>
      </c>
    </row>
    <row r="13" spans="1:20">
      <c r="B13" t="s">
        <v>933</v>
      </c>
      <c r="C13" s="6">
        <f>IF(SUM(M4:M10) &gt; 0, IF(AND(SUM(C4:C10)&gt;0, ISNUMBER(C4)),C4/SUM(C4:C10), ""), "")</f>
        <v>0</v>
      </c>
      <c r="D13" s="6">
        <f>IF(SUM(M4:M10) &gt; 0, IF(AND(SUM(D4:D10)&gt;0, ISNUMBER(D4)),D4/SUM(D4:D10), ""), "")</f>
        <v>0</v>
      </c>
      <c r="E13" s="6">
        <f>IF(SUM(M4:M10) &gt; 0, IF(AND(SUM(E4:E10)&gt;0, ISNUMBER(E4)),E4/SUM(E4:E10), ""), "")</f>
        <v>0</v>
      </c>
      <c r="F13" s="6">
        <f>IF(SUM(M4:M10) &gt; 0, IF(AND(SUM(F4:F10)&gt;0, ISNUMBER(F4)),F4/SUM(F4:F10), ""), "")</f>
        <v>0</v>
      </c>
      <c r="G13" s="6">
        <f>IF(SUM(M4:M10) &gt; 0, IF(AND(SUM(G4:G10)&gt;0, ISNUMBER(G4)),G4/SUM(G4:G10), ""), "")</f>
        <v>0</v>
      </c>
      <c r="H13" s="6">
        <f>IF(SUM(M4:M10) &gt; 0, IF(AND(SUM(H4:H10)&gt;0, ISNUMBER(H4)),H4/SUM(H4:H10), ""), "")</f>
        <v>0</v>
      </c>
      <c r="I13" s="6">
        <f>IF(SUM(M4:M10) &gt; 0, IF(AND(SUM(I4:I10)&gt;0, ISNUMBER(I4)),I4/SUM(I4:I10), ""), "")</f>
        <v>0</v>
      </c>
      <c r="J13" s="6">
        <f>IF(SUM(M4:M10) &gt; 0, IF(AND(SUM(J4:J10)&gt;0, ISNUMBER(J4)),J4/SUM(J4:J10), ""), "")</f>
        <v>0</v>
      </c>
    </row>
    <row r="14" spans="1:20">
      <c r="B14" t="s">
        <v>934</v>
      </c>
      <c r="C14" s="6">
        <f>IF(SUM(M4:M10) &gt; 0, IF(AND(SUM(C4:C10)&gt;0, ISNUMBER(C5)),C5/SUM(C4:C10), ""), "")</f>
        <v>0</v>
      </c>
      <c r="D14" s="6">
        <f>IF(SUM(M4:M10) &gt; 0, IF(AND(SUM(D4:D10)&gt;0, ISNUMBER(D5)),D5/SUM(D4:D10), ""), "")</f>
        <v>0</v>
      </c>
      <c r="E14" s="6">
        <f>IF(SUM(M4:M10) &gt; 0, IF(AND(SUM(E4:E10)&gt;0, ISNUMBER(E5)),E5/SUM(E4:E10), ""), "")</f>
        <v>0</v>
      </c>
      <c r="F14" s="6">
        <f>IF(SUM(M4:M10) &gt; 0, IF(AND(SUM(F4:F10)&gt;0, ISNUMBER(F5)),F5/SUM(F4:F10), ""), "")</f>
        <v>0</v>
      </c>
      <c r="G14" s="6">
        <f>IF(SUM(M4:M10) &gt; 0, IF(AND(SUM(G4:G10)&gt;0, ISNUMBER(G5)),G5/SUM(G4:G10), ""), "")</f>
        <v>0</v>
      </c>
      <c r="H14" s="6">
        <f>IF(SUM(M4:M10) &gt; 0, IF(AND(SUM(H4:H10)&gt;0, ISNUMBER(H5)),H5/SUM(H4:H10), ""), "")</f>
        <v>0</v>
      </c>
      <c r="I14" s="6">
        <f>IF(SUM(M4:M10) &gt; 0, IF(AND(SUM(I4:I10)&gt;0, ISNUMBER(I5)),I5/SUM(I4:I10), ""), "")</f>
        <v>0</v>
      </c>
      <c r="J14" s="6">
        <f>IF(SUM(M4:M10) &gt; 0, IF(AND(SUM(J4:J10)&gt;0, ISNUMBER(J5)),J5/SUM(J4:J10), ""), "")</f>
        <v>0</v>
      </c>
    </row>
    <row r="15" spans="1:20">
      <c r="B15" t="s">
        <v>935</v>
      </c>
      <c r="C15" s="6">
        <f>IF(SUM(M4:M10) &gt; 0, IF(AND(SUM(C4:C10)&gt;0, ISNUMBER(C6)),C6/SUM(C4:C10), ""), "")</f>
        <v>0</v>
      </c>
      <c r="D15" s="6">
        <f>IF(SUM(M4:M10) &gt; 0, IF(AND(SUM(D4:D10)&gt;0, ISNUMBER(D6)),D6/SUM(D4:D10), ""), "")</f>
        <v>0</v>
      </c>
      <c r="E15" s="6">
        <f>IF(SUM(M4:M10) &gt; 0, IF(AND(SUM(E4:E10)&gt;0, ISNUMBER(E6)),E6/SUM(E4:E10), ""), "")</f>
        <v>0</v>
      </c>
      <c r="F15" s="6">
        <f>IF(SUM(M4:M10) &gt; 0, IF(AND(SUM(F4:F10)&gt;0, ISNUMBER(F6)),F6/SUM(F4:F10), ""), "")</f>
        <v>0</v>
      </c>
      <c r="G15" s="6">
        <f>IF(SUM(M4:M10) &gt; 0, IF(AND(SUM(G4:G10)&gt;0, ISNUMBER(G6)),G6/SUM(G4:G10), ""), "")</f>
        <v>0</v>
      </c>
      <c r="H15" s="6">
        <f>IF(SUM(M4:M10) &gt; 0, IF(AND(SUM(H4:H10)&gt;0, ISNUMBER(H6)),H6/SUM(H4:H10), ""), "")</f>
        <v>0</v>
      </c>
      <c r="I15" s="6">
        <f>IF(SUM(M4:M10) &gt; 0, IF(AND(SUM(I4:I10)&gt;0, ISNUMBER(I6)),I6/SUM(I4:I10), ""), "")</f>
        <v>0</v>
      </c>
      <c r="J15" s="6">
        <f>IF(SUM(M4:M10) &gt; 0, IF(AND(SUM(J4:J10)&gt;0, ISNUMBER(J6)),J6/SUM(J4:J10), ""), "")</f>
        <v>0</v>
      </c>
    </row>
    <row r="16" spans="1:20">
      <c r="B16" t="s">
        <v>878</v>
      </c>
      <c r="C16" s="6">
        <f>IF(SUM(M4:M10) &gt; 0, IF(AND(SUM(C4:C10)&gt;0, ISNUMBER(C7)),C7/SUM(C4:C10), ""), "")</f>
        <v>0</v>
      </c>
      <c r="D16" s="6">
        <f>IF(SUM(M4:M10) &gt; 0, IF(AND(SUM(D4:D10)&gt;0, ISNUMBER(D7)),D7/SUM(D4:D10), ""), "")</f>
        <v>0</v>
      </c>
      <c r="E16" s="6">
        <f>IF(SUM(M4:M10) &gt; 0, IF(AND(SUM(E4:E10)&gt;0, ISNUMBER(E7)),E7/SUM(E4:E10), ""), "")</f>
        <v>0</v>
      </c>
      <c r="F16" s="6">
        <f>IF(SUM(M4:M10) &gt; 0, IF(AND(SUM(F4:F10)&gt;0, ISNUMBER(F7)),F7/SUM(F4:F10), ""), "")</f>
        <v>0</v>
      </c>
      <c r="G16" s="6">
        <f>IF(SUM(M4:M10) &gt; 0, IF(AND(SUM(G4:G10)&gt;0, ISNUMBER(G7)),G7/SUM(G4:G10), ""), "")</f>
        <v>0</v>
      </c>
      <c r="H16" s="6">
        <f>IF(SUM(M4:M10) &gt; 0, IF(AND(SUM(H4:H10)&gt;0, ISNUMBER(H7)),H7/SUM(H4:H10), ""), "")</f>
        <v>0</v>
      </c>
      <c r="I16" s="6">
        <f>IF(SUM(M4:M10) &gt; 0, IF(AND(SUM(I4:I10)&gt;0, ISNUMBER(I7)),I7/SUM(I4:I10), ""), "")</f>
        <v>0</v>
      </c>
      <c r="J16" s="6">
        <f>IF(SUM(M4:M10) &gt; 0, IF(AND(SUM(J4:J10)&gt;0, ISNUMBER(J7)),J7/SUM(J4:J10), ""), "")</f>
        <v>0</v>
      </c>
    </row>
    <row r="17" spans="2:10">
      <c r="B17" t="s">
        <v>936</v>
      </c>
      <c r="C17" s="6">
        <f>IF(SUM(M4:M10) &gt; 0, IF(AND(SUM(C4:C10)&gt;0, ISNUMBER(C8)),C8/SUM(C4:C10), ""), "")</f>
        <v>0</v>
      </c>
      <c r="D17" s="6">
        <f>IF(SUM(M4:M10) &gt; 0, IF(AND(SUM(D4:D10)&gt;0, ISNUMBER(D8)),D8/SUM(D4:D10), ""), "")</f>
        <v>0</v>
      </c>
      <c r="E17" s="6">
        <f>IF(SUM(M4:M10) &gt; 0, IF(AND(SUM(E4:E10)&gt;0, ISNUMBER(E8)),E8/SUM(E4:E10), ""), "")</f>
        <v>0</v>
      </c>
      <c r="F17" s="6">
        <f>IF(SUM(M4:M10) &gt; 0, IF(AND(SUM(F4:F10)&gt;0, ISNUMBER(F8)),F8/SUM(F4:F10), ""), "")</f>
        <v>0</v>
      </c>
      <c r="G17" s="6">
        <f>IF(SUM(M4:M10) &gt; 0, IF(AND(SUM(G4:G10)&gt;0, ISNUMBER(G8)),G8/SUM(G4:G10), ""), "")</f>
        <v>0</v>
      </c>
      <c r="H17" s="6">
        <f>IF(SUM(M4:M10) &gt; 0, IF(AND(SUM(H4:H10)&gt;0, ISNUMBER(H8)),H8/SUM(H4:H10), ""), "")</f>
        <v>0</v>
      </c>
      <c r="I17" s="6">
        <f>IF(SUM(M4:M10) &gt; 0, IF(AND(SUM(I4:I10)&gt;0, ISNUMBER(I8)),I8/SUM(I4:I10), ""), "")</f>
        <v>0</v>
      </c>
      <c r="J17" s="6">
        <f>IF(SUM(M4:M10) &gt; 0, IF(AND(SUM(J4:J10)&gt;0, ISNUMBER(J8)),J8/SUM(J4:J10), ""), "")</f>
        <v>0</v>
      </c>
    </row>
    <row r="18" spans="2:10">
      <c r="B18" t="s">
        <v>881</v>
      </c>
      <c r="C18" s="6">
        <f>IF(SUM(M4:M10) &gt; 0, IF(AND(SUM(C4:C10)&gt;0, ISNUMBER(C9)),C9/SUM(C4:C10), ""), "")</f>
        <v>0</v>
      </c>
      <c r="D18" s="6">
        <f>IF(SUM(M4:M10) &gt; 0, IF(AND(SUM(D4:D10)&gt;0, ISNUMBER(D9)),D9/SUM(D4:D10), ""), "")</f>
        <v>0</v>
      </c>
      <c r="E18" s="6">
        <f>IF(SUM(M4:M10) &gt; 0, IF(AND(SUM(E4:E10)&gt;0, ISNUMBER(E9)),E9/SUM(E4:E10), ""), "")</f>
        <v>0</v>
      </c>
      <c r="F18" s="6">
        <f>IF(SUM(M4:M10) &gt; 0, IF(AND(SUM(F4:F10)&gt;0, ISNUMBER(F9)),F9/SUM(F4:F10), ""), "")</f>
        <v>0</v>
      </c>
      <c r="G18" s="6">
        <f>IF(SUM(M4:M10) &gt; 0, IF(AND(SUM(G4:G10)&gt;0, ISNUMBER(G9)),G9/SUM(G4:G10), ""), "")</f>
        <v>0</v>
      </c>
      <c r="H18" s="6">
        <f>IF(SUM(M4:M10) &gt; 0, IF(AND(SUM(H4:H10)&gt;0, ISNUMBER(H9)),H9/SUM(H4:H10), ""), "")</f>
        <v>0</v>
      </c>
      <c r="I18" s="6">
        <f>IF(SUM(M4:M10) &gt; 0, IF(AND(SUM(I4:I10)&gt;0, ISNUMBER(I9)),I9/SUM(I4:I10), ""), "")</f>
        <v>0</v>
      </c>
      <c r="J18" s="6">
        <f>IF(SUM(M4:M10) &gt; 0, IF(AND(SUM(J4:J10)&gt;0, ISNUMBER(J9)),J9/SUM(J4:J10), ""), "")</f>
        <v>0</v>
      </c>
    </row>
    <row r="19" spans="2:10">
      <c r="B19" t="s">
        <v>938</v>
      </c>
      <c r="C19" s="6">
        <f>IF(SUM(M4:M10) &gt; 0, IF(AND(SUM(C4:C10)&gt;0, ISNUMBER(C10)),C10/SUM(C4:C10), ""), "")</f>
        <v>0</v>
      </c>
      <c r="D19" s="6">
        <f>IF(SUM(M4:M10) &gt; 0, IF(AND(SUM(D4:D10)&gt;0, ISNUMBER(D10)),D10/SUM(D4:D10), ""), "")</f>
        <v>0</v>
      </c>
      <c r="E19" s="6">
        <f>IF(SUM(M4:M10) &gt; 0, IF(AND(SUM(E4:E10)&gt;0, ISNUMBER(E10)),E10/SUM(E4:E10), ""), "")</f>
        <v>0</v>
      </c>
      <c r="F19" s="6">
        <f>IF(SUM(M4:M10) &gt; 0, IF(AND(SUM(F4:F10)&gt;0, ISNUMBER(F10)),F10/SUM(F4:F10), ""), "")</f>
        <v>0</v>
      </c>
      <c r="G19" s="6">
        <f>IF(SUM(M4:M10) &gt; 0, IF(AND(SUM(G4:G10)&gt;0, ISNUMBER(G10)),G10/SUM(G4:G10), ""), "")</f>
        <v>0</v>
      </c>
      <c r="H19" s="6">
        <f>IF(SUM(M4:M10) &gt; 0, IF(AND(SUM(H4:H10)&gt;0, ISNUMBER(H10)),H10/SUM(H4:H10), ""), "")</f>
        <v>0</v>
      </c>
      <c r="I19" s="6">
        <f>IF(SUM(M4:M10) &gt; 0, IF(AND(SUM(I4:I10)&gt;0, ISNUMBER(I10)),I10/SUM(I4:I10), ""), "")</f>
        <v>0</v>
      </c>
      <c r="J19" s="6">
        <f>IF(SUM(M4:M10) &gt; 0, IF(AND(SUM(J4:J10)&gt;0, ISNUMBER(J10)),J10/SUM(J4:J10), ""), "")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TERadj</vt:lpstr>
      <vt:lpstr>historical</vt:lpstr>
      <vt:lpstr>KeyFig (1)</vt:lpstr>
      <vt:lpstr>KeyFig (2)</vt:lpstr>
      <vt:lpstr>KeyFig (3)</vt:lpstr>
      <vt:lpstr>KeyFig (4)</vt:lpstr>
      <vt:lpstr>KeyFig (5)</vt:lpstr>
      <vt:lpstr>KeyFig (6)</vt:lpstr>
      <vt:lpstr>KeyFig (7)</vt:lpstr>
      <vt:lpstr>Figure (1)</vt:lpstr>
      <vt:lpstr>Figure (2)</vt:lpstr>
      <vt:lpstr>Figure (3)</vt:lpstr>
      <vt:lpstr>Figure (4)</vt:lpstr>
      <vt:lpstr>Figure (5)</vt:lpstr>
      <vt:lpstr>Figure (6)</vt:lpstr>
      <vt:lpstr>Figure (7)</vt:lpstr>
      <vt:lpstr>Figure (8)</vt:lpstr>
      <vt:lpstr>Figure (9)</vt:lpstr>
      <vt:lpstr>Figure (10)</vt:lpstr>
      <vt:lpstr>Figure (11)</vt:lpstr>
      <vt:lpstr>Figure (12)</vt:lpstr>
      <vt:lpstr>Figure (13)</vt:lpstr>
      <vt:lpstr>Figure (14)</vt:lpstr>
      <vt:lpstr>Figure (15)</vt:lpstr>
      <vt:lpstr>Figure (16-1)</vt:lpstr>
      <vt:lpstr>Figure (16-2)</vt:lpstr>
      <vt:lpstr>Figure (16-3)</vt:lpstr>
      <vt:lpstr>Figure (16-4)</vt:lpstr>
      <vt:lpstr>Figure (16-5)</vt:lpstr>
      <vt:lpstr>Figure (16-6)</vt:lpstr>
      <vt:lpstr>Figure (16-7)</vt:lpstr>
      <vt:lpstr>Figure (17)</vt:lpstr>
      <vt:lpstr>Figure (18-1)</vt:lpstr>
      <vt:lpstr>Figure (18-2)</vt:lpstr>
      <vt:lpstr>Figure (18-3)</vt:lpstr>
      <vt:lpstr>Figure (18-4)</vt:lpstr>
      <vt:lpstr>Figure (18-5)</vt:lpstr>
      <vt:lpstr>Figure (18-6)</vt:lpstr>
      <vt:lpstr>Figure (18-7)</vt:lpstr>
      <vt:lpstr>Figure (19)</vt:lpstr>
      <vt:lpstr>Figure (20)</vt:lpstr>
      <vt:lpstr>Figure (21)</vt:lpstr>
      <vt:lpstr>Figure (22)</vt:lpstr>
      <vt:lpstr>Figure (23)</vt:lpstr>
      <vt:lpstr>Figure (24)</vt:lpstr>
      <vt:lpstr>Figure (25)</vt:lpstr>
      <vt:lpstr>Figure (26)</vt:lpstr>
      <vt:lpstr>Figure (27)</vt:lpstr>
      <vt:lpstr>Figure (28)</vt:lpstr>
      <vt:lpstr>Figure (29)</vt:lpstr>
      <vt:lpstr>Figure (30)</vt:lpstr>
      <vt:lpstr>Figure (32)</vt:lpstr>
      <vt:lpstr>Figure (33)</vt:lpstr>
      <vt:lpstr>Figure (34)</vt:lpstr>
      <vt:lpstr>Figure (35)</vt:lpstr>
      <vt:lpstr>Figure (36)</vt:lpstr>
      <vt:lpstr>Figure (37)</vt:lpstr>
      <vt:lpstr>Figure (38)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2025-03-19T18:08:46Z</dcterms:created>
  <dcterms:modified xsi:type="dcterms:W3CDTF">2025-03-19T18:08:46Z</dcterms:modified>
</cp:coreProperties>
</file>